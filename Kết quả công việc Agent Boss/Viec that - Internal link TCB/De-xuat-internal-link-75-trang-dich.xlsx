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h đọc file" sheetId="1" r:id="rId5"/>
    <sheet state="visible" name="Plan inlink (tổng quan)" sheetId="2" r:id="rId6"/>
    <sheet state="visible" name="Kế hoạch chèn link (mới)" sheetId="3" r:id="rId7"/>
    <sheet state="hidden" name="Kế hoạch chèn link (bản cũ – kh" sheetId="4" r:id="rId8"/>
    <sheet state="visible" name="Link trỏ về từng trang đích" sheetId="5" r:id="rId9"/>
    <sheet state="hidden" name="Inlink đã chèn" sheetId="6" r:id="rId10"/>
    <sheet state="visible" name="Anchor text ưu tiên" sheetId="7" r:id="rId11"/>
    <sheet state="hidden" name="Inlink - Đề xuất 5 bài trang đí" sheetId="8" r:id="rId12"/>
    <sheet state="visible" name="Chủ đề bài nguồn" sheetId="9" r:id="rId13"/>
  </sheets>
  <definedNames>
    <definedName hidden="1" localSheetId="1" name="_xlnm._FilterDatabase">'Plan inlink (tổng quan)'!$A$1:$P$735</definedName>
    <definedName hidden="1" localSheetId="2" name="_xlnm._FilterDatabase">'Kế hoạch chèn link (mới)'!$A$2:$J$2213</definedName>
    <definedName hidden="1" localSheetId="4" name="_xlnm._FilterDatabase">'Link trỏ về từng trang đích'!$A$1:$H$76</definedName>
    <definedName hidden="1" localSheetId="6" name="_xlnm._FilterDatabase">'Anchor text ưu tiên'!$A$1:$T$80</definedName>
    <definedName hidden="1" localSheetId="8" name="_xlnm._FilterDatabase">'Chủ đề bài nguồn'!$A$1:$C$735</definedName>
  </definedNames>
  <calcPr/>
</workbook>
</file>

<file path=xl/sharedStrings.xml><?xml version="1.0" encoding="utf-8"?>
<sst xmlns="http://schemas.openxmlformats.org/spreadsheetml/2006/main" count="26018" uniqueCount="7550">
  <si>
    <t>MỞ TAB NÀO ĐỂ LÀM GÌ</t>
  </si>
  <si>
    <t>STT</t>
  </si>
  <si>
    <t>CÁCH ĐỌC TAB NÀY
Mỗi dòng = 1 link cần chèn</t>
  </si>
  <si>
    <t>Bài chèn link (URL mở ra để sửa)</t>
  </si>
  <si>
    <t>Số link chèn</t>
  </si>
  <si>
    <t>Tình trạng</t>
  </si>
  <si>
    <t>Hoàn thiện</t>
  </si>
  <si>
    <t>Ghi chú</t>
  </si>
  <si>
    <t>Anchortext 001</t>
  </si>
  <si>
    <t>URL đích 001 (trang trỏ về)</t>
  </si>
  <si>
    <t>Anchortext 002</t>
  </si>
  <si>
    <t>URL đích 002 (trang trỏ về)</t>
  </si>
  <si>
    <t>Nhóm</t>
  </si>
  <si>
    <t>Anchortext 003</t>
  </si>
  <si>
    <t>Từ khoá chính</t>
  </si>
  <si>
    <t>URL đích 003 (trang trỏ về)</t>
  </si>
  <si>
    <t>Landingpage (trang đích)</t>
  </si>
  <si>
    <t>Anchortext 004</t>
  </si>
  <si>
    <t>Số inlink mục tiêu</t>
  </si>
  <si>
    <t>URL đích 004 (trang trỏ về)</t>
  </si>
  <si>
    <t>Tổng số link</t>
  </si>
  <si>
    <t>Anchortext 005</t>
  </si>
  <si>
    <t>Phù hợp cao</t>
  </si>
  <si>
    <t>URL đích 005 (trang trỏ về)</t>
  </si>
  <si>
    <t>Có thể đi</t>
  </si>
  <si>
    <t>Cần soát</t>
  </si>
  <si>
    <t>Tên tab</t>
  </si>
  <si>
    <t>https://techcombank.com/thong-tin/blog/1-cent-bang-bao-nhieu-tien-viet</t>
  </si>
  <si>
    <t>Trang đích (link trỏ VỀ đây)</t>
  </si>
  <si>
    <t>Anchor text (chữ gắn link)</t>
  </si>
  <si>
    <t>Chèn vào bài (mở bài này để sửa)</t>
  </si>
  <si>
    <t>Dùng để</t>
  </si>
  <si>
    <t>Đặt dưới mục</t>
  </si>
  <si>
    <t>Câu gợi ý trong bài</t>
  </si>
  <si>
    <t>Kế hoạch chèn link (mới)</t>
  </si>
  <si>
    <t>Cách chèn</t>
  </si>
  <si>
    <t>Mức độ</t>
  </si>
  <si>
    <t>TAB LÀM VIỆC CHÍNH. Mỗi dòng = 1 link: anchor (cột C) trỏ về trang đích (cột B), chèn vào bài ở cột D. Tổng 2.211 link, mỗi bài tối đa 5 anchor. Vị trí chèn đã được đọc lại từng bài: cột E = mục, cột F = câu trong bài (chép nguyên văn, Ctrl+F để tìm), cột G = cách chèn cụ thể (bôi đen cụm có sẵn / sửa câu thành… / thêm câu… / thêm dòng Xem thêm).</t>
  </si>
  <si>
    <t>Plan inlink (tổng quan)</t>
  </si>
  <si>
    <t>nhóm</t>
  </si>
  <si>
    <t>Mỗi hàng = 1 bài sẽ được sửa (734 bài): bài đó chèn mấy link, bao nhiêu link mỗi mức độ, và từng cặp Anchortext 001–005 + URL đích (trang trỏ về trong 75 trang). Cột Tình trạng tự đổi khi bạn đánh dấu "Đã chèn" ở tab Kế hoạch. Tự cập nhật theo tab Kế hoạch.</t>
  </si>
  <si>
    <t>Link nên bỏ (gượng ép)</t>
  </si>
  <si>
    <t>thứ tự</t>
  </si>
  <si>
    <t>731 link đã bị loại khỏi kế hoạch vì đọc kỹ bài thấy không có chỗ chèn tự nhiên (lệch chủ đề, chèn vào sẽ gượng ép). Giữ lại để tham khảo, có lý do ở cột Ghi chú. Không cần làm các link này.</t>
  </si>
  <si>
    <t>Quy tắc chọn vị trí chèn</t>
  </si>
  <si>
    <t>Chủ đề bài nguồn</t>
  </si>
  <si>
    <t>Chọn đoạn đúng mạch ý nhất với trang đích. Các link trong cùng 1 bài nằm ở đoạn khác nhau. Đoạn có trích luật/nghị định/thông tư, bảng số liệu, các bước thao tác: KHÔNG sửa câu gốc, chỉ thêm 1 dòng "Xem thêm: …" sau đoạn (đặt sau cả danh sách/bảng). Không bịa số liệu, không ghi năm.</t>
  </si>
  <si>
    <t>Trang đích còn thiếu link</t>
  </si>
  <si>
    <t>71/75 trang đích chưa đủ số link mục tiêu (tổng mục tiêu 3.390, hiện có 2.211). Xem cột E đỏ ở tab Link trỏ về từng trang đích. Lý do: không đủ bài cùng chủ đề có chỗ chèn tự nhiên với giới hạn 5 anchor/bài.</t>
  </si>
  <si>
    <t>Anchor text ưu tiên</t>
  </si>
  <si>
    <t>Danh sách anchor ưu tiên sếp giao. Cột C tự đếm số lần đã đề xuất trong tab Kế hoạch (mới).</t>
  </si>
  <si>
    <t>Link trỏ về từng trang đích</t>
  </si>
  <si>
    <t>Mỗi dòng = 1 trang đích. Cột E = số bài đã đề xuất, cột F = còn thiếu bao nhiêu link so với mục tiêu (đỏ = thiếu, xanh = đủ), cột G = các chủ đề bài đã lấy để có số link hiện tại (kèm số bài), cột H = danh sách bài. Chủ đề từng bài xem ở tab "Chủ đề bài nguồn". Tự cập nhật.</t>
  </si>
  <si>
    <t>https://techcombank.com/thong-tin/blog/lai-suat-vay-mua-o-to</t>
  </si>
  <si>
    <t>Inlink đã chèn</t>
  </si>
  <si>
    <t>lãi suất vay mua ô tô</t>
  </si>
  <si>
    <t>Các link đang có sẵn trên web – không đề xuất chèn lại.</t>
  </si>
  <si>
    <t>Trang tính4</t>
  </si>
  <si>
    <t>Danh sách sếp tổng hợp số anchor mỗi bài (bản trước) – giữ để đối chiếu.</t>
  </si>
  <si>
    <t>Ý nghĩa màu (cột Mức độ)</t>
  </si>
  <si>
    <t>Xanh mint = Phù hợp cao.   Xanh nhạt = Có thể đi.   Vàng = Cần soát (đọc lại trước khi chèn, lý do ở cột Ghi chú).</t>
  </si>
  <si>
    <t>Không chèn trùng</t>
  </si>
  <si>
    <t>https://techcombank.com/thong-tin/blog/nen-mua-xe-tra-gop-hay-tra-thang</t>
  </si>
  <si>
    <t>Không có bài nào được đề xuất 2 lần cho cùng 1 trang đích, và không đề xuất vào bài đã có sẵn link về trang đích đó.</t>
  </si>
  <si>
    <t>2. Ưu và nhược điểm khi vay ngân hàng mua xe trả góp</t>
  </si>
  <si>
    <t>Bản cũ</t>
  </si>
  <si>
    <t>Để cập nhật mức lãi suất vay mua ô tô của Techcombank chính xác nhất, vui lòng truy cập các trang sản phẩm từ website Techcombank…</t>
  </si>
  <si>
    <t>Tab "Kế hoạch chèn link (bản cũ – không dùng)" và tab đề xuất cũ đã được ẩn, không xóa.</t>
  </si>
  <si>
    <t>Bôi đen cụm «lãi suất vay mua ô tô» trong câu trên, gắn link.</t>
  </si>
  <si>
    <t>PHÙ HỢP CAO</t>
  </si>
  <si>
    <t>Chưa làm</t>
  </si>
  <si>
    <t/>
  </si>
  <si>
    <t>https://techcombank.com/thong-tin/blog/vay-the-chap-xe-o-to-cu</t>
  </si>
  <si>
    <t>3. Lãi suất vay thế chấp xe ô tô của các ngân hàng</t>
  </si>
  <si>
    <t>Mức lãi suất khi vay thế chấp ô tô cũ sẽ theo quy định của ngân hàng theo từng thời kỳ.</t>
  </si>
  <si>
    <t>Số link mục tiêu</t>
  </si>
  <si>
    <t>Thêm ngay sau đoạn này: «Bạn có thể tham khảo lãi suất vay mua ô tô của các ngân hàng để so sánh và chọn gói vay phù hợp.»</t>
  </si>
  <si>
    <t>URL 001 (bài đặt link)</t>
  </si>
  <si>
    <t>Số bài đã đề xuất</t>
  </si>
  <si>
    <t>URL 002 (bài đặt link)</t>
  </si>
  <si>
    <t>Còn thiếu so với mục tiêu</t>
  </si>
  <si>
    <t>URL 003 (bài đặt link)</t>
  </si>
  <si>
    <t>Chủ đề bài đã lấy (số bài)</t>
  </si>
  <si>
    <t>URL 004 (bài đặt link)</t>
  </si>
  <si>
    <t>Các bài sẽ chèn link về trang này (mỗi dòng 1 bài)</t>
  </si>
  <si>
    <t>URL 005 (bài đặt link)</t>
  </si>
  <si>
    <t>Anchortext 006</t>
  </si>
  <si>
    <t>URL 006 (bài đặt link)</t>
  </si>
  <si>
    <t>Anchortext 007</t>
  </si>
  <si>
    <t>URL 007 (bài đặt link)</t>
  </si>
  <si>
    <t>Anchortext 008</t>
  </si>
  <si>
    <t>URL 008 (bài đặt link)</t>
  </si>
  <si>
    <t>Anchortext 009</t>
  </si>
  <si>
    <t>https://techcombank.com/thong-tin/blog/cic-la-gi</t>
  </si>
  <si>
    <t>URL 009 (bài đặt link)</t>
  </si>
  <si>
    <t>Anchortext 010</t>
  </si>
  <si>
    <t>URL 010 (bài đặt link)</t>
  </si>
  <si>
    <t>CCB</t>
  </si>
  <si>
    <t>https://techcombank.com/thong-tin/blog/doi-xe-xang-lay-xe-dien</t>
  </si>
  <si>
    <t>3. Lưu ý khi tham gia chương trình đổi xe xăng lấy xe điện</t>
  </si>
  <si>
    <t>Anchortext 011</t>
  </si>
  <si>
    <t>So sánh ưu đãi từ hãng và ngân hàng: Tìm hiểu các chương trình hỗ trợ vay, ưu đãi lãi suất hoặc khuyến mãi để nhận quyền lợi tốt nhất</t>
  </si>
  <si>
    <t>URL 011 (bài đặt link)</t>
  </si>
  <si>
    <t>Thêm ngay sau đoạn này: «Bạn có thể tham khảo lãi suất vay mua ô tô của các ngân hàng để so sánh trước khi quyết định.»</t>
  </si>
  <si>
    <t>Anchortext 012</t>
  </si>
  <si>
    <t>URL 012 (bài đặt link)</t>
  </si>
  <si>
    <t>Anchortext 013</t>
  </si>
  <si>
    <t>URL 013 (bài đặt link)</t>
  </si>
  <si>
    <t>Anchortext 014</t>
  </si>
  <si>
    <t>URL 014 (bài đặt link)</t>
  </si>
  <si>
    <t>Anchortext 015</t>
  </si>
  <si>
    <t>URL 015 (bài đặt link)</t>
  </si>
  <si>
    <t>Anchortext 016</t>
  </si>
  <si>
    <t>URL 016 (bài đặt link)</t>
  </si>
  <si>
    <t>Anchortext 017</t>
  </si>
  <si>
    <t>URL 017 (bài đặt link)</t>
  </si>
  <si>
    <t>Anchortext 018</t>
  </si>
  <si>
    <t>URL 018 (bài đặt link)</t>
  </si>
  <si>
    <t>Anchortext 019</t>
  </si>
  <si>
    <t>URL 019 (bài đặt link)</t>
  </si>
  <si>
    <t>Anchortext 020</t>
  </si>
  <si>
    <t>URL 020 (bài đặt link)</t>
  </si>
  <si>
    <t>Anchortext 021</t>
  </si>
  <si>
    <t>URL 021 (bài đặt link)</t>
  </si>
  <si>
    <t>lãi suất vay mua xe ô tô</t>
  </si>
  <si>
    <t>Anchortext 022</t>
  </si>
  <si>
    <t>https://techcombank.com/thong-tin/blog/cho-vay-tung-lan</t>
  </si>
  <si>
    <t>4. Khám phá các giải pháp vay dành cho khách hàng cá nhân tại Techcombank</t>
  </si>
  <si>
    <t>URL 022 (bài đặt link)</t>
  </si>
  <si>
    <t>Vay mua ô tô : Rước xe yêu với hạn mức vay tới 80% giá trị xe, lãi suất chỉ từ 6.89%/năm…</t>
  </si>
  <si>
    <t>Anchortext 023</t>
  </si>
  <si>
    <t>Thêm ngay sau đoạn này: «Bạn có thể tham khảo và so sánh lãi suất vay mua xe ô tô giữa các ngân hàng trước khi quyết định.»</t>
  </si>
  <si>
    <t>URL 023 (bài đặt link)</t>
  </si>
  <si>
    <t>Anchortext 024</t>
  </si>
  <si>
    <t>Đoạn có số liệu – chỉ thêm câu, không sửa</t>
  </si>
  <si>
    <t>URL 024 (bài đặt link)</t>
  </si>
  <si>
    <t>Anchortext 025</t>
  </si>
  <si>
    <t>URL 025 (bài đặt link)</t>
  </si>
  <si>
    <t>Anchortext 026</t>
  </si>
  <si>
    <t>URL 026 (bài đặt link)</t>
  </si>
  <si>
    <t>Anchortext 027</t>
  </si>
  <si>
    <t>URL 027 (bài đặt link)</t>
  </si>
  <si>
    <t>Anchortext 028</t>
  </si>
  <si>
    <t>URL 028 (bài đặt link)</t>
  </si>
  <si>
    <t>Anchortext 029</t>
  </si>
  <si>
    <t>URL 029 (bài đặt link)</t>
  </si>
  <si>
    <t>Anchortext 030</t>
  </si>
  <si>
    <t>URL 030 (bài đặt link)</t>
  </si>
  <si>
    <t>Anchortext 031</t>
  </si>
  <si>
    <t>https://techcombank.com/thong-tin/blog/co-100-trieu-co-mua-nen-mua-tra-gop</t>
  </si>
  <si>
    <t>URL 031 (bài đặt link)</t>
  </si>
  <si>
    <t>6.3. Mua ô tô trả góp có cần tài sản bảo đảm không?</t>
  </si>
  <si>
    <t>Anchortext 032</t>
  </si>
  <si>
    <t>Khách hàng cần tính đủ chi phí lăn bánh, chi phí sử dụng, khoản trả hàng tháng, lãi suất và quỹ dự phòng.</t>
  </si>
  <si>
    <t>URL 032 (bài đặt link)</t>
  </si>
  <si>
    <t>CÓ THỂ ĐI</t>
  </si>
  <si>
    <t>Anchortext 033</t>
  </si>
  <si>
    <t>URL 033 (bài đặt link)</t>
  </si>
  <si>
    <t>Anchortext 034</t>
  </si>
  <si>
    <t>URL 034 (bài đặt link)</t>
  </si>
  <si>
    <t>Anchortext 035</t>
  </si>
  <si>
    <t>URL 035 (bài đặt link)</t>
  </si>
  <si>
    <t>Anchortext 036</t>
  </si>
  <si>
    <t>URL 036 (bài đặt link)</t>
  </si>
  <si>
    <t>Anchortext 037</t>
  </si>
  <si>
    <t>URL 037 (bài đặt link)</t>
  </si>
  <si>
    <t>Anchortext 038</t>
  </si>
  <si>
    <t>URL 038 (bài đặt link)</t>
  </si>
  <si>
    <t>Anchortext 039</t>
  </si>
  <si>
    <t>URL 039 (bài đặt link)</t>
  </si>
  <si>
    <t>Anchortext 040</t>
  </si>
  <si>
    <t>URL 040 (bài đặt link)</t>
  </si>
  <si>
    <t>Anchortext 041</t>
  </si>
  <si>
    <t>https://techcombank.com/thong-tin/blog/thu-tuc-mua-xe-tra-gop</t>
  </si>
  <si>
    <t>URL 041 (bài đặt link)</t>
  </si>
  <si>
    <t>1. Điều kiện, hồ sơ, thủ tục mua xe ô tô trả góp</t>
  </si>
  <si>
    <t>Giải pháp vay mua ô tô tại Techcombank giúp khách hàng chủ động kế hoạch tài chính khi mua xe.</t>
  </si>
  <si>
    <t>Anchortext 042</t>
  </si>
  <si>
    <t>Thêm ngay sau đoạn này: «Trước khi đăng ký, bạn có thể so sánh lãi suất vay mua xe ô tô giữa các ngân hàng.»</t>
  </si>
  <si>
    <t>URL 042 (bài đặt link)</t>
  </si>
  <si>
    <t>Anchortext 043</t>
  </si>
  <si>
    <t>URL 043 (bài đặt link)</t>
  </si>
  <si>
    <t>Anchortext 044</t>
  </si>
  <si>
    <t>URL 044 (bài đặt link)</t>
  </si>
  <si>
    <t>Anchortext 045</t>
  </si>
  <si>
    <t>URL 045 (bài đặt link)</t>
  </si>
  <si>
    <t>Anchortext 046</t>
  </si>
  <si>
    <t>URL 046 (bài đặt link)</t>
  </si>
  <si>
    <t>Anchortext 047</t>
  </si>
  <si>
    <t>URL 047 (bài đặt link)</t>
  </si>
  <si>
    <t>https://techcombank.com/thong-tin/blog/1-chi-vang-bao-nhieu-tien</t>
  </si>
  <si>
    <t>Anchortext 048</t>
  </si>
  <si>
    <t>URL 048 (bài đặt link)</t>
  </si>
  <si>
    <t>mua xe trả góp lãi suất bao nhiêu</t>
  </si>
  <si>
    <t>Anchortext 049</t>
  </si>
  <si>
    <t>https://techcombank.com/thong-tin/blog/nen-mua-xe-o-to-dien-hay-xe-xang</t>
  </si>
  <si>
    <t>3. Nên mua xe ô tô điện hay xe xăng?</t>
  </si>
  <si>
    <t>URL 049 (bài đặt link)</t>
  </si>
  <si>
    <t>Techcombank - Lựa chọn hàng đầu cho nhu cầu mua xe trả góp</t>
  </si>
  <si>
    <t>Anchortext 050</t>
  </si>
  <si>
    <t>Thêm ngay sau đoạn này: «Trước khi quyết định, bạn có thể tìm hiểu mua xe trả góp lãi suất bao nhiêu tại các ngân hàng.»</t>
  </si>
  <si>
    <t>URL 050 (bài đặt link)</t>
  </si>
  <si>
    <t>Anchortext 051</t>
  </si>
  <si>
    <t>URL 051 (bài đặt link)</t>
  </si>
  <si>
    <t>Anchortext 052</t>
  </si>
  <si>
    <t>URL 052 (bài đặt link)</t>
  </si>
  <si>
    <t>Anchortext 053</t>
  </si>
  <si>
    <t>URL 053 (bài đặt link)</t>
  </si>
  <si>
    <t>Anchortext 054</t>
  </si>
  <si>
    <t>URL 054 (bài đặt link)</t>
  </si>
  <si>
    <t>Anchortext 055</t>
  </si>
  <si>
    <t>URL 055 (bài đặt link)</t>
  </si>
  <si>
    <t>Anchortext 056</t>
  </si>
  <si>
    <t>URL 056 (bài đặt link)</t>
  </si>
  <si>
    <t>Anchortext 057</t>
  </si>
  <si>
    <t>URL 057 (bài đặt link)</t>
  </si>
  <si>
    <t>Anchortext 058</t>
  </si>
  <si>
    <t>URL 058 (bài đặt link)</t>
  </si>
  <si>
    <t>Anchortext 059</t>
  </si>
  <si>
    <t>URL 059 (bài đặt link)</t>
  </si>
  <si>
    <t>lãi suất vay mua ô tô các ngân hàng</t>
  </si>
  <si>
    <t>Anchortext 060</t>
  </si>
  <si>
    <t>https://techcombank.com/thong-tin/blog/mua-bao-hiem-o-to-dien</t>
  </si>
  <si>
    <t>URL 060 (bài đặt link)</t>
  </si>
  <si>
    <t>5. Mua Bảo hiểm ô tô điện tại Techcombank - An Tâm Vạn Dặm</t>
  </si>
  <si>
    <t>Anchortext 061</t>
  </si>
  <si>
    <t>Qua bài viết trên, hy vọng bạn đã có đủ thông tin để trang bị một "tấm khiên" vững chắc cho xe ô tô điện.</t>
  </si>
  <si>
    <t>Thêm ngay sau đoạn này: «Nếu đang cân nhắc mua xe bằng khoản vay, bạn có thể tham khảo lãi suất vay mua ô tô các ngân hàng.»</t>
  </si>
  <si>
    <t>URL 061 (bài đặt link)</t>
  </si>
  <si>
    <t>CẦN SOÁT</t>
  </si>
  <si>
    <t>Anchortext 062</t>
  </si>
  <si>
    <t>https://techcombank.com/thong-tin/blog/lai-suat-tiet-kiem</t>
  </si>
  <si>
    <t>URL 062 (bài đặt link)</t>
  </si>
  <si>
    <t>TD</t>
  </si>
  <si>
    <t>Anchortext 063</t>
  </si>
  <si>
    <t>URL 063 (bài đặt link)</t>
  </si>
  <si>
    <t>https://techcombank.com/thong-tin/blog/lai-suat-vay-the-chap-so-do</t>
  </si>
  <si>
    <t>3. Các chi phí có thể phát sinh khi vay thế chấp sổ đỏ/ sổ hồng</t>
  </si>
  <si>
    <t>Ngoài ra, khách hàng cũng nên lưu ý các vấn đề thường gặp như thẻ ATM không rút được tiền hoặc những dịch vụ liên quan đến bảo hiểm vật chất xe ô tô nếu khoản vay được sử dụng cho mục đích mua xe.</t>
  </si>
  <si>
    <t>Thêm ngay sau đoạn này: «Nếu vay để mua xe, khách hàng có thể tham khảo thêm lãi suất vay mua xe ô tô tại các ngân hàng.»</t>
  </si>
  <si>
    <t>Anchortext 064</t>
  </si>
  <si>
    <t>URL 064 (bài đặt link)</t>
  </si>
  <si>
    <t>Anchortext 065</t>
  </si>
  <si>
    <t>URL 065 (bài đặt link)</t>
  </si>
  <si>
    <t>Anchortext 066</t>
  </si>
  <si>
    <t>URL 066 (bài đặt link)</t>
  </si>
  <si>
    <t>Anchortext 067</t>
  </si>
  <si>
    <t>URL 067 (bài đặt link)</t>
  </si>
  <si>
    <t>Anchortext 068</t>
  </si>
  <si>
    <t>URL 068 (bài đặt link)</t>
  </si>
  <si>
    <t>Anchortext 069</t>
  </si>
  <si>
    <t>URL 069 (bài đặt link)</t>
  </si>
  <si>
    <t>Anchortext 070</t>
  </si>
  <si>
    <t>URL 070 (bài đặt link)</t>
  </si>
  <si>
    <t>Anchortext 071</t>
  </si>
  <si>
    <t>URL 071 (bài đặt link)</t>
  </si>
  <si>
    <t>Anchortext 072</t>
  </si>
  <si>
    <t>URL 072 (bài đặt link)</t>
  </si>
  <si>
    <t>Anchortext 073</t>
  </si>
  <si>
    <t>https://techcombank.com/thong-tin/blog/mo-the-tin-dung-co-loi-ich-gi</t>
  </si>
  <si>
    <t>URL 073 (bài đặt link)</t>
  </si>
  <si>
    <t>2. Chức năng mua trả góp lãi suất từ 0%</t>
  </si>
  <si>
    <t>Anchortext 074</t>
  </si>
  <si>
    <t>Nhìn chung, mua hàng trả góp thông qua thẻ tín dụng sẽ giúp giải quyết bài toán mua sắm trong điều kiện không đủ tài chính…</t>
  </si>
  <si>
    <t>URL 074 (bài đặt link)</t>
  </si>
  <si>
    <t>Thêm ngay sau đoạn này: «Với khoản lớn như ô tô, khách hàng có thể tìm hiểu thêm mua xe trả góp lãi suất bao nhiêu để so sánh.»</t>
  </si>
  <si>
    <t>Anchortext 075</t>
  </si>
  <si>
    <t>URL 075 (bài đặt link)</t>
  </si>
  <si>
    <t>Anchortext 076</t>
  </si>
  <si>
    <t>URL 076 (bài đặt link)</t>
  </si>
  <si>
    <t>Anchortext 077</t>
  </si>
  <si>
    <t>URL 077 (bài đặt link)</t>
  </si>
  <si>
    <t>Anchortext 078</t>
  </si>
  <si>
    <t>URL 078 (bài đặt link)</t>
  </si>
  <si>
    <t>Anchortext 079</t>
  </si>
  <si>
    <t>URL 079 (bài đặt link)</t>
  </si>
  <si>
    <t>Anchortext 080</t>
  </si>
  <si>
    <t>URL 080 (bài đặt link)</t>
  </si>
  <si>
    <t>Anchortext 081</t>
  </si>
  <si>
    <t>URL 081 (bài đặt link)</t>
  </si>
  <si>
    <t>Anchortext 082</t>
  </si>
  <si>
    <t>URL 082 (bài đặt link)</t>
  </si>
  <si>
    <t>Anchortext 083</t>
  </si>
  <si>
    <t>URL 083 (bài đặt link)</t>
  </si>
  <si>
    <t>Anchortext 084</t>
  </si>
  <si>
    <t>URL 084 (bài đặt link)</t>
  </si>
  <si>
    <t>Anchortext 085</t>
  </si>
  <si>
    <t>URL 085 (bài đặt link)</t>
  </si>
  <si>
    <t>Anchortext 086</t>
  </si>
  <si>
    <t>URL 086 (bài đặt link)</t>
  </si>
  <si>
    <t>Anchortext 087</t>
  </si>
  <si>
    <t>URL 087 (bài đặt link)</t>
  </si>
  <si>
    <t>Anchortext 088</t>
  </si>
  <si>
    <t>https://techcombank.com/thong-tin/blog/cach-su-dung-the-tin-dung</t>
  </si>
  <si>
    <t>URL 088 (bài đặt link)</t>
  </si>
  <si>
    <t>4. 4 cách dùng thẻ tín dụng thông thái</t>
  </si>
  <si>
    <t>Anchortext 089</t>
  </si>
  <si>
    <t>Tận dụng chính sách trả góp với lãi suất từ 0%, khách hàng sẽ được hưởng lợi rất nhiều so với các hình thức mua trả góp thông thường</t>
  </si>
  <si>
    <t>URL 089 (bài đặt link)</t>
  </si>
  <si>
    <t>Thêm ngay sau đoạn này: «Với khoản lớn như mua ô tô, bạn có thể tìm hiểu mua xe trả góp lãi suất bao nhiêu để so sánh các phương án.»</t>
  </si>
  <si>
    <t>Anchortext 090</t>
  </si>
  <si>
    <t>URL 090 (bài đặt link)</t>
  </si>
  <si>
    <t>Anchortext 091</t>
  </si>
  <si>
    <t>URL 091 (bài đặt link)</t>
  </si>
  <si>
    <t>Anchortext 092</t>
  </si>
  <si>
    <t>URL 092 (bài đặt link)</t>
  </si>
  <si>
    <t>Anchortext 093</t>
  </si>
  <si>
    <t>URL 093 (bài đặt link)</t>
  </si>
  <si>
    <t>Anchortext 094</t>
  </si>
  <si>
    <t>URL 094 (bài đặt link)</t>
  </si>
  <si>
    <t>Anchortext 095</t>
  </si>
  <si>
    <t>URL 095 (bài đặt link)</t>
  </si>
  <si>
    <t>Anchortext 096</t>
  </si>
  <si>
    <t>https://techcombank.com/thong-tin/blog/nop-thue-dat-qua-ngan-hang</t>
  </si>
  <si>
    <t>URL 096 (bài đặt link)</t>
  </si>
  <si>
    <t>cách nộp thuế đất online</t>
  </si>
  <si>
    <t>https://techcombank.com/thong-tin/blog/cach-nop-thue-dien-tu</t>
  </si>
  <si>
    <t>Anchortext 097</t>
  </si>
  <si>
    <t>3.5. Quyết toán thuế TNDN</t>
  </si>
  <si>
    <t>URL 097 (bài đặt link)</t>
  </si>
  <si>
    <t>Bài viết trên đã hướng dẫn chi tiết cách kê khai thuế thu nhập cá nhân trực tuyến, kê khai thuế đối với hộ kinh doanh, đăng ký nộp thuế điện tử cho doanh nghiệp…</t>
  </si>
  <si>
    <t>Anchortext 098</t>
  </si>
  <si>
    <t>Thêm ngay sau đoạn này: «Với các khoản thuế khác như thuế đất, bạn có thể tham khảo cách nộp thuế đất online qua ngân hàng.»</t>
  </si>
  <si>
    <t>URL 098 (bài đặt link)</t>
  </si>
  <si>
    <t>Anchortext 099</t>
  </si>
  <si>
    <t>URL 099 (bài đặt link)</t>
  </si>
  <si>
    <t>Anchortext 100</t>
  </si>
  <si>
    <t>URL 100 (bài đặt link)</t>
  </si>
  <si>
    <t>Anchortext 101</t>
  </si>
  <si>
    <t>URL 101 (bài đặt link)</t>
  </si>
  <si>
    <t>Anchortext 102</t>
  </si>
  <si>
    <t>URL 102 (bài đặt link)</t>
  </si>
  <si>
    <t>Anchortext 103</t>
  </si>
  <si>
    <t>URL 103 (bài đặt link)</t>
  </si>
  <si>
    <t>Anchortext 104</t>
  </si>
  <si>
    <t>URL 104 (bài đặt link)</t>
  </si>
  <si>
    <t>Anchortext 105</t>
  </si>
  <si>
    <t>URL 105 (bài đặt link)</t>
  </si>
  <si>
    <t>Anchortext 106</t>
  </si>
  <si>
    <t>URL 106 (bài đặt link)</t>
  </si>
  <si>
    <t>Anchortext 107</t>
  </si>
  <si>
    <t>https://techcombank.com/thong-tin/blog/tin-dung-doanh-nghiep</t>
  </si>
  <si>
    <t>URL 107 (bài đặt link)</t>
  </si>
  <si>
    <t>4. Lưu ý khi đăng ký tín dụng doanh nghiệp tại ngân hàng</t>
  </si>
  <si>
    <t>Anchortext 108</t>
  </si>
  <si>
    <t>URL 108 (bài đặt link)</t>
  </si>
  <si>
    <t>Đồng thời, để quản lý tài chính minh bạch, doanh nghiệp nên thực hiện nộp thuế và các khoản nghĩa vụ nhà nước qua tài khoản nộp ngân sách nhà nước…</t>
  </si>
  <si>
    <t>Thêm dòng sau đoạn: «Xem thêm: cách nộp thuế đất online qua ngân hàng»</t>
  </si>
  <si>
    <t>Anchortext 109</t>
  </si>
  <si>
    <t>https://techcombank.com/thong-tin/blog/1-cmnd-dang-ky-duoc-may-tai-khoan-ngan-hang</t>
  </si>
  <si>
    <t>URL 109 (bài đặt link)</t>
  </si>
  <si>
    <t>Anchortext 110</t>
  </si>
  <si>
    <t>URL 110 (bài đặt link)</t>
  </si>
  <si>
    <t>Anchortext 111</t>
  </si>
  <si>
    <t>URL 111 (bài đặt link)</t>
  </si>
  <si>
    <t>Anchortext 112</t>
  </si>
  <si>
    <t>URL 112 (bài đặt link)</t>
  </si>
  <si>
    <t>Anchortext 113</t>
  </si>
  <si>
    <t>URL 113 (bài đặt link)</t>
  </si>
  <si>
    <t>Anchortext 114</t>
  </si>
  <si>
    <t>URL 114 (bài đặt link)</t>
  </si>
  <si>
    <t>Anchortext 115</t>
  </si>
  <si>
    <t>URL 115 (bài đặt link)</t>
  </si>
  <si>
    <t>Anchortext 116</t>
  </si>
  <si>
    <t>URL 116 (bài đặt link)</t>
  </si>
  <si>
    <t>Anchortext 117</t>
  </si>
  <si>
    <t>URL 117 (bài đặt link)</t>
  </si>
  <si>
    <t>Anchortext 118</t>
  </si>
  <si>
    <t>URL 118 (bài đặt link)</t>
  </si>
  <si>
    <t>Anchortext 119</t>
  </si>
  <si>
    <t>URL 119 (bài đặt link)</t>
  </si>
  <si>
    <t>Anchortext 120</t>
  </si>
  <si>
    <t>URL 120 (bài đặt link)</t>
  </si>
  <si>
    <t>Anchortext 121</t>
  </si>
  <si>
    <t>https://techcombank.com/thong-tin/blog/app-vay-tien-nhanh</t>
  </si>
  <si>
    <t>URL 121 (bài đặt link)</t>
  </si>
  <si>
    <t>https://techcombank.com/thong-tin/blog/cach-lay-lai-tien-da-chuyen-khoan-khi-bi-lua</t>
  </si>
  <si>
    <t>Unsecured Loan</t>
  </si>
  <si>
    <t>Anchortext 122</t>
  </si>
  <si>
    <t>4.4. Lừa đảo qua website</t>
  </si>
  <si>
    <t>URL 122 (bài đặt link)</t>
  </si>
  <si>
    <t>Lập các trang web giả mạo: Giả mạo trang thông tin thuế điện tử, bảo hiểm xã hội, bộ Công an, website bán vé…</t>
  </si>
  <si>
    <t>Anchortext 123</t>
  </si>
  <si>
    <t>Thêm ngay sau đoạn này: «Khi cần thực hiện nghĩa vụ thuế, bạn chỉ nên làm theo cách nộp thuế đất online qua cổng thông tin chính thức hoặc ứng dụng ngân hàng.»</t>
  </si>
  <si>
    <t>URL 123 (bài đặt link)</t>
  </si>
  <si>
    <t>Anchortext 124</t>
  </si>
  <si>
    <t>URL 124 (bài đặt link)</t>
  </si>
  <si>
    <t>Chủ đề lệch nhẹ</t>
  </si>
  <si>
    <t>Anchortext 125</t>
  </si>
  <si>
    <t>URL 125 (bài đặt link)</t>
  </si>
  <si>
    <t>Anchortext 126</t>
  </si>
  <si>
    <t>URL 126 (bài đặt link)</t>
  </si>
  <si>
    <t>Anchortext 127</t>
  </si>
  <si>
    <t>URL 127 (bài đặt link)</t>
  </si>
  <si>
    <t>Anchortext 128</t>
  </si>
  <si>
    <t>URL 128 (bài đặt link)</t>
  </si>
  <si>
    <t>Anchortext 129</t>
  </si>
  <si>
    <t>URL 129 (bài đặt link)</t>
  </si>
  <si>
    <t>Anchortext 130</t>
  </si>
  <si>
    <t>URL 130 (bài đặt link)</t>
  </si>
  <si>
    <t>Anchortext 131</t>
  </si>
  <si>
    <t>đóng thuế đất online</t>
  </si>
  <si>
    <t>URL 131 (bài đặt link)</t>
  </si>
  <si>
    <t>https://techcombank.com/thong-tin/blog/thue-thu-nhap-ca-nhan</t>
  </si>
  <si>
    <t>Anchortext 132</t>
  </si>
  <si>
    <t>6.2. Nâng mức giảm trừ gia cảnh thuế TNCN</t>
  </si>
  <si>
    <t>URL 132 (bài đặt link)</t>
  </si>
  <si>
    <t>Bài viết trên đã giải đáp thuế thu nhập cá nhân là gì và hướng dẫn chi tiết cách tính thuế thu nhập cá nhân và cách đóng thuế thu nhập cá nhân 2026 online nhanh chóng.</t>
  </si>
  <si>
    <t>Anchortext 133</t>
  </si>
  <si>
    <t>Thêm ngay sau đoạn này: «Ngoài thuế TNCN, bạn cũng có thể tham khảo cách đóng thuế đất online qua ngân hàng.»</t>
  </si>
  <si>
    <t>URL 133 (bài đặt link)</t>
  </si>
  <si>
    <t>Anchortext 134</t>
  </si>
  <si>
    <t>URL 134 (bài đặt link)</t>
  </si>
  <si>
    <t>Anchortext 135</t>
  </si>
  <si>
    <t>URL 135 (bài đặt link)</t>
  </si>
  <si>
    <t>Anchortext 136</t>
  </si>
  <si>
    <t>URL 136 (bài đặt link)</t>
  </si>
  <si>
    <t>Anchortext 137</t>
  </si>
  <si>
    <t>URL 137 (bài đặt link)</t>
  </si>
  <si>
    <t>Anchortext 138</t>
  </si>
  <si>
    <t>URL 138 (bài đặt link)</t>
  </si>
  <si>
    <t>Anchortext 139</t>
  </si>
  <si>
    <t>URL 139 (bài đặt link)</t>
  </si>
  <si>
    <t>Anchortext 140</t>
  </si>
  <si>
    <t>URL 140 (bài đặt link)</t>
  </si>
  <si>
    <t>Anchortext 141</t>
  </si>
  <si>
    <t>URL 141 (bài đặt link)</t>
  </si>
  <si>
    <t>https://techcombank.com/thong-tin/blog/phat-cham-dang-ky-thue-ho-kinh-doanh</t>
  </si>
  <si>
    <t>Anchortext 142</t>
  </si>
  <si>
    <t>4. Hộ kinh doanh nên làm gì để tránh bị phạt?</t>
  </si>
  <si>
    <t>URL 142 (bài đặt link)</t>
  </si>
  <si>
    <t>Tra cứu nghĩa vụ thuế: Tất cả nghĩa vụ thuế, nghĩa vụ tài chính về đất đai, LPTB phương tiện)</t>
  </si>
  <si>
    <t>Anchortext 143</t>
  </si>
  <si>
    <t>Thêm dòng sau đoạn: «Xem thêm: Cách đóng thuế đất online qua ngân hàng»</t>
  </si>
  <si>
    <t>URL 143 (bài đặt link)</t>
  </si>
  <si>
    <t>Anchortext 144</t>
  </si>
  <si>
    <t>Gạch đầu dòng tính năng – dùng Xem thêm</t>
  </si>
  <si>
    <t>URL 144 (bài đặt link)</t>
  </si>
  <si>
    <t>Anchortext 145</t>
  </si>
  <si>
    <t>URL 145 (bài đặt link)</t>
  </si>
  <si>
    <t>Anchortext 146</t>
  </si>
  <si>
    <t>URL 146 (bài đặt link)</t>
  </si>
  <si>
    <t>Anchortext 147</t>
  </si>
  <si>
    <t>URL 147 (bài đặt link)</t>
  </si>
  <si>
    <t>Anchortext 148</t>
  </si>
  <si>
    <t>URL 148 (bài đặt link)</t>
  </si>
  <si>
    <t>Anchortext 149</t>
  </si>
  <si>
    <t>URL 149 (bài đặt link)</t>
  </si>
  <si>
    <t>Anchortext 150</t>
  </si>
  <si>
    <t>URL 150 (bài đặt link)</t>
  </si>
  <si>
    <t>Anchortext 151</t>
  </si>
  <si>
    <t>nộp thuế đất online</t>
  </si>
  <si>
    <t>https://techcombank.com/thong-tin/blog/khach-hang-vip-bat-dong-san</t>
  </si>
  <si>
    <t>URL 151 (bài đặt link)</t>
  </si>
  <si>
    <t>2.2. Nhóm đặc quyền vận hành tài sản</t>
  </si>
  <si>
    <t>Anchortext 152</t>
  </si>
  <si>
    <t>Một bất động sản cao cấp cần một quy trình vận hành chuẩn mực để duy trì giá trị tài sản dài hạn.</t>
  </si>
  <si>
    <t>URL 152 (bài đặt link)</t>
  </si>
  <si>
    <t>Thêm ngay sau đoạn này: «Ngoài chi phí vận hành, chủ sở hữu cũng có thể tham khảo cách nộp thuế đất online để thực hiện nghĩa vụ thuận tiện hơn.»</t>
  </si>
  <si>
    <t>Anchortext 153</t>
  </si>
  <si>
    <t>URL 153 (bài đặt link)</t>
  </si>
  <si>
    <t>Anchortext 154</t>
  </si>
  <si>
    <t>URL 154 (bài đặt link)</t>
  </si>
  <si>
    <t>Anchortext 155</t>
  </si>
  <si>
    <t>https://techcombank.com/thong-tin/blog/cach-tinh-lai-suat-tien-gui-tiet-kiem</t>
  </si>
  <si>
    <t>URL 155 (bài đặt link)</t>
  </si>
  <si>
    <t>Anchortext 156</t>
  </si>
  <si>
    <t>URL 156 (bài đặt link)</t>
  </si>
  <si>
    <t>Anchortext 157</t>
  </si>
  <si>
    <t>URL 157 (bài đặt link)</t>
  </si>
  <si>
    <t>Anchortext 158</t>
  </si>
  <si>
    <t>URL 158 (bài đặt link)</t>
  </si>
  <si>
    <t>Anchortext 159</t>
  </si>
  <si>
    <t>URL 159 (bài đặt link)</t>
  </si>
  <si>
    <t>https://techcombank.com/thong-tin/blog/cach-tinh-thue-thu-nhap-ca-nhan-2025</t>
  </si>
  <si>
    <t>Anchortext 160</t>
  </si>
  <si>
    <t>4.3. Làm thế nào để nhận hoàn thuế thu nhập cá nhân (TNCN) 2026?</t>
  </si>
  <si>
    <t>https://techcombank.com/thong-tin/blog/1-do-uc-bang-bao-nhieu-tien-viet</t>
  </si>
  <si>
    <t>URL 160 (bài đặt link)</t>
  </si>
  <si>
    <t>Việc nắm rõ cách tính thuế thu nhập cá nhân (TNCN) 2026 và đóng thuế thu nhập cá nhân đúng hạn giúp người lao động không chỉ thực hiện đúng nghĩa vụ với Nhà nước…</t>
  </si>
  <si>
    <t>Anchortext 161</t>
  </si>
  <si>
    <t>Thêm ngay sau đoạn này: «Ngoài thuế TNCN, bạn cũng có thể nộp thuế đất online qua ngân hàng nhanh chóng.»</t>
  </si>
  <si>
    <t>URL 161 (bài đặt link)</t>
  </si>
  <si>
    <t>Chủ đề lệch nhẹ – đặt ở kết bài</t>
  </si>
  <si>
    <t>Anchortext 162</t>
  </si>
  <si>
    <t>URL 162 (bài đặt link)</t>
  </si>
  <si>
    <t>Anchortext 163</t>
  </si>
  <si>
    <t>URL 163 (bài đặt link)</t>
  </si>
  <si>
    <t>Anchortext 164</t>
  </si>
  <si>
    <t>URL 164 (bài đặt link)</t>
  </si>
  <si>
    <t>Anchortext 165</t>
  </si>
  <si>
    <t>URL 165 (bài đặt link)</t>
  </si>
  <si>
    <t>Anchortext 166</t>
  </si>
  <si>
    <t>URL 166 (bài đặt link)</t>
  </si>
  <si>
    <t>https://techcombank.com/thong-tin/blog/luu-y-khi-chuyen-tien-vao-tai-khoan-cong-ty</t>
  </si>
  <si>
    <t>Anchortext 167</t>
  </si>
  <si>
    <t>3. Tìm hiểu quy định của ngân hàng liên quan đến việc chuyển tiền vào tài khoản công ty</t>
  </si>
  <si>
    <t>URL 167 (bài đặt link)</t>
  </si>
  <si>
    <t>Bên cạnh đó, doanh nghiệp cũng nên lưu ý quy định khi nộp tiền vào ngân sách nhà nước qua ngân hàng , đặc biệt với các khoản thuế, phí cần thanh toán đúng hạn để tránh phát sinh chậm nộp.</t>
  </si>
  <si>
    <t>Thêm ngay sau đoạn này: «Với cá nhân, có thể tham khảo thêm cách nộp thuế đất online qua ngân hàng.»</t>
  </si>
  <si>
    <t>Anchortext 168</t>
  </si>
  <si>
    <t>URL 168 (bài đặt link)</t>
  </si>
  <si>
    <t>Anchortext 169</t>
  </si>
  <si>
    <t>URL 169 (bài đặt link)</t>
  </si>
  <si>
    <t>Anchortext 170</t>
  </si>
  <si>
    <t>URL 170 (bài đặt link)</t>
  </si>
  <si>
    <t>Anchortext 171</t>
  </si>
  <si>
    <t>URL 171 (bài đặt link)</t>
  </si>
  <si>
    <t>Anchortext 172</t>
  </si>
  <si>
    <t>URL 172 (bài đặt link)</t>
  </si>
  <si>
    <t>Anchortext 173</t>
  </si>
  <si>
    <t>URL 173 (bài đặt link)</t>
  </si>
  <si>
    <t>nộp thuế online</t>
  </si>
  <si>
    <t>Anchortext 174</t>
  </si>
  <si>
    <t>https://techcombank.com/thong-tin/blog/dang-ky-thue-ho-kinh-doanh-ca-the-online</t>
  </si>
  <si>
    <t>URL 174 (bài đặt link)</t>
  </si>
  <si>
    <t>2. Cách đăng ký tài khoản thuế hộ kinh doanh online trên Thuế điện tử và eTax Mobile</t>
  </si>
  <si>
    <t>Anchortext 175</t>
  </si>
  <si>
    <t>Sau khi được cấp mã số thuế, hộ kinh doanh nên đăng ký tài khoản Thuế điện tử và eTax Mobile để tra cứu và thực hiện các nghĩa vụ thuế như kê khai thuế, nộp thuế online…</t>
  </si>
  <si>
    <t>URL 175 (bài đặt link)</t>
  </si>
  <si>
    <t>Bôi đen cụm «nộp thuế online» trong câu trên, gắn link.</t>
  </si>
  <si>
    <t>Anchortext 176</t>
  </si>
  <si>
    <t>URL 176 (bài đặt link)</t>
  </si>
  <si>
    <t>Anchortext 177</t>
  </si>
  <si>
    <t>URL 177 (bài đặt link)</t>
  </si>
  <si>
    <t>Anchortext 178</t>
  </si>
  <si>
    <t>URL 178 (bài đặt link)</t>
  </si>
  <si>
    <t>Anchortext 179</t>
  </si>
  <si>
    <t>URL 179 (bài đặt link)</t>
  </si>
  <si>
    <t>Anchortext 180</t>
  </si>
  <si>
    <t>URL 180 (bài đặt link)</t>
  </si>
  <si>
    <t>Anchortext 181</t>
  </si>
  <si>
    <t>URL 181 (bài đặt link)</t>
  </si>
  <si>
    <t>4.2. Nộp thuế thu nhập cá nhân năm 2026 như thế nào?</t>
  </si>
  <si>
    <t>Anchortext 182</t>
  </si>
  <si>
    <t>Sau khi đã nộp hồ sơ tra cứu thông tin quyết toán, bạn có thể nộp hay đóng thuế thu nhập cá nhân theo hướng dẫn dưới đây:</t>
  </si>
  <si>
    <t>Thêm dòng sau đoạn: «Xem thêm: cách nộp thuế online trên eTax Mobile nhanh, đơn giản»</t>
  </si>
  <si>
    <t>URL 182 (bài đặt link)</t>
  </si>
  <si>
    <t>Anchortext 183</t>
  </si>
  <si>
    <t>Đoạn dẫn vào các bước – dùng Xem thêm</t>
  </si>
  <si>
    <t>URL 183 (bài đặt link)</t>
  </si>
  <si>
    <t>Anchortext 184</t>
  </si>
  <si>
    <t>URL 184 (bài đặt link)</t>
  </si>
  <si>
    <t>Anchortext 185</t>
  </si>
  <si>
    <t>URL 185 (bài đặt link)</t>
  </si>
  <si>
    <t>Anchortext 186</t>
  </si>
  <si>
    <t>URL 186 (bài đặt link)</t>
  </si>
  <si>
    <t>nộp thuế hộ trên etax</t>
  </si>
  <si>
    <t>https://techcombank.com/thong-tin/blog/lien-ket-tai-khoan-ngan-hang-voi-etax-mobile</t>
  </si>
  <si>
    <t>Anchortext 187</t>
  </si>
  <si>
    <t>3.3. eTax Mobile liên kết với ngân hàng nào?</t>
  </si>
  <si>
    <t>https://techcombank.com/cong-cu-tien-ich/cong-cu-tinh-toan/bang-tinh-lai-suat-vay</t>
  </si>
  <si>
    <t>Liên kết tài khoản ngân hàng với eTax Mobile giúp người nộp thuế thực hiện nghĩa vụ thuế nhanh chóng, thuận tiện và an toàn ngay trên điện thoại.</t>
  </si>
  <si>
    <t>Tool</t>
  </si>
  <si>
    <t>URL 187 (bài đặt link)</t>
  </si>
  <si>
    <t>Thêm ngay sau đoạn này: «Ngoài nộp thuế cho bản thân, người dùng có thể tham khảo cách nộp thuế hộ trên etax cho người thân.»</t>
  </si>
  <si>
    <t>Anchortext 188</t>
  </si>
  <si>
    <t>URL 188 (bài đặt link)</t>
  </si>
  <si>
    <t>Anchortext 189</t>
  </si>
  <si>
    <t>URL 189 (bài đặt link)</t>
  </si>
  <si>
    <t>Anchortext 190</t>
  </si>
  <si>
    <t>URL 190 (bài đặt link)</t>
  </si>
  <si>
    <t>Anchortext 191</t>
  </si>
  <si>
    <t>URL 191 (bài đặt link)</t>
  </si>
  <si>
    <t>Anchortext 192</t>
  </si>
  <si>
    <t>URL 192 (bài đặt link)</t>
  </si>
  <si>
    <t>Anchortext 193</t>
  </si>
  <si>
    <t>URL 193 (bài đặt link)</t>
  </si>
  <si>
    <t>https://techcombank.com/thong-tin/blog/kiem-tra-thue-ho-kinh-doanh</t>
  </si>
  <si>
    <t>4.2. Kiểm tra thuế hộ kinh doanh trên điện thoại được không?</t>
  </si>
  <si>
    <t>Anchortext 194</t>
  </si>
  <si>
    <t>Có. Hộ kinh doanh có thể sử dụng ứng dụng eTax Mobile để kiểm tra thông tin đăng ký thuế, tra cứu nghĩa vụ thuế và theo dõi các khoản thuế còn phải nộp ngay trên điện thoại.</t>
  </si>
  <si>
    <t>Thêm ngay sau đoạn này: «Nếu còn khoản phải nộp, bạn có thể xem hướng dẫn nộp thuế hộ trên etax để hoàn tất ngay trên ứng dụng.»</t>
  </si>
  <si>
    <t>URL 194 (bài đặt link)</t>
  </si>
  <si>
    <t>Anchortext 195</t>
  </si>
  <si>
    <t>Có thể viết hoa eTax</t>
  </si>
  <si>
    <t>URL 195 (bài đặt link)</t>
  </si>
  <si>
    <t>Anchortext 196</t>
  </si>
  <si>
    <t>URL 196 (bài đặt link)</t>
  </si>
  <si>
    <t>Anchortext 197</t>
  </si>
  <si>
    <t>URL 197 (bài đặt link)</t>
  </si>
  <si>
    <t>Anchortext 198</t>
  </si>
  <si>
    <t>URL 198 (bài đặt link)</t>
  </si>
  <si>
    <t>Anchortext 199</t>
  </si>
  <si>
    <t>https://techcombank.com/thong-tin/blog/thue-thuong-mai-dien-tu</t>
  </si>
  <si>
    <t>3.3. Nộp thuế hộ kinh doanh</t>
  </si>
  <si>
    <t>URL 199 (bài đặt link)</t>
  </si>
  <si>
    <t>Người nộp thuế có thể tra cứu kết quả nộp thuế, giấy nộp tiền, nghĩa vụ thuế… ngay trên eTax Mobile hoặc cổng Thuế điện tử.</t>
  </si>
  <si>
    <t>Thêm ngay sau đoạn này: «Bạn có thể xem hướng dẫn chi tiết cách nộp thuế hộ trên etax để thao tác nhanh chóng.»</t>
  </si>
  <si>
    <t>Anchortext 200</t>
  </si>
  <si>
    <t>URL 200 (bài đặt link)</t>
  </si>
  <si>
    <t>https://techcombank.com/thong-tin/blog/ho-kinh-doanh-dong-thue-nhu-nao</t>
  </si>
  <si>
    <t>3.2. Khai thuế hộ kinh doanh</t>
  </si>
  <si>
    <t>Hộ kinh doanh, cá nhân kinh doanh có thể nộp tờ khai thuế qua ứng dụng eTax Mobile hoặc Trang thông tin điện tử của Cục Thuế…</t>
  </si>
  <si>
    <t>Thêm ngay sau đoạn này: «Sau khi kê khai, bạn có thể xem hướng dẫn nộp thuế hộ trên etax để hoàn tất nghĩa vụ thuế.»</t>
  </si>
  <si>
    <t>Auto Loan</t>
  </si>
  <si>
    <t>Anchor hơi gượng, có thể viết hoa eTax</t>
  </si>
  <si>
    <t>https://techcombank.com/thong-tin/blog/1-dong-do-la-my-bang-bao-nhieu-tien-viet-nam</t>
  </si>
  <si>
    <t>https://techcombank.com/thong-tin/blog/tim-hieu-ve-chinh-sach-thue-moi</t>
  </si>
  <si>
    <t>3.2. Kê khai và nộp thuế</t>
  </si>
  <si>
    <t>Hộ kinh doanh và doanh nghiệp nhỏ hiện có nhiều lựa chọn thuận tiện khi kê khai và nộp thuế:</t>
  </si>
  <si>
    <t>Thêm dòng sau đoạn: «Xem thêm: hướng dẫn nộp thuế hộ trên etax»</t>
  </si>
  <si>
    <t>Đoạn dẫn danh sách – dùng Xem thêm</t>
  </si>
  <si>
    <t>Business Account</t>
  </si>
  <si>
    <t>https://techcombank.com/thong-tin/blog/hoa-don-dien-tu</t>
  </si>
  <si>
    <t>1.2. Khó khăn trong việc xác định doanh thu trên các nền tảng số</t>
  </si>
  <si>
    <t>Doanh thu phát sinh ngoài sàn (ví dụ: cửa hàng truyền thống, kênh mạng xã hội không tích hợp) vẫn do hộ kinh doanh tự kê khai và nộp thuế theo quy định</t>
  </si>
  <si>
    <t>https://techcombank.com/thong-tin/blog/tra-cuu-ma-so-thue-ho-kinh-doanh</t>
  </si>
  <si>
    <t>1. Cách 1: Tra cứu mã số thuế hộ kinh doanh trên eTax Mobile</t>
  </si>
  <si>
    <t>Tra cứu mã số thuế hộ kinh doanh trên eTax Mobile.</t>
  </si>
  <si>
    <t>https://techcombank.com/thong-tin/blog/khai-bao-tai-khoan-ngan-hang-voi-co-quan-thue</t>
  </si>
  <si>
    <t>3. Hướng dẫn hộ kinh doanh khai báo tài khoản ngân hàng với cơ quan thuế</t>
  </si>
  <si>
    <t>Chủ hộ kinh doanh có thể linh hoạt lựa chọn thực hiện trên máy tính qua Dịch vụ công Tổng cục Thuế hoặc thao tác nhanh trên điện thoại qua ứng dụng eTax Mobile.</t>
  </si>
  <si>
    <t>Thêm ngay sau đoạn này: «Sau khi khai báo, bạn có thể tham khảo hướng dẫn nộp thuế hộ trên etax để hoàn thành nghĩa vụ thuế.»</t>
  </si>
  <si>
    <t>https://techcombank.com/cong-cu-tien-ich/cong-cu-tinh-toan/bang-tinh-lai-suat-tiet-kiem</t>
  </si>
  <si>
    <t>https://techcombank.com/thong-tin/blog/luat-thuong-mai-dien-tu</t>
  </si>
  <si>
    <t>5. Doanh nghiệp, hộ kinh doanh online cần làm gì?</t>
  </si>
  <si>
    <t>Rà soát nghĩa vụ thuế: xác định hoạt động của mình thuộc diện được sàn khấu trừ, nộp thuế thay hay phải tự đăng ký, kê khai, nộp thuế trực tiếp.</t>
  </si>
  <si>
    <t>Thêm dòng sau đoạn: «Xem thêm: Cách nộp thuế hộ trên etax nhanh, đơn giản»</t>
  </si>
  <si>
    <t>Gạch đầu dòng – dùng Xem thêm</t>
  </si>
  <si>
    <t>https://techcombank.com/thong-tin/blog/thue-khoan-ho-kinh-doanh-la-gi</t>
  </si>
  <si>
    <t>7. Techcombank đồng hành cùng hộ kinh doanh tuân thủ và làm đúng các nghĩa vụ thuế</t>
  </si>
  <si>
    <t>Việc nắm rõ thuế khoán hộ kinh doanh là gì và các loại thuế phải nộp, cách tính thuế sẽ giúp hộ kinh doanh thực hiện đúng nghĩa vụ…</t>
  </si>
  <si>
    <t>Thêm ngay sau đoạn này: «Hộ kinh doanh có thể tham khảo cách nộp thuế hộ trên etax để thực hiện nghĩa vụ thuế nhanh chóng.»</t>
  </si>
  <si>
    <t>https://techcombank.com/thong-tin/blog/lai-suat-vay-ngan-hang</t>
  </si>
  <si>
    <t>Chưa hoàn thành</t>
  </si>
  <si>
    <t>https://techcombank.com/thong-tin/blog/1-euro-bang-bao-nhieu-tien-viet</t>
  </si>
  <si>
    <t>https://techcombank.com/thong-tin/blog/ho-kinh-doanh-la-gi</t>
  </si>
  <si>
    <t>6. Kể từ 1/1/2026, hộ kinh doanh đó​ng ​thuế như thế nào?</t>
  </si>
  <si>
    <t>Người nộp thuế có thể tra cứu kết quả nộp thuế, giấy nộp tiền, nghĩa vụ thuế, thông báo từ cơ quan thuế để đảm bảo không phát sinh nợ thuế ngay trên eTax Mobile hoặc cổng Thuế điện tử.</t>
  </si>
  <si>
    <t>Thêm ngay sau đoạn này: «Nếu lần đầu thao tác, bạn có thể xem hướng dẫn nộp thuế hộ trên etax từng bước.»</t>
  </si>
  <si>
    <t>https://techcombank.com/thong-tin/blog/ke-khai-thue-ho-kinh-doanh-ca-the-online</t>
  </si>
  <si>
    <t>2. Hướng dẫn kê khai thuế hộ kinh doanh cá thể online trên Cổng Thuế điện tử</t>
  </si>
  <si>
    <t>Cổng Dịch vụ công của Cục thuế giúp hộ kinh doanh nộp trực tuyến các hồ sơ kê khai.</t>
  </si>
  <si>
    <t>Thêm ngay sau đoạn này: «Sau khi kê khai, bạn có thể tham khảo cách nộp thuế online để hoàn tất nghĩa vụ thuế.»</t>
  </si>
  <si>
    <t>https://techcombank.com/thong-tin/blog/hoan-thue-thu-nhap-ca-nhan</t>
  </si>
  <si>
    <t>2.9. Bước 8: Nhận thông báo xác nhận từ cơ quan thuế</t>
  </si>
  <si>
    <t>Sau khi nộp tờ khai thành công, bạn sẽ nhận được thông báo xác nhận từ cơ quan thuế qua ứng dụng hoặc email đã đăng ký.</t>
  </si>
  <si>
    <t>Thêm dòng sau đoạn: «Xem thêm: cách nộp thuế online trên eTax Mobile nếu phát sinh số thuế phải nộp thêm»</t>
  </si>
  <si>
    <t>Mục các bước – dùng Xem thêm</t>
  </si>
  <si>
    <t>https://techcombank.com/thong-tin/blog/thue-thu-nhap-doanh-nghiep</t>
  </si>
  <si>
    <t>https://techcombank.com/thong-tin/blog/1-man-bang-bao-nhieu-tien-viet</t>
  </si>
  <si>
    <t>https://techcombank.com/thong-tin/blog/truy-thu-thue-ho-kinh-doanh</t>
  </si>
  <si>
    <t>7.5. Không xuất hóa đơn có bị truy thu thuế không?</t>
  </si>
  <si>
    <t>Việc chủ động kê khai trung thực, lưu trữ đầy đủ chứng từ và thực hiện đúng quy định về thuế sẽ giúp hạn chế các rủi ro phát sinh trong quá trình hoạt độ…</t>
  </si>
  <si>
    <t>Thêm ngay sau đoạn này: «Hộ kinh doanh có thể nộp thuế online qua eTax Mobile để chủ động hoàn thành nghĩa vụ đúng hạn.»</t>
  </si>
  <si>
    <t>https://techcombank.com/thong-tin/blog/kinh-doanh-online</t>
  </si>
  <si>
    <t>5.3. Các loại thuế cần đóng khi kinh doanh online?</t>
  </si>
  <si>
    <t>Các loại thuế người kinh doanh online cần nộp bao gồm:</t>
  </si>
  <si>
    <t>Thêm dòng sau đoạn: «Xem thêm: hướng dẫn nộp thuế online trên eTax Mobile»</t>
  </si>
  <si>
    <t>Đặt sau danh sách</t>
  </si>
  <si>
    <t>3.1. Nộp thuế đất online trên eTax Mobile</t>
  </si>
  <si>
    <t>Để đóng thuế đất online qua eTax Mobile, khách hàng có thể thực hiện các bước sau:</t>
  </si>
  <si>
    <t>Sửa câu thành: «Để nộp thuế online cho thuế đất qua eTax Mobile, khách hàng có thể thực hiện các bước sau:»</t>
  </si>
  <si>
    <t>https://techcombank.com/thong-tin/blog/cach-tinh-tien-dien-sinh-hoat</t>
  </si>
  <si>
    <t>CASA</t>
  </si>
  <si>
    <t>https://techcombank.com/thong-tin/blog/dong-ma-so-thue-ho-kinh-doanh</t>
  </si>
  <si>
    <t>7.2. Còn nợ thuế có đóng mã số thuế được không?</t>
  </si>
  <si>
    <t>Trường hợp còn nợ thuế hoặc chưa hoàn thành hồ sơ khai thuế theo quy định, cơ quan thuế sẽ tiếp tục theo dõi và yêu cầu người nộp thuế thực hiện đầy đủ nghĩa vụ trước khi hoàn tất thủ tục.</t>
  </si>
  <si>
    <t>Thêm ngay sau đoạn này: «Hộ kinh doanh có thể nộp thuế online để hoàn tất nghĩa vụ nhanh chóng trước khi làm thủ tục.»</t>
  </si>
  <si>
    <t>https://techcombank.com/thong-tin/blog/one-stop-shop</t>
  </si>
  <si>
    <t>3. Lợi ích hộ kinh doanh nhận được khi mở Tài khoản Hộ kinh doanh theo mô hình One-Stop Sh</t>
  </si>
  <si>
    <t>NHIỀU ƯU ĐÃI THUẾ, HOÁ ĐƠN ĐIỆN TỬ như miễn phí 5,000 hoá đơn điện tử, … miễn phí 3 tháng kê khai thuế và nộp thuế trực tiếp qua ứng dụng​…</t>
  </si>
  <si>
    <t>Thêm dòng sau đoạn: «Xem thêm: Cách nộp thuế online trên eTax Mobile»</t>
  </si>
  <si>
    <t>Gạch đầu dòng có số liệu – dùng Xem thêm</t>
  </si>
  <si>
    <t>https://techcombank.com/thong-tin/blog/top-phan-mem-ban-hang</t>
  </si>
  <si>
    <t>1. Techcombank T-Shop - Phần mềm bán hàng, xuất hóa đơn ngay trên điện thoại</t>
  </si>
  <si>
    <t>Miễn phí 3 tháng kê khai thuế và nộp thuế trực tiếp qua ứng dụng</t>
  </si>
  <si>
    <t>Sửa câu thành: «Miễn phí 3 tháng kê khai thuế và nộp thuế online trực tiếp qua ứng dụng»</t>
  </si>
  <si>
    <t>https://techcombank.com/thong-tin/blog/doanh-nghiep-moi-thanh-lap-duoc-uu-dai-gi</t>
  </si>
  <si>
    <t>2. Giải pháp đồng hành cho doanh nghiệp khởi sự từ Techcombank</t>
  </si>
  <si>
    <t>…khai báo thuế ban đầu, đăng ký tài khoản thuế điện tử…</t>
  </si>
  <si>
    <t>Thêm ngay sau đoạn này: «Sau khi có tài khoản thuế điện tử, doanh nghiệp có thể nộp thuế online nhanh chóng và thuận tiện.»</t>
  </si>
  <si>
    <t>Thấu hiểu điều đó, Techcombank mang đến giải pháp tài chính tối ưu giúp các chủ hộ kinh doanh tối giản hóa quy trình nộp Thuế và…</t>
  </si>
  <si>
    <t>Thêm ngay sau đoạn này: «Bạn có thể tham khảo thêm cách nộp thuế online trên eTax Mobile để chủ động hoàn thành nghĩa vụ thuế đúng hạn.»</t>
  </si>
  <si>
    <t>https://techcombank.com/thong-tin/blog/thu-tuc-thanh-lap-doanh-nghiep</t>
  </si>
  <si>
    <t>5.3 Mua chữ ký số (Token) và hóa đơn điện tử</t>
  </si>
  <si>
    <t>Chữ ký số (Token): Dùng để ký điện tử các văn bản, hồ sơ giao dịch với cơ quan nhà nước, đặc biệt là nộp tờ khai thuế trực tuyến…</t>
  </si>
  <si>
    <t>Thêm ngay sau đoạn này: «Sau khi có chữ ký số, doanh nghiệp có thể tham khảo cách nộp thuế online để thực hiện nghĩa vụ thuế nhanh chóng.»</t>
  </si>
  <si>
    <t>https://techcombank.com/thong-tin/blog/tra-cuu-no-thue-hai-quan</t>
  </si>
  <si>
    <t>4.1. Cách 1: Qua cổng thông tin của Tổng cục Hải quan</t>
  </si>
  <si>
    <t>Ngoài phương thức nộp thuế qua cổng thông tin của Tổng cục Hải quan, doanh nghiệp còn có thể thực hiện nghĩa vụ thuế nhanh chóng thông qua các nền tảng ngân hàng số.</t>
  </si>
  <si>
    <t>https://techcombank.com/thong-tin/blog/rut-tien-mat-tu-the-tin-dung</t>
  </si>
  <si>
    <t>https://techcombank.com/thong-tin/blog/1-nguoi-co-the-lam-duoc-bao-nhieu-the-atm</t>
  </si>
  <si>
    <t>Thêm dòng sau đoạn: «Xem thêm: cách nộp thuế online trên eTax Mobile»</t>
  </si>
  <si>
    <t>nộp thuế đất qua ngân hàng</t>
  </si>
  <si>
    <t>https://techcombank.com/thong-tin/blog/quyet-toan-thue-thu-nhap-ca-nhan</t>
  </si>
  <si>
    <t>5. Hướng dẫn nộp thuế thu nhập cá nhân sau khi quyết toán</t>
  </si>
  <si>
    <t>Liên kết tài khoản ngân hàng với eTax Mobile để nộp thuế thuận tiện.</t>
  </si>
  <si>
    <t>Thêm dòng sau đoạn: «Xem thêm: Cách nộp thuế hộ trên eTax Mobile»</t>
  </si>
  <si>
    <t>Anchor lạ – kiểm tra trang đích có nội dung nộp thuế hộ</t>
  </si>
  <si>
    <t>2. Cách nộp thuế thu nhập cá nhân (TNCN) trên eTax Mobile với tài khoản Techcombank</t>
  </si>
  <si>
    <t>Nộp thuế trên eTax Mobile chỉ với 1 phút thực hiện.</t>
  </si>
  <si>
    <t>Thêm ngay sau đoạn này: «Ngoài thuế TNCN, bạn cũng có thể tham khảo cách nộp thuế hộ trên etax cho người thân hoặc hộ kinh doanh.»</t>
  </si>
  <si>
    <t>Anchor “nộp thuế hộ” dễ hiểu nhầm – cân nhắc</t>
  </si>
  <si>
    <t>https://techcombank.com/thong-tin/blog/dang-ky-ma-so-thue-ca-nhan</t>
  </si>
  <si>
    <t>3.3. Trường hợp 3: Có nhiều mã số thuế khác nhau</t>
  </si>
  <si>
    <t>Liên kết eTax Mobile với Techcombank để nộp thuế/nhận hoàn thuế thuận tiện.</t>
  </si>
  <si>
    <t>Thêm dòng sau đoạn: «Xem thêm: Cách nộp thuế hộ trên eTax»</t>
  </si>
  <si>
    <t>Anchor hơi gượng; câu có thể là chú thích ảnh</t>
  </si>
  <si>
    <t>https://techcombank.com/thong-tin/blog/cach-huy-the-tin-dung</t>
  </si>
  <si>
    <t>https://techcombank.com/thong-tin/blog/khoi-nghiep-truoc-chinh-sach-thue-moi</t>
  </si>
  <si>
    <t>1. Chủ động cập nhật và tìm hiểu chính sách thuế mới</t>
  </si>
  <si>
    <t>Để kịp thời nắm bắt thông tin, doanh nghiệp nên thường xuyên theo dõi các kênh chính thống như Tổng cục Thuế và Bộ Tài chính…</t>
  </si>
  <si>
    <t>Bài cho doanh nghiệp, anchor về hộ kinh doanh</t>
  </si>
  <si>
    <t>https://techcombank.com/thong-tin/blog/tien-chuyen-vao-tai-khoan-co-bi-tinh-thue-khong</t>
  </si>
  <si>
    <t>3.2. Hướng dẫn cá nhân nộp thuế trên eTax Mobile</t>
  </si>
  <si>
    <t>Thêm ngay sau đoạn này: «Bạn cũng có thể tham khảo hướng dẫn nộp thuế hộ trên etax khi cần nộp thay cho người thân.»</t>
  </si>
  <si>
    <t>Merchant</t>
  </si>
  <si>
    <t>https://techcombank.com/thong-tin/blog/nop-thue-hai-quan</t>
  </si>
  <si>
    <t>(Mở bài)</t>
  </si>
  <si>
    <t>Nhằm đơn giản hóa thủ tục và tiết kiệm thời gian cho doanh nghiệp, hình thức nộp thuế điện tử đã và đang trở thành xu hướng phổ biến trong năm 2026.</t>
  </si>
  <si>
    <t>Thêm ngay sau đoạn này: «Với các khoản thuế nội địa của cá nhân, bạn có thể tham khảo thêm cách nộp thuế online trên eTax Mobile.»</t>
  </si>
  <si>
    <t>Bài về thuế hải quan doanh nghiệp, trang đích eTax cá nhân</t>
  </si>
  <si>
    <t>https://techcombank.com/thong-tin/blog/quyet-toan-thue-doanh-nghiep</t>
  </si>
  <si>
    <t>Bước 4: Theo dõi thông báo và nộp tiền thuế phát sinh (nếu có)</t>
  </si>
  <si>
    <t>Nếu hồ sơ được chấp nhận và có phát sinh số thuế phải nộp thêm, doanh nghiệp phải nhanh chóng nộp thuế vào Ngân sách Nhà nước để tránh bị tính tiền chậm nộp…</t>
  </si>
  <si>
    <t>Thêm dòng sau đoạn: «Xem thêm: Cách nộp thuế online nhanh, đơn giản»</t>
  </si>
  <si>
    <t>Đoạn có mức phạt theo quy định – dùng Xem thêm; trang đích thiên về cá nhân</t>
  </si>
  <si>
    <t>https://techcombank.com/thong-tin/blog/thue-doanh-nghiep-2025</t>
  </si>
  <si>
    <t>4. Doanh nghiệp khởi nghiệp được miễn thuế 2 năm đầu, 50% cho 4 năm tiếp theo</t>
  </si>
  <si>
    <t>Giảm 50% số thuế TNDN phải nộp trong 4 năm tiếp theo</t>
  </si>
  <si>
    <t>Thêm ngay sau đoạn này: «Khi đến kỳ nộp, doanh nghiệp có thể tham khảo cách nộp thuế online để thao tác nhanh chóng.»</t>
  </si>
  <si>
    <t>https://techcombank.com/thong-tin/blog/cach-tinh-lai-vay-ngan-hang</t>
  </si>
  <si>
    <t>Secured Lending</t>
  </si>
  <si>
    <t>thuế thu nhập doanh nghiệp</t>
  </si>
  <si>
    <t>https://techcombank.com/thong-tin/blog/nhung-chi-phi-khong-duoc-tru-khi-tinh-thue-tndn</t>
  </si>
  <si>
    <t>Để xác định chính xác nghĩa vụ thuế thu nhập doanh nghiệp (TNDN) phải nộp, doanh nghiệp phải tuân thủ công thức…</t>
  </si>
  <si>
    <t>Bôi đen cụm «thuế thu nhập doanh nghiệp» trong câu trên, gắn link.</t>
  </si>
  <si>
    <t>1. Quyết toán thuế doanh nghiệp là gì? Gồm các sắc thuế nào?</t>
  </si>
  <si>
    <t>Quyết toán Thuế thu nhập doanh nghiệp (TNDN): Khai báo tổng doanh thu, các khoản chi phí được trừ và không được trừ…</t>
  </si>
  <si>
    <t>Bôi đen cụm «Thuế thu nhập doanh nghiệp» trong câu trên, gắn link.</t>
  </si>
  <si>
    <t>https://techcombank.com/thong-tin/blog/1-te-bang-bao-nhieu-tien-viet-nam</t>
  </si>
  <si>
    <t>Câu gốc viết hoa chữ Thuế</t>
  </si>
  <si>
    <t>Ưu đãi về thuế, tín dụng cho doanh nghiệp mới thành lập trải rộng từ miễn thuế thu nhập doanh nghiệp, bãi bỏ lệ phí môn…</t>
  </si>
  <si>
    <t>https://techcombank.com/thong-tin/blog/vay-thau-chi-la-gi</t>
  </si>
  <si>
    <t>https://techcombank.com/thong-tin/blog/loi-nhuan</t>
  </si>
  <si>
    <t>2.2. Lợi nhuận ròng (Net Profit)</t>
  </si>
  <si>
    <t>Thuế thu nhập doanh nghiệp: 20% lợi nhuận trước thuế</t>
  </si>
  <si>
    <t>Gạch đầu dòng số liệu – chỉ bôi đen, không sửa</t>
  </si>
  <si>
    <t>https://techcombank.com/thong-tin/blog/ebitda-la-gi</t>
  </si>
  <si>
    <t>2.1. Công thức tính EBITDA</t>
  </si>
  <si>
    <t>Thuế: Chi phí thuế thu nhập doanh nghiệp được ghi nhận trong kỳ, thay đổi theo chính sách thuế từng thời kỳ.</t>
  </si>
  <si>
    <t>https://techcombank.com/thong-tin/blog/tiem-nang-chuyen-doi-tu-ho-kinh-doanh-len-doanh-nghiep-sme</t>
  </si>
  <si>
    <t>2. Ưu điểm vượt trội của mô hình doanh nghiệp trong dài hạn</t>
  </si>
  <si>
    <t>Miễn thuế thu nhập doanh nghiệp nhỏ và vừa trong 3 năm đầu thành lập</t>
  </si>
  <si>
    <t>https://techcombank.com/thong-tin/blog/wacc-la-gi</t>
  </si>
  <si>
    <t>2. Công thức tính WACC</t>
  </si>
  <si>
    <t>T là thuế suất thuế thu nhập doanh nghiệp dùng để điều chỉnh phần chi phí nợ vay sau thuế</t>
  </si>
  <si>
    <t>cách nộp thuế điện tử</t>
  </si>
  <si>
    <t>https://techcombank.com/thong-tin/blog/cach-su-dung-tai-khoan-cong-ty</t>
  </si>
  <si>
    <t>1.1. Thanh toán và chuyển tiền</t>
  </si>
  <si>
    <t>Nộp tiền vào ngân sách nhà nước: Đóng thuế thu nhập doanh nghiệp, thuế giá trị gia tăng…</t>
  </si>
  <si>
    <t>https://techcombank.com/thong-tin/blog/thue-vat-la-gi</t>
  </si>
  <si>
    <t>https://techcombank.com/thong-tin/blog/khau-hao</t>
  </si>
  <si>
    <t>5. Giải đáp thắc mắc về khấu hao</t>
  </si>
  <si>
    <t>Đây là cơ sở để tính giá thành sản phẩm, xác định lợi nhuận và nghĩa vụ thuế thu nhập doanh nghiệp.</t>
  </si>
  <si>
    <t>https://techcombank.com/thong-tin/blog/1-trieu-do-bang-bao-nhieu-tien-viet</t>
  </si>
  <si>
    <t>https://techcombank.com/thong-tin/blog/cach-tinh-thue-thu-nhap-doanh-nghiep</t>
  </si>
  <si>
    <t>4. Bước 4: Tính thu nhập tính thuế</t>
  </si>
  <si>
    <t>Đây là cơ sở cuối cùng để áp dụng mức thuế suất thuế thu nhập doanh nghiệp, giúp doanh nghiệp biết thuế thu nhập doanh nghiệp tính theo công thức như thế nào.</t>
  </si>
  <si>
    <t>Bôi đen lần xuất hiện đầu tiên</t>
  </si>
  <si>
    <t>https://techcombank.com/thong-tin/blog/giai-dap-ve-thue-doanh-nghiep</t>
  </si>
  <si>
    <t>4. Số thuế phải nộp</t>
  </si>
  <si>
    <t>Trong đó, thuế thu nhập doanh nghiệp (TNDN) là khoản thuế trọng yếu, được xác định dựa trên thu nhập tính thuế và mức thuế suất áp dụng.</t>
  </si>
  <si>
    <t>https://techcombank.com/thong-tin/blog/tra-cuu-no-thue-doanh-nghiep</t>
  </si>
  <si>
    <t>https://techcombank.com/thong-tin/blog/loi-nhuan-rong</t>
  </si>
  <si>
    <t>6. Giải đáp câu hỏi thường gặp về lợi nhuận ròng</t>
  </si>
  <si>
    <t>Lợi nhuận ròng là lợi nhuận sau thuế, tức là phần lợi nhuận cuối cùng doanh nghiệp giữ lại sau khi trừ toàn bộ chi phí và thuế thu nhập doanh nghiệp.</t>
  </si>
  <si>
    <t>https://techcombank.com/thong-tin/blog/thue-doanh-nghiep</t>
  </si>
  <si>
    <t>3. Các khoản thuế doanh nghiệp phải nộp năm 2026</t>
  </si>
  <si>
    <t>Hiểu rõ mức thuế thu nhập doanh nghiệp năm 2026 là bao nhiêu và các loại thuế doanh nghiệp phải nộp là bước nền tảng để quản trị tài chính hiệu quả.</t>
  </si>
  <si>
    <t>https://techcombank.com/thong-tin/blog/1-trieu-won-bang-bao-nhieu-tien-viet</t>
  </si>
  <si>
    <t>https://techcombank.com/thong-tin/blog/cong-ty-su-dung-tai-khoan-ca-nhan</t>
  </si>
  <si>
    <t>2.1. Miễn thuế thu nhập doanh nghiệp (TNDN) trong 3 năm đầu</t>
  </si>
  <si>
    <t>Theo quy định mới, doanh nghiệp nhỏ và vừa (SMEs) được miễn thuế thu nhập doanh nghiệp trong vòng 03 năm kể từ ngày được cấp Giấy chứng nhận đăng ký doanh nghiệp lần đầu.</t>
  </si>
  <si>
    <t>https://techcombank.com/thong-tin/blog/ke-khai-thue-doanh-nghiep</t>
  </si>
  <si>
    <t>1. Các loại thuế cốt lõi doanh nghiệp bắt buộc phải kê khai</t>
  </si>
  <si>
    <t>Thuế thu nhập doanh nghiệp (TNDN): Hàng quý, kế toán tự tính toán số thuế TNDN tạm nộp dựa trên kết quả kinh doanh…</t>
  </si>
  <si>
    <t>https://techcombank.com/thong-tin/blog/nen-thanh-lap-ho-kinh-doanh-ke-khai-hay-doanh-nghiep</t>
  </si>
  <si>
    <t>1. So sánh chi tiết hộ kinh doanh kê khai và doanh nghiệp theo quy định mới 2025</t>
  </si>
  <si>
    <t>Miễn thuế thu nhập doanh nghiệp vừa và nhỏ trong 3 năm đầu thành lập</t>
  </si>
  <si>
    <t>Thuộc danh sách chính sách theo Nghị quyết – chỉ gắn link, không sửa câu</t>
  </si>
  <si>
    <t>https://techcombank.com/thong-tin/blog/cach-nap-the-viettel</t>
  </si>
  <si>
    <t>https://techcombank.com/thong-tin/blog/1-van-te-bang-bao-nhieu-tien-viet</t>
  </si>
  <si>
    <t>https://techcombank.com/thong-tin/blog/thue-phi-co-dinh-khi-chuyen-doi-tu-ho-kinh-doanh-len-doanh-nghiep</t>
  </si>
  <si>
    <t>2. Các loại thuế doanh nghiệp cần lưu ý</t>
  </si>
  <si>
    <t>Nắm rõ về thuế thu nhập doanh nghiệp giúp các startup chủ động quản lý lợi nhuận, tận dụng ưu đãi.</t>
  </si>
  <si>
    <t>https://techcombank.com/thong-tin/blog/cac-sai-lam-pho-bien-khi-chuyen-doi-ho-kinh-doanh-len-sme</t>
  </si>
  <si>
    <t>4. Không tính toán lại chi phí thuế và nghĩa vụ pháp lý</t>
  </si>
  <si>
    <t>Thuế thu nhập doanh nghiệp (TNDN) 15 - 50% trên lợi nhuận tùy ngành nghề.</t>
  </si>
  <si>
    <t>Dòng có số liệu – chỉ bôi đen, không sửa</t>
  </si>
  <si>
    <t>https://techcombank.com/thong-tin/blog/cach-kiem-tra-tai-khoan-ngan-hang</t>
  </si>
  <si>
    <t>https://techcombank.com/thong-tin/blog/hieu-hiet-ve-tuan-thu-thue-cho-cac-doanh-nghiep-khoi-nghiep</t>
  </si>
  <si>
    <t>2.2. Thuế thu nhập doanh nghiệp (CIT)</t>
  </si>
  <si>
    <t>https://techcombank.com/thong-tin/blog/loi-ich-khi-ho-kinh-doanh-chuyen-len-doanh-nghiep</t>
  </si>
  <si>
    <t>1. Ưu đãi về thủ tục hành chính, thuế và lệ phí</t>
  </si>
  <si>
    <t>Miễn 100% thuế thu nhập doanh nghiệp cho doanh nghiệp nhỏ và vừa trong 3 năm đầu kể từ ngày được cấp Giấy chứng nhận đăng ký doanh nghiệp lần đầu</t>
  </si>
  <si>
    <t>Chỉ bôi đen, không sửa câu chính sách</t>
  </si>
  <si>
    <t>https://techcombank.com/thong-tin/blog/cach-mo-tai-khoan</t>
  </si>
  <si>
    <t>https://techcombank.com/thong-tin/blog/chuyen-doi-ho-kinh-doanh-len-doanh-nghiep</t>
  </si>
  <si>
    <t>1. Tại sao nên chuyển đổi từ hộ kinh doanh lên doanh nghiệp?</t>
  </si>
  <si>
    <t>Ưu đãi về thủ tục hành chính, thuế và lệ phí: … miễn 100% thuế thu nhập doanh nghiệp cho doanh nghiệp nhỏ và vừa trong 3 năm đầu…</t>
  </si>
  <si>
    <t>Câu nêu chính sách – chỉ gắn link, không sửa chữ</t>
  </si>
  <si>
    <t>https://techcombank.com/thong-tin/blog/1-van-tien-dai-loan-bang-bao-nhieu-tien-viet</t>
  </si>
  <si>
    <t>https://techcombank.com/thong-tin/blog/tra-luong-tien-mat</t>
  </si>
  <si>
    <t>4. Trả lương bằng tiền mặt nhiều lần có được không?</t>
  </si>
  <si>
    <t>Nhìn chung, trả lương tiền mặt vẫn là hình thức hợp pháp theo Bộ luật Lao động, nhưng để được tính vào chi phí hợp lý khi quyết toán thuế thu nhập doanh nghiệp…</t>
  </si>
  <si>
    <t>Thêm dòng sau đoạn: «Xem thêm: thuế thu nhập doanh nghiệp – thuế suất và cách tính»</t>
  </si>
  <si>
    <t>Đoạn trích luật – dùng Xem thêm</t>
  </si>
  <si>
    <t>https://techcombank.com/thong-tin/blog/ngan-hang-uy-tin</t>
  </si>
  <si>
    <t>https://techcombank.com/thong-tin/blog/luu-y-khi-chuyen-doi-tu-ho-kinh-doanh-len-doanh-nghiep</t>
  </si>
  <si>
    <t>1.2. Thuế giá trị gia tăng, thuế thu nhập doanh nghiệp…</t>
  </si>
  <si>
    <t>Thuế suất TNDN hiện tại phổ biến là 20%, tuy nhiên các doanh nghiệp nhỏ, doanh nghiệp khởi nghiệp có thể được hưởng ưu đãi giảm thuế trong những năm đầu hoạt động.</t>
  </si>
  <si>
    <t>Thêm dòng sau đoạn: «Xem thêm: Thuế thu nhập doanh nghiệp – mức thuế suất và cách tính»</t>
  </si>
  <si>
    <t>thuế VAT</t>
  </si>
  <si>
    <t>3.4. Kê khai Thu nhập doanh nghiệp (TNDN) tạm nộp hàng quý</t>
  </si>
  <si>
    <t>Theo Sổ tay thuế , trình tự thực hiện kê khai Thu nhập doanh nghiệp (TNDN) tạm nộp hàng quý như sau:</t>
  </si>
  <si>
    <t>Thêm dòng sau đoạn: «Xem thêm: thuế thu nhập doanh nghiệp – mức thuế suất và cách tính»</t>
  </si>
  <si>
    <t>Đoạn dẫn các bước – dùng Xem thêm</t>
  </si>
  <si>
    <t>3. Tận dụng các ưu đãi thuế dành cho doanh nghiệp khởi nghiệp</t>
  </si>
  <si>
    <t>Miễn thuế TNDN trong 2 năm đầu và giảm 50% trong 4 năm tiếp theo đối với thu nhập từ hoạt động khởi nghiệp đổi mới sáng tạo.</t>
  </si>
  <si>
    <t>Thêm dòng sau đoạn: «Xem thêm: thuế thu nhập doanh nghiệp và mức thuế suất hiện hành»</t>
  </si>
  <si>
    <t>https://techcombank.com/thong-tin/blog/chuyen-khoan-thanh-cong-nhung-khong-nhan-duoc-tien</t>
  </si>
  <si>
    <t>Câu nêu chính sách – dùng Xem thêm</t>
  </si>
  <si>
    <t>https://techcombank.com/thong-tin/blog/roa</t>
  </si>
  <si>
    <t>2.1. Công thức tính ROA</t>
  </si>
  <si>
    <t>Lợi nhuận sau thuế là lợi nhuận ròng của doanh nghiệp sau khi đã trừ đi tất cả các chi phí và thuế thu nhập</t>
  </si>
  <si>
    <t>Sửa câu thành: «Lợi nhuận sau thuế là lợi nhuận ròng của doanh nghiệp sau khi đã trừ đi tất cả các chi phí và thuế thu nhập doanh nghiệp»</t>
  </si>
  <si>
    <t>https://techcombank.com/thong-tin/blog/mo-tai-khoan-doanh-nghiep</t>
  </si>
  <si>
    <t>https://techcombank.com/thong-tin/blog/1-won-bang-bao-nhieu-tien-viet</t>
  </si>
  <si>
    <t>1. Tài khoản doanh nghiệp là gì?</t>
  </si>
  <si>
    <t>Tài khoản thanh toán doanh nghiệp (thường gọi tắt là tài khoản doanh nghiệp) là tài khoản mở tại ngân hàng hoặc các tổ chức tín dụng để thực hiện các giao dịch tài chính…</t>
  </si>
  <si>
    <t>Thêm ngay sau đoạn này: «Tài khoản doanh nghiệp cũng là kênh để nộp các khoản thuế như thuế thu nhập doanh nghiệp.»</t>
  </si>
  <si>
    <t>https://techcombank.com/thong-tin/blog/bao-nhieu-tuoi-duoc-mo-tai-khoan-ngan-hang</t>
  </si>
  <si>
    <t>https://techcombank.com/thong-tin/blog/mo-tai-khoan-ngan-hang-duoi-18-tuoi</t>
  </si>
  <si>
    <t>https://techcombank.com/thong-tin/blog/chuan-bi-cho-doanh-nghiep-khoi-nghiep-truoc-nhung-thay-doi-ve-thue</t>
  </si>
  <si>
    <t>2.1. Đăng ký và xác định ngành nghề kinh doanh</t>
  </si>
  <si>
    <t>Sau đó, doanh nghiệp có thể rà soát để xem ngành nghề đã đăng ký có nằm trong nhóm được ưu đãi thuế hay không.</t>
  </si>
  <si>
    <t>Thêm ngay sau đoạn này: «Doanh nghiệp nên tìm hiểu kỹ quy định về thuế thu nhập doanh nghiệp để xác định đúng mức ưu đãi được hưởng.»</t>
  </si>
  <si>
    <t>https://techcombank.com/thong-tin/blog/nap-tien-vao-tai-khoan-ngan-hang</t>
  </si>
  <si>
    <t>https://techcombank.com/thong-tin/blog/1-yen-bang-bao-nhieu-tien-viet-nam</t>
  </si>
  <si>
    <t>tra cứu nợ thuế doanh nghiệp</t>
  </si>
  <si>
    <t>1. Doanh nghiệp vừa và nhỏ mới thành lập được miễn thuế 3 năm đầu</t>
  </si>
  <si>
    <t>Doanh nghiệp mới thành lập được miễn thuế thu nhập trong 3 năm đầu.</t>
  </si>
  <si>
    <t>Sửa câu thành: «Doanh nghiệp mới thành lập được miễn thuế thu nhập doanh nghiệp trong 3 năm đầu.»</t>
  </si>
  <si>
    <t>Đúng ý đoạn luật ngay trước (miễn thuế TNDN)</t>
  </si>
  <si>
    <t>thuế thu nhập doanh nghiệp 2026</t>
  </si>
  <si>
    <t>Kê khai Thu nhập doanh nghiệp (TNDN) tạm nộp hàng quý.</t>
  </si>
  <si>
    <t>Thêm dòng sau đoạn: «Xem thêm: mức thuế suất và cách tính thuế thu nhập doanh nghiệp 2026»</t>
  </si>
  <si>
    <t>https://techcombank.com/thong-tin/blog/cach-sao-ke-tai-khoan-ngan-hang</t>
  </si>
  <si>
    <t>Anchor có năm – cân nhắc khi cập nhật</t>
  </si>
  <si>
    <t>https://techcombank.com/thong-tin/blog/hoan-thue-doanh-nghiep</t>
  </si>
  <si>
    <t>Bước 4: Kiểm tra và ra quyết định hoàn thuế doanh nghiệp</t>
  </si>
  <si>
    <t>Bên cạnh việc tối ưu hóa thủ tục thuế, một nền tảng quản trị tài chính số vững chắc sẽ là bệ phóng giúp doanh nghiệp vận hành trơn tru hơn.</t>
  </si>
  <si>
    <t>Thêm dòng sau đoạn: «Xem thêm: thuế thu nhập doanh nghiệp: mức thuế suất và cách tính»</t>
  </si>
  <si>
    <t>Hoàn thuế chủ yếu là GTGT</t>
  </si>
  <si>
    <t>1. Xác định mục đích chuyển tiền</t>
  </si>
  <si>
    <t>Xác định rõ mục đích chuyển tiền sẽ giúp doanh nghiệp dễ dàng hạch toán kế toán và báo cáo với cơ quan thuế khi có yêu cầu.</t>
  </si>
  <si>
    <t>Thêm ngay sau đoạn này: «Chứng từ chuyển tiền hợp lệ cũng là căn cứ để xác định chi phí khi tính thuế thu nhập doanh nghiệp.»</t>
  </si>
  <si>
    <t>https://techcombank.com/thong-tin/blog/quan-ly-tai-chinh-doanh-nghiep-la-gi</t>
  </si>
  <si>
    <t>1. Tổng quan về quản lý tài chính doanh nghiệp</t>
  </si>
  <si>
    <t>Ở cấp độ vận hành hằng ngày, quản lý tài chính doanh nghiệp gắn liền với việc kiểm soát dòng tiền ra - vào, quản lý công nợ phải thu - phải trả và lập kế hoạch ngân sách.</t>
  </si>
  <si>
    <t>Thêm ngay sau đoạn này: «Khi lập kế hoạch ngân sách, doanh nghiệp cũng cần tính trước nghĩa vụ thuế thu nhập doanh nghiệp.»</t>
  </si>
  <si>
    <t>https://techcombank.com/thong-tin/blog/day-so-phat-tai-phat-loc</t>
  </si>
  <si>
    <t>Techcombank T-Shop là ứng dụng quản lý bán hàng đột phá đến từ Techcombank, giúp các chủ hộ kinh doanh cùng doanh nghiệp vừa và nhỏ quẳng gánh lo về thuế…</t>
  </si>
  <si>
    <t>Thêm ngay sau đoạn này: «Với doanh nghiệp vừa và nhỏ, nắm rõ thuế thu nhập doanh nghiệp cũng giúp chủ động hơn khi kê khai.»</t>
  </si>
  <si>
    <t>https://techcombank.com/thong-tin/blog/100-riel-bang-bao-nhieu-tien-viet-nam</t>
  </si>
  <si>
    <t>https://techcombank.com/thong-tin/blog/dong-tai-khoan-ngan-hang-cong-ty</t>
  </si>
  <si>
    <t>4.1. Có mất phí khi làm thủ tục đóng tài khoản không?</t>
  </si>
  <si>
    <t>Mức phí đóng tài khoản ngân hàng công ty phụ thuộc vào chính sách của từng ngân hàng và thời gian sử dụng tài khoản.</t>
  </si>
  <si>
    <t>Thêm ngay sau đoạn này: «Trước khi đóng tài khoản, doanh nghiệp cũng nên hoàn tất các nghĩa vụ thuế, trong đó có thuế thu nhập doanh nghiệp.»</t>
  </si>
  <si>
    <t>https://techcombank.com/thong-tin/blog/dieu-kien-thanh-lap-doanh-nghiep</t>
  </si>
  <si>
    <t xml:space="preserve">3. Những lưu ý giúp hồ sơ đáp ứng điều kiện thành lập doanh nghiệp và được phê duyệt ngay </t>
  </si>
  <si>
    <t>Tham gia chương trình “Tiết kiệm chi phí - An tâm pháp lý cùng Techcombank” giúp doanh nghiệp tối ưu chi phí và sẵn sàng cho bước khởi đầu.</t>
  </si>
  <si>
    <t>Thêm ngay sau đoạn này: «Bên cạnh chi phí thành lập, doanh nghiệp mới cũng nên tìm hiểu về thuế thu nhập doanh nghiệp để chủ động kế hoạch tài chính.»</t>
  </si>
  <si>
    <t>https://techcombank.com/thong-tin/blog/kiem-tra-thue-thu-nhap-ca-nhan</t>
  </si>
  <si>
    <t>5.1 Treo biển hiệu tại trụ sở công ty</t>
  </si>
  <si>
    <t>Việc không treo biển có thể dẫn đến việc cơ quan thuế khóa mã số thuế của công ty.</t>
  </si>
  <si>
    <t>Thêm ngay sau đoạn này: «Bên cạnh các thủ tục ban đầu, doanh nghiệp cũng cần nắm rõ quy định về thuế thu nhập doanh nghiệp để kê khai đúng hạn.»</t>
  </si>
  <si>
    <t>https://techcombank.com/thong-tin/blog/chi-phi-mo-tai-khoan-ngan-hang-cho-cong-ty</t>
  </si>
  <si>
    <t>3. Câu hỏi thường gặp về chi phí mở tài khoản ngân hàng cho công ty</t>
  </si>
  <si>
    <t>Hy vọng bài viết trên đã giúp bạn giải đáp những thắc mắc về chi phí mở tài khoản ngân hàng cho công ty .</t>
  </si>
  <si>
    <t>Thêm ngay sau đoạn này: «Bên cạnh chi phí tài khoản, doanh nghiệp cũng nên nắm rõ nghĩa vụ thuế thu nhập doanh nghiệp để chủ động kế hoạch tài chính.»</t>
  </si>
  <si>
    <t>Chủ đề hơi lệch</t>
  </si>
  <si>
    <t>https://techcombank.com/thong-tin/blog/ten-dang-nhap-tai-khoan-ngan-hang-la-gi</t>
  </si>
  <si>
    <t>các loại thuế doanh nghiệp phải nộp</t>
  </si>
  <si>
    <t>https://techcombank.com/thong-tin/blog/cach-quan-ly-tai-chinh-kinh-doanh</t>
  </si>
  <si>
    <t>https://techcombank.com/thong-tin/blog/1000-te-bang-bao-nhieu-tien-viet</t>
  </si>
  <si>
    <t>5. Số hóa quy trình quản lý bằng nền tảng ngân hàng số</t>
  </si>
  <si>
    <t>Quản trị tập trung chỉ với 1 nền tảng duy nhất : Quản lý doanh thu tự động, chi lương, thanh toán hóa đơn điện nước, nộp thuế hải quan đều được thực hiện trên nền tảng số…</t>
  </si>
  <si>
    <t>Thêm ngay sau đoạn này: «Doanh nghiệp cũng nên nắm rõ cách tính thuế thu nhập doanh nghiệp để chủ động lập kế hoạch nộp thuế.»</t>
  </si>
  <si>
    <t>https://techcombank.com/thong-tin/blog/cong-ty-xuat-nhap-khau</t>
  </si>
  <si>
    <t>https://techcombank.com/thong-tin/blog/rut-tien-bang-ma-qr-la-gi-cach-thuc-hien-nhu-the-nao</t>
  </si>
  <si>
    <t>Bước 3: Chuẩn bị chứng từ và thực hiện nghĩa vụ tài chính</t>
  </si>
  <si>
    <t>Doanh nghiệp tiến hành xin các loại giấy phép chuyên ngành (nếu có)… để được hưởng ưu đãi thuế.</t>
  </si>
  <si>
    <t>Đoạn thuộc các bước – dùng Xem thêm; ưu đãi ở đây là thuế XNK</t>
  </si>
  <si>
    <t>Với hộ kinh doanh có quy mô lớn, cân nhắc lộ trình chuyển đổi lên mô hình doanh nghiệp để thuận tiện quản lý dòng tiền, hóa đơn điện tử và hồ sơ pháp lý.</t>
  </si>
  <si>
    <t>Thêm dòng sau đoạn: «Xem thêm: Thuế thu nhập doanh nghiệp 2026 – mức thuế suất và cách tính»</t>
  </si>
  <si>
    <t>Anchor có sẵn năm 2026</t>
  </si>
  <si>
    <t>https://techcombank.com/thong-tin/blog/cach-quet-nfc-cccd-tren-iphone</t>
  </si>
  <si>
    <t>https://techcombank.com/thong-tin/blog/chinh-sach-thue-moi</t>
  </si>
  <si>
    <t>3. Thích nghi với hóa đơn điện tử và thanh toán không dùng tiền mặt</t>
  </si>
  <si>
    <t>Quản lý doanh thu và thực hiện chính sách thuế, hóa đơn điện tử hiệu quả với bộ giải pháp của Techcombank.</t>
  </si>
  <si>
    <t>Gần trùng ý link khác cùng bài; anchor chứa năm</t>
  </si>
  <si>
    <t>thuế giá trị gia tăng</t>
  </si>
  <si>
    <t>Thuế giá trị gia tăng (GTGT): Doanh nghiệp thực hiện kê khai theo tháng (doanh thu năm trước liền kề trên 50 tỷ VND) hoặc theo quý…</t>
  </si>
  <si>
    <t>Bôi đen cụm «Thuế giá trị gia tăng» trong câu trên, gắn link.</t>
  </si>
  <si>
    <t>https://techcombank.com/thong-tin/blog/1000-won-bang-bao-nhieu-tien-viet</t>
  </si>
  <si>
    <t>https://techcombank.com/thong-tin/blog/eco-card</t>
  </si>
  <si>
    <t>https://techcombank.com/thong-tin/blog/gia-dien-sinh-hoat</t>
  </si>
  <si>
    <t>2. Công thức tính tiền điện sinh hoạt hiện nay</t>
  </si>
  <si>
    <t>Sau khi tính tiền điện theo các bậc tiêu thụ, hóa đơn sẽ cộng thêm thuế giá trị gia tăng theo mức thuế suất áp dụng tại thời điểm thanh toán.</t>
  </si>
  <si>
    <t>Bôi đen cụm «thuế giá trị gia tăng» trong câu trên, gắn link.</t>
  </si>
  <si>
    <t>công ty sử dụng tài khoản cá nhân</t>
  </si>
  <si>
    <t>https://techcombank.com/thong-tin/blog/ho-kinh-doanh-ca-the</t>
  </si>
  <si>
    <t>2. Quyền và nghĩa vụ của hộ kinh doanh cá thể</t>
  </si>
  <si>
    <t>Kê khai, nộp thuế đúng hạn (thuế giá trị gia tăng, thuế thu nhập cá nhân, lệ phí môn bài…)</t>
  </si>
  <si>
    <t>https://techcombank.com/thong-tin/blog/lam-the-tin-dung</t>
  </si>
  <si>
    <t>Thuế giá trị gia tăng (GTGT): Doanh nghiệp nộp theo phương pháp khấu trừ (phổ biến) hoặc phương pháp trực tiếp.</t>
  </si>
  <si>
    <t>2.3. Câu hỏi 3: Nghĩa vụ thuế sẽ thay đổi như thế nào?</t>
  </si>
  <si>
    <t>Khi chuyển sang doanh nghiệp, mô hình sẽ chịu các loại thuế như thuế giá trị gia tăng (GTGT), thuế thu nhập doanh nghiệp (TNDN)…</t>
  </si>
  <si>
    <t>https://techcombank.com/khach-hang-ca-nhan/chi-tieu/the/the-tin-dung/techcombank-everyday</t>
  </si>
  <si>
    <t>3. Khi nào nên chọn doanh nghiệp?</t>
  </si>
  <si>
    <t>Đồng thời, doanh nghiệp còn được khấu trừ thuế giá trị gia tăng (GTGT) đầu vào - một lợi thế mà hộ kinh doanh không có.</t>
  </si>
  <si>
    <t>https://techcombank.com/thong-tin/blog/the-tin-dung-hoan-tien</t>
  </si>
  <si>
    <t>https://techcombank.com/thong-tin/blog/1000-yen-bang-bao-nhieu-tien-viet</t>
  </si>
  <si>
    <t>1. Các trường hợp được áp dụng hoàn thuế doanh nghiệp</t>
  </si>
  <si>
    <t>9 Trường hợp doanh nghiệp được áp dụng hoàn thuế VAT.</t>
  </si>
  <si>
    <t>Bôi đen cụm «thuế VAT» trong câu trên, gắn link.</t>
  </si>
  <si>
    <t>2. Lưu ý khi công ty sử dụng tài khoản cá nhân</t>
  </si>
  <si>
    <t>Cần có chứng từ thanh toán không tiền mặt cho hóa đơn từ 5 triệu đồng trở lên để khấu trừ thuế giá trị gia tăng (GTGT)…</t>
  </si>
  <si>
    <t>Thêm dòng sau đoạn: «Xem thêm: Thuế giá trị gia tăng là gì và cách tính»</t>
  </si>
  <si>
    <t>Đoạn trích nghị định – dùng Xem thêm</t>
  </si>
  <si>
    <t>https://techcombank.com/thong-tin/blog/xep-hang-tin-dung</t>
  </si>
  <si>
    <t>2.1. Thuế giá trị gia tăng (VAT)</t>
  </si>
  <si>
    <t>Đây là loại thuế gián thu áp dụng trên hàng hóa, dịch vụ trong quá trình sản xuất, kinh doanh.</t>
  </si>
  <si>
    <t>Sửa câu thành: «Thuế giá trị gia tăng là loại thuế gián thu áp dụng trên hàng hóa, dịch vụ trong quá trình sản xuất, kinh doanh.»</t>
  </si>
  <si>
    <t>3.3. Khai thuế Giá trị gia tăng (GTGT) định kỳ</t>
  </si>
  <si>
    <t>Doanh nghiệp thuộc đối tượng nộp thuế GTGT theo phương pháp khấu trừ, theo phương pháp trực tiếp phải kê khai định kỳ hàng tháng, hàng quý hoặc từng lần phát sinh.</t>
  </si>
  <si>
    <t>Sửa câu thành: «Doanh nghiệp thuộc đối tượng nộp thuế giá trị gia tăng (GTGT) theo phương pháp khấu trừ, theo phương pháp trực tiếp phải kê khai định kỳ hàng tháng, hàng quý hoặc từng lần phát sinh.»</t>
  </si>
  <si>
    <t>https://techcombank.com/thong-tin/blog/cach-thanh-toan-the-tin-dung</t>
  </si>
  <si>
    <t>cách tính thuế thu nhập doanh nghiệp</t>
  </si>
  <si>
    <t>2. 15 Khoản khi không được khấu trừ khi tính thuế thu nhập doanh nghiệp</t>
  </si>
  <si>
    <t>Số thuế giá trị gia tăng đầu vào khi đã được tính vào chi phí được trừ thì không được khấu trừ với số thuế giá trị gia tăng đầu ra;</t>
  </si>
  <si>
    <t>Câu trích nội dung luật – chỉ gắn link ở lần xuất hiện đầu, không sửa câu</t>
  </si>
  <si>
    <t>https://techcombank.com/thong-tin/blog/4p-pizza</t>
  </si>
  <si>
    <t>2. Hướng dẫn cách tính tiền điện sinh hoạt trong 1 tháng nhanh, chính xác</t>
  </si>
  <si>
    <t>Công cụ này cho phép nhập trực tiếp số kWh đã dùng và tự động tính toán số tiền điện tương ứng, bao gồm thuế VAT.</t>
  </si>
  <si>
    <t>https://techcombank.com/thong-tin/blog/chung-chi-tien-gui-la-gi</t>
  </si>
  <si>
    <t>CD</t>
  </si>
  <si>
    <t>1.3. Bãi bỏ miễn thuế hàng nhập khẩu giá trị nhỏ</t>
  </si>
  <si>
    <t>Từ ngày 18/2/2025, hàng hóa nhập khẩu gửi qua dịch vụ chuyển phát nhanh có giá trị từ 1 triệu VND trở xuống được miễn thuế nhập khẩu và thuế giá trị gia tăng…</t>
  </si>
  <si>
    <t>Đoạn trích quyết định – dùng Xem thêm</t>
  </si>
  <si>
    <t>https://techcombank.com/thong-tin/blog/kinh-nghiem-chuyen-doi-tu-ho-kinh-doanh-len-doanh-nghiep</t>
  </si>
  <si>
    <t>4. Chuẩn bị các công cụ tài chính cần thiết</t>
  </si>
  <si>
    <t>Phần mềm kế toán doanh nghiệp, phần mềm quản lý bán hàng, hóa đơn điện tử, giúp tối ưu quy trình kế toán, lưu trữ chứng từ, tính toán thuế GTGT và thuế thu nhập doanh nghiệp.</t>
  </si>
  <si>
    <t>Sửa câu thành: «Phần mềm kế toán doanh nghiệp, phần mềm quản lý bán hàng, hóa đơn điện tử, giúp tối ưu quy trình kế toán, lưu trữ chứng từ, tính toán thuế giá trị gia tăng (GTGT) và thuế thu nhập doanh nghiệp.»</t>
  </si>
  <si>
    <t>1. Thuế khoán hộ kinh doanh là gì?</t>
  </si>
  <si>
    <t>Thông thường, mức thuế khoán này sẽ bao gồm hai sắc thuế chính: Thuế Giá trị gia tăng (GTGT) và Thuế Thu nhập cá nhân (TNCN).</t>
  </si>
  <si>
    <t>Sửa câu thành: «Thông thường, mức thuế khoán này sẽ bao gồm hai sắc thuế chính: thuế giá trị gia tăng (GTGT) và thuế thu nhập cá nhân (TNCN).»</t>
  </si>
  <si>
    <t>https://techcombank.com/thong-tin/blog/lai-suat-chung-chi-tien-gui-cac-ngan-hang</t>
  </si>
  <si>
    <t>Chỉ đổi chữ hoa để khớp anchor; gắn link vào “thuế giá trị gia tăng”</t>
  </si>
  <si>
    <t>https://techcombank.com/thong-tin/blog/5-trieu-mua-duoc-bao-nhieu-vang</t>
  </si>
  <si>
    <t>3. Lưu ý quan trọng khi sử dụng tài khoản công ty</t>
  </si>
  <si>
    <t>Theo Điều 4, Thông tư 96/2015/TT-BTC , hóa đơn có giá trị từ 20 triệu đồng trở lên phải được thanh toán bằng hình thức chuyển khoản…</t>
  </si>
  <si>
    <t>Thêm dòng sau đoạn: «Xem thêm: thuế giá trị gia tăng là gì, đối tượng áp dụng và cách tính»</t>
  </si>
  <si>
    <t>https://techcombank.com/thong-tin/blog/vi-dien-tu</t>
  </si>
  <si>
    <t>1.5. Chính sách tạo đòn bẩy</t>
  </si>
  <si>
    <t>Một cột mốc quan trọng là từ 1/7/2024, Luật Thuế Giá trị gia tăng sửa đổi quy định chỉ giao dịch không tiền mặt mới được khấu trừ thuế.</t>
  </si>
  <si>
    <t>Thêm dòng sau đoạn: «Xem thêm: thuế giá trị gia tăng là gì và cách tính»</t>
  </si>
  <si>
    <t>FX</t>
  </si>
  <si>
    <t>https://techcombank.com/thong-tin/blog/nhung-ho-kinh-doanh-duoc-mien-thue</t>
  </si>
  <si>
    <t>1. Hộ kinh doanh được miễn thuế trong năm 2025</t>
  </si>
  <si>
    <t>Theo khoản 25 Điều 5 về Đối tượng không chịu thuế và Điều 18 về Hiệu lực thi hành Luật Thuế giá trị gia tăng 2024…</t>
  </si>
  <si>
    <t>7. Hóa đơn đầu ra</t>
  </si>
  <si>
    <t>Trên hóa đơn thể hiện đầy đủ các thông tin giao dịch như tên hàng hóa hoặc dịch vụ, số lượng, đơn giá, thành tiền và thuế suất VAT.</t>
  </si>
  <si>
    <t>cách nạp thẻ Viettel</t>
  </si>
  <si>
    <t>Thêm ngay sau đoạn này: «Bạn có thể tìm hiểu thêm thuế VAT là gì và cách tính để kê khai chính xác.»</t>
  </si>
  <si>
    <t>https://techcombank.com/thong-tin/blog/tien-nhat</t>
  </si>
  <si>
    <t>https://techcombank.com/thong-tin/blog/may-tinh-tien</t>
  </si>
  <si>
    <t>1. Máy tính tiền là gì?</t>
  </si>
  <si>
    <t>Tính toán: Cộng tổng giá trị các mặt hàng, tính thuế (VAT), áp dụng giảm giá, và tính số tiền thối lại cho khách</t>
  </si>
  <si>
    <t>Thêm dòng sau đoạn: «Xem thêm: Thuế VAT là gì? Cách tính thuế giá trị gia tăng»</t>
  </si>
  <si>
    <t>7. Các khoản khi không được khấu trừ khi tính thuế thu nhập doanh nghiệp (TNDN) 2026</t>
  </si>
  <si>
    <t>https://techcombank.com/thong-tin/blog/6-chiec-lo-tai-chinh-ca-nhan</t>
  </si>
  <si>
    <t>Danh mục trích luật – dùng Xem thêm</t>
  </si>
  <si>
    <t>https://techcombank.com/thong-tin/blog/thue-ho-kinh-doanh-2025</t>
  </si>
  <si>
    <t>2.1. Xác định doanh thu khi tính thuế</t>
  </si>
  <si>
    <t>Các khoản bao gồm: Doanh thu bán hàng, tiền công, tiền gia công; các khoản thưởng, hỗ trợ doanh số, khuyến mại…</t>
  </si>
  <si>
    <t>Thêm ngay sau đoạn này: «Doanh thu này là căn cứ để xác định số thuế giá trị gia tăng và thuế TNCN mà hộ kinh doanh phải nộp.»</t>
  </si>
  <si>
    <t>Đoạn có cụm đúng nhưng trích luật</t>
  </si>
  <si>
    <t>3.1. Cách đăng ký thuế lần đầu cho doanh nghiệp mới thành lập</t>
  </si>
  <si>
    <t>Bước 2. Nộp hồ sơ: Thông qua Cổng thông tin quốc gia về đăng ký doanh nghiệp hoặc nộp qua hoặc Cổng thuế điện tử.</t>
  </si>
  <si>
    <t>Đoạn các bước – dùng Xem thêm</t>
  </si>
  <si>
    <t>thuế GTGT là gì</t>
  </si>
  <si>
    <t>1.1. Lúng túng trong việc lựa chọn và áp dụng phương pháp tính thuế</t>
  </si>
  <si>
    <t>Nhiều hộ kinh doanh vẫn nhầm lẫn trong việc lựa chọn giữa phương pháp thuế khoán và kê khai theo doanh thu thực tế.</t>
  </si>
  <si>
    <t>Thêm ngay sau đoạn này: «Để kê khai đúng, chủ hộ cũng nên hiểu rõ thuế GTGT là gì và cách xác định số thuế phải nộp.»</t>
  </si>
  <si>
    <t>3. Hướng dẫn cách kê khai thuế hộ kinh doanh cá thể online trên eTax Mobile</t>
  </si>
  <si>
    <t>Ứng dụng eTax Mobile của Tổng cục Thuế giúp người nộp thuế thực hiện kê khai và hoàn thành nghĩa vụ thuế nhanh chóng, thuận tiện ngay trên điện thoại, không cần đến cơ quan thuế.</t>
  </si>
  <si>
    <t>Thêm ngay sau đoạn này: «Nếu chưa rõ thuế GTGT là gì và cách tính, bạn có thể tham khảo trước khi kê khai.»</t>
  </si>
  <si>
    <t>https://techcombank.com/thong-tin/blog/tien-dai-loan</t>
  </si>
  <si>
    <t>https://techcombank.com/thong-tin/blog/thanh-toan-khi-du-lich-thai-lan</t>
  </si>
  <si>
    <t>2.3. Chủ động làm thủ tục hoàn thuế VAT khi mua sắm</t>
  </si>
  <si>
    <t>Nếu dự định mua mỹ phẩm, thời trang, đồ điện tử hoặc hàng hóa có giá trị tương đối lớn, du khách nên tìm hiểu chương trình VAT Refund for Tourists của Thái Lan.</t>
  </si>
  <si>
    <t>Thêm ngay sau đoạn này: «Nếu chưa rõ về loại thuế này, bạn có thể tìm hiểu thêm thuế VAT là gì và cách tính.»</t>
  </si>
  <si>
    <t>Trang đích nói về VAT Việt Nam</t>
  </si>
  <si>
    <t>https://techcombank.com/thong-tin/blog/66666-co-y-nghia-gi</t>
  </si>
  <si>
    <t>tra cứu nợ thuế theo mã số thuế</t>
  </si>
  <si>
    <t>2. Các nghĩa vụ chủ hộ kinh doanh cần hoàn thành trước khi đóng mã số thuế</t>
  </si>
  <si>
    <t>Thanh toán các khoản nợ liên quan đến ngân sách nhà nước (nếu có)…</t>
  </si>
  <si>
    <t>Thêm ngay sau đoạn này: «Hộ kinh doanh có thể tra cứu nợ thuế theo mã số thuế để kiểm tra trước khi nộp hồ sơ.»</t>
  </si>
  <si>
    <t>cách tính tiền điện sinh hoạt</t>
  </si>
  <si>
    <t>kiểm tra nợ thuế doanh nghiệp</t>
  </si>
  <si>
    <t>Bước 1: Rà soát sổ sách và đối chiếu chứng từ gốc</t>
  </si>
  <si>
    <t>Trước khi lên tờ khai, kế toán cần kiểm tra và đối chiếu toàn bộ số liệu kế toán… rà soát các khoản chi phí không được trừ và các nghĩa vụ thuế phát sinh…</t>
  </si>
  <si>
    <t>Thêm ngay sau đoạn này: «Kế toán cũng nên kiểm tra nợ thuế doanh nghiệp để đối chiếu số thuế còn phải nộp.»</t>
  </si>
  <si>
    <t>Doanh nghiệp sẽ được hoàn thuế nếu đáp ứng đủ yêu cầu về điều kiện, hồ sơ.</t>
  </si>
  <si>
    <t>Thêm ngay sau đoạn này: «Trước khi nộp hồ sơ, doanh nghiệp nên kiểm tra nợ thuế doanh nghiệp để đối chiếu số thuế còn phải nộp.»</t>
  </si>
  <si>
    <t>https://techcombank.com/thong-tin/blog/tien-thai-lan</t>
  </si>
  <si>
    <t>https://techcombank.com/thong-tin/blog/cach-tra-cuu-hoa-don-dien-tu</t>
  </si>
  <si>
    <t>3. Cách 3: Sử dụng phần mềm tra hóa đơn điện tử hợp lệ MeInvoice</t>
  </si>
  <si>
    <t>Việc nắm rõ cách tra cứu hóa đơn điện tử Tổng cục thuế đúng quy trình sẽ giúp người nộp thuế xác minh tính hợp lệ của chứng từ, hạn chế sai sót…</t>
  </si>
  <si>
    <t>Thêm ngay sau đoạn này: «Doanh nghiệp cũng nên định kỳ kiểm tra nợ thuế doanh nghiệp để tránh phát sinh tiền chậm nộp.»</t>
  </si>
  <si>
    <t>Bước 5: Làm thủ tục hải quan và thông quan hàng hóa</t>
  </si>
  <si>
    <t>…nộp các loại thuế (thuế xuất khẩu, thuế nhập khẩu, thuế GTGT...) và phối hợp với cơ quan hải quan…</t>
  </si>
  <si>
    <t>Thêm dòng sau đoạn: «Xem thêm: Cách kiểm tra nợ thuế doanh nghiệp online»</t>
  </si>
  <si>
    <t>Đoạn thuộc các bước – dùng Xem thêm</t>
  </si>
  <si>
    <t>https://techcombank.com/thong-tin/blog/kiem-tra-ma-so-thue-doanh-nghiep</t>
  </si>
  <si>
    <t>Một trong những thao tác cơ bản nhưng vô cùng quan trọng mà bất kỳ kế toán hay chủ doanh nghiệp nào cũng cần biết chính là kiểm tra mã số thuế doanh nghiệp .</t>
  </si>
  <si>
    <t>Thêm ngay sau đoạn này: «Bên cạnh mã số thuế, doanh nghiệp cũng nên định kỳ tra cứu nợ thuế doanh nghiệp để kịp thời xử lý.»</t>
  </si>
  <si>
    <t>https://techcombank.com/thong-tin/blog/88-la-gi</t>
  </si>
  <si>
    <t>Thay vì phải trực tiếp đến cơ quan hải quan, người nộp thuế có thể dễ dàng kiểm tra cứu nợ thuế hải quan và hoàn tất thanh toán ngay trên các cổng thông tin điện tử…</t>
  </si>
  <si>
    <t>Thêm ngay sau đoạn này: «Với các khoản thuế nội địa, bạn có thể tham khảo cách tra cứu nợ thuế doanh nghiệp trên cổng thuế điện tử.»</t>
  </si>
  <si>
    <t>3.2. Cách 2: Đóng lệ phí hải quan online qua ngân hàng số Techcombank Business</t>
  </si>
  <si>
    <t>Việc nắm rõ cách tra cứu nộp thuế hải quan và đóng lệ phí hải quan online không chỉ giúp doanh nghiệp tiết kiệm thời gian, công sức…</t>
  </si>
  <si>
    <t>Thêm ngay sau đoạn này: «Bên cạnh thuế hải quan, doanh nghiệp cũng nên định kỳ tra cứu nợ thuế doanh nghiệp để chủ động hoàn thành nghĩa vụ thuế.»</t>
  </si>
  <si>
    <t>https://techcombank.com/thong-tin/blog/cach-nhan-tien-tu-nuoc-ngoai-ve-viet-nam</t>
  </si>
  <si>
    <t>cách tính thuế thu nhập cá nhân</t>
  </si>
  <si>
    <t>https://techcombank.com/thong-tin/blog/cach-kiem-tra-tai-khoan-ngan-hang-cua-cong-ty</t>
  </si>
  <si>
    <t>1. Cách kiểm tra tài khoản của công ty trực tiếp tại quầy</t>
  </si>
  <si>
    <t>Ngoài các thông tin trên, doanh nghiệp cũng có thể cần tra cứu tài khoản ngân hàng đã đăng ký với cơ quan thuế để đối chiếu thông tin tài khoản phục vụ kê khai và quản lý tài chính.</t>
  </si>
  <si>
    <t>Thêm ngay sau đoạn này: «Bên cạnh đó, doanh nghiệp cũng nên định kỳ tra cứu nợ thuế doanh nghiệp để chủ động hoàn thành nghĩa vụ thuế.»</t>
  </si>
  <si>
    <t>4.2. Có tra cứu mã số thuế hộ kinh doanh ngừng hoạt động được không?</t>
  </si>
  <si>
    <t>Khi tra cứu, website sẽ trả kết quả về tình trạng hoạt động của mã số thuế hộ kinh doanh.</t>
  </si>
  <si>
    <t>Thêm ngay sau đoạn này: «Bên cạnh tình trạng hoạt động, bạn cũng có thể tra cứu nợ thuế theo mã số thuế để kiểm tra các khoản còn tồn đọng.»</t>
  </si>
  <si>
    <t>https://techcombank.com/thong-tin/blog/doi-tien-do-o-dau</t>
  </si>
  <si>
    <t>4.2. Lợi ích khi trả lương qua tài khoản ngân hàng</t>
  </si>
  <si>
    <t>Chuyển đổi sang trả lương qua tài khoản ngân hàng giúp doanh nghiệp tối ưu vận hành và tuân thủ quy định thuế</t>
  </si>
  <si>
    <t>Thêm dòng sau đoạn: «Xem thêm: cách kiểm tra nợ thuế doanh nghiệp online»</t>
  </si>
  <si>
    <t>https://techcombank.com/thong-tin/blog/sao-ke-tai-khoan-doanh-nghiep</t>
  </si>
  <si>
    <t>2.1. Sao kê gián tiếp qua Internet Banking</t>
  </si>
  <si>
    <t>https://techcombank.com/thong-tin/blog/8868</t>
  </si>
  <si>
    <t>Với hình thức này, bạn có thể tự kiểm tra các thông tin về tài khoản, số dư hiện tại, thông tin chi tiết các giao dịch, xuất danh sách giao dịch...</t>
  </si>
  <si>
    <t>Thêm ngay sau đoạn này: «Bên cạnh sao kê, doanh nghiệp cũng nên định kỳ kiểm tra nợ thuế doanh nghiệp trên hệ thống thuế điện tử.»</t>
  </si>
  <si>
    <t>https://techcombank.com/thong-tin/blog/vay-ngan-hang-1-ty-moi-thang-tra-bao-nhieu</t>
  </si>
  <si>
    <t>Home Loan</t>
  </si>
  <si>
    <t>Theo dõi báo cáo tài chính và kiểm soát dòng tiền thường xuyên là nền tảng cốt lõi giúp doanh nghiệp vận hành ổn định và ra quyết định chiến lược chính xác.</t>
  </si>
  <si>
    <t>Thêm ngay sau đoạn này: «Doanh nghiệp cũng nên định kỳ kiểm tra nợ thuế doanh nghiệp để chủ động hoàn thành nghĩa vụ thuế.»</t>
  </si>
  <si>
    <t>https://techcombank.com/thong-tin/blog/tra-cuu-no-thue-ho-kinh-doanh</t>
  </si>
  <si>
    <t>2.2. Cách tra cứu nợ thuế hộ kinh doanh trên Cổng Thuế điện tử của Tổng cục Thuế</t>
  </si>
  <si>
    <t>Ngoài eTax Mobile, hộ kinh doanh cũng có thể tra cứu thông tin nợ thuế trên Cổng Thuế điện tử của Tổng cục Thuế:</t>
  </si>
  <si>
    <t>Thêm dòng sau đoạn: «Xem thêm: cách tra cứu nợ thuế doanh nghiệp online»</t>
  </si>
  <si>
    <t>https://techcombank.com/thong-tin/blog/traveloka-voucher</t>
  </si>
  <si>
    <t>Loyalty</t>
  </si>
  <si>
    <t>2. 2. Cách tính thuế thu nhập doanh nghiệp (TNDN) mới chính xác 2026</t>
  </si>
  <si>
    <t>Doanh nghiệp cần tính toán chính xác thu nhập tính thuế để biết thuế doanh nghiệp bao nhiêu và xác định mức thuế suất phù hợp.</t>
  </si>
  <si>
    <t>Thêm ngay sau đoạn này: «Sau khi nộp, doanh nghiệp có thể tra cứu nợ thuế doanh nghiệp để kiểm tra nghĩa vụ còn lại.»</t>
  </si>
  <si>
    <t>https://techcombank.com/thong-tin/blog/mo-them-tai-khoan-ngan-hang-cho-cong-ty</t>
  </si>
  <si>
    <t>2.2. Hạn chế</t>
  </si>
  <si>
    <t>Ngoài ra, doanh nghiệp mới còn được miễn phí gói dịch vụ thành lập trị giá 3,000,000 VND …</t>
  </si>
  <si>
    <t>Thêm dòng sau đoạn: «Xem thêm: cách tra cứu nợ thuế theo mã số thuế»</t>
  </si>
  <si>
    <t>Liên quan vừa phải</t>
  </si>
  <si>
    <t>https://techcombank.com/thong-tin/blog/mo-hinh-kinh-doanh-la-gi</t>
  </si>
  <si>
    <t>https://techcombank.com/thong-tin/blog/tra-cuu-no-thue-ca-nhan</t>
  </si>
  <si>
    <t>5. Trường hợp được xóa nợ thuế thu nhập cá nhân</t>
  </si>
  <si>
    <t>Để tránh phát sinh nợ thuế hoặc chậm nộp, người nộp thuế nên thường xuyên kiểm tra cứu nợ thuế cá nhân…</t>
  </si>
  <si>
    <t>Thêm ngay sau đoạn này: «Với doanh nghiệp, kế toán có thể tra cứu nợ thuế theo mã số thuế trên cổng thuế điện tử.»</t>
  </si>
  <si>
    <t>Trang đích về nợ thuế doanh nghiệp</t>
  </si>
  <si>
    <t>cách kiểm tra tài khoản ngân hàng</t>
  </si>
  <si>
    <t>3. Cách 2: Tra cứu thuế thu nhập cá nhân qua ứng dụng eTax Mobile</t>
  </si>
  <si>
    <t>Kể từ khi số CCCD thay cho mã số thuế, thao tác tra cứu nợ thuế cá nhân bằng CCCD cũng chỉ mất vài phút và không đòi hỏi thêm giấy tờ nào khác.</t>
  </si>
  <si>
    <t>Thêm ngay sau đoạn này: «Với doanh nghiệp, bạn có thể tham khảo cách tra cứu nợ thuế theo mã số thuế doanh nghiệp.»</t>
  </si>
  <si>
    <t>https://techcombank.com/thong-tin/blog/99999-co-y-nghia-gi</t>
  </si>
  <si>
    <t>Trang đích dành cho doanh nghiệp</t>
  </si>
  <si>
    <t>1. Quy định mới nhất về mã số thuế cá nhân</t>
  </si>
  <si>
    <t>Dễ dàng tra cứu, quản lý và lưu trữ thông tin: Mọi dữ liệu về thu nhập, nộp thuế, hoàn thuế… đều được liên kết thống nhất theo một mã duy nhất…</t>
  </si>
  <si>
    <t>Thêm ngay sau đoạn này: «Với doanh nghiệp, bạn cũng có thể tra cứu nợ thuế theo mã số thuế trực tuyến.»</t>
  </si>
  <si>
    <t>Bài về cá nhân, trang đích về doanh nghiệp</t>
  </si>
  <si>
    <t>https://techcombank.com/thong-tin/blog/gui-ma-qr-ngan-hang</t>
  </si>
  <si>
    <t>2. Tra cứu thông tin quyết toán thuế thu nhập cá nhân</t>
  </si>
  <si>
    <t>Bước 2: Điền mã số thuế, năm quyết toán và ấn tra cứu</t>
  </si>
  <si>
    <t>Thêm dòng sau đoạn: «Xem thêm: Cách tra cứu nợ thuế theo mã số thuế»</t>
  </si>
  <si>
    <t>Đoạn các bước – dùng Xem thêm; trang đích về doanh nghiệp</t>
  </si>
  <si>
    <t>thuế doanh nghiệp</t>
  </si>
  <si>
    <t>Thuế doanh nghiệp là một trong những nội dung quan trọng mà bất kỳ đơn vị kinh doanh nào cũng cần nắm rõ để dự trù chi phí và đảm bảo tuân thủ quy định.</t>
  </si>
  <si>
    <t>Bôi đen cụm «thuế doanh nghiệp» trong câu trên, gắn link.</t>
  </si>
  <si>
    <t>5. Techcombank đồng hành cùng Hộ kinh doanh chuyển đổi lên Doanh nghiệp</t>
  </si>
  <si>
    <t>Loạt chính sách mới về phí và thuế doanh nghiệp 2025 đóng vai trò như một công cụ tài khóa khuyến khích chính thức hóa hoạt động kinh doanh…</t>
  </si>
  <si>
    <t>https://techcombank.com/thong-tin/blog/mo-tai-khoan-ho-kinh-doanh</t>
  </si>
  <si>
    <t>Hiểu một cách bản chất, quyết toán thuế doanh nghiệp là quá trình doanh nghiệp tiến hành khai báo, tính toán lại một cách chính xác tổng số thuế phải nộp…</t>
  </si>
  <si>
    <t>https://techcombank.com/thong-tin/blog/an-han-no-goc-la-gi</t>
  </si>
  <si>
    <t>1. Đối tượng nộp thuế thuế thu nhập doanh nghiệp 2026 (TNDN)</t>
  </si>
  <si>
    <t>Xác định chính xác đối tượng chịu thuế là nền tảng cho việc tuân thủ quy định thuế doanh nghiệp 2026.</t>
  </si>
  <si>
    <t>https://techcombank.com/thong-tin/blog/cach-tinh-thue-ho-kinh-doanh-nho-le</t>
  </si>
  <si>
    <t>Minh bạch về chi phí và nghĩa vụ thuế ngay từ đầu giúp doanh nghiệp vận hành hiệu quả, quản lý dòng tiền thông suốt và tránh rủi ro pháp lý.</t>
  </si>
  <si>
    <t>Thêm ngay sau đoạn này: «Bạn có thể tham khảo chi tiết các khoản thuế doanh nghiệp phải nộp để chủ động kế hoạch tài chính.»</t>
  </si>
  <si>
    <t>cách mở tài khoản ngân hàng</t>
  </si>
  <si>
    <t>Dù vậy, việc vận hành hệ thống kế toán cũng như kê khai thuế doanh nghiệp sao cho vừa đúng tiến độ, vừa chuẩn chỉnh theo quy định hiện hành luôn là bài toán đòi hỏi sự chính xác cao.</t>
  </si>
  <si>
    <t>4. Bí quyết quản lý thuế hiệu quả cho Startup</t>
  </si>
  <si>
    <t>Một hệ thống quản lý thuế tốt không chỉ giúp doanh nghiệp khởi nghiệp tiết kiệm thời gian và chi phí, mà còn hạn chế tối đa rủi ro phát sinh trong quá trình vận hành.</t>
  </si>
  <si>
    <t>Sửa câu thành: «Một hệ thống quản lý thuế doanh nghiệp tốt không chỉ giúp doanh nghiệp khởi nghiệp tiết kiệm thời gian và chi phí, mà còn hạn chế tối đa rủi ro phát sinh trong quá trình vận hành.»</t>
  </si>
  <si>
    <t>3. Các khoản phí phục vụ hoạt động kinh doanh khác</t>
  </si>
  <si>
    <t>Ngoài các loại thuế và phí đăng ký, doanh nghiệp cần dự trù những khoản chi phí thường xuyên…</t>
  </si>
  <si>
    <t>Sửa câu thành: «Ngoài các loại thuế doanh nghiệp và phí đăng ký, doanh nghiệp cần dự trù những khoản chi phí thường xuyên…»</t>
  </si>
  <si>
    <t>https://techcombank.com/thong-tin/blog/ho-so-thu-tuc-xoa-the-chap</t>
  </si>
  <si>
    <t>Việc chủ động rà soát điều kiện và hoàn thiện hồ sơ "chuẩn chỉnh" ngay từ đầu chính là chìa khóa giúp doanh nghiệp sớm tiếp cận lại nguồn vốn tối ưu này.</t>
  </si>
  <si>
    <t>Thêm ngay sau đoạn này: «Bên cạnh hoàn thuế, doanh nghiệp nên nắm rõ các khoản thuế doanh nghiệp phải nộp để chủ động kê khai.»</t>
  </si>
  <si>
    <t>Thủ tục cấp mã số thuế cho doanh nghiệp khi thành lập đối với công ty, mã số thuế đồng thời là mã số doanh nghiệp…</t>
  </si>
  <si>
    <t>Thêm ngay sau đoạn này: «Sau khi đăng ký, doanh nghiệp cần nắm rõ các khoản thuế doanh nghiệp phải nộp định kỳ.»</t>
  </si>
  <si>
    <t>https://techcombank.com/thong-tin/blog/anh-sang-cuoi-duong-ham-xuat-hien-trai-phieu-doanh-nghiep-tot-va-an-toan-se-duoc-nha-dau-tu-chon</t>
  </si>
  <si>
    <t>https://techcombank.com/thong-tin/blog/rut-tien-tiet-kiem-truoc-thoi-han</t>
  </si>
  <si>
    <t>6. Ví dụ minh họa cách tính thuế thu nhập doanh nghiệp áp dụng từ 1/10/2025</t>
  </si>
  <si>
    <t>Kết luận: Trong năm 2025, Công ty A phải nộp 900 triệu VND thuế thu nhập doanh nghiệp.</t>
  </si>
  <si>
    <t>Thêm ngay sau đoạn này: «Ngoài thuế TNDN, bạn có thể tham khảo thêm các khoản thuế doanh nghiệp phải nộp khác.»</t>
  </si>
  <si>
    <t>Bằng việc cập nhật chính sách thuế mới , chuyên nghiệp hóa quản lý tài chính, triển khai hóa đơn điện tử – thanh toán số, và cân nhắc chuyển đổi lên mô hình doanh nghiệp…</t>
  </si>
  <si>
    <t>Thêm ngay sau đoạn này: «Trước khi chuyển đổi, chủ hộ nên tìm hiểu các loại thuế doanh nghiệp phải nộp để chuẩn bị phù hợp.»</t>
  </si>
  <si>
    <t>https://techcombank.com/thong-tin/blog/so-tiet-kiem-ngan-hang</t>
  </si>
  <si>
    <t>2.3. Lập hồ sơ và kê khai thuế đúng hạn</t>
  </si>
  <si>
    <t>Startup nên chủ động chuẩn bị hồ sơ pháp lý chứng minh đủ điều kiện ưu đãi, đồng thời thực hiện kê khai thuế định kỳ theo đúng thời hạn.</t>
  </si>
  <si>
    <t>ngân hàng uy tín</t>
  </si>
  <si>
    <t>Thêm ngay sau đoạn này: «Bạn có thể tham khảo các khoản thuế doanh nghiệp phải nộp để chủ động kê khai.»</t>
  </si>
  <si>
    <t>3.3. Thời hạn nộp hồ sơ khai thuế</t>
  </si>
  <si>
    <t>Việc hiểu rõ quy định và chuẩn bị kịp thời sẽ giúp doanh nghiệp tận dụng tốt các ưu đãi, giảm thiểu rủi ro và mở rộng tiềm năng tăng trưởng.</t>
  </si>
  <si>
    <t>Thêm ngay sau đoạn này: «Doanh nghiệp cũng nên nắm rõ các khoản thuế doanh nghiệp phải nộp để chủ động kế hoạch tài chính.»</t>
  </si>
  <si>
    <t>https://techcombank.com/thong-tin/blog/dang-ky-thanh-lap-doanh-nghiep-online</t>
  </si>
  <si>
    <t>https://techcombank.com/thong-tin/blog/cach-tiet-kiem-tien</t>
  </si>
  <si>
    <t>6. Bước 6: Nhận kết quả đăng ký doanh nghiệp</t>
  </si>
  <si>
    <t>Đăng ký thành lập doanh nghiệp online giúp đơn giản hóa đáng kể thủ tục hành chính, đặc biệt trong giai đoạn khởi đầu khi thời gian và chi phí đều cần được tối ưu.</t>
  </si>
  <si>
    <t>Thêm ngay sau đoạn này: «Sau khi thành lập, doanh nghiệp nên tìm hiểu các khoản thuế doanh nghiệp phải nộp để kê khai đúng hạn.»</t>
  </si>
  <si>
    <t>4. Quy trình, thủ tục thành lập doanh nghiệp</t>
  </si>
  <si>
    <t>Sau khi có Giấy chứng nhận và mã số thuế, doanh nghiệp tiến hành khắc dấu pháp nhân.</t>
  </si>
  <si>
    <t>https://techcombank.com/thong-tin/blog/anh-trai-vuot-ngan-chong-gai-mua-2</t>
  </si>
  <si>
    <t>Thêm ngay sau đoạn này: «Đồng thời, doanh nghiệp nên tìm hiểu các khoản thuế doanh nghiệp phải nộp để kê khai đúng hạn.»</t>
  </si>
  <si>
    <t>https://techcombank.com/thong-tin/blog/rui-ro-khi-gui-tiet-kiem-online</t>
  </si>
  <si>
    <t>3.2. Đánh giá sai về các chi phí vận hành</t>
  </si>
  <si>
    <t>Nhiều hộ kinh doanh thường chỉ tính đến chi phí ban đầu mà bỏ qua các khoản phát sinh sau khi chuyển đổi như: chi phí kế toán, nhân sự, bảo hiểm xã hội, phần mềm quản lý hay thuế định kỳ.</t>
  </si>
  <si>
    <t>Thêm ngay sau đoạn này: «Vì vậy, chủ hộ nên tìm hiểu trước các khoản thuế doanh nghiệp phải nộp để dự trù dòng tiền.»</t>
  </si>
  <si>
    <t>So sánh các thuế phí giữa hộ kinh doanh và doanh nghiệp.</t>
  </si>
  <si>
    <t>Thêm dòng sau đoạn: «Xem thêm: các khoản thuế doanh nghiệp phải nộp»</t>
  </si>
  <si>
    <t>Câu chú thích bảng – dùng Xem thêm</t>
  </si>
  <si>
    <t>1. Công ty có thể sử dụng tài khoản cá nhân không?</t>
  </si>
  <si>
    <t>Rủi ro pháp lý: Sử dụng tài khoản cá nhân trong hoạt động kinh doanh có thể dẫn đến sai sót trong việc kê khai thuế và khó chứng minh chi phí hợp lệ của doanh nghiệp</t>
  </si>
  <si>
    <t>Thêm ngay sau đoạn này: «Doanh nghiệp nên nắm rõ các khoản thuế doanh nghiệp phải nộp để kê khai đúng và đủ.»</t>
  </si>
  <si>
    <t>Nhìn chung, ưu đãi về thuế, tín dụng cho doanh nghiệp mới thành lập 2026 đã tạo ra một nền tảng chính sách tương đối toàn diện, từ miễn giảm nghĩa vụ thuế, phí đến hỗ trợ lãi suất và chuyển đổi số.</t>
  </si>
  <si>
    <t>Thêm ngay sau đoạn này: «Bên cạnh các ưu đãi, doanh nghiệp cũng nên nắm rõ các khoản thuế doanh nghiệp phải nộp để chủ động kê khai.»</t>
  </si>
  <si>
    <t>chuyển khoản thành công nhưng không nhận được tiền</t>
  </si>
  <si>
    <t>https://techcombank.com/thong-tin/blog/kiem-tra-no-xau</t>
  </si>
  <si>
    <t>https://techcombank.com/thong-tin/blog/app-chia-tien</t>
  </si>
  <si>
    <t>https://techcombank.com/thong-tin/blog/nen-vay-tin-chap-o-dau</t>
  </si>
  <si>
    <t>https://techcombank.com/thong-tin/blog/bao-lanh-ngan-hang-la-gi</t>
  </si>
  <si>
    <t>3. Các loại bảo lãnh ngân hàng phổ biến hiện nay</t>
  </si>
  <si>
    <t>Bảo lãnh thuế (Tax Guarantee) là cam kết của ngân hàng nhằm bảo đảm nghĩa vụ nộp thuế đối với lô hàng nhập khẩu thay cho doanh nghiệp (bên được bảo lãnh)…</t>
  </si>
  <si>
    <t>https://techcombank.com/thong-tin/blog/no-xau-la-gi</t>
  </si>
  <si>
    <t>https://techcombank.com/thong-tin/blog/cac-loai-hinh-doanh-nghiep</t>
  </si>
  <si>
    <t>7. Lời khuyên khi lựa chọn loại hình doanh nghiệp</t>
  </si>
  <si>
    <t>Kết lại, việc lựa chọn loại hình doanh nghiệp phù hợp là bước nền tảng quyết định hướng đi và khả năng phát triển lâu dài của doanh nghiệp.</t>
  </si>
  <si>
    <t>Thêm ngay sau đoạn này: «Sau khi thành lập, doanh nghiệp cũng cần nắm rõ các khoản thuế doanh nghiệp phải nộp.»</t>
  </si>
  <si>
    <t>bao nhiêu tuổi được mở tài khoản ngân hàng</t>
  </si>
  <si>
    <t>1. Tách biệt tài chính cá nhân và tài chính kinh doanh</t>
  </si>
  <si>
    <t>https://techcombank.com/thong-tin/blog/vay-tin-chap-khong-tra-duoc-co-sao-khong</t>
  </si>
  <si>
    <t>Việc này làm mờ cấu trúc chi phí, gây khó khăn cho việc đánh giá biên lợi nhuận thực tế và hạch toán thuế.</t>
  </si>
  <si>
    <t>Thêm ngay sau đoạn này: «Tách bạch dòng tiền cũng giúp doanh nghiệp kê khai các khoản thuế doanh nghiệp chính xác hơn.»</t>
  </si>
  <si>
    <t>4.2. Cách 2: Qua ngân hàng số Techcombank Business</t>
  </si>
  <si>
    <t>Việc nộp thuế và tra cứu nợ thuế hải quan trực tuyến không chỉ giúp doanh nghiệp tiết kiệm thời gian, chi phí mà còn đảm bảo tính minh bạch…</t>
  </si>
  <si>
    <t>Thêm ngay sau đoạn này: «Bên cạnh thuế hải quan, doanh nghiệp cũng nên nắm rõ các khoản thuế doanh nghiệp phải nộp khác.»</t>
  </si>
  <si>
    <t>1.6. Điều kiện về hồ sơ đăng ký hợp lệ</t>
  </si>
  <si>
    <t>Hồ sơ phải có đầy đủ các thông tin theo quy định, chữ ký hợp pháp và được kê khai trung thực.</t>
  </si>
  <si>
    <t>https://techcombank.com/thong-tin/blog/phuong-phap-dau-tu-chung-chi-quy</t>
  </si>
  <si>
    <t>Thêm ngay sau đoạn này: «Sau khi thành lập, doanh nghiệp cũng cần nắm rõ các loại thuế doanh nghiệp phải nộp để kê khai đúng hạn.»</t>
  </si>
  <si>
    <t>Wealth</t>
  </si>
  <si>
    <t>https://techcombank.com/thong-tin/blog/app-dong-tien-dien-online</t>
  </si>
  <si>
    <t>Dịch vụ thanh toán cho Doanh nghiệp nhỏ : Đa dạng gói dịch vụ gồm thanh toán trong nước , chuyển tiền nộp ngân sách nhà nước…</t>
  </si>
  <si>
    <t>Thêm dòng sau đoạn: «Xem thêm: các loại thuế doanh nghiệp phải nộp»</t>
  </si>
  <si>
    <t>Đoạn liệt kê sản phẩm – dùng Xem thêm</t>
  </si>
  <si>
    <t>2. Hướng dẫn 3 cách kiểm tra mã số thuế doanh nghiệp nhanh nhất</t>
  </si>
  <si>
    <t>Bạn có thể dễ dàng kiểm tra hay tra cứu mã số thuế doanh nghiệp trực tuyến hoàn toàn miễn phí thông qua 3 kênh chính thống sau:</t>
  </si>
  <si>
    <t>Đặt sau danh sách kênh</t>
  </si>
  <si>
    <t>https://techcombank.com/thong-tin/blog/ho-so-dang-ky-thanh-lap-doanh-nghiep</t>
  </si>
  <si>
    <t>2. Chi tiết hồ sơ đăng ký thành lập doanh nghiệp theo từng loại hình</t>
  </si>
  <si>
    <t>Techcombank và đối tác Cenvi: ưu đãi dịch vụ thành lập doanh nghiệp trọn gói (trị giá ưu đãi 3,000,000 VNĐ) bao gồm…</t>
  </si>
  <si>
    <t>Thêm ngay sau đoạn này: «Sau khi thành lập, doanh nghiệp cũng cần nắm rõ các khoản thuế doanh nghiệp phải nộp để kê khai đúng hạn.»</t>
  </si>
  <si>
    <t>Đoạn ưu đãi, nên đọc lại</t>
  </si>
  <si>
    <t>Chỉ được sử dụng tài khoản công ty cho mục đích kinh doanh, không được dùng cho mục đích cá nhân để đảm bảo tính minh bạch và hợp pháp…</t>
  </si>
  <si>
    <t>Thêm ngay sau đoạn này: «Ngược lại, trường hợp công ty sử dụng tài khoản cá nhân để giao dịch cũng cần lưu ý các quy định liên quan.»</t>
  </si>
  <si>
    <t>mở tài khoản ngân hàng dưới 18 tuổi</t>
  </si>
  <si>
    <t>công ty dùng tài khoản cá nhân có được không</t>
  </si>
  <si>
    <t>Trường hợp mua hàng trên 20 triệu đồng nhưng bên mua chuyển tiền từ tài khoản cá nhân chuyển vào tài khoản công ty, bên mua sẽ không có chứng từ thanh toán không dùng tiền mặt…</t>
  </si>
  <si>
    <t>Thêm dòng sau đoạn: «Xem thêm: Công ty dùng tài khoản cá nhân có được không?»</t>
  </si>
  <si>
    <t>Gạch đầu dòng quy định – dùng Xem thêm</t>
  </si>
  <si>
    <t>https://techcombank.com/thong-tin/blog/nop-tien-mat-vao-tai-khoan-cong-ty</t>
  </si>
  <si>
    <t>3.3. Có nộp tiền mặt vào tài khoản công ty online được không?</t>
  </si>
  <si>
    <t>Doanh nghiệp chỉ có thể thực hiện việc nộp tiền mặt vào tài khoản công ty thông qua hai cách đã đề cập trong bài viết…</t>
  </si>
  <si>
    <t>Thêm ngay sau đoạn này: «Nhiều chủ doanh nghiệp cũng thắc mắc công ty dùng tài khoản cá nhân có được không khi giao dịch.»</t>
  </si>
  <si>
    <t>https://techcombank.com/thong-tin/blog/tai-khoan-cong-ty-co-chuyen-online-duoc-khong</t>
  </si>
  <si>
    <t>3. Câu hỏi thường gặp khi chuyển khoản online của tài khoản công ty</t>
  </si>
  <si>
    <t>Khi chuyển tiền từ tài khoản công ty sang cá nhân, doanh nghiệp cần thực hiện đúng quy định và lưu giữ đầy đủ chứng từ để đảm bảo giao dịch được hạch toán hợp lệ.</t>
  </si>
  <si>
    <t>Thêm ngay sau đoạn này: «Ngược lại, nếu bạn thắc mắc công ty dùng tài khoản cá nhân có được không, cần lưu ý các quy định về chứng từ và hạch toán.»</t>
  </si>
  <si>
    <t>6. Mở tài khoản doanh nghiệp cùng Techcombank</t>
  </si>
  <si>
    <t>Techcombank đồng hành cùng doanh nghiệp mới ngay từ những bước đầu khởi nghiệp.</t>
  </si>
  <si>
    <t>Thêm ngay sau đoạn này: «Nhiều chủ doanh nghiệp mới cũng băn khoăn công ty dùng tài khoản cá nhân có được không trước khi mở tài khoản doanh nghiệp.»</t>
  </si>
  <si>
    <t>https://techcombank.com/thong-tin/blog/app-gui-tien-tiet-kiem</t>
  </si>
  <si>
    <t>3. Điều kiện để doanh nghiệp sở hữu tài khoản ngân hàng</t>
  </si>
  <si>
    <t>Lưu ý, với khách hàng hộ kinh doanh, quy trình mở tài khoản sẽ giống với quy trình mở tài khoản cá nhân.</t>
  </si>
  <si>
    <t>Thêm ngay sau đoạn này: «Nhiều chủ doanh nghiệp cũng băn khoăn việc công ty sử dụng tài khoản cá nhân để giao dịch có được không.»</t>
  </si>
  <si>
    <t>4.2. Sau khi đóng tài khoản có thể mở lại không?</t>
  </si>
  <si>
    <t>Trên đây là toàn bộ thông tin về quy định liên quan đến việc đóng tài khoản công ty .</t>
  </si>
  <si>
    <t>Thêm ngay sau đoạn này: «Bên cạnh đó, doanh nghiệp cũng nên lưu ý việc công ty sử dụng tài khoản cá nhân có được không để giao dịch đúng quy định.»</t>
  </si>
  <si>
    <t>1. Miễn các chi phí mở tài khoản ngân hàng cho công ty</t>
  </si>
  <si>
    <t>Chương trình mở tài khoản công ty miễn phí được các ngân hàng thực hiện như một chính sách hỗ trợ và khuyến khích doanh nghiệp mở tài khoản…</t>
  </si>
  <si>
    <t>Thêm ngay sau đoạn này: «Nhiều chủ doanh nghiệp nhỏ cũng thắc mắc liệu công ty sử dụng tài khoản cá nhân để giao dịch có được không.»</t>
  </si>
  <si>
    <t>Nếu muốn hạn chế rủi ro cá nhân, nên chọn Công ty TNHH hoặc Công ty Cổ phần, bởi các hình thức này áp dụng trách nhiệm hữu hạn, giúp bảo vệ tài sản cá nhân khỏi các khoản nợ của doanh nghiệp.</t>
  </si>
  <si>
    <t>nạp tiền vào tài khoản ngân hàng</t>
  </si>
  <si>
    <t>Thêm ngay sau đoạn này: «Doanh nghiệp cũng nên tìm hiểu quy định về việc công ty sử dụng tài khoản cá nhân để tách bạch tài chính.»</t>
  </si>
  <si>
    <t>https://techcombank.com/thong-tin/blog/app-mua-truoc-tra-sau</t>
  </si>
  <si>
    <t>6.2. Trực tiếp tại quầy giao dịch Techcombank</t>
  </si>
  <si>
    <t>Để tối ưu hóa hơn nữa khả năng quản lý tài chính và dòng tiền, việc công ty mở nhiều tài khoản ngân hàng là giải pháp hiệu quả giúp linh hoạt trong hoạt động thu chi và phân tách dòng tiền…</t>
  </si>
  <si>
    <t>Thêm ngay sau đoạn này: «Doanh nghiệp cũng nên tìm hiểu quy định về việc công ty sử dụng tài khoản cá nhân để tránh rủi ro khi giao dịch.»</t>
  </si>
  <si>
    <t>Kiểm tra tài khoản ngân hàng của công ty trực tiếp sẽ được hỗ trợ nhiệt tình từ phía nhân viên ngân hàng.</t>
  </si>
  <si>
    <t>Thêm ngay sau đoạn này: «Nếu đang băn khoăn công ty dùng tài khoản cá nhân có được không, bạn có thể tham khảo thêm quy định hiện hành.»</t>
  </si>
  <si>
    <t>https://techcombank.com/thong-tin/blog/dang-ky-nhieu-tai-khoan-ngan-hang-co-sao-khong</t>
  </si>
  <si>
    <t>3.4. Làm thế nào để quản lý nhiều tài khoản hiệu quả?</t>
  </si>
  <si>
    <t>Để tối ưu việc quản lý và sử dụng, người dùng nên mở từ 2 đến 3 tài khoản thanh toán khác nhau ứng với từng hành vi tiêu dùng hoặc dòng tiền của bản thân.</t>
  </si>
  <si>
    <t>Thêm ngay sau đoạn này: «Nếu bạn là chủ doanh nghiệp, cũng nên tìm hiểu công ty dùng tài khoản cá nhân có được không để tránh rủi ro.»</t>
  </si>
  <si>
    <t>Bài hướng cá nhân, trang đích hướng doanh nghiệp</t>
  </si>
  <si>
    <t>4.5. Tiền vay mượn người thân, bạn bè chuyển vào tài khoản cá nhân có phải nộp thuế không?</t>
  </si>
  <si>
    <t>Tiền vay mượn người thân, bạn bè chuyển vào tài khoản cá nhân không cần nộp thuế.</t>
  </si>
  <si>
    <t>Thêm ngay sau đoạn này: «Với doanh nghiệp, việc công ty sử dụng tài khoản cá nhân để giao dịch cần lưu ý thêm các quy định riêng.»</t>
  </si>
  <si>
    <t>7.2. Các khoản lỗ được kết chuyển (**)</t>
  </si>
  <si>
    <t>Techcombank đồng hành cùng doanh nghiệp trong quá trình vận hành kinh doanh.</t>
  </si>
  <si>
    <t>Thêm ngay sau đoạn này: «Doanh nghiệp cũng nên lưu ý quy định khi công ty sử dụng tài khoản cá nhân để giao dịch.»</t>
  </si>
  <si>
    <t>https://techcombank.com/thong-tin/blog/app-ngan-hang</t>
  </si>
  <si>
    <t>https://techcombank.com/thong-tin/blog/mau-mo-tai-khoan-doanh-nghiep-techcombank</t>
  </si>
  <si>
    <t>Phần G: Cam kết của khách hàng</t>
  </si>
  <si>
    <t>Hồ sơ tài chính minh bạch sau khi mở tài khoản giúp doanh nghiệp tăng khả năng được ngân hàng phê duyệt khoản vay vốn doanh nghiệp không thế chấp…</t>
  </si>
  <si>
    <t>Thêm ngay sau đoạn này: «Doanh nghiệp cũng nên lưu ý quy định về việc công ty sử dụng tài khoản cá nhân để giao dịch.»</t>
  </si>
  <si>
    <t>cách tính thuế TNDN</t>
  </si>
  <si>
    <t>1.1. Thuế thu nhập doanh nghiệp (TNDN) - phân bậc theo doanh thu</t>
  </si>
  <si>
    <t>Trước đây, thuế TNDN áp dụng mức chung 20% cho hầu hết doanh nghiệp, bất kể quy mô.</t>
  </si>
  <si>
    <t>Thêm dòng sau đoạn: «Xem thêm: Cách tính thuế TNDN theo quy định mới»</t>
  </si>
  <si>
    <t>công thức tính thuế TNDN</t>
  </si>
  <si>
    <t>Thuế TNDN = Thu nhập tính thuế trong kỳ x Thuế suất</t>
  </si>
  <si>
    <t>Thêm dòng sau đoạn: «Xem thêm: Công thức tính thuế TNDN và ví dụ chi tiết»</t>
  </si>
  <si>
    <t>cách sao kê tài khoản ngân hàng</t>
  </si>
  <si>
    <t>Đoạn công thức – dùng Xem thêm</t>
  </si>
  <si>
    <t>https://techcombank.com/thong-tin/blog/app-ngan-hang-co-dung-duoc-o-nuoc-ngoai</t>
  </si>
  <si>
    <t>1. Chi phí không được trừ khi tính thuế TNDN là gì?</t>
  </si>
  <si>
    <t>Xác định rõ các khoản chi không được trừ giúp doanh nghiệp tối ưu nghĩa vụ thuế.</t>
  </si>
  <si>
    <t>Thêm ngay sau đoạn này: «Bạn có thể tham khảo thêm cách tính thuế thu nhập doanh nghiệp để áp dụng đúng công thức.»</t>
  </si>
  <si>
    <t>URL đích</t>
  </si>
  <si>
    <t>Số bài blog chèn link</t>
  </si>
  <si>
    <t>Số bài blog chèn link trong thân bài</t>
  </si>
  <si>
    <t>Anchor text</t>
  </si>
  <si>
    <t>Bài blog chứa link</t>
  </si>
  <si>
    <t>Khấu hao nhanh trong tiếng Anh là Accelerated Depreciation , chỉ phương pháp cho phép doanh nghiệp trích khấu hao với tỷ lệ cao hơn trong những năm đầu, giúp thu hồi vốn nhanh hơn và giảm nghĩa vụ thuế tạm thời.</t>
  </si>
  <si>
    <t>Thêm ngay sau đoạn này: «Để thấy rõ tác động này, bạn có thể tham khảo cách tính thuế thu nhập doanh nghiệp.»</t>
  </si>
  <si>
    <t>2.1. Rủi ro về thuế và chi phí được trừ</t>
  </si>
  <si>
    <t>Điều này làm tăng thu nhập chịu thuế, phát sinh số thuế phải nộp thêm và tiềm …</t>
  </si>
  <si>
    <t>Thêm ngay sau đoạn này: «Doanh nghiệp có thể tham khảo cách tính thuế thu nhập doanh nghiệp để ước tính chính xác số thuế phải nộp.»</t>
  </si>
  <si>
    <t>2.2. Miễn giảm thuế suất cho doanh nghiệp SMEs thay vì mức cố định 20%</t>
  </si>
  <si>
    <t>Chính sách này thay thế cơ chế thuế suất cố định 20% trước đây, giúp doanh nghiệp nhỏ và siêu nhỏ được hưởng lợi thực chất.</t>
  </si>
  <si>
    <t>Thêm ngay sau đoạn này: «Để xác định số thuế phải nộp theo từng mức thuế suất, doanh nghiệp có thể tham khảo cách tính thuế thu nhập doanh nghiệp.»</t>
  </si>
  <si>
    <t>1. EBITDA phản ánh điều gì trong hoạt động kinh doanh?</t>
  </si>
  <si>
    <t>EBITDA thể hiện lợi nhuận trước lãi vay, thuế, khấu hao tài sản cố định và khấu hao tài sản vô hình.</t>
  </si>
  <si>
    <t>Thêm ngay sau đoạn này: «Để hiểu rõ khoản thuế bị loại trừ, bạn có thể tham khảo cách tính thuế thu nhập doanh nghiệp.»</t>
  </si>
  <si>
    <t>https://techcombank.com/thong-tin/blog/app-ngan-hang-uy-tin</t>
  </si>
  <si>
    <t>2.1. Chuyển tiền từ tài khoản công ty</t>
  </si>
  <si>
    <t>Doanh nghiệp thường thực hiện giao dịch cho 3 mục đích chuyển tiền chính: Thanh toán trong và ngoài nước, chuyển tiền thuế và chi trả lương cho nhân viên.</t>
  </si>
  <si>
    <t>Thêm ngay sau đoạn này: «Trước khi chuyển tiền thuế, doanh nghiệp nên nắm rõ cách tính thuế thu nhập doanh nghiệp để xác định đúng số tiền phải nộp.»</t>
  </si>
  <si>
    <t>…khoản chi phí này sẽ được coi là chi phí hợp lý, hợp lệ khi tính thuế Thu nhập doanh nghiệp và khấu trừ thuế Giá trị gia tăng</t>
  </si>
  <si>
    <t>Thêm dòng sau đoạn: «Xem thêm: Cách tính thuế thu nhập doanh nghiệp theo luật mới»</t>
  </si>
  <si>
    <t>1.1. Ưu đãi về thuế và lệ phí từ Nhà nước</t>
  </si>
  <si>
    <t>Ưu đãi không áp dụng với thu nhập từ chuyển nhượng vốn, chuyển nhượng bất động sản…</t>
  </si>
  <si>
    <t>Thêm ngay sau đoạn này: «Để xác định nghĩa vụ thuế với các khoản thu nhập này, doanh nghiệp có thể tham khảo cách tính thuế thu nhập doanh nghiệp.»</t>
  </si>
  <si>
    <t>dãy số phát tài phát lộc</t>
  </si>
  <si>
    <t>Cơ chế ưu đãi theo lộ trình 6 năm cho phép các doanh nghiệp khởi nghiệp tập trung nguồn lực… trước khi phải thực hiện đầy đủ nghĩa vụ thuế.</t>
  </si>
  <si>
    <t>Thêm ngay sau đoạn này: «Để chuẩn bị cho giai đoạn này, doanh nghiệp có thể tham khảo cách tính thuế thu nhập doanh nghiệp.»</t>
  </si>
  <si>
    <t>https://techcombank.com/thong-tin/blog/app-quan-ly-chi-tieu</t>
  </si>
  <si>
    <t>2. Xây dựng kế hoạch tài chính và thuế ngay từ đầu</t>
  </si>
  <si>
    <t>Lập kế hoạch dự phòng : Do chính sách thuế có thể thay đổi theo từng giai đoạn (chẳng hạn miễn thuế 2 - 3 năm đầu, sau đó áp dụng mức thuế suất 15 - 20% tùy doanh thu)…</t>
  </si>
  <si>
    <t>Thêm dòng sau đoạn: «Xem thêm: cách tính thuế thu nhập doanh nghiệp theo luật mới»</t>
  </si>
  <si>
    <t>3.2. Ví dụ minh họa</t>
  </si>
  <si>
    <t>Bước 2: Tính thuế TNDN phải nộp: 3 tỷ VND x 20% = 0.6 tỷ VND</t>
  </si>
  <si>
    <t>Thêm dòng sau đoạn: «Xem thêm: Cách tính thuế TNDN theo luật mới»</t>
  </si>
  <si>
    <t>Các bước tính – dùng Xem thêm</t>
  </si>
  <si>
    <t>4. Cách tính thuế thu nhập doanh nghiệp 2026 chuẩn xác</t>
  </si>
  <si>
    <t>Sau khi biết mức thuế thu nhập doanh nghiệp (TNDN) năm 2026 là bao nhiêu, doanh nghiệp cần hiểu cách tính thuế để xác định chính xác số thuế phải nộp.</t>
  </si>
  <si>
    <t>Sửa câu thành: «Sau khi biết mức thuế thu nhập doanh nghiệp (TNDN) năm 2026 là bao nhiêu, doanh nghiệp cần hiểu cách tính thuế TNDN để xác định chính xác số thuế phải nộp.»</t>
  </si>
  <si>
    <t>4. Những lưu ý "vàng" giúp doanh nghiệp vượt qua kỳ quyết toán an toàn</t>
  </si>
  <si>
    <t>Đảm bảo chứng từ thanh toán không dùng tiền mặt: Tất cả các hóa đơn mua vào và các khoản chi khác có giá trị từ 05 triệu VND trở lên…</t>
  </si>
  <si>
    <t>Gạch đầu dòng có quy định/số liệu – dùng Xem thêm</t>
  </si>
  <si>
    <t>5. Giải đáp thắc mắc khác về lợi nhuận</t>
  </si>
  <si>
    <t>Hiểu rõ lợi nhuận gộp, lợi nhuận ròng, lợi nhuận trước thuế và lãi vay (EBIT), lợi tức là gì cũng như nắm vững cách tính lợi nhuận và công thức lợi nhuận…</t>
  </si>
  <si>
    <t>Thêm ngay sau đoạn này: «Để xác định lợi nhuận sau thuế, doanh nghiệp cũng cần nắm rõ công thức tính thuế TNDN theo quy định hiện hành.»</t>
  </si>
  <si>
    <t>Với doanh nghiệp sử dụng nợ vay và vốn chủ sở hữu, công thức WACC cộng chi phí sau thuế của từng nguồn sau khi nhân với tỷ trọng tương ứng:</t>
  </si>
  <si>
    <t>Thêm dòng sau đoạn: «Xem thêm: công thức tính thuế TNDN theo quy định mới»</t>
  </si>
  <si>
    <t>Đặt sau công thức – dùng Xem thêm</t>
  </si>
  <si>
    <t>6. Phương pháp tính thuế VAT</t>
  </si>
  <si>
    <t>Tùy theo loại hình kinh doanh và quy mô, doanh nghiệp hoặc hộ kinh doanh sẽ áp dụng 1 trong 2 phương pháp tính thuế sau:</t>
  </si>
  <si>
    <t>https://techcombank.com/thong-tin/blog/app-theo-doi-chung-chi-quy</t>
  </si>
  <si>
    <t>Thêm ngay sau đoạn này: «Ngoài thuế VAT, doanh nghiệp cũng cần nắm cách tính thuế TNDN để hoàn thiện nghĩa vụ thuế.»</t>
  </si>
  <si>
    <t>Nên đặt sau phần hai phương pháp</t>
  </si>
  <si>
    <t>1. Cách tính thuế thu nhập cá nhân (TNCN) đối với cá nhân cư trú ký hợp đồng lao động trên</t>
  </si>
  <si>
    <t>Công thức tính thuế thu nhập cá nhân 2026 thứ 2 đối với cá nhân cư trú.</t>
  </si>
  <si>
    <t>Thêm ngay sau đoạn này: «Với doanh nghiệp, bạn có thể tham khảo công thức tính thuế TNDN theo quy định mới.»</t>
  </si>
  <si>
    <t>Chủ đề lệch nhẹ (TNCN vs TNDN)</t>
  </si>
  <si>
    <t>cách nạp tiền điện thoại viettel</t>
  </si>
  <si>
    <t>https://techcombank.com/thong-tin/blog/cach-nap-the-vina</t>
  </si>
  <si>
    <t>2. Nạp thẻ VinaPhone trả trước, trả sau bằng Techcombank Mobile</t>
  </si>
  <si>
    <t>Ngoài việc nạp thẻ VinaPhone, Techcombank Mobile còn hỗ trợ nhiều nhà mạng khác, mang lại sự linh hoạt và tiện lợi cho người sử dụng.</t>
  </si>
  <si>
    <t>Thêm ngay sau đoạn này: «Chẳng hạn, bạn có thể tham khảo cách nạp tiền điện thoại viettel ngay trên ứng dụng.»</t>
  </si>
  <si>
    <t>kiểm tra thuế thu nhập cá nhân</t>
  </si>
  <si>
    <t>https://techcombank.com/thong-tin/blog/cach-nap-the-mobi</t>
  </si>
  <si>
    <t>2. Nạp thẻ MobiFone trả trước, trả sau bằng Techcombank Mobile</t>
  </si>
  <si>
    <t>Thông qua Techcombank Mobile, người dùng không chỉ có thể nạp tiền MobiFone mà còn dễ dàng nạp cho các nhà mạng khác như Viettel, VinaPhone, Vietnamobile...</t>
  </si>
  <si>
    <t>Thêm ngay sau đoạn này: «Bạn có thể tham khảo chi tiết cách nạp tiền điện thoại viettel trên Techcombank Mobile.»</t>
  </si>
  <si>
    <t>https://techcombank.com/thong-tin/blog/nap-tien-dien-thoai-online</t>
  </si>
  <si>
    <t>https://techcombank.com/thong-tin/blog/app-tra-luong</t>
  </si>
  <si>
    <t>1. Nạp tiền điện thoại qua Internet Banking/Mobile Banking</t>
  </si>
  <si>
    <t>Sử dụng Techcombank Mobile giúp bạn dễ nhanh chóng nạp tiền điện thoại trả trước, cước di động trả sau hoặc mua gói data điện thoại và nhận nhiều ưu đãi hấp dẫn.</t>
  </si>
  <si>
    <t>Thêm ngay sau đoạn này: «Với thuê bao Viettel, bạn có thể tham khảo chi tiết cách nạp tiền điện thoại viettel.»</t>
  </si>
  <si>
    <t>Bao nhiêu tuổi được mở tài khoản ngân hàng?</t>
  </si>
  <si>
    <t>https://techcombank.com/thong-tin/blog/shopeepay-la-gi</t>
  </si>
  <si>
    <t>2.2. Nạp điện thoại - Data 4G/5G</t>
  </si>
  <si>
    <t>Nạp điện thoại/data tại các nhà mạng với ưu đãi lên đến 50% giá trị giao dịch</t>
  </si>
  <si>
    <t>Thêm dòng sau đoạn: «Xem thêm: Cách nạp tiền điện thoại Viettel nhanh chóng»</t>
  </si>
  <si>
    <t>Gạch đầu dòng ưu đãi có số liệu – dùng Xem thêm</t>
  </si>
  <si>
    <t>https://techcombank.com/thong-tin/blog/thanh-toan-cuoc-truyen-hinh</t>
  </si>
  <si>
    <t>2.1. Thanh toán cước truyền hình qua ngân hàng số</t>
  </si>
  <si>
    <t>Ngoài ra, Techcombank Mobile còn hỗ trợ thanh toán đa dạng các loại hóa đơn khác như Hóa đơn điện, nước , nạp tiền điện thoại , học phí , vé máy bay , Internet ...</t>
  </si>
  <si>
    <t>Thêm ngay sau đoạn này: «Với thuê bao Viettel, bạn có thể xem thêm cách nạp tiền điện thoại viettel nhanh chóng trên ứng dụng.»</t>
  </si>
  <si>
    <t>Anchor viết thường "viettel" theo yêu cầu nguyên văn</t>
  </si>
  <si>
    <t>https://techcombank.com/thong-tin/blog/thanh-toan-truc-tuyen</t>
  </si>
  <si>
    <t>4. Thanh toán trực tuyến nhanh chóng với Techcombank Mobile</t>
  </si>
  <si>
    <t>Thanh toán hóa đơn và nạp tiền: Thanh toán hóa đơn điện, nước, vé máy bay, nạp tiền điện thoại,...</t>
  </si>
  <si>
    <t>Thêm dòng sau đoạn: «Xem thêm: cách nạp tiền điện thoại viettel nhanh chóng»</t>
  </si>
  <si>
    <t>cách nạp tiền viettel</t>
  </si>
  <si>
    <t>https://techcombank.com/thong-tin/blog/thanh-toan-tra-sau-viettel-bang-tai-khoan-ngan-hang</t>
  </si>
  <si>
    <t>3. Cách 3: Thanh toán cước trả sau qua Viettel Money</t>
  </si>
  <si>
    <t>Viettel Money là nền tảng tài chính số của Viettel, cho phép người dùng thanh toán nhiều loại hóa đơn, trong đó có cước di động trả sau Viettel.</t>
  </si>
  <si>
    <t>Thêm ngay sau đoạn này: «Ngoài cước trả sau, bạn có thể tham khảo cách nạp tiền viettel cho thuê bao trả trước.»</t>
  </si>
  <si>
    <t>nạp thẻ viettel</t>
  </si>
  <si>
    <t>https://techcombank.com/thong-tin/blog/cach-nap-the</t>
  </si>
  <si>
    <t>3. Nạp thẻ điện thoại qua ứng dụng của nhà mạng</t>
  </si>
  <si>
    <t>Hầu hết các nhà mạng hiện nay như Viettel, Vinaphone, Mobiphone,.....đều cung cấp dịch vụ nạp thẻ điện thoại ứng dụng di động.</t>
  </si>
  <si>
    <t>Thêm ngay sau đoạn này: «Với thuê bao Viettel, bạn có thể tham khảo chi tiết các cách nạp thẻ viettel nhanh chóng.»</t>
  </si>
  <si>
    <t>tên đăng nhập tài khoản ngân hàng</t>
  </si>
  <si>
    <t>cách nạp thẻ viettel</t>
  </si>
  <si>
    <t>https://techcombank.com/thong-tin/blog/cach-nap-tien-vao-the-ghi-no</t>
  </si>
  <si>
    <t>5. Lưu ý khi nạp tiền vào thẻ ghi nợ</t>
  </si>
  <si>
    <t>Như vậy, bài viết trên đã hướng dẫn khách hàng 4 cách nạp tiền vào thẻ ghi nợ đúng chuẩn và an toàn.</t>
  </si>
  <si>
    <t>Thêm ngay sau đoạn này: «Từ tài khoản thanh toán, bạn cũng có thể tham khảo cách nạp thẻ viettel ngay trên Mobile Banking.»</t>
  </si>
  <si>
    <t>https://techcombank.com/thong-tin/blog/atm-la-gi</t>
  </si>
  <si>
    <t>https://techcombank.com/thong-tin/blog/vi-dien-tu-la-gi</t>
  </si>
  <si>
    <t>2.1. MoMo</t>
  </si>
  <si>
    <t>Ví điện tử này cho phép người dùng thực hiện đa dạng các giao dịch như chuyển tiền, thanh toán hóa đơn (điện, nước, internet), nạp tiền điện thoại…</t>
  </si>
  <si>
    <t>Thêm ngay sau đoạn này: «Ngoài ví điện tử, bạn có thể tham khảo thêm cách nạp tiền điện thoại Viettel qua ngân hàng số.»</t>
  </si>
  <si>
    <t>Anchor gốc viết thường «viettel», nên viết hoa Viettel</t>
  </si>
  <si>
    <t>https://techcombank.com/thong-tin/blog/cach-chuyen-khoan-bang-dien-thoai</t>
  </si>
  <si>
    <t>7. Một số lỗi có thể gặp khi chuyển khoản và cách xử lý</t>
  </si>
  <si>
    <t>Trên đây là 5 cách chuyển khoản bằng điện thoại tiện lợi, giúp bạn dễ dàng thực hiện giao dịch mọi lúc, mọi nơi.</t>
  </si>
  <si>
    <t>Thêm ngay sau đoạn này: «Bên cạnh chuyển khoản, bạn cũng có thể tham khảo cách nạp tiền điện thoại viettel ngay trên ứng dụng ngân hàng số.»</t>
  </si>
  <si>
    <t>https://techcombank.com/thong-tin/blog/cach-dong-tien-dien-qua-tai-khoan-ngan-hang</t>
  </si>
  <si>
    <t>4. Câu hỏi thường gặp về cách nộp tiền điện qua tài khoản ngân hàng</t>
  </si>
  <si>
    <t>Với tính năng này, khách hàng có thể đóng tiền điện, nước và các hóa đơn dịch vụ khác chỉ với vài thao tác cơ bản.</t>
  </si>
  <si>
    <t>Thêm ngay sau đoạn này: «Bên cạnh đó, bạn cũng có thể tham khảo cách nạp tiền điện thoại viettel ngay trên ứng dụng ngân hàng số.»</t>
  </si>
  <si>
    <t>https://techcombank.com/thong-tin/blog/ban-do-du-lich</t>
  </si>
  <si>
    <t>6. Thanh toán tiền điện online qua Viettel Money</t>
  </si>
  <si>
    <t>Viettel Money là hệ sinh thái tài chính số toàn diện của Tập đoàn Viettel.</t>
  </si>
  <si>
    <t>Thêm dòng sau đoạn: «Xem thêm: cách nạp tiền viettel nhanh chóng»</t>
  </si>
  <si>
    <t>Đặt sau các bước thanh toán; trang đích về nạp thẻ – liên quan vừa phải</t>
  </si>
  <si>
    <t>https://techcombank.com/thong-tin/blog/so-du-tien-gui-la-gi</t>
  </si>
  <si>
    <t>3.1. Kiểm tra số dư tiền gửi online thông qua ứng dụng ngân hàng số</t>
  </si>
  <si>
    <t>Nếu bạn muốn biết cách nạp tiền vào tài khoản ngân hàng một cách nhanh chóng, Techcombank Mobile cũng là công cụ hữu hiệu nhất.</t>
  </si>
  <si>
    <t>Thêm ngay sau đoạn này: «Ứng dụng này cũng hỗ trợ nạp tiền điện thoại, bạn có thể xem thêm cách nạp tiền viettel nhanh chóng ngay trên ứng dụng.»</t>
  </si>
  <si>
    <t>https://techcombank.com/thong-tin/blog/cach-su-dung-the-visa-techcombank</t>
  </si>
  <si>
    <t>1. Cách sử dụng thẻ Visa Debit Techcombank</t>
  </si>
  <si>
    <t>Chỉ với vài phút thao tác, khách hàng có thể mở đồng thời thẻ Visa Debit của Techcombank (cả phiên bản vật lý và phi vật lý) để chuyển tiền, nạp tiền, thanh toán online…</t>
  </si>
  <si>
    <t>Thêm ngay sau đoạn này: «Chẳng hạn, bạn có thể tham khảo cách nạp tiền viettel ngay trên Techcombank Mobile.»</t>
  </si>
  <si>
    <t>https://techcombank.com/thong-tin/blog/bancassurance</t>
  </si>
  <si>
    <t>https://techcombank.com/thong-tin/blog/mat-so-dien-thoai-dang-ky-tai-khoan-ngan-hang</t>
  </si>
  <si>
    <t>2.3. Bước 3: Xác nhận thông tin thay đổi</t>
  </si>
  <si>
    <t>Ngoài ra, sau khi cập nhật số điện thoại mới, bạn cũng có thể thực hi…</t>
  </si>
  <si>
    <t>Thêm ngay sau đoạn này: «Sau khi có số điện thoại mới, bạn cũng có thể nạp thẻ viettel ngay trên ứng dụng ngân hàng nếu dùng mạng Viettel.»</t>
  </si>
  <si>
    <t>thuế thu nhập cá nhân</t>
  </si>
  <si>
    <t>giá điện sinh hoạt</t>
  </si>
  <si>
    <t>https://techcombank.com/thong-tin/blog/cach-tiet-kiem-100-trieu-1-nam</t>
  </si>
  <si>
    <t>2.2. Tối ưu hóa các chi phí lớn</t>
  </si>
  <si>
    <t>Chi phí nhà ở: Nếu đang thuê nhà với mức giá đắt đỏ, hãy cân nhắc chuyển sang một nơi xa trung tâm hơn hoặc tìm thêm bạn cùng phòng để chia sẻ phí thuê nhà và sinh hoạt hàng tháng.</t>
  </si>
  <si>
    <t>Thêm ngay sau đoạn này: «Với hóa đơn tiền điện, bạn có thể tham khảo giá điện sinh hoạt để dự tính và tiết kiệm chi phí.»</t>
  </si>
  <si>
    <t>giá điện sinh hoạt mới nhất</t>
  </si>
  <si>
    <t>https://techcombank.com/thong-tin/blog/tra-cuu-hoa-don-tien-dien</t>
  </si>
  <si>
    <t>2.4. Cách tra cứu hoá đơn tiền điện theo mã khách hàng và thanh toán qua ví điện tử</t>
  </si>
  <si>
    <t>Việc nắm rõ cách tra cứu và thanh toán hóa đơn tiền điện online không chỉ giúp tiết kiệm thời gian mà còn đảm bảo an toàn, minh bạch và tiện lợi hơn so với hình thức truyền thống…</t>
  </si>
  <si>
    <t>Thêm ngay sau đoạn này: «Để tự ước tính số tiền điện hàng tháng, bạn có thể tham khảo bảng giá điện sinh hoạt mới nhất và cách tính.»</t>
  </si>
  <si>
    <t>2.1. Cách đóng tiền điện qua tài khoản ngân hàng với Mobile Banking</t>
  </si>
  <si>
    <t>Đây là cách đóng tiền điện qua Internet Banking phổ biến và dễ dàng nhất hiện nay.</t>
  </si>
  <si>
    <t>Thêm ngay sau đoạn này: «Để dự tính số tiền cần trả mỗi tháng, bạn có thể tham khảo giá điện sinh hoạt mới nhất.»</t>
  </si>
  <si>
    <t>https://techcombank.com/thong-tin/blog/bang-gia-chung-chi-quy</t>
  </si>
  <si>
    <t>rút tiền bằng mã QR</t>
  </si>
  <si>
    <t>https://techcombank.com/thong-tin/blog/bao-hiem-lien-ket-dau-tu</t>
  </si>
  <si>
    <t>1. Đóng tiền điện bằng ngân hàng số</t>
  </si>
  <si>
    <t>Với giao diện đơn giản, dễ dùng, khách hàng hoàn toàn có thể thanh toán tiền điện qua Techcombank Mobile chỉ trong 1 phút.</t>
  </si>
  <si>
    <t>Thêm ngay sau đoạn này: «Trước khi thanh toán, bạn có thể tham khảo giá điện sinh hoạt mới nhất để kiểm tra lại hóa đơn.»</t>
  </si>
  <si>
    <t>https://techcombank.com/thong-tin/blog/bao-hiem-nhan-tho-bao-nhieu-tien</t>
  </si>
  <si>
    <t>https://techcombank.com/thong-tin/blog/thanh-toan-tien-dien-bang-the-tin-dung</t>
  </si>
  <si>
    <t>quét NFC CCCD trên iPhone</t>
  </si>
  <si>
    <t>4. Thanh toán tiền điện bằng thẻ tín dụng Techcombank, nhận hàng loạt ưu đãi</t>
  </si>
  <si>
    <t>Bên cạnh đó, nhiều khách hàng cũng quan tâm đến việc quản lý dòng tiền ngắn hạn thông qua các sản phẩm như hạn mức thấu chi , giúp linh hoạt chi tiêu trong những thời điểm phát sinh chi phí đột xuất.</t>
  </si>
  <si>
    <t>Thêm ngay sau đoạn này: «Bên cạnh đó, bạn nên theo dõi giá điện sinh hoạt để dự trù chi phí hằng tháng chính xác hơn.»</t>
  </si>
  <si>
    <t>https://techcombank.com/thong-tin/blog/co-loyalty-la-gi</t>
  </si>
  <si>
    <t>2.1 Tối ưu hóa chi phí tiêu dùng</t>
  </si>
  <si>
    <t>Khách hàng có thể sử dụng điểm tích lũy để đổi lấy voucher giảm giá, hoàn tiền (cashback) hoặc thanh toán trực tiếp cho các hóa đơn sinh hoạt thiết yếu.</t>
  </si>
  <si>
    <t>Thêm dòng sau đoạn: «Xem thêm: Cách tính tiền điện theo giá điện sinh hoạt»</t>
  </si>
  <si>
    <t>Liên quan yếu</t>
  </si>
  <si>
    <t>https://techcombank.com/thong-tin/blog/thoi-gian-hoan-tien-the-tin-dung</t>
  </si>
  <si>
    <t>2.5. Thẻ tín dụng Techcombank Everyday</t>
  </si>
  <si>
    <t>Thẻ tín dụng Techcombank Everyday là lựa chọn hoàn hảo cho khách hàng thường xuyên chi tiêu cho sinh hoạt hàng ngày như thanh toán hóa đơn điện/nước…</t>
  </si>
  <si>
    <t>Thêm ngay sau đoạn này: «Để dự trù hóa đơn hằng tháng, khách hàng có thể tham khảo giá điện sinh hoạt hiện hành.»</t>
  </si>
  <si>
    <t>Đặt sau danh sách ưu đãi Everyday</t>
  </si>
  <si>
    <t>https://techcombank.com/thong-tin/blog/cpi-la-gi</t>
  </si>
  <si>
    <t>3.1. CPI tăng</t>
  </si>
  <si>
    <t>Với người dân, cùng một khoản tiền danh nghĩa có xu hướng mua được ít hàng hóa và dịch vụ hơn, khiến sức mua và chi phí sinh hoạt chịu áp lực…</t>
  </si>
  <si>
    <t>Thêm ngay sau đoạn này: «Chẳng hạn, khi giá điện sinh hoạt điều chỉnh, hóa đơn hằng tháng của mỗi gia đình cũng thay đổi theo.»</t>
  </si>
  <si>
    <t>https://techcombank.com/thong-tin/blog/dau-tu-tai-chinh-ca-nhan</t>
  </si>
  <si>
    <t>3. Lộ trình 3 bước lập ngân sách và trích lập quỹ đầu tư cá nhân</t>
  </si>
  <si>
    <t>Bước 1 - Xác định thu nhập và chi phí cố định: Liệt kê toàn bộ nguồn thu nhập hàng tháng và các khoản chi phí bắt buộc như thuê nhà, sinh hoạt, bảo hiểm…</t>
  </si>
  <si>
    <t>https://techcombank.com/thong-tin/blog/hu-chi-tieu</t>
  </si>
  <si>
    <t>2.2. Bước 2: Phân chia thu nhập vào 6 hũ</t>
  </si>
  <si>
    <t>Dùng cho các nhu cầu sinh hoạt bắt buộc: Tiền thuê nhà, hóa đơn (điện, nước, internet), ăn uống, đi lại, xăng xe</t>
  </si>
  <si>
    <t>Thêm dòng sau đoạn: «Xem thêm: cách tính tiền điện theo giá điện sinh hoạt»</t>
  </si>
  <si>
    <t>https://techcombank.com/thong-tin/blog/chi-tra-luong-huu</t>
  </si>
  <si>
    <t>3. Mở tài khoản thanh toán tại ngân hàng</t>
  </si>
  <si>
    <t>Thanh toán hóa đơn sinh hoạt (điện, nước, điện thoại…) ngay trên điện thoại mà không cần đi xa</t>
  </si>
  <si>
    <t>Thêm ngay sau đoạn này: «Bạn có thể tham khảo cách tính tiền điện theo giá điện sinh hoạt hiện hành để chủ động kiểm tra hóa đơn hằng tháng.»</t>
  </si>
  <si>
    <t>eco card</t>
  </si>
  <si>
    <t>https://techcombank.com/thong-tin/blog/gia-xang-dau-hom-nay</t>
  </si>
  <si>
    <t>4. Giá xăng dầu phản ánh điều gì về kinh tế và thị trường đầu tư?</t>
  </si>
  <si>
    <t>Giá xăng dầu là một trong những chỉ báo được theo dõi khi đánh giá diễn biến của nền kinh tế do liên quan đến chi phí vận tải, sản xuất và tiêu dùng.</t>
  </si>
  <si>
    <t>Thêm ngay sau đoạn này: «Bên cạnh giá xăng dầu, bạn cũng có thể theo dõi giá điện sinh hoạt mới nhất để chủ động chi tiêu gia đình.»</t>
  </si>
  <si>
    <t>2. Ở nước ngoài có thể thực hiện những giao dịch nào trên app ngân hàng?</t>
  </si>
  <si>
    <t>Thanh toán hóa đơn: Thanh toán hóa đơn điện, nước, Internet, học phí, nạp tiền điện thoại hoặc các dịch vụ khác</t>
  </si>
  <si>
    <t>Thêm dòng sau đoạn: «Xem thêm: giá điện sinh hoạt mới nhất»</t>
  </si>
  <si>
    <t>https://techcombank.com/thong-tin/blog/fintech-la-gi</t>
  </si>
  <si>
    <t>3.1. Ngân hàng số và ví điện tử</t>
  </si>
  <si>
    <t>…cho phép người dùng thực hiện các giao dịch tài chính, quản lý tài khoản và thanh toán trực tuyến mà không cần…</t>
  </si>
  <si>
    <t>Thêm ngay sau đoạn này: «Khi thanh toán hóa đơn điện trực tuyến, bạn có thể tham khảo giá điện sinh hoạt mới nhất để chủ động chi tiêu.»</t>
  </si>
  <si>
    <t>https://techcombank.com/thong-tin/blog/ngan-hang-dien-tu</t>
  </si>
  <si>
    <t>2.2. Đa dạng tiện ích</t>
  </si>
  <si>
    <t>Ngân hàng điện tử không chỉ giúp thực hiện các giao dịch cơ bản như chuyển tiền, thanh toán hóa đơn mà còn mang đến rất nhiều tiện ích khác.</t>
  </si>
  <si>
    <t>Thêm ngay sau đoạn này: «Trước khi thanh toán tiền điện, bạn có thể xem giá điện sinh hoạt mới nhất.»</t>
  </si>
  <si>
    <t>https://techcombank.com/thong-tin/blog/bao-lanh-vay-von</t>
  </si>
  <si>
    <t>https://techcombank.com/thong-tin/blog/the-tin-dung-la-gi</t>
  </si>
  <si>
    <t>3.1. Thanh toán trả sau</t>
  </si>
  <si>
    <t>Thanh toán trực tuyến các hóa đơn mua sắm, hóa đơn điện nước, nạp tiền điện thoại, phí dịch vụ chung cư…</t>
  </si>
  <si>
    <t>Thêm ngay sau đoạn này: «Để chủ động dự trù khoản chi hằng tháng, khách hàng có thể tham khảo giá điện sinh hoạt mới nhất.»</t>
  </si>
  <si>
    <t>https://techcombank.com/thong-tin/blog/thanh-toan-phi-quan-ly-chung-cu</t>
  </si>
  <si>
    <t>3.2. Đóng phí quản lý chung cư qua ngân hàng số</t>
  </si>
  <si>
    <t>Ngoài ra, Techcombank Mobile còn hỗ trợ thanh toán đa dạng các loại hóa đơn khác như Hóa đơn điện, nước , nạp tiền điện thoại , học phí , mạng Internet, truyền hình cáp,...</t>
  </si>
  <si>
    <t>Thêm ngay sau đoạn này: «Để chủ động dự trù chi phí, bạn có thể tham khảo thêm giá điện sinh hoạt mới nhất.»</t>
  </si>
  <si>
    <t>CIC là gì</t>
  </si>
  <si>
    <t>https://techcombank.com/thong-tin/blog/cach-huy-thanh-toan-tien-dien</t>
  </si>
  <si>
    <t>3. Thanh toán tiền điện với Techcombank Mobile, nhận đến 180,000 U-Point</t>
  </si>
  <si>
    <t>Nhìn chung, cách hủy thanh toán tiền điện qua Internet Banking không quá phức tạp, nhưng bạn nên cân nhắc trước khi thực hiện để không bỏ lỡ những tiện ích hấp dẫn.</t>
  </si>
  <si>
    <t>Thêm ngay sau đoạn này: «Để dự tính chi phí hằng tháng, bạn có thể tham khảo giá điện sinh hoạt mới nhất.»</t>
  </si>
  <si>
    <t>https://techcombank.com/thong-tin/blog/mo-tai-khoan-ngan-hang-bang-so-dien-thoai</t>
  </si>
  <si>
    <t>1.5. Đăng nhập và thực hiện giao dịch</t>
  </si>
  <si>
    <t>Tại đây, khách hàng dễ dàng quản lý tài chính cá nhân, từ việc chuyển khoản, thanh toán hóa đơn điện nước cho đến thanh toán tối thiểu th…</t>
  </si>
  <si>
    <t>Thêm ngay sau đoạn này: «Trước khi thanh toán hóa đơn tiền điện, bạn có thể tham khảo giá điện sinh hoạt mới nhất.»</t>
  </si>
  <si>
    <t>https://techcombank.com/thong-tin/blog/barcode-la-gi</t>
  </si>
  <si>
    <t>2. MoMo</t>
  </si>
  <si>
    <t>Ví điện tử MoMo hỗ trợ người dùng mua trước, trả sau cho nhiều nhu cầu hằng ngày như ăn uống, đi siêu thị, thanh toán hóa đơn điện, nước, internet, mua sắm online hoặc giải trí.</t>
  </si>
  <si>
    <t>rút tiền mặt từ thẻ tín dụng</t>
  </si>
  <si>
    <t>2. Tính năng của app ngân hàng</t>
  </si>
  <si>
    <t>Chuyển tiền và thanh toán: Đây là tính năng cơ bản mà tất cả các app ngân hàng phải có. Bạn có thể chuyển tiền nội bộ hoặc liên ngân hàng, thanh toán hóa đơn điện, nước, vay tiêu dùng…</t>
  </si>
  <si>
    <t>https://techcombank.com/thong-tin/blog/bi-nuot-the-atm-phai-lam-sao</t>
  </si>
  <si>
    <t>2.1. App quản lý chi tiêu với nhiều tính năng tiện ích</t>
  </si>
  <si>
    <t>Nhắc nhở thanh toán hóa đơn : Với tính năng này giúp người dùng tránh được việc trễ hạn thanh toán các hóa đơn định kỳ như thanh toán tiền điện nước , bảo hiểm, hoặc các khoản vay,...</t>
  </si>
  <si>
    <t>2. Cách nạp thẻ điện thoại Viettel trả trước, trả sau bằng Techcombank Mobile</t>
  </si>
  <si>
    <t>Bạn có thể tham khảo các thông tin chi tiết tại trang Thanh toán hóa đơn trên Techcombank Mobile.</t>
  </si>
  <si>
    <t>Thêm ngay sau đoạn này: «Nếu dùng ứng dụng để thanh toán tiền điện, bạn có thể tham khảo thêm giá điện sinh hoạt mới nhất.»</t>
  </si>
  <si>
    <t>Mỗi năm, đến thời điểm quyết toán thuế thu nhập cá nhân (TNCN), người lao động cần rà soát lại thu nhập, chứng từ khấu trừ và các khoản giảm trừ để hoàn thiện nghĩa vụ thuế.</t>
  </si>
  <si>
    <t>Bôi đen cụm «thuế thu nhập cá nhân» trong câu trên, gắn link.</t>
  </si>
  <si>
    <t>làm thẻ tín dụng</t>
  </si>
  <si>
    <t>https://techcombank.com/thong-tin/blog/bi-quyet-lua-chon-trai-phieu-an-toan-cho-nha-dau-tu</t>
  </si>
  <si>
    <t>2. 14 khoản tiền không bị tính thuế khi chuyển vào tài khoản cá nhân</t>
  </si>
  <si>
    <t>Không phải khoản tiền nào ra vào tài khoản cũng cần nộp thuế thu nhập cá nhân.</t>
  </si>
  <si>
    <t>3. Các mốc thời gian quan trọng trong năm tài chính</t>
  </si>
  <si>
    <t>Thuế thu nhập cá nhân (PIT): Doanh nghiệp phải khấu trừ, kê khai và nộp thuế đối với thu nhập trả cho người lao động (nếu có).</t>
  </si>
  <si>
    <t>Bôi đen cụm «Thuế thu nhập cá nhân» trong câu trên, gắn link.</t>
  </si>
  <si>
    <t>https://techcombank.com/thong-tin/blog/gia-chung-chi-quy-la-gi</t>
  </si>
  <si>
    <t>2. Cách tính giá chứng chỉ quỹ</t>
  </si>
  <si>
    <t>Thuế thu nhập cá nhân : Khi bán chứng chỉ quỹ, nhà đầu tư có thể phải nộp thuế thu nhập cá nhân dựa trên tổng số tiền thu được từ giao dịch.</t>
  </si>
  <si>
    <t>https://techcombank.com/thong-tin/blog/bi-quyet-tiet-kiem-tien-mua-nha</t>
  </si>
  <si>
    <t>3.2. Trường hợp nên chuyển đổi lên doanh nghiệp</t>
  </si>
  <si>
    <t>Bắt đầu thuê lao động dài hạn, trả lương qua hệ thống, cần thực hiện các nghĩa vụ về bảo hiểm, thuế thu nhập cá nhân</t>
  </si>
  <si>
    <t>thẻ tín dụng Techcombank Everyday</t>
  </si>
  <si>
    <t>1. Các loại thuế áp dụng cho hộ kinh doanh</t>
  </si>
  <si>
    <t>Năm 2026 hộ kinh sẽ nộp thuế giá trị gia tăng, thuế thu nhập cá nhân và thuế tiêu thụ đặc biệt (tuỳ ngành hàng, dịch vụ).</t>
  </si>
  <si>
    <t>Hiện nay, việc quản lý và tra cứu nghĩa vụ thuế thu nhập cá nhân (TNCN) của người lao động được thực hiện hoàn toàn trên nền tảng số…</t>
  </si>
  <si>
    <t>Số URL đã có ít nhất 1 bài blog chèn link</t>
  </si>
  <si>
    <t>Số URL chưa có bài blog nào chèn link</t>
  </si>
  <si>
    <t>Số URL có link trong thân bài blog</t>
  </si>
  <si>
    <t>1. Từ 1/7/2025, số căn cước công dân (CCCD) là mã số thuế thu nhập cá nhân</t>
  </si>
  <si>
    <t>Đặc biệt, việc kiểm tra thuế thu nhập cá nhân (TNCN) cũng trở nên dễ dàng hơn bao giờ hết.</t>
  </si>
  <si>
    <t>https://techcombank.com/thong-tin/blog/ca-nhan-hoa</t>
  </si>
  <si>
    <t>5. Quyết toán thuế</t>
  </si>
  <si>
    <t>Quyết toán thuế thu nhập cá nhân (TNCN) : Doanh nghiệp có phát sinh chi trả thu nhập từ tiền lương, tiền công cho người lao động cần quyết toán thuế (TNCN)…</t>
  </si>
  <si>
    <t>3. Khi nào tiền hoàn thuế được chuyển vào tài khoản cá nhân?</t>
  </si>
  <si>
    <t>Để việc hoàn thuế thu nhập cá nhân diễn ra nhanh chóng, bạn nên rà soát dữ liệu thu nhập, đối chiếu chứng từ khấu trừ và liên kết tài khoản ngân hàng với eTax Mobile ngay từ khi lập hồ sơ.</t>
  </si>
  <si>
    <t>https://techcombank.com/thong-tin/blog/lai-suat-chung-chi-quy</t>
  </si>
  <si>
    <t>2. Cách tính lợi nhuận chứng chỉ quỹ</t>
  </si>
  <si>
    <t>Thuế thu nhập cá nhân : Khi bán chứng chỉ quỹ, bạn có thể phải nộp thuế thu nhập cá nhân dựa trên tổng số tiền thu được từ giao dịch.</t>
  </si>
  <si>
    <t>Bôi đen lần xuất hiện thứ 2; trang đích thiên về TNCN từ lương</t>
  </si>
  <si>
    <t>https://techcombank.com/thong-tin/blog/chuyen-nhuong-chung-chi-tien-gui</t>
  </si>
  <si>
    <t>2. Thuế và phí chuyển nhượng chứng chỉ tiền gửi</t>
  </si>
  <si>
    <t>Về thuế chuyển nhượng, người bán và người mua trong giao dịch chuyển nhượng chứng chỉ tiền gửi sẽ không phải chịu thuế giá trị gia tăng (GTGT) và thuế thu nhập cá nhân (TNCN).</t>
  </si>
  <si>
    <t>thẻ tín dụng hoàn tiền</t>
  </si>
  <si>
    <t>https://techcombank.com/thong-tin/blog/cac-chung-chi-quy-o-viet-nam</t>
  </si>
  <si>
    <t>5.2. Kinh doanh online qua sàn thương mại điện tử đóng thuế như thế nào?</t>
  </si>
  <si>
    <t>Hộ kinh doanh và cá nhân kinh doanh có doanh thu từ hoạt động trên sàn Thương mại điện tử (TMĐT) từ 100 triệu VND/năm trở lên phải nộp thuế Giá trị gia tăng (GTGT) và thuế Thu nhập cá nhân (TNCN)</t>
  </si>
  <si>
    <t>Bôi đen cụm «thuế Thu nhập cá nhân» trong câu trên, gắn link.</t>
  </si>
  <si>
    <t>Gốc viết hoa chữ "Thu"; câu nêu quy định – chỉ bôi đen</t>
  </si>
  <si>
    <t>https://techcombank.com/thong-tin/blog/cac-hinh-thuc-cho-vay-tieu-dung</t>
  </si>
  <si>
    <t>1.2. Thuế TNCN</t>
  </si>
  <si>
    <t>Thuế thu nhập cá nhân (TNCN) là loại thuế trực thu, đánh vào thu nhập của chủ hộ kinh doanh từ hoạt động sản xuất, kinh doanh.</t>
  </si>
  <si>
    <t>cách hủy thẻ tín dụng</t>
  </si>
  <si>
    <t>Trang đích thiên về TNCN từ tiền lương</t>
  </si>
  <si>
    <t>https://techcombank.com/thong-tin/blog/cac-hinh-thuc-vay-von-ngan-hang</t>
  </si>
  <si>
    <t>4. Tìm kiếm các chính sách hỗ trợ từ Chính phủ</t>
  </si>
  <si>
    <t>Chính sách hỗ trợ thuế và phí: Chính sách giảm thuế, miễn giảm phí chuyển nhượng nhà đất hoặc hỗ trợ thuế thu nhập cá nhân cho những người mua nhà lần đầu.</t>
  </si>
  <si>
    <t>4. Hộ kinh doanh phải nộp những loại thuế nào trong năm 2026?</t>
  </si>
  <si>
    <t>Thuế giá trị gia tăng (GTGT) và thuế thu nhập cá nhân (TNCN) là hai loại thuế chủ yếu áp dụng đối với hoạt động sản xuất, kinh doanh thông thường của hộ kinh doanh…</t>
  </si>
  <si>
    <t>Thêm dòng sau đoạn: «Xem thêm: Cách tính thuế thu nhập cá nhân và nộp thuế online»</t>
  </si>
  <si>
    <t>6.2. Hộ kinh doanh, cá nhân kinh doanh có được giảm trừ gia cảnh tính thuế TNCN?</t>
  </si>
  <si>
    <t>Không. Theo quy định của Luật Thuế thu nhập cá nhân (TNCN) và các văn bản hướng dẫn (như Thông tư 40/2021/TT-BTC)…</t>
  </si>
  <si>
    <t>Thêm dòng sau đoạn: «Xem thêm: cách tính thuế thu nhập cá nhân đối với thu nhập từ tiền lương, tiền công»</t>
  </si>
  <si>
    <t>https://techcombank.com/thong-tin/blog/dau-tu-quy-mo</t>
  </si>
  <si>
    <t>4. Câu hỏi thường gặp về đầu tư quỹ mở</t>
  </si>
  <si>
    <t>Lợi nhuận thực nhận của nhà đầu tư phụ thuộc vào chênh lệch NAV tại thời điểm mua và bán, sau khi trừ thuế và phí liên quan.</t>
  </si>
  <si>
    <t>Thêm ngay sau đoạn này: «Bạn có thể tham khảo thêm cách tính thuế thu nhập cá nhân để chủ động trong kế hoạch tài chính.»</t>
  </si>
  <si>
    <t>xếp hạng tín dụng</t>
  </si>
  <si>
    <t>1. 5 loại thuế hộ kinh doanh cần nộp</t>
  </si>
  <si>
    <t>Thuế thu nhập cá nhân (TNCN): Doanh nghiệp có trách nhiệm khấu trừ và nộp thay cho người lao động.</t>
  </si>
  <si>
    <t>Đoạn có luật – dùng Xem thêm</t>
  </si>
  <si>
    <t>Thêm dòng sau đoạn: «Xem thêm: cách tính thuế thu nhập cá nhân và nộp thuế online»</t>
  </si>
  <si>
    <t>https://techcombank.com/thong-tin/blog/cac-loai-the-ngan-hang</t>
  </si>
  <si>
    <t>cách thanh toán thẻ tín dụng</t>
  </si>
  <si>
    <t>Đoạn đánh dấu luật – dùng Xem thêm</t>
  </si>
  <si>
    <t>2. Hộ kinh doanh được miễn thuế kể từ 01/01/2026</t>
  </si>
  <si>
    <t>https://techcombank.com/thong-tin/blog/cac-loai-the-tin-dung</t>
  </si>
  <si>
    <t>Theo Nghị định số 141/2026/NĐ-CP vừa được Quốc hội thông qua, từ 01/01/2026, ngưỡng doanh thu miễn thuế thu nhập cá nhân và thuế giá trị gia tăng với hộ kinh doanh đều được nâng lên 1 tỷ VND/năm.</t>
  </si>
  <si>
    <t>Thêm dòng sau đoạn: «Xem thêm: cách tính thuế thu nhập cá nhân»</t>
  </si>
  <si>
    <t>2.2. MISA AMIS Tiền lương</t>
  </si>
  <si>
    <t>Kết nối dữ liệu giữa các phân hệ nhân sự, chấm công, kế toán, BHXH và thuế TNCN trong hệ sinh thái MISA AMIS.</t>
  </si>
  <si>
    <t>Sửa câu thành: «Kết nối dữ liệu giữa các phân hệ nhân sự, chấm công, kế toán, BHXH và thuế thu nhập cá nhân (TNCN) trong hệ sinh thái MISA AMIS.»</t>
  </si>
  <si>
    <t>1. Xác định thời điểm chuyển đổi</t>
  </si>
  <si>
    <t>Doanh thu vượt ngưỡng miễn thuế: Ngày 10/12/2025, Quốc hội chính thức thông qua Luật Thuế thu nhập cá nhân (sửa đổi)…</t>
  </si>
  <si>
    <t>https://techcombank.com/thong-tin/blog/kieu-hoi-la-gi</t>
  </si>
  <si>
    <t>4. Chính sách thuế phí đối với kiều hối</t>
  </si>
  <si>
    <t>Thuế đối với kiều hối: Theo Khoản 3 Điều 6 Quyết định 170/1999/QĐ-TTG và Điều 4 Luật Thuế thu nhập cá nhân 2007…</t>
  </si>
  <si>
    <t>chứng chỉ tiền gửi là gì</t>
  </si>
  <si>
    <t>3. Quy định chuyển tiền từ nước ngoài về Việt Nam cho khách hàng cá nhân</t>
  </si>
  <si>
    <t>Các quy định chuyển tiền từ nước ngoài về Việt Nam dưới đây áp dụng cho khách hàng cá nhân nhận tiền từ nước ngoài với mục đích phi thương mại…</t>
  </si>
  <si>
    <t>Thêm ngay sau đoạn này: «Với các khoản thu nhập khác như tiền lương, bạn có thể tham khảo cách tính thuế thu nhập cá nhân để chủ động kê khai.»</t>
  </si>
  <si>
    <t>Trùng anchor với link khác cùng bài trong cùng bài – nên soát</t>
  </si>
  <si>
    <t>https://techcombank.com/thong-tin/blog/sao-ke-luong</t>
  </si>
  <si>
    <t>4.3. Sao kê lương để làm gì?</t>
  </si>
  <si>
    <t>Sao kê lương giúp bạn minh bạch dòng tiền, chứng minh thu nhập và quản lý tài chính dễ dàng hơn.</t>
  </si>
  <si>
    <t>Thêm ngay sau đoạn này: «Bảng sao kê lương cũng giúp bạn đối chiếu thu nhập khi tính thuế thu nhập cá nhân.»</t>
  </si>
  <si>
    <t>Cùng anchor với link khác cùng bài (khác trang đích) – nên chọn 1</t>
  </si>
  <si>
    <t>https://techcombank.com/thong-tin/blog/cach-bao-ve-tai-khoan</t>
  </si>
  <si>
    <t>Việc chuyển đổi được thực hiện tự động, miễn phí và không yêu cầu người dân nộp hồ sơ nếu thông tin đã đồng bộ.</t>
  </si>
  <si>
    <t>Thêm ngay sau đoạn này: «Sau khi cập nhật, bạn dùng số định danh để kê khai và tính thuế thu nhập cá nhân như bình thường.»</t>
  </si>
  <si>
    <t>Bước 2: Lập tờ khai thuế trên phần mềm HTKK</t>
  </si>
  <si>
    <t>Kế toán đăng nhập vào phần mềm HTKK bằng mã số thuế của doanh nghiệp, chọn sắc thuế cần khai báo (GTGT, TNCN, TNDN...)…</t>
  </si>
  <si>
    <t>Thêm dòng sau đoạn: «Xem thêm: cách tính thuế thu nhập cá nhân cho người lao động»</t>
  </si>
  <si>
    <t>3.3. Không tách bạch tài chính cá nhân và công ty</t>
  </si>
  <si>
    <t>Một lỗi thường gặp là tiếp tục sử dụng chung tài khoản cá nhân cho hoạt động kinh doanh sau khi đã thành lập doanh nghiệp.</t>
  </si>
  <si>
    <t>Thêm ngay sau đoạn này: «Việc tách bạch cũng giúp xác định rõ thu nhập của chủ doanh nghiệp và nghĩa vụ thuế thu nhập cá nhân liên quan.»</t>
  </si>
  <si>
    <t>Đoạn tốt hơn đã dành cho anchor thuế GTGT</t>
  </si>
  <si>
    <t>https://techcombank.com/thong-tin/blog/chinh-sach-tang-luong-huu</t>
  </si>
  <si>
    <t>3. Người nhận lương hưu cần lưu ý gì khi quản lý khoản thu nhập sau nghỉ hưu?</t>
  </si>
  <si>
    <t>Xác định lại mức thu nhập và chi tiêu hàng tháng: Sau khi nhận mức lương hưu hoặc trợ cấp mới, người hưởng nên cập nhật lại khoản thu nhập thực nhận…</t>
  </si>
  <si>
    <t>Thêm ngay sau đoạn này: «Với các khoản thu nhập khác ngoài lương hưu (nếu có), bạn nên tìm hiểu quy định về thuế thu nhập cá nhân để chủ động kê khai.»</t>
  </si>
  <si>
    <t>Lương hưu không phải đối tượng chính của thuế TNCN – nên đọc lại</t>
  </si>
  <si>
    <t>https://techcombank.com/thong-tin/blog/cach-chon-so-tai-khoan-dep</t>
  </si>
  <si>
    <t>Kết quả thu được là số thu nhập tính thuế, dùng để nhân với mức thuế suất TNDN tương ứng.</t>
  </si>
  <si>
    <t>Thêm ngay sau đoạn này: «Lưu ý, với thu nhập của cá nhân, nghĩa vụ thuế thu nhập cá nhân được xác định theo cách tính riêng.»</t>
  </si>
  <si>
    <t>Chủ đề lệch nhẹ (TNDN vs TNCN)</t>
  </si>
  <si>
    <t>lãi suất chứng chỉ tiền gửi các ngân hàng</t>
  </si>
  <si>
    <t>2.1. Bước 1: Xác định tổng thu nhập</t>
  </si>
  <si>
    <t>Tính toán tất cả các khoản tiền bạn nhận được trong tháng (lương, làm thêm, thu nhập thụ động...).</t>
  </si>
  <si>
    <t>Thêm ngay sau đoạn này: «Với thu nhập từ lương, nên tính theo số tiền thực nhận sau khi đã khấu trừ bảo hiểm và thuế thu nhập cá nhân.»</t>
  </si>
  <si>
    <t>6. Techcombank đồng hành cùng hộ kinh doanh tuân thủ và làm đúng các nghĩa vụ thuế</t>
  </si>
  <si>
    <t>Thay vì dành nhiều thời gian tổng hợp doanh thu, lưu trữ chứng từ, xuất hóa đơn hay theo dõi các nghĩa vụ thuế phát sinh…</t>
  </si>
  <si>
    <t>Thêm ngay sau đoạn này: «Chủ hộ cũng nên nắm cách tính thuế thu nhập cá nhân để kê khai chính xác.»</t>
  </si>
  <si>
    <t>https://techcombank.com/thong-tin/blog/vay-tien-online</t>
  </si>
  <si>
    <t>1. Điều kiện để vay tiền mặt nhanh online ngân hàng không chứng minh thu nhập</t>
  </si>
  <si>
    <t>Có thu nhập ổn định và đều đặn (thường từ 10,000,000 VND trở lên sau khi nộp thuế hoặc tùy theo chính sách của từng ngân hàng vào từng thời điểm)</t>
  </si>
  <si>
    <t>Sửa câu thành: «Có thu nhập ổn định và đều đặn (thường từ 10,000,000 VND trở lên sau khi nộp thuế thu nhập cá nhân hoặc tùy theo chính sách của từng ngân hàng vào từng thời điểm)»</t>
  </si>
  <si>
    <t>1.3. Lo ngại chi phí đóng thuế tăng vọt</t>
  </si>
  <si>
    <t>Một bộ phận hộ kinh doanh bày tỏ lo ngại rằng việc chuyển đổi sang cơ chế kê khai và áp dụng hóa đơn điện tử sẽ khiến chi phí thuế tăng đột biến.</t>
  </si>
  <si>
    <t>Thêm ngay sau đoạn này: «Để ước tính trước nghĩa vụ, chủ hộ có thể tham khảo cách tính thuế giá trị gia tăng và thuế thu nhập cá nhân theo doanh thu.»</t>
  </si>
  <si>
    <t>Việc đăng ký thuế đúng thời hạn là một trong những nghĩa vụ quan trọng của hộ kinh doanh và cá nhân kinh doanh.</t>
  </si>
  <si>
    <t>Thêm ngay sau đoạn này: «Ngoài đăng ký thuế, hộ kinh doanh và cá nhân kinh doanh cũng cần nắm rõ nghĩa vụ thuế thu nhập cá nhân phát sinh từ hoạt động kinh doanh.»</t>
  </si>
  <si>
    <t>3.2. Nhóm không chịu thuế giá trị gia tăng</t>
  </si>
  <si>
    <t>Hộ/cá nhân có doanh thu dưới 200 triệu VND/năm (áp dụng từ 01/01/2026)</t>
  </si>
  <si>
    <t>Thêm ngay sau đoạn này: «Bên cạnh thuế GTGT, cá nhân kinh doanh cũng cần lưu ý nghĩa vụ thuế thu nhập cá nhân.»</t>
  </si>
  <si>
    <t>1 Tệ bằng bao nhiêu tiền Việt</t>
  </si>
  <si>
    <t>https://techcombank.com/thong-tin/blog/cach-chuyen-tien</t>
  </si>
  <si>
    <t>thuế thu nhập cá nhân năm 2026</t>
  </si>
  <si>
    <t>Thêm ngay sau đoạn này: «Cá nhân kinh doanh cũng nên tìm hiểu quy định về thuế thu nhập cá nhân năm 2026 để kê khai chính xác.»</t>
  </si>
  <si>
    <t>tra số tài khoản ngân hàng</t>
  </si>
  <si>
    <t>https://techcombank.com/thong-tin/blog/so-tai-khoan-ngan-hang</t>
  </si>
  <si>
    <t>3. Có bao nhiêu cách để tra cứu số tài khoản ngân hàng?</t>
  </si>
  <si>
    <t>Có 4 cách để tra cứu số tài khoản ngân hàng nhanh gọn và tiện lợi nhất bao gồm:</t>
  </si>
  <si>
    <t>Sửa câu thành: «Có 4 cách để tra số tài khoản ngân hàng nhanh gọn và tiện lợi nhất bao gồm:»</t>
  </si>
  <si>
    <t>https://techcombank.com/thong-tin/blog/co-nen-mua-so-tai-khoan-ngan-hang-dep</t>
  </si>
  <si>
    <t>1.1. Dễ nhớ - dễ thực hiện giao dịch</t>
  </si>
  <si>
    <t>Người chuyển tiền sẽ tiết kiệm được thời gian nhập số tài khoản của bạn, các thao tác cũng nhanh chóng hơn và giảm thiểu khả năng sai sót.</t>
  </si>
  <si>
    <t>Thêm ngay sau đoạn này: «Trước khi chuyển, người gửi cũng có thể tra số tài khoản ngân hàng để chắc chắn thông tin chính xác.»</t>
  </si>
  <si>
    <t>https://techcombank.com/thong-tin/blog/cdm</t>
  </si>
  <si>
    <t>3.4. Xem và in số dư tài khoản tại CDM</t>
  </si>
  <si>
    <t>Bạn có thể kiểm tra thông tin tài khoản nhanh chóng mà không cần tới quầy:</t>
  </si>
  <si>
    <t>Thêm dòng sau đoạn: «Xem thêm: Các cách tra số tài khoản ngân hàng online và offline»</t>
  </si>
  <si>
    <t>https://techcombank.com/thong-tin/blog/lo-so-tai-khoan-ngan-hang-co-sao-khong</t>
  </si>
  <si>
    <t>2. Lời khuyên sử dụng số tài khoản ngân hàng an toàn</t>
  </si>
  <si>
    <t>https://techcombank.com/thong-tin/blog/cach-chuyen-tien-qua-ma-qr-techcombank</t>
  </si>
  <si>
    <t>Vì vậy, khi bạn nhận được bất kỳ khoản tiền nào từ các số tài khoản lạ thì cần liên hệ với ngân hàng để được giải quyết trong thời gian sớm n…</t>
  </si>
  <si>
    <t>Thêm ngay sau đoạn này: «Bạn cũng có thể tra số tài khoản ngân hàng để xác minh thông tin chủ tài khoản trước khi chuyển tiền.»</t>
  </si>
  <si>
    <t>https://techcombank.com/thong-tin/blog/so-the-ngan-hang</t>
  </si>
  <si>
    <t>6. Nên chuyển tiền qua số thẻ hay số tài khoản ngân hàng?</t>
  </si>
  <si>
    <t>Nên chuyển tiền qua số tài khoản ngân hàng vì có thể chuyển trong ngân hàng, liên ngân hàng và chuyển tiền chứng khoán (áp dụng tuỳ ngân hàng).</t>
  </si>
  <si>
    <t>Thêm ngay sau đoạn này: «Nếu chưa nhớ số tài khoản của mình, bạn có thể tra số tài khoản ngân hàng nhanh qua ứng dụng hoặc cây ATM.»</t>
  </si>
  <si>
    <t>1. 1 CCCD mở được mấy tài khoản ngân hàng? Cập nhật 2026</t>
  </si>
  <si>
    <t>Tuy vậy, bạn chỉ nên mở số lượng tài khoản đúng với nhu cầu và mục đích của bản thân, tránh việc quá nhiều tài khoản dẫn đến khó kiểm soát.</t>
  </si>
  <si>
    <t>Thêm ngay sau đoạn này: «Khi sở hữu nhiều tài khoản, bạn có thể tra số tài khoản ngân hàng để kiểm soát thông tin dễ dàng hơn.»</t>
  </si>
  <si>
    <t>tra tài khoản ngân hàng</t>
  </si>
  <si>
    <t>https://techcombank.com/thong-tin/blog/so-du-kha-dung</t>
  </si>
  <si>
    <t>3. Cách kiểm tra số dư tài khoản nhanh nhất</t>
  </si>
  <si>
    <t>Cách kiểm tra nhanh nhất là qua Mobile Banking.</t>
  </si>
  <si>
    <t>Sửa câu thành: «Có nhiều cách tra tài khoản ngân hàng, trong đó cách nhanh nhất là qua Mobile Banking.»</t>
  </si>
  <si>
    <t>1 đô la Mỹ bằng bao nhiêu tiền Việt</t>
  </si>
  <si>
    <t>2.2. Tra cứu trên Mobile Banking</t>
  </si>
  <si>
    <t>Như vậy, bài viết đã giới thiệu đến bạn 2 cách kiểm tra tài khoản ngân hàng của công ty dễ dàng và nhanh chóng.</t>
  </si>
  <si>
    <t>Thêm ngay sau đoạn này: «Với tài khoản cá nhân, bạn có thể tham khảo cách tra tài khoản ngân hàng online và tại quầy.»</t>
  </si>
  <si>
    <t>https://techcombank.com/thong-tin/blog/cach-dang-ky-dinh-danh-muc-2</t>
  </si>
  <si>
    <t>https://techcombank.com/thong-tin/blog/so-du-tai-khoan-thanh-toan</t>
  </si>
  <si>
    <t>1.3. Cách kiểm tra số dư tài khoản nhanh nhất</t>
  </si>
  <si>
    <t>Để kiểm tra số dư tài khoản tiết kiệm, bạn truy cập vào ứng dụng ngân hàng số, chọn mục tài khoản &amp; thẻ, sau đó chọn mục tiết kiệm đầu tư.</t>
  </si>
  <si>
    <t>Thêm ngay sau đoạn này: «Ngoài ứng dụng, bạn có thể tham khảo thêm các cách tra tài khoản ngân hàng khác như tại cây ATM hoặc quầy giao dịch.»</t>
  </si>
  <si>
    <t>1. Chuyển khoản qua Mobile Banking với tính năng Chuyển tiền</t>
  </si>
  <si>
    <t>Nhanh chóng, tiện lợi: Khách hàng có thể tự kiểm tra thông tin tài khoản ngân hàng 24/7, mọi lúc mọi nơi chỉ với điện thoại thông minh có kết nối Internet</t>
  </si>
  <si>
    <t>Sửa câu thành: «Nhanh chóng, tiện lợi: Khách hàng có thể tự tra tài khoản ngân hàng 24/7, mọi lúc mọi nơi chỉ với điện thoại thông minh có kết nối Internet»</t>
  </si>
  <si>
    <t>https://techcombank.com/thong-tin/blog/cach-dang-ky-ma-so-thue-ho-kinh-doanh-online</t>
  </si>
  <si>
    <t>6.1. Làm sao để báo cáo tài khoản ngân hàng lừa đảo?</t>
  </si>
  <si>
    <t>Khách hàng có thể báo cáo tài khoản lừa đảo tại ngân hàng và công an địa phương để được hỗ trợ giải quyết.</t>
  </si>
  <si>
    <t>Thêm ngay sau đoạn này: «Để phòng ngừa, trước khi chuyển tiền bạn nên tra tài khoản ngân hàng của người nhận để đối chiếu tên chủ tài khoản.»</t>
  </si>
  <si>
    <t>https://techcombank.com/thong-tin/blog/lo-ma-qr-ngan-hang-co-sao-khong</t>
  </si>
  <si>
    <t>2. 3 lưu ý để sử dụng mã QR ngân hàng an toàn</t>
  </si>
  <si>
    <t>Vì mã QR ngân hàng chứa thông tin tài khoản thụ hưởng (tên chủ tài khoản, số tài khoản, tên ngân hàng) nên khách hàng có thể kiểm tra để đảm bảo chuyển đúng tài khoản người nhận.</t>
  </si>
  <si>
    <t>Thêm ngay sau đoạn này: «Nếu chưa chắc chắn, người chuyển có thể tra tài khoản ngân hàng của người nhận trước khi giao dịch.»</t>
  </si>
  <si>
    <t>tiền Nhật</t>
  </si>
  <si>
    <t>https://techcombank.com/thong-tin/blog/sms-banking</t>
  </si>
  <si>
    <t>1.1. SMS Banking là gì?</t>
  </si>
  <si>
    <t>SMS Banking là dịch vụ ngân hàng điện tử, cho phép khách hàng theo dõi thông tin tài khoản và nhận thông báo giao dịch/biến động số dư trực tiếp trên điện thoại di động qua tin nhắn SMS.</t>
  </si>
  <si>
    <t>Thêm ngay sau đoạn này: «Nếu cần tra số tài khoản ngân hàng, bạn có thể tham khảo các cách kiểm tra tài khoản online và offline.»</t>
  </si>
  <si>
    <t>https://techcombank.com/thong-tin/blog/cach-dang-ky-the-visa</t>
  </si>
  <si>
    <t>4. Mở tài khoản số đẹp miễn phí, dãy số như ý tại Techcombank</t>
  </si>
  <si>
    <t>Techcombank là một trong những ngân hàng tiên phong cung cấp dịch vụ Mở tài khoản số đẹp online .</t>
  </si>
  <si>
    <t>Thêm ngay sau đoạn này: «Sau khi mở, bạn có thể tra số tài khoản ngân hàng để kiểm tra lại thông tin tài khoản khi cần.»</t>
  </si>
  <si>
    <t>5. Mở tài khoản số đẹp miễn phí, dãy số như ý tại Techcombank</t>
  </si>
  <si>
    <t>Tại Techcombank, khách hàng đã có tài khoản và khách hàng mở tài khoản lần đầu qua Techcombank Mobile đều được tặng miễn phí 1 tài khoản số đẹp.</t>
  </si>
  <si>
    <t>Thêm ngay sau đoạn này: «Sau khi mở, bạn có thể tra số tài khoản ngân hàng của mình ngay trên ứng dụng.»</t>
  </si>
  <si>
    <t>https://techcombank.com/thong-tin/blog/cach-dau-tu</t>
  </si>
  <si>
    <t>3. Mở tài khoản số đẹp miễn phí, dãy số như ý tại Techcombank</t>
  </si>
  <si>
    <t>1 Yên bằng bao nhiêu tiền Việt</t>
  </si>
  <si>
    <t>https://techcombank.com/thong-tin/blog/so-8386</t>
  </si>
  <si>
    <t>3 - Bước 3: Chọn số tài khoản phù hợp : Ngân hàng sẽ đưa ra các dãy số tài khoản đẹp có dãy số mong muốn và bạn sẽ chọn ra 1 dãy số ưng ý nhất.</t>
  </si>
  <si>
    <t>Thêm dòng sau đoạn: «Xem thêm: Cách tra số tài khoản ngân hàng online»</t>
  </si>
  <si>
    <t>https://techcombank.com/thong-tin/blog/so-tai-khoan-dep</t>
  </si>
  <si>
    <t>4. Hướng dẫn quy trình mở tài khoản số đẹp miễn phí</t>
  </si>
  <si>
    <t>Lựa chọn số tài khoản đẹp - phát tài phát lộc không chỉ đem đến may mắn, tài lộc mà còn giúp người dùng dễ dàng ghi nhớ và tạo thuận lợi trong quá trình trao đổi, sử dụng.</t>
  </si>
  <si>
    <t>Thêm ngay sau đoạn này: «Trường hợp quên dãy số đã chọn, bạn có thể tra số tài khoản ngân hàng nhanh qua ứng dụng hoặc cây ATM.»</t>
  </si>
  <si>
    <t>https://techcombank.com/thong-tin/blog/cach-doi-mat-khau-tai-khoan-ngan-hang</t>
  </si>
  <si>
    <t>URL</t>
  </si>
  <si>
    <t>Anchor</t>
  </si>
  <si>
    <t>Số lần đã đề xuất</t>
  </si>
  <si>
    <t>https://techcombank.com/thong-tin/blog/so-6868</t>
  </si>
  <si>
    <t>Ngay sau khi nhấn “Xong”, thủ tục mở thẻ đã hoàn thành và tài khoản số đẹp theo ý bạn đã được mở.</t>
  </si>
  <si>
    <t>Thêm ngay sau đoạn này: «Bạn có thể tra số tài khoản ngân hàng trên ứng dụng để kiểm tra lại thông tin tài khoản vừa mở.»</t>
  </si>
  <si>
    <t>3. Cách chuyển tiền bằng số điện thoại</t>
  </si>
  <si>
    <t>Chuyển tiền bằng số điện thoại là phương thức hiện đại, cho phép người dùng thực hiện giao dịch nhanh chóng mà không cần nhớ số tài khoản.</t>
  </si>
  <si>
    <t>Thêm ngay sau đoạn này: «Trường hợp cần chuyển tiền bằng số tài khoản, bạn có thể tra số tài khoản ngân hàng trước để tránh nhập sai.»</t>
  </si>
  <si>
    <t>1 Won bằng bao nhiêu tiền Việt</t>
  </si>
  <si>
    <t>lãi suất ngân hàng</t>
  </si>
  <si>
    <t>5. Câu hỏi thường gặp về nạp tiền vào tài khoản ngân hàng</t>
  </si>
  <si>
    <t>Để giúp bạn hiểu rõ hơn về cách nạp tiền vào tài khoản ngân hàng, Techcombank đã tổng hợp một số câu hỏi thường gặp và giải đáp chi tiết…</t>
  </si>
  <si>
    <t>Thêm ngay sau đoạn này: «Trước khi nạp, bạn nên tra số tài khoản ngân hàng để đảm bảo thông tin người nhận chính xác.»</t>
  </si>
  <si>
    <t>lãi suất ngân hàng hôm nay</t>
  </si>
  <si>
    <t>2.3. Có đổi mật khẩu (mã PIN) thẻ ATM trên Mobile Banking được không?</t>
  </si>
  <si>
    <t>Trên đây là cách đổi mật khẩu tài khoản ngân hàng và mã PIN thẻ ATM trên Mobile Banking.</t>
  </si>
  <si>
    <t>Thêm ngay sau đoạn này: «Sau khi đăng nhập Mobile Banking, bạn cũng có thể tra số tài khoản ngân hàng và số dư một cách nhanh chóng.»</t>
  </si>
  <si>
    <t>lãi suất ngân hàng nào cao nhất</t>
  </si>
  <si>
    <t>https://techcombank.com/thong-tin/blog/mo-tai-khoan-ngan-hang-online-co-an-toan-khong</t>
  </si>
  <si>
    <t>2. 3 lưu ý cần biết để sử dụng ngân hàng số an toàn</t>
  </si>
  <si>
    <t>Ví dụ: Nếu muốn mở tài khoản ngân hàng Techcombank online, bạn truy cập CH Play/App Store và tìm kiếm Techcombank Mobile .</t>
  </si>
  <si>
    <t>Thêm ngay sau đoạn này: «Sau khi mở, bạn có thể tra số tài khoản ngân hàng ngay trên ứng dụng để kiểm tra thông tin.»</t>
  </si>
  <si>
    <t>lãi suất ngân hàng hiện nay</t>
  </si>
  <si>
    <t>https://techcombank.com/thong-tin/blog/mo-tai-khoan-ngan-hang-co-mat-phi-khong</t>
  </si>
  <si>
    <t>2.2. Phí duy trì tài khoản</t>
  </si>
  <si>
    <t>https://techcombank.com/thong-tin/blog/cach-gui-tiet-kiem-online</t>
  </si>
  <si>
    <t>Hàng tháng, nếu số dư cao hơn mức này thì ngân hàng sẽ miễn phí duy trì.</t>
  </si>
  <si>
    <t>Thêm ngay sau đoạn này: «Bạn có thể tra số tài khoản ngân hàng và số dư thường xuyên để chủ động theo dõi tài khoản.»</t>
  </si>
  <si>
    <t>https://techcombank.com/thong-tin/blog/ma-giao-dich-la-gi</t>
  </si>
  <si>
    <t>4.4. Đến trực tiếp chi nhánh Techcombank</t>
  </si>
  <si>
    <t>Việc hiểu rõ về mã giao dịch, phân biệt với mã xác thực giao dịch, và nắm được cách kiểm tra mã giao dịch chuyển tiền ngân hàng sẽ giúp bạn quản lý tài chính cá nhân hiệu quả hơn…</t>
  </si>
  <si>
    <t>Thêm ngay sau đoạn này: «Ngoài mã giao dịch, bạn cũng có thể tra tài khoản ngân hàng để kiểm tra thông tin người nhận trước khi chuyển tiền.»</t>
  </si>
  <si>
    <t>Bước 3: Nhập Dãy số mong muốn , chọn độ dài (10 - 12 - 14 ký tự) theo sở thích và kiểm tra thông tin tài khoản trước khi hoàn tất</t>
  </si>
  <si>
    <t>Thêm dòng sau đoạn: «Xem thêm: cách tra tài khoản ngân hàng»</t>
  </si>
  <si>
    <t>Đoạn các bước – dùng Xem thêm sau danh sách bước</t>
  </si>
  <si>
    <t>mở tài khoản ngân hàng online</t>
  </si>
  <si>
    <t>tiền Đài Loan</t>
  </si>
  <si>
    <t>3. 2 câu hỏi thường gặp khi mở tài khoản ngân hàng online</t>
  </si>
  <si>
    <t>Mở tài khoản ngân hàng online đã trở thành xu hướng tất yếu trong thời đại số hóa.</t>
  </si>
  <si>
    <t>Bôi đen cụm «mở tài khoản ngân hàng online» trong câu trên, gắn link.</t>
  </si>
  <si>
    <t>https://techcombank.com/thong-tin/blog/nho-nguoi-than-mo-tai-khoan-ngan-hang</t>
  </si>
  <si>
    <t>1. Mở tài khoản online thay vì nhờ người thân mở tài khoản ngân hàng</t>
  </si>
  <si>
    <t>Trường hợp người dùng quá bận hoặc có khoảng cách địa lý, không thể sắp xếp thời gian đến ngân hàng mở tài khoản thì có thể đăng ký mở tài khoản ngân hàng online .</t>
  </si>
  <si>
    <t>lãi suất tiền gửi ngân hàng</t>
  </si>
  <si>
    <t>https://techcombank.com/thong-tin/blog/xac-thuc-sinh-trac-hoc-khi-chuyen-tien</t>
  </si>
  <si>
    <t>1. Xác thực sinh trắc học khi chuyển tiền ngân hàng là gì?</t>
  </si>
  <si>
    <t>Ngoài các tình huống giao dịch trên, hiện nay, khi mở tài khoản ngân hàng online qua ứng dụng ngân hàng, khách hàng bắt buộc phải xác thực sinh trắc học với CCCD gắn chip.</t>
  </si>
  <si>
    <t>1. Nạp tiền vào tài khoản ngân hàng tại nhà qua Mobile Banking</t>
  </si>
  <si>
    <t>Không cần đến trực tiếp phòng giao dịch/chi nhánh ngân hàng, bạn có thể mở tài khoản ngân hàng online và nạp tiền vào tài khoản ngân hàng tại nhà qua ứng dụng ngân hàng số/Mobile Banking.</t>
  </si>
  <si>
    <t>lãi suất gửi tiết kiệm ngân hàng</t>
  </si>
  <si>
    <t>https://techcombank.com/thong-tin/blog/tai-khoan-ngan-hang-la-gi</t>
  </si>
  <si>
    <t>2.1. Tài khoản thanh toán</t>
  </si>
  <si>
    <t>Tài khoản thanh toán có thể mở online hoàn toàn miễn phí qua ngân hàng số/Mobile Banking.</t>
  </si>
  <si>
    <t>Thêm ngay sau đoạn này: «Bạn có thể tham khảo hướng dẫn mở tài khoản ngân hàng online chi tiết để thực hiện nhanh chóng.»</t>
  </si>
  <si>
    <t>lãi suất ngân hàng tiền gửi</t>
  </si>
  <si>
    <t>Hiện nay nhiều ngân hàng đã cho phép đăng ký mở tài khoản online , ví dụ như ngân hàng Techcombank, BIDV, MBBank, Vietcombank, VPBank, TPBank…</t>
  </si>
  <si>
    <t>Sửa câu thành: «Hiện nay nhiều ngân hàng đã cho phép mở tài khoản ngân hàng online, ví dụ như ngân hàng Techcombank, BIDV, MBBank, Vietcombank, VPBank, TPBank…»</t>
  </si>
  <si>
    <t>2. Lưu ý trước khi mua tài khoản số đẹp</t>
  </si>
  <si>
    <t>Thủ tục mở tài khoản số đẹp cũng khá đơn giản theo hình thức online hoặc trực tiếp tại ngân hàng.</t>
  </si>
  <si>
    <t>cách tạo tài khoản ngân hàng</t>
  </si>
  <si>
    <t>1. Mở tài khoản ngân hàng có miễn phí thật không?</t>
  </si>
  <si>
    <t>tra cứu cic miễn phí</t>
  </si>
  <si>
    <t>Dù mở tài khoản online tại nhà hay trực tiếp tại quầy giao dịch, bạn cũng sẽ không mất bất cứ một khoản phí nào.</t>
  </si>
  <si>
    <t>Thêm ngay sau đoạn này: «Bạn có thể tham khảo cách tạo tài khoản ngân hàng online và tại quầy để chọn hình thức phù hợp.»</t>
  </si>
  <si>
    <t>tra cứu cic</t>
  </si>
  <si>
    <t>eTax Mobile hiện đã liên kết với hơn 30 ngân hàng, trong đó có Techcombank .</t>
  </si>
  <si>
    <t>1 Man bằng bao nhiêu tiền Việt</t>
  </si>
  <si>
    <t>Thêm ngay sau đoạn này: «Nếu chưa có tài khoản tại ngân hàng được hỗ trợ, bạn có thể tham khảo cách tạo tài khoản ngân hàng online đơn giản.»</t>
  </si>
  <si>
    <t>kiểm tra cic</t>
  </si>
  <si>
    <t>https://techcombank.com/thong-tin/blog/cach-khoa-the-ngan-hang</t>
  </si>
  <si>
    <t>https://techcombank.com/thong-tin/blog/cach-lien-ket-epass-voi-tai-khoan-ngan-hang</t>
  </si>
  <si>
    <t>4. Lưu ý khi liên kết ePass với thẻ ngân hàng</t>
  </si>
  <si>
    <t>Trên đây là cách liên kết ePass với tài khoản ngân hàng nhanh, thực hiện trong chưa đầy 1 phút.</t>
  </si>
  <si>
    <t>Thêm ngay sau đoạn này: «Nếu chưa có tài khoản để liên kết, bạn có thể tham khảo cách tạo tài khoản ngân hàng online.»</t>
  </si>
  <si>
    <t>cic là gì</t>
  </si>
  <si>
    <t>2. Thời hạn khai báo tài khoản ngân hàng với cơ quan thuế</t>
  </si>
  <si>
    <t>Hộ kinh doanh cần tài khoản ngân hàng hoặc ví điện tử đang sử dụng để kinh doanh trên eTax Mobile trước ngày 31/7/2026.</t>
  </si>
  <si>
    <t>Thêm ngay sau đoạn này: «Nếu chưa có tài khoản, bạn có thể tham khảo cách tạo tài khoản ngân hàng online đơn giản.»</t>
  </si>
  <si>
    <t>1. Cách đổi mật khẩu tài khoản ngân hàng trong 1 phút với Mobile Banking</t>
  </si>
  <si>
    <t>Tuy nhiên, để sử dụng tài khoản ngân hàng, khách hàng sẽ cần truy cập Mobile Banking.</t>
  </si>
  <si>
    <t>Thêm ngay sau đoạn này: «Nếu chưa có tài khoản, bạn có thể tham khảo cách tạo tài khoản ngân hàng online ngay trên ứng dụng.»</t>
  </si>
  <si>
    <t>https://techcombank.com/thong-tin/blog/cach-lien-ket-tai-khoan-ngan-hang-voi-vneid</t>
  </si>
  <si>
    <t>4.2. Không thấy ngân hàng muốn liên kết trên VNeID thì phải làm gì?</t>
  </si>
  <si>
    <t>Việc liên kết tài khoản ngân hàng với VNeID hoặc mở tài khoản ngân hàng bằng VNeID đều có thể thực hiện trực tuyến với quy trình khá đơn giản.</t>
  </si>
  <si>
    <t>Thêm ngay sau đoạn này: «Ngoài VNeID, bạn cũng có thể tham khảo các cách tạo tài khoản ngân hàng online và tại quầy khác.»</t>
  </si>
  <si>
    <t>vay nhanh</t>
  </si>
  <si>
    <t>Liên kết tài khoản ngân hàng Techcombank với eTax Mobile để nhận tiền hoàn thuế thuận tiện.</t>
  </si>
  <si>
    <t>vay</t>
  </si>
  <si>
    <t>https://techcombank.com/thong-tin/blog/cach-kich-hoat-the-atm</t>
  </si>
  <si>
    <t>Để tiết kiệm thời gian cho khách hàng, một số ngân hàng đã tích hợp tính năng thanh toán tiền điện, nước trên ứng dụng ngân hàng số.</t>
  </si>
  <si>
    <t>Thêm ngay sau đoạn này: «Nếu chưa có tài khoản, bạn có thể tham khảo cách tạo tài khoản ngân hàng online để sử dụng tính năng này.»</t>
  </si>
  <si>
    <t>vay tiền</t>
  </si>
  <si>
    <t>vay tiền online chuyển khoản ngay</t>
  </si>
  <si>
    <t>2. Mở tài khoản ngân hàng online cho người dưới 18 tuổi có được không?</t>
  </si>
  <si>
    <t>Hy vọng bài viết này đã giúp bạn giải đáp được thắc mắc bao nhiêu tuổi được đăng ký mở tài khoản ngân hàng .</t>
  </si>
  <si>
    <t>Thêm ngay sau đoạn này: «Nếu đủ điều kiện, bạn có thể tham khảo cách mở tài khoản ngân hàng online để tiết kiệm thời gian.»</t>
  </si>
  <si>
    <t>5.3 Đăng ký tài khoản ngân hàng online cho người dưới 18 tuổi có được không?</t>
  </si>
  <si>
    <t>Như vậy, bài viết đã cung cấp toàn bộ thông tin liên quan đến việc mở tài khoản ngân hàng cho học sinh dưới 18 tuổi online cũng như những ngân hàng đăng ký online dưới 18 tuổi.</t>
  </si>
  <si>
    <t>Thêm ngay sau đoạn này: «Khi đủ 18 tuổi, bạn có thể tham khảo cách mở tài khoản ngân hàng online để tự đăng ký tại nhà.»</t>
  </si>
  <si>
    <t>tiền Thái Lan</t>
  </si>
  <si>
    <t>app vay</t>
  </si>
  <si>
    <t>https://techcombank.com/thong-tin/blog/tai-khoan-ngan-hang-chua-toi-da-bao-nhieu-tien</t>
  </si>
  <si>
    <t>1.2. Tài khoản tiết kiệm</t>
  </si>
  <si>
    <t>Để mở tài khoản tiết kiệm, bạn có thể mở online qua ngân hàng số hoặc mở trực tiếp tại phòng giao dịch/chi nhánh gần nhất.</t>
  </si>
  <si>
    <t>Thêm ngay sau đoạn này: «Nếu chưa có tài khoản, bạn có thể tham khảo cách mở tài khoản ngân hàng online trước khi gửi tiết kiệm.»</t>
  </si>
  <si>
    <t>vay tiền app</t>
  </si>
  <si>
    <t>app vay tiền</t>
  </si>
  <si>
    <t>Thêm ngay sau đoạn này: «Nếu chưa có tài khoản, bạn có thể tham khảo cách mở tài khoản ngân hàng online trước khi chọn số đẹp.»</t>
  </si>
  <si>
    <t>3.5. Mở nhiều tài khoản ngân hàng online có sao không?</t>
  </si>
  <si>
    <t>Hiện nay, nhiều ngân hàng cho phép khách hàng mở thêm tài khoản bằng hình thức online.</t>
  </si>
  <si>
    <t>Thêm dòng sau đoạn: «Xem thêm: Cách mở tài khoản ngân hàng online đơn giản»</t>
  </si>
  <si>
    <t>app vay nhanh</t>
  </si>
  <si>
    <t>Để xác định số dư, kiểm tra giao dịch hoặc quản lý tài chính từ tài khoản ngân hàng của công ty, bạn có thể tham khảo cách kiểm tra tài khoản ngân hàng bằng 2 hình thức…</t>
  </si>
  <si>
    <t>app vay tiền nhanh</t>
  </si>
  <si>
    <t>Thêm ngay sau đoạn này: «Nếu chưa có tài khoản cá nhân, bạn có thể tham khảo cách tạo tài khoản ngân hàng online hoặc tại quầy.»</t>
  </si>
  <si>
    <t>Bài về tài khoản công ty – trang đích là tài khoản cá nhân</t>
  </si>
  <si>
    <t>https://techcombank.com/thong-tin/blog/techcombank-sinh-loi-tu-dong</t>
  </si>
  <si>
    <t>2.3 Quản lý minh bạch trên nền tảng số: Theo dõi và nhận chi trả lợi nhuận định kỳ</t>
  </si>
  <si>
    <t>Mọi biến động tài sản và hiệu suất sinh lời đều được hiển thị minh bạch trên ứng dụng Techcombank Mobile.</t>
  </si>
  <si>
    <t>https://techcombank.com/thong-tin/blog/cach-lam-the-atm</t>
  </si>
  <si>
    <t>Thêm ngay sau đoạn này: «Nếu chưa có tài khoản, bạn có thể tham khảo cách tạo tài khoản ngân hàng online để bắt đầu sử dụng.»</t>
  </si>
  <si>
    <t>1. Lộ số tài khoản, thông tin ngân hàng có sao không?</t>
  </si>
  <si>
    <t>Để có thể thực hiện các giao dịch qua tài khoản ngân hàng như thanh toán hóa đơn, chuyển tiền cho người khác... bạn cần biết số tài khoản của họ.</t>
  </si>
  <si>
    <t>cách tính lãi suất tiết kiệm ngân hàng</t>
  </si>
  <si>
    <t>1 triệu đô bằng bao nhiêu tiền Việt</t>
  </si>
  <si>
    <t>6. Ưu đãi khi mở tài khoản doanh nghiệp tại Techcombank</t>
  </si>
  <si>
    <t>Nếu còn băn khoăn, hãy liên hệ ngay với chúng tôi để được hỗ trợ và giải đáp vấn đề một cách nhanh chóng và đơn giản nhất.</t>
  </si>
  <si>
    <t>Thêm ngay sau đoạn này: «Nếu cần tài khoản cá nhân, bạn đọc có thể tham khảo thêm cách mở tài khoản ngân hàng online.»</t>
  </si>
  <si>
    <t>cách tính lãi suất ngân hàng</t>
  </si>
  <si>
    <t>Trang đích là tài khoản cá nhân</t>
  </si>
  <si>
    <t>Doanh nghiệp cần phải chấm dứt phong tỏa trước khi làm thủ tục mở lại tài khoản</t>
  </si>
  <si>
    <t>Thêm ngay sau đoạn này: «Nếu cần một tài khoản mới, bạn có thể tham khảo cách mở tài khoản ngân hàng online để tiết kiệm thời gian.»</t>
  </si>
  <si>
    <t>Đích là tài khoản cá nhân</t>
  </si>
  <si>
    <t>tính lãi suất ngân hàng</t>
  </si>
  <si>
    <t>4. Hướng dẫn mở tài khoản Hộ kinh doanh Techcombank</t>
  </si>
  <si>
    <t>Để mở Tài khoản thanh toán và Công cụ quản lý doanh thu cho Hộ kinh doanh, khách hàng có thể lựa chọn hình thức đăng ký online hoặc đến trực tiếp phòng giao dịch/chi nhánh…</t>
  </si>
  <si>
    <t>Thêm ngay sau đoạn này: «Với tài khoản cá nhân, khách hàng có thể tham khảo cách mở tài khoản ngân hàng online.»</t>
  </si>
  <si>
    <t>tính lãi suất tiết kiệm</t>
  </si>
  <si>
    <t>https://techcombank.com/thong-tin/blog/nen-mo-tai-khoan-ngan-hang-nao-cho-doanh-nghiep</t>
  </si>
  <si>
    <t>1.4. Giao dịch nhanh chóng, tiện lợi</t>
  </si>
  <si>
    <t>Các doanh nghiệp nên chọn những ngân hàng có thủ tục mở tài khoản nhanh chóng và có hình thức mở tài khoản online 24/7…</t>
  </si>
  <si>
    <t>Thêm ngay sau đoạn này: «Với cá nhân, bạn có thể tham khảo cách mở tài khoản ngân hàng online.»</t>
  </si>
  <si>
    <t>3. Quy trình mở thêm tài khoản ngân hàng cho công ty</t>
  </si>
  <si>
    <t>Mở thêm tài khoản tại ngân hàng khác: Thực hiện lại quy trình mở tài khoản theo quy định của ngân hàng, khách hàng có thể mở tài khoản online hoặc tại quầy.</t>
  </si>
  <si>
    <t>https://techcombank.com/thong-tin/blog/cach-lam-the-ngan-hang-chay-quang-cao-facebook</t>
  </si>
  <si>
    <t>Trên đây là hướng dẫn chi tiết dành cho mẫu mở tài khoản doanh nghiệp Techcombank .</t>
  </si>
  <si>
    <t>Thêm ngay sau đoạn này: «Với khách hàng cá nhân, có thể tham khảo cách mở tài khoản ngân hàng online đơn giản.»</t>
  </si>
  <si>
    <t>Bài cho doanh nghiệp, trang đích cho cá nhân</t>
  </si>
  <si>
    <t>chọn ngân hàng uy tín</t>
  </si>
  <si>
    <t>https://techcombank.com/thong-tin/blog/gui-tien-ngan-hang-co-an-toan-khong</t>
  </si>
  <si>
    <t>3. Lời khuyên để gửi tiết kiệm tại ngân hàng an toàn, tối đa khả năng sinh lời</t>
  </si>
  <si>
    <t>Lựa chọn ngân hàng uy tín để gửi tiền: Bạn nên lựa chọn gửi tiền tại ngân hàng uy tín, có kinh nghiệm lâu năm và được nhiều khách hàng tin chọn.</t>
  </si>
  <si>
    <t>Bôi đen cụm «chọn ngân hàng uy tín» trong câu trên, gắn link.</t>
  </si>
  <si>
    <t>Bôi đen cụm trong "Lựa chọn ngân hàng uy tín"</t>
  </si>
  <si>
    <t>https://techcombank.com/thong-tin/blog/rui-ro-khi-gui-tiet-kiem-ngan-hang</t>
  </si>
  <si>
    <t>3. Lưu ý khi gửi tiết kiệm ngân hàng để an toàn nhất</t>
  </si>
  <si>
    <t>Khách hàng nên chọn ngân hàng uy tín, hoạt động lâu năm với hệ thống bảo mật tiên tiến và dòng tiền lưu động tốt.</t>
  </si>
  <si>
    <t>tính lãi suất vay ngân hàng</t>
  </si>
  <si>
    <t>https://techcombank.com/thong-tin/blog/tin-chap-doanh-nghiep</t>
  </si>
  <si>
    <t>6. Lưu ý khi vay tín chấp cho doanh nghiệp</t>
  </si>
  <si>
    <t>Doanh nghiệp cũng nên lựa chọn ngân hàng uy tín, có tiềm lực tài chính mạnh và có nhiều chương…</t>
  </si>
  <si>
    <t>tính lãi vay ngân hàng</t>
  </si>
  <si>
    <t>bảng tính lãi suất vay ngân hàng</t>
  </si>
  <si>
    <t>1000 Won bằng bao nhiêu tiền Việt</t>
  </si>
  <si>
    <t>https://techcombank.com/thong-tin/blog/quy-dinh-ve-mua-ban-ngoai-te-cua-doanh-nghiep</t>
  </si>
  <si>
    <t>6. 4 lưu ý khi thực hiện giao dịch ngoại tệ</t>
  </si>
  <si>
    <t>Doanh nghiệp cần lựa chọn ngân hàng uy tín và có nhiều kinh nghiệm trong lĩnh vực ngoại hối để thực hiện các giao dịch ngoại tệ.</t>
  </si>
  <si>
    <t>lãi suất vay ngân hàng</t>
  </si>
  <si>
    <t>https://techcombank.com/thong-tin/blog/chuyen-tien-tro-cap-than-nhan-o-nuoc-ngoai</t>
  </si>
  <si>
    <t>lãi suất vay ngân hàng hiện nay</t>
  </si>
  <si>
    <t>2.1. Ưu tiên thực hiện chuyển tiền quốc tế qua các ngân hàng uy tín</t>
  </si>
  <si>
    <t>Khi thực hiện chuyển tiền trợ cấp thân nhân ở nước ngoài, lựa chọn ngân hàng uy tín đóng vai trò then chốt để đảm bảo giao dịch diễn ra an toàn, minh bạch và đúng quy định.</t>
  </si>
  <si>
    <t>lãi suất cho vay ngân hàng</t>
  </si>
  <si>
    <t>Cụm nằm trong “lựa chọn ngân hàng uy tín”</t>
  </si>
  <si>
    <t>lãi vay ngân hàng hiện nay</t>
  </si>
  <si>
    <t>lãi suất vay ngân hàng hôm nay</t>
  </si>
  <si>
    <t>cách nhận tiền từ nước ngoài về Việt Nam</t>
  </si>
  <si>
    <t>2. Lưu ý khi nộp tiền mặt vào tài khoản công ty</t>
  </si>
  <si>
    <t>Lựa chọn ngân hàng uy tín: Ngân hàng uy tín thường có hệ thống bảo mật thông tin tốt, đảm bảo an toàn cho các giao dịch và thông tin tài khoản của công ty.</t>
  </si>
  <si>
    <t>vay thấu chi là gì</t>
  </si>
  <si>
    <t>https://techcombank.com/thong-tin/blog/quy-du-phong-tai-chinh-la-gi</t>
  </si>
  <si>
    <t>vay thấu chi</t>
  </si>
  <si>
    <t>4. Tạo quỹ tiết kiệm dự phòng trên ngân hàng số dễ dàng</t>
  </si>
  <si>
    <t>Lựa chọn ngân hàng uy tín để gửi quỹ dự phòng tài chính.</t>
  </si>
  <si>
    <t>thấu chi là gì</t>
  </si>
  <si>
    <t>3. Kinh nghiệm vay thế chấp ngân hàng để có mức lãi suất tốt</t>
  </si>
  <si>
    <t>Lựa chọn ngân hàng uy tín, có ưu đãi về lãi suất: Khách hàng nên chọn những ngân hàng có thủ tục cho vay đơn giản…</t>
  </si>
  <si>
    <t>vay thấu chi là như nào</t>
  </si>
  <si>
    <t>2. 10 ngân hàng nên lựa chọn để mở tài khoản doanh nghiệp</t>
  </si>
  <si>
    <t>Những ngân hàng được gợi ý dưới đây đều được công nhận là ngân hàng uy tín theo các tiêu chuẩn của Vietnam Report, hệ thống bảo mật cao, thủ tục giao dịch nhanh chóng,...</t>
  </si>
  <si>
    <t>Bôi đen cụm «ngân hàng uy tín» trong câu trên, gắn link.</t>
  </si>
  <si>
    <t>https://techcombank.com/thong-tin/blog/kinh-nghiem-gui-tiet-kiem-online</t>
  </si>
  <si>
    <t>5. Lựa chọn ngân hàng uy tín để gửi tiền tiết kiệm online</t>
  </si>
  <si>
    <t>Những ngân hàng uy tín thường công khai biểu phí, lãi suất niêm yết cho từng giải pháp tiền gửi trên website của ngân hàng.</t>
  </si>
  <si>
    <t>https://techcombank.com/thong-tin/blog/co-nen-gui-tiet-kiem-ngan-hang</t>
  </si>
  <si>
    <t>3. Lưu ý trước khi gửi tiết kiệm tại ngân hàng</t>
  </si>
  <si>
    <t>Chọn ngân hàng uy tín, kinh nghiệm trên 10 năm: Khách hàng nên chọn ngân hàng uy tín, có bề dày kinh nghiệm trên 10 năm…</t>
  </si>
  <si>
    <t>Gắn vào cụm thứ hai (sau “Khách hàng nên chọn”)</t>
  </si>
  <si>
    <t>5. Ngân hàng TNHH Một thành viên Standard Chartered (Việt Nam)</t>
  </si>
  <si>
    <t>Standard Chartered (Việt Nam) là một trong những ngân hàng uy tín trong lĩnh vực cho vay tín chấp.</t>
  </si>
  <si>
    <t>https://techcombank.com/thong-tin/blog/nen-vay-the-chap-ngan-hang-nao</t>
  </si>
  <si>
    <t>1.4. Điều kiện, thủ tục vay đơn giản, nhanh chóng và thuận tiện</t>
  </si>
  <si>
    <t>Với sự cạnh tranh mạnh mẽ trên thị trường tài chính hiện nay, một ngân hàng uy tín và chuyên nghiệp sẽ đưa ra những điều kiện vay cần thiết, thủ tục vay đơn giản, tối ưu thời gian.</t>
  </si>
  <si>
    <t>https://techcombank.com/thong-tin/blog/uu-dai-mo-the-tin-dung</t>
  </si>
  <si>
    <t>1. Ngân hàng Techcombank</t>
  </si>
  <si>
    <t>Hiện Techcombank đã vươn mình trở thành một trong những ngân hàng uy tín tại Việt Nam với các điểm nhấn:</t>
  </si>
  <si>
    <t>đổi tiền đô ở đâu</t>
  </si>
  <si>
    <t>rút tiền thẻ tín dụng</t>
  </si>
  <si>
    <t>https://techcombank.com/thong-tin/blog/hoc-sinh-sinh-vien-nen-lam-the-ngan-hang-nao</t>
  </si>
  <si>
    <t>2. Top 7 ngân hàng nổi bật mà học sinh, sinh viên nên đăng ký mở thẻ 2026</t>
  </si>
  <si>
    <t>Dưới đây là danh sách top 7 ngân hàng uy tín, nhiều ưu đãi, nên dùng cho học sinh, sinh viên 2026, bao gồm: Techcombank, BIDV, VPBank, Vietcombank, VietinBank, MB Bank, ACB.</t>
  </si>
  <si>
    <t>quẹt thẻ tín dụng lấy tiền mặt</t>
  </si>
  <si>
    <t>https://techcombank.com/thong-tin/blog/gui-tiet-kiem-ngoai-te</t>
  </si>
  <si>
    <t>7. Nên gửi tiết kiệm ngoại tệ ở ngân hàng nào?</t>
  </si>
  <si>
    <t>Khách hàng nên chọn những ngân hàng uy tín, có độ bảo mật cao, cho gửi nhiều đồng ngoại tệ để an tâm khi gửi tiền.</t>
  </si>
  <si>
    <t>https://techcombank.com/thong-tin/blog/viet-kieu-co-mo-duoc-tai-khoan-ngan-hang-khong</t>
  </si>
  <si>
    <t>3. 7 tiêu chí cần quan tâm khi Việt Kiều chọn ngân hàng mở tài khoản</t>
  </si>
  <si>
    <t>Đồng thời, khách hàng Việt Kiều cũng cần lưu ý khi mở tài khoản và lựa chọn các ngân hàng uy tín, đáp ứng đủ các tiêu chí …</t>
  </si>
  <si>
    <t>thuế hộ kinh doanh</t>
  </si>
  <si>
    <t>https://techcombank.com/thong-tin/blog/ty-gia-cac-ngan-hang</t>
  </si>
  <si>
    <t>3.3. Tính ổn định và tốc độ cập nhật tỷ giá</t>
  </si>
  <si>
    <t>Một ngân hàng uy tín sẽ cập nhật tỷ giá thường xuyên theo thị trường.</t>
  </si>
  <si>
    <t>hộ kinh doanh đóng thuế như thế nào</t>
  </si>
  <si>
    <t>2. Lợi ích của bảo lãnh vay vốn đối với doanh nghiệp</t>
  </si>
  <si>
    <t>Gia tăng độ tin cậy với đối tác: Việc được một ngân hàng uy tín đứng ra bảo lãnh giúp nâng cao uy tín và mức độ chuyên nghiệp của doanh nghiệp…</t>
  </si>
  <si>
    <t>https://techcombank.com/thong-tin/blog/vay-mua-xe-tra-gop-ngan-hang-nao-tot-nhat</t>
  </si>
  <si>
    <t>1.1 Lãi suất ưu đãi</t>
  </si>
  <si>
    <t>Bên cạnh cung cấp chính sách vay ưu đãi, các ngân hàng uy tín thường cung cấp mức lãi suất chính xác tại thời điểm khách hàng tìm hiểu thông tin.</t>
  </si>
  <si>
    <t>5. Hỗ trợ khách hàng</t>
  </si>
  <si>
    <t>Các app ngân hàng uy tín sẽ cung cấp nhiều kênh hỗ trợ khác nhau như:</t>
  </si>
  <si>
    <t>vay ngân hàng 1 tỷ mỗi tháng trả bao nhiêu</t>
  </si>
  <si>
    <t>10. MyVIB</t>
  </si>
  <si>
    <t>Dù chọn ứng dụng nào, hãy đánh giá theo thói quen sử dụng, nhu cầu thực tế và mức độ tiện lợi để tối ưu hành trình tài chính…</t>
  </si>
  <si>
    <t>Thêm ngay sau đoạn này: «Bên cạnh tính năng của app, bạn cũng nên chọn ngân hàng uy tín để đảm bảo an toàn cho tài khoản.»</t>
  </si>
  <si>
    <t>https://techcombank.com/thong-tin/blog/lam-the-visa-o-dau</t>
  </si>
  <si>
    <t>2. 5 ngân hàng mở thẻ Visa có dịch vụ tốt, uy tín</t>
  </si>
  <si>
    <t>Nhìn chung, khi sử dụng dịch vụ mở thẻ tại các ngân hàng, khách hàng nên tìm hiểu kỹ các tiêu chí so sánh và uy tín ngâ…</t>
  </si>
  <si>
    <t>Thêm ngay sau đoạn này: «Bạn có thể tham khảo thêm các tiêu chí giúp chọn ngân hàng uy tín tại Việt Nam.»</t>
  </si>
  <si>
    <t>cách tính lãi suất vay ngân hàng</t>
  </si>
  <si>
    <t>2. Tham gia chứng chỉ tiền gửi Bảo Lộc Techcombank, hưởng lợi suất hấp dẫn</t>
  </si>
  <si>
    <t>Việc thường xuyên cập nhật lãi suất chứng chỉ tiền gửi các ngân hàng giúp bạn có cơ sở so sánh và đưa ra quyết định phù hợp.</t>
  </si>
  <si>
    <t>Thêm ngay sau đoạn này: «Bên cạnh lợi suất, bạn nên chọn ngân hàng uy tín để đảm bảo an toàn cho khoản tiền của mình.»</t>
  </si>
  <si>
    <t>cách tính lãi suất vay</t>
  </si>
  <si>
    <t>https://techcombank.com/thong-tin/blog/ty-gia-la-gi</t>
  </si>
  <si>
    <t>5. Tỷ giá giữa các ngân hàng khác nhau</t>
  </si>
  <si>
    <t>Việc hiểu đúng tỷ giá là gì , cách phân biệt các loại tỷ giá, so sánh tỷ giá các ngân hàng cũng như lựa chọn thời điểm giao dịch phù hợp sẽ giúp bạn giảm thiểu rủi ro…</t>
  </si>
  <si>
    <t>Thêm ngay sau đoạn này: «Để giao dịch an toàn, bạn nên chọn ngân hàng uy tín, được phép hoạt động ngoại hối.»</t>
  </si>
  <si>
    <t>https://techcombank.com/thong-tin/blog/gia-tri-thuong-hieu</t>
  </si>
  <si>
    <t>2. Techcombank - Một trong những thương hiệu Ngân hàng tư nhân giá trị nhất Việt Nam</t>
  </si>
  <si>
    <t>Techcombank là ngân hàng tư nhân duy nhất góp mặt trong Top 5 thương hiệu giá trị nhất Việt Nam.</t>
  </si>
  <si>
    <t>Thêm ngay sau đoạn này: «Bạn có thể tham khảo thêm danh sách các ngân hàng uy tín tại Việt Nam.»</t>
  </si>
  <si>
    <t>https://techcombank.com/thong-tin/blog/vay-sinh-vien</t>
  </si>
  <si>
    <t>6. Vay ở đâu nếu không đủ điều kiện vay vốn sinh viên của nhà nước?</t>
  </si>
  <si>
    <t>Phụ huynh, sinh viên, nghiên cứu sinh, học viên thạc sĩ có thể tham khảo giải pháp vay tín chấp tại các ngân hàng nếu không đủ điều kiện vay vốn sinh viên của nhà nước.</t>
  </si>
  <si>
    <t>Sửa câu thành: «Phụ huynh, sinh viên, nghiên cứu sinh, học viên thạc sĩ có thể tham khảo giải pháp vay tín chấp tại các ngân hàng uy tín nếu không đủ điều kiện vay vốn sinh viên của nhà nước.»</t>
  </si>
  <si>
    <t>https://techcombank.com/thong-tin/blog/dieu-kien-vay-von-ngan-hang</t>
  </si>
  <si>
    <t>Việc tiếp cận nguồn vốn tín dụng giúp các doanh nghiệp, hộ kinh doanh có thêm nguồn lực tài chính để đầu tư, mở rộng sản xuất và nâng cao hiệu quả hoạt động.</t>
  </si>
  <si>
    <t>Thêm ngay sau đoạn này: «Bạn có thể tham khảo danh sách ngân hàng uy tín để lựa chọn nơi vay vốn phù hợp.»</t>
  </si>
  <si>
    <t>Chèn ở mở bài</t>
  </si>
  <si>
    <t>https://techcombank.com/thong-tin/blog/the-tin-dung-mien-lai-55-ngay</t>
  </si>
  <si>
    <t>5. Giới thiệu 2 thẻ tín dụng miễn lãi 55 ngày của Techcombank</t>
  </si>
  <si>
    <t>Sử dụng thẻ tín dụng một cách thông minh và có trách nhiệm sẽ mang lại cho bạn nhiều lợi ích về tài chính và giúp bạn quản lý chi tiêu hiệu quả hiệu quả hơn.</t>
  </si>
  <si>
    <t>Thêm ngay sau đoạn này: «Khi lựa chọn mở thẻ, khách hàng nên ưu tiên các ngân hàng uy tín với chính sách minh bạch.»</t>
  </si>
  <si>
    <t>voucher Traveloka</t>
  </si>
  <si>
    <t>https://techcombank.com/thong-tin/blog/ngan-hang-thu-huong-la-gi</t>
  </si>
  <si>
    <t>3. 4 lỗi có thể gặp với ngân hàng thụ hưởng khi chuyển tiền</t>
  </si>
  <si>
    <t>Người gửi: Lưu lại hình ảnh giao dịch chuyển khoản thành công</t>
  </si>
  <si>
    <t>Thêm dòng sau đoạn: «Xem thêm: cách xử lý khi chuyển khoản thành công nhưng không nhận được tiền»</t>
  </si>
  <si>
    <t>Đoạn liệt kê cách xử lý – dùng Xem thêm</t>
  </si>
  <si>
    <t>chuyển tiền thành công nhưng chưa nhận được</t>
  </si>
  <si>
    <t>1. Mã giao dịch là gì?</t>
  </si>
  <si>
    <t>Mỗi giao dịch sẽ có một mã duy nhất, nó giống như một “hóa đơn điện tử” xác nhận việc giao dịch đã được thực hiện thành công…</t>
  </si>
  <si>
    <t>Thêm ngay sau đoạn này: «Trường hợp chuyển tiền thành công nhưng chưa nhận được, mã giao dịch là căn cứ quan trọng để ngân hàng tra soát.»</t>
  </si>
  <si>
    <t>Khi chuyển khoản trên điện thoại, bạn có thể gặp tình trạng người thụ hưởng không nhận được tiền hoặc màn hình thông báo giao dịch không thành công.</t>
  </si>
  <si>
    <t>Sửa câu thành: «Khi chuyển khoản trên điện thoại, bạn có thể gặp tình trạng chuyển tiền thành công nhưng chưa nhận được tiền hoặc màn hình thông báo giao dịch không thành công.»</t>
  </si>
  <si>
    <t>https://techcombank.com/thong-tin/blog/ma-qr-ngan-hang-khong-hop-le</t>
  </si>
  <si>
    <t>6. Mã QR ngân hàng bị sai thông tin</t>
  </si>
  <si>
    <t>Trong trường hợp nhập sai thông tin tài khoản, mã QR vẫn …</t>
  </si>
  <si>
    <t>Thêm ngay sau đoạn này: «Nếu đã chuyển khoản thành công nhưng không nhận được tiền do sai thông tin, người chuyển cần liên hệ ngân hàng để được tra soát.»</t>
  </si>
  <si>
    <t>2. Kiểm tra các thông tin chuyển khoản khi nộp tiền vào tài khoản công ty</t>
  </si>
  <si>
    <t>Lưu ý khi chuyển tiền vào tài khoản công ty: Bộ phận thực hiện cần rà soát cẩn thận các thông tin chuyển tiền để tránh sai sót khi giao dịch.</t>
  </si>
  <si>
    <t>Thêm ngay sau đoạn này: «Trường hợp chuyển khoản thành công nhưng không nhận được tiền, doanh nghiệp nên liên hệ ngân hàng để được tra soát.»</t>
  </si>
  <si>
    <t>https://techcombank.com/thong-tin/blog/loa-ting-ting</t>
  </si>
  <si>
    <t>4.1. Sử dụng loa bán hàng Techcombank như thế nào?</t>
  </si>
  <si>
    <t>Sau khi thiết bị loa bán hàng được cài đặt thành công, mỗi khi có người mua hàng thực hiện chuyển tiền hành công qua mã QR cửa hàng được Techcombank cung cấp, loa sẽ tự động phát âm thanh…</t>
  </si>
  <si>
    <t>Thêm ngay sau đoạn này: «Trường hợp khách báo chuyển khoản thành công nhưng không nhận được tiền, chủ cửa hàng nên kiểm tra lại lịch sử giao dịch trước khi giao hàng.»</t>
  </si>
  <si>
    <t>Đảm bảo thao tác nạp tiền vào thẻ: Khách hàng cần thực hiện kiểm tra lại giao dịch, các bảng sao kê trước và sau khi nạp tiền thành công…</t>
  </si>
  <si>
    <t>Thêm ngay sau đoạn này: «Trường hợp chuyển khoản thành công nhưng không nhận được tiền, bạn nên liên hệ ngân hàng để được tra soát.»</t>
  </si>
  <si>
    <t>4. Bước 4: Xác thực giao dịch và kiểm tra trạng thái giao dịch</t>
  </si>
  <si>
    <t>Đồng thời, bạn cũng sẽ nhận được thông báo trừ tiền trong tài khoản.</t>
  </si>
  <si>
    <t>Thêm ngay sau đoạn này: «Trường hợp chuyển khoản thành công nhưng không nhận được tiền, bạn nên kiểm tra lại thông tin giao dịch và liên hệ ngân hàng để được hỗ trợ.»</t>
  </si>
  <si>
    <t>tiền chuyển khoản bị treo</t>
  </si>
  <si>
    <t>Lưu ý quan trọng khi chuyển tiền ngân hàng</t>
  </si>
  <si>
    <t>Khi nhập sai số thẻ hoặc số tài khoản, khoản tiền có thể được chuyển đến tài khoản không đúng và việc xử lý hoàn tiền sẽ mất nhiều thời gian.</t>
  </si>
  <si>
    <t>Thêm ngay sau đoạn này: «Trường hợp tiền chuyển khoản bị treo hoặc người nhận chưa nhận được, bạn nên liên hệ ngân hàng để được hỗ trợ kiểm tra.»</t>
  </si>
  <si>
    <t>https://techcombank.com/thong-tin/blog/chuyen-nham-tien-co-lay-lai-duoc-khong</t>
  </si>
  <si>
    <t>4. Nhận được tiền chuyển nhầm, làm sao trả lại hợp pháp, tránh rắc rối?</t>
  </si>
  <si>
    <t>Dù bạn ở vị trí người chuyển nhầm hay người nhận nhầm, việc xử lý đúng cách và kịp thời là yếu tố quan trọng nhất.</t>
  </si>
  <si>
    <t>Thêm ngay sau đoạn này: «Trường hợp tiền chuyển khoản bị treo, đã chuyển thành công nhưng người nhận chưa thấy tiền, bạn có thể tham khảo thêm cách xử lý.»</t>
  </si>
  <si>
    <t>3. Lưu ý khi tìm cách lấy lại tiền chuyển khoản bị lừa</t>
  </si>
  <si>
    <t>Tuyệt đối không liên hệ các dịch vụ hỗ trợ lấy lại tiền chuyển khoản bị lừa.</t>
  </si>
  <si>
    <t>Thêm ngay sau đoạn này: «Nếu chỉ gặp tình trạng tiền chuyển khoản bị treo do lỗi hệ thống, bạn nên liên hệ trực tiếp ngân hàng để được tra soát.»</t>
  </si>
  <si>
    <t>https://techcombank.com/thong-tin/blog/tai-khoan-ngan-hang-bi-khoa</t>
  </si>
  <si>
    <t>4. Câu hỏi thường gặp</t>
  </si>
  <si>
    <t>Bạn có thể lấy lại được tiền nếu chuyển khoản vào tài khoản bị khóa 1 chiều.</t>
  </si>
  <si>
    <t>Thêm ngay sau đoạn này: «Trường hợp tiền chuyển khoản bị treo vì lý do khác, bạn nên liên hệ ngân hàng để được tra soát.»</t>
  </si>
  <si>
    <t>3. Câu hỏi thường gặp</t>
  </si>
  <si>
    <t>Xác thực sinh trắc học khi chuyển tiền ngân hàng là giải pháp bảo mật an toàn nhất hiện tại, đảm bảo chính chủ tài khoản là người thực hiện giao dịch.</t>
  </si>
  <si>
    <t>Thêm ngay sau đoạn này: «Trường hợp giao dịch đã xác thực nhưng tiền chuyển khoản bị treo, bạn có thể tham khảo nguyên nhân và cách xử lý.»</t>
  </si>
  <si>
    <t>https://techcombank.com/thong-tin/blog/the-ghi-no-co-chuyen-khoan-duoc-khong</t>
  </si>
  <si>
    <t>3. 2 lưu ý khi chuyển tiền bằng thẻ ghi nợ</t>
  </si>
  <si>
    <t>Lưu lại hóa đơn khi chuyển tiền tại quầy giao dịch và ATM : Sau khi hoàn tất chuyển tiền, khách hàng cần giữ lại hóa đơn của lần chuyển tiền đó để tiện cho việc đối chiếu nếu phát sinh sự cố.</t>
  </si>
  <si>
    <t>Thêm ngay sau đoạn này: «Trường hợp tiền chuyển khoản bị treo, hóa đơn này sẽ giúp ngân hàng tra soát nhanh hơn.»</t>
  </si>
  <si>
    <t>mô hình kinh doanh là gì</t>
  </si>
  <si>
    <t>https://techcombank.com/thong-tin/blog/loa-thong-bao-chuyen-khoan</t>
  </si>
  <si>
    <t>2.3. Giảm thiểu rủi ro lừa đảo và sai sót trong quá trình giao dịch</t>
  </si>
  <si>
    <t>Chủ cửa hàng không cần phải dựa vào các thông tin tự cung cấp từ khách hàng như hóa đơn hay tin nhắn chuyển khoản, mà thay vào đó, loa sẽ xác nhận ngay kết quả giao dịch.</t>
  </si>
  <si>
    <t>Thêm ngay sau đoạn này: «Trường hợp khách báo đã chuyển nhưng loa không thông báo, chủ cửa hàng nên kiểm tra xem có phải tiền chuyển khoản bị treo hay không.»</t>
  </si>
  <si>
    <t>https://techcombank.com/thong-tin/blog/remittance-la-gi</t>
  </si>
  <si>
    <t>2. Đặc điểm của phương thức chuyển tiền</t>
  </si>
  <si>
    <t>Tốc độ nhanh chóng: Đặc biệt khi chuyển tiền điện tử (T/T - Telegraphic Transfer), khoản tiền có thể đến tay người nhận trong vài phút hoặc cùng ngày…</t>
  </si>
  <si>
    <t>Thêm dòng sau đoạn: «Xem thêm: Cách xử lý khi tiền chuyển khoản bị treo»</t>
  </si>
  <si>
    <t>Trang đích về chuyển khoản trong nước</t>
  </si>
  <si>
    <t>3.3. Chuyển khoản tại CDM</t>
  </si>
  <si>
    <t>CDM cũng cho phép chuyển tiền giữa các tài khoản hoặc chuyển nội bộ ngân hàng:</t>
  </si>
  <si>
    <t>https://techcombank.com/thong-tin/blog/cach-tao-ma-qr-code-mien-phi</t>
  </si>
  <si>
    <t>2.3. Cách tạo QR Code miễn phí qua ví điện tử</t>
  </si>
  <si>
    <t>Người dùng muốn rút tiền từ ví điện tử về tài khoản ngân hàng cần thực hiện thêm lệnh Rút tiền.</t>
  </si>
  <si>
    <t>Thêm ngay sau đoạn này: «Trường hợp tiền chuyển khoản bị treo, chưa vào tài khoản, bạn nên liên hệ ngân hàng hoặc ví điện tử để được kiểm tra.»</t>
  </si>
  <si>
    <t>https://techcombank.com/thong-tin/blog/gui-tien-du-hoc</t>
  </si>
  <si>
    <t>1. Giới thiệu dịch vụ gửi tiền du học Techcombank</t>
  </si>
  <si>
    <t>Hồ sơ tinh gọn, hỗ trợ từ A-Z: Khách hàng chỉ cần chuẩn bị hồ sơ online và tạo yêu cầu chuyển tiền theo hướng dẫn có sẵn trên Techcombank Mobile</t>
  </si>
  <si>
    <t>Thêm ngay sau đoạn này: «Nếu giao dịch chậm, bạn có thể tham khảo cách xử lý khi tiền chuyển khoản bị treo.»</t>
  </si>
  <si>
    <t>https://techcombank.com/thong-tin/blog/iban-la-gi</t>
  </si>
  <si>
    <t>3. Chức năng của mã IBAN</t>
  </si>
  <si>
    <t>IBAN được tạo ra để giảm thiểu rủi ro và sự chậm trễ trong các giao dịch chuyển tiền quốc tế.</t>
  </si>
  <si>
    <t>Thêm ngay sau đoạn này: «Nếu gặp tình trạng tiền chuyển khoản bị treo, bạn có thể tham khảo các nguyên nhân và cách xử lý.»</t>
  </si>
  <si>
    <t>gửi mã QR ngân hàng</t>
  </si>
  <si>
    <t>1. Ví điện tử là gì?</t>
  </si>
  <si>
    <t>Người dùng có thể nạp tiền từ tài khoản ngân hàng, thẻ tín dụng để thanh toán, chuyển tiền, nạp điện thoại, chi trả hóa đơn…</t>
  </si>
  <si>
    <t>Thêm ngay sau đoạn này: «Trường hợp tiền chuyển khoản bị treo khi nạp hoặc rút giữa ví và ngân hàng, bạn có thể tham khảo cách xử lý.»</t>
  </si>
  <si>
    <t>https://techcombank.com/thong-tin/blog/casa-la-gi</t>
  </si>
  <si>
    <t>3. Ý nghĩa của CASA với khách hàng</t>
  </si>
  <si>
    <t>Giao dịch thuận tiện: Nhận lương, chuyển khoản, rút tiền, thanh toán QR, quẹt thẻ… mọi lúc, không bị ràng buộc thời gian</t>
  </si>
  <si>
    <t>Thêm ngay sau đoạn này: «Trường hợp tiền chuyển khoản bị treo, bạn nên liên hệ ngân hàng để được hỗ trợ kiểm tra.»</t>
  </si>
  <si>
    <t>https://techcombank.com/thong-tin/blog/dinh-cu-chau-au</t>
  </si>
  <si>
    <t>2.2. Tìm hiểu kênh chuyển tiền quốc tế uy tín, hợp pháp</t>
  </si>
  <si>
    <t>Đồng hành cùng khách hàng trong hành trình di trú tại nhiều quốc gia, Techcombank mang đến dịch vụ chuyển tiền quốc tế với giao dịch được xử lý nhanh chóng (thường chỉ trong 2 giờ làm việc)…</t>
  </si>
  <si>
    <t>Thêm ngay sau đoạn này: «Trường hợp giao dịch chậm, bạn có thể tham khảo cách xử lý khi tiền chuyển khoản bị treo.»</t>
  </si>
  <si>
    <t>https://techcombank.com/thong-tin/blog/cam-nang-dinh-cu-my</t>
  </si>
  <si>
    <t>2.2. Lựa chọn kênh chuyển tiền quốc tế an toàn, uy tín</t>
  </si>
  <si>
    <t>Đồng hành cùng khách hàng trong hành trình di trú tại nhiều quốc gia, Techcombank mang đến dịch vụ chuyển tiền quốc tế với giao dịch được xử lý nhanh chóng…</t>
  </si>
  <si>
    <t>Thêm ngay sau đoạn này: «Trường hợp tiền chuyển khoản bị treo, bạn nên liên hệ ngân hàng để được tra soát kịp thời.»</t>
  </si>
  <si>
    <t>Trang đích nói về chuyển khoản trong nước</t>
  </si>
  <si>
    <t>độ tuổi mở tài khoản ngân hàng</t>
  </si>
  <si>
    <t>https://techcombank.com/thong-tin/blog/mo-tai-khoan-ngan-hang-cho-tre-em</t>
  </si>
  <si>
    <t>2.1 Điều kiện và thủ tục mở tài khoản cho con</t>
  </si>
  <si>
    <t>Techcombank không giới hạn độ tuổi mở tài khoản ngân hàng.</t>
  </si>
  <si>
    <t>Bôi đen cụm «độ tuổi mở tài khoản ngân hàng» trong câu trên, gắn link.</t>
  </si>
  <si>
    <t>mở tài khoản hộ kinh doanh</t>
  </si>
  <si>
    <t>https://techcombank.com/thong-tin/blog/cach-quan-ly-tai-san</t>
  </si>
  <si>
    <t>2. 2 đối tượng đặc biệt có thể nhờ người thân mở hộ tài khoản ngân hàng</t>
  </si>
  <si>
    <t>Nhóm người chưa đủ 15 tuổi và nhóm người không đủ năng lực hành vi dân sự, có thể nhờ người thân mở tài khoản ngân hàng để đảm bảo an toàn và tránh rủi ro tài chính.</t>
  </si>
  <si>
    <t>Thêm ngay sau đoạn này: «Để hiểu rõ quy định về độ tuổi, bạn có thể xem bao nhiêu tuổi được mở tài khoản ngân hàng.»</t>
  </si>
  <si>
    <t>4.5. Bao nhiêu tuổi được sử dụng ví ShopeePay?</t>
  </si>
  <si>
    <t>Để sử dụng ShopeePay, bạn cần đủ 15 tuổi để có thể đăng ký tài khoản ngân hàng online và liên kết với ví ShopeePay.</t>
  </si>
  <si>
    <t>Thêm ngay sau đoạn này: «Bạn có thể tìm hiểu thêm quy định bao nhiêu tuổi được mở tài khoản ngân hàng để chuẩn bị đúng giấy tờ.»</t>
  </si>
  <si>
    <t>1. Học sinh, sinh viên nên làm loại thẻ ngân hàng nào?</t>
  </si>
  <si>
    <t>Do đó, đối tượng khách hàng là học sinh, sinh viên từ đủ 15 tuổi trở lên, đáp ứng các điều kiện trên có thể đăng ký mở thẻ thanh toán, thẻ tín dụng hoặc thẻ trả trước.</t>
  </si>
  <si>
    <t>Thêm ngay sau đoạn này: «Để hiểu rõ quy định bao nhiêu tuổi được mở tài khoản ngân hàng, bạn có thể tham khảo thêm.»</t>
  </si>
  <si>
    <t>3. 5 câu hỏi thường gặp khi làm thẻ ATM</t>
  </si>
  <si>
    <t>Có thể nhờ người thân nhận thẻ hộ nhưng không thể mở hộ tài khoản ngân hàng…</t>
  </si>
  <si>
    <t>Thêm ngay sau đoạn này: «Nếu muốn mở tài khoản cho con, bạn nên tìm hiểu bao nhiêu tuổi được mở tài khoản ngân hàng theo quy định.»</t>
  </si>
  <si>
    <t>cách tính thuế hộ kinh doanh nhỏ lẻ</t>
  </si>
  <si>
    <t>3. Bước 3: Nhập số tiền cần thanh toán</t>
  </si>
  <si>
    <t>Ngân hàng Techcombank còn hỗ trợ các giải pháp tài chính cho cả đối tượng khách hàng trẻ tuổi, giúp bố mẹ dễ dàng mở tài khoản ngân hàng cho người dưới 18 tuổi…</t>
  </si>
  <si>
    <t>Thêm ngay sau đoạn này: «Nếu chưa rõ bao nhiêu tuổi được mở tài khoản ngân hàng, phụ huynh có thể tham khảo quy định hiện hành trước khi đăng ký cho con.»</t>
  </si>
  <si>
    <t>4. 4 lưu ý khi chọn tài khoản số đẹp</t>
  </si>
  <si>
    <t>Kiểm tra sự phù hợp với quy định ngân hàng: Mỗi ngân hàng sẽ có những quy định riêng, vì thế bạn cần kiểm tra 1 số điều khoản như đối tượng mở tài khoản số đẹp của ngân hàng…</t>
  </si>
  <si>
    <t>Thêm dòng sau đoạn: «Xem thêm: bao nhiêu tuổi được mở tài khoản ngân hàng»</t>
  </si>
  <si>
    <t>Hiện nay, khách hàng dưới 18 tuổi vẫn có thể mở tài khoản tại hầu hết các ngân hàng.</t>
  </si>
  <si>
    <t>Thêm ngay sau đoạn này: «Để hiểu rõ quy định chung, bạn có thể xem thêm bao nhiêu tuổi được mở tài khoản ngân hàng.»</t>
  </si>
  <si>
    <t>https://techcombank.com/thong-tin/blog/cach-rut-tien-atm</t>
  </si>
  <si>
    <t>3. Điều kiện &amp; Hồ sơ đăng ký tài khoản Hộ kinh doanh Techcombank</t>
  </si>
  <si>
    <t>Người đăng ký mở tài khoản là công dân Việt Nam, người Việt Nam chưa xác định quốc tịch hoặc người nước ngoài được phép sinh sống và làm việc tại Việt Nam từ 12 tháng trở lên.</t>
  </si>
  <si>
    <t>Thêm ngay sau đoạn này: «Về độ tuổi, khách hàng có thể tìm hiểu thêm bao nhiêu tuổi được mở tài khoản ngân hàng theo quy định.»</t>
  </si>
  <si>
    <t>https://techcombank.com/thong-tin/blog/lam-the-visa-online</t>
  </si>
  <si>
    <t>2. Hướng dẫn cách làm thẻ Visa online</t>
  </si>
  <si>
    <t>Để làm thẻ Visa online, khách hàng cần phải có tài khoản ngân hàng.</t>
  </si>
  <si>
    <t>Thêm ngay sau đoạn này: «Khách hàng có thể tham khảo quy định bao nhiêu tuổi được mở tài khoản ngân hàng trước khi đăng ký.»</t>
  </si>
  <si>
    <t>https://techcombank.com/thong-tin/blog/the-debit-cho-con</t>
  </si>
  <si>
    <t>1. Điều kiện đăng ký mở thẻ</t>
  </si>
  <si>
    <t>cách tính lãi vay ngân hàng</t>
  </si>
  <si>
    <t>Nếu con chưa có tài khoản thanh toán tại Techcombank, bố mẹ có thể đưa con đến phòng giao dịch/chi nhánh ngân hàng để mở tài khoản.</t>
  </si>
  <si>
    <t>Thêm ngay sau đoạn này: «Phụ huynh nên tìm hiểu trước bao nhiêu tuổi được mở tài khoản ngân hàng để chuẩn bị giấy tờ phù hợp.»</t>
  </si>
  <si>
    <t>https://techcombank.com/thong-tin/blog/lam-the-thanh-toan-quoc-te</t>
  </si>
  <si>
    <t>1. Mở thẻ thanh toán quốc tế online</t>
  </si>
  <si>
    <t>Để có thể mở thẻ thanh toán quốc tế qua Mobile Banking, khách hàng cần có tài khoản thanh toán.</t>
  </si>
  <si>
    <t>3. 3 câu hỏi liên quan đến mở thẻ ATM</t>
  </si>
  <si>
    <t>Trên đây là giải đáp cho thắc mắc 1 người có thể làm được bao nhiêu thẻ ATM và một số vấn đề liên quan.</t>
  </si>
  <si>
    <t>Thêm ngay sau đoạn này: «Nếu muốn mở thẻ cho con em trong gia đình, bạn nên tìm hiểu thêm bao nhiêu tuổi được mở tài khoản ngân hàng.»</t>
  </si>
  <si>
    <t>https://techcombank.com/thong-tin/blog/lam-the-atm-bao-lau-co</t>
  </si>
  <si>
    <t>1. Làm thẻ ATM bao lâu thì có?</t>
  </si>
  <si>
    <t>15 - 30 phút đăng ký mở tài khoản và làm thẻ.</t>
  </si>
  <si>
    <t>Thêm dòng sau đoạn: «Xem thêm: Bao nhiêu tuổi được mở tài khoản ngân hàng?»</t>
  </si>
  <si>
    <t>Gạch đầu dòng thời gian – dùng Xem thêm</t>
  </si>
  <si>
    <t>https://techcombank.com/thong-tin/blog/quan-ly-chuoi-cua-hang</t>
  </si>
  <si>
    <t>1.3. Mã QR Cửa hàng</t>
  </si>
  <si>
    <t>Nếu khách hàng là người trẻ tuổi, việc mở tài khoản ngân hàng dưới 18 tuổi đã được hỗ trợ để sớm làm quen với cá…</t>
  </si>
  <si>
    <t>https://techcombank.com/thong-tin/blog/lam-the-atm-co-mat-phi-khong</t>
  </si>
  <si>
    <t>2.2. Làm thẻ ngân hàng ở đâu không mất phí?</t>
  </si>
  <si>
    <t>Hiện nay, nhiều ngân hàng đều có chính sách làm thẻ atm miễn phí , phát hành và giao thẻ ATM tại nhà…</t>
  </si>
  <si>
    <t>Thêm ngay sau đoạn này: «Trước khi đăng ký, khách hàng nên tìm hiểu bao nhiêu tuổi được mở tài khoản ngân hàng để chuẩn bị giấy tờ phù hợp.»</t>
  </si>
  <si>
    <t>https://techcombank.com/thong-tin/blog/ma-otp-la-gi</t>
  </si>
  <si>
    <t>4. Cách lấy mã OTP</t>
  </si>
  <si>
    <t>Thông thường, các ngân hàng đều tự kích hoạt SMS OTP/Smart OTP ngay khi khách hàng mở tài khoản thanh toán.</t>
  </si>
  <si>
    <t>Thêm ngay sau đoạn này: «Nếu chuẩn bị mở tài khoản lần đầu, bạn có thể tìm hiểu bao nhiêu tuổi được mở tài khoản ngân hàng.»</t>
  </si>
  <si>
    <t>Công nghệ đón đầu - Tiện dụng - An toàn - Bảo mật cao: Techcombank là một trong những ngân hàng dẫn dầu số hóa trong lĩnh vực tài chính ngân hàng…</t>
  </si>
  <si>
    <t>Gạch đầu dòng ưu điểm – dùng Xem thêm</t>
  </si>
  <si>
    <t>lãi suất vay thế chấp sổ đỏ</t>
  </si>
  <si>
    <t>4. 3 lưu ý khi đổi số điện thoại ngân hàng</t>
  </si>
  <si>
    <t>Vì hiện chưa có hình thức mở tài khoản ngân hàng không cần số điện thoại , một thuê bao chính chủ ổn định là điều kiện để bạn duy trì các dịch vụ ngân hàng số.</t>
  </si>
  <si>
    <t>Thêm ngay sau đoạn này: «Nếu chuẩn bị mở tài khoản lần đầu, bạn cũng nên tìm hiểu bao nhiêu tuổi được mở tài khoản ngân hàng.»</t>
  </si>
  <si>
    <t>https://techcombank.com/thong-tin/blog/vi-du-ve-ca-nhan-hoa</t>
  </si>
  <si>
    <t>3. Ví dụ về cá nhân hóa cho người dùng chọn tài khoản số đẹp tùy ý</t>
  </si>
  <si>
    <t>Thêm ngay sau đoạn này: «Nếu mở tài khoản lần đầu, bạn có thể tìm hiểu thêm bao nhiêu tuổi được mở tài khoản ngân hàng theo quy định.»</t>
  </si>
  <si>
    <t>1. Điều kiện mở thẻ tín dụng</t>
  </si>
  <si>
    <t>Người đăng ký mở thẻ tín dụng cần đảm bảo tài chính ổn định và lịch sử giao dịch ngân hàng tốt</t>
  </si>
  <si>
    <t>Gạch đầu dòng điều kiện – dùng Xem thêm</t>
  </si>
  <si>
    <t>https://techcombank.com/thong-tin/blog/vay-thau-chi-bang-so-tiet-kiem</t>
  </si>
  <si>
    <t>3. Điều kiện vay thấu chi bằng sổ tiết kiệm</t>
  </si>
  <si>
    <t>Song song với nhu cầu vay vốn, nhiều khách hàng mới mở tài khoản cũng quan tâm tới việc làm thẻ ATM khi nào có để chủ động rút tiền và chi tiêu hàng ngày…</t>
  </si>
  <si>
    <t>Thêm ngay sau đoạn này: «Với người mở tài khoản lần đầu, bạn có thể tìm hiểu thêm bao nhiêu tuổi được mở tài khoản ngân hàng theo quy định hiện hành.»</t>
  </si>
  <si>
    <t>https://techcombank.com/thong-tin/blog/cach-su-dung-the-ghi-no</t>
  </si>
  <si>
    <t>https://techcombank.com/thong-tin/blog/qr-code-phuong-thuc-thanh-toan-toi-uu-trong-ky-nguyen-so</t>
  </si>
  <si>
    <t>2. Triển vọng của hình thức thanh toán mã QR trên toàn cầu</t>
  </si>
  <si>
    <t>Quảng Bình hướng đến mục tiêu trên 90% người dân từ 15 tuổi trở lên có tài khoản giao dịch tại ngân hàng…</t>
  </si>
  <si>
    <t>thủ tục xóa thế chấp</t>
  </si>
  <si>
    <t>Đoạn số liệu – dùng Xem thêm</t>
  </si>
  <si>
    <t>mở tài khoản ngân hàng cho học sinh</t>
  </si>
  <si>
    <t>Đồng hành cùng bố mẹ dạy con học cách chi tiêu và quản lý tài chính hiệu quả, Techcombank đã ra mắt dòng thẻ Thanh toán quốc tế Cho Con.</t>
  </si>
  <si>
    <t>Thêm ngay sau đoạn này: «Nếu con chưa có tài khoản, bố mẹ có thể tham khảo cách mở tài khoản ngân hàng cho học sinh trước khi đăng ký thẻ.»</t>
  </si>
  <si>
    <t>5. Công nghệ mới thay thế mã OTP trong lĩnh vực ngân hàng</t>
  </si>
  <si>
    <t>Thêm ngay sau đoạn này: «Với người dưới 18 tuổi, phụ huynh có thể tham khảo cách mở tài khoản ngân hàng cho học sinh.»</t>
  </si>
  <si>
    <t>Bài viết này sẽ giúp bạn giải đáp thắc mắc nên làm tài khoản ngân hàng nào, đồng thời đưa ra gợi ý top…</t>
  </si>
  <si>
    <t>Thêm ngay sau đoạn này: «Với các bạn dưới 18 tuổi, có thể tham khảo thêm cách mở tài khoản ngân hàng cho học sinh.»</t>
  </si>
  <si>
    <t>https://techcombank.com/thong-tin/blog/thanh-toan-hoc-phi-online</t>
  </si>
  <si>
    <t>2.4. MoMo</t>
  </si>
  <si>
    <t>Thanh toán học phí với Ví MoMo là một trong những giải pháp tiện lợi và nhanh chóng cho học sinh và sinh viên.</t>
  </si>
  <si>
    <t>Thêm ngay sau đoạn này: «Với học sinh chưa có tài khoản, phụ huynh có thể tham khảo cách mở tài khoản ngân hàng cho học sinh.»</t>
  </si>
  <si>
    <t>https://techcombank.com/thong-tin/blog/thanh-toan-khong-tien-mat-trong-nganh-giao-duc-co-hoi-va-thach-thuc</t>
  </si>
  <si>
    <t>2. Một số vấn đề còn cần giải quyết trong việc áp dụng thanh toán không tiền mặt trong ngà</t>
  </si>
  <si>
    <t>Bên cạnh đó, nhà trường và các đơn vị tài chính tích cực hướng dẫn, phát động tuyên truyền về việc mở và sử dụng tài khoản ngân hàng đối với các khu vực ở xa.</t>
  </si>
  <si>
    <t>Thêm ngay sau đoạn này: «Phụ huynh có thể tham khảo cách mở tài khoản ngân hàng cho học sinh để chủ động đóng các khoản phí học tập.»</t>
  </si>
  <si>
    <t>lãi suất tiết kiệm</t>
  </si>
  <si>
    <t>https://techcombank.com/thong-tin/blog/ekyc-la-gi</t>
  </si>
  <si>
    <t>6. Giải pháp eKYC ứng dụng trong ngân hàng Techcombank</t>
  </si>
  <si>
    <t>Ngoài ra, Techcombank cũng hỗ trợ mở tài khoản ngân hàng miễn phí giúp khách hàng trải nghiệm các dịch vụ ngân hàng số mà không phát sinh chi phí ban đầu.</t>
  </si>
  <si>
    <t>https://techcombank.com/thong-tin/blog/quy-gia-dinh</t>
  </si>
  <si>
    <t>2.3. Dễ dàng mở tài khoản cho con</t>
  </si>
  <si>
    <t>Với con: Mở ra cánh cửa tự do tài chính cho các con từ 11 - 17 tuổi, con tự chủ chi tiêu và thực hành quản lý tài chính dưới sự đồng hành của ba mẹ</t>
  </si>
  <si>
    <t>Thêm dòng sau đoạn: «Xem thêm: Cách mở tài khoản ngân hàng dưới 18 tuổi online»</t>
  </si>
  <si>
    <t>Trẻ dưới 15 tuổi: Bố/mẹ đến quầy giao dịch của ngân hàng để làm thủ tục mở tài khoản cho con.</t>
  </si>
  <si>
    <t>Thêm dòng sau đoạn: «Xem thêm: điều kiện và cách mở tài khoản ngân hàng dưới 18 tuổi»</t>
  </si>
  <si>
    <t>https://techcombank.com/thong-tin/blog/cach-tao-ma-qr</t>
  </si>
  <si>
    <t>Dưới đây là hai câu hỏi thường gặp nhất khi mở tài khoản ngân hàng online.</t>
  </si>
  <si>
    <t>Thêm ngay sau đoạn này: «Với người chưa đủ 18 tuổi, phụ huynh có thể tham khảo cách mở tài khoản ngân hàng cho học sinh.»</t>
  </si>
  <si>
    <t>4. Kích hoạt xác thực hai yếu tố (2FA)</t>
  </si>
  <si>
    <t>Hiện nay, khi mở tài khoản ngân hàng online qua ứng dụng ngân hàng, khách hàng bắt buộc phải xác thực sinh trắc học với CCCD gắn chip.</t>
  </si>
  <si>
    <t>Thêm dòng sau đoạn: «Xem thêm: mở tài khoản ngân hàng cho học sinh»</t>
  </si>
  <si>
    <t>cách tính lãi suất tiền gửi tiết kiệm</t>
  </si>
  <si>
    <t>Rút ngắn thủ tục: Với phương pháp xác thực sinh trắc học, thao tác thực hiện một số tình huống giao dịch như chuyển tiền nước ngoài…</t>
  </si>
  <si>
    <t>Thêm ngay sau đoạn này: «Với người dưới 18 tuổi, bạn có thể tham khảo thêm cách mở tài khoản ngân hàng cho học sinh.»</t>
  </si>
  <si>
    <t>3. Cách khắc phục quét CCCD nếu điện thoại không hỗ trợ NFC</t>
  </si>
  <si>
    <t>Nhân viên ngân hàng sẽ hỗ trợ khách hàng đăng ký sinh trắc học khi gặp lỗi quét NFC trên iPhone.</t>
  </si>
  <si>
    <t>Thêm ngay sau đoạn này: «Với trẻ dưới 18 tuổi, phụ huynh có thể tham khảo cách mở tài khoản ngân hàng cho học sinh.»</t>
  </si>
  <si>
    <t>4.1. Mở tài khoản Hộ kinh doanh online</t>
  </si>
  <si>
    <t>Hình thức mở tài khoản Hộ kinh doanh online chỉ áp dụng cho công dân Việt Nam từ đủ 18 tuổi trở lên với các bước đăng ký như sau:</t>
  </si>
  <si>
    <t>Thêm dòng sau đoạn: «Xem thêm: cách mở tài khoản ngân hàng cho học sinh dưới 18 tuổi»</t>
  </si>
  <si>
    <t>https://techcombank.com/thong-tin/blog/nap-xu-tiktok</t>
  </si>
  <si>
    <t>Cách 2: Nạp xu TikTok bằng thẻ tín dụng/thẻ thanh toán (thẻ ghi nợ) quốc tế (Visa, Masterc</t>
  </si>
  <si>
    <t>Chỉ cần dành ra 5 phút mở tài khoản và mở thẻ thanh toán (thẻ ghi nợ) trên Techcombank Mobile, khách hàng sẽ tiếp cận ngay hệ sinh thái tài chính số ưu việt cùng nhiều …</t>
  </si>
  <si>
    <t>Thêm ngay sau đoạn này: «Với người dùng chưa đủ 18 tuổi, phụ huynh có thể tham khảo cách mở tài khoản ngân hàng cho học sinh.»</t>
  </si>
  <si>
    <t>4. Chọn số tài khoản ngân hàng trùng số điện thoại có được không?</t>
  </si>
  <si>
    <t>Bạn hoàn toàn có thể chọn số tài khoản ngân hàng trùng số điện thoại, trùng ngày sinh, trùng biển số xe… với chương trình Mở tài khoản số đẹp (miễn phí hoặc mất phí, tùy theo quy định của từng ngân h…</t>
  </si>
  <si>
    <t>Thêm ngay sau đoạn này: «Với phụ huynh muốn mở tài khoản cho con, có thể tham khảo cách mở tài khoản ngân hàng cho học sinh.»</t>
  </si>
  <si>
    <t>Khách hàng mới có thể tải Techcombank Mobile và thực hiện mở tài khoản online chỉ với vài bước làm.</t>
  </si>
  <si>
    <t>2. Nên mở nhiều tài khoản ngân hàng khi nào?</t>
  </si>
  <si>
    <t>Khi có nhu cầu/mục đích sử dụng khác nhau: Nếu bạn có nhu cầu mở tài khoản để tách biệt các khoản thu, chi như nhận lương, đóng học phí, thanh toán hóa đơn...</t>
  </si>
  <si>
    <t>Thêm ngay sau đoạn này: «Với con em đang đi học, phụ huynh cũng có thể tham khảo cách mở tài khoản ngân hàng cho học sinh để tiện quản lý chi tiêu.»</t>
  </si>
  <si>
    <t>Với ngân hàng số Techcombank, người dùng có thể dễ dàng quản lý, chuyển tiền và theo dõi giao dịch mọi lúc, mọi nơi trên …</t>
  </si>
  <si>
    <t>Thêm ngay sau đoạn này: «Phụ huynh cũng có thể tìm hiểu cách mở tài khoản ngân hàng cho học sinh để con sớm làm quen với việc chuyển tiền và quản lý chi tiêu.»</t>
  </si>
  <si>
    <t>rút tiền tiết kiệm trước thời hạn</t>
  </si>
  <si>
    <t>Thêm ngay sau đoạn này: «Nếu muốn mở tài khoản số đẹp cho con, phụ huynh có thể tham khảo cách mở tài khoản ngân hàng cho học sinh.»</t>
  </si>
  <si>
    <t>https://techcombank.com/thong-tin/blog/cach-thanh-toan-quang-cao-tiktok</t>
  </si>
  <si>
    <t>https://techcombank.com/thong-tin/blog/mo-tai-khoan-ngan-hang-trung-so-dien-thoai</t>
  </si>
  <si>
    <t>1. 2 cách mở tài khoản ngân hàng trùng số điện thoại chỉ với 3 bước</t>
  </si>
  <si>
    <t>Khi đã có tài khoản ngân hàng, khách hàng đặc biệt là sinh viên có thể dễ dàng tiếp cận các sản phẩm tài chính khác như mở thẻ tín dụng cho sinh viên…</t>
  </si>
  <si>
    <t>Thêm ngay sau đoạn này: «Với các bạn chưa đủ 18 tuổi, phụ huynh có thể tham khảo cách mở tài khoản ngân hàng cho học sinh.»</t>
  </si>
  <si>
    <t>2.1. Mở tài khoản ngân hàng</t>
  </si>
  <si>
    <t>Kể từ ngày 10/10/2025, khách hàng có thể mở tài khoản ngân hàng ngay trên Ví ShopeePay.</t>
  </si>
  <si>
    <t>Thêm dòng sau đoạn: «Xem thêm: Cách mở tài khoản ngân hàng cho học sinh dưới 18 tuổi»</t>
  </si>
  <si>
    <t>3. Câu hỏi thường gặp khi mở tài khoản tại Techcombank</t>
  </si>
  <si>
    <t>Dưới đây là giải đáp cho một số câu hỏi thường gặp khi mở tài khoản ngân hàng bằng số điện thoại tại Techcombank.</t>
  </si>
  <si>
    <t>Thêm ngay sau đoạn này: «Nếu chưa đủ 18 tuổi, bạn có thể tham khảo cách mở tài khoản ngân hàng dưới 18 tuổi.»</t>
  </si>
  <si>
    <t>Không thể mở tài khoản ngân hàng online cho người dưới 18 tuổi mà chỉ có thể mở tại phòng giao dịch của ngân hàng.</t>
  </si>
  <si>
    <t>Thêm dòng sau đoạn: «Xem thêm: cách mở tài khoản ngân hàng dưới 18 tuổi»</t>
  </si>
  <si>
    <t>Đoạn nói không mở online được, trang đích hướng dẫn online – soát mâu thuẫn</t>
  </si>
  <si>
    <t>sổ tiết kiệm ngân hàng</t>
  </si>
  <si>
    <t>https://techcombank.com/thong-tin/blog/the-ghi-no-visa-la-gi</t>
  </si>
  <si>
    <t>1. Thẻ ghi nợ quốc tế Visa (Visa Debit) là gì?</t>
  </si>
  <si>
    <t>Để sử dụng được thẻ Visa Debit, bạn cần phải nạp tiền vào tài khoản ngân hàng được liên kết với thẻ và chi tiêu bằng chính nguồn tiền đó.</t>
  </si>
  <si>
    <t>Bôi đen cụm «nạp tiền vào tài khoản ngân hàng» trong câu trên, gắn link.</t>
  </si>
  <si>
    <t>1.2. Các cách nạp tiền vào thẻ Visa Debit Techcombank</t>
  </si>
  <si>
    <t>Techcombank đang hỗ trợ khách hàng nạp tiền vào tài khoản ngân hàng theo nhiều cách khác nhau.</t>
  </si>
  <si>
    <t>nộp tiền vào tài khoản</t>
  </si>
  <si>
    <t>1.1. Các tính năng chính của CDM</t>
  </si>
  <si>
    <t>Nộp tiền mặt vào tài khoản: Hỗ trợ nộp tiền vào tài khoản của chính bạn, người khác hoặc tài khoản công ty một cách nhanh chóng và chính xác.</t>
  </si>
  <si>
    <t>Bôi đen cụm «nộp tiền vào tài khoản» trong câu trên, gắn link.</t>
  </si>
  <si>
    <t>Bôi đen cụm ở vế sau dấu hai chấm (chữ thường)</t>
  </si>
  <si>
    <t>Trang đích</t>
  </si>
  <si>
    <t>Bài nguồn</t>
  </si>
  <si>
    <t>Mức độ phù hợp</t>
  </si>
  <si>
    <t>Lý do</t>
  </si>
  <si>
    <t>Vị trí chèn</t>
  </si>
  <si>
    <t>Trích đoạn gốc</t>
  </si>
  <si>
    <t>Đề xuất nội dung chèn link</t>
  </si>
  <si>
    <t>Anchor sử dụng</t>
  </si>
  <si>
    <t>Ghi chú biên tập</t>
  </si>
  <si>
    <t>https://techcombank.com/thong-tin/blog/gui-tiet-kiem-tich-luy-la-gi</t>
  </si>
  <si>
    <t>3. Ngân hàng uy tín có mức lãi suất tiết kiệm tích lũy cao</t>
  </si>
  <si>
    <t>…khách hàng chủ động nộp tiền vào tài khoản bất cứ khi nào có tiền nhàn rỗi.</t>
  </si>
  <si>
    <t>https://techcombank.com/thong-tin/blog/tai-khoan-ngan-hang-con-0-dong-co-sao-khong</t>
  </si>
  <si>
    <t>1.3. Với tài khoản 0 đồng không hoạt động liên tục trên 12 tháng</t>
  </si>
  <si>
    <t>Nếu muốn tiếp tục sử dụng, bạn sẽ cần nạp tiền vào tài khoản hoặc đến chi nhánh nộp tiền trong vòng 30 ngày kể từ khi thông báo khóa tài khoản.</t>
  </si>
  <si>
    <t>Sửa câu thành: «Nếu muốn tiếp tục sử dụng, bạn sẽ cần nộp tiền vào tài khoản hoặc đến chi nhánh nộp tiền trong vòng 30 ngày kể từ khi thông báo khóa tài khoản.»</t>
  </si>
  <si>
    <t>Bài so sánh ngân hàng cho vay mua xe — lãi suất là tiêu chí chọn ngân hàng, người đọc cần bảng lãi suất cụ thể. (Theo title/meta, chưa đọc bài.)</t>
  </si>
  <si>
    <t>Chưa đọc được nội dung</t>
  </si>
  <si>
    <t>—</t>
  </si>
  <si>
    <t>Bài chưa có trong file crawl: kiểm tra link cũ khi mở bài.</t>
  </si>
  <si>
    <t>Lập chứng từ đầy đủ và hợp lệ: Khi nộp tiền vào tài khoản công ty, kế toán cần lập phiếu chi để làm căn cứ cho thủ quỹ xuất quỹ và ghi sổ quỹ.</t>
  </si>
  <si>
    <t>https://techcombank.com/thong-tin/blog/co-nen-mua-o-to-tra-gop</t>
  </si>
  <si>
    <t>cách tiết kiệm tiền</t>
  </si>
  <si>
    <t>Bài tư vấn mua ô tô trả góp; quyết định mua trả góp phụ thuộc trực tiếp vào mức lãi suất vay. (Theo title/meta, chưa đọc bài.)</t>
  </si>
  <si>
    <t>5. Quy trình cho vay tín chấp doanh nghiệp</t>
  </si>
  <si>
    <t>&gt;&gt; Để quản lý hiệu quả số vốn đã giải ngân, doanh nghiệp cần nắm rõ cách sử dụng tài khoản doanh nghiệp để đảm bảo chuyển khoản, rút tiền mặt và nộp tiền vào tài khoản công ty…</t>
  </si>
  <si>
    <t>Câu đã có link &gt;&gt;, kiểm tra trùng</t>
  </si>
  <si>
    <t>Bài hướng dẫn hồ sơ, thủ tục mua xe trả góp — bước sau khi người đọc so sánh lãi suất. (Theo title/meta, chưa đọc bài.)</t>
  </si>
  <si>
    <t>2. Nạp thẻ điện thoại qua Mobile Banking</t>
  </si>
  <si>
    <t>Nhằm đáp ứng nhu cầu ngày càng cao của khách hàng và phù hợp với xu hướng công nghệ hiện đại, nhiều ngân hàng đã tích hợp tính năng nạp tiền điện thoại online vào dịch vụ Mobile Banking.</t>
  </si>
  <si>
    <t>Thêm ngay sau đoạn này: «Trước khi nạp, bạn cần đảm bảo tài khoản đủ số dư; nếu chưa đủ, có thể nạp tiền vào tài khoản ngân hàng bằng nhiều cách khác nhau.»</t>
  </si>
  <si>
    <t>Chưa kích hoạt thẻ thanh toán, bạn vẫn có thể nhận được tiền nếu người chuyển chuyển tiền trực tiếp vào số tài khoản ngân hàng của bạn.</t>
  </si>
  <si>
    <t>Thêm ngay sau đoạn này: «Bạn cũng có thể tự nạp tiền vào tài khoản ngân hàng bằng nhiều cách khác nhau mà không cần dùng thẻ.»</t>
  </si>
  <si>
    <t>So sánh trả góp và trả thẳng — phần chi phí trả góp cần dẫn sang lãi suất vay mua ô tô. (Theo title/meta, chưa đọc bài.)</t>
  </si>
  <si>
    <t>https://techcombank.com/thong-tin/blog/the-visa-ao-la-gi</t>
  </si>
  <si>
    <t>4.3. Thẻ Visa phi vật lý có nạp tiền được không?</t>
  </si>
  <si>
    <t>Nạp tiền trực tiếp qua tài khoản ngân hàng liên kết với thẻ ghi nợ phi vật lý tại phòng giao dịch/chi nhánh/CDM ngân hàng</t>
  </si>
  <si>
    <t>Thêm dòng sau đoạn: «Xem thêm: Các cách nạp tiền vào tài khoản ngân hàng an toàn, đơn giản»</t>
  </si>
  <si>
    <t>Đặt sau danh sách các cách nạp tiền</t>
  </si>
  <si>
    <t>Chủ đề vay thế chấp mua xe cũ; chèn được ở đoạn nói về chi phí/lãi vay. (Theo title/meta, chưa đọc bài.)</t>
  </si>
  <si>
    <t>rủi ro khi gửi tiết kiệm online</t>
  </si>
  <si>
    <t>Liên kết tài khoản ngân hàng với eTax Mobile là bước bắt buộc để nộp thuế đất online qua ngân hàng. (Theo title/meta, chưa đọc bài.)</t>
  </si>
  <si>
    <t>Bài chưa có trong file crawl: kiểm tra link cũ khi mở bài. Bài nhận 3 link mới: đặt ở các mục khác nhau.</t>
  </si>
  <si>
    <t>3. Lợi ích khi thanh toán đóng tiền điện/nước thông qua tài khoản ngân hàng</t>
  </si>
  <si>
    <t>Thanh toán tự động hàng tháng: Ứng dụng hỗ trợ thanh toán tự động bằng cách tự động trích tiền từ tài khoản thanh toán vào ngày nộp hóa đơn…</t>
  </si>
  <si>
    <t>Thêm ngay sau đoạn này: «Để giao dịch không bị gián đoạn, bạn nên chủ động nạp tiền vào tài khoản ngân hàng trước ngày đến hạn hóa đơn.»</t>
  </si>
  <si>
    <t>4. Nạp tiền vào thẻ ghi nợ tại quầy giao dịch ngân hàng</t>
  </si>
  <si>
    <t>Khách hàng có thể đến các chi nhánh/phòng giao dịch của bất kỳ ngân hàng nào để nạp tiền mặt vào thẻ ghi nợ…</t>
  </si>
  <si>
    <t>Thêm ngay sau đoạn này: «Bạn có thể tham khảo thêm các cách nộp tiền vào tài khoản ngân hàng khác để chọn phương thức thuận tiện nhất.»</t>
  </si>
  <si>
    <t>Bài hướng dẫn nộp thuế online chung — có thể dẫn sang trường hợp cụ thể là thuế đất. (Theo title/meta, chưa đọc bài.)</t>
  </si>
  <si>
    <t>https://techcombank.com/thong-tin/blog/cach-tiet-kiem-tien-cua-nguoi-nhat</t>
  </si>
  <si>
    <t>Bài liên kết tài khoản với eTax Mobile — người đọc làm xong sẽ cần bước nộp thuế. (Theo title/meta, chưa đọc bài.)</t>
  </si>
  <si>
    <t>Ngoài ra, nắm rõ số dư bắt buộc trong tài khoản Techcombank sẽ giúp khách hàng sử dụng thẻ an toàn và tránh các khoản phí phát sinh không mong muốn.</t>
  </si>
  <si>
    <t>Thêm ngay sau đoạn này: «Khi cần bổ sung số dư, bạn có thể tham khảo các cách nộp tiền vào tài khoản nhanh chóng, an toàn.»</t>
  </si>
  <si>
    <t>https://techcombank.com/thong-tin/blog/the-visa-de-lam-gi</t>
  </si>
  <si>
    <t>3. Nạp tiền, rút tiền và chuyển khoản</t>
  </si>
  <si>
    <t>Thẻ Visa có thể dùng để nạp, rút tiền và chuyển khoản tùy vào loại thẻ.</t>
  </si>
  <si>
    <t>Sửa câu thành: «Thẻ Visa có thể dùng để nộp tiền vào tài khoản, rút tiền và chuyển khoản tùy vào loại thẻ.»</t>
  </si>
  <si>
    <t>https://techcombank.com/thong-tin/blog/the-atm-khong-rut-duoc-tien</t>
  </si>
  <si>
    <t>1.4. Tài khoản không đủ tiền</t>
  </si>
  <si>
    <t>Quyết toán TNCN online → nếu còn thiếu thuế phải nộp qua cổng thuế điện tử. (Theo title/meta, chưa đọc bài.)</t>
  </si>
  <si>
    <t>Chuyển tiền từ tài khoản khác vào tài khoản thanh toán liên kết với thẻ ATM</t>
  </si>
  <si>
    <t>Sửa câu thành: «Chuyển tiền từ tài khoản khác hoặc nộp tiền vào tài khoản thanh toán liên kết với thẻ ATM»</t>
  </si>
  <si>
    <t>nộp thuế điện tử</t>
  </si>
  <si>
    <t>Title/URL còn năm cũ (2025): nên cập nhật; câu chèn không ghi năm. Bài chưa có trong file crawl: kiểm tra link cũ khi mở bài. Bài nhận 3 link mới: đặt ở các mục khác nhau.</t>
  </si>
  <si>
    <t>Việc hạn chế các luồng tiền phức tạp, điển hình như nộp tiền vào tài khoản công ty bằng tài khoản cá nhân, là rất cần thiết để minh bạch hóa tài chính.</t>
  </si>
  <si>
    <t>Ngữ cảnh doanh nghiệp, trang đích hướng cá nhân</t>
  </si>
  <si>
    <t>Kê khai thuế HKD online, sau khi kê khai là bước nộp thuế điện tử. (Theo title/meta, chưa đọc bài.)</t>
  </si>
  <si>
    <t>hướng dẫn nộp thuế điện tử</t>
  </si>
  <si>
    <t>Bài chưa có trong file crawl: kiểm tra link cũ khi mở bài. Bài nhận 2 link mới: đặt ở các mục khác nhau.</t>
  </si>
  <si>
    <t>2.3. Nộp tiền vào tài khoản công ty</t>
  </si>
  <si>
    <t>Doanh nghiệp có thể nộp tiền vào tài khoản ngân hàng công ty bằng hai cách:</t>
  </si>
  <si>
    <t>Trang đích nói về tài khoản cá nhân; đoạn sau đã có link bài nộp tiền công ty</t>
  </si>
  <si>
    <t>Thêm ngay sau đoạn này: «Để giao dịch thuận lợi, bạn cần đảm bảo tài khoản đủ số dư, có thể tham khảo cách nạp tiền vào tài khoản ngân hàng.»</t>
  </si>
  <si>
    <t>https://techcombank.com/thong-tin/blog/cach-tiet-kiem-tien-hieu-qua-cho-gia-dinh</t>
  </si>
  <si>
    <t>Làm thủ tục hoàn thuế trên eTax Mobile — cùng công cụ, chèn ở đoạn giới thiệu eTax. (Theo title/meta, chưa đọc bài.)</t>
  </si>
  <si>
    <t>3. Giải đáp 4 thắc mắc về rút tiền bằng mã QR</t>
  </si>
  <si>
    <t>Rút tiền bằng mã QR an toàn hơn sử dụng thẻ ngân hàng vì người dùng chỉ cần dùng điện thoại quét mã QR, không cần nhập thông tin tài khoản vào cây ATM.</t>
  </si>
  <si>
    <t>Thêm ngay sau đoạn này: «Bên cạnh rút tiền, bạn cũng có thể tham khảo các cách nạp tiền vào tài khoản ngân hàng an toàn, đơn giản.»</t>
  </si>
  <si>
    <t>công cụ tính lãi vay</t>
  </si>
  <si>
    <t>Sinh Lời Tự Động​</t>
  </si>
  <si>
    <t>Toàn bộ tiền trong tài khoản tự sinh lời theo ngày tới 5.5%/năm, đảm bảo chi tiêu 24/7, hoàn toàn tự động, miễn phí</t>
  </si>
  <si>
    <t>Thêm ngay sau đoạn này: «Bạn có thể nạp tiền vào tài khoản ngân hàng bằng nhiều cách khác nhau để bắt đầu tích lũy.»</t>
  </si>
  <si>
    <t>Chỉ có khối quảng cáo phù hợp</t>
  </si>
  <si>
    <t>Bài nộp thuế hải quan online — có thể dẫn sang hướng dẫn nộp thuế điện tử nội địa. (Theo title/meta, chưa đọc bài.)</t>
  </si>
  <si>
    <t>Thủ tục mở thêm tài khoản cũng vô cùng đơn giản khi khách hàng có thể lựa chọn hình thức trực tiếp hoặc online.</t>
  </si>
  <si>
    <t>Thêm ngay sau đoạn này: «Sau khi mở tài khoản, bạn có thể nạp tiền vào tài khoản ngân hàng bằng nhiều cách khác nhau để bắt đầu giao dịch.»</t>
  </si>
  <si>
    <t>Bài về chi phí không được trừ khi tính thuế TNDN — nhắc trực tiếp TNDN, người đọc cần biết thuế suất. (Theo title/meta, chưa đọc bài.)</t>
  </si>
  <si>
    <t>2. Thẻ ngân hàng nào phù hợp với bạn?</t>
  </si>
  <si>
    <t>Thẻ thanh toán: Phù hợp với những người muốn chi tiêu trong giới hạn số tiền có sẵn trong tài khoản ngân hàng. Loại thẻ này sẽ trừ tiền trực tiếp từ tài khoản khi giao dịch.</t>
  </si>
  <si>
    <t>Thêm dòng sau đoạn: «Xem thêm: cách nạp tiền vào tài khoản ngân hàng»</t>
  </si>
  <si>
    <t>https://techcombank.com/thong-tin/blog/cach-tiet-kiem-tien-sinh-loi</t>
  </si>
  <si>
    <t>Quyết toán thuế DN gồm quyết toán TNDN — đoạn liệt kê loại thuế phải quyết toán chèn được. (Theo title/meta, chưa đọc bài.)</t>
  </si>
  <si>
    <t>2.1. Cần phải trả bao nhiêu khoản phí khi sử dụng thẻ ATM?</t>
  </si>
  <si>
    <t>thuế TNDN</t>
  </si>
  <si>
    <t>Tuy nhiên, để gia tăng lợi ích cho người dùng, một số ngân hàng hiện nay đã tích hợp tính năng sinh lời tự động trên tài khoản thanh toán…</t>
  </si>
  <si>
    <t>Thêm dòng sau đoạn: «Xem thêm: Cách nộp tiền vào tài khoản ngân hàng an toàn, đơn giản»</t>
  </si>
  <si>
    <t>https://techcombank.com/thong-tin/blog/rut-tien-bang-ma-qr-khac-ngan-hang-duoc-khong</t>
  </si>
  <si>
    <t>3. 3 lưu ý khi rút tiền QR khác ngân hàng tại cây ATM</t>
  </si>
  <si>
    <t>Bên cạnh hình thức rút tiền bằng mã QR khác ngân hàng, người dùng có thể sử dụng hình thức rút tiền không cần thẻ tại một số ngân hàng khác, trong đó có Techcombank.</t>
  </si>
  <si>
    <t>Thêm ngay sau đoạn này: «Ngược lại, nếu cần nộp tiền vào tài khoản, bạn có thể tham khảo các cách nạp tiền an toàn, đơn giản.»</t>
  </si>
  <si>
    <t>Bài ưu đãi thuế cho DN mới — ưu đãi chủ yếu là miễn/giảm thuế TNDN. (Theo title/meta, chưa đọc bài.)</t>
  </si>
  <si>
    <t>thuế suất thuế TNDN</t>
  </si>
  <si>
    <t>2. Làm thẻ ngân hàng (thẻ ATM) có tốn tiền không?</t>
  </si>
  <si>
    <t>Chỉ một số ngân hàng yêu cầu nộp khoản tiền ban đầu để duy trì số dư tối thiểu trong tài khoản…</t>
  </si>
  <si>
    <t>Thêm dòng sau đoạn: «Xem thêm: Các cách nộp tiền vào tài khoản ngân hàng đơn giản»</t>
  </si>
  <si>
    <t>Gạch đầu dòng biểu phí – dùng Xem thêm</t>
  </si>
  <si>
    <t>công cụ tính lãi tiết kiệm</t>
  </si>
  <si>
    <t>3. Bước 3: Thực hiện theo hướng dẫn của ngân hàng</t>
  </si>
  <si>
    <t>Thông thường, khách hàng sẽ được ngân hàng hẹn nhận lại thẻ sau 3 - 5 ngày làm việc.</t>
  </si>
  <si>
    <t>Bài lợi nhuận và công thức tính — đoạn lợi nhuận sau thuế chèn được link thuế TNDN. (Theo title/meta, chưa đọc bài.)</t>
  </si>
  <si>
    <t>Thêm ngay sau đoạn này: «Trong thời gian chờ nhận lại thẻ, bạn vẫn có thể nộp tiền vào tài khoản qua các kênh khác.»</t>
  </si>
  <si>
    <t>2. Một người có thể làm bao nhiêu thẻ ATM khác ngân hàng?</t>
  </si>
  <si>
    <t>Tuy nhiên, việc mở quá nhiều thẻ ATM sẽ khiến khách hàng gặp khó khăn trong việc quản lý chi tiêu và kiểm soát dòng tiền.</t>
  </si>
  <si>
    <t>Thêm ngay sau đoạn này: «Với tài khoản đang sử dụng, bạn có thể chủ động nộp tiền vào tài khoản qua nhiều kênh khác nhau khi cần.»</t>
  </si>
  <si>
    <t>Cây ATM và thẻ ATM là công cụ giúp khách hàng thực hiện các thao tác tài chính như rút tiền, chuyển khoản hay thanh toán nhanh chóng mọi lúc, mọi nơi.</t>
  </si>
  <si>
    <t>Thêm ngay sau đoạn này: «Ngoài ra, bạn cũng có thể nộp tiền vào tài khoản qua nhiều kênh khác nhau khi cần.»</t>
  </si>
  <si>
    <t>https://techcombank.com/thong-tin/blog/cach-tiet-kiem-tien-theo-tuan</t>
  </si>
  <si>
    <t>sao kê tài khoản ngân hàng</t>
  </si>
  <si>
    <t>2. Sao kê tài khoản online qua Mobile Banking</t>
  </si>
  <si>
    <t>Để thực hiện sao kê tài khoản ngân hàng online qua Mobile Banking, bạn hãy thực hiện các bước sau đây:</t>
  </si>
  <si>
    <t>Bôi đen cụm «sao kê tài khoản ngân hàng» trong câu trên, gắn link.</t>
  </si>
  <si>
    <t>https://techcombank.com/thong-tin/blog/giai-ngan-la-gi</t>
  </si>
  <si>
    <t>4.2. Điều kiện để được giải ngân khoản vay là gì?</t>
  </si>
  <si>
    <t>Để được giải ngân, khách hàng cần hoàn tất đầy đủ hồ sơ vay, bao gồm các giấy tờ chứng minh mục đích vay, khả năng tài chính (như bảng lương, sao kê tài khoản ngân hàng, báo cáo tài chính…)…</t>
  </si>
  <si>
    <t>https://techcombank.com/thong-tin/blog/the-tin-dung-quoc-te</t>
  </si>
  <si>
    <t>4.1. Điều kiện đăng ký</t>
  </si>
  <si>
    <t>…giấy tờ chứng minh thu nhập hợp pháp (hợp đồng lao động, bảng lương, sao kê tài khoản ngân hàng…)</t>
  </si>
  <si>
    <t>https://techcombank.com/thong-tin/blog/han-muc-thau-chi-la-gi</t>
  </si>
  <si>
    <t>2. Lời khuyên giúp bạn vay thấu chi với hạn mức cao</t>
  </si>
  <si>
    <t>Hãy chuẩn bị đầy đủ hợp đồng lao động, bảng lương và sao kê tài khoản ngân hàng.</t>
  </si>
  <si>
    <t>10. Đánh giá tình hình tài chính gia đình mỗi tháng</t>
  </si>
  <si>
    <t>Cuối mỗi tháng, bạn nên thống kê lại các khoản thu, chi để dễ dàng hơn trong việc lên kế hoạch tài chính cho các tháng tiếp theo, từ đó tiết kiệm tiền hiệu quả cho gia đình.</t>
  </si>
  <si>
    <t>Thêm ngay sau đoạn này: «Bạn có thể sử dụng sao kê tài khoản ngân hàng để thống kê thu chi chính xác hơn.»</t>
  </si>
  <si>
    <t>https://techcombank.com/thong-tin/blog/nang-han-muc-tin-dung</t>
  </si>
  <si>
    <t>2.2. Chủ động yêu cầu tăng hạn mức thẻ</t>
  </si>
  <si>
    <t>Bảng sao kê lương trong ba tháng gần nhất có xác nhận của ngân hàng.</t>
  </si>
  <si>
    <t>Thêm dòng sau đoạn: «Xem thêm: cách sao kê tài khoản ngân hàng»</t>
  </si>
  <si>
    <t>Đoạn liệt kê hồ sơ – dùng Xem thêm</t>
  </si>
  <si>
    <t>Hoàn thuế DN; có thể nhắc trường hợp nộp thừa thuế TNDN. (Theo title/meta, chưa đọc bài.)</t>
  </si>
  <si>
    <t>https://techcombank.com/thong-tin/blog/cach-tinh-gia-vang</t>
  </si>
  <si>
    <t>5. 6 câu hỏi thường gặp khi sao kê tài khoản doanh nghiệp</t>
  </si>
  <si>
    <t>Theo quy định tại khoản 3 Điều 1 Nghị định 117/2018/NĐ-CP thì các thông tin trên sao kê tài khoản ngân hàng là thông tin mà ngân hàng có trách nhiệm phải giữ bí mật…</t>
  </si>
  <si>
    <t>Thêm dòng sau đoạn: «Xem thêm: Sao kê tài khoản ngân hàng là gì? Các cách sao kê đơn giản»</t>
  </si>
  <si>
    <t>1.2. Được ngân hàng kiểm soát &amp; quản lý rủi ro</t>
  </si>
  <si>
    <t>Khi gửi tiền tại ngân hàng, tất cả các giao dịch của bạn sẽ được ghi lại trên hệ thống dưới sự kiểm soát của ngân hàng, được bảo mật thông tin và quản lý rủi ro.</t>
  </si>
  <si>
    <t>Thêm ngay sau đoạn này: «Bạn có thể theo dõi lại các giao dịch này qua sao kê tài khoản ngân hàng định kỳ.»</t>
  </si>
  <si>
    <t>https://techcombank.com/thong-tin/blog/vay-the-chap-qua-luong</t>
  </si>
  <si>
    <t>2. Giải pháp vay vốn cho khách hàng có bảng lương</t>
  </si>
  <si>
    <t>Người vay cần cung cấp cho ngân hàng những thông tin về thu nhập như bảng lương, phiếu lương, sao kê lương.</t>
  </si>
  <si>
    <t>Thêm ngay sau đoạn này: «Nếu nhận lương qua ngân hàng, bạn có thể chuẩn bị bản sao kê tài khoản ngân hàng để chứng minh thu nhập.»</t>
  </si>
  <si>
    <t>Kê khai thuế DN — thuế GTGT là loại kê khai định kỳ phổ biến nhất. (Theo title/meta, chưa đọc bài.)</t>
  </si>
  <si>
    <t>Hoàn thuế DN chủ yếu là hoàn thuế GTGT — người đọc cần hiểu VAT là gì. (Theo title/meta, chưa đọc bài.)</t>
  </si>
  <si>
    <t>Việc chuyển – nhận tiền qua tài khoản cá nhân ngày càng phổ biến, nhưng không phải mọi khoản tiền vào tài khoản đều phải nộp thuế.</t>
  </si>
  <si>
    <t>Thêm ngay sau đoạn này: «Để đối chiếu các khoản tiền ra vào, bạn có thể tham khảo cách sao kê tài khoản ngân hàng.»</t>
  </si>
  <si>
    <t>https://techcombank.com/thong-tin/blog/chuyen-doi-hoa-don-dien-tu</t>
  </si>
  <si>
    <t>https://techcombank.com/thong-tin/blog/ghi-chep-chi-tieu</t>
  </si>
  <si>
    <t>1. Ghi chép chi tiêu cá nhân là gì?</t>
  </si>
  <si>
    <t>Tự động phân loại chi tiêu, tạo biểu đồ thống kê, nhắc nhở tiết kiệm, liên kết tài khoản ngân hàng.</t>
  </si>
  <si>
    <t>Thêm ngay sau đoạn này: «Bạn cũng có thể đối chiếu với sao kê tài khoản ngân hàng để ghi chép chính xác hơn.»</t>
  </si>
  <si>
    <t>Hóa đơn điện tử thể hiện thuế GTGT — chèn ở đoạn nói về nội dung hóa đơn. (Theo title/meta, chưa đọc bài.)</t>
  </si>
  <si>
    <t>https://techcombank.com/thong-tin/blog/loi-ich-cua-viec-tiet-kiem-tien</t>
  </si>
  <si>
    <t>3 lời khuyên giúp bạn bắt đầu tiết kiệm tiền thông minh</t>
  </si>
  <si>
    <t>…h hợp lý bạn có thể ghi chép, tính toán ra sổ tay hoặc sử dụng các ứng dụng quản lý chi tiêu như Techcombank Mobile ...</t>
  </si>
  <si>
    <t>Thêm ngay sau đoạn này: «Bạn cũng có thể dựa vào sao kê tài khoản ngân hàng hàng tháng để rà soát lại các khoản chi.»</t>
  </si>
  <si>
    <t>Thuế TMĐT cho HKD gồm thuế GTGT + TNCN — chèn khi nhắc thuế GTGT. (Theo title/meta, chưa đọc bài.)</t>
  </si>
  <si>
    <t>https://techcombank.com/thong-tin/blog/phan-mem-lap-ke-hoach-tai-chinh-ca-nhan</t>
  </si>
  <si>
    <t>1. Techcombank Mobile</t>
  </si>
  <si>
    <t>Kiểm tra lịch sử giao dịch của tài khoản thanh toán và tải sao kê</t>
  </si>
  <si>
    <t>Sửa câu thành: «Kiểm tra lịch sử giao dịch của tài khoản thanh toán và tải sao kê tài khoản ngân hàng»</t>
  </si>
  <si>
    <t>Tra cứu số tài khoản ngân hàng tại cây ATM/CDM: Đưa thẻ vào khe đọc thẻ ATM và nhập mã PIN → Chọn mục Xem số dư/In sao kê → Hệ thống sẽ hiển thị đầy đủ số tài khoản ngân hàng, số dư và những thông ti…</t>
  </si>
  <si>
    <t>Thêm dòng sau đoạn: «Xem thêm: Cách sao kê tài khoản ngân hàng đơn giản»</t>
  </si>
  <si>
    <t>1. Quản lý chi tiêu là gì? Có thật sự cần thiết?</t>
  </si>
  <si>
    <t>Quản lý chi tiêu là quá trình theo dõi, phân loại và kiểm soát các khoản thu – chi trong đời sống cá nhân hoặc gia đình.</t>
  </si>
  <si>
    <t>Thêm ngay sau đoạn này: «Một cách đơn giản để theo dõi thu chi là định kỳ xem sao kê tài khoản ngân hàng.»</t>
  </si>
  <si>
    <t>Bài tra mã số thuế DN — tra nợ thuế dùng chính mã số thuế, nhu cầu nối tiếp. (Theo title/meta, chưa đọc bài.)</t>
  </si>
  <si>
    <t>https://techcombank.com/thong-tin/blog/sao-ke-the-tin-dung-la-gi</t>
  </si>
  <si>
    <t>Sử dụng thẻ tín dụng mang lại nhiều tiện ích, nhưng để trở thành người chi tiêu thông thái, bạn nên trang bị các kiến thức liên quan, ví dụ như sao kê thẻ tín dụng là gì?</t>
  </si>
  <si>
    <t>Thêm ngay sau đoạn này: «Bên cạnh sao kê thẻ tín dụng, bạn cũng có thể tìm hiểu cách sao kê tài khoản ngân hàng để theo dõi các giao dịch thanh toán.»</t>
  </si>
  <si>
    <t>Cùng intent tra cứu nợ thuế, khác loại thuế — dẫn sang nợ thuế nội địa của DN. (Theo title/meta, chưa đọc bài.)</t>
  </si>
  <si>
    <t>Title/URL còn năm cũ (2025): nên cập nhật; câu chèn không ghi năm. Bài chưa có trong file crawl: kiểm tra link cũ khi mở bài.</t>
  </si>
  <si>
    <t>Trước/sau quyết toán DN cần kiểm tra số thuế còn nợ. (Theo title/meta, chưa đọc bài.)</t>
  </si>
  <si>
    <t>https://techcombank.com/thong-tin/blog/mo-the-tin-dung-chi-can-cccd</t>
  </si>
  <si>
    <t>2. 5 cách mở thẻ tín dụng chỉ với CCCD, không cần chứng minh thu nhập</t>
  </si>
  <si>
    <t>Thông thường khi đăng ký mở thẻ tín dụng, các ngân hàng sẽ yêu cầu khách hàng cung cấp giấy tờ chứng minh thu nhập (sao kê lương, bảng lương, hợp đồng lao động…</t>
  </si>
  <si>
    <t>Thêm ngay sau đoạn này: «Khách hàng có thể tham khảo cách lấy sao kê tài khoản ngân hàng để chuẩn bị hồ sơ khi cần.»</t>
  </si>
  <si>
    <t>Sau kê khai, DN kiểm tra nghĩa vụ/nợ thuế. (Theo title/meta, chưa đọc bài.)</t>
  </si>
  <si>
    <t>https://techcombank.com/thong-tin/blog/the-ghi-no-co-rut-tien-duoc-khong</t>
  </si>
  <si>
    <t>1. Thẻ ghi nợ có rút tiền được không?</t>
  </si>
  <si>
    <t>Thẻ ghi nợ được ngân hàng phát hành như là một công cụ giao dịch, có đầy đủ các chức năng cơ bản như rút tiền, chuyển/nhận tiền, tra cứu số dư tài khoản, in sao kê…</t>
  </si>
  <si>
    <t>Sửa câu thành: «Thẻ ghi nợ được ngân hàng phát hành như là một công cụ giao dịch, có đầy đủ các chức năng cơ bản như rút tiền, chuyển/nhận tiền, tra cứu số dư tài khoản, in sao kê tài khoản ngân hàng…»</t>
  </si>
  <si>
    <t>Bài anh em (HKD); chèn ở đoạn so sánh nếu có nhắc doanh nghiệp. (Theo title/meta, chưa đọc bài.)</t>
  </si>
  <si>
    <t>https://techcombank.com/thong-tin/blog/the-visa-co-may-loai</t>
  </si>
  <si>
    <t>2.2. Điều kiện mở thẻ</t>
  </si>
  <si>
    <t>Có hồ sơ chứng minh tài chính đạt đủ điều kiện mở thẻ của ngân hàng, bao gồm: Sao kê 3 tháng lương gần nhất…</t>
  </si>
  <si>
    <t>Thêm ngay sau đoạn này: «Khách hàng có thể tham khảo cách lấy sao kê tài khoản ngân hàng để chuẩn bị hồ sơ nhanh hơn.»</t>
  </si>
  <si>
    <t>5.5. Nợ xấu có ảnh hưởng đến việc xin visa không?</t>
  </si>
  <si>
    <t>Tuy nhiên, một số đại sứ quán có thể yêu cầu chứng minh tài chính bằng sổ tiết kiệm, sao kê tài khoản, hoặc giấy tờ vay vốn ngân hàng.</t>
  </si>
  <si>
    <t>Sửa câu thành: «Tuy nhiên, một số đại sứ quán có thể yêu cầu chứng minh tài chính bằng sổ tiết kiệm, sao kê tài khoản ngân hàng, hoặc giấy tờ vay vốn ngân hàng.»</t>
  </si>
  <si>
    <t>Bài giải đáp về thuế DN nói chung — đúng chủ đề tổng quan. (Theo title/meta, chưa đọc bài.)</t>
  </si>
  <si>
    <t>Với dịch vụ Techcombank Family, bố mẹ dễ dàng mở thẻ Debit Cho Con và liên kết với tài khoản của chính mình để quản lý chi tiêu của con một cách phù hợp.</t>
  </si>
  <si>
    <t>Thêm ngay sau đoạn này: «Bố mẹ cũng có thể tham khảo cách sao kê tài khoản ngân hàng để theo dõi chi tiêu của con chi tiết hơn.»</t>
  </si>
  <si>
    <t>https://techcombank.com/thong-tin/blog/vi-tra-sau</t>
  </si>
  <si>
    <t>2.2. Muốn chia nhỏ khoản chi tiêu lớn</t>
  </si>
  <si>
    <t>Tuân thủ thuế cho DN khởi nghiệp — cần biết DN phải nộp những khoản thuế nào. (Theo title/meta, chưa đọc bài.)</t>
  </si>
  <si>
    <t>Ví trả sau cho phép bạn chia nhỏ khoản chi tiêu lớn thành các kỳ thanh toán nhỏ hơn, giúp bạn dễ dàng quản lý tài chính cá nhân.</t>
  </si>
  <si>
    <t>Thêm ngay sau đoạn này: «Bạn cũng nên định kỳ sao kê tài khoản ngân hàng để theo dõi các khoản đã thanh toán.»</t>
  </si>
  <si>
    <t>https://techcombank.com/thong-tin/blog/cach-tinh-loi-nhuan-chung-chi-tien-gui</t>
  </si>
  <si>
    <t>https://techcombank.com/thong-tin/blog/the-tin-dung-den</t>
  </si>
  <si>
    <t>3.2. Thủ tục đăng ký</t>
  </si>
  <si>
    <t>Bài các khoản thuế, phí khi lên DN — liên kết tự nhiên sang danh sách thuế DN. (Theo title/meta, chưa đọc bài.)</t>
  </si>
  <si>
    <t>Một số thủ tục khách hàng có thể tham khảo như: Sao kê tín dụng, sao kê bảng lương hoặc các giấy tờ liên quan đến tài sản sở hữu…</t>
  </si>
  <si>
    <t>Sửa câu thành: «Một số thủ tục khách hàng có thể tham khảo như: Sao kê tín dụng, sao kê tài khoản ngân hàng, sao kê bảng lương hoặc các giấy tờ liên quan đến tài sản sở hữu…»</t>
  </si>
  <si>
    <t>doanh nghiệp phải nộp những loại thuế nào</t>
  </si>
  <si>
    <t>Thêm 1 loại giấy tờ vào danh sách – cần xác nhận</t>
  </si>
  <si>
    <t>1. Áp dụng nguyên tắc: Tiết kiệm trước - chi tiêu sau</t>
  </si>
  <si>
    <t>Sau đó, bạn hãy phân bổ phần tiền còn lại để lên kế hoạch tài chính cá nhân.</t>
  </si>
  <si>
    <t>Thêm ngay sau đoạn này: «Để theo dõi thu chi, bạn có thể xem lại sao kê tài khoản ngân hàng hằng tháng.»</t>
  </si>
  <si>
    <t>Bài tin chính sách thuế phí có lợi cho DN — dẫn sang bài tổng hợp các khoản thuế. (Theo title/meta, chưa đọc bài.)</t>
  </si>
  <si>
    <t>2. Thời gian hoàn tiền thẻ tín dụng Techcombank</t>
  </si>
  <si>
    <t>Khoản tiền hoàn cho các giao dịch được cập nhật vào hệ thống của Techcombank sẽ được ghi nhận vào tài khoản của khách hàng sau khi kết thúc chương trình ưu đãi.</t>
  </si>
  <si>
    <t>Thêm ngay sau đoạn này: «Khách hàng có thể đối chiếu khoản tiền hoàn qua sao kê tài khoản ngân hàng hoặc sao kê thẻ.»</t>
  </si>
  <si>
    <t>3. Hướng dẫn quản lý khoản vay tiền mặt nhanh online 24/24 cho người mới</t>
  </si>
  <si>
    <t>Khi sử dụng khoản vay tiền mặt online siêu tốc, việc quản lý đúng cách sẽ giúp bạn duy trì uy tín tài chính và đảm bảo dòng tiền cá nhân ổn định.</t>
  </si>
  <si>
    <t>Thêm dòng sau đoạn: «Xem thêm: cách sao kê tài khoản ngân hàng để theo dõi dòng tiền»</t>
  </si>
  <si>
    <t>Đặt sau danh sách nguyên tắc quản lý</t>
  </si>
  <si>
    <t>Bài tài khoản DN là gì — câu hỏi 'có dùng TK cá nhân thay được không' là nhu cầu kế tiếp. (Theo title/meta, chưa đọc bài.)</t>
  </si>
  <si>
    <t>Lưu ý chuyển tiền vào TK công ty — liên quan trực tiếp quy định dùng TK cá nhân. (Theo title/meta, chưa đọc bài.)</t>
  </si>
  <si>
    <t>Cách dùng TK công ty cho giao dịch — đối lập tự nhiên với dùng TK cá nhân. (Theo title/meta, chưa đọc bài.)</t>
  </si>
  <si>
    <t>kiểm tra nợ xấu</t>
  </si>
  <si>
    <t>Tiền vào TK cá nhân có bị tính thuế — rủi ro khi công ty dùng TK cá nhân nhận tiền. (Theo title/meta, chưa đọc bài.)</t>
  </si>
  <si>
    <t>Title/URL còn năm cũ (2025): nên cập nhật; câu chèn không ghi năm. Bài chưa có trong file crawl: kiểm tra link cũ khi mở bài. Bài nhận 2 link mới: đặt ở các mục khác nhau.</t>
  </si>
  <si>
    <t>Chi phí không được trừ ảnh hưởng trực tiếp công thức tính TNDN. (Theo title/meta, chưa đọc bài.)</t>
  </si>
  <si>
    <t>2. Nguyên tắc thanh toán thẻ tín dụng miễn lãi 55 ngày</t>
  </si>
  <si>
    <t>Lưu tâm đến ngày chốt sao kê và ngày đến hạn thanh toán để không làm ảnh hưởng trải nghiệm chi tiêu bằng thẻ tín dụng miễn lãi 55 ngày.</t>
  </si>
  <si>
    <t>Thêm ngay sau đoạn này: «Bên cạnh sao kê thẻ tín dụng, khách hàng cũng nên theo dõi sao kê tài khoản ngân hàng để nắm rõ dòng tiền.»</t>
  </si>
  <si>
    <t>Sao kê thẻ tín dụng khác sao kê tài khoản</t>
  </si>
  <si>
    <t>Khấu hao TSCĐ là chi phí được trừ khi tính thu nhập chịu thuế TNDN. (Theo title/meta, chưa đọc bài.)</t>
  </si>
  <si>
    <t>Có rất nhiều cách để bạn có thể chọn cho mình một tài khoản số đẹp , dễ nhớ và có ý nghĩa đặc biệt như: chọn dãy số hợp mệnh, dãy số tứ quý, dãy số phát tài phát lộc hay chọn theo số điện thoại, ngày…</t>
  </si>
  <si>
    <t>Bôi đen cụm «dãy số phát tài phát lộc» trong câu trên, gắn link.</t>
  </si>
  <si>
    <t>1. 8868 nghĩa là gì?</t>
  </si>
  <si>
    <t>Khi kết hợp lại, 8868 mang ý nghĩa “phát phát lộc phát”, một dãy số được đánh giá cực kỳ cát lợi trong kinh doanh, đầu tư và các lĩnh vực tài chính.</t>
  </si>
  <si>
    <t>Thêm ngay sau đoạn này: «Bên cạnh 8868, bạn có thể tham khảo thêm các dãy số phát tài phát lộc khác.»</t>
  </si>
  <si>
    <t>Lợi nhuận ròng = lợi nhuận trước thuế − thuế TNDN; chèn ở công thức. (Theo title/meta, chưa đọc bài.)</t>
  </si>
  <si>
    <t>https://techcombank.com/thong-tin/blog/cach-doc-bao-cao-tai-chinh</t>
  </si>
  <si>
    <t>nên vay tín chấp ở đâu</t>
  </si>
  <si>
    <t>1.1. Giải mã từng con số</t>
  </si>
  <si>
    <t>Như vậy, 66666 là dãy số biểu trưng cho “lộc nối lộc, phúc nối phúc”, cực kỳ phù hợp với những ai làm ăn, đầu tư, hoặc đang trên hành trình phát triển sự nghiệp.</t>
  </si>
  <si>
    <t>Thêm ngay sau đoạn này: «Ngoài 66666, bạn có thể tham khảo thêm các dãy số phát tài phát lộc khác.»</t>
  </si>
  <si>
    <t>Báo cáo tài chính có dòng chi phí thuế TNDN. (Theo title/meta, chưa đọc bài.)</t>
  </si>
  <si>
    <t>https://techcombank.com/thong-tin/blog/y-nghia-so-68</t>
  </si>
  <si>
    <t>Ý nghĩa số 68 – Lộc Phát không chỉ là con số may mắn trong phong thủy mà còn đại diện cho sự hanh thông, thịnh vượng và thành công bền vững.</t>
  </si>
  <si>
    <t>Thêm ngay sau đoạn này: «Ngoài số 68, bạn có thể tham khảo thêm các dãy số phát tài phát lộc khác để chọn số tài khoản ưng ý.»</t>
  </si>
  <si>
    <t>số tài khoản phát tài phát lộc</t>
  </si>
  <si>
    <t>2. Chọn số tài khoản “thu hút” tài lộc cho người làm ăn, kinh doanh</t>
  </si>
  <si>
    <t>Bên cạnh việc chọn số tài khoản hợp mệnh, bạn cũng có thể chọn số tài khoản là các số tứ quý, số tiến đơn hoặc những số liền nhau mang ý nghĩa tài lộc, thịnh vượng, may mắn.</t>
  </si>
  <si>
    <t>Thêm ngay sau đoạn này: «Bạn có thể tham khảo thêm các gợi ý số tài khoản phát tài phát lộc.»</t>
  </si>
  <si>
    <t>Bài nạp thẻ cho các nhà mạng — mục Viettel nên dẫn sang bài chi tiết. (Theo title/meta, chưa đọc bài.)</t>
  </si>
  <si>
    <t>1.3. Mang đến may mắn</t>
  </si>
  <si>
    <t>Những số đẹp phổ biến được nhiều người săn đón hiện nay như: 83 (Phát tài), 86 (Phát lộc), 132 (Sinh tài mãi), 162 (Sinh lộc mãi), 856 (Phát lộc cả năm)...</t>
  </si>
  <si>
    <t>Thêm ngay sau đoạn này: «Bạn có thể tham khảo thêm ý nghĩa và gợi ý chọn số tài khoản phát tài phát lộc.»</t>
  </si>
  <si>
    <t>Tài khoản số đẹp là những số tài khoản dễ nhớ, có các con số mang ý nghĩa đặc biệt hoặc có thể là sự kết hợp của các con số may mắn theo quan niệm phong thủy.</t>
  </si>
  <si>
    <t>Thêm ngay sau đoạn này: «Bạn có thể tham khảo thêm gợi ý số tài khoản phát tài phát lộc để chọn dãy số ưng ý.»</t>
  </si>
  <si>
    <t>Nạp tiền điện thoại online — chèn ở đoạn ví dụ nhà mạng Viettel. (Theo title/meta, chưa đọc bài.)</t>
  </si>
  <si>
    <t>nạp thẻ Viettel</t>
  </si>
  <si>
    <t>1.1. Giải mã từng con số trong dãy 8386</t>
  </si>
  <si>
    <t>Khi các con số này kết hợp thành 8386 , tổng thể dãy số mang thông điệp phát tài phát lộc .</t>
  </si>
  <si>
    <t>Sửa câu thành: «Khi các con số này kết hợp thành 8386, đây được xem là một dãy số phát tài phát lộc.»</t>
  </si>
  <si>
    <t>Trong đó, dãy 99999 – hay còn gọi là “Ngũ quý 9” được xem là một trong những dãy số đẹp và quyền lực nhất, tượng trưng cho sự vĩnh cửu, thịnh vượng và viên mãn.</t>
  </si>
  <si>
    <t>Thêm dòng sau đoạn: «Xem thêm: các dãy số phát tài phát lộc khác»</t>
  </si>
  <si>
    <t>Cùng nhà mạng Viettel (trả sau) — dẫn sang nạp thẻ trả trước. (Theo title/meta, chưa đọc bài.)</t>
  </si>
  <si>
    <t>nạp thẻ cào Viettel</t>
  </si>
  <si>
    <t>1. Ý nghĩa số 88 trong phong thủy</t>
  </si>
  <si>
    <t>Như vậy 88 – Đại Phát được xem là con số của thịnh vượng, mang thông điệp: phát tài, phát lộc và phát triển không ngừng .</t>
  </si>
  <si>
    <t>Thêm ngay sau đoạn này: «Bạn có thể tham khảo thêm các gợi ý số tài khoản phát tài phát lộc khác.»</t>
  </si>
  <si>
    <t>Nếu bạn đang muốn chọn một dãy số mang cảm giác may mắn, thì 6868 vẫn sẽ là lựa chọn đáng cân nhắc.</t>
  </si>
  <si>
    <t>Thêm ngay sau đoạn này: «Bạn cũng có thể tham khảo thêm các gợi ý số tài khoản phát tài phát lộc khác.»</t>
  </si>
  <si>
    <t>nợ xấu là gì</t>
  </si>
  <si>
    <t>Bài anh em nhà mạng khác; chèn câu ngắn so sánh/xem thêm Viettel. (Theo title/meta, chưa đọc bài.)</t>
  </si>
  <si>
    <t>https://techcombank.com/thong-tin/blog/li-xi-so-dep</t>
  </si>
  <si>
    <t>1. Lì xì số đẹp phát tài phát lộc Tết 2026</t>
  </si>
  <si>
    <t>Chọn số phát tài phát lộc để năm mới thuận buồm xuôi gió.</t>
  </si>
  <si>
    <t>Thêm ngay sau đoạn này: «Không chỉ tiền lì xì, nhiều người còn chọn số tài khoản phát tài phát lộc để gửi gắm mong muốn may mắn cả năm.»</t>
  </si>
  <si>
    <t>https://techcombank.com/thong-tin/blog/cach-tinh-ty-gia-ky-han</t>
  </si>
  <si>
    <t>Như trên, nhà mạng MobiFone. (Theo title/meta, chưa đọc bài.)</t>
  </si>
  <si>
    <t>3. Giới thiệu Gói giải pháp BusinessOne của Techcombank</t>
  </si>
  <si>
    <t>Miễn phí tài khoản số đẹp phát lộc, có phú quý, phong thuỷ, số tự chọn online nhanh chóng, tiện lợi</t>
  </si>
  <si>
    <t>Thêm dòng sau đoạn: «Xem thêm: gợi ý số tài khoản phát tài phát lộc»</t>
  </si>
  <si>
    <t>Đoạn liệt kê – dùng Xem thêm</t>
  </si>
  <si>
    <t>Miễn phí tài khoản số đẹp, đa dạng lựa chọn 5-6-8-9-10-12 số theo phong thủy (tam hoa, tứ quý, lộc phát…);</t>
  </si>
  <si>
    <t>Thêm dòng sau đoạn: «Xem thêm: gợi ý chọn số tài khoản phát tài phát lộc»</t>
  </si>
  <si>
    <t>Đoạn dạng liệt kê – dùng Xem thêm</t>
  </si>
  <si>
    <t>https://techcombank.com/thong-tin/blog/tai-khoan-doanh-nghiep-co-the-khong</t>
  </si>
  <si>
    <t>3. Hướng dẫn cách mở thẻ ngân hàng cho doanh nghiệp</t>
  </si>
  <si>
    <t>Bài giá điện bậc thang — người đọc cần cách tính ra hóa đơn. (Theo title/meta, chưa đọc bài.)</t>
  </si>
  <si>
    <t>Thêm dòng sau đoạn: «Xem thêm: Gợi ý số tài khoản phát tài phát lộc»</t>
  </si>
  <si>
    <t>2.3. Gói BusinessOne Premium</t>
  </si>
  <si>
    <t>Tiết kiệm chi phí - ưu đãi hấp dẫn: BusinessOne Premium miễn phí các khoản phí sau: Phí mở tài khoản số đẹp phát lộc…</t>
  </si>
  <si>
    <t>Thêm ngay sau đoạn này: «Tham khảo thêm ý nghĩa và cách chọn số tài khoản phát tài phát lộc phù hợp cho doanh nghiệp.»</t>
  </si>
  <si>
    <t>Tra hóa đơn tiền điện — muốn đối chiếu số tiền cần biết cách tính. (Theo title/meta, chưa đọc bài.)</t>
  </si>
  <si>
    <t>cách tính tiền điện</t>
  </si>
  <si>
    <t>2.5. Ưu đãi đa tầng</t>
  </si>
  <si>
    <t>Chủ động chọn số đẹp cho tài khoản Hộ kinh doanh (từ 6 số) – dễ nhớ, mang ý nghĩa may mắn</t>
  </si>
  <si>
    <t>vay tín chấp không trả được có sao không</t>
  </si>
  <si>
    <t>https://techcombank.com/thong-tin/blog/li-xi-tet</t>
  </si>
  <si>
    <t>4. 5 điều cần tránh khi lì xì và nhận lì xì</t>
  </si>
  <si>
    <t>Tránh số tiền mang ý nghĩa xấu (đặc biệt là số 4): Trong văn hóa Á Đông, số 4 (tứ) có phát âm gần giống chữ "tử" (chết), nên đây là con số đại kỵ, không may mắn.</t>
  </si>
  <si>
    <t>Đóng tiền điện — trước khi đóng người đọc hay kiểm tra số tiền. (Theo title/meta, chưa đọc bài.)</t>
  </si>
  <si>
    <t>Thêm dòng sau đoạn: «Xem thêm: Gợi ý số tài khoản phát tài phát lộc cho năm mới»</t>
  </si>
  <si>
    <t>giá điện bậc thang</t>
  </si>
  <si>
    <t>App đóng tiền điện; chèn ở đoạn mở đầu/lưu ý. (Theo title/meta, chưa đọc bài.)</t>
  </si>
  <si>
    <t>Miễn phí: mở tài khoản số đẹp, phí duy trì ngân hàng số, phát hành và phí thường niên thẻ ghi nợ…</t>
  </si>
  <si>
    <t>Gạch đầu dòng ưu đãi – dùng Xem thêm</t>
  </si>
  <si>
    <t>8. Thời hạn kê khai, nộp thuế thu nhập doanh nghiệp</t>
  </si>
  <si>
    <t>Thêm ngay sau đoạn này: «Khi mở tài khoản, doanh nghiệp cũng có thể lựa chọn số tài khoản phát tài phát lộc theo sở thích.»</t>
  </si>
  <si>
    <t>Chủ đề hơi xa – nên đọc lại</t>
  </si>
  <si>
    <t>Thanh toán tiền điện bằng thẻ tín dụng; chèn ở đoạn về số tiền hóa đơn. (Theo title/meta, chưa đọc bài.)</t>
  </si>
  <si>
    <t>https://techcombank.com/thong-tin/blog/cam-ket-tin-dung</t>
  </si>
  <si>
    <t>Để đảm bảo quyền lợi và nghĩa vụ thuế không bị gián đoạn, bạn nên kiểm tra lại thông tin cá nhân trên Cổng thông tin của Tổng cục Thuế hoặc ứng dụng eTax Mobile.</t>
  </si>
  <si>
    <t>Thêm ngay sau đoạn này: «Bạn cũng có thể kiểm tra thuế thu nhập cá nhân online để theo dõi số thuế đã nộp.»</t>
  </si>
  <si>
    <t>4.1. Kiểm tra thuế thu nhập cá nhân (TNCN) 2026 ở đâu?</t>
  </si>
  <si>
    <t>Để biết tra cứu thông tin quyết toán thuế thu nhập cá nhân nhanh, bạn nên truy cập eTax Mobile và thực hiện các bước sau:</t>
  </si>
  <si>
    <t>Thêm dòng sau đoạn: «Xem thêm: 2 cách kiểm tra thuế thu nhập cá nhân online»</t>
  </si>
  <si>
    <t>Quyết toán TNCN cần tính lại số thuế cả năm. (Theo title/meta, chưa đọc bài.)</t>
  </si>
  <si>
    <t>1. Làm sao biết được hoàn thuế thu nhập cá nhân hay không?</t>
  </si>
  <si>
    <t>Để biết chính xác số tiền hoàn thuế hoặc số tiền cần nộp thêm, bạn nên truy cập eTax Mobile và thực hiện các bước sau:</t>
  </si>
  <si>
    <t>Sửa câu thành: «Để biết chính xác số tiền hoàn thuế hoặc số tiền cần nộp thêm, bạn có thể kiểm tra thuế thu nhập cá nhân trên eTax Mobile theo các bước sau:»</t>
  </si>
  <si>
    <t>Hoàn thuế TNCN xuất phát từ việc tính ra số thuế nộp thừa. (Theo title/meta, chưa đọc bài.)</t>
  </si>
  <si>
    <t>cách tính thuế TNCN</t>
  </si>
  <si>
    <t>Để quá trình quyết toán diễn ra thuận lợi, bạn nên chuẩn bị sẵn chứng từ khấu trừ, kiểm tra dữ liệu thu nhập, và liên kết tài khoản ngân hàng…</t>
  </si>
  <si>
    <t>Thêm ngay sau đoạn này: «Bạn cũng có thể tham khảo cách kiểm tra thuế thu nhập cá nhân online để đối chiếu số liệu trước khi quyết toán.»</t>
  </si>
  <si>
    <t>Đối với người lao động, hình thức này giúp bạn dễ dàng theo dõi lịch sử nhận lương qua sao kê và chủ động sử d…</t>
  </si>
  <si>
    <t>Thêm ngay sau đoạn này: «Người lao động cũng có thể chủ động kiểm tra thuế thu nhập cá nhân online để đối chiếu với thu nhập đã nhận.»</t>
  </si>
  <si>
    <t>phương pháp đầu tư chứng chỉ quỹ</t>
  </si>
  <si>
    <t>Đăng ký MST cá nhân để kê khai, tính thuế TNCN. (Theo title/meta, chưa đọc bài.)</t>
  </si>
  <si>
    <t>tính thuế TNCN</t>
  </si>
  <si>
    <t>tra cứu thuế TNCN</t>
  </si>
  <si>
    <t>2. Cách 2: Tra cứu trên eTax Mobile</t>
  </si>
  <si>
    <t>Bước 3: Hệ thống trả kết quả tra cứu thuế TNCN đã nộp và tình trạng các khoản thuế</t>
  </si>
  <si>
    <t>Thêm dòng sau đoạn: «Xem thêm: các cách tra cứu thuế TNCN online khác»</t>
  </si>
  <si>
    <t>6. Kê khai và nộp thuế hộ kinh doanh</t>
  </si>
  <si>
    <t>Thêm ngay sau đoạn này: «Với cá nhân, bạn cũng có thể tra cứu thuế TNCN online để kiểm tra nghĩa vụ thuế của mình.»</t>
  </si>
  <si>
    <t>Số TK là gì &amp; cách kiểm tra — trùng nhu cầu, dẫn sang bài chi tiết 3 cách. (Theo title/meta, chưa đọc bài.)</t>
  </si>
  <si>
    <t>3.3. Nộp thuế</t>
  </si>
  <si>
    <t>Thêm ngay sau đoạn này: «Với khoản thuế thu nhập cá nhân, bạn cũng có thể tra cứu thuế TNCN online để kiểm tra số thuế đã nộp.»</t>
  </si>
  <si>
    <t>1.1. Khái niệm</t>
  </si>
  <si>
    <t>Thuế thu nhập cá nhân (TNCN) là một loại thuế trực thu đánh vào thu nhập mà cá nhân kiếm được…</t>
  </si>
  <si>
    <t>Thêm ngay sau đoạn này: «Người nộp thuế có thể tra cứu thuế TNCN online để theo dõi nghĩa vụ thuế của mình.»</t>
  </si>
  <si>
    <t>Số dư khả dụng — người đọc cần cách kiểm tra số dư. (Theo title/meta, chưa đọc bài.)</t>
  </si>
  <si>
    <t>kiểm tra số dư tài khoản</t>
  </si>
  <si>
    <t>4. Sổ thu chi MISA</t>
  </si>
  <si>
    <t>Công cụ tài chính tiện ích: Tích hợp sẵn các công cụ hữu ích như tính lãi vay, ước tính thuế thu nhập cá nhân, tra cứu tỷ giá hối đoái (vàng, USD).</t>
  </si>
  <si>
    <t>Thêm dòng sau đoạn: «Xem thêm: Cách kiểm tra thuế thu nhập cá nhân online»</t>
  </si>
  <si>
    <t>kiểm tra thuế TNCN online</t>
  </si>
  <si>
    <t>3.1. Liên kết tài khoản ngân hàng với Etax Mobile bị lỗi phải làm sao?</t>
  </si>
  <si>
    <t>Trong trường hợp cần nộp thuế gấp, có thể cân nhắc liên kết với tài khoản thuộc ngân hàng khác đã được eTax Mobile hỗ trợ.</t>
  </si>
  <si>
    <t>Thêm ngay sau đoạn này: «Ngoài nộp thuế, người dùng cũng có thể tham khảo cách kiểm tra thuế TNCN online ngay trên điện thoại.»</t>
  </si>
  <si>
    <t>Kiểm tra mã giao dịch — chèn ở đoạn kiểm tra lịch sử giao dịch. (Theo title/meta, chưa đọc bài.)</t>
  </si>
  <si>
    <t>kiểm tra tài khoản ngân hàng</t>
  </si>
  <si>
    <t>Cùng tìm hiểu 3 cách tra cứu mã số thuế hộ kinh doanh online nhanh chóng, chính xác qua hệ thống của Tổng cục Thuế và ứng dụng eTax Mobile…</t>
  </si>
  <si>
    <t>Thêm ngay sau đoạn này: «Nếu cần đối chiếu nghĩa vụ thuế cá nhân, bạn có thể tham khảo cách kiểm tra thuế TNCN online.»</t>
  </si>
  <si>
    <t>Bài về MST hộ kinh doanh, TNCN hơi lệch</t>
  </si>
  <si>
    <t>https://techcombank.com/thong-tin/blog/thay-doi-dia-chi-ho-kinh-doanh</t>
  </si>
  <si>
    <t>4.1. Thay đổi địa chỉ hộ kinh doanh trên eTax Mobile được không?</t>
  </si>
  <si>
    <t>eTax Mobile là ứng dụng hỗ trợ người nộp thuế tra cứu thông tin thuế, nộp thuế điện tử và thực hiện một số giao dịch với cơ quan thuế.</t>
  </si>
  <si>
    <t>Thêm ngay sau đoạn này: «Ứng dụng này cũng hỗ trợ cá nhân tra cứu thuế TNCN.»</t>
  </si>
  <si>
    <t>SMS Banking là một kênh kiểm tra biến động số dư. (Theo title/meta, chưa đọc bài.)</t>
  </si>
  <si>
    <t>1. Cách 1: Cách tra cứu hóa đơn điện tử trên website Tổng cục Thuế</t>
  </si>
  <si>
    <t>Tra cứu hoá đơn điện tử trên website Tổng cục Thuế.</t>
  </si>
  <si>
    <t>Thêm ngay sau đoạn này: «Với cá nhân, bạn cũng có thể tra cứu thuế TNCN trên hệ thống thuế điện tử.»</t>
  </si>
  <si>
    <t>tên đăng nhập</t>
  </si>
  <si>
    <t>4. 5 lưu ý quan trọng khi mở tài khoản ngân hàng</t>
  </si>
  <si>
    <t>Kiểm tra kỹ thông tin cá nhân và bảo mật tuyệt đối thông tin đăng nhập: Bao gồm tên đăng nhập, mật khẩu và mã OTP để ngăn chặn các hoạt động gian lận…</t>
  </si>
  <si>
    <t>Bôi đen cụm «tên đăng nhập» trong câu trên, gắn link.</t>
  </si>
  <si>
    <t>Bài anh em cho TK công ty; chèn câu dẫn cho TK cá nhân. (Theo title/meta, chưa đọc bài.)</t>
  </si>
  <si>
    <t>1.4. Thiết lập đăng nhập</t>
  </si>
  <si>
    <t>Màn hình hiển thị tên đăng nhập là số điện thoại của bạn, sau đó bạn Cài đặt mật khẩu và Xác nhận đầy đủ thông tin trước khi đăng nhập…</t>
  </si>
  <si>
    <t>Bài định nghĩa TK ngân hàng, kết thúc tự nhiên bằng cách mở. (Theo title/meta, chưa đọc bài.)</t>
  </si>
  <si>
    <t>Nhập tên đăng nhập và mật khẩu trong lần đăng nhập đầu tiên trên ứng dụng Techcombank Business</t>
  </si>
  <si>
    <t>https://techcombank.com/thong-tin/blog/tai-khoan-thanh-toan-la-gi</t>
  </si>
  <si>
    <t>Tuy nhiên, khi bạn để lộ những thông tin chi tiết khác liên quan đến tài khoản như tên đăng nhập, mật khẩu, mã PIN, mã OTP... thì các đối tượng có thể đăng nhập…</t>
  </si>
  <si>
    <t>Có mục điều kiện, thủ tục mở TK thanh toán. (Theo title/meta, chưa đọc bài.)</t>
  </si>
  <si>
    <t>https://techcombank.com/thong-tin/blog/cashback-the-thanh-toan</t>
  </si>
  <si>
    <t>1. Lộ mã QR ngân hàng có sao không?</t>
  </si>
  <si>
    <t>Các thông tin nhạy cảm hoặc thông tin cá nhân như số dư tài khoản, tên đăng nhập, mật khẩu đăng nhập, mã PIN…</t>
  </si>
  <si>
    <t>https://techcombank.com/thong-tin/blog/mobile-banking-la-gi</t>
  </si>
  <si>
    <t>3.1. Các bước đăng ký Techcombank Mobile</t>
  </si>
  <si>
    <t>Bước 5: Khởi tạo tên đăng nhập và mật khẩu để sẵn sàng sử dụng</t>
  </si>
  <si>
    <t>Câu thuộc các bước – chỉ gắn link, không sửa câu</t>
  </si>
  <si>
    <t>Băn khoăn an toàn khi mở online → dẫn sang hướng dẫn mở. (Theo title/meta, chưa đọc bài.)</t>
  </si>
  <si>
    <t>4.1. Sử dụng Username (tên đăng nhập) và mật khẩu</t>
  </si>
  <si>
    <t>tạo tài khoản ngân hàng</t>
  </si>
  <si>
    <t>Tên đăng nhập tài khoản ngân hàng thường sẽ là số điện thoại hoặc một tên đăng nhập bất kỳ do bạn tự chọn, còn mật khẩu sẽ là 1 dãy số và ký tự của riêng bạn.</t>
  </si>
  <si>
    <t>Bôi đen cụm «tên đăng nhập tài khoản ngân hàng» trong câu trên, gắn link.</t>
  </si>
  <si>
    <t>https://techcombank.com/thong-tin/blog/ma-qr-lam-gia-duoc-khong</t>
  </si>
  <si>
    <t>Hỏi phí mở TK → nhu cầu kế tiếp là cách mở. Bài cach-mo-tai-khoan đã link sang bài này (chiều ngược lại). (Theo title/meta, chưa đọc bài.)</t>
  </si>
  <si>
    <t>1. Mã QR thanh toán làm giả được không?</t>
  </si>
  <si>
    <t>Tại đây, người dùng sẽ phải nhập thông tin như tên đăng nhập tài khoản ngân hàng, mật khẩu đăng nhập, mã OTP hoặc thậm chí là số CCCD/CMND...</t>
  </si>
  <si>
    <t>2.1. Nên làm gì nếu quên mật khẩu đăng nhập Mobile Banking?</t>
  </si>
  <si>
    <t>Nếu quên mật khẩu đăng nhập Mobile Banking, bạn nên ấn Quên mật khẩu/Quên mã mở khóa &gt; Nhập mật khẩu/mã mới &gt; Xác thực để hoàn tất.</t>
  </si>
  <si>
    <t>Thêm ngay sau đoạn này: «Trường hợp quên cả tên đăng nhập tài khoản ngân hàng, bạn có thể liên hệ ngân hàng để được hỗ trợ lấy lại.»</t>
  </si>
  <si>
    <t>https://techcombank.com/thong-tin/blog/smart-otp-la-gi</t>
  </si>
  <si>
    <t>4. Hướng dẫn các bước đăng ký và sử dụng Techcombank Mobile</t>
  </si>
  <si>
    <t>Quy định số TK/CCCD; chèn ở đoạn hướng dẫn đăng ký thêm TK. (Theo title/meta, chưa đọc bài.)</t>
  </si>
  <si>
    <t>Chỉ gắn link, không sửa câu bước</t>
  </si>
  <si>
    <t>1.2. Rủi ro lộ OTP, mật khẩu khi thực hiện giao dịch online</t>
  </si>
  <si>
    <t>Các trường hợp thực hiện giao dịch gửi tiền trực tuyến, người dùng cần lưu ý bảo vệ kỹ các thông tin cá nhân như tên đăng nhập, mật khẩu, mã OTP…</t>
  </si>
  <si>
    <t>https://techcombank.com/thong-tin/blog/cay-atm-gan-day</t>
  </si>
  <si>
    <t>2.2. Cách 2: Sao kê ngân hàng online qua Internet Banking/Mobile Banking</t>
  </si>
  <si>
    <t>Bạn cần đăng nhập vào Techcombank Mobile của mình.</t>
  </si>
  <si>
    <t>Thêm ngay sau đoạn này: «Nếu quên tên đăng nhập, bạn có thể tham khảo cách lấy lại để tiếp tục thao tác.»</t>
  </si>
  <si>
    <t>Top app ngân hàng uy tín — anh em chủ đề, người đọc muốn biết ngân hàng nào uy tín. (Theo title/meta, chưa đọc bài.)</t>
  </si>
  <si>
    <t>1. Kích hoạt thẻ thanh toán qua Mobile Banking</t>
  </si>
  <si>
    <t>Bước 2: Điền Tên đăng nhập (là số điện thoại đăng ký dịch vụ) và Mật khẩu cho Mobile Banking</t>
  </si>
  <si>
    <t>Thêm dòng sau đoạn: «Xem thêm: tên đăng nhập tài khoản ngân hàng là gì và cách lấy lại khi quên»</t>
  </si>
  <si>
    <t>Gửi tiền có an toàn không → chọn ngân hàng uy tín. (Theo title/meta, chưa đọc bài.)</t>
  </si>
  <si>
    <t>1. Bước 1: Đăng nhập và tìm biểu tượng mã QR</t>
  </si>
  <si>
    <t>Người dùng đăng nhập ngân hàng số trên điện thoại, sau đó tìm kiếm biểu tượng mã QR.</t>
  </si>
  <si>
    <t>Thêm dòng sau đoạn: «Xem thêm: Tên đăng nhập tài khoản ngân hàng là gì? Cách lấy lại khi quên»</t>
  </si>
  <si>
    <t>2. Tầm quan trọng của mã OTP trong giao dịch ngân hàng</t>
  </si>
  <si>
    <t>Tăng cường bảo mật tối đa: Trong trường hợp thông tin đăng nhập và mật khẩu của người dùng bị lộ, đối tượng xấu vẫn không thể thực hiện giao dịch tài chính nếu không có mã OTP…</t>
  </si>
  <si>
    <t>Sửa câu thành: «Tăng cường bảo mật tối đa: Trong trường hợp tên đăng nhập và mật khẩu của người dùng bị lộ, đối tượng xấu vẫn không thể thực hiện giao dịch tài chính nếu không có mã OTP được gửi đến thiết bị đã đăng ký của chủ tài khoản»</t>
  </si>
  <si>
    <t>Tiêu chí chọn ngân hàng — uy tín là một tiêu chí. (Theo title/meta, chưa đọc bài.)</t>
  </si>
  <si>
    <t>1. Sử dụng mật khẩu mạnh và thay đổi định kỳ</t>
  </si>
  <si>
    <t>Đặt mật khẩu đăng nhập mạnh và cập nhật mật khẩu định kỳ là một cách bảo vệ tài khoản.</t>
  </si>
  <si>
    <t>Thêm ngay sau đoạn này: «Bên cạnh mật khẩu, bạn cũng nên bảo mật tên đăng nhập tài khoản ngân hàng và không chia sẻ cho người khác.»</t>
  </si>
  <si>
    <t>Bài nguồn (bài chèn link)</t>
  </si>
  <si>
    <t>1. Liên hệ nhà mạng để khôi phục số điện thoại</t>
  </si>
  <si>
    <t>Nếu trong quá trình đăng nhập xảy ra lỗi, bạn có thể liên hệ với hotline của ngân hàng để được hỗ trợ.</t>
  </si>
  <si>
    <t>Thêm ngay sau đoạn này: «Nếu quên tên đăng nhập tài khoản ngân hàng, bạn có thể tham khảo cách lấy lại nhanh chóng.»</t>
  </si>
  <si>
    <t>Mã</t>
  </si>
  <si>
    <t>Chủ đề</t>
  </si>
  <si>
    <t>Hướng dẫn chuyển tiền — phần lưu ý/xử lý sự cố chèn được. (Theo title/meta, chưa đọc bài.)</t>
  </si>
  <si>
    <t>2. Cách 2: Gửi tiết kiệm online cho người chưa có tài khoản ngân hàng</t>
  </si>
  <si>
    <t>Sau khi mở tài khoản ngân hàng, khách hàng cần đăng nhập lại và bắt đầu chọn sản phẩm gửi tiết kiệm online.</t>
  </si>
  <si>
    <t>Thêm ngay sau đoạn này: «Bạn nên ghi nhớ tên đăng nhập tài khoản ngân hàng và mật khẩu để thao tác thuận tiện về sau.»</t>
  </si>
  <si>
    <t>https://techcombank.com/thong-tin/blog/chuyen-khoan-lien-ngan-hang</t>
  </si>
  <si>
    <t>Bảo hiểm</t>
  </si>
  <si>
    <t>1.1. Tài khoản ngân hàng bị khóa khi nhập sai mật khẩu nhiều lần</t>
  </si>
  <si>
    <t>Nguyên nhân: Theo quy định của đa số ngân hàng, nếu khách hàng nhập sai mật khẩu quá 3 - 5 lần khi đăng nhập vào Mobile Banking hoặc Internet Banking, tài khoản ngân hàng sẽ tự động bị khóa.</t>
  </si>
  <si>
    <t>Thêm ngay sau đoạn này: «Nếu quên tên đăng nhập tài khoản ngân hàng, bạn nên dùng tính năng lấy lại trên ứng dụng thay vì thử nhiều lần.»</t>
  </si>
  <si>
    <t>Doanh nghiệp (tài khoản, vay, tài chính)</t>
  </si>
  <si>
    <t>Chuyển liên ngân hàng là trường hợp hay bị chậm nhận tiền. (Theo title/meta, chưa đọc bài.)</t>
  </si>
  <si>
    <t>Hộ kinh doanh &amp; bán hàng</t>
  </si>
  <si>
    <t>Ngoại tệ &amp; chuyển tiền quốc tế</t>
  </si>
  <si>
    <t>Phần E: Đăng ký chữ ký, dấu và ủy quyền khi sử dụng TKTT và dịch vụ NHĐT</t>
  </si>
  <si>
    <t>Tên đăng nhập Khách hàng đăng ký (Sử dụng tên đăng nhập có 6 - 16 ký tự, sử dụng tiếng Việt không dấu, không chứa ký tự đặc biệt, ký tự trống).</t>
  </si>
  <si>
    <t>Ngân hàng xanh &amp; thương hiệu</t>
  </si>
  <si>
    <t>Mã giao dịch dùng để tra soát khi chuyển thành công mà chưa nhận. (Theo title/meta, chưa đọc bài.)</t>
  </si>
  <si>
    <t>Bôi đen chữ «tên đăng nhập» thứ hai trong câu; mục biểu mẫu</t>
  </si>
  <si>
    <t>Nợ xấu &amp; CIC</t>
  </si>
  <si>
    <t>Quản lý tài chính cá nhân</t>
  </si>
  <si>
    <t>Thanh toán, chuyển khoản &amp; QR</t>
  </si>
  <si>
    <t>https://techcombank.com/thong-tin/blog/merchant-portal</t>
  </si>
  <si>
    <t>3.4. Quản lý nhân viên</t>
  </si>
  <si>
    <t>Với tính năng này, người dùng có thể tìm kiếm và xem thông tin về nhân viên như tên đăng nhập, email, trạng thái, nhóm quyền…</t>
  </si>
  <si>
    <t>Thuế</t>
  </si>
  <si>
    <t>Ngữ cảnh tài khoản nhân viên, hơi lệch</t>
  </si>
  <si>
    <t>Thẻ ATM &amp; thẻ ghi nợ</t>
  </si>
  <si>
    <t>Thẻ tín dụng</t>
  </si>
  <si>
    <t>Thị trường &amp; giá cả</t>
  </si>
  <si>
    <t>Tiết kiệm &amp; lãi suất tiền gửi</t>
  </si>
  <si>
    <t>Sự cố chuyển tiền tương tự, người đọc quan tâm cả hai tình huống. (Theo title/meta, chưa đọc bài.)</t>
  </si>
  <si>
    <t>https://techcombank.com/thong-tin/blog/softpos</t>
  </si>
  <si>
    <t>Tài khoản &amp; ngân hàng số</t>
  </si>
  <si>
    <t>4.1. Techcombank ePOS</t>
  </si>
  <si>
    <t>Chỉnh sửa nhân viên: Chủ cửa hàng có thể chỉnh sửa thông tin nhân viên như tên đăng nhập, số điện thoại, vị trí nhân viên…</t>
  </si>
  <si>
    <t>Nghĩa khác: tên đăng nhập nhân viên ePOS</t>
  </si>
  <si>
    <t>Vay thế chấp &amp; mua nhà/xe</t>
  </si>
  <si>
    <t>Vay tiêu dùng &amp; tín chấp</t>
  </si>
  <si>
    <t>Đầu tư, CCTG, trái phiếu, vàng</t>
  </si>
  <si>
    <t>https://techcombank.com/thong-tin/blog/thanh-toan-ve-may-bay-online</t>
  </si>
  <si>
    <t>Ưu đãi, du lịch &amp; đời sống</t>
  </si>
  <si>
    <t>2.1. Mobile Banking</t>
  </si>
  <si>
    <t>Bước 1: Đăng nhập Techcombank Mobile, chọn Chuyển tiền &amp; thanh toán</t>
  </si>
  <si>
    <t>Thêm dòng sau đoạn: «Xem thêm: Quên tên đăng nhập tài khoản ngân hàng? Cách lấy lại nhanh»</t>
  </si>
  <si>
    <t>Khác</t>
  </si>
  <si>
    <t>1. Khoá thẻ tạm thời qua điện thoại Mobile Banking</t>
  </si>
  <si>
    <t>Bước 1: Đăng nhập Techcombank Mobile, chọn Tài khoản &amp; Thẻ</t>
  </si>
  <si>
    <t>Sai thông tin ngân hàng thụ hưởng là một nguyên nhân không nhận được tiền. (Theo title/meta, chưa đọc bài.)</t>
  </si>
  <si>
    <t>Thêm dòng sau đoạn: «Xem thêm: Tên đăng nhập tài khoản ngân hàng là gì và cách lấy lại khi quên»</t>
  </si>
  <si>
    <t>https://techcombank.com/thong-tin/blog/thanh-toan-tien-nuoc-online</t>
  </si>
  <si>
    <t>1. Thanh toán tiền nước hàng tháng trên Mobile Banking</t>
  </si>
  <si>
    <t>Bước 1: Đăng nhập Techcombank Mobile , chọn Chuyển tiền &amp; thanh toán</t>
  </si>
  <si>
    <t>https://techcombank.com/thong-tin/blog/thanh-toan-hoa-don-tieu-dung</t>
  </si>
  <si>
    <t>2. Hướng dẫn thanh toán hoá đơn trên Techcombank Mobile</t>
  </si>
  <si>
    <t>Bước 1: Đăng nhập Techcombank Mobile, chọn Thanh toán hóa đơn;</t>
  </si>
  <si>
    <t>1. Mở thẻ ngân hàng - thẻ ATM online thông qua Mobile Banking</t>
  </si>
  <si>
    <t>Bước 1: Đăng nhập Techcombank Mobile, chọn lần lượt Tài khoản thanh toán và Mở thẻ cho tài khoản</t>
  </si>
  <si>
    <t>Tài khoản cho con — phụ huynh cần biết quy định độ tuổi. (Theo title/meta, chưa đọc bài.)</t>
  </si>
  <si>
    <t>2. Hoàn tất nghĩa vụ tài chính trước khi chuyển đổi</t>
  </si>
  <si>
    <t>Điều này bao gồm việc nộp đầy đủ thuế giá trị gia tăng, thuế thu nhập cá nhân, thuế môn bài cùng các khoản phạt (nếu có).</t>
  </si>
  <si>
    <t>HSSV chọn thẻ — câu hỏi bao nhiêu tuổi được làm thẻ đi kèm. (Theo title/meta, chưa đọc bài.)</t>
  </si>
  <si>
    <t>Làm thẻ ATM; chèn ở mục điều kiện (độ tuổi). (Theo title/meta, chưa đọc bài.)</t>
  </si>
  <si>
    <t>3.2. Mục đích chuyển tiền và chứng từ</t>
  </si>
  <si>
    <t>Không phải đóng thuế thu nhập: Các khoản tiền kiều hối nhận được tại Việt Nam không phải chịu thuế thu nhập cá nhân</t>
  </si>
  <si>
    <t>1.1. Hướng dẫn cách nộp thuế online trên Etax Mobile cho cá nhân</t>
  </si>
  <si>
    <t>Ứng dụng eTax cho phép người dùng quyết toán, kê khai thuế thu nhập cá nhân online mà không cần đến cơ quan thuế.</t>
  </si>
  <si>
    <t>Thẻ Debit cho con — mở TK cho con dưới 18 tuổi là bước đi kèm. (Theo title/meta, chưa đọc bài.)</t>
  </si>
  <si>
    <t>Thuế thu nhập cá nhân (TNCN) là nghĩa vụ tài chính phản ánh trực tiếp quyền lợi và trách nhiệm của người lao động trong hệ thống thuế Việt Nam.</t>
  </si>
  <si>
    <t>Viết hoa chữ đầu vì đứng đầu câu</t>
  </si>
  <si>
    <t>https://techcombank.com/thong-tin/blog/mo-tai-khoan-tiet-kiem-cho-con</t>
  </si>
  <si>
    <t>thuế TNCN</t>
  </si>
  <si>
    <t>3. Cách 3: Tra cứu bằng hóa đơn đã nộp thuế TNCN</t>
  </si>
  <si>
    <t>Sau khi người lao động kiểm tra thông tin và thực hiện nộp thuế TNCN tại cơ quan thuế sẽ nhận được một biên lai xác nhận đã đóng thuế TNCN.</t>
  </si>
  <si>
    <t>Bôi đen cụm «thuế TNCN» trong câu trên, gắn link.</t>
  </si>
  <si>
    <t>https://techcombank.com/thong-tin/blog/chien-luoc-dau-tu</t>
  </si>
  <si>
    <t>Mở TK tiết kiệm cho con — liên quan trực tiếp. (Theo title/meta, chưa đọc bài.)</t>
  </si>
  <si>
    <t>3. Thời hạn kê khai thuế hộ kinh doanh</t>
  </si>
  <si>
    <t>Trường hợp nộp thuế TNCN trên thu nhập tính thuế: Khai tạm nộp thuế TNCN theo quý trên cùng hồ sơ khai thuế GTGT…</t>
  </si>
  <si>
    <t>Gắn ở lần xuất hiện đầu</t>
  </si>
  <si>
    <t>Miễn thuế TNCN trong 2 năm và giảm 50% trong 4 năm tiếp theo đối với thu nhập từ tiền lương, tiền công của chuyên gia, nhà khoa học…</t>
  </si>
  <si>
    <t>Câu nêu chính sách – chỉ bôi đen, không sửa</t>
  </si>
  <si>
    <t>Theo quy định mới, nhiều nhóm hộ kinh doanh nhỏ sẽ được miễn hoàn toàn thuế GTGT và thuế TNCN, tạo điều kiện để các hộ kinh doanh siêu nhỏ…</t>
  </si>
  <si>
    <t>Mở TK online; chèn câu lưu ý cho người dưới 18 tuổi. (Theo title/meta, chưa đọc bài.)</t>
  </si>
  <si>
    <t>2.6. FAST HRM Online</t>
  </si>
  <si>
    <t>Quản lý dữ liệu liên quan đến BHXH, BHYT và thuế TNCN</t>
  </si>
  <si>
    <t>Cuối năm, thực hiện quyết toán thuế TNCN tổng hợp.</t>
  </si>
  <si>
    <t>Máy CDM dùng để nộp tiền — một trong các cách nạp tiền vào TK. (Theo title/meta, chưa đọc bài.)</t>
  </si>
  <si>
    <t>2.1. Người thụ hưởng kiều hối (cá nhân hoặc tổ chức trong nước)</t>
  </si>
  <si>
    <t>Không bị đánh thuế thu nhập cá nhân đối với khoản kiều hối nhận được</t>
  </si>
  <si>
    <t>Nạp tiền vào thẻ ghi nợ = nạp vào TK gắn thẻ. (Theo title/meta, chưa đọc bài.)</t>
  </si>
  <si>
    <t>Thời điểm quyết toán thuế hàng năm là lúc nhiều người lao động quan tâm đến việc hoàn thuế thu nhập cá nhân (TNCN) – đặc biệt là khi số thuế đã nộp cao hơn mức phải nộp thực tế.</t>
  </si>
  <si>
    <t>5. Cách tính thuế TNCN</t>
  </si>
  <si>
    <t>Thuế TNCN của hộ kinh doanh, cá nhân kinh doanh được xác định theo một trong hai phương pháp sau:</t>
  </si>
  <si>
    <t>Bôi đen cụm «Thuế TNCN» trong câu trên, gắn link.</t>
  </si>
  <si>
    <t>TK 0 đồng → giải pháp nạp thêm tiền. (Theo title/meta, chưa đọc bài.)</t>
  </si>
  <si>
    <t>1. Thời điểm cần quyết toán thuế thu nhập cá nhân</t>
  </si>
  <si>
    <t>Đối với cá nhân trực tiếp quyết toán thuế, thời hạn nộp hồ sơ quyết toán thuế TNCN chậm nhất là ngày 30/04 của năm sau năm tính thuế.</t>
  </si>
  <si>
    <t>Chỉ bôi đen, không sửa câu quy định thời hạn</t>
  </si>
  <si>
    <t>https://techcombank.com/thong-tin/blog/cho-vay-hop-von-la-gi</t>
  </si>
  <si>
    <t>https://techcombank.com/thong-tin/blog/cho-vay-kinh-doanh-ho-gia-dinh</t>
  </si>
  <si>
    <t>https://techcombank.com/thong-tin/blog/cho-vay-tieu-dung-la-gi</t>
  </si>
  <si>
    <t>2.3. Thuế thu nhập cá nhân (PIT)</t>
  </si>
  <si>
    <t>Áp dụng trên thu nhập từ tiền lương, tiền công của người lao động.</t>
  </si>
  <si>
    <t>Sửa câu thành: «Thuế thu nhập cá nhân áp dụng trên thu nhập từ tiền lương, tiền công của người lao động.»</t>
  </si>
  <si>
    <t>https://techcombank.com/thong-tin/blog/chon-kenh-dau-tu-an-toan-trong-boi-canh-thi-truong-bien-dong</t>
  </si>
  <si>
    <t>https://techcombank.com/thong-tin/blog/chung-chi-quy</t>
  </si>
  <si>
    <t>https://techcombank.com/thong-tin/blog/chung-chi-quy-dong</t>
  </si>
  <si>
    <t>2. Các loại thuế doanh nghiệp cần nộp</t>
  </si>
  <si>
    <t>Thêm dòng sau đoạn: «Xem thêm: Thuế thu nhập cá nhân là gì? Cách tính và nộp thuế qua tài khoản ngân hàng»</t>
  </si>
  <si>
    <t>https://techcombank.com/thong-tin/blog/chung-chi-quy-mo-va-dong</t>
  </si>
  <si>
    <t>Đoạn trích luật – dùng Xem thêm; trùng anchor với link khác cùng bài</t>
  </si>
  <si>
    <t>https://techcombank.com/thong-tin/blog/chung-chi-quy-va-chung-khoan</t>
  </si>
  <si>
    <t>https://techcombank.com/thong-tin/blog/chung-chi-quy-va-co-phieu</t>
  </si>
  <si>
    <t>https://techcombank.com/thong-tin/blog/chung-chi-tien-gui-co-an-toan-khong</t>
  </si>
  <si>
    <t>https://techcombank.com/thong-tin/blog/chung-chi-tien-gui-co-duoc-bao-hiem-khong</t>
  </si>
  <si>
    <t>1.1. Thuế đối với hộ kinh doanh, cá nhân kinh doanh trên nền tảng thương mại điện tử (TMĐT</t>
  </si>
  <si>
    <t>Sàn TMĐT có chức năng thanh toán: Sàn TMĐT sẽ khấu trừ và nộp thuế thay (GTGT, TNCN) cho hộ kinh doanh, cá nhân kinh doanh</t>
  </si>
  <si>
    <t>Sửa câu thành: «Sàn TMĐT có chức năng thanh toán: Sàn TMĐT sẽ khấu trừ và nộp thay thuế GTGT, thuế TNCN cho hộ kinh doanh, cá nhân kinh doanh»</t>
  </si>
  <si>
    <t>https://techcombank.com/thong-tin/blog/chung-chi-tien-gui-co-duoc-rut-truoc-han</t>
  </si>
  <si>
    <t>Tìm ATM/CDM gần đây để nộp tiền. (Theo title/meta, chưa đọc bài.)</t>
  </si>
  <si>
    <t>https://techcombank.com/thong-tin/blog/chung-chi-tien-gui-co-phai-la-trai-phieu-khong</t>
  </si>
  <si>
    <t>https://techcombank.com/thong-tin/blog/chung-chi-tien-gui-khac-gi-so-tiet-kiem</t>
  </si>
  <si>
    <t>https://techcombank.com/thong-tin/blog/chuong-trinh-khach-hang-than-thiet</t>
  </si>
  <si>
    <t>Bạn cần phân tách rõ theo từng nhóm ngành nghề để hệ thống tự động áp tỷ lệ % thuế GTGT và TNCN chính xác</t>
  </si>
  <si>
    <t>Sửa câu thành: «Bạn cần phân tách rõ theo từng nhóm ngành nghề để hệ thống tự động áp tỷ lệ % thuế GTGT và thuế TNCN chính xác»</t>
  </si>
  <si>
    <t>https://techcombank.com/thong-tin/blog/chuyen-doi-so-ho-kinh-doanh</t>
  </si>
  <si>
    <t>https://techcombank.com/thong-tin/blog/chuyen-doi-xanh</t>
  </si>
  <si>
    <t>https://techcombank.com/thong-tin/blog/chuyen-gia-du-doan-gia-bat-dong-san-2025-va-cac-no-luc-tu-ngan-hang</t>
  </si>
  <si>
    <t>Không. Khoản tiền vay, mượn hoặc hoàn trả giữa các cá nhân không phải thu nhập, nên không thuộc diện chịu thuế thu nhập cá nhân.</t>
  </si>
  <si>
    <t>Trùng anchor với link khác cùng bài cùng bài (khác đích); đoạn có vẻ đã có link</t>
  </si>
  <si>
    <t>https://techcombank.com/thong-tin/blog/chuyen-tien-di-uc</t>
  </si>
  <si>
    <t>https://techcombank.com/thong-tin/blog/chuyen-tien-dinh-cu</t>
  </si>
  <si>
    <t>Ví dụ về thuế khoán hộ kinh doanh : Một hộ kinh doanh tạp hóa tại trung tâm Hà Nội được cơ quan thuế xác định doanh thu khoán là 300 triệu VND/năm.</t>
  </si>
  <si>
    <t>Thêm ngay sau đoạn này: «Trong đó, phần thuế thu nhập cá nhân được tính theo tỷ lệ trên doanh thu khoán.»</t>
  </si>
  <si>
    <t>Sao kê lương là một dạng sao kê TK — dẫn sang hướng dẫn sao kê chung. (Theo title/meta, chưa đọc bài.)</t>
  </si>
  <si>
    <t>Trùng anchor với link khác cùng bài cùng bài (khác đích) – cân nhắc bỏ 1</t>
  </si>
  <si>
    <t>https://techcombank.com/thong-tin/blog/chuyen-tien-tu-han-sang-viet-nam</t>
  </si>
  <si>
    <t>https://techcombank.com/thong-tin/blog/chuyen-tien-tu-my-ve-viet-nam</t>
  </si>
  <si>
    <t>https://techcombank.com/thong-tin/blog/chuyen-tien-tu-nhat-ve-viet-nam</t>
  </si>
  <si>
    <t>3. Cách đánh giá giá chứng chỉ quỹ và quyết định đầu tư phù hợp</t>
  </si>
  <si>
    <t>Nhà đầu tư cần đặt NAV/CCQ trong bối cảnh dài hạn, kết hợp với các yếu tố khác để đưa ra quyết định đầu tư hợp lý và phù hợp với mục tiêu cá nhân.</t>
  </si>
  <si>
    <t>Thêm ngay sau đoạn này: «Khi bán chứng chỉ quỹ, nhà đầu tư cũng cần lưu ý nghĩa vụ thuế thu nhập cá nhân.»</t>
  </si>
  <si>
    <t>https://techcombank.com/thong-tin/blog/co-50-trieu-nen-mua-vang-hay-gui-tiet-kiem</t>
  </si>
  <si>
    <t>Trùng anchor với link khác cùng bài – cân nhắc giữ 1</t>
  </si>
  <si>
    <t>https://techcombank.com/thong-tin/blog/co-nen-dung-the-tin-dung-khong</t>
  </si>
  <si>
    <t>Bài anh em cho DN; chèn câu dẫn cho TK cá nhân. (Theo title/meta, chưa đọc bài.)</t>
  </si>
  <si>
    <t>https://techcombank.com/thong-tin/blog/co-nen-gui-chung-chi-tien-gui</t>
  </si>
  <si>
    <t>https://techcombank.com/thong-tin/blog/co-nen-gui-tiet-kiem-online</t>
  </si>
  <si>
    <t>https://techcombank.com/thong-tin/blog/co-nen-mua-bao-hiem-nhan-tho</t>
  </si>
  <si>
    <t>https://techcombank.com/thong-tin/blog/co-nen-vay-ngan-hang-mua-nha</t>
  </si>
  <si>
    <t>https://techcombank.com/thong-tin/blog/cong-thuc-tinh-lai-suat-thuc</t>
  </si>
  <si>
    <t>Việc lựa chọn nên dựa trên khẩu vị rủi ro và mục tiêu tài chính cá nhân.</t>
  </si>
  <si>
    <t>Thêm ngay sau đoạn này: «Bạn cũng nên tìm hiểu về thuế thu nhập cá nhân để nắm rõ các nghĩa vụ liên quan khi đầu tư.»</t>
  </si>
  <si>
    <t>https://techcombank.com/thong-tin/blog/cua-hang-tien-loi</t>
  </si>
  <si>
    <t>https://techcombank.com/thong-tin/blog/dac-quyen-khach-hang-vip-ngan-hang</t>
  </si>
  <si>
    <t>Hồ sơ vay qua lương cần sao kê TK. (Theo title/meta, chưa đọc bài.)</t>
  </si>
  <si>
    <t>https://techcombank.com/thong-tin/blog/dac-san-hai-phong</t>
  </si>
  <si>
    <t>https://techcombank.com/thong-tin/blog/dang-ky-kinh-doanh-la-gi</t>
  </si>
  <si>
    <t>Sao kê lương là một trong những thủ tục quan trọng giúp người dùng chứng minh thu nhập và quản lý tài chính cá nhân.</t>
  </si>
  <si>
    <t>Thêm ngay sau đoạn này: «Thông tin thu nhập trên sao kê lương cũng thường được dùng để đối chiếu khi kê khai thuế thu nhập cá nhân.»</t>
  </si>
  <si>
    <t>https://techcombank.com/thong-tin/blog/dang-vay-tra-gop-co-vay-them-duoc-khong</t>
  </si>
  <si>
    <t>rút tiền không cần thẻ</t>
  </si>
  <si>
    <t>https://techcombank.com/thong-tin/blog/danh-muc-dau-tu</t>
  </si>
  <si>
    <t>1.2. Thẻ ATM bị hỏng hoặc hết hạn</t>
  </si>
  <si>
    <t>Khách hàng có thể sử dụng tính năng Rút tiền không cần thẻ (tuỳ ngân hàng và cây ATM) hoặc đến trực tiếp phòng giao dịch/chi nhánh ngân hàng để rút tiền mặt</t>
  </si>
  <si>
    <t>Bôi đen cụm «Rút tiền không cần thẻ» trong câu trên, gắn link.</t>
  </si>
  <si>
    <t>https://techcombank.com/thong-tin/blog/dao-han-la-gi</t>
  </si>
  <si>
    <t>Cụm viết hoa "Rút" vì là tên tính năng</t>
  </si>
  <si>
    <t>https://techcombank.com/thong-tin/blog/dao-han-the-tin-dung</t>
  </si>
  <si>
    <t>https://techcombank.com/thong-tin/blog/dao-tao-the-he-ke-can</t>
  </si>
  <si>
    <t>https://techcombank.com/thong-tin/blog/dat-ve-may-bay</t>
  </si>
  <si>
    <t>1.3. Rút tiền</t>
  </si>
  <si>
    <t>https://techcombank.com/thong-tin/blog/dat-xe-xanh-sm</t>
  </si>
  <si>
    <t>Ngoài ra, tại cây ATM của một số ngân hàng, khách hàng hoàn toàn có thể rút tiền không cần thẻ.</t>
  </si>
  <si>
    <t>Bôi đen cụm «rút tiền không cần thẻ» trong câu trên, gắn link.</t>
  </si>
  <si>
    <t>https://techcombank.com/thong-tin/blog/dau-chan-carbon</t>
  </si>
  <si>
    <t>https://techcombank.com/thong-tin/blog/dau-co-va-dau-tu</t>
  </si>
  <si>
    <t>https://techcombank.com/thong-tin/blog/dau-tu-dai-han</t>
  </si>
  <si>
    <t>Ý nghĩa số 88 — một dãy số phát lộc; dẫn sang bài tổng hợp. (Theo title/meta, chưa đọc bài.)</t>
  </si>
  <si>
    <t>https://techcombank.com/thong-tin/blog/dau-tu-ngan-han</t>
  </si>
  <si>
    <t>2.2. Rút tiền tại cây ATM</t>
  </si>
  <si>
    <t>Ngoài ra, một số ngân hàng có trang bị các cây ATM thông minh cho phép người dùng rút tiền không cần thẻ như Techcombank, TPBank…</t>
  </si>
  <si>
    <t>Gắn ở lần xuất hiện đầu, không gắn vào tên video</t>
  </si>
  <si>
    <t>https://techcombank.com/thong-tin/blog/dau-tu-trai-phieu-doanh-nghiep-dung-ham-lai-suat-cao</t>
  </si>
  <si>
    <t>https://techcombank.com/thong-tin/blog/di-du-lich-nuoc-ngoai-can-chuan-bi-gi</t>
  </si>
  <si>
    <t>https://techcombank.com/thong-tin/blog/diem-tin-dung</t>
  </si>
  <si>
    <t>Tuy nhiên, một số ngân hàng hiện nay cung cấp dịch vụ rút tiền không cần thẻ, ví dụ như Techcombank.</t>
  </si>
  <si>
    <t>https://techcombank.com/thong-tin/blog/dieu-kien-mua-usd-tu-ngan-hang</t>
  </si>
  <si>
    <t>https://techcombank.com/thong-tin/blog/dieu-kien-vay-the-chap</t>
  </si>
  <si>
    <t>Ý nghĩa 6868 — cùng chủ đề con số lộc phát. (Theo title/meta, chưa đọc bài.)</t>
  </si>
  <si>
    <t>https://techcombank.com/thong-tin/blog/dinar-kuwait</t>
  </si>
  <si>
    <t>https://techcombank.com/thong-tin/blog/don-bay-tai-chinh</t>
  </si>
  <si>
    <t>Gợi ý dãy số TK đẹp phát tài phát lộc — sát chủ đề. (Theo title/meta, chưa đọc bài.)</t>
  </si>
  <si>
    <t>1.5. Phân loại theo hình thức thẻ</t>
  </si>
  <si>
    <t>…chủ thẻ chỉ có thể rút tiền tại cây ATM của ngân hàng phát hành thẻ (nếu cây ATM có tính năng rút tiền không cần thẻ).</t>
  </si>
  <si>
    <t>https://techcombank.com/thong-tin/blog/du-bao-gia-vang</t>
  </si>
  <si>
    <t>https://techcombank.com/thong-tin/blog/du-no-la-gi</t>
  </si>
  <si>
    <t>https://techcombank.com/thong-tin/blog/du-no-tin-dung-la-gi</t>
  </si>
  <si>
    <t>Cách chọn số TK phát tài — dẫn sang danh sách dãy số. (Theo title/meta, chưa đọc bài.)</t>
  </si>
  <si>
    <t>https://techcombank.com/thong-tin/blog/esg</t>
  </si>
  <si>
    <t>https://techcombank.com/thong-tin/blog/gia-ca-phe-hom-nay</t>
  </si>
  <si>
    <t>https://techcombank.com/thong-tin/blog/gia-cao-su</t>
  </si>
  <si>
    <t>2.2. Cách tạo thẻ Visa Debit phi vật lý</t>
  </si>
  <si>
    <t>Với thẻ phi vật lý, bạn hoàn toàn có thể sử dụng các tính năng như thanh toán trực tuyến, rút tiền không cần thẻ tại cây ATM, liên kết ví Apple/Googl…</t>
  </si>
  <si>
    <t>https://techcombank.com/thong-tin/blog/gia-tri-tai-san-rong</t>
  </si>
  <si>
    <t>Lì xì số đẹp phát tài — chèn ở đoạn ý nghĩa con số. (Theo title/meta, chưa đọc bài.)</t>
  </si>
  <si>
    <t>https://techcombank.com/thong-tin/blog/gia-vang-16k-hom-nay</t>
  </si>
  <si>
    <t>https://techcombank.com/thong-tin/blog/giai-ngan-vay-the-chap</t>
  </si>
  <si>
    <t>https://techcombank.com/thong-tin/blog/giam-gia-be</t>
  </si>
  <si>
    <t>https://techcombank.com/thong-tin/blog/giao-thong-xanh</t>
  </si>
  <si>
    <t>https://techcombank.com/thong-tin/blog/giay-phep-kinh-doanh</t>
  </si>
  <si>
    <t>https://techcombank.com/thong-tin/blog/gio-lam-viec-techcombank</t>
  </si>
  <si>
    <t>https://techcombank.com/thong-tin/blog/gui-them-tien-vao-so-tiet-kiem</t>
  </si>
  <si>
    <t>https://techcombank.com/thong-tin/blog/gui-tien-sang-nuoc-ngoai</t>
  </si>
  <si>
    <t>https://techcombank.com/thong-tin/blog/gui-tiet-kiem-hang-thang</t>
  </si>
  <si>
    <t>https://techcombank.com/thong-tin/blog/gui-tiet-kiem-lay-lai-hang-thang</t>
  </si>
  <si>
    <t>Tra cứu nợ thuế TNCN — cùng nhóm tra cứu. (Theo title/meta, chưa đọc bài.)</t>
  </si>
  <si>
    <t>https://techcombank.com/thong-tin/blog/gui-tiet-kiem-ngan-hang-van-la-lua-chon-an-toan-trong-thoi-ky-kinh-te-con-nhieu-bien-dong</t>
  </si>
  <si>
    <t>Rút tiền không thẻ: Tạo lệnh rút tiền ngay trên Techcombank Mobile và đến cây ATM Techcombank gần nhất, nhập mã rút tiền mà không cần dùng đến thẻ</t>
  </si>
  <si>
    <t>Thêm dòng sau đoạn: «Xem thêm: cách rút tiền bằng mã QR không cần thẻ»</t>
  </si>
  <si>
    <t>https://techcombank.com/thong-tin/blog/gui-tiet-kiem-online-bi-mat-tien</t>
  </si>
  <si>
    <t>https://techcombank.com/thong-tin/blog/gui-tiet-kiem-online-co-rut-truoc-han-duoc-khong</t>
  </si>
  <si>
    <t>Có MST rồi thì kiểm tra thuế TNCN theo MST. (Theo title/meta, chưa đọc bài.)</t>
  </si>
  <si>
    <t>https://techcombank.com/thong-tin/blog/gui-tiet-kiem-online-quay-vong-ca-goc-va-lai</t>
  </si>
  <si>
    <t>https://techcombank.com/thong-tin/blog/gui-tiet-kiem-theo-ngay</t>
  </si>
  <si>
    <t>https://techcombank.com/thong-tin/blog/gui-tiet-kiem-usd</t>
  </si>
  <si>
    <t>eTax Mobile là kênh kiểm tra thuế TNCN. (Theo title/meta, chưa đọc bài.)</t>
  </si>
  <si>
    <t>https://techcombank.com/thong-tin/blog/gui-tiet-kiem-vang</t>
  </si>
  <si>
    <t>Trước khi hoàn thuế cần kiểm tra số thuế đã nộp. (Theo title/meta, chưa đọc bài.)</t>
  </si>
  <si>
    <t>https://techcombank.com/thong-tin/blog/han-muc-mua-ngoai-te-khi-di-du-lich</t>
  </si>
  <si>
    <t>cách rút tiền bằng mã QR</t>
  </si>
  <si>
    <t>3. Bước 3: Chọn cách chia sẻ mã QR ngân hàng với người khác</t>
  </si>
  <si>
    <t>Ngoài quy trình thực hiện nhanh gọn, bạn có thể lưu mã QR ngân hàng để sử dụng cho nhiều giao dịch khác mà không cần vào ứng dụng để tạo lại mã.</t>
  </si>
  <si>
    <t>Thêm ngay sau đoạn này: «Bạn cũng có thể tham khảo cách rút tiền bằng mã QR mà không cần thẻ.»</t>
  </si>
  <si>
    <t>Kiểm tra số thuế đã khấu trừ trước khi quyết toán. (Theo title/meta, chưa đọc bài.)</t>
  </si>
  <si>
    <t>https://techcombank.com/thong-tin/blog/han-muc-the-tin-dung</t>
  </si>
  <si>
    <t>https://techcombank.com/thong-tin/blog/han-muc-tra-gop-the-tin-dung</t>
  </si>
  <si>
    <t>https://techcombank.com/thong-tin/blog/han-muc-vay-the-chap-so-do</t>
  </si>
  <si>
    <t>https://techcombank.com/thong-tin/blog/ho-kinh-doanh-can-gi-o-tai-khoan-ngan-hang</t>
  </si>
  <si>
    <t>1. Hướng dẫn cách tạo mã QR ngân hàng cho cá nhân</t>
  </si>
  <si>
    <t>Khách hàng cá nhân có thể sử dụng mã QR để nhận tiền vào tài khoản ngân hàng nhanh chóng, thuận tiện trong các trường hợp không có hoặc không tiện dùng tiền mặt.</t>
  </si>
  <si>
    <t>Thêm ngay sau đoạn này: «Ngược lại, khi cần tiền mặt, bạn có thể tham khảo cách rút tiền bằng mã QR tại cây ATM.»</t>
  </si>
  <si>
    <t>https://techcombank.com/thong-tin/blog/ho-so-vay-tin-chap</t>
  </si>
  <si>
    <t>https://techcombank.com/thong-tin/blog/thanh-toan-bang-ma-qr</t>
  </si>
  <si>
    <t>https://techcombank.com/thong-tin/blog/ho-so-vay-von-cua-doanh-nghiep-gom-nhung-gi</t>
  </si>
  <si>
    <t>2. Lợi ích của việc thanh toán bằng mã QR Code</t>
  </si>
  <si>
    <t>Thay vì dùng tiền mặt hoặc thẻ ngân hàng, người dùng có thể quét mã QR để thanh toán hóa đơn.</t>
  </si>
  <si>
    <t>Thêm ngay sau đoạn này: «Ngoài thanh toán, mã QR còn có thể dùng để rút tiền mặt tại ATM, bạn có thể tham khảo cách rút tiền bằng mã QR.»</t>
  </si>
  <si>
    <t>https://techcombank.com/thong-tin/blog/hoa-don-dien-tu-ho-kinh-doanh</t>
  </si>
  <si>
    <t>https://techcombank.com/thong-tin/blog/hoc-cach-tiet-kiem-tien-luong</t>
  </si>
  <si>
    <t>Mật khẩu đi cùng tên đăng nhập — bài anh em trực tiếp. (Theo title/meta, chưa đọc bài.)</t>
  </si>
  <si>
    <t>3.2. Hướng dẫn nhận tiền bằng mã QR</t>
  </si>
  <si>
    <t>https://techcombank.com/thong-tin/blog/hom-nay-co-nen-mua-vang-khong</t>
  </si>
  <si>
    <t>Để nhận tiền bằng mã QR, khách hàng có thể tạo mã QR bằng 1 trong 3 cách trên, sau đó chụp màn hình/sử dụng tính năng chia sẻ trên ứng dụng để gửi mã QR ngân hàng đến người chuyển tiền.</t>
  </si>
  <si>
    <t>Thêm ngay sau đoạn này: «Khi cần tiền mặt, bạn cũng có thể tham khảo cách rút tiền bằng mã QR tại cây ATM mà không cần thẻ.»</t>
  </si>
  <si>
    <t>https://techcombank.com/thong-tin/blog/internet-banking</t>
  </si>
  <si>
    <t>https://techcombank.com/thong-tin/blog/huong-dan-dang-ky-thanh-lap-doanh-nghiep</t>
  </si>
  <si>
    <t>https://techcombank.com/thong-tin/blog/thanh-toan-ma-qr-tro-thanh-phuong-thuc-duoc-ua-chuong-va-trien-khai-manh-me</t>
  </si>
  <si>
    <t>1. Thanh toán qua mã QR đang trở thành phương thức tất yếu</t>
  </si>
  <si>
    <t>Mức độ phổ biến của QR cũng đang được mở rộng ra nhiều lĩnh vực thanh toán, loại hình sản phẩm, quy mô và khu vực địa lý.</t>
  </si>
  <si>
    <t>Thêm ngay sau đoạn này: «Ngày nay, người dùng còn có thể rút tiền bằng mã QR tại cây ATM mà không cần thẻ.»</t>
  </si>
  <si>
    <t>https://techcombank.com/thong-tin/blog/in-ma-qr-ngan-hang</t>
  </si>
  <si>
    <t>Đăng nhập Internet Banking cần tên đăng nhập. (Theo title/meta, chưa đọc bài.)</t>
  </si>
  <si>
    <t>https://techcombank.com/thong-tin/blog/ke-hoach-huu-tri</t>
  </si>
  <si>
    <t>https://techcombank.com/thong-tin/blog/ke-hoach-tai-chinh</t>
  </si>
  <si>
    <t>https://techcombank.com/thong-tin/blog/mm-yy-la-gi</t>
  </si>
  <si>
    <t>3.1. Xác định thời hạn sử dụng thẻ</t>
  </si>
  <si>
    <t>Việc theo dõi thời hạn giúp tránh gián đoạn giao dịch, đặc biệt khi sử dụng thẻ để thanh toán hoặc rút tiền tại ATM.</t>
  </si>
  <si>
    <t>Thêm ngay sau đoạn này: «Trường hợp thẻ hết hạn hoặc chưa kịp làm lại, bạn có thể rút tiền không cần thẻ bằng mã QR tại các ATM có hỗ trợ.»</t>
  </si>
  <si>
    <t>https://techcombank.com/thong-tin/blog/khau-hao-la-gi</t>
  </si>
  <si>
    <t>https://techcombank.com/thong-tin/blog/khau-vi-nha-dau-tu-tpdn-thay-doi-the-nao-sau-nhung-bien-dong-vua-qua</t>
  </si>
  <si>
    <t>https://techcombank.com/thong-tin/blog/khong-su-dung-the-tin-dung-co-mat-phi-khong</t>
  </si>
  <si>
    <t>Bảo vệ TK — giữ bí mật tên đăng nhập/mật khẩu. (Theo title/meta, chưa đọc bài.)</t>
  </si>
  <si>
    <t>https://techcombank.com/thong-tin/blog/kichi-kichi</t>
  </si>
  <si>
    <t>3. Hướng dẫn sử dụng CDM đơn giản, nhanh chóng</t>
  </si>
  <si>
    <t>Máy CDM giúp bạn thực hiện các giao dịch cơ bản như nộp tiền, rút tiền, chuyển khoản, kiểm tra số dư một cách nhanh chóng và tiện lợi…</t>
  </si>
  <si>
    <t>Thêm ngay sau đoạn này: «Ngoài cách dùng thẻ, bạn cũng có thể tìm hiểu cách rút tiền không cần thẻ bằng mã QR trên ứng dụng ngân hàng.»</t>
  </si>
  <si>
    <t>https://techcombank.com/thong-tin/blog/kinh-nghiem-mua-vang-tich-tru</t>
  </si>
  <si>
    <t>https://techcombank.com/thong-tin/blog/kinh-nghiem-vay-the-chap-ngan-hang</t>
  </si>
  <si>
    <t>https://techcombank.com/thong-tin/blog/kinh-nghiem-vay-tien-mua-nha</t>
  </si>
  <si>
    <t>https://techcombank.com/thong-tin/blog/kinh-nghiem-vay-tien-ngan-hang-xay-nha</t>
  </si>
  <si>
    <t>Đăng nhập + OTP; chèn ở đoạn bước đăng nhập. (Theo title/meta, chưa đọc bài.)</t>
  </si>
  <si>
    <t>https://techcombank.com/thong-tin/blog/lai-kep-ngan-hang</t>
  </si>
  <si>
    <t>https://techcombank.com/thong-tin/blog/tra-cuu-han-muc-the-tin-dung</t>
  </si>
  <si>
    <t>6. Kiểm tra tại cây ATM</t>
  </si>
  <si>
    <t>Khách hàng có thể tra cứu hạn mức thẻ tín dụng tại ATM nhưng cần chuẩn bị thẻ cứng và nhập mã PIN.</t>
  </si>
  <si>
    <t>https://techcombank.com/thong-tin/blog/lai-suat-cho-vay-doanh-nghiep</t>
  </si>
  <si>
    <t>Thêm ngay sau đoạn này: «Nếu chỉ cần rút tiền mặt, bạn có thể tham khảo cách rút tiền không cần thẻ bằng mã QR.»</t>
  </si>
  <si>
    <t>https://techcombank.com/thong-tin/blog/lai-suat-gui-tiet-kiem-usd</t>
  </si>
  <si>
    <t>https://techcombank.com/thong-tin/blog/lai-suat-la-gi</t>
  </si>
  <si>
    <t>https://techcombank.com/thong-tin/blog/lai-suat-ngan-hang-cho-vay-xay-nha</t>
  </si>
  <si>
    <t>https://techcombank.com/thong-tin/blog/lai-suat-qua-han</t>
  </si>
  <si>
    <t>Một số cây ATM đã tích hợp thêm tính năng rút tiền bằng mã QR giúp người dùng rút tiền mặt nhanh chóng ngay cả khi không có thẻ ngân hàng.</t>
  </si>
  <si>
    <t>Bôi đen cụm «rút tiền bằng mã QR» trong câu trên, gắn link.</t>
  </si>
  <si>
    <t>https://techcombank.com/thong-tin/blog/lai-suat-tha-noi</t>
  </si>
  <si>
    <t>Đoạn mở bài có vẻ lạc chủ đề bài thuế hộ KD – kiểm tra</t>
  </si>
  <si>
    <t>https://techcombank.com/thong-tin/blog/lai-suat-the-tin-dung</t>
  </si>
  <si>
    <t>https://techcombank.com/thong-tin/blog/lai-suat-vay-kinh-doanh</t>
  </si>
  <si>
    <t>Mất SĐT ảnh hưởng lấy lại thông tin đăng nhập. (Theo title/meta, chưa đọc bài.)</t>
  </si>
  <si>
    <t>https://techcombank.com/thong-tin/blog/lai-suat-vay-thau-chi</t>
  </si>
  <si>
    <t>https://techcombank.com/thong-tin/blog/lai-suat-vay-the-chap</t>
  </si>
  <si>
    <t>https://techcombank.com/thong-tin/blog/quet-ma-qr-techcombank</t>
  </si>
  <si>
    <t>1.1. Cách lấy mã QR Techcombank cho khách hàng cá nhân</t>
  </si>
  <si>
    <t>Người dùng Techcombank Mobile có thể chủ động bổ sung số tiền để người chuyển tiền thao tác nhanh gọn mà không cần nhập liệu.</t>
  </si>
  <si>
    <t>Thêm ngay sau đoạn này: «Ngoài chuyển khoản, bạn cũng có thể tham khảo cách rút tiền bằng mã QR tại ATM mà không cần thẻ.»</t>
  </si>
  <si>
    <t>https://techcombank.com/thong-tin/blog/lai-suat-vay-tieu-dung</t>
  </si>
  <si>
    <t>https://techcombank.com/thong-tin/blog/lai-suat-vay-tin-chap</t>
  </si>
  <si>
    <t>https://techcombank.com/thong-tin/blog/lam-ho-so-tra-gop-dien-thoai</t>
  </si>
  <si>
    <t>https://techcombank.com/thong-tin/blog/lam-ma-qr-ngan-hang-co-mat-phi-khong</t>
  </si>
  <si>
    <t>https://techcombank.com/thong-tin/blog/lam-phat-la-gi</t>
  </si>
  <si>
    <t>Hỏi tiền vào TK có bị tính thuế — liên quan trực tiếp thuế TNCN. (Theo title/meta, chưa đọc bài.)</t>
  </si>
  <si>
    <t>https://techcombank.com/thong-tin/blog/rut-tien-mat-tu-tai-khoan-doanh-nghiep</t>
  </si>
  <si>
    <t>2. Cách rút tiền mặt từ tài khoản doanh nghiệp bằng giấy rút tiền</t>
  </si>
  <si>
    <t>Mỗi ngân hàng sẽ có hình thức và yêu cầu thủ tục riêng khi rút tiền bằng giấy rút tiền.</t>
  </si>
  <si>
    <t>Thêm ngay sau đoạn này: «Với tài khoản cá nhân, nhiều ngân hàng hiện đã hỗ trợ rút tiền không cần thẻ bằng mã QR tại ATM.»</t>
  </si>
  <si>
    <t>Bài về doanh nghiệp, trang đích cá nhân</t>
  </si>
  <si>
    <t>Nợ thuế TNCN — người đọc cần hiểu thuế TNCN là gì. (Theo title/meta, chưa đọc bài.)</t>
  </si>
  <si>
    <t>https://techcombank.com/thong-tin/blog/lam-the-tin-dung-co-mat-phi-khong</t>
  </si>
  <si>
    <t>https://techcombank.com/thong-tin/blog/lam-the-visa-mat-bao-lau</t>
  </si>
  <si>
    <t>https://techcombank.com/thong-tin/blog/lap-ke-hoach-chi-tieu-ca-nhan</t>
  </si>
  <si>
    <t>https://techcombank.com/thong-tin/blog/lap-ke-hoach-tai-chinh-ca-nhan</t>
  </si>
  <si>
    <t>Hình thức thanh toán không tiền mặt được biết đến rộng rãi với nhiều loại hình như quẹt thẻ ngân hàng, quét mã QR Code, chuyển khoản…</t>
  </si>
  <si>
    <t>Thêm ngay sau đoạn này: «Ngoài thanh toán, mã QR còn có thể dùng để rút tiền không cần thẻ tại các cây ATM có hỗ trợ.»</t>
  </si>
  <si>
    <t>https://techcombank.com/thong-tin/blog/lich-su-tin-dung</t>
  </si>
  <si>
    <t>Những khoản phí cơ bản này bao gồm: Phí phát hành thẻ, phí thường niên, phí rút tiền.</t>
  </si>
  <si>
    <t>Thêm ngay sau đoạn này: «Ngoài dùng thẻ ATM, khách hàng cũng có thể rút tiền không cần thẻ bằng mã QR tại các cây ATM có hỗ trợ.»</t>
  </si>
  <si>
    <t>https://techcombank.com/thong-tin/blog/loi-ich-cua-ngan-hang-so-voi-sme</t>
  </si>
  <si>
    <t>quét NFC CCCD</t>
  </si>
  <si>
    <t>2. Cách đăng ký sinh trắc học ngân hàng</t>
  </si>
  <si>
    <t>Khách hàng có thể đăng ký sinh trắc học tại nhà bằng cách quét CCCD gắn chip trên ứng dụng ngân hàng số (Mobile Banking) hoặc đăng ký trực tiếp tại phòng giao dịch/chi nhánh ngân hàng.</t>
  </si>
  <si>
    <t>Thêm ngay sau đoạn này: «Nếu dùng iPhone, bạn có thể xem thêm hướng dẫn quét NFC CCCD để thao tác nhanh hơn.»</t>
  </si>
  <si>
    <t>Bài anh em — người đọc cần hướng dẫn rút tiền QR cơ bản. (Theo title/meta, chưa đọc bài.)</t>
  </si>
  <si>
    <t>https://techcombank.com/thong-tin/blog/loyalty-la-gi</t>
  </si>
  <si>
    <t>5.2. Cách 2: Quét Thẻ căn cước gắn chip</t>
  </si>
  <si>
    <t>Bạn cần chuẩn bị CCCD gắn chip khi mở tài khoản ngân hàng online và bật tính năng quét NFC trên thiết bị di động.</t>
  </si>
  <si>
    <t>https://techcombank.com/thong-tin/blog/luu-y-khi-su-dung-the-tin-dung</t>
  </si>
  <si>
    <t>Thêm ngay sau đoạn này: «Bạn có thể tham khảo cách quét NFC CCCD trên iPhone để thực hiện nhanh và chính xác hơn.»</t>
  </si>
  <si>
    <t>https://techcombank.com/thong-tin/blog/ly-do-ngan-hang-so-tro-thanh-cong-cu-tai-chinh-hang-dau-cua-gioi-tre</t>
  </si>
  <si>
    <t>https://techcombank.com/thong-tin/blog/ma-buu-chinh-the-tin-dung</t>
  </si>
  <si>
    <t>https://techcombank.com/thong-tin/blog/ma-giam-gia-al-frescos</t>
  </si>
  <si>
    <t>https://techcombank.com/thong-tin/blog/ma-giam-gia-phela</t>
  </si>
  <si>
    <t>https://techcombank.com/thong-tin/blog/ma-giam-gia-shopee</t>
  </si>
  <si>
    <t>https://techcombank.com/thong-tin/blog/ma-giam-xanh-sm</t>
  </si>
  <si>
    <t>1. Mở tài khoản ngân hàng online có an toàn không?</t>
  </si>
  <si>
    <t>Các cách rút tiền ATM — QR là một cách. (Theo title/meta, chưa đọc bài.)</t>
  </si>
  <si>
    <t>Khách hàng khi mở tài khoản ngân hàng online chỉ cần xác thực sinh trắc học và định danh eKYC bằng cách quét NFC trên CCCD gắn chip.</t>
  </si>
  <si>
    <t>https://techcombank.com/thong-tin/blog/ma-pin-the-atm</t>
  </si>
  <si>
    <t>Sửa câu thành: «Khách hàng khi mở tài khoản ngân hàng online chỉ cần xác thực sinh trắc học và định danh eKYC bằng cách quét NFC CCCD gắn chip.»</t>
  </si>
  <si>
    <t>https://techcombank.com/thong-tin/blog/ma-qr-techcombank</t>
  </si>
  <si>
    <t>https://techcombank.com/thong-tin/blog/ma-swift-ngan-hang</t>
  </si>
  <si>
    <t>3.1. Cách 1: Mở tài khoản ngân hàng online</t>
  </si>
  <si>
    <t>Với Thẻ Căn cước gắn chip: Tham khảo chỉ dẫn, nhấn Xác nhận &gt; Chụp ảnh khuôn mặt &gt; Bật kết nối NFC trên điện thoại, chạm mặt chip trên CCCD vào mặt lưng thiết bị…</t>
  </si>
  <si>
    <t>https://techcombank.com/thong-tin/blog/mat-so-tiet-kiem</t>
  </si>
  <si>
    <t>Thêm dòng sau đoạn: «Xem thêm: Cách quét NFC CCCD trên iPhone nhanh, đơn giản»</t>
  </si>
  <si>
    <t>https://techcombank.com/thong-tin/blog/mat-the-tin-dung-co-bi-mat-tien-khong</t>
  </si>
  <si>
    <t>https://techcombank.com/thong-tin/blog/may-pos-la-gi</t>
  </si>
  <si>
    <t>cách quét NFC căn cước</t>
  </si>
  <si>
    <t>https://techcombank.com/thong-tin/blog/merchant-la-gi</t>
  </si>
  <si>
    <t>Thẻ lỗi không rút được → giải pháp rút bằng QR. (Theo title/meta, chưa đọc bài.)</t>
  </si>
  <si>
    <t>https://techcombank.com/thong-tin/blog/the-mastercard-la-gi</t>
  </si>
  <si>
    <t>4. Điều kiện và hồ sơ đăng ký thẻ MasterCard</t>
  </si>
  <si>
    <t>Căn cước công dân là loại giấy tờ nhất định phải có khi đăng ký mở thẻ MasterCard.</t>
  </si>
  <si>
    <t>Thêm ngay sau đoạn này: «Với hình thức mở thẻ online, khách hàng có thể tham khảo cách quét NFC căn cước để xác thực thông tin nhanh chóng.»</t>
  </si>
  <si>
    <t>https://techcombank.com/thong-tin/blog/mo-so-tiet-kiem-can-bao-nhieu-tien</t>
  </si>
  <si>
    <t>…Theo Thông tư số 30/2025/TT-NHNN của Ngân hàng Nhà nước Việt Nam, Chứng minh nhân dân (CMND) và Giấy chứng nhận căn cước chính thức không còn được chấp nhận khi xác thực danh tính khách hàng.</t>
  </si>
  <si>
    <t>Thêm dòng sau đoạn: «Xem thêm: cách quét NFC căn cước để xác thực trên ứng dụng»</t>
  </si>
  <si>
    <t>Đoạn trích thông tư – dùng Xem thêm</t>
  </si>
  <si>
    <t>https://techcombank.com/thong-tin/blog/mo-the-ghi-no</t>
  </si>
  <si>
    <t>Bị nuốt thẻ → vẫn rút được tiền bằng QR. (Theo title/meta, chưa đọc bài.)</t>
  </si>
  <si>
    <t>https://techcombank.com/thong-tin/blog/mo-the-tin-dung-han-muc-cao</t>
  </si>
  <si>
    <t>https://techcombank.com/thong-tin/blog/mo-the-tin-dung-khong-can-chung-minh-thu-nhap</t>
  </si>
  <si>
    <t>1.2. Điền thông tin cá nhân để đăng ký</t>
  </si>
  <si>
    <t>Thêm dòng sau đoạn: «Xem thêm: cách quét NFC CCCD trên iPhone»</t>
  </si>
  <si>
    <t>https://techcombank.com/thong-tin/blog/mr-eco</t>
  </si>
  <si>
    <t>Tìm ATM; chèn ở đoạn ATM hỗ trợ rút QR. (Theo title/meta, chưa đọc bài.)</t>
  </si>
  <si>
    <t>https://techcombank.com/thong-tin/blog/mua-chung-chi-quy</t>
  </si>
  <si>
    <t>https://techcombank.com/thong-tin/blog/mua-iphone-17</t>
  </si>
  <si>
    <t>https://techcombank.com/thong-tin/blog/the-debit</t>
  </si>
  <si>
    <t>1.4. Cách mở thẻ debit</t>
  </si>
  <si>
    <t>https://techcombank.com/thong-tin/blog/mua-nha-tra-gop-dua-truoc-100-trieu</t>
  </si>
  <si>
    <t>Cách 1: Mở online qua ngân hàng số , dễ dàng xác thực qua Thẻ Căn cước/CCCD gắn chip/VneID, sử dụng thẻ phi vật lý ngay sau khi hoàn tất thủ tục, nhận thẻ vật lý trong 3 - 5 ngày tiếp theo (tuỳ theo…</t>
  </si>
  <si>
    <t>Thêm ngay sau đoạn này: «Nếu dùng iPhone, bạn có thể tham khảo cách quét NFC CCCD để xác thực nhanh hơn.»</t>
  </si>
  <si>
    <t>https://techcombank.com/thong-tin/blog/mua-truoc-tra-sau</t>
  </si>
  <si>
    <t>https://techcombank.com/thong-tin/blog/mua-ve-may-bay-gia-re</t>
  </si>
  <si>
    <t>https://techcombank.com/thong-tin/blog/mua-ve-xem-phim</t>
  </si>
  <si>
    <t>2. Hướng dẫn Tiểu thương mở tài khoản Hộ kinh doanh Techcombank</t>
  </si>
  <si>
    <t>Khách hàng Đăng ký mở tài khoản Hộ kinh doanh ngay trên Techcombank Mobile.</t>
  </si>
  <si>
    <t>Thêm ngay sau đoạn này: «Nếu dùng iPhone, bạn có thể tham khảo cách quét NFC CCCD trên iPhone để xác thực thông tin nhanh hơn.»</t>
  </si>
  <si>
    <t>https://techcombank.com/thong-tin/blog/nen-de-tien-trong-the-hay-gui-tiet-kiem</t>
  </si>
  <si>
    <t>https://techcombank.com/thong-tin/blog/nen-gui-tiet-kiem-6-thang-hay-1-nam</t>
  </si>
  <si>
    <t>https://techcombank.com/thong-tin/blog/nen-gui-tiet-kiem-thong-thuong-hay-tich-luy</t>
  </si>
  <si>
    <t>https://techcombank.com/thong-tin/blog/nen-lam-the-visa-hay-noi-dia</t>
  </si>
  <si>
    <t>3. Lưu ý khi liên kết/mở tài khoản ngân hàng với VNeID</t>
  </si>
  <si>
    <t>Họ tên, số CCCD/thẻ Căn cước và số điện thoại đăng ký tài khoản ngân hàng phải trùng khớp với thông tin trên VNeID</t>
  </si>
  <si>
    <t>Thêm ngay sau đoạn này: «Nếu ứng dụng yêu cầu xác thực căn cước gắn chip, bạn có thể tham khảo cách quét NFC CCCD trên iPhone.»</t>
  </si>
  <si>
    <t>Xác thực sinh trắc học yêu cầu quét NFC chip CCCD. (Theo title/meta, chưa đọc bài.)</t>
  </si>
  <si>
    <t>https://techcombank.com/thong-tin/blog/ngan-hang-so</t>
  </si>
  <si>
    <t>https://techcombank.com/thong-tin/blog/ngan-hang-xanh</t>
  </si>
  <si>
    <t>https://techcombank.com/thong-tin/blog/nghich-ly-nha-dau-tu-che-trai-phieu-lai-suat-cao-ua-ma-an-toan-du-lai-suat-thap-hon-05-1</t>
  </si>
  <si>
    <t>https://techcombank.com/thong-tin/blog/ngoai-hoi-la-gi</t>
  </si>
  <si>
    <t>https://techcombank.com/thong-tin/blog/ngoai-te-la-gi</t>
  </si>
  <si>
    <t>https://techcombank.com/thong-tin/blog/nguyen-tac-quan-ly-tai-chinh-ca-nhan</t>
  </si>
  <si>
    <t>https://techcombank.com/thong-tin/blog/nha-dau-tu-giao-dich-trai-phieu-truc-tuyen-tang-manh-tro-lai</t>
  </si>
  <si>
    <t>https://techcombank.com/thong-tin/blog/nhan-tien-western-union</t>
  </si>
  <si>
    <t>Liên kết VNeID cần quét chip CCCD. (Theo title/meta, chưa đọc bài.)</t>
  </si>
  <si>
    <t>https://techcombank.com/thong-tin/blog/nhu-cau-vay-tieu-dung-cua-nguoi-viet-du-kien-tang-manh-trong-thoi-gian-toi</t>
  </si>
  <si>
    <t>https://techcombank.com/thong-tin/blog/nhung-kho-khan-khi-tiet-kiem-tien</t>
  </si>
  <si>
    <t>https://techcombank.com/thong-tin/blog/nhuong-quyen-la-gi</t>
  </si>
  <si>
    <t>https://techcombank.com/thong-tin/blog/nim-la-gi</t>
  </si>
  <si>
    <t>https://techcombank.com/thong-tin/blog/no-chu-y-la-gi</t>
  </si>
  <si>
    <t>Bước 4: Xác minh danh tính với CCCD/thẻ căn cước gắn chip hoặc VNeID</t>
  </si>
  <si>
    <t>Thêm dòng sau đoạn: «Xem thêm: Cách quét NFC CCCD trên iPhone»</t>
  </si>
  <si>
    <t>eKYC dùng NFC CCCD để định danh. (Theo title/meta, chưa đọc bài.)</t>
  </si>
  <si>
    <t>https://techcombank.com/thong-tin/blog/no-nhom-3</t>
  </si>
  <si>
    <t>https://techcombank.com/thong-tin/blog/no-the-tin-dung-qua-han</t>
  </si>
  <si>
    <t>https://techcombank.com/thong-tin/blog/no-xau</t>
  </si>
  <si>
    <t>https://techcombank.com/thong-tin/blog/no-xau-co-lam-the-visa-duoc-khong</t>
  </si>
  <si>
    <t>https://techcombank.com/thong-tin/blog/no-xau-co-vay-the-chap-duoc-khong</t>
  </si>
  <si>
    <t>5. Kết nối tài khoản Techcombank với VNeID: Nhận tiền tiện lợi, giao dịch an tâm</t>
  </si>
  <si>
    <t>Sau khi đã hoàn tất cách đăng ký định danh mức 2 và kích hoạt thành công, bạn có thể liên kết ngay số tài khoản ngân hàng Techcombank trên ứng dụng VNeID.</t>
  </si>
  <si>
    <t>Thêm ngay sau đoạn này: «Trong quá trình xác thực trên ứng dụng, bạn có thể tham khảo cách quét NFC căn cước để thao tác nhanh và chính xác hơn.»</t>
  </si>
  <si>
    <t>https://techcombank.com/thong-tin/blog/no-xau-mo-the-tin-dung-duoc-khong</t>
  </si>
  <si>
    <t>Định danh mức 2 cần quét CCCD gắn chip. (Theo title/meta, chưa đọc bài.)</t>
  </si>
  <si>
    <t>Mở TK online có bước quét NFC CCCD. (Theo title/meta, chưa đọc bài.)</t>
  </si>
  <si>
    <t>https://techcombank.com/thong-tin/blog/no-xau-nhom-2</t>
  </si>
  <si>
    <t>Không có đoạn nói trực tiếp về NFC</t>
  </si>
  <si>
    <t>https://techcombank.com/thong-tin/blog/oneu</t>
  </si>
  <si>
    <t>https://techcombank.com/thong-tin/blog/phan-bo-tai-san</t>
  </si>
  <si>
    <t>https://techcombank.com/thong-tin/blog/phan-mem-xuat-hoa-don-dien-tu</t>
  </si>
  <si>
    <t>https://techcombank.com/thong-tin/blog/phi-chuyen-doi-ngoai-te</t>
  </si>
  <si>
    <t>https://techcombank.com/thong-tin/blog/phi-rut-tien-mat-the-tin-dung</t>
  </si>
  <si>
    <t>https://techcombank.com/thong-tin/blog/phi-thuong-nien-la-gi</t>
  </si>
  <si>
    <t>https://techcombank.com/thong-tin/blog/phi-vay-the-chap</t>
  </si>
  <si>
    <t>https://techcombank.com/thong-tin/blog/pos</t>
  </si>
  <si>
    <t>https://techcombank.com/thong-tin/blog/qr-code-doanh-nghiep</t>
  </si>
  <si>
    <t>Bài dấu chân carbon nhắc lợi ích xanh của thẻ Visa Eco. (Theo title/meta, chưa đọc bài.)</t>
  </si>
  <si>
    <t>https://techcombank.com/thong-tin/blog/qr-dong</t>
  </si>
  <si>
    <t>2. Độ tuổi cần mở tài khoản thông qua người giám hộ</t>
  </si>
  <si>
    <t>Trường hợp khách hàng là công dân Việt Nam: Thẻ căn cước công dân, Thẻ căn cước hoặc Căn cước điện tử (thông qua việc truy cập vào tài khoản định danh điện tử mức độ 02) còn hiệu lực</t>
  </si>
  <si>
    <t>https://techcombank.com/thong-tin/blog/qua-han-thanh-toan-the-tin-dung-1-ngay</t>
  </si>
  <si>
    <t>Thêm dòng sau đoạn: «Xem thêm: cách quét NFC căn cước»</t>
  </si>
  <si>
    <t>https://techcombank.com/thong-tin/blog/quan-ly-chi-phi-doanh-nghiep</t>
  </si>
  <si>
    <t>https://techcombank.com/thong-tin/blog/san-pham-xanh</t>
  </si>
  <si>
    <t>Danh sách giấy tờ – dùng Xem thêm</t>
  </si>
  <si>
    <t>https://techcombank.com/thong-tin/blog/quan-ly-tai-chinh-cho-dan-van-phong</t>
  </si>
  <si>
    <t>https://techcombank.com/thong-tin/blog/quan-ly-tai-chinh-doanh-nghiep-nho</t>
  </si>
  <si>
    <t>Điểm danh sản phẩm xanh ngành ngân hàng — Eco Card là ví dụ. (Theo title/meta, chưa đọc bài.)</t>
  </si>
  <si>
    <t>thẻ Eco</t>
  </si>
  <si>
    <t>https://techcombank.com/thong-tin/blog/quy-trinh-cho-vay-tieu-dung</t>
  </si>
  <si>
    <t>https://techcombank.com/thong-tin/blog/quy-trinh-gui-tien-tiet-kiem</t>
  </si>
  <si>
    <t>https://techcombank.com/thong-tin/blog/quy-trinh-tat-toan-khoan-vay-the-chap</t>
  </si>
  <si>
    <t>https://techcombank.com/thong-tin/blog/xu-huong-song-xanh</t>
  </si>
  <si>
    <t>Lối sống xanh → thẻ xanh. (Theo title/meta, chưa đọc bài.)</t>
  </si>
  <si>
    <t>Techcombank Eco</t>
  </si>
  <si>
    <t>https://techcombank.com/thong-tin/blog/rui-ro-khi-vay-the-chap-ngan-hang</t>
  </si>
  <si>
    <t>https://techcombank.com/thong-tin/blog/rut-tien-bao-hiem-nhan-tho-khi-het-han</t>
  </si>
  <si>
    <t>Với người Việt Nam: Thẻ CCCD, Thẻ căn cước hoặc Căn cước điện tử (thông qua việc truy cập vào tài khoản định danh điện tử mức độ 02) hoặc CMND còn hiệu lực (*)</t>
  </si>
  <si>
    <t>Thêm dòng sau đoạn: «Xem thêm: Cách quét NFC căn cước trên iPhone»</t>
  </si>
  <si>
    <t>Gạch đầu dòng giấy tờ – dùng Xem thêm</t>
  </si>
  <si>
    <t>https://techcombank.com/thong-tin/blog/sang-ngang-the-tin-dung</t>
  </si>
  <si>
    <t>Thẻ Visa Debit — Eco Card là một loại Visa Debit. (Theo title/meta, chưa đọc bài.)</t>
  </si>
  <si>
    <t>https://techcombank.com/thong-tin/blog/shang-chi</t>
  </si>
  <si>
    <t>https://techcombank.com/thong-tin/blog/sinh-loi-rinh-loc</t>
  </si>
  <si>
    <t>4. Hồ sơ sang ngang thẻ tín dụng</t>
  </si>
  <si>
    <t>CCCD/Thẻ căn cước/Tài khoản định danh mức 2 còn hiệu lực</t>
  </si>
  <si>
    <t>Thêm dòng sau đoạn: «Xem thêm: Cách quét NFC căn cước trên điện thoại»</t>
  </si>
  <si>
    <t>https://techcombank.com/thong-tin/blog/so-cvv-la-gi</t>
  </si>
  <si>
    <t>Gạch đầu dòng hồ sơ – dùng Xem thêm</t>
  </si>
  <si>
    <t>https://techcombank.com/thong-tin/blog/so-sanh-gui-tiet-kiem-online-va-tai-quay</t>
  </si>
  <si>
    <t>https://techcombank.com/thong-tin/blog/so-sanh-ma-qr-va-ma-vach</t>
  </si>
  <si>
    <t>https://techcombank.com/thong-tin/blog/spaylater</t>
  </si>
  <si>
    <t>3.1. Trường hợp người dùng chưa kích hoạt Ví ShopeePay</t>
  </si>
  <si>
    <t>Quét mã QR trên CCCD gắn chip hoặc chụp ảnh 2 mặt CCCD.</t>
  </si>
  <si>
    <t>Điểm tín dụng CIC — cần hiểu CIC là gì. (Theo title/meta, chưa đọc bài.)</t>
  </si>
  <si>
    <t>https://techcombank.com/thong-tin/blog/thanh-toan-khong-cham-tuong-lai-cua-thanh-toan-so-tai-viet-nam</t>
  </si>
  <si>
    <t>1. Thanh toán không chạm (Contactless payment) là gì?</t>
  </si>
  <si>
    <t>Thanh toán không chạm NFC: Công nghệ thanh toán này hoạt động dựa trên cảm ứng từ trường nhằm kết nối các thiết bị hỗ trợ NFC được đặt gần nhau (dưới 4 cm) hoặc tiếp xúc với nhau.</t>
  </si>
  <si>
    <t>Thêm ngay sau đoạn này: «Ngoài thanh toán, công nghệ NFC còn được dùng để quét NFC CCCD khi xác thực tài khoản ngân hàng.»</t>
  </si>
  <si>
    <t>https://techcombank.com/thong-tin/blog/tai-khoan-ngan-hang-duoi-50k-co-bi-khoa-khong</t>
  </si>
  <si>
    <t>https://techcombank.com/thong-tin/blog/tai-khoan-tiet-kiem</t>
  </si>
  <si>
    <t>https://techcombank.com/thong-tin/blog/tai-san-va-tieu-san-la-gi</t>
  </si>
  <si>
    <t>https://techcombank.com/thong-tin/blog/tai-sao-gui-tiet-kiem-online-lai-suat-cao-hon</t>
  </si>
  <si>
    <t>https://techcombank.com/thong-tin/blog/tao-ma-qr-thanh-toan-cho-cua-hang</t>
  </si>
  <si>
    <t>Lịch sử tín dụng lưu tại CIC. (Theo title/meta, chưa đọc bài.)</t>
  </si>
  <si>
    <t>https://techcombank.com/thong-tin/blog/tap-doan-thanh-quang-khoi-sac-kinh-doanh-nho-nguon-von-vay-tin-dung-techcombank-tren-nen-tang-misa-lending</t>
  </si>
  <si>
    <t>https://techcombank.com/thong-tin/blog/tat-toan</t>
  </si>
  <si>
    <t>CIC</t>
  </si>
  <si>
    <t>https://techcombank.com/thong-tin/blog/tat-toan-chung-chi-tien-gui</t>
  </si>
  <si>
    <t>https://techcombank.com/thong-tin/blog/tat-toan-so-tiet-kiem</t>
  </si>
  <si>
    <t>1. Việt Kiều có được mở tài khoản ngân hàng không?</t>
  </si>
  <si>
    <t>Người có quốc tịch Việt Nam: Thẻ CCCD, thẻ căn cước hoặc Căn cước điện tử (thông qua việc truy cập vào tài khoản định danh điện tử mức độ 02) hoặc CMND còn hiệu lực</t>
  </si>
  <si>
    <t>Thêm ngay sau đoạn này: «Khi mở tài khoản online, bạn có thể cần xác thực danh tính bằng cách quét NFC CCCD trên điện thoại.»</t>
  </si>
  <si>
    <t>https://techcombank.com/thong-tin/blog/thanh-khoan-la-gi</t>
  </si>
  <si>
    <t>https://techcombank.com/thong-tin/blog/thanh-lap-ho-kinh-doanh-ca-the</t>
  </si>
  <si>
    <t>https://techcombank.com/thong-tin/blog/thanh-ly-tai-san</t>
  </si>
  <si>
    <t>https://techcombank.com/thong-tin/blog/thanh-toan-bang-the-quoc-te</t>
  </si>
  <si>
    <t>Nợ nhóm 3 bao lâu xóa trên CIC. (Theo title/meta, chưa đọc bài.)</t>
  </si>
  <si>
    <t>Trung tâm Thông tin Tín dụng (CIC)</t>
  </si>
  <si>
    <t>https://techcombank.com/thong-tin/blog/vay-ngan-hang-chi-can-cccd</t>
  </si>
  <si>
    <t>1. Chỉ cần CCCD chưa thể đảm bảo vay ngân hàng thành công</t>
  </si>
  <si>
    <t>https://techcombank.com/thong-tin/blog/thanh-toan-khi-du-lich-han-quoc</t>
  </si>
  <si>
    <t>CCCD đóng vai trò xác định danh tính khách hàng trong hồ sơ vay ngân hàng.</t>
  </si>
  <si>
    <t>Thêm ngay sau đoạn này: «Với CCCD gắn chip, bạn có thể xác thực danh tính trên ứng dụng ngân hàng bằng cách quét NFC CCCD trên iPhone.»</t>
  </si>
  <si>
    <t>https://techcombank.com/thong-tin/blog/thanh-toan-khi-du-lich-nhat-ban</t>
  </si>
  <si>
    <t>https://techcombank.com/thong-tin/blog/thanh-toan-khi-du-lich-trung-quoc</t>
  </si>
  <si>
    <t>https://techcombank.com/thong-tin/blog/thanh-toan-khoan-vay</t>
  </si>
  <si>
    <t>https://techcombank.com/thong-tin/blog/thanh-toan-khong-dung-tien-mat</t>
  </si>
  <si>
    <t>https://techcombank.com/thong-tin/blog/thanh-toan-khong-dung-tien-mat-tro-thanh-xu-huong-tang-truong-chong-mat</t>
  </si>
  <si>
    <t>Nợ cần chú ý được ghi nhận trên CIC. (Theo title/meta, chưa đọc bài.)</t>
  </si>
  <si>
    <t>tra cứu CIC cá nhân</t>
  </si>
  <si>
    <t>https://techcombank.com/thong-tin/blog/thanh-toan-online-bang-the-tin-dung</t>
  </si>
  <si>
    <t>https://techcombank.com/thong-tin/blog/thanh-toan-qr-thai-lan</t>
  </si>
  <si>
    <t>https://techcombank.com/thong-tin/blog/thanh-toan-quoc-te</t>
  </si>
  <si>
    <t>https://techcombank.com/thong-tin/blog/thanh-toan-toi-thieu-the-tin-dung</t>
  </si>
  <si>
    <t>3. Cách đăng ký thẻ Visa Prepaid nhanh chóng</t>
  </si>
  <si>
    <t>https://techcombank.com/thong-tin/blog/thanh-toan-tra-gop-qua-the-tin-dung</t>
  </si>
  <si>
    <t>Với thẻ trả trước định danh, khách hàng cần có CCCD/CMND và phải là công dân Việt Nam từ 15 tuổi trở lên mới được đăng ký mở thẻ.</t>
  </si>
  <si>
    <t>Thêm ngay sau đoạn này: «Khi đăng ký online, nếu ứng dụng yêu cầu xác thực căn cước, bạn có thể tham khảo cách quét NFC CCCD trên iPhone.»</t>
  </si>
  <si>
    <t>Không có đoạn nói trực tiếp về NFC/eKYC</t>
  </si>
  <si>
    <t>Nợ nhóm 2 — tra trên CIC. (Theo title/meta, chưa đọc bài.)</t>
  </si>
  <si>
    <t>kiểm tra CIC</t>
  </si>
  <si>
    <t>https://techcombank.com/thong-tin/blog/the-atm-gan-chip</t>
  </si>
  <si>
    <t>https://techcombank.com/thong-tin/blog/the-chap-la-gi</t>
  </si>
  <si>
    <t>4. 3 câu hỏi thường gặp khi làm thẻ Visa online</t>
  </si>
  <si>
    <t>Trên đây là những điều kiện, thủ tục và hướng dẫn cách làm thẻ Visa online .</t>
  </si>
  <si>
    <t>Thêm ngay sau đoạn này: «Khi mở tài khoản online cần xác thực căn cước, khách hàng có thể tham khảo cách quét NFC CCCD trên iPhone để thao tác nhanh hơn.»</t>
  </si>
  <si>
    <t>https://techcombank.com/thong-tin/blog/the-ghi-no-la-gi</t>
  </si>
  <si>
    <t>https://techcombank.com/thong-tin/blog/the-ghi-no-noi-dia</t>
  </si>
  <si>
    <t>https://techcombank.com/thong-tin/blog/the-ghi-no-va-the-tin-dung</t>
  </si>
  <si>
    <t>https://techcombank.com/thong-tin/blog/the-nao-la-tiet-kiem</t>
  </si>
  <si>
    <t>https://techcombank.com/thong-tin/blog/the-napas-la-gi</t>
  </si>
  <si>
    <t>https://techcombank.com/thong-tin/blog/the-tin-dung-ao</t>
  </si>
  <si>
    <t>https://techcombank.com/thong-tin/blog/the-tin-dung-bi-khoa</t>
  </si>
  <si>
    <t>https://techcombank.com/thong-tin/blog/the-tin-dung-co-chuyen-khoan-duoc-khong</t>
  </si>
  <si>
    <t>Bài phí rút tiền — người đọc cần cách rút. (Theo title/meta, chưa đọc bài.)</t>
  </si>
  <si>
    <t>https://techcombank.com/thong-tin/blog/the-tin-dung-co-ma-pin-khong</t>
  </si>
  <si>
    <t>https://techcombank.com/thong-tin/blog/the-tin-dung-het-han</t>
  </si>
  <si>
    <t>https://techcombank.com/thong-tin/blog/the-visa-co-rut-tien-duoc-khong</t>
  </si>
  <si>
    <t>https://techcombank.com/thong-tin/blog/the-tin-dung-mien-phi-thuong-nien</t>
  </si>
  <si>
    <t>https://techcombank.com/thong-tin/blog/the-tin-dung-nao-nhieu-uu-dai-nhat</t>
  </si>
  <si>
    <t>https://techcombank.com/thong-tin/blog/the-tin-dung-noi-dia</t>
  </si>
  <si>
    <t>1. Thẻ ATM gắn chip là gì?</t>
  </si>
  <si>
    <t>Thẻ ATM gắn chip (còn gọi là thẻ chip EMV) là loại thẻ ngân hàng có gắn vi mạch điện tử nhỏ (chip) trên bề mặt.</t>
  </si>
  <si>
    <t>Thêm ngay sau đoạn này: «Công nghệ chip tương tự cũng có trên CCCD gắn chip, bạn có thể tham khảo cách quét NFC CCCD trên iPhone để xác thực thông tin.»</t>
  </si>
  <si>
    <t>https://techcombank.com/thong-tin/blog/the-tin-dung-phu-la-gi</t>
  </si>
  <si>
    <t>Thẻ Visa rút tiền được không — dẫn sang hướng dẫn rút từ thẻ tín dụng. (Theo title/meta, chưa đọc bài.)</t>
  </si>
  <si>
    <t>https://techcombank.com/thong-tin/blog/the-tin-dung-techcombank-visa-eco</t>
  </si>
  <si>
    <t>cách rút tiền thẻ tín dụng</t>
  </si>
  <si>
    <t>https://techcombank.com/thong-tin/blog/the-visa</t>
  </si>
  <si>
    <t>https://techcombank.com/thong-tin/blog/the-visa-co-can-mat-khau-khong</t>
  </si>
  <si>
    <t>5.1. Thẻ ngân hàng xanh (Eco Card)</t>
  </si>
  <si>
    <t>Thẻ ngân hàng xanh (Eco Card) là loại thẻ được thiết kế nhằm giảm thiểu tác động đến môi trường trong suốt vòng đời sản phẩm.</t>
  </si>
  <si>
    <t>Bôi đen cụm «Eco Card» trong câu trên, gắn link.</t>
  </si>
  <si>
    <t>https://techcombank.com/thong-tin/blog/the-visa-co-thanh-toan-quoc-te-duoc-khong</t>
  </si>
  <si>
    <t>Nhu cầu lấy tiền mặt từ thẻ tín dụng tương tự. (Theo title/meta, chưa đọc bài.)</t>
  </si>
  <si>
    <t>https://techcombank.com/thong-tin/blog/the-visa-khong-thanh-toan-duoc</t>
  </si>
  <si>
    <t>https://techcombank.com/thong-tin/blog/thi-truong-trai-phieu-co-hoi-dau-tu-trai-phieu-vang-du-lai-suat-thap</t>
  </si>
  <si>
    <t>https://techcombank.com/thong-tin/blog/thoi-gian-khop-lech-chung-chi-quy</t>
  </si>
  <si>
    <t>https://techcombank.com/thong-tin/blog/thoi-han-vay-thau-chi</t>
  </si>
  <si>
    <t>3.1. Bù đắp lượng CO₂ đã phát thải</t>
  </si>
  <si>
    <t>https://techcombank.com/thong-tin/blog/thu-tuc-chuyen-tien-ra-nuoc-ngoai</t>
  </si>
  <si>
    <t>Không chỉ theo dõi CO₂ qua chi tiêu, Techcombank Eco còn giúp bạn hành động thiết thực để bù đắp dấu chân carbon của mình.</t>
  </si>
  <si>
    <t>Bôi đen cụm «Techcombank Eco» trong câu trên, gắn link.</t>
  </si>
  <si>
    <t>https://techcombank.com/thong-tin/blog/thu-tuc-vay-ngan-hang-mua-nha</t>
  </si>
  <si>
    <t>https://techcombank.com/thong-tin/blog/thu-tuc-vay-von-doanh-nghiep</t>
  </si>
  <si>
    <t>Hạn mức rút tiền mặt là một phần hạn mức thẻ. (Theo title/meta, chưa đọc bài.)</t>
  </si>
  <si>
    <t>https://techcombank.com/thong-tin/blog/thu-tuc-vay-von-kinh-doanh-nho</t>
  </si>
  <si>
    <t>https://techcombank.com/thong-tin/blog/thu-tuc-vay-von-ngan-hang-de-xay-nha</t>
  </si>
  <si>
    <t>https://techcombank.com/thong-tin/blog/voucher-starbucks</t>
  </si>
  <si>
    <t>1. Cập nhật danh sách voucher Starbucks từ Techcombank</t>
  </si>
  <si>
    <t>Giảm 25,000 VND khi mang bình cá nhân và thanh toán Xpays với thẻ Eco (xem thể lệ chi tiết )</t>
  </si>
  <si>
    <t>Bôi đen cụm «thẻ Eco» trong câu trên, gắn link.</t>
  </si>
  <si>
    <t>https://techcombank.com/thong-tin/blog/tich-luy-tai-san</t>
  </si>
  <si>
    <t>7.2. Đối với khách hàng cá nhân</t>
  </si>
  <si>
    <t>Ưu tiên sử dụng thẻ Eco phiên bản phi vật lý để thanh toán online, thêm thẻ vào ví Apple Pay/Google Pay/Samsung Pay và hạn chế tiêu thụ vật liệu nhựa</t>
  </si>
  <si>
    <t>Rút tiền mặt phát sinh lãi ngay — chèn ở đoạn khi nào phát sinh lãi. (Theo title/meta, chưa đọc bài.)</t>
  </si>
  <si>
    <t>https://techcombank.com/thong-tin/blog/tien-gui-co-ky-han</t>
  </si>
  <si>
    <t>https://techcombank.com/thong-tin/blog/tien-gui-khong-ky-han</t>
  </si>
  <si>
    <t>https://techcombank.com/thong-tin/blog/xu-huong-tieu-dung</t>
  </si>
  <si>
    <t>https://techcombank.com/thong-tin/blog/tien-indonesia</t>
  </si>
  <si>
    <t>1. Xu hướng tiêu dùng bền vững</t>
  </si>
  <si>
    <t>Với thẻ thanh toán Techcombank Visa Eco, mỗi lần tiêu dùng không chỉ là giao dịch tài chín…</t>
  </si>
  <si>
    <t>Thêm ngay sau đoạn này: «Bạn có thể tìm hiểu thêm về thẻ Eco cùng các tính năng hỗ trợ tiêu dùng xanh.»</t>
  </si>
  <si>
    <t>https://techcombank.com/thong-tin/blog/tien-lao</t>
  </si>
  <si>
    <t>https://techcombank.com/thong-tin/blog/tien-malaysia</t>
  </si>
  <si>
    <t>https://techcombank.com/thong-tin/blog/tien-nhan-roi-nen-lam-gi</t>
  </si>
  <si>
    <t>https://techcombank.com/thong-tin/blog/tien-singapore</t>
  </si>
  <si>
    <t>3. Lưu ý trước khi rút tiền mặt từ thẻ tín dụng</t>
  </si>
  <si>
    <t>Nếu cần thêm thông tin tư vấn về thẻ tín dụng của Techcombank, khách hàng có thể cân nhắc các dòng thẻ phù hợp với nhu cầu chi tiêu và ưu đãi, bao gồm cả Eco Card…</t>
  </si>
  <si>
    <t>https://techcombank.com/thong-tin/blog/tien-trung-quoc</t>
  </si>
  <si>
    <t>https://techcombank.com/thong-tin/blog/tiet-kiem-khi-di-du-lich</t>
  </si>
  <si>
    <t>https://techcombank.com/thong-tin/blog/tiet-kiem-tien-moi-ngay</t>
  </si>
  <si>
    <t>Định nghĩa thẻ tín dụng → nhu cầu làm thẻ. (Theo title/meta, chưa đọc bài.)</t>
  </si>
  <si>
    <t>https://techcombank.com/thong-tin/blog/tieu-dung-ben-vung</t>
  </si>
  <si>
    <t>Nếu khách hàng có mong muốn đăng ký mở thẻ Visa hãy nhanh chóng đến ngay các chi nhánh ngân hàng Techcombank gần nhất hoặc liên hệ qua hotline để được tư vấn.</t>
  </si>
  <si>
    <t>Thêm ngay sau đoạn này: «Khách hàng yêu thích sản phẩm xanh có thể tham khảo eco card – thẻ Visa Debit thân thiện với môi trường của Techcombank.»</t>
  </si>
  <si>
    <t>https://techcombank.com/thong-tin/blog/tin-dung-la-gi</t>
  </si>
  <si>
    <t>https://techcombank.com/thong-tin/blog/tin-dung-tieu-dung</t>
  </si>
  <si>
    <t>https://techcombank.com/thong-tin/blog/tinh-thanh-khoan-la-gi</t>
  </si>
  <si>
    <t>1. Làm thẻ ngân hàng - thẻ ATM có mất phí không?</t>
  </si>
  <si>
    <t>Loại thẻ quốc tế này thường được nhóm khách hàng có nhu cầu chi tiêu nước ngoài hoặc quan tâm đến các vấn đề ngoại tệ như lãi suất tiết kiệm USD ưu tiên sử dụng.</t>
  </si>
  <si>
    <t>Thêm ngay sau đoạn này: «Một lựa chọn thẻ ghi nợ quốc tế thân thiện với môi trường là eco card của Techcombank.»</t>
  </si>
  <si>
    <t>https://techcombank.com/thong-tin/blog/tous-les-jours</t>
  </si>
  <si>
    <t>Một cách mở thẻ — dẫn sang hướng dẫn đầy đủ. (Theo title/meta, chưa đọc bài.)</t>
  </si>
  <si>
    <t>mở thẻ tín dụng</t>
  </si>
  <si>
    <t>2. Mở thẻ thanh toán quốc tế trực tiếp tại phòng giao dịch</t>
  </si>
  <si>
    <t>Trên đây là 2 phương pháp làm thẻ thanh toán quốc tế nhanh gọn.</t>
  </si>
  <si>
    <t>Thêm ngay sau đoạn này: «Khách hàng yêu thích sản phẩm thân thiện môi trường có thể tham khảo eco card – thẻ thanh toán quốc tế Visa Debit của Techcombank.»</t>
  </si>
  <si>
    <t>https://techcombank.com/thong-tin/blog/tra-gop-hoc-phi</t>
  </si>
  <si>
    <t>https://techcombank.com/thong-tin/blog/tra-gop-lazada</t>
  </si>
  <si>
    <t>https://techcombank.com/thong-tin/blog/tra-gop-qua-the-tin-dung</t>
  </si>
  <si>
    <t>Phí làm thẻ — đi kèm thủ tục làm thẻ. (Theo title/meta, chưa đọc bài.)</t>
  </si>
  <si>
    <t>3. Thanh toán học phí, nhận điểm U-Point với thẻ tín dụng Techcombank</t>
  </si>
  <si>
    <t>Ưu đãi dành cho chủ thẻ tín dụng Techcombank Visa Eco : Hoàn 3% giá trị giao dịch, tối đa 800,000 điểm U-Point/tháng…</t>
  </si>
  <si>
    <t>Thêm dòng sau đoạn: «Xem thêm: tìm hiểu dòng thẻ Techcombank Eco»</t>
  </si>
  <si>
    <t>https://techcombank.com/thong-tin/blog/tra-gop-shopee</t>
  </si>
  <si>
    <t>Trang đích là thẻ ghi nợ Eco, đoạn nói thẻ tín dụng Eco</t>
  </si>
  <si>
    <t>https://techcombank.com/thong-tin/blog/tra-no-vay-thau-chi-nhu-the-nao</t>
  </si>
  <si>
    <t>https://techcombank.com/thong-tin/blog/ty-gia-hoi-doai-la-gi</t>
  </si>
  <si>
    <t>https://techcombank.com/thong-tin/blog/uu-dai-the-tin-dung</t>
  </si>
  <si>
    <t>7. Thẻ tín dụng Techcombank Visa Eco</t>
  </si>
  <si>
    <t>Sống xanh, tiêu sành với thẻ tín dụng Techcombank Visa Eco.</t>
  </si>
  <si>
    <t>Thêm dòng sau đoạn: «Xem thêm: thẻ ghi nợ Techcombank Eco – thẻ xanh đầu tiên tại Việt Nam»</t>
  </si>
  <si>
    <t>Trang đích là thẻ ghi nợ Eco</t>
  </si>
  <si>
    <t>https://techcombank.com/thong-tin/blog/ung-dung-cong-nghe</t>
  </si>
  <si>
    <t>https://techcombank.com/thong-tin/blog/uu-dai-mua-ve-may-bay-bang-the-tin-dung</t>
  </si>
  <si>
    <t>https://techcombank.com/thong-tin/blog/uu-dai-the-tin-dung-techcombank-signature</t>
  </si>
  <si>
    <t>4.2. Giao dịch qua thẻ thanh toán</t>
  </si>
  <si>
    <t>Điều kiện mở thẻ — sát chủ đề. (Theo title/meta, chưa đọc bài.)</t>
  </si>
  <si>
    <t>Thẻ thanh toán Techcombank Visa Classic ; Techcombank Visa Seller ; Techcombank Visa Platinum ; Techcombank Visa Gold ; Techcombank F@stAccess ; Techcombank Visa Eco…</t>
  </si>
  <si>
    <t>Thêm dòng sau đoạn: «Xem thêm: Thẻ Techcombank Eco – thẻ xanh đầu tiên tại Việt Nam»</t>
  </si>
  <si>
    <t>https://techcombank.com/thong-tin/blog/vang-14k-gia-hom-nay</t>
  </si>
  <si>
    <t>Câu gốc là danh sách thẻ, không có nguyên văn anchor</t>
  </si>
  <si>
    <t>https://techcombank.com/thong-tin/blog/vay-100-trieu</t>
  </si>
  <si>
    <t>https://techcombank.com/thong-tin/blog/vay-15-trieu</t>
  </si>
  <si>
    <t>https://techcombank.com/thong-tin/blog/vay-20-trieu</t>
  </si>
  <si>
    <t>https://techcombank.com/thong-tin/blog/vay-200-trieu</t>
  </si>
  <si>
    <t>Mở thẻ Visa tại Techcombank, hỗ trợ mở thẻ online, miễn phí gửi về tận nhà, duyệt hồ sơ nhanh chóng.</t>
  </si>
  <si>
    <t>https://techcombank.com/thong-tin/blog/vay-30-trieu</t>
  </si>
  <si>
    <t>Thêm ngay sau đoạn này: «Nếu yêu thích sản phẩm thân thiện với môi trường, bạn có thể tham khảo thẻ Techcombank Eco.»</t>
  </si>
  <si>
    <t>https://techcombank.com/thong-tin/blog/vay-300-trieu</t>
  </si>
  <si>
    <t>https://techcombank.com/thong-tin/blog/vay-40-trieu</t>
  </si>
  <si>
    <t>https://techcombank.com/thong-tin/blog/vay-50-trieu</t>
  </si>
  <si>
    <t>https://techcombank.com/thong-tin/blog/vay-bo-sung-von-luu-dong</t>
  </si>
  <si>
    <t>Quyết định dùng thẻ → bước làm thẻ. (Theo title/meta, chưa đọc bài.)</t>
  </si>
  <si>
    <t>https://techcombank.com/thong-tin/blog/vay-du-hoc</t>
  </si>
  <si>
    <t>5.3. Thanh toán có trách nhiệm</t>
  </si>
  <si>
    <t>Bộ đôi thẻ tín dụng và thẻ thanh toán Techcombank Visa Eco được làm từ nhựa tái chế thân thiện với môi trường.</t>
  </si>
  <si>
    <t>https://techcombank.com/thong-tin/blog/vay-han-muc-la-gi</t>
  </si>
  <si>
    <t>Sửa câu thành: «Bộ đôi thẻ tín dụng và thẻ thanh toán Techcombank Visa Eco (thẻ Eco) được làm từ nhựa tái chế thân thiện với môi trường.»</t>
  </si>
  <si>
    <t>https://techcombank.com/thong-tin/blog/vay-kinh-doanh-online</t>
  </si>
  <si>
    <t>https://techcombank.com/thong-tin/blog/vay-mua-chung-cu</t>
  </si>
  <si>
    <t>https://techcombank.com/thong-tin/blog/vay-mua-dien-thoai</t>
  </si>
  <si>
    <t>https://techcombank.com/thong-tin/blog/vay-mua-nha-o-xa-hoi</t>
  </si>
  <si>
    <t>https://techcombank.com/thong-tin/blog/vay-mua-nha-tra-gop</t>
  </si>
  <si>
    <t>3.3. Trở thành khách hàng hội viên của ngân hàng</t>
  </si>
  <si>
    <t>Với thẻ thanh toán: Miễn phí thường niên trọn đời với thẻ thanh toán nội địa và thẻ thanh toán quốc tế (trừ Thẻ thanh toán Techcombank Visa Eco…</t>
  </si>
  <si>
    <t>Thêm dòng sau đoạn: «Xem thêm: Thẻ Eco – thẻ xanh đầu tiên tại Việt Nam»</t>
  </si>
  <si>
    <t>https://techcombank.com/thong-tin/blog/vay-ngan-han</t>
  </si>
  <si>
    <t>Gạch đầu dòng có điều kiện phí – dùng Xem thêm</t>
  </si>
  <si>
    <t>https://techcombank.com/thong-tin/blog/vay-san-xuat-kinh-doanh</t>
  </si>
  <si>
    <t>https://techcombank.com/thong-tin/blog/vay-sieu-toc</t>
  </si>
  <si>
    <t>2.2. Tàu điện Metro - Đường sắt đô thị</t>
  </si>
  <si>
    <t>Sáng đi làm, đi học đúng giờ, không lo kẹt xe giờ cao điểm cùng​ ​ưu đãi đi Metro cho chủ thẻ thanh toán (thẻ ghi nợ) Techcombank Visa Eco (*)…</t>
  </si>
  <si>
    <t>Thêm ngay sau đoạn này: «Bạn có thể tìm hiểu thêm các quyền lợi khác của thẻ Eco.»</t>
  </si>
  <si>
    <t>https://techcombank.com/thong-tin/blog/vay-the-chap-hop-dong-mua-ban-can-ho</t>
  </si>
  <si>
    <t>So sánh thẻ tín dụng Techcombank — Everyday nên được nhắc. (Theo title/meta, chưa đọc bài.)</t>
  </si>
  <si>
    <t>https://techcombank.com/thong-tin/blog/vay-the-chap-khong-chung-minh-thu-nhap</t>
  </si>
  <si>
    <t>https://techcombank.com/thong-tin/blog/vay-the-chap-khong-tra-duoc</t>
  </si>
  <si>
    <t>https://techcombank.com/thong-tin/blog/vay-the-chap-kinh-doanh</t>
  </si>
  <si>
    <t>https://techcombank.com/thong-tin/blog/vay-the-chap-la-gi</t>
  </si>
  <si>
    <t>6. Thẻ tín dụng Techcombank Visa Eco</t>
  </si>
  <si>
    <t>Đối với các khách hàng thường và Inspire Pro của Techcombank, mức phí thường niên áp dụng cho thẻ Techcombank Eco là 599,000 VND/năm/thẻ.</t>
  </si>
  <si>
    <t>Nguồn nói thẻ tín dụng Eco, đích là thẻ ghi nợ Eco – cân nhắc</t>
  </si>
  <si>
    <t>https://techcombank.com/thong-tin/blog/vay-the-chap-so-bao-hiem-xa-hoi</t>
  </si>
  <si>
    <t>https://techcombank.com/thong-tin/blog/vay-the-chap-so-hong</t>
  </si>
  <si>
    <t>https://techcombank.com/thong-tin/blog/vay-the-chap-toi-da-duoc-bao-nhieu</t>
  </si>
  <si>
    <t>https://techcombank.com/thong-tin/blog/vay-tien-mat</t>
  </si>
  <si>
    <t>Chương trình hoàn tiền thẻ tín dụng Techcombank. (Theo title/meta, chưa đọc bài.)</t>
  </si>
  <si>
    <t>2.2. Tính năng theo dõi dấu chân Carbon trên Techcombank Mobile</t>
  </si>
  <si>
    <t>https://techcombank.com/thong-tin/blog/vay-tin-chap-cho-doanh-nghiep-moi-thanh-lap</t>
  </si>
  <si>
    <t>Techcombank Everyday</t>
  </si>
  <si>
    <t>Bên cạnh đó, tính năng "Điểm sống xanh" cho phép người dùng đánh giá hành vi tiêu dùng bền vững của bản thân, so sánh với số liệu trung bình của cộng đồng sử dụng thẻ Eco…</t>
  </si>
  <si>
    <t>https://techcombank.com/thong-tin/blog/vay-tin-chap-ho-kinh-doanh</t>
  </si>
  <si>
    <t>Đoạn có thể đã link “thẻ thanh toán Visa Eco” – kiểm tra trùng</t>
  </si>
  <si>
    <t>https://techcombank.com/thong-tin/blog/vay-tin-chap-la-gi</t>
  </si>
  <si>
    <t>https://techcombank.com/thong-tin/blog/vay-tin-chap-no-xau</t>
  </si>
  <si>
    <t>https://techcombank.com/thong-tin/blog/vay-tin-chap-theo-luong</t>
  </si>
  <si>
    <t>https://techcombank.com/thong-tin/blog/vay-tin-chap-toi-da-duoc-bao-nhieu</t>
  </si>
  <si>
    <t>1. Mã QR doanh nghiệp và lợi ích khi sử dụng</t>
  </si>
  <si>
    <t>Ngoài ra khách hàng có thể tìm hiểu thêm thẻ debit là thẻ gì để sử dụng linh hoạt các hình thức thanh toán khác nhau.</t>
  </si>
  <si>
    <t>https://techcombank.com/thong-tin/blog/vay-tin-chap-va-vay-the-chap</t>
  </si>
  <si>
    <t>Thêm ngay sau đoạn này: «Trong đó, Eco Card là dòng thẻ ghi nợ quốc tế thân thiện với môi trường mà khách hàng có thể tham khảo.»</t>
  </si>
  <si>
    <t>Top ưu đãi thẻ tín dụng; chèn ở mục Techcombank. (Theo title/meta, chưa đọc bài.)</t>
  </si>
  <si>
    <t>https://techcombank.com/thong-tin/blog/vay-tra-gop</t>
  </si>
  <si>
    <t>https://techcombank.com/thong-tin/blog/vay-von-doanh-nghiep-khong-the-chap</t>
  </si>
  <si>
    <t>https://techcombank.com/thong-tin/blog/vay-von-doanh-nghiep-nho</t>
  </si>
  <si>
    <t>3. Gợi ý ngân hàng mở thẻ ATM nhanh, giao thẻ tận nhà</t>
  </si>
  <si>
    <t>Nếu khách hàng có mong muốn đăng ký mở thẻ ATM tại Techcombank, hãy nhanh chóng truy cập vào Techcombank Mobile hoặc liên hệ qua hotline để được tư vấn.</t>
  </si>
  <si>
    <t>Thêm ngay sau đoạn này: «Khách hàng quan tâm đến lối sống xanh có thể tham khảo thẻ Visa Debit eco card của Techcombank.»</t>
  </si>
  <si>
    <t>https://techcombank.com/thong-tin/blog/vi-sao-lai-suat-trai-phieu-tai-tcbs-lai-thap-hon-so-voi-cac-to-chuc-phat-hanh-khac</t>
  </si>
  <si>
    <t>https://techcombank.com/thong-tin/blog/vnd-to-myr</t>
  </si>
  <si>
    <t>Phân loại thẻ — chèn ví dụ thẻ hoàn tiền. (Theo title/meta, chưa đọc bài.)</t>
  </si>
  <si>
    <t>https://techcombank.com/thong-tin/blog/von-luu-dong-la-gi</t>
  </si>
  <si>
    <t>https://techcombank.com/thong-tin/blog/voucher-coopmart</t>
  </si>
  <si>
    <t>https://techcombank.com/thong-tin/blog/voucher-golden-gate</t>
  </si>
  <si>
    <t>https://techcombank.com/thong-tin/blog/voucher-grab</t>
  </si>
  <si>
    <t>https://techcombank.com/thong-tin/blog/voucher-jollibee</t>
  </si>
  <si>
    <t>https://techcombank.com/thong-tin/blog/voucher-katinat</t>
  </si>
  <si>
    <t>https://techcombank.com/thong-tin/blog/voucher-kfc</t>
  </si>
  <si>
    <t>https://techcombank.com/thong-tin/blog/voucher-phuc-long</t>
  </si>
  <si>
    <t>https://techcombank.com/thong-tin/blog/voucher-the-pizza-company</t>
  </si>
  <si>
    <t>Lợi ích thẻ tín dụng — hoàn tiền là một lợi ích. (Theo title/meta, chưa đọc bài.)</t>
  </si>
  <si>
    <t>https://techcombank.com/thong-tin/blog/voucher-xanh-sm</t>
  </si>
  <si>
    <t>https://techcombank.com/thong-tin/blog/xu-huong-dau-tu-trai-phieu-ky-han-duoi-mot-nam-lua-chon-an-toan-khi-thi-truong-bien-dong</t>
  </si>
  <si>
    <t>https://techcombank.com/thong-tin/blog/xu-huong-ty-gia-usd</t>
  </si>
  <si>
    <t>Title nhắc 'hoàn tiền' khi trả tiền điện bằng thẻ tín dụng. (Theo title/meta, chưa đọc bài.)</t>
  </si>
  <si>
    <t>1.1. Thẻ ghi nợ là gì?</t>
  </si>
  <si>
    <t>Thẻ ghi nợ gồm có 2 loại là thẻ ghi nợ nội địa và thẻ ghi nợ quốc tế với các tính năng như: Rút, chuyển, nạp tiền mặt tại ngân hàng và …</t>
  </si>
  <si>
    <t>Thêm ngay sau đoạn này: «Một ví dụ về thẻ ghi nợ quốc tế hướng đến lối sống xanh là thẻ Visa Debit eco card của Techcombank.»</t>
  </si>
  <si>
    <t>Anchor viết thường, cân nhắc giữ đúng chữ</t>
  </si>
  <si>
    <t>Cashback thẻ thanh toán (ghi nợ) — so sánh với thẻ tín dụng hoàn tiền. (Theo title/meta, chưa đọc bài.)</t>
  </si>
  <si>
    <t>thẻ hoàn tiền</t>
  </si>
  <si>
    <t>2.6. Thẻ tín dụng Techcombank Visa Eco</t>
  </si>
  <si>
    <t>Thêm ngay sau đoạn này: «Nếu ưu tiên thẻ thanh toán, khách hàng có thể tham khảo thêm dòng thẻ ghi nợ Techcombank Eco Card.»</t>
  </si>
  <si>
    <t>Đích là thẻ ghi nợ Eco, nguồn là thẻ tín dụng Eco – tránh nhầm</t>
  </si>
  <si>
    <t>4. Hướng dẫn tích điểm U-Point với Techcombank</t>
  </si>
  <si>
    <t>Với voucher giảm 30% tại Mr.Eco Healthy Food , Techcombank mong muốn cùng khách hàng lan tỏa lối sống “xanh - lành - khoẻ mạnh”.</t>
  </si>
  <si>
    <t>Thêm ngay sau đoạn này: «Bên cạnh đó, khách hàng yêu thích lối sống xanh có thể tìm hiểu thẻ Techcombank Eco.»</t>
  </si>
  <si>
    <t>Ưu đãi mở thẻ — hoàn tiền là ưu đãi phổ biến. (Theo title/meta, chưa đọc bài.)</t>
  </si>
  <si>
    <t>Liên kết qua ý «sống xanh»</t>
  </si>
  <si>
    <t>thẻ cashback</t>
  </si>
  <si>
    <t>3. Hướng dẫn chọn thẻ tín dụng Techcombank phù hợp</t>
  </si>
  <si>
    <t>Chi tiêu cho giáo dục, bảo hiểm? – Chọn Techcombank Visa Eco :</t>
  </si>
  <si>
    <t>Thêm dòng sau đoạn: «Xem thêm: thẻ Techcombank Eco»</t>
  </si>
  <si>
    <t>Đoạn nói thẻ tín dụng Visa Eco, trang đích là thẻ ghi nợ Eco – soát sản phẩm</t>
  </si>
  <si>
    <t>Top thẻ đáng mở — chèn ở tiêu chí chọn thẻ. (Theo title/meta, chưa đọc bài.)</t>
  </si>
  <si>
    <t>5. Lưu ý khi làm thẻ ghi nợ</t>
  </si>
  <si>
    <t>Hy vọng với những thông tin trên, khách hàng đã có thêm nhiều kiến thức về cách mở thẻ, biểu phí và những ngân hàng có nhiều ưu đãi nhất để mở thẻ.</t>
  </si>
  <si>
    <t>Thêm ngay sau đoạn này: «Nếu quan tâm đến lựa chọn thân thiện với môi trường, khách hàng có thể tìm hiểu thẻ ghi nợ Techcombank Eco.»</t>
  </si>
  <si>
    <t>5.6. Thẻ tín dụng Techcombank Visa Eco</t>
  </si>
  <si>
    <t>Thêm ngay sau đoạn này: «Nếu ưu tiên thẻ thanh toán, khách hàng có thể tham khảo thêm thẻ Eco phiên bản ghi nợ quốc tế.»</t>
  </si>
  <si>
    <t>Dùng thẻ tiết kiệm — tận dụng hoàn tiền. (Theo title/meta, chưa đọc bài.)</t>
  </si>
  <si>
    <t>4.6. Thẻ tín dụng Techcombank Visa Eco tích tới 800,000 U-Point/tháng</t>
  </si>
  <si>
    <t>Thêm ngay sau đoạn này: «Bên cạnh thẻ tín dụng, khách hàng yêu thích lối sống xanh cũng có thể tham khảo thẻ Eco phiên bản ghi nợ quốc tế.»</t>
  </si>
  <si>
    <t>2. Làm thẻ Visa mất bao nhiêu tiền?</t>
  </si>
  <si>
    <t>Thông thường, phí mở thẻ Visa Credit và Visa Debit (phiên bản vật lý) sẽ dao động từ 0 - 2,000,000 VND tùy từng ngân hàng.</t>
  </si>
  <si>
    <t>Thêm ngay sau đoạn này: «Bên cạnh các dòng thẻ phổ biến, khách hàng có thể tham khảo thẻ Eco – thẻ Visa Debit thân thiện với môi trường của Techcombank.»</t>
  </si>
  <si>
    <t>Không muốn trả phí thường niên → hủy thẻ. (Theo title/meta, chưa đọc bài.)</t>
  </si>
  <si>
    <t>4. Lời khuyên quản lý tài chính để tránh nợ nhóm 3</t>
  </si>
  <si>
    <t>Kiểm tra CIC định kỳ: Nên tra cứu báo cáo tín dụng ít nhất 1 - 2 lần/năm để kiểm soát tình hình vay nợ…</t>
  </si>
  <si>
    <t>Bôi đen cụm «Kiểm tra CIC» trong câu trên, gắn link.</t>
  </si>
  <si>
    <t>Khác anchor chỉ ở viết hoa (CIC)</t>
  </si>
  <si>
    <t>3.1. Tra cứu qua website CIC</t>
  </si>
  <si>
    <t>Bước 5: Đăng nhập vào website CIC và kiểm tra CIC cá nhân tại phần thông tin cá nhân</t>
  </si>
  <si>
    <t>Bôi đen cụm «kiểm tra CIC» trong câu trên, gắn link.</t>
  </si>
  <si>
    <t>Câu thuộc các bước – chỉ gắn link, không sửa; khác anchor ở viết hoa CIC</t>
  </si>
  <si>
    <t>Không dùng thẻ vẫn mất phí → nên hủy. (Theo title/meta, chưa đọc bài.)</t>
  </si>
  <si>
    <t>hủy thẻ tín dụng</t>
  </si>
  <si>
    <t>3.1. Tra cứu nợ xấu qua website CIC</t>
  </si>
  <si>
    <t>Bước 5 : Đăng nhập vào website CIC và kiểm tra CIC cá nhân tại phần thông tin cá nhân</t>
  </si>
  <si>
    <t>Khóa vs hủy thẻ — đối chiếu trực tiếp. (Theo title/meta, chưa đọc bài.)</t>
  </si>
  <si>
    <t>Có lịch sử tín dụng tốt, không có nợ xấu trên CIC và các hệ thống tín dụng khác</t>
  </si>
  <si>
    <t>Thêm dòng sau đoạn: «Xem thêm: cic là gì và cách kiểm tra lịch sử tín dụng»</t>
  </si>
  <si>
    <t>Danh sách điều kiện – dùng Xem thêm</t>
  </si>
  <si>
    <t>Thẻ bị khóa — chèn ở đoạn phân biệt khóa/hủy. (Theo title/meta, chưa đọc bài.)</t>
  </si>
  <si>
    <t>1. Giới thiệu gói vay 15 triệu VND trên Techcombank Mobile</t>
  </si>
  <si>
    <t>Với gói vay này, khách hàng không cần tài sản đảm bảo, chỉ cần sử dụng Techcombank Mobile, có thu nhập trên 10 triệu VND/tháng và lịch sử tín dụng tốt là có thể đăng ký vay trực tuyến.</t>
  </si>
  <si>
    <t>Thêm ngay sau đoạn này: «Bạn có thể kiểm tra cic để nắm lịch sử tín dụng của mình trước khi đăng ký.»</t>
  </si>
  <si>
    <t>1. Điểm tín dụng (Điểm CIC) là gì</t>
  </si>
  <si>
    <t>Chính vì thế, nắm rõ điểm tín dụng CIC là gì, điểm CIC b…</t>
  </si>
  <si>
    <t>Bôi đen cụm «cic là gì» trong câu trên, gắn link.</t>
  </si>
  <si>
    <t>Thẻ hết hạn: gia hạn hoặc hủy. (Theo title/meta, chưa đọc bài.)</t>
  </si>
  <si>
    <t>Trong bài viết hoa "CIC"</t>
  </si>
  <si>
    <t>1. Kiểm tra nợ xấu trong 1 phút trên website CIC</t>
  </si>
  <si>
    <t>Câu bước thao tác – chỉ bôi đen; gốc viết hoa CIC</t>
  </si>
  <si>
    <t>Lịch sử tín dụng quyết định xếp hạng tín dụng. (Theo title/meta, chưa đọc bài.)</t>
  </si>
  <si>
    <t>5. Nợ chú ý khi nào hay bao lâu thì được xóa?</t>
  </si>
  <si>
    <t>Theo quy định của CIC, nợ chú ý (nợ nhóm 2) được lưu trữ trong hệ thống tối đa 5 năm kể từ ngày khách hàng thanh toán hết nợ gốc và lãi.</t>
  </si>
  <si>
    <t>Thêm ngay sau đoạn này: «Nếu chưa rõ cic là gì, bạn có thể tìm hiểu thêm về hệ thống thông tin tín dụng này và cách tra cứu.»</t>
  </si>
  <si>
    <t>Có thể viết hoa CIC khi gắn</t>
  </si>
  <si>
    <t>Điều kiện vay — xếp hạng tín dụng là một yếu tố. (Theo title/meta, chưa đọc bài.)</t>
  </si>
  <si>
    <t>xếp hạng tín dụng cá nhân</t>
  </si>
  <si>
    <t>3. Kiểm tra lịch sử tín dụng trước khi nộp hồ sơ</t>
  </si>
  <si>
    <t>Theo Trung tâm Thông tin Tín dụng Quốc gia Việt Nam (CIC) , lịch sử tín dụng là một trong những căn cứ quan trọng để ngân hàng đánh giá khả năng trả nợ…</t>
  </si>
  <si>
    <t>Thêm ngay sau đoạn này: «Nếu chưa rõ cic là gì và cách tra cứu, bạn có thể tham khảo thêm.»</t>
  </si>
  <si>
    <t>Có thể viết hoa CIC</t>
  </si>
  <si>
    <t>2. Điều kiện vay không thế chấp doanh nghiệp</t>
  </si>
  <si>
    <t>Lịch sử tín dụng: Ngân hàng sử dụng điểm tín dụng (CIC) - một chỉ số đo lường độ uy tín và khả năng trả nợ của doanh nghiệp.</t>
  </si>
  <si>
    <t>Thêm ngay sau đoạn này: «Để hiểu CIC là gì và cách tra cứu thông tin tín dụng, bạn có thể tham khảo thêm.»</t>
  </si>
  <si>
    <t>Anchor gốc viết thường «cic», nên giữ CIC viết hoa</t>
  </si>
  <si>
    <t>Nợ xấu làm giảm xếp hạng. (Theo title/meta, chưa đọc bài.)</t>
  </si>
  <si>
    <t>3. Trễ hạn thanh toán tín dụng 1 ngày có thành nợ xấu không?</t>
  </si>
  <si>
    <t>Khách hàng trễ hạn thanh toán tín dụng 1 ngày không bị xếp vào nhóm nợ xấu nhưng sẽ bị xếp vào nhóm nợ quá hạn, ảnh hưởng tới điểm tín dụng trên hệ thống trung tâm thông tin tín dụng quốc gia (CIC).</t>
  </si>
  <si>
    <t>Thêm ngay sau đoạn này: «Tìm hiểu thêm CIC là gì và cách tự kiểm tra điểm tín dụng cá nhân.»</t>
  </si>
  <si>
    <t>Thanh toán tối thiểu — liên quan trực tiếp cách trả dư nợ. (Theo title/meta, chưa đọc bài.)</t>
  </si>
  <si>
    <t>3.1. Bước 1: Trả hết nợ tín dụng và đóng đầy đủ các phí phạt, lãi suất</t>
  </si>
  <si>
    <t>Đối với nhóm nợ 1 và 2, sau 12 tháng kể từ khi thanh toán hết dư nợ tín dụng, tên của khách hàng mới được xóa hoàn toàn trên hệ thống CIC (Credit Information Centre - Trung tâm thông tin tín dụng).</t>
  </si>
  <si>
    <t>Thêm ngay sau đoạn này: «Để hiểu rõ CIC là gì và cách tự tra cứu thông tin tín dụng cá nhân, bạn có thể tham khảo thêm bài viết chi tiết.»</t>
  </si>
  <si>
    <t>7. Giải đáp các thắc mắc khác về SPayLater</t>
  </si>
  <si>
    <t>Quá hạn → hướng dẫn các kênh thanh toán để không trễ. (Theo title/meta, chưa đọc bài.)</t>
  </si>
  <si>
    <t>Tùy vào lịch sử thanh toán, SPayLater có thể ảnh hưởng xấu đến lịch sử tín dụng của bạn hoặc không.</t>
  </si>
  <si>
    <t>Thêm ngay sau đoạn này: «Nếu chưa rõ cic là gì, bạn có thể tìm hiểu thêm về hệ thống thông tin tín dụng này.»</t>
  </si>
  <si>
    <t>thanh toán dư nợ thẻ tín dụng</t>
  </si>
  <si>
    <t>Anchor viết thường "cic" theo yêu cầu nguyên văn</t>
  </si>
  <si>
    <t>1.3. Phải chịu trách nhiệm pháp lý</t>
  </si>
  <si>
    <t>Đồng thời, khi trường hợp này xảy ra, thông tin khoản nợ của khách hàng sẽ bị chuyển thành nợ xấu trên hệ thống CIC, bị cấm tham gia bất kỳ khoả…</t>
  </si>
  <si>
    <t>Sao kê ghi số tiền và hạn thanh toán. (Theo title/meta, chưa đọc bài.)</t>
  </si>
  <si>
    <t>trả nợ thẻ tín dụng</t>
  </si>
  <si>
    <t>1. Thanh toán dư nợ đúng hạn và đầy đủ để có lịch sử tín dụng tốt</t>
  </si>
  <si>
    <t>Nếu thường xuyên thanh toán dư nợ đầy đủ và đúng hạn, điểm tín dụng tích lũy trên CIC của khách hàng sẽ tăng lên.</t>
  </si>
  <si>
    <t>Thêm ngay sau đoạn này: «Để hiểu rõ cic là gì và cách tra cứu điểm tín dụng, khách hàng có thể tham khảo thêm.»</t>
  </si>
  <si>
    <t>Nợ quá hạn — cần cách trả nợ thẻ. (Theo title/meta, chưa đọc bài.)</t>
  </si>
  <si>
    <t>2. Lời khuyên khi người vay thế chấp phát sinh nợ có vấn đề</t>
  </si>
  <si>
    <t>Lịch sử thuộc các nhóm nợ có vấn đề của người vay (nếu có) lưu trữ trên cổng thông tin của Trung tâm Thông tin Tín Dụng Quốc gia Việt Nam (CIC) trong tối đa 5 năm.</t>
  </si>
  <si>
    <t>Thêm ngay sau đoạn này: «Tìm hiểu thêm CIC là gì và cách tự kiểm tra lịch sử tín dụng cá nhân.»</t>
  </si>
  <si>
    <t>Miễn lãi khi thanh toán đúng hạn. (Theo title/meta, chưa đọc bài.)</t>
  </si>
  <si>
    <t>1. Vay tín chấp không trả được có sao không?</t>
  </si>
  <si>
    <t>Điểm tín dụng bị ảnh hưởng: Lịch sử thanh toán sẽ được cập nhật trên hệ thống CIC.</t>
  </si>
  <si>
    <t>Thêm ngay sau đoạn này: «Để hiểu CIC là gì và cách tự kiểm tra thông tin tín dụng, bạn có thể tham khảo thêm.»</t>
  </si>
  <si>
    <t>Cách 1: Kiểm tra dư nợ tín dụng trên website của CIC</t>
  </si>
  <si>
    <t>Truy cập vào website của Trung tâm Thông tin Tín dụng Quốc gia (CIC): https://cic.gov.vn/</t>
  </si>
  <si>
    <t>Thêm dòng sau đoạn: «Xem thêm: CIC là gì? Cách đăng nhập để kiểm tra CIC cá nhân miễn phí»</t>
  </si>
  <si>
    <t>Đoạn các bước – dùng Xem thêm; viết hoa "CIC"</t>
  </si>
  <si>
    <t>2.8. Dư nợ quá hạn</t>
  </si>
  <si>
    <t>Dư nợ quá hạn là dấu hiệu cảnh báo rủi ro tín dụng, có thể ảnh hưởng trực tiếp đến điểm tín dụng cá nhân (CIC), cũng như khả năng vay vốn trong tương lai.</t>
  </si>
  <si>
    <t>Thêm ngay sau đoạn này: «Để hiểu rõ hơn, bạn có thể tìm hiểu CIC là gì và cách kiểm tra thông tin tín dụng cá nhân.»</t>
  </si>
  <si>
    <t>Viết hoa "CIC"</t>
  </si>
  <si>
    <t>So sánh CD và tiết kiệm — cần định nghĩa CD. (Theo title/meta, chưa đọc bài.)</t>
  </si>
  <si>
    <t>3. Điều kiện để doanh nghiệp được cấp cam kết tín dụng</t>
  </si>
  <si>
    <t>Lịch sử tín dụng uy tín: Không có nợ xấu tại các tổ chức tín dụng (thông tin kiểm tra qua hệ thống CIC).</t>
  </si>
  <si>
    <t>5.1. Điều kiện vay hạn mức</t>
  </si>
  <si>
    <t>Không có dư nợ xấu trên hệ thống CIC (Trung tâm Tín dụng Quốc gia Việt Nam)</t>
  </si>
  <si>
    <t>Thêm dòng sau đoạn: «Xem thêm: cic là gì và cách kiểm tra miễn phí»</t>
  </si>
  <si>
    <t>Câu hỏi bản chất CD. (Theo title/meta, chưa đọc bài.)</t>
  </si>
  <si>
    <t>chứng chỉ tiền gửi</t>
  </si>
  <si>
    <t>2. 4 lợi ích khi vay trả góp</t>
  </si>
  <si>
    <t>Xây dựng tín dụng: Việc thanh toán đúng hạn mỗi tháng sẽ giúp bạn xây dựng lịch sử tín dụng tốt và cải thiện điểm tín dụng (CIC)…</t>
  </si>
  <si>
    <t>Thêm ngay sau đoạn này: «Để hiểu CIC là gì và cách tự kiểm tra, bạn có thể tham khảo thêm.»</t>
  </si>
  <si>
    <t>Lý do nên mua CD → dẫn về bài tổng quan. (Theo title/meta, chưa đọc bài.)</t>
  </si>
  <si>
    <t>3. Quy trình xét duyệt vay vốn</t>
  </si>
  <si>
    <t>Lịch sử tín dụng: Khi xét duyệt khoản vay, ngân hàng sẽ đánh giá lịch sử điểm tín dụng (CIC) - chỉ số đánh giá độ uy tín và khả năng trả nợ của doanh nghiệp.</t>
  </si>
  <si>
    <t>Thêm ngay sau đoạn này: «Để hiểu rõ cic là gì và cách tra cứu thông tin tín dụng, bạn có thể tham khảo thêm.»</t>
  </si>
  <si>
    <t>Trang đích thiên về CIC cá nhân; có thể viết hoa CIC</t>
  </si>
  <si>
    <t>Tính an toàn của CD. (Theo title/meta, chưa đọc bài.)</t>
  </si>
  <si>
    <t>Như vậy, bài viết trên đã giúp bạn giải đáp chi tiết thắc mắc “ Hạn mức vay thấu chi là gì? ”.</t>
  </si>
  <si>
    <t>Thêm ngay sau đoạn này: «Trước khi đăng ký, bạn cũng nên kiểm tra cic để nắm rõ lịch sử tín dụng của mình.»</t>
  </si>
  <si>
    <t>2. Cách kiểm tra nợ xấu tín dụng trên hệ thống CIC</t>
  </si>
  <si>
    <t>Kênh sinh lời cho tiền nhàn rỗi — CD là một kênh. (Theo title/meta, chưa đọc bài.)</t>
  </si>
  <si>
    <t>Để kiểm tra nợ xấu trên website của CIC, khách hàng cần làm theo các bước sau:</t>
  </si>
  <si>
    <t>Sửa câu thành: «Để kiểm tra CIC qua website và xem thông tin nợ xấu, khách hàng cần làm theo các bước sau:»</t>
  </si>
  <si>
    <t>1.2. Hướng dẫn kiểm tra nợ xấu</t>
  </si>
  <si>
    <t>Kiểm tra nợ xấu qua ứng dụng CIC Connect là phương pháp tiện lợi và nhanh chóng dành cho người dùng smartphone.</t>
  </si>
  <si>
    <t>Thêm ngay sau đoạn này: «Bạn có thể xem thêm hướng dẫn đăng nhập để kiểm tra CIC cá nhân miễn phí.»</t>
  </si>
  <si>
    <t>Anchor gốc viết thường «kiểm tra cic», nên giữ CIC viết hoa</t>
  </si>
  <si>
    <t>2. 5 yếu tố xác định hạn mức thẻ tín dụng</t>
  </si>
  <si>
    <t>Tính lợi nhuận CD cần mức lãi suất. (Theo title/meta, chưa đọc bài.)</t>
  </si>
  <si>
    <t>Khi đăng ký làm thẻ tín dụng, ngân hàng sẽ tiến hành kiểm tra lịch sử tín dụng của khách hàng cùng với các yếu tố khác để duyệt hồ sơ và xác định hạn mức tín dụng, bao gồm:</t>
  </si>
  <si>
    <t>Sửa câu thành: «Khi đăng ký làm thẻ tín dụng, ngân hàng sẽ tiến hành kiểm tra lịch sử tín dụng của khách hàng (bạn có thể tự kiểm tra cic trước để chủ động) cùng với các yếu tố khác để duyệt hồ sơ và xác định hạn mức tín dụng, bao gồm:»</t>
  </si>
  <si>
    <t>5. Hướng dẫn 5 bước sang ngang thẻ tín dụng</t>
  </si>
  <si>
    <t>Bước 3: Ngân hàng kiểm tra các điều kiện để đáp ứng các yêu cầu nội bộ như: Lịch sử tín dụng, dư nợ thẻ hiện tại, số lượng thẻ tín dụng đang sở hữu…</t>
  </si>
  <si>
    <t>Tất toán ảnh hưởng lợi suất — chèn ở đoạn lãi suất. (Theo title/meta, chưa đọc bài.)</t>
  </si>
  <si>
    <t>Thêm dòng sau đoạn: «Xem thêm: Cách kiểm tra CIC cá nhân miễn phí»</t>
  </si>
  <si>
    <t>lãi suất chứng chỉ tiền gửi</t>
  </si>
  <si>
    <t>3. Cách làm thẻ tín dụng ảo/phi vật lý</t>
  </si>
  <si>
    <t>Bước 1: Kiểm tra điều kiện đăng ký thẻ tín dụng của ngân hàng.</t>
  </si>
  <si>
    <t>Thêm dòng sau đoạn: «Xem thêm: Cách kiểm tra cic cá nhân trước khi đăng ký thẻ»</t>
  </si>
  <si>
    <t>Rút trước hạn mất lãi suất — chèn ở đoạn lãi. (Theo title/meta, chưa đọc bài.)</t>
  </si>
  <si>
    <t>lợi suất chứng chỉ tiền gửi</t>
  </si>
  <si>
    <t>6. Lưu ý khi sử dụng thẻ tín dụng là gì?</t>
  </si>
  <si>
    <t>Vấn đề thanh toán kỳ hạn: Nên có kế hoạch quản lý chi tiêu hợp lý, không nên sử dụng tối đa hạn mức thẻ, kiểm tra sao kê hàng tháng và hóa đơn thanh toán…</t>
  </si>
  <si>
    <t>Thêm ngay sau đoạn này: «Thanh toán đúng hạn giúp duy trì lịch sử tín dụng tốt, khách hàng có thể kiểm tra cic để theo dõi tình trạng này.»</t>
  </si>
  <si>
    <t>Giá chuyển nhượng phụ thuộc lãi suất. (Theo title/meta, chưa đọc bài.)</t>
  </si>
  <si>
    <t>3. Lưu ý khi huỷ thẻ tín dụng</t>
  </si>
  <si>
    <t>Kiểm tra sao kê kỳ cuối: Sau khi huỷ, nên theo dõi thêm một kỳ sao kê nữa để chắc chắn không còn phát sinh phí hay giao dịch mới</t>
  </si>
  <si>
    <t>Thêm ngay sau đoạn này: «Bạn cũng có thể kiểm tra cic để chắc chắn khoản dư nợ thẻ đã được cập nhật tất toán.»</t>
  </si>
  <si>
    <t>4.2. Mở thẻ tín dụng trực tiếp tại phòng giao dịch</t>
  </si>
  <si>
    <t>Trước khi đi, hãy đọc bài viết Điều kiện, thủ tục và cách mở thẻ tín dụng tại ngân hàng để cập nhật thông tin với nhất về điều kiện và hồ sơ mở thẻ.</t>
  </si>
  <si>
    <t>Thêm ngay sau đoạn này: «Ngân hàng thường xem xét lịch sử tín dụng khi duyệt thẻ, vì vậy bạn có thể kiểm tra cic trước khi đăng ký.»</t>
  </si>
  <si>
    <t>3. Điều kiện đăng ký tín dụng doanh nghiệp</t>
  </si>
  <si>
    <t>Bước 4 - Xét duyệt hồ sơ: Ngân hàng sẽ tiến hành xét duyệt hồ sơ vay vốn.</t>
  </si>
  <si>
    <t>Thêm dòng sau đoạn: «Xem thêm: cách kiểm tra cic miễn phí»</t>
  </si>
  <si>
    <t>Bài tổng quan tiền Trung Quốc — dẫn sang quy đổi 1 tệ. (Theo title/meta, chưa đọc bài.)</t>
  </si>
  <si>
    <t>1. Vay trả góp đưa trước 100 triệu VND được không?</t>
  </si>
  <si>
    <t>Khả năng mua nhà còn phụ thuộc vào giá trị bất động sản, tỷ lệ vay được ngân hàng chấp thuận, giá trị tài sản bảo đảm, thu nhập, lịch sử tín dụng và khả năng chi trả các khoản phát sinh.</t>
  </si>
  <si>
    <t>Thêm ngay sau đoạn này: «Bạn có thể kiểm tra cic để nắm rõ lịch sử tín dụng của mình trước khi nộp hồ sơ vay.»</t>
  </si>
  <si>
    <t>Có thể viết hoa CIC khi gắn nếu anchor cho phép</t>
  </si>
  <si>
    <t>3. Nộp hồ sơ và chờ kết quả xét duyệt</t>
  </si>
  <si>
    <t>Trong giai đoạn thẩm định, lịch sử tín dụng là yếu tố đặc biệt quan trọng.</t>
  </si>
  <si>
    <t>Thêm ngay sau đoạn này: «Trước khi nộp hồ sơ, bạn có thể tự kiểm tra CIC để nắm rõ lịch sử tín dụng của mình.»</t>
  </si>
  <si>
    <t>Bài anh em mệnh giá 1 vạn tệ. (Theo title/meta, chưa đọc bài.)</t>
  </si>
  <si>
    <t>tỷ giá Nhân dân tệ</t>
  </si>
  <si>
    <t>4. Kiểm tra lịch sử tín dụng như thế nào?</t>
  </si>
  <si>
    <t>Cách 1: Tra cứu lịch sử tín dụng qua website CIC</t>
  </si>
  <si>
    <t>Thêm dòng sau đoạn: «Xem thêm: Hướng dẫn tra cứu cic cá nhân miễn phí»</t>
  </si>
  <si>
    <t>Phần các bước – dùng Xem thêm; có thể viết hoa CIC</t>
  </si>
  <si>
    <t>Bài anh em mệnh giá 1000 tệ. (Theo title/meta, chưa đọc bài.)</t>
  </si>
  <si>
    <t>1. Nợ nhóm 2 là gì?</t>
  </si>
  <si>
    <t>Người vay có thể tra cứu tình trạng nợ của mình bao gồm nhóm nợ, lịch sử thanh toán và điểm tín dụng thông qua website chính thức của Trung tâm Thông tin Tín dụng Quốc gia Việt Nam (CIC).</t>
  </si>
  <si>
    <t>Sửa câu thành: «Người vay có thể tra cứu CIC để biết tình trạng nợ của mình bao gồm nhóm nợ, lịch sử thanh toán và điểm tín dụng thông qua website chính thức của Trung tâm Thông tin Tín dụng Quốc gia Việt Nam.»</t>
  </si>
  <si>
    <t>5. Kiểm tra xếp hạng tín dụng ở đâu?</t>
  </si>
  <si>
    <t>Thêm dòng sau đoạn: «Xem thêm: hướng dẫn tra cứu CIC cá nhân miễn phí»</t>
  </si>
  <si>
    <t>Mục các bước – dùng Xem thêm; anchor gốc viết thường «cic»</t>
  </si>
  <si>
    <t>Du lịch Trung Quốc cần quy đổi tệ. (Theo title/meta, chưa đọc bài.)</t>
  </si>
  <si>
    <t>3. Các yếu tố xác định hạn mức vay thế chấp sổ đỏ</t>
  </si>
  <si>
    <t>Để xác định hạn mức thế chấp cho vay, ngân hàng sẽ dựa vào các yếu tố như thông tin của người vay (thông tin pháp lý cá nhân, lịch sử tín dụng; tình hình tài chính...)…</t>
  </si>
  <si>
    <t>Thêm ngay sau đoạn này: «Trước khi nộp hồ sơ, bạn có thể tra cứu cic để nắm rõ lịch sử tín dụng của mình.»</t>
  </si>
  <si>
    <t>6. Duy trì lịch sử tín dụng tốt</t>
  </si>
  <si>
    <t>Để đánh giá được mức độ uy tín của từng khách hàng, các ngân hàng sẽ tra cứu thông tin về lịch sử tín dụng trên Trung tâm Thông tin Tín Dụng Quốc Gia CIC…</t>
  </si>
  <si>
    <t>Thêm ngay sau đoạn này: «Bạn có thể tự tra cứu cic trước khi nộp hồ sơ để nắm rõ tình trạng tín dụng của mình.»</t>
  </si>
  <si>
    <t>2. Điều kiện vay tín chấp hạn mức cao</t>
  </si>
  <si>
    <t>Năng lực tài chính: Yếu tố này liên quan chỉ số dư nợ trên tổng thu nhập (DTI).</t>
  </si>
  <si>
    <t>Thêm ngay sau đoạn này: «Để hiểu CIC là gì và cách tự kiểm tra dư nợ của mình, bạn có thể tham khảo thêm.»</t>
  </si>
  <si>
    <t>Xu hướng tỷ giá USD — người đọc cần tỷ giá hiện tại. (Theo title/meta, chưa đọc bài.)</t>
  </si>
  <si>
    <t>1. Yêu cầu về hạn mức thẻ tín dụng khi thanh toán trả góp</t>
  </si>
  <si>
    <t>Khách hàng nên kiểm tra biến động số dư hạn mức sau mỗi tháng thanh toán thành công để biết hạn mức khả dụng có thể chi tiêu trong tháng đó.</t>
  </si>
  <si>
    <t>Thêm ngay sau đoạn này: «Bên cạnh đó, bạn có thể kiểm tra cic định kỳ để theo dõi lịch sử tín dụng của mình.»</t>
  </si>
  <si>
    <t>3. Quy trình giải ngân của ngân hàng</t>
  </si>
  <si>
    <t>Kiểm tra và hoàn tất hồ sơ: Ngân hàng tiến hành kiểm tra tính đầy đủ và hợp lệ của hợp đồng vay vốn và các giấy tờ liên quan.</t>
  </si>
  <si>
    <t>Thêm ngay sau đoạn này: «Trước khi nộp hồ sơ vay, bạn có thể chủ động kiểm tra CIC để nắm tình trạng tín dụng của mình.»</t>
  </si>
  <si>
    <t>Mua USD cần biết 1 USD bằng bao nhiêu VND. (Theo title/meta, chưa đọc bài.)</t>
  </si>
  <si>
    <t>1 đô bằng bao nhiêu tiền Việt</t>
  </si>
  <si>
    <t>5. Hướng dẫn cách ghi chép chi tiêu bằng excel, google sheets</t>
  </si>
  <si>
    <t>Khi hiểu rõ dòng tiền đi đâu và vì sao, bạn sẽ dễ dàng điều chỉnh kế hoạch, tối ưu tiết kiệm và hướng tới sự tự do tài chính b…</t>
  </si>
  <si>
    <t>Thêm ngay sau đoạn này: «Bên cạnh chi tiêu, bạn cũng nên định kỳ kiểm tra CIC để theo dõi tình trạng tín dụng của mình.»</t>
  </si>
  <si>
    <t>Bài anh em (cent = 1/100 USD). (Theo title/meta, chưa đọc bài.)</t>
  </si>
  <si>
    <t>tỷ giá USD/VND</t>
  </si>
  <si>
    <t>3.2. Mở thẻ tín dụng trực tiếp tại phòng giao dịch</t>
  </si>
  <si>
    <t>Ở góc độ tài chính dài hạn, khách hàng cũng có thể tham khảo thêm việc có nên vay ngân hàng mua nhà để đưa ra các kế hoạch sử dụng thẻ và quản lý tín dụng…</t>
  </si>
  <si>
    <t>Thêm ngay sau đoạn này: «Trước khi đăng ký, khách hàng có thể kiểm tra cic để nắm rõ lịch sử tín dụng của mình.»</t>
  </si>
  <si>
    <t>Nên viết hoa «CIC» khi gắn nếu hệ thống cho phép</t>
  </si>
  <si>
    <t>Tiết kiệm USD — quy đổi sang VND. (Theo title/meta, chưa đọc bài.)</t>
  </si>
  <si>
    <t>3. Loại giao dịch đủ điều kiện miễn lãi 55 ngày</t>
  </si>
  <si>
    <t>Nếu không trả đầy đủ và đúng hạn tại 1 chu kỳ thanh toán, toàn bộ chi tiêu ở chu kỳ kế tiếp sẽ bị tính lãi ngay từ ngày giao dịch đầu tiên.</t>
  </si>
  <si>
    <t>Thêm ngay sau đoạn này: «Việc trả nợ đúng hạn cũng giúp duy trì lịch sử tín dụng tốt, khách hàng có thể kiểm tra cic để theo dõi.»</t>
  </si>
  <si>
    <t>5.1. Cách làm thẻ MasterCard tại phòng giao dịch</t>
  </si>
  <si>
    <t>Khách hàng có thể đến phòng giao dịch để đăng ký mở thẻ thanh toán, thẻ tín dụng và thẻ trả trước MasterCard.</t>
  </si>
  <si>
    <t>Thêm ngay sau đoạn này: «Trước khi đăng ký thẻ tín dụng, khách hàng có thể kiểm tra cic để nắm rõ lịch sử tín dụng của mình.»</t>
  </si>
  <si>
    <t>Chuyển tiền từ Mỹ — quy đổi USD. (Theo title/meta, chưa đọc bài.)</t>
  </si>
  <si>
    <t>3. Cách lập kế hoạch tài chính với phương pháp 6 chiếc lọ chi tiêu</t>
  </si>
  <si>
    <t>Công cụ nhắc nhở và lập kế hoạch: Sử dụng Google Calendar hoặc các ứng dụng tương tự như Evernote hoặc Notion để thiết lập lịch kiểm tra tài chính định kỳ…</t>
  </si>
  <si>
    <t>Thêm ngay sau đoạn này: «Bên cạnh đó, bạn có thể định kỳ kiểm tra cic để nắm rõ tình trạng tín dụng của mình.»</t>
  </si>
  <si>
    <t>4. Lưu ý quan trọng khi thế chấp tài sản</t>
  </si>
  <si>
    <t>Techcombank tự hào mang đến dịch vụ minh bạch và giải pháp vay vốn tối ưu cho mọi nhu cầu tài chính.</t>
  </si>
  <si>
    <t>Thêm ngay sau đoạn này: «Trước khi nộp hồ sơ vay, bạn có thể kiểm tra cic để nắm lịch sử tín dụng của mình.»</t>
  </si>
  <si>
    <t>Du lịch Nhật cần biết mệnh giá tiền Nhật. (Theo title/meta, chưa đọc bài.)</t>
  </si>
  <si>
    <t>6. Câu hỏi thường gặp</t>
  </si>
  <si>
    <t>Trong quá trình làm việc với ngân hàng, nhiều khách hàng cũng quan tâm đến các sản phẩm tín dụng khác như vay xây nhà ngân hàng chính sách , vốn đòi hỏi qu…</t>
  </si>
  <si>
    <t>Thêm ngay sau đoạn này: «Trước khi vay, khách hàng có thể kiểm tra cic để nắm rõ lịch sử tín dụng của mình.»</t>
  </si>
  <si>
    <t>5.4. Theo dõi tài khoản thường xuyên</t>
  </si>
  <si>
    <t>Chuyển tiền từ Nhật — liên quan tiền Yên. (Theo title/meta, chưa đọc bài.)</t>
  </si>
  <si>
    <t>Thường xuyên kiểm tra lịch sử giao dịch thẻ của bạn qua ứng dụng ngân hàng hoặc thông báo SMS là một cách hiệu quả để kịp thời phát hiện các giao dịch lạ hoặc có dấu hiệu gian lận.</t>
  </si>
  <si>
    <t>Thêm ngay sau đoạn này: «Bên cạnh lịch sử giao dịch, bạn cũng có thể định kỳ tra cứu cic để nắm tình trạng tín dụng của mình.»</t>
  </si>
  <si>
    <t>tiền Yên Nhật</t>
  </si>
  <si>
    <t>2. Kiểm tra bằng dịch vụ Mobile Banking</t>
  </si>
  <si>
    <t>Khách hàng có thể tra cứu hạn mức thẻ tín dụng mọi lúc mọi nơi, nhanh chóng và miễn phí qua Mobile Banking.</t>
  </si>
  <si>
    <t>Thêm dòng sau đoạn: «Xem thêm: cách tra cứu cic miễn phí để theo dõi lịch sử tín dụng»</t>
  </si>
  <si>
    <t>Bài quy đổi 1 Yên dẫn về tổng quan tiền Nhật. (Theo title/meta, chưa đọc bài.)</t>
  </si>
  <si>
    <t>Hiện nay, có nhiều khách hàng lầm tưởng rằng rút tiền thẻ tín dụng không mất phí, lạm dụng rút tiền từ thẻ tín dụng dẫn đến việc phải chịu lãi suất lớn…</t>
  </si>
  <si>
    <t>Bôi đen cụm «rút tiền thẻ tín dụng» trong câu trên, gắn link.</t>
  </si>
  <si>
    <t>Bài 1 Man dẫn về mệnh giá tiền Nhật. (Theo title/meta, chưa đọc bài.)</t>
  </si>
  <si>
    <t>8. Giải pháp tài chính khi cần tiền gấp</t>
  </si>
  <si>
    <t>Thẻ tín dụng cũng là một giải pháp giúp người dùng giải quyết nhanh chóng các tình huống cần tiền đột xuất khi cho phép người dùng có thể rút tối đa 80% tiền mặt từ hạn mức thẻ tại cây ATM.</t>
  </si>
  <si>
    <t>Thêm ngay sau đoạn này: «Chủ thẻ nên tìm hiểu kỹ cách rút tiền thẻ tín dụng và các khoản phí liên quan trước khi thực hiện.»</t>
  </si>
  <si>
    <t>5. Câu hỏi thường gặp</t>
  </si>
  <si>
    <t>Tùy thuộc vào hình thức vay tín dụng, trong một số trường hợp bạn có thể rút tiền mặt từ thẻ tín dụng hoặc tài khoản tín dụng.</t>
  </si>
  <si>
    <t>Thêm ngay sau đoạn này: «Trước khi rút tiền thẻ tín dụng, bạn nên tìm hiểu kỹ phí và lãi suất áp dụng.»</t>
  </si>
  <si>
    <t>Bài anh em mệnh giá 1000 Yên. (Theo title/meta, chưa đọc bài.)</t>
  </si>
  <si>
    <t>Bài tổng quan tiền Nhật — đoạn tỷ giá dẫn sang quy đổi 1 Yên. (Theo title/meta, chưa đọc bài.)</t>
  </si>
  <si>
    <t>4. Lưu ý khi rút tiền mặt từ thẻ Visa</t>
  </si>
  <si>
    <t>Khi rút tiền bằng thẻ tín dụng, người dùng sẽ cần trả một khoản phí rút tiền…</t>
  </si>
  <si>
    <t>tỷ giá Yên Nhật</t>
  </si>
  <si>
    <t>Thêm ngay sau đoạn này: «Khách hàng có thể tham khảo thêm hướng dẫn và lưu ý khi rút tiền thẻ tín dụng để hạn chế chi phí.»</t>
  </si>
  <si>
    <t>1 Man = 10.000 Yên — dẫn sang tỷ giá 1 Yên. (Theo title/meta, chưa đọc bài.)</t>
  </si>
  <si>
    <t>2. Lý do thẻ tín dụng không chuyển được tiền</t>
  </si>
  <si>
    <t>Thẻ tín dụng chỉ có tính năng thanh toán hàng hóa/dịch vụ, rút tiền mặt và trả góp.</t>
  </si>
  <si>
    <t>Thêm ngay sau đoạn này: «Khách hàng có thể tham khảo cách rút tiền thẻ tín dụng và các lưu ý về phí trước khi thực hiện.»</t>
  </si>
  <si>
    <t>Chuyển tiền từ Nhật — quy đổi JPY/VND. (Theo title/meta, chưa đọc bài.)</t>
  </si>
  <si>
    <t>4. Cần phải làm gì khi quá hạn thanh toán thẻ tín dụng 1 ngày?</t>
  </si>
  <si>
    <t>Sau khi thanh toán xong nợ quá hạn, khách hàng nên chú ý sử dụng thẻ tín dụng đúng theo thỏa thuận với ngân hàng, không tiếp tục chậm thanh toán dư nợ, lạm dụng rút tiền...</t>
  </si>
  <si>
    <t>Sửa câu thành: «Sau khi thanh toán xong nợ quá hạn, khách hàng nên chú ý sử dụng thẻ tín dụng đúng theo thỏa thuận với ngân hàng, không tiếp tục chậm thanh toán dư nợ, lạm dụng rút tiền thẻ tín dụng... để có thể xây dựng lại uy tín tín dụng…»</t>
  </si>
  <si>
    <t>4. Hướng dẫn sử dụng thẻ tín dụng an toàn từ Techcombank</t>
  </si>
  <si>
    <t>Kiểm tra cây ATM trước khi rút tiền: Nếu có nhu cầu rút tiền từ thẻ tín dụng, khách hàng nên lấy tay che lại các thao tác nhập mã PIN để bảo mật thông tin.</t>
  </si>
  <si>
    <t>Thêm dòng sau đoạn: «Xem thêm: Cách rút tiền thẻ tín dụng và các lưu ý về phí»</t>
  </si>
  <si>
    <t>Bài anh em mệnh giá 1 triệu Won. (Theo title/meta, chưa đọc bài.)</t>
  </si>
  <si>
    <t>1.1. Thẻ tín dụng quốc tế là gì?</t>
  </si>
  <si>
    <t>Chủ thẻ được ngân hàng cho mượn một số tiền nhất định để thực hiện các giao dịch: Thanh toán dịch vụ trực tiếp tại quầy, thanh toán online, rút tiền mặt, chuyển đổi trả góp…</t>
  </si>
  <si>
    <t>Thêm ngay sau đoạn này: «Trước khi rút tiền thẻ tín dụng, chủ thẻ nên tìm hiểu kỹ phí và lãi phát sinh.»</t>
  </si>
  <si>
    <t>4.5. Thẻ Visa phi vật lý có rút tiền được không?</t>
  </si>
  <si>
    <t>Chủ thẻ có thể rút tiền từ tài khoản thanh toán liên kết với thẻ ghi nợ phi vật lý, tuy nhiên không thể rút tiền từ tài khoản liên kết với thẻ tín dụng phi vật lý.</t>
  </si>
  <si>
    <t>Thêm ngay sau đoạn này: «Với thẻ tín dụng vật lý, khách hàng có thể tham khảo cách rút tiền thẻ tín dụng và các lưu ý về phí.»</t>
  </si>
  <si>
    <t>Bài anh em 1000 Won. (Theo title/meta, chưa đọc bài.)</t>
  </si>
  <si>
    <t>tỷ giá Won</t>
  </si>
  <si>
    <t>Đăng ký chuyển đổi trả góp với giao dịch rút tiền mặt từ thẻ tín dụng để tận dụng ưu đãi phí và chia nhỏ khoản tiền để trả vào các kỳ sao kê sau.</t>
  </si>
  <si>
    <t>Thêm ngay sau đoạn này: «Trước khi giao dịch, bạn nên tìm hiểu kỹ cách rút tiền thẻ tín dụng và các khoản phí liên quan.»</t>
  </si>
  <si>
    <t>1. Cách rút tiền ATM với thẻ ATM</t>
  </si>
  <si>
    <t>Rút tiền ATM với thẻ ngân hàng là cách làm thường được sử dụng nhờ sự tiện lợi, nhanh chóng.</t>
  </si>
  <si>
    <t>Thêm ngay sau đoạn này: «Với thẻ tín dụng, bạn có thể tham khảo cách rút tiền thẻ tín dụng và các khoản phí cần lưu ý.»</t>
  </si>
  <si>
    <t>Du lịch Hàn Quốc cần quy đổi Won. (Theo title/meta, chưa đọc bài.)</t>
  </si>
  <si>
    <t>2. Phải đóng những phí gì khi sử dụng thẻ tín dụng?</t>
  </si>
  <si>
    <t>Ngoài ra, đối với những trường hợp đặc biệt như rút tiền mặt trực tiếp từ thẻ tín dụng hoặc thanh toán dư nợ tín dụng chậm, khách hàng sẽ cần chi trả thêm lãi suất thẻ tín dụng…</t>
  </si>
  <si>
    <t>Sửa câu thành: «Ngoài ra, đối với những trường hợp đặc biệt như rút tiền thẻ tín dụng tại ATM hoặc thanh toán dư nợ tín dụng chậm, khách hàng sẽ cần chi trả thêm lãi suất thẻ tín dụng , dao động trong khoảng 20 - 40%/năm.»</t>
  </si>
  <si>
    <t>2.4. Cách thức trả dư nợ thẻ tín dụng Techcombank</t>
  </si>
  <si>
    <t>Như vậy, bài viết trên đã tổng hợp các cách sử dụng thẻ Visa Techcombank để thực hiện nhiều giao dịch tiện ích cho cuộc sống như rút tiền, thanh toán online, thanh toán dịch vụ trực tiếp…</t>
  </si>
  <si>
    <t>Chuyển tiền Hàn về VN — tỷ giá Won. (Theo title/meta, chưa đọc bài.)</t>
  </si>
  <si>
    <t>Thêm ngay sau đoạn này: «Riêng với thẻ tín dụng, bạn nên tìm hiểu kỹ cách rút tiền thẻ tín dụng và các khoản phí trước khi giao dịch.»</t>
  </si>
  <si>
    <t>2. Rút tiền bằng thẻ tín dụng cần sử dụng mã PIN không?</t>
  </si>
  <si>
    <t>Do đó, khách hàng TUYỆT ĐỐI không nên lạm dụng rút tiền từ thẻ tín dụng để chi tiêu, trừ trường hợp bất khả kháng.</t>
  </si>
  <si>
    <t>Thêm ngay sau đoạn này: «Khách hàng có thể tham khảo thêm các lưu ý khi rút tiền thẻ tín dụng để hạn chế chi phí phát sinh.»</t>
  </si>
  <si>
    <t>So sánh tỷ giá các ngân hàng — chèn ở mục KRW. (Theo title/meta, chưa đọc bài.)</t>
  </si>
  <si>
    <t>1.1. Khái niệm thẻ Visa (Visa Card)</t>
  </si>
  <si>
    <t>Chủ yếu người dùng thường sử dụng thẻ Visa để mua sắm, thanh toán dịch vụ, chuyển/nạp/rút tiền mặt, trả góp, vay tín dụng...</t>
  </si>
  <si>
    <t>Thêm ngay sau đoạn này: «Riêng với thẻ tín dụng Visa, khách hàng nên tìm hiểu kỹ phí và lãi trước khi rút tiền thẻ tín dụng.»</t>
  </si>
  <si>
    <t>3. Tìm cây ATM gần đây nhất qua ngân hàng số</t>
  </si>
  <si>
    <t>Việc tìm ATM qua ứng dụng ngân hàng không chỉ nhanh chóng mà còn đảm bảo thông tin chính xác, kèm theo các dịch vụ liên quan như lịch sử giao dịch, hạn mức rút tiền…</t>
  </si>
  <si>
    <t>Thêm ngay sau đoạn này: «Nếu cần tiền mặt gấp, bạn cũng nên tìm hiểu kỹ quy định và chi phí khi rút tiền thẻ tín dụng tại ATM.»</t>
  </si>
  <si>
    <t>Khách hàng vẫn có thể sử dụng thẻ ghi nợ để rút tiền tại các cây ATM thuộc ngân hàng khác, tuy nhiên khách hàng sẽ cần phải chi trả thêm phí rút tiền…</t>
  </si>
  <si>
    <t>Thêm ngay sau đoạn này: «Nếu dùng thẻ tín dụng, bạn có thể tham khảo cách rút tiền thẻ tín dụng và các khoản phí liên quan.»</t>
  </si>
  <si>
    <t>Bài anh em 1 vạn Đài tệ. (Theo title/meta, chưa đọc bài.)</t>
  </si>
  <si>
    <t>3. Giải đáp một số thắc mắc khi sử dụng thẻ ghi nợ rút tiền mặt</t>
  </si>
  <si>
    <t>Thông thường, khách hàng sử dụng thẻ ghi nợ để rút tiền mặt có thể mất một khoản phí khoảng từ 0 - 3.500 VND tùy theo chính sách của từng ngân hàng.</t>
  </si>
  <si>
    <t>Thêm ngay sau đoạn này: «Khác với thẻ ghi nợ, khi rút tiền thẻ tín dụng, khách hàng thường phải chịu mức phí và lãi cao hơn nên cần cân nhắc kỹ.»</t>
  </si>
  <si>
    <t>Định nghĩa ngoại tệ; chèn ví dụ Đài tệ. (Theo title/meta, chưa đọc bài.)</t>
  </si>
  <si>
    <t>Tân Đài tệ</t>
  </si>
  <si>
    <t>Chỉ hỗ trợ thanh toán POS/rút tiền tại ATM tại một số quốc gia: Nếu như sử dụng thẻ tín dụng quốc tế (Visa, MasterCard, JCB…) , khách hàng có thể quẹt thẻ/rút tiền tại hơn 200 quốc gia…</t>
  </si>
  <si>
    <t>Thêm ngay sau đoạn này: «Trước khi rút tiền thẻ tín dụng ở nước ngoài, khách hàng nên tìm hiểu kỹ phí và hạn mức áp dụng.»</t>
  </si>
  <si>
    <t>Bảng tỷ giá — chèn ở mục TWD. (Theo title/meta, chưa đọc bài.)</t>
  </si>
  <si>
    <t>tỷ giá Đài tệ</t>
  </si>
  <si>
    <t>7. Một số câu hỏi thường gặp về thẻ ghi nợ quốc tế Visa Debit</t>
  </si>
  <si>
    <t>Để phân biệt rõ hơn và sử dụng được tối ưu tiềm lực của từng loại thẻ, khách hàng nên tìm hiểu thêm tính năng và lợi ích riêng biệt mà thẻ ghi nợ và thẻ tín dụng mang lại.</t>
  </si>
  <si>
    <t>Thêm ngay sau đoạn này: «Chẳng hạn, khi cần tiền mặt, khách hàng nên tìm hiểu kỹ điều kiện và chi phí rút tiền thẻ tín dụng trước khi thực hiện.»</t>
  </si>
  <si>
    <t>Mua ngoại tệ đi du lịch — chèn ví dụ Đài Loan. (Theo title/meta, chưa đọc bài.)</t>
  </si>
  <si>
    <t>3. In mã QR ngân hàng có mất phí không?</t>
  </si>
  <si>
    <t>Tương tự, khi sử dụng thẻ tín dụng để rút tiền mặt, bạn cũng cần lưu ý về phí rút tiền thẻ tín dụng Techcombank , vì phí này có thể ảnh hưởng t…</t>
  </si>
  <si>
    <t>Kiểm tra cụm này đã có link phí chưa</t>
  </si>
  <si>
    <t>Tổng quan tiền Nhật — đoạn mệnh giá 10.000 Yên dẫn sang 1 Man. (Theo title/meta, chưa đọc bài.)</t>
  </si>
  <si>
    <t>Bài 1 Yên — chèn ở đoạn quy đổi mệnh giá lớn. (Theo title/meta, chưa đọc bài.)</t>
  </si>
  <si>
    <t>1 Man Nhật</t>
  </si>
  <si>
    <t>2.3. Thẻ thanh toán/tín dụng</t>
  </si>
  <si>
    <t>Với thẻ thanh toán/tín dụng, Merchant có thể linh hoạt sử cho mục đích kinh doanh như quẹt thẻ thanh toán, rút tiền, chạy quảng cáo…</t>
  </si>
  <si>
    <t>Thêm ngay sau đoạn này: «Lưu ý, rút tiền thẻ tín dụng thường phát sinh phí và lãi, khách hàng nên cân nhắc trước khi giao dịch.»</t>
  </si>
  <si>
    <t>Bài 1000 Yên — dẫn sang 1 Man. (Theo title/meta, chưa đọc bài.)</t>
  </si>
  <si>
    <t>Người lao động Nhật hay tính lương theo 'man'. (Theo title/meta, chưa đọc bài.)</t>
  </si>
  <si>
    <t>1.3. Lưu ý khi sử dụng séc để rút tiền mặt từ tài khoản doanh nghiệp</t>
  </si>
  <si>
    <t>Tài khoản doanh nghiệp có 2 loại thẻ phổ biến bao gồm thẻ ghi nợ và thẻ tín dụng.</t>
  </si>
  <si>
    <t>Du lịch Nhật; chèn ở đoạn chuẩn bị tiền mặt. (Theo title/meta, chưa đọc bài.)</t>
  </si>
  <si>
    <t>Thêm ngay sau đoạn này: «Nếu sử dụng thẻ tín dụng, doanh nghiệp nên tìm hiểu kỹ phí và lãi suất khi rút tiền thẻ tín dụng.»</t>
  </si>
  <si>
    <t>5. Một số lưu ý quan trọng khi sử dụng CDM</t>
  </si>
  <si>
    <t>Máy CDM mang đến giải pháp giao dịch tiện lợi, nhanh chóng và an toàn , giúp bạn nộp, rút tiền, chuyển khoản và kiểm tra số dư mà không cần xếp hàng tại quầy.</t>
  </si>
  <si>
    <t>Thêm ngay sau đoạn này: «Trường hợp cần rút tiền thẻ tín dụng, bạn nên tìm hiểu trước các khoản phí và lãi phát sinh.»</t>
  </si>
  <si>
    <t>Bài nói về CDM, liên quan vừa phải</t>
  </si>
  <si>
    <t>2. 8+ ngân hàng hỗ trợ rút tiền bằng mã QR khác ngân hàng không cần thẻ</t>
  </si>
  <si>
    <t>Du lịch Thái cần biết tiền Thái. (Theo title/meta, chưa đọc bài.)</t>
  </si>
  <si>
    <t>Khách hàng có thẻ NAPAS và sử dụng Mobile Banking của 8 ngân hàng trên có thể thực hiện rút tiền trên hệ thống ATM thông qua phương thức quét mã QR mà không cần mang theo thẻ ngân hàng.</t>
  </si>
  <si>
    <t>Thêm ngay sau đoạn này: «Nếu muốn rút tiền thẻ tín dụng, bạn nên tìm hiểu kỹ phí và lãi suất trước khi giao dịch.»</t>
  </si>
  <si>
    <t>6. Có nên làm thẻ Visa không?</t>
  </si>
  <si>
    <t>Thẻ Visa có thể dùng để thực hiện thanh toán nội địa và quốc tế nhanh chóng mà không cần thủ tục, quá trình quy đổi rườm rà.</t>
  </si>
  <si>
    <t>Thêm ngay sau đoạn này: «Với thẻ tín dụng Visa, khách hàng nên tìm hiểu kỹ phí và lãi trước khi rút tiền thẻ tín dụng.»</t>
  </si>
  <si>
    <t>Thanh toán QR ở Thái — liên quan quy đổi Baht. (Theo title/meta, chưa đọc bài.)</t>
  </si>
  <si>
    <t>tiền Baht Thái</t>
  </si>
  <si>
    <t>Mua ngoại tệ đi du lịch — ví dụ Baht. (Theo title/meta, chưa đọc bài.)</t>
  </si>
  <si>
    <t>tiền Baht</t>
  </si>
  <si>
    <t>Khách hàng không rút được tiền nếu số dư khả dụng trong tài khoản thanh toán liên kết với thẻ ATM thấp hơn số tiền muốn rút (đã bao gồm các loại phí nếu có).</t>
  </si>
  <si>
    <t>Thêm ngay sau đoạn này: «Nếu cần tiền mặt gấp khi tài khoản không đủ số dư, bạn có thể cân nhắc rút tiền thẻ tín dụng nhưng cần lưu ý phí và lãi phát sinh.»</t>
  </si>
  <si>
    <t>Checklist du lịch — mục đổi tiền. (Theo title/meta, chưa đọc bài.)</t>
  </si>
  <si>
    <t>2. Hướng dẫn rút tiền bằng mã QR nhanh, không cần thẻ ATM</t>
  </si>
  <si>
    <t>Trên màn hình điện thoại, người dùng lần lượt chọn Loại thẻ (thẻ tín dụng/thẻ ghi nợ), Số thẻ , Tài khoản rút tiền và Số tiền cần rút…</t>
  </si>
  <si>
    <t>Thêm dòng sau đoạn: «Xem thêm: Cách rút tiền thẻ tín dụng và lưu ý về phí»</t>
  </si>
  <si>
    <t>Đoạn thao tác – dùng Xem thêm</t>
  </si>
  <si>
    <t>Ở thời điểm hiện tại, thẻ ngân hàng không chỉ phục vụ mục đích rút tiền mà còn dùng để giao dịch thanh toán trực tiếp tại các điểm chấp nhận thẻ hoặc thanh toán online trê…</t>
  </si>
  <si>
    <t>Thêm ngay sau đoạn này: «Bạn có thể tham khảo thêm các lưu ý khi rút tiền thẻ tín dụng để sử dụng thẻ hiệu quả.»</t>
  </si>
  <si>
    <t>Thanh toán thẻ quốc tế khi du lịch — chèn ở đoạn tiền mặt. (Theo title/meta, chưa đọc bài.)</t>
  </si>
  <si>
    <t>5. So sánh tiền gửi không kỳ hạn và tiền gửi có kỳ hạn</t>
  </si>
  <si>
    <t>Song song với việc gửi tiền, nhiều khách hàng cũng chú ý đến yếu tố bảo mật trong giao dịch, chẳng hạn như thắc mắc thẻ tín dụng có mã pin không…</t>
  </si>
  <si>
    <t>Thêm ngay sau đoạn này: «Riêng với thẻ tín dụng, khách hàng nên tìm hiểu kỹ phí trước khi rút tiền thẻ tín dụng.»</t>
  </si>
  <si>
    <t>Đoạn đã có 1 link chèn ngang – cân nhắc mật độ</t>
  </si>
  <si>
    <t>Bài 1 USD — chèn ở đoạn quy đổi số tiền lớn. (Theo title/meta, chưa đọc bài.)</t>
  </si>
  <si>
    <t>2. Hạn mức tín dụng sẽ thay đổi như thế nào sau khi trả góp?</t>
  </si>
  <si>
    <t>Hạn mức tín dụng sẽ khôi phục dần theo số tiền mà chủ thẻ trả góp mỗi tháng.</t>
  </si>
  <si>
    <t>https://techcombank.com/thong-tin/blog/high-net-worth-client-va-ultra-high-net-worth-client</t>
  </si>
  <si>
    <t>Thêm dòng sau đoạn: «Xem thêm: cách rút tiền thẻ tín dụng và những lưu ý về phí»</t>
  </si>
  <si>
    <t>Đặt sau phần công thức; chủ đề hơi lệch</t>
  </si>
  <si>
    <t>Ngưỡng tài sản 'triệu đô' của HNWI. (Theo title/meta, chưa đọc bài.)</t>
  </si>
  <si>
    <t>2. Ngày sao kê thẻ tín dụng là gì?</t>
  </si>
  <si>
    <t>Mọi giao dịch chi tiêu, thanh toán phát sinh sau ngày này sẽ được tính vào kỳ sao kê tiếp theo.</t>
  </si>
  <si>
    <t>Thêm ngay sau đoạn này: «Lưu ý, giao dịch rút tiền thẻ tín dụng thường bị tính phí và lãi ngay từ thời điểm rút, không được miễn lãi theo kỳ sao kê.»</t>
  </si>
  <si>
    <t>Tỷ giá USD — ví dụ quy đổi 1 triệu đô. (Theo title/meta, chưa đọc bài.)</t>
  </si>
  <si>
    <t>Bài 1 Won có bảng quy đổi 1.000 Won (theo meta). (Theo title/meta, chưa đọc bài.)</t>
  </si>
  <si>
    <t>5. Gửi tiết kiệm ngân hàng</t>
  </si>
  <si>
    <t>Bên cạnh đó, nếu bạn có thẻ tín dụng, đừng quên lưu ý về phí rút tiền mặt th…</t>
  </si>
  <si>
    <t>Thêm ngay sau đoạn này: «Bạn có thể tham khảo chi tiết cách rút tiền thẻ tín dụng và các khoản phí liên quan.»</t>
  </si>
  <si>
    <t>Đoạn đã nhắc phí rút tiền mặt – có thể đã có link, kiểm tra trùng</t>
  </si>
  <si>
    <t>Bài anh em mệnh giá. (Theo title/meta, chưa đọc bài.)</t>
  </si>
  <si>
    <t>1,000 won</t>
  </si>
  <si>
    <t>Du lịch Hàn — giá món đồ thường tính nghìn Won. (Theo title/meta, chưa đọc bài.)</t>
  </si>
  <si>
    <t>1. Trả góp qua thẻ tín dụng là gì?</t>
  </si>
  <si>
    <t>Trả góp qua thẻ tín dụng là hình thức mua trả góp mà mọi khoản tiền sẽ được thanh toán qua thẻ tín dụng.</t>
  </si>
  <si>
    <t>Thêm ngay sau đoạn này: «Lưu ý, trả góp khác với việc rút tiền thẻ tín dụng, vốn có biểu phí và cách tính lãi riêng.»</t>
  </si>
  <si>
    <t>Chuyển tiền Hàn — quy đổi. (Theo title/meta, chưa đọc bài.)</t>
  </si>
  <si>
    <t>1. Nên chọn trả góp điện thoại qua hình thức nào?</t>
  </si>
  <si>
    <t>Nếu đã có thẻ tín dụng, bạn nên lựa chọn trả góp bằng hình thức này vì thủ tục đơn giản, thời gian xử lý nhanh, nhiều ưu đãi.</t>
  </si>
  <si>
    <t>Thêm ngay sau đoạn này: «Lưu ý, nếu cần rút tiền thẻ tín dụng, khách hàng nên tìm hiểu kỹ phí và lãi phát sinh trước khi giao dịch.»</t>
  </si>
  <si>
    <t>4. Lưu ý khi trả góp Shopee</t>
  </si>
  <si>
    <t>Dù lựa chọn trả góp bằng thẻ tín dụng hay SPayLater, bạn cũng nên lưu ý một số điểm sau để quản lý chi tiêu hiệu quả và hạn chế phát sinh chi phí ngoài kế hoạch:</t>
  </si>
  <si>
    <t>Thêm dòng sau đoạn: «Xem thêm: lưu ý khi rút tiền thẻ tín dụng»</t>
  </si>
  <si>
    <t>Kiều hối là tiền từ nước ngoài về. (Theo title/meta, chưa đọc bài.)</t>
  </si>
  <si>
    <t>Một kênh nhận tiền từ nước ngoài. (Theo title/meta, chưa đọc bài.)</t>
  </si>
  <si>
    <t>nhận tiền từ nước ngoài</t>
  </si>
  <si>
    <t>3.3. Ứng dụng chia tiền Venmo</t>
  </si>
  <si>
    <t>Với những người sử dụng thẻ ảo để giao dịch quốc tế, việc nắm rõ cách rút tiền…</t>
  </si>
  <si>
    <t>Thêm dòng sau đoạn: «Xem thêm: rút tiền thẻ tín dụng»</t>
  </si>
  <si>
    <t>Đoạn có thể đã nhắc rút tiền – kiểm tra tránh trùng link</t>
  </si>
  <si>
    <t>Nhận tiền quốc tế cần mã SWIFT. (Theo title/meta, chưa đọc bài.)</t>
  </si>
  <si>
    <t>nhận kiều hối</t>
  </si>
  <si>
    <t>Trường hợp cụ thể từ Mỹ. (Theo title/meta, chưa đọc bài.)</t>
  </si>
  <si>
    <t>2.1. Linh hoạt lựa chọn phiên bản thẻ vật lý hoặc phi vật lý</t>
  </si>
  <si>
    <t>Khách hàng có thể sử dụng thẻ phi vật lý trên ứng dụng ngân hàng số Techcombank để thanh toán trực tuyến trên các nền tảng một cách nhanh chóng, tiện lợi…</t>
  </si>
  <si>
    <t>Thêm ngay sau đoạn này: «Nếu sử dụng thẻ tín dụng, bạn có thể tham khảo cách rút tiền thẻ tín dụng và các lưu ý về phí.»</t>
  </si>
  <si>
    <t>Thẻ Eco là thẻ thanh toán – nên đọc lại</t>
  </si>
  <si>
    <t>Remittance = chuyển tiền quốc tế. (Theo title/meta, chưa đọc bài.)</t>
  </si>
  <si>
    <t>1. Điều kiện và thủ tục đăng ký thẻ Visa online</t>
  </si>
  <si>
    <t>Các ngân hàng hiện nay thường cung cấp 3 loại thẻ Visa là thẻ tín dụng (Visa Credit), thẻ thanh toán (Visa Debit) và thẻ trả trước (Visa Prepaid).</t>
  </si>
  <si>
    <t>Thêm ngay sau đoạn này: «Với thẻ Visa Credit, khách hàng nên tìm hiểu kỹ phí và lãi trước khi rút tiền thẻ tín dụng.»</t>
  </si>
  <si>
    <t>Điều kiện mua USD → nơi mua. (Theo title/meta, chưa đọc bài.)</t>
  </si>
  <si>
    <t>Hạn mức mua ngoại tệ → nơi đổi. (Theo title/meta, chưa đọc bài.)</t>
  </si>
  <si>
    <t>đổi USD ở đâu</t>
  </si>
  <si>
    <t>1.1. Số dư khả dụng là gì?</t>
  </si>
  <si>
    <t>Thông thường, số dư khả dụng sẽ ít hơn hoặc bằng số dư trong tài khoản.</t>
  </si>
  <si>
    <t>So sánh tỷ giá → chọn nơi đổi. (Theo title/meta, chưa đọc bài.)</t>
  </si>
  <si>
    <t>Thêm ngay sau đoạn này: «Lưu ý, số dư khả dụng của tài khoản thanh toán khác với hạn mức khi rút tiền thẻ tín dụng.»</t>
  </si>
  <si>
    <t>Checklist đi nước ngoài — đổi tiền. (Theo title/meta, chưa đọc bài.)</t>
  </si>
  <si>
    <t>Bài quy đổi USD — chèn ở đoạn đổi tiền. (Theo title/meta, chưa đọc bài.)</t>
  </si>
  <si>
    <t>1.2. So sánh số dư tài khoản và số dư tài khoản khả dụng</t>
  </si>
  <si>
    <t>Cân nhắc vay mua nhà — ví dụ khoản vay 1 tỷ. (Theo title/meta, chưa đọc bài.)</t>
  </si>
  <si>
    <t>5. Câu hỏi thường gặp về nợ xấu có mở được thẻ tín dụng không</t>
  </si>
  <si>
    <t>Trong trường hợp khách hàng có lịch sử nợ thuộc các nhóm nợ xấu 1 và 2, nợ xấu FE vẫn có thể làm thẻ tín dụng tùy theo quy định của từng ngân hàng.</t>
  </si>
  <si>
    <t>Bôi đen cụm «làm thẻ tín dụng» trong câu trên, gắn link.</t>
  </si>
  <si>
    <t>2. Hướng dẫn mở thẻ tín dụng Techcombank</t>
  </si>
  <si>
    <t>Để đăng ký làm thẻ tín dụng, khách hàng có thể lựa chọn 1 trong 2 hình thức sau:</t>
  </si>
  <si>
    <t>Thủ tục vay mua nhà — câu hỏi trả mỗi tháng bao nhiêu. (Theo title/meta, chưa đọc bài.)</t>
  </si>
  <si>
    <t>vay 1 tỷ mỗi tháng trả bao nhiêu</t>
  </si>
  <si>
    <t>4. Trả góp mua sắm trong và ngoài nước</t>
  </si>
  <si>
    <t>Khách hàng đăng ký làm thẻ tín dụng để mua trả góp cần phải tìm hiểu về lãi suất trả góp, phí thu hộ, phí chuyển đổi trả góp…</t>
  </si>
  <si>
    <t>1. Điều kiện mở thẻ tín dụng hạn mức cao</t>
  </si>
  <si>
    <t>Khách hàng muốn mở thẻ tín dụng hạn mức cao cần đáp ứng các yêu cầu mở thẻ cơ bản và bổ sung thêm các điều kiện khắt khe khác.</t>
  </si>
  <si>
    <t>Bôi đen cụm «mở thẻ tín dụng» trong câu trên, gắn link.</t>
  </si>
  <si>
    <t>Kinh nghiệm tránh áp lực trả nợ hàng tháng. (Theo title/meta, chưa đọc bài.)</t>
  </si>
  <si>
    <t>vay 1 tỷ trong 20 năm mỗi tháng trả bao nhiêu</t>
  </si>
  <si>
    <t>5. Đăng ký thẻ tín dụng hạn mức cao, bảo mật tốt, ưu đãi khủng</t>
  </si>
  <si>
    <t>Khi mở thẻ tín dụng, khách hàng nên lựa chọn những ngân hàng có độ uy tín cao, nhiều chương trình ưu đãi…</t>
  </si>
  <si>
    <t>Vay mua chung cư thường ở mức ~1 tỷ. (Theo title/meta, chưa đọc bài.)</t>
  </si>
  <si>
    <t>3.3. Bước 3: Đăng ký mở thẻ online hoặc offline tại các quầy giao dịch</t>
  </si>
  <si>
    <t>Sau thời gian tích lũy tín dụng, khách hàng có thể thực hiện mở thẻ tín dụng bình thường với cả 2 hình thức online thông qua Mobile Banking và trực tiếp tại quầy.</t>
  </si>
  <si>
    <t>9. Lưu ý khi sử dụng thẻ tín dụng để tận dụng tối đa ưu đãi</t>
  </si>
  <si>
    <t>Như vậy, bài viết trên đã tổng hợp 8 ngân hàng có nhiều ưu đãi mở thẻ tín dụng hấp dẫn.</t>
  </si>
  <si>
    <t>Lãi suất thế chấp → số tiền trả hàng tháng. (Theo title/meta, chưa đọc bài.)</t>
  </si>
  <si>
    <t>Meta description bài đích (vay-ngan-hang-1-ty) đang lệch nội dung — nên sửa. Bài chưa có trong file crawl: kiểm tra link cũ khi mở bài.</t>
  </si>
  <si>
    <t>2.1. Chưa kích hoạt thẻ tín dụng</t>
  </si>
  <si>
    <t>Chưa kích hoạt thẻ tín dụng là tình huống khách hàng đã đăng ký mở thẻ tín dụng và nhận thẻ cứng về tay nhưng chưa thực hiện kích hoạt thẻ…</t>
  </si>
  <si>
    <t>1. Ưu đãi phát hành thẻ</t>
  </si>
  <si>
    <t>Khi mở thẻ tín dụng Techcombank Visa Signature, khách hàng sẽ nhận được ưu đãi miễn/hoàn phí khi đạt các điều kiện như sau:</t>
  </si>
  <si>
    <t>Biểu phí sử dụng là vấn đề quan tâm đầu tiên với những người đang có ý định mở thẻ tín dụng.</t>
  </si>
  <si>
    <t>Đặt vé máy bay online — Traveloka là kênh đặt vé. (Theo title/meta, chưa đọc bài.)</t>
  </si>
  <si>
    <t>Ngoài ra, khách hàng nên ưu tiên mở thẻ tín dụng tại các ngân hàng lớn, uy tín để được hưởng hệ thống bảo mật cao và các chính sách xử lý rủi ro toàn diện hơn.</t>
  </si>
  <si>
    <t>Săn vé rẻ — dùng voucher Traveloka. (Theo title/meta, chưa đọc bài.)</t>
  </si>
  <si>
    <t>cách lấy voucher Traveloka</t>
  </si>
  <si>
    <t>Nếu bạn đang có nhu cầu mở thẻ tín dụng Techcombank, không biết nên mở thẻ tín dụng nào nhiều ưu đãi nhất thì hãy theo dõi bài viết dưới đây để hiểu rõ hơn!</t>
  </si>
  <si>
    <t>https://techcombank.com/thong-tin/blog/techcombank-oneu</t>
  </si>
  <si>
    <t>4. Điều kiện phát hành và cách mở thẻ tín dụng quốc tế</t>
  </si>
  <si>
    <t>Khách hàng có thể chọn 1 trong 2 cách mở thẻ tín dụng quốc tế mà hầu hết các ngân hàng đang hỗ trợ…</t>
  </si>
  <si>
    <t>Đổi điểm U-Point trên OneU — voucher Traveloka là quà đổi. (Theo title/meta, chưa đọc bài.)</t>
  </si>
  <si>
    <t>https://techcombank.com/thong-tin/blog/tich-diem-doi-qua</t>
  </si>
  <si>
    <t>Để mở thẻ tín dụng/thẻ ghi nợ ngân hàng cho doanh nghiệp, bạn cần thực hiện một số bước cơ bản sau đây:</t>
  </si>
  <si>
    <t>Trang đích là thẻ tín dụng cá nhân</t>
  </si>
  <si>
    <t>4. Một số lỗi thường gặp &amp; cách khắc phục khi nhập mã bưu chính thẻ tín dụng</t>
  </si>
  <si>
    <t>Tích điểm đổi quà — ví dụ voucher Traveloka. (Theo title/meta, chưa đọc bài.)</t>
  </si>
  <si>
    <t>Tra cứu và nhập đúng mã bưu chính của tỉnh/thành phố bạn khai báo khi đăng ký mở thẻ tín dụng</t>
  </si>
  <si>
    <t>5. Kích hoạt thẻ mà không dùng có mất phí không?</t>
  </si>
  <si>
    <t>Như vậy, bài viết trên đã giúp khách hàng giải đáp được thắc mắc làm thẻ tín dụng có mất phí không một cách chi tiết.</t>
  </si>
  <si>
    <t>Thêm ngay sau đoạn này: «Nếu đã sẵn sàng đăng ký, khách hàng có thể tham khảo điều kiện, thủ tục làm thẻ tín dụng chi tiết.»</t>
  </si>
  <si>
    <t>Khách hàng khi đến đăng ký mở thẻ tín dụng ảo đều cần phải đáp ứng được những điều kiện phía ngân hàng yêu cầu.</t>
  </si>
  <si>
    <t>Sửa câu thành: «Khách hàng khi đến làm thẻ tín dụng ảo đều cần phải đáp ứng được những điều kiện phía ngân hàng yêu cầu.»</t>
  </si>
  <si>
    <t>Có mục 'mức thuế phải đóng' (theo title). (Theo title/meta, chưa đọc bài.)</t>
  </si>
  <si>
    <t>4. Ưu đãi đổi điểm nhận dặm thưởng</t>
  </si>
  <si>
    <t>Những khách hàng thường xuyên di chuyển bằng đường hàng không nên mở thẻ Vietnam Airlines Techcombank Visa để được hưởng đặc quyền cao cấp…</t>
  </si>
  <si>
    <t>Thêm ngay sau đoạn này: «Bạn có thể tham khảo điều kiện và thủ tục làm thẻ tín dụng trước khi đăng ký.»</t>
  </si>
  <si>
    <t>4. Thanh toán quảng cáo Facebook với ưu đãi hấp dẫn tại Techcombank</t>
  </si>
  <si>
    <t>Thanh toán quảng cáo Facebook bằng thẻ tín dụng/ thẻ thanh toán (debit card), ví điện tử và VietQR đều là những phương thức phổ biến…</t>
  </si>
  <si>
    <t>Thêm ngay sau đoạn này: «Nếu chưa có thẻ, bạn có thể tham khảo điều kiện và cách làm thẻ tín dụng để thanh toán quảng cáo thuận tiện hơn.»</t>
  </si>
  <si>
    <t>Thuế khoán là cách đóng thuế của HKD. (Theo title/meta, chưa đọc bài.)</t>
  </si>
  <si>
    <t>hộ kinh doanh đóng thuế</t>
  </si>
  <si>
    <t>2.4. Các ưu đãi khác</t>
  </si>
  <si>
    <t>Tặng Bảo hiểm du lịch quốc tế trị giá đến 10,5 tỷ VND, dành tặng miễn phí cho các chủ thẻ thanh toán và thẻ tín dụng quốc tế Visa Signature/ Visa Platinum.</t>
  </si>
  <si>
    <t>Thêm ngay sau đoạn này: «Nếu chưa có thẻ tín dụng, bạn có thể tìm hiểu cách làm thẻ tín dụng để nhận thêm các quyền lợi này.»</t>
  </si>
  <si>
    <t>Miễn thuế — đối lập với nghĩa vụ đóng thuế. (Theo title/meta, chưa đọc bài.)</t>
  </si>
  <si>
    <t>Như vậy, bài viết đã hướng dẫn khách hàng 2 cách làm thẻ ATM online tại nhà thông dụng và dễ dàng nhất hiện nay.</t>
  </si>
  <si>
    <t>Thêm ngay sau đoạn này: «Nếu có nhu cầu chi tiêu trước, trả sau, bạn có thể tìm hiểu thêm điều kiện và cách làm thẻ tín dụng.»</t>
  </si>
  <si>
    <t>2. Các hình thức mua trước trả sau phổ biến tại Việt Nam</t>
  </si>
  <si>
    <t>Thẻ tín dụng: Ngân hàng cấp một hạn mức tín dụng để khách hàng chi tiêu trước.</t>
  </si>
  <si>
    <t>Thêm dòng sau đoạn: «Xem thêm: điều kiện và cách làm thẻ tín dụng»</t>
  </si>
  <si>
    <t>Truy thu khi đóng thuế sai. (Theo title/meta, chưa đọc bài.)</t>
  </si>
  <si>
    <t>nghĩa vụ thuế hộ kinh doanh</t>
  </si>
  <si>
    <t>2. 5 câu hỏi thường gặp về thẻ tín dụng/ thẻ ngân hàng hết hạn</t>
  </si>
  <si>
    <t>Như vậy, bài viết trên đã giúp khách hàng tìm ra cách gia hạn khi thẻ tín dụng hết hạn .</t>
  </si>
  <si>
    <t>Thêm ngay sau đoạn này: «Nếu thẻ cũ đã đóng hoặc muốn sở hữu thêm thẻ mới, khách hàng có thể tham khảo điều kiện và thủ tục làm thẻ tín dụng.»</t>
  </si>
  <si>
    <t>Cập nhật quy định HKD — chèn ở đoạn thuế. (Theo title/meta, chưa đọc bài.)</t>
  </si>
  <si>
    <t>2.2. Thẻ tín dụng nội địa NAPAS</t>
  </si>
  <si>
    <t>Khách hàng được chi tiêu trước, trả tiền sau khi sử dụng thẻ tín dụng nội địa NAPAS.</t>
  </si>
  <si>
    <t>Thêm ngay sau đoạn này: «Khách hàng có nhu cầu có thể tìm hiểu điều kiện và thủ tục làm thẻ tín dụng trước khi đăng ký.»</t>
  </si>
  <si>
    <t>2.2. Nhược điểm</t>
  </si>
  <si>
    <t>Tuy việc mở thẻ tín dụng phụ đơn giản hơn thẻ chính nhưng khách hàng vẫn phải đáp ứng một số điều kiệ…</t>
  </si>
  <si>
    <t>Câu trước có cụm “mở thẻ tín dụng không dùng…” có thể đã gắn link</t>
  </si>
  <si>
    <t>1. MM/YY là gì?</t>
  </si>
  <si>
    <t>Thông tin này giúp người dùng biết thời điểm thẻ còn hiệu lực và khi nào cần làm lại hoặc gia hạn để tiếp tục sử dụng.</t>
  </si>
  <si>
    <t>Thêm ngay sau đoạn này: «Nếu chưa có thẻ, bạn có thể tìm hiểu điều kiện và cách làm thẻ tín dụng.»</t>
  </si>
  <si>
    <t>Nhượng quyền là một mô hình kinh doanh. (Theo title/meta, chưa đọc bài.)</t>
  </si>
  <si>
    <t>2.3. Làm thẻ ngân hàng bao lâu thì có?</t>
  </si>
  <si>
    <t>Như vậy, bài viết trên đã giúp khách hàng giải đáp thắc mắc làm thẻ ngân hàng - thẻ ATM có mất phí không một cách chi tiết.</t>
  </si>
  <si>
    <t>Thêm ngay sau đoạn này: «Nếu có nhu cầu chi tiêu linh hoạt hơn, khách hàng có thể tìm hiểu thêm điều kiện làm thẻ tín dụng.»</t>
  </si>
  <si>
    <t>Kinh doanh online — chọn mô hình. (Theo title/meta, chưa đọc bài.)</t>
  </si>
  <si>
    <t>mô hình kinh doanh</t>
  </si>
  <si>
    <t>1. Thẻ Visa có cần mật khẩu không?</t>
  </si>
  <si>
    <t>Mã PIN sẽ được cài đặt và sửa đổi trên ngân hàng điện tử theo từng tài khoản thẻ tín dụng của khách hàng.</t>
  </si>
  <si>
    <t>Thêm ngay sau đoạn này: «Nếu chưa có thẻ, khách hàng có thể tìm hiểu điều kiện và thủ tục làm thẻ tín dụng.»</t>
  </si>
  <si>
    <t>7. Kiểm tra trực tiếp tại ngân hàng</t>
  </si>
  <si>
    <t>Khách hàng có thể đến trực tiếp chi nhánh/phòng giao dịch của ngân hàng mở thẻ để kiểm tra hạn mức thẻ tín dụng.</t>
  </si>
  <si>
    <t>Sửa câu thành: «Khách hàng có thể đến trực tiếp chi nhánh/phòng giao dịch của ngân hàng nơi mở thẻ tín dụng để kiểm tra hạn mức thẻ.»</t>
  </si>
  <si>
    <t>Mô hình One-Stop Shop. (Theo title/meta, chưa đọc bài.)</t>
  </si>
  <si>
    <t>Như vậy, khi đăng ký mở thẻ, khách hàng sẽ nhận thẻ ATM tận tay khoảng từ 3 - 7 ngày tuỳ vào chính sách của ngân hàng và loại thẻ.</t>
  </si>
  <si>
    <t>Thêm ngay sau đoạn này: «Nếu có nhu cầu chi tiêu trước, trả sau, khách hàng có thể tìm hiểu thêm điều kiện và thủ tục mở thẻ tín dụng.»</t>
  </si>
  <si>
    <t>6. Techcombank - Nhà Đồng Đầu Tư concert Anh Trai Vượt Ngàn Chông Gai và đặc quyền dành ch</t>
  </si>
  <si>
    <t>Hoàn điểm thưởng U-Point khi thanh toán vé qua thẻ Techcombank Everyday: Khi thanh toán vé bằng thẻ tín dụng Techcombank Everyday trên Ticketbox…</t>
  </si>
  <si>
    <t>Bôi đen cụm «Techcombank Everyday» trong câu trên, gắn link.</t>
  </si>
  <si>
    <t>Trong thời kỳ kinh tế số hóa, thẻ tín dụng sẽ là một giải pháp tài chính đắc lực nếu khách hàng biết cách tận dụng và phát huy tối đa tiềm lực của thẻ.</t>
  </si>
  <si>
    <t>Thêm ngay sau đoạn này: «Khách hàng có thể tham khảo thẻ tín dụng Techcombank Everyday để bắt đầu trải nghiệm các lợi ích trên.»</t>
  </si>
  <si>
    <t>Tạo xong mã QR → gửi cho người khác. (Theo title/meta, chưa đọc bài.)</t>
  </si>
  <si>
    <t>3.5. Cẩn thận với các hình thức rút tiền từ thẻ tín dụng</t>
  </si>
  <si>
    <t>Bài viết trên đã giúp bạn đọc giải đáp thắc mắc thẻ tín dụng có rút tiền mặt được không cũng như hướng dẫn bạn cách rút tiền mặt thẻ tín dụng đơn giản, nhanh chóng.</t>
  </si>
  <si>
    <t>Thêm ngay sau đoạn này: «Nếu đang tìm một dòng thẻ phù hợp cho chi tiêu hằng ngày, bạn có thể tham khảo thẻ tín dụng Techcombank Everyday.»</t>
  </si>
  <si>
    <t>Bộ sưu tập thẻ tín dụng HOT nhất của Techcombank.</t>
  </si>
  <si>
    <t>Thêm dòng sau đoạn: «Xem thêm: thẻ tín dụng Techcombank Everyday»</t>
  </si>
  <si>
    <t>In mã QR — dạng chia sẻ khác. (Theo title/meta, chưa đọc bài.)</t>
  </si>
  <si>
    <t>cách gửi mã QR ngân hàng</t>
  </si>
  <si>
    <t>5. Mua trước trả sau lãi suất từ 0%, nhận loạt ưu đãi hấp dẫn với thẻ tín dụng Techcombank</t>
  </si>
  <si>
    <t>Tuy nhiên, để tận dụng tối đa lợi ích của hình thức này, bạn nên lựa chọn đơn vị uy tín, tìm hiểu kỹ điều kiện chương trình và xây dựng kế hoạch thanh toán phù hợp với …</t>
  </si>
  <si>
    <t>Thêm ngay sau đoạn này: «Nếu chưa có thẻ, bạn có thể tham khảo thẻ tín dụng Techcombank Everyday để bắt đầu mua trước trả sau.»</t>
  </si>
  <si>
    <t>5. 2 câu hỏi thường gặp về thẻ ghi nợ và thẻ tín dụng</t>
  </si>
  <si>
    <t>Khách hàng có thể tham khảo các ưu đãi thẻ tín dụng techcombank hiện hành để tận dụng tối đa các quyền lợi và chương trình khuyến mãi hấp dẫn.</t>
  </si>
  <si>
    <t>Thêm ngay sau đoạn này: «Với nhu cầu chi tiêu hằng ngày, khách hàng có thể cân nhắc thẻ tín dụng Techcombank Everyday.»</t>
  </si>
  <si>
    <t>Gửi mã QR có an toàn không. (Theo title/meta, chưa đọc bài.)</t>
  </si>
  <si>
    <t>4.3. Huỷ thẻ tín dụng có mở lại được giống như khóa thẻ tín dụng không?</t>
  </si>
  <si>
    <t>Nếu muốn sử dụng thẻ tín dụng, khách hàng sẽ cần đăng ký mở thẻ mới theo hướng dẫn trong bài Điều kiện, thủ tục và cách mở thẻ tín dụng tại ngân hàng.</t>
  </si>
  <si>
    <t>Thêm ngay sau đoạn này: «Nếu cần một chiếc thẻ mới cho chi tiêu hằng ngày, bạn có thể tham khảo thẻ tín dụng Techcombank Everyday.»</t>
  </si>
  <si>
    <t>Vì vậy, ngân hàng khuyến cáo quý khách hàng nên thanh toán dư nợ tín dụng đúng hạn để có trải nghiệm sử dụng thẻ tín dụng tốt nhất.</t>
  </si>
  <si>
    <t>Phí làm mã QR — dẫn sang cách lấy/gửi. (Theo title/meta, chưa đọc bài.)</t>
  </si>
  <si>
    <t>3. 3 cách hạn chế quá hạn thanh toán tín dụng</t>
  </si>
  <si>
    <t>Hy vọng rằng qua bài viết này, khách hàng đã nắm được 7 cách thanh toán thẻ tín dụng nhanh gọn thông quả cả hai hình thức online và trực tiếp.</t>
  </si>
  <si>
    <t>Thêm ngay sau đoạn này: «Nếu đang tìm một chiếc thẻ cho chi tiêu hằng ngày, bạn có thể tham khảo thẻ tín dụng Techcombank Everyday.»</t>
  </si>
  <si>
    <t>5. Câu hỏi thường gặp về thẻ tín dụng đen</t>
  </si>
  <si>
    <t>Tùy theo chính sách của từng ngân hàng sẽ yêu cầu khách hàng phải có năng lực tài chính phù hợp.</t>
  </si>
  <si>
    <t>Thêm ngay sau đoạn này: «Nếu chưa đáp ứng điều kiện mở thẻ đen, khách hàng có thể cân nhắc dòng thẻ phổ thông như thẻ tín dụng Techcombank Everyday.»</t>
  </si>
  <si>
    <t>Lỗi mã QR khi gửi/nhận. (Theo title/meta, chưa đọc bài.)</t>
  </si>
  <si>
    <t>4. Làm thế nào để không nợ thẻ tín dụng?</t>
  </si>
  <si>
    <t>Techcombank luôn sẵn sàng hỗ trợ bạn với các giải pháp …</t>
  </si>
  <si>
    <t>Thêm ngay sau đoạn này: «Nếu cần một chiếc thẻ phục vụ chi tiêu hằng ngày, bạn có thể tham khảo thẻ tín dụng Techcombank Everyday.»</t>
  </si>
  <si>
    <t>6.3. Làm hồ sơ trả góp điện thoại có cần chứng minh thu nhập không?</t>
  </si>
  <si>
    <t>Nếu trả góp qua thẻ tín dụng, khách hàng thường không cần chứng minh thu nhập vì ngân hàng đã xét duyệt hạn mức khi phát hành thẻ.</t>
  </si>
  <si>
    <t>Thêm ngay sau đoạn này: «Nếu chưa có thẻ, khách hàng có thể tham khảo thẻ tín dụng Techcombank Everyday để mua sắm và chuyển đổi trả góp linh hoạt.»</t>
  </si>
  <si>
    <t>Soát lại tính năng trả góp của thẻ Everyday</t>
  </si>
  <si>
    <t>4.3. Trải nghiệm đặc quyền dành cho từng phân hạng Hội viên</t>
  </si>
  <si>
    <t>Hội viên Inspire : Lãi suất tiết kiệm cao hơn… nhận nhiều điểm hoàn U-Point khi chi tiêu với thẻ tín dụng Techcombank…</t>
  </si>
  <si>
    <t>Thêm dòng sau đoạn: «Xem thêm: Thẻ tín dụng Techcombank Everyday»</t>
  </si>
  <si>
    <t>HKD cần gì ở TK — sát chủ đề. (Theo title/meta, chưa đọc bài.)</t>
  </si>
  <si>
    <t>3. Ưu đãi nâng hạng hội viên Bông Sen Vàng</t>
  </si>
  <si>
    <t>Không chỉ được hưởng ưu đãi tích điểm, khách hàng là chủ thẻ tín dụng các dòng thẻ Techcombank Visa liên kết với Vietnam Airlines còn được hưởng ưu đãi nâng hạng hội viên Bông Sen Vàng miễn phí…</t>
  </si>
  <si>
    <t>Thêm dòng sau đoạn: «Xem thêm: thẻ tín dụng Techcombank Everyday cho chi tiêu hằng ngày»</t>
  </si>
  <si>
    <t>Bài về thẻ hàng không, Everyday hơi lệch</t>
  </si>
  <si>
    <t>Khi bị mất thẻ, khách hàng cần ngay lập tức khóa thẻ, giữ bình tĩnh và báo cáo với ngân hàng/cơ quan chức năng để kịp thời xử lý.</t>
  </si>
  <si>
    <t>Thêm ngay sau đoạn này: «Nếu cần mở thẻ mới, khách hàng có thể tham khảo thẻ tín dụng Techcombank Everyday.»</t>
  </si>
  <si>
    <t>Thành lập HKD xong → mở TK. (Theo title/meta, chưa đọc bài.)</t>
  </si>
  <si>
    <t>cách mở tài khoản hộ kinh doanh</t>
  </si>
  <si>
    <t>5.2. Giao dịch tại các website bảo mật</t>
  </si>
  <si>
    <t>Ngoài ra, hãy ưu tiên sử dụng các dịch vụ thanh toán trung gian uy tín như PayPal, Google Pay, Apple Pay...</t>
  </si>
  <si>
    <t>Thêm ngay sau đoạn này: «Bên cạnh đó, chủ thẻ tín dụng Techcombank Everyday có thể theo dõi giao dịch và quản lý thẻ ngay trên ứng dụng Techcombank Mobile.»</t>
  </si>
  <si>
    <t>Trang sản phẩm, liên quan vừa phải</t>
  </si>
  <si>
    <t>Chủ thẻ có thể tra cứu hạn mức thẻ tín dụng tại chi nhánh/phòng giao dịch gần nhà để tra cứu chính xác.</t>
  </si>
  <si>
    <t>Thêm ngay sau đoạn này: «Nếu chưa có thẻ, bạn có thể tham khảo thẻ tín dụng Techcombank Everyday cho nhu cầu chi tiêu hằng ngày.»</t>
  </si>
  <si>
    <t>Khai báo TK với thuế — cần có TK HKD. (Theo title/meta, chưa đọc bài.)</t>
  </si>
  <si>
    <t>tài khoản hộ kinh doanh</t>
  </si>
  <si>
    <t>Tuy nhiên, hiện nay, một số ngân hàng đã có chính sách miễn phí gia hạn lại thẻ tín dụng cho khách hàng như Techcombank, VPBank...</t>
  </si>
  <si>
    <t>Thêm ngay sau đoạn này: «Khách hàng muốn mở thẻ mới có thể tham khảo thẻ tín dụng Techcombank Everyday cho nhu cầu chi tiêu hằng ngày.»</t>
  </si>
  <si>
    <t>Để quá trình thanh toán quốc tế diễn ra thuận lợi, ngoài việc nhập đúng mã bưu chính, khách hàng cũng nên sử dụng các dòng thẻ tín dụng bảo mật tốt, nhiều ưu đãi hấp dẫn.</t>
  </si>
  <si>
    <t>Thêm ngay sau đoạn này: «Khách hàng có thể tham khảo thẻ tín dụng Techcombank Everyday cho nhu cầu chi tiêu hằng ngày.»</t>
  </si>
  <si>
    <t>Định nghĩa HKD cá thể. (Theo title/meta, chưa đọc bài.)</t>
  </si>
  <si>
    <t>4. Lưu ý khi thanh toán trả góp hàng tháng qua thẻ tín dụng</t>
  </si>
  <si>
    <t>Như vậy, bài viết đã hướng dẫn người đọc 3 cách thanh toán trả góp thẻ tín dụng nhanh chóng, tiện lợi.</t>
  </si>
  <si>
    <t>2.1. Thanh toán qua thẻ ngân hàng</t>
  </si>
  <si>
    <t>Ngoài ra, việc thanh toán qua thẻ còn mang đến nhiều ưu đãi và quyền lợi hấp dẫn như hoàn tiền, tích điểm đổi quà,...</t>
  </si>
  <si>
    <t>Đặt sau danh sách dòng thẻ</t>
  </si>
  <si>
    <t>Đăng ký MST HKD — bước liền kề. (Theo title/meta, chưa đọc bài.)</t>
  </si>
  <si>
    <t>Cùng một khoản chi tiêu, nếu chọn đúng thẻ tín dụng Techcombank, bạn có thể tích được nhiều U-Point hoặc hoàn tiền nhiều hơn!</t>
  </si>
  <si>
    <t>Thêm dòng sau đoạn: «Xem thêm: thẻ tín dụng hoàn tiền»</t>
  </si>
  <si>
    <t>1. Danh sách thẻ Thanh toán Quốc tế Techcombank có tính năng hoàn tiền</t>
  </si>
  <si>
    <t>Thẻ thanh toán Cashback là thẻ thanh toán có tính năng hoàn tiền cho chủ thẻ khi chi tiêu.</t>
  </si>
  <si>
    <t>Thêm ngay sau đoạn này: «Bên cạnh thẻ thanh toán, bạn có thể tìm hiểu thêm các dòng thẻ cashback là thẻ tín dụng hoàn tiền.»</t>
  </si>
  <si>
    <t>Kê khai cần tính số thuế trước. (Theo title/meta, chưa đọc bài.)</t>
  </si>
  <si>
    <t>3. Thẻ tín dụng Techcombank Visa Signature</t>
  </si>
  <si>
    <t>Techcombank Visa Signature là dòng thẻ tín dụng cao cấp tại Techcombank, nổi bật với chính sách hoàn tiền tới 10% khi chi tiêu tại các lĩnh vực nhà hàng, du lịch, khách sạn…</t>
  </si>
  <si>
    <t>Thêm ngay sau đoạn này: «Khách hàng ưu tiên quyền lợi hoàn tiền có thể tham khảo thêm các dòng thẻ hoàn tiền khác để so sánh.»</t>
  </si>
  <si>
    <t>1. Ưu đãi mua vé máy bay cho tất cả chủ thẻ tín dụng Techcombank</t>
  </si>
  <si>
    <t>Chủ thẻ có thể tận dụng các chương trình hoàn tiền, giảm giá khi đặt vé máy bay qua Traveloka, Trip.com hoặc mua vé trực tiếp tại các hãng hàng không…</t>
  </si>
  <si>
    <t>Thêm dòng sau đoạn: «Xem thêm: các dòng thẻ hoàn tiền ưu đãi hiện nay»</t>
  </si>
  <si>
    <t>Nhận U-Point/điểm hoàn tiền với các chi tiêu hàng ngày với tích điểm trên Techcombank OneU</t>
  </si>
  <si>
    <t>Kiểm tra số thuế → đối chiếu cách tính. (Theo title/meta, chưa đọc bài.)</t>
  </si>
  <si>
    <t>Thêm ngay sau đoạn này: «Nếu ưu tiên nhận hoàn tiền khi chi tiêu, bạn có thể tham khảo thêm các dòng thẻ hoàn tiền.»</t>
  </si>
  <si>
    <t>cách tính thuế hộ kinh doanh</t>
  </si>
  <si>
    <t>Thuế TMĐT cho HKD — tính theo tỷ lệ doanh thu. (Theo title/meta, chưa đọc bài.)</t>
  </si>
  <si>
    <t>3. Ưu - nhược điểm của thẻ ghi nợ khác gì thẻ tín dụng?</t>
  </si>
  <si>
    <t>Chương trình ưu đãi: Thẻ được tích hợp đa dạng chương trình ưu đãi như giảm giá tới 50%, hoàn tiền tới 5%, tích điểm đổi thưởng…</t>
  </si>
  <si>
    <t>Thêm ngay sau đoạn này: «Khách hàng ưu tiên quyền lợi này có thể tham khảo các dòng thẻ hoàn tiền phổ biến hiện nay.»</t>
  </si>
  <si>
    <t>4. 7 lưu ý khi sử dụng thẻ tín dụng</t>
  </si>
  <si>
    <t>Bỏ qua những ưu đãi từ thẻ tín dụng: Thẻ tín dụng thường có nhiều ưu đãi khi thanh toán như: Hoàn tiền, tích điểm đổi quà, trả góp 0%…</t>
  </si>
  <si>
    <t>Thêm ngay sau đoạn này: «Nếu thường xuyên chi tiêu, bạn có thể cân nhắc dùng thẻ hoàn tiền để tối ưu lợi ích.»</t>
  </si>
  <si>
    <t>Chính sách thuế mới cho HKD. (Theo title/meta, chưa đọc bài.)</t>
  </si>
  <si>
    <t>6. Lưu ý khi mở thẻ tín dụng quốc tế</t>
  </si>
  <si>
    <t>Ví dụ, nếu là người thường xuyên mua sắm thì nên chọn thẻ có tỷ lệ hoàn tiền cao, liên kết với nhiều đối tác có ưu đãi chiết khấu…</t>
  </si>
  <si>
    <t>Sửa câu thành: «Ví dụ, nếu là người thường xuyên mua sắm thì nên chọn thẻ hoàn tiền có tỷ lệ hoàn cao, liên kết với nhiều đối tác có ưu đãi chiết khấu…»</t>
  </si>
  <si>
    <t>Tổng quan HKD — chèn ở đoạn nghĩa vụ thuế. (Theo title/meta, chưa đọc bài.)</t>
  </si>
  <si>
    <t>6. Đừng bỏ lỡ loạt ưu đãi ăn uống, mua sắm cực hời khi đi du lịch nước ngoài với thẻ Techc</t>
  </si>
  <si>
    <t>Từ việc săn vé máy bay, đặt phòng khách sạn, tích lũy dặm bay cho đến các ưu đãi hoàn tiền ăn uống, mua…</t>
  </si>
  <si>
    <t>Thêm ngay sau đoạn này: «Bạn có thể tham khảo thêm các dòng thẻ hoàn tiền để tối ưu chi tiêu cho chuyến đi.»</t>
  </si>
  <si>
    <t>2.3. Ưu đãi độc quyền</t>
  </si>
  <si>
    <t>Hoàn tiền khi chi tiêu (Cashback): Khi thanh toán bằng thẻ đen, chủ thẻ sẽ được hoàn tiền theo % quy định tùy ngân hàng…</t>
  </si>
  <si>
    <t>Sửa câu thành: «Hoàn tiền khi chi tiêu (Cashback): Tương tự các dòng thẻ hoàn tiền, khi thanh toán bằng thẻ đen, chủ thẻ sẽ được hoàn tiền theo % quy định tùy ngân hàng…»</t>
  </si>
  <si>
    <t>Dư nợ là cơ sở tính lãi. (Theo title/meta, chưa đọc bài.)</t>
  </si>
  <si>
    <t>Ân hạn gốc thay đổi cách tính lãi. (Theo title/meta, chưa đọc bài.)</t>
  </si>
  <si>
    <t>4. Hướng dẫn tích điểm U-Point với Techcombank OneU</t>
  </si>
  <si>
    <t>Hoàn điểm tối đa 100,000 - 300,000 U-Point tương đương 5% - 15% giá trị ứng với các mức chi tiêu bằng thẻ tín dụng trong tháng đạt 10 - 30 triệu VND trở lên</t>
  </si>
  <si>
    <t>Thêm dòng sau đoạn: «Xem thêm: các dòng thẻ hoàn tiền phổ biến»</t>
  </si>
  <si>
    <t>Danh sách ưu đãi – dùng Xem thêm</t>
  </si>
  <si>
    <t>Lãi thả nổi/cố định → cách tính khác nhau. (Theo title/meta, chưa đọc bài.)</t>
  </si>
  <si>
    <t>công thức tính lãi vay</t>
  </si>
  <si>
    <t>5. Nạp thẻ MobiFone trả trước, trả sau qua website MobiFone.vn</t>
  </si>
  <si>
    <t>Đặc biệt, website thường có thêm ưu đãi hoàn tiền hoặc khuyến mãi nạp thẻ định kỳ cho thuê bao MobiFone.</t>
  </si>
  <si>
    <t>Thêm ngay sau đoạn này: «Nếu muốn nhận thêm hoàn tiền khi thanh toán, bạn có thể tham khảo các dòng thẻ hoàn tiền.»</t>
  </si>
  <si>
    <t>Công thức lãi suất thực — cùng chủ đề tính lãi. (Theo title/meta, chưa đọc bài.)</t>
  </si>
  <si>
    <t>tính lãi vay theo dư nợ giảm dần</t>
  </si>
  <si>
    <t>Thay vì sử dụng nguồn tiền trong tài khoản thanh toán, bạn có thể sử dụng thẻ tín dụng Techcombank để chi trả hay đóng hóa đơn điện và các chi phí sinh hoạt định kỳ.</t>
  </si>
  <si>
    <t>Thêm dòng sau đoạn: «Xem thêm: Top thẻ tín dụng hoàn tiền ưu đãi»</t>
  </si>
  <si>
    <t>Đặt sau danh sách ưu đãi</t>
  </si>
  <si>
    <t>Khi có nhu cầu mở thẻ tín dụng, khách hàng nên lựa chọn mở thẻ tại các ngân hàng lớn, có nhiều chương trình ưu đãi khi mở thẻ.</t>
  </si>
  <si>
    <t>Thêm ngay sau đoạn này: «Nếu ưu tiên nhận lại một phần tiền khi chi tiêu, bạn có thể tham khảo thêm các dòng thẻ tín dụng hoàn tiền.»</t>
  </si>
  <si>
    <t>Vay trả góp — chèn ở đoạn chi phí lãi. (Theo title/meta, chưa đọc bài.)</t>
  </si>
  <si>
    <t>4. Ưu đãi về lãi suất thẻ tín dụng</t>
  </si>
  <si>
    <t>Khách hàng sử dụng thẻ tín dụng Techcombank Visa Signature sẽ được hưởng nhiều quyền lợi hoàn/miễn biểu phí và lãi suất, giảm giá và hoàn tiền sâu trong nhiều lĩnh vực…</t>
  </si>
  <si>
    <t>Thêm ngay sau đoạn này: «Bạn cũng có thể tham khảo thêm các dòng thẻ tín dụng hoàn tiền khác để so sánh.»</t>
  </si>
  <si>
    <t>3. Tư vấn chọn loại thẻ tín dụng theo ưu đãi</t>
  </si>
  <si>
    <t>Nếu khách hàng thường xuyên thanh toán qua thẻ thì nên ưu tiên chọn thẻ tín dụng có nhiều ưu đãi này.</t>
  </si>
  <si>
    <t>Thêm ngay sau đoạn này: «Khách hàng có thể tham khảo thêm các dòng thẻ tín dụng hoàn tiền để so sánh quyền lợi.»</t>
  </si>
  <si>
    <t>Techcombank hiện đang phát hành 9 dòng thẻ tín dụng với nhiều đặc quyền… tích điểm - hoàn tiền khi chi tiêu qua chương trình khách hàng thân thiết Techcombank OneU…</t>
  </si>
  <si>
    <t>Đoạn có số liệu – dùng Xem thêm</t>
  </si>
  <si>
    <t>Hạn mức vay sổ đỏ — anh em trực tiếp. (Theo title/meta, chưa đọc bài.)</t>
  </si>
  <si>
    <t>Thẻ tín dụng: Phù hợp với những người có khả năng quản lý chi tiêu tốt, muốn tận dụng việc thanh toán trước và trả tiền sau, kèm theo những ưu đãi như hoàn tiền, điểm thưởng</t>
  </si>
  <si>
    <t>Thêm dòng sau đoạn: «Xem thêm: các dòng thẻ tín dụng hoàn tiền»</t>
  </si>
  <si>
    <t>Ưu đãi tại Techcombank : Miễn phí phát hành &amp; phí thường niên năm đầu, hoàn tiền tới 1% và nhiều đặc quyền từ gói giải pháp BusinessOne.</t>
  </si>
  <si>
    <t>Thêm dòng sau đoạn: «Xem thêm: Top thẻ hoàn tiền ưu đãi hiện nay»</t>
  </si>
  <si>
    <t>Trang đích là thẻ cá nhân</t>
  </si>
  <si>
    <t>Sổ hồng ~ sổ đỏ, cùng nhu cầu. (Theo title/meta, chưa đọc bài.)</t>
  </si>
  <si>
    <t>vay thế chấp sổ đỏ</t>
  </si>
  <si>
    <t>Kinh nghiệm vay lãi tối ưu. (Theo title/meta, chưa đọc bài.)</t>
  </si>
  <si>
    <t>lãi suất vay thế chấp sổ hồng</t>
  </si>
  <si>
    <t>Đối với những khách hàng sở hữu tài khoản ngân hàng Techcombank, Techcombank Mobile mang đến giải pháp nạp tiền VinaPhone nhanh chóng và tiện lợi…</t>
  </si>
  <si>
    <t>Thêm ngay sau đoạn này: «Khi thanh toán bằng thẻ, bạn cũng có thể cân nhắc các dòng thẻ hoàn tiền để nhận thêm ưu đãi.»</t>
  </si>
  <si>
    <t>2.2. Sử dụng thẻ tín dụng để rút tiền</t>
  </si>
  <si>
    <t>Tại Techcombank, khách hàng sẽ được hoàn 100% phí rút tiền mặt nếu đăng ký chuyển đổi trả góp giao dịch rút tiền mặt từ thẻ tín dụng:</t>
  </si>
  <si>
    <t>Thêm dòng sau đoạn: «Xem thêm: top thẻ tín dụng hoàn tiền ưu đãi»</t>
  </si>
  <si>
    <t>Đoạn dẫn vào danh sách – dùng Xem thêm; hoàn phí ≠ thẻ hoàn tiền</t>
  </si>
  <si>
    <t>Chọn ngân hàng — lãi suất là tiêu chí. (Theo title/meta, chưa đọc bài.)</t>
  </si>
  <si>
    <t>vay thế chấp sổ đỏ ngân hàng</t>
  </si>
  <si>
    <t>1. Cập nhật ưu đãi mua iPhone 17 mới nhất 2026</t>
  </si>
  <si>
    <t>Rinh iPhone 17 với loạt ưu đãi dành riêng cho chủ thẻ tín dụng Techcombank.</t>
  </si>
  <si>
    <t>Techcombank Mobile hỗ trợ chi tiêu trước và thanh toán sau bằng thẻ tín dụng với nhiều ưu đãi.</t>
  </si>
  <si>
    <t>Định nghĩa — chèn ở đoạn tài sản là sổ đỏ. (Theo title/meta, chưa đọc bài.)</t>
  </si>
  <si>
    <t>Thêm dòng sau đoạn: «Xem thêm: thẻ tín dụng hoàn tiền và các ưu đãi đi kèm»</t>
  </si>
  <si>
    <t>4. Đóng thẻ tín dụng có mất phí không?</t>
  </si>
  <si>
    <t>Khách hàng cần liên hệ với ngân hàng hủy thẻ tín dụng nếu không có nhu cầu tiếp tục sử dụng để tránh những khoản phí không cần thiết.</t>
  </si>
  <si>
    <t>Bôi đen cụm «hủy thẻ tín dụng» trong câu trên, gắn link.</t>
  </si>
  <si>
    <t>2.3. Cách 3: Đến trực tiếp ngân hàng yêu cầu khóa thẻ/hủy thẻ cũ</t>
  </si>
  <si>
    <t>Khách hàng có thể mang theo giấy tờ tùy thân (CCCD/Hộ chiếu) đến trực tiếp các chi nhánh/phòng giao dịch của ngân hàng và yêu cầu giao dịch viên khóa/hủy thẻ tín dụng đã bị mất.</t>
  </si>
  <si>
    <t>Tất toán xong → xóa thế chấp. (Theo title/meta, chưa đọc bài.)</t>
  </si>
  <si>
    <t>3. Cách để không mất phí khi không sử dụng thẻ tín dụng</t>
  </si>
  <si>
    <t>Khi khách hàng không có nhu cầu sử dụng thẻ tín dụng và chắc chắn không sử dụng chiếc thẻ tín dụng này trong tương lai thì có thể tới ngân hàng hoặc thao tác trên Mobile Banking để hủy thẻ vĩnh viễn…</t>
  </si>
  <si>
    <t>Sửa câu thành: «Khi khách hàng không có nhu cầu sử dụng thẻ tín dụng và chắc chắn không sử dụng chiếc thẻ tín dụng này trong tương lai thì có thể tới ngân hàng hoặc thao tác trên Mobile Banking để hủy thẻ tín dụng vĩnh viễn, tránh việc phải đóng phí khi không dùng tới.»</t>
  </si>
  <si>
    <t>Tất toán khoản vay → bước giải chấp. (Theo title/meta, chưa đọc bài.)</t>
  </si>
  <si>
    <t>Thẻ tín dụng/thẻ ATM hết hạn có được hủy thẻ không?</t>
  </si>
  <si>
    <t>Thêm dòng sau đoạn: «Xem thêm: Cách hủy thẻ tín dụng và các lưu ý cần biết»</t>
  </si>
  <si>
    <t>hồ sơ thủ tục xóa thế chấp</t>
  </si>
  <si>
    <t>Đặt sau phần trả lời của câu hỏi này</t>
  </si>
  <si>
    <t>2. Ngừng dùng thẻ tín dụng Techcombank bao lâu thì bị khóa?</t>
  </si>
  <si>
    <t>Techcombank không có quy định liên quan đến khóa thẻ tín dụng đã ngừng sử dụng.</t>
  </si>
  <si>
    <t>Thêm ngay sau đoạn này: «Nếu không còn nhu cầu sử dụng thẻ, khách hàng có thể tham khảo cách hủy thẻ tín dụng để chủ động đóng thẻ.»</t>
  </si>
  <si>
    <t>Định nghĩa thế chấp; chèn ở đoạn kết thúc thế chấp. (Theo title/meta, chưa đọc bài.)</t>
  </si>
  <si>
    <t>xóa thế chấp sổ đỏ</t>
  </si>
  <si>
    <t>Nắm rõ đặc điểm các loại thẻ tín dụng giúp bạn chọn đúng sản phẩm, chi tiêu hiệu quả và tận hưởng nhiều ưu đãi hơn.</t>
  </si>
  <si>
    <t>Thêm ngay sau đoạn này: «Trường hợp không còn nhu cầu sử dụng, bạn có thể tham khảo cách hủy thẻ tín dụng để thực hiện đúng quy trình.»</t>
  </si>
  <si>
    <t>6. 4 loại thẻ tín dụng được sử dụng nhiều nhất</t>
  </si>
  <si>
    <t>Trên đây là hướng dẫn cách mở thẻ tín dụng cũng như một số lưu ý trong quá trình mở thẻ từ Techcombank.</t>
  </si>
  <si>
    <t>Thêm ngay sau đoạn này: «Trường hợp không còn nhu cầu sử dụng, khách hàng có thể tham khảo cách hủy thẻ tín dụng để đóng thẻ đúng quy trình.»</t>
  </si>
  <si>
    <t>1. Phí thường niên là gì? Tài khoản thu phí thường niên là gì?</t>
  </si>
  <si>
    <t>So kỳ hạn để lãi cao — cần bảng lãi suất. (Theo title/meta, chưa đọc bài.)</t>
  </si>
  <si>
    <t>Phí thường niên là khoản phí mà chủ thẻ phải trả hằng năm cho ngân hàng nhằm duy trì việc sử dụng và các tiện ích đi kèm của thẻ, bao gồm: thẻ ATM, thẻ ghi nợ và thẻ tín dụng.</t>
  </si>
  <si>
    <t>Thêm ngay sau đoạn này: «Nếu không còn nhu cầu sử dụng, chủ thẻ có thể cân nhắc hủy thẻ tín dụng để không phát sinh phí thường niên cho các năm tiếp theo.»</t>
  </si>
  <si>
    <t>3. Khoá thẻ tại phòng giao dịch/chi nhánh ngân hàng</t>
  </si>
  <si>
    <t>Nếu mất thẻ/lộ thông tin thì có thể trực tiếp đến phòng giao dịch/chi nhánh ngân hàng để yêu cầu khoá thẻ ngân hàng nhanh và an toàn</t>
  </si>
  <si>
    <t>Thêm ngay sau đoạn này: «Với thẻ tín dụng, nếu không còn nhu cầu sử dụng, bạn có thể tìm hiểu thủ tục hủy thẻ tín dụng tại ngân hàng.»</t>
  </si>
  <si>
    <t>So lãi online/quầy. (Theo title/meta, chưa đọc bài.)</t>
  </si>
  <si>
    <t>lãi suất gửi tiết kiệm</t>
  </si>
  <si>
    <t>Như vậy, trong bài viết này, chúng ta đã tìm ra câu trả lời cho câu hỏi tài khoản doanh nghiệp có thẻ không và tìm hiểu về 2 loại thẻ doanh nghiệp phổ biến là thẻ ghi nợ (Thẻ Visa Business Debit) và…</t>
  </si>
  <si>
    <t>Thêm ngay sau đoạn này: «Trường hợp không còn nhu cầu sử dụng, doanh nghiệp cũng nên tìm hiểu cách hủy thẻ tín dụng để tránh phát sinh phí.»</t>
  </si>
  <si>
    <t>Như vậy, bài viết trên đã tổng hợp các cách tra cứu hạn mức thẻ tín dụng nhanh chóng, chính xác.</t>
  </si>
  <si>
    <t>Thêm dòng sau đoạn: «Xem thêm: cách hủy thẻ tín dụng khi không còn nhu cầu sử dụng»</t>
  </si>
  <si>
    <t>Quyết định gửi dựa trên lãi suất hiện tại. (Theo title/meta, chưa đọc bài.)</t>
  </si>
  <si>
    <t>lãi suất tiết kiệm các ngân hàng</t>
  </si>
  <si>
    <t>Là người tiêu dùng thông thái, khách hàng nên sở hữu cả 2 loại thẻ này để thanh toán và quản lý chi tiêu tốt hơn.</t>
  </si>
  <si>
    <t>Thêm ngay sau đoạn này: «Trường hợp không còn nhu cầu sử dụng thẻ tín dụng, khách hàng có thể tham khảo cách hủy thẻ tín dụng để thực hiện đúng quy trình.»</t>
  </si>
  <si>
    <t>Top ngân hàng lãi suất hấp dẫn. (Theo title/meta, chưa đọc bài.)</t>
  </si>
  <si>
    <t>Đăng ký thanh toán tự động hoặc thiết lập nhắc nhở giúp bạn tránh bị quên hạn thanh toán thẻ tín dụng.</t>
  </si>
  <si>
    <t>Thêm ngay sau đoạn này: «Trường hợp không còn nhu cầu sử dụng thẻ, bạn có thể tham khảo cách hủy thẻ tín dụng để tránh phát sinh phí không cần thiết.»</t>
  </si>
  <si>
    <t>Khách hàng nên lựa chọn ưu đãi phù hợp và chú ý thời hạn áp dụng để tận dụng đúng cách và tối ưu các ưu đãi thẻ tín dụng của ngân hàng.</t>
  </si>
  <si>
    <t>Thêm ngay sau đoạn này: «Nếu không còn nhu cầu sử dụng, bạn có thể tham khảo cách hủy thẻ tín dụng để tránh phát sinh phí không cần thiết.»</t>
  </si>
  <si>
    <t>So sánh lãi suất, kỳ hạn hôm nay. (Theo title/meta, chưa đọc bài.)</t>
  </si>
  <si>
    <t>4.4. Mở thẻ tín dụng hạn mức cao có mất phí không?</t>
  </si>
  <si>
    <t>Như vậy, để mở thẻ tín dụng hạn mức cao , khách hàng cần đáp ứng nhiều điều kiện khắt khe về thu nhập, giá trị tài sản sở hữu và dòng tiền lưu động qua thẻ…</t>
  </si>
  <si>
    <t>Thêm ngay sau đoạn này: «Trường hợp không còn nhu cầu sử dụng, chủ thẻ có thể tham khảo cách hủy thẻ tín dụng đúng quy trình.»</t>
  </si>
  <si>
    <t>10. Lưu ý khi sử dụng thẻ tín dụng để tận dụng nhiều ưu đãi</t>
  </si>
  <si>
    <t>Khách hàng cần đọc kỹ các quy định về ưu đãi thẻ tín dụng của mỗi ngân hàng trong từng thời kỳ để biết cách tận dụng các cơ hội mua sắm giúp tiết kiệm chi tiêu.</t>
  </si>
  <si>
    <t>Thêm ngay sau đoạn này: «Trường hợp không còn nhu cầu sử dụng, bạn có thể tham khảo cách hủy thẻ tín dụng đúng quy trình.»</t>
  </si>
  <si>
    <t>5.2. Cách tính lãi suất</t>
  </si>
  <si>
    <t>Để tránh trường hợp nợ thẻ tín dụng quá hạn, khách hàng nên chủ động theo dõi hoặc cài thông báo nhắc lịch thanh toán mỗi kỳ trên ứng dụng Mobile Banking.</t>
  </si>
  <si>
    <t>Thêm ngay sau đoạn này: «Trường hợp không còn nhu cầu sử dụng, khách hàng nên tất toán toàn bộ dư nợ trước khi tìm hiểu cách hủy thẻ tín dụng.»</t>
  </si>
  <si>
    <t>Lãi kép và công thức tính. (Theo title/meta, chưa đọc bài.)</t>
  </si>
  <si>
    <t>Thẻ tín dụng mang đến nhiều lợi ích trong chi tiêu, tuy nhiên, trong quá trình sử dụng, chủ thẻ cần phải hiểu rõ bản chất thẻ tín dụng là gì , chức năng và cách sử dụng…</t>
  </si>
  <si>
    <t>Thêm ngay sau đoạn này: «Khi không còn nhu cầu sử dụng, chủ thẻ cũng nên tìm hiểu cách hủy thẻ tín dụng đúng quy trình.»</t>
  </si>
  <si>
    <t>Tùy theo quy định của từng ngân hàng, điều kiện, giấy tờ thủ tục và quy trình làm thẻ tín dụng ảo/phi vật lý sẽ khác nhau.</t>
  </si>
  <si>
    <t>Thêm ngay sau đoạn này: «Ngược lại, khi không còn nhu cầu sử dụng, khách hàng có thể tham khảo cách hủy thẻ tín dụng để đóng thẻ đúng quy trình.»</t>
  </si>
  <si>
    <t>Nhận lãi hàng tháng — cách tính khác lãi cuối kỳ. (Theo title/meta, chưa đọc bài.)</t>
  </si>
  <si>
    <t>công thức tính lãi tiết kiệm</t>
  </si>
  <si>
    <t>5. 6 câu hỏi thường gặp khi thanh toán tối thiểu thẻ tín dụng</t>
  </si>
  <si>
    <t>Nếu có điều kiện tài chính và có khả năng thanh toán đầy đủ dư nợ tín dụng, hãy thanh toán đầy đủ.</t>
  </si>
  <si>
    <t>Thêm ngay sau đoạn này: «Trường hợp không còn nhu cầu sử dụng, bạn nên thanh toán hết dư nợ trước khi tìm hiểu cách hủy thẻ tín dụng.»</t>
  </si>
  <si>
    <t>Khách hàng cần lưu ý về thời gian thanh toán trả góp qua thẻ tín dụng hằng tháng để thanh toán đúng hạn, tránh phát sinh các loại phí phạt không mong muốn.</t>
  </si>
  <si>
    <t>Thêm ngay sau đoạn này: «Trước khi có ý định hủy thẻ, bạn cần hoàn tất các khoản trả góp còn lại; xem thêm cách hủy thẻ tín dụng để biết điều kiện cụ thể.»</t>
  </si>
  <si>
    <t>Có mục cách tính lãi (theo title). (Theo title/meta, chưa đọc bài.)</t>
  </si>
  <si>
    <t>5. Thanh toán dư nợ thẻ tín dụng như thế nào?</t>
  </si>
  <si>
    <t>Việc chủ động tìm hiểu và kiểm tra sao kê thẻ tín dụng hàng tháng là một thói quen tài chính thông minh.</t>
  </si>
  <si>
    <t>Thêm ngay sau đoạn này: «Nếu không còn nhu cầu sử dụng, bạn có thể tham khảo cách hủy thẻ tín dụng sau khi đã thanh toán hết dư nợ.»</t>
  </si>
  <si>
    <t>Có mục cách tính lãi không kỳ hạn. (Theo title/meta, chưa đọc bài.)</t>
  </si>
  <si>
    <t>Thẻ tín dụng Techcombank Visa Signature được miễn/hoàn phí thường niên hằng năm khi khách hàng đạt điều kiện chi tiêu.</t>
  </si>
  <si>
    <t>Thêm ngay sau đoạn này: «Nếu không còn nhu cầu sử dụng, khách hàng có thể tìm hiểu thủ tục hủy thẻ tín dụng để tránh phát sinh phí thường niên.»</t>
  </si>
  <si>
    <t>2. Vị trí của mã CVV/CVC</t>
  </si>
  <si>
    <t>Mã CSC được in tại mặt sau của thẻ thanh toán/thẻ tín dụng quốc tế.</t>
  </si>
  <si>
    <t>Thêm ngay sau đoạn này: «Khi không còn nhu cầu sử dụng, bạn nên tìm hiểu cách hủy thẻ tín dụng đúng quy trình để tránh lộ thông tin in trên thẻ.»</t>
  </si>
  <si>
    <t>Đáo hạn và cách tính. (Theo title/meta, chưa đọc bài.)</t>
  </si>
  <si>
    <t>Tuy nhiên, thẻ đen cũng có thể bị thu hồi nếu khách hàng không đáp ứng đủ những tiêu chí mà ngân hàng yêu cầu trong suốt quá trình sử dụ…</t>
  </si>
  <si>
    <t>Thêm ngay sau đoạn này: «Trường hợp không còn nhu cầu sử dụng, chủ thẻ có thể tìm hiểu thủ tục hủy thẻ tín dụng theo quy định của ngân hàng.»</t>
  </si>
  <si>
    <t>3. Thanh toán bằng thẻ tín dụng có cần mã PIN không?</t>
  </si>
  <si>
    <t>Khi sử dụng, khách hàng cần ghi nhớ mã CVV, có thể dùng giấy dán để che đi mã CVV và TUYỆT ĐỐI không cung cấp mã CVV này cùng mã PIN cho người lạ…</t>
  </si>
  <si>
    <t>Thêm ngay sau đoạn này: «Nếu nghi ngờ lộ thông tin thẻ, khách hàng nên liên hệ ngân hàng để khóa hoặc hủy thẻ tín dụng kịp thời.»</t>
  </si>
  <si>
    <t>5. Mở thẻ tín dụng quốc tế Techcombank, sẵn sàng chi tiêu trong và ngoài nước</t>
  </si>
  <si>
    <t>Nếu thường xuyên du lịch, công tác hoặc mua sắm quốc tế, khách hàng có thể tham khảo các dòng thẻ tín dụng quốc tế của Techcombank để lựa chọn sản phẩm phù hợp.</t>
  </si>
  <si>
    <t>Thêm ngay sau đoạn này: «Trường hợp không còn nhu cầu dùng thẻ cũ, khách hàng có thể tìm hiểu thủ tục hủy thẻ tín dụng để tránh phát sinh phí.»</t>
  </si>
  <si>
    <t>Tất toán trước hạn = rút trước hạn. (Theo title/meta, chưa đọc bài.)</t>
  </si>
  <si>
    <t>3. Điều kiện làm hồ sơ trả góp điện thoại với thẻ tín dụng</t>
  </si>
  <si>
    <t>Đặc biệt, trong thời gian trả góp , thẻ tín dụng của khách hàng không bị đóng/khóa/hủy</t>
  </si>
  <si>
    <t>Thêm dòng sau đoạn: «Xem thêm: Điều kiện, quy trình hủy thẻ tín dụng»</t>
  </si>
  <si>
    <t>Cùng câu hỏi cho tiết kiệm online. (Theo title/meta, chưa đọc bài.)</t>
  </si>
  <si>
    <t>rút tiết kiệm trước hạn</t>
  </si>
  <si>
    <t>Khách hàng nên cố gắng gia tăng điểm tín dụng, xếp hạng tín dụng nhằm xây dựng uy tín để dự trù cho những khoản vay và đầu tư cho tương lai.</t>
  </si>
  <si>
    <t>Bôi đen cụm «xếp hạng tín dụng» trong câu trên, gắn link.</t>
  </si>
  <si>
    <t>Cách 2: Kiểm tra dư nợ tín dụng qua ứng dụng CIC Connect</t>
  </si>
  <si>
    <t>Tại đây bạn có thể kiểm tra dư nợ tín dụng (số tiền bạn còn nợ tại từng tổ chức tài chính) và điểm tín dụng, xếp hạng tín dụng.</t>
  </si>
  <si>
    <t>Đoạn các bước – chỉ bôi đen, không sửa câu</t>
  </si>
  <si>
    <t>Phương án thay cho rút trước hạn. (Theo title/meta, chưa đọc bài.)</t>
  </si>
  <si>
    <t>3. Những lưu ý quan trọng khi đáo hạn khoản vay</t>
  </si>
  <si>
    <t>Ảnh hưởng đến tín dụng: Lạm dụng dịch vụ đáo hạn khiến ngân hàng nghi ngờ hành vi bất thường, có thể dẫn đến khóa thẻ, giảm hạn mức tín dụng hoặc xếp hạng tín dụng thấp…</t>
  </si>
  <si>
    <t>6.1. Cải thiện điểm tín dụng cá nhân</t>
  </si>
  <si>
    <t>Không mở quá nhiều thẻ tín dụng: Việc mở quá nhiều thẻ tín dụng có thể khiến xếp hạng tín dụng của bạn bị đánh giá không tốt.</t>
  </si>
  <si>
    <t>Mất sổ — chèn ở đoạn rút tiền. (Theo title/meta, chưa đọc bài.)</t>
  </si>
  <si>
    <t>Việc mở quá nhiều tài khoản tín dụng hoặc khoản vay mới trong một thời gian ngắn có thể là dấu hiệu của rủi ro, làm giảm tạm thời xếp hạng của bạn</t>
  </si>
  <si>
    <t>Sửa câu thành: «Việc mở quá nhiều tài khoản tín dụng hoặc khoản vay mới trong một thời gian ngắn có thể là dấu hiệu của rủi ro, làm giảm tạm thời xếp hạng tín dụng của bạn»</t>
  </si>
  <si>
    <t>1.3. Bị ảnh hưởng tới lịch sử tín dụng cá nhân</t>
  </si>
  <si>
    <t>Và khi đó, khoản nợ của khách hàng sẽ được xếp vào nhóm nợ có vấn đề tùy thuộc vào số ngày quá hạn chưa trả.</t>
  </si>
  <si>
    <t>Thêm ngay sau đoạn này: «Điều này cũng ảnh hưởng trực tiếp đến xếp hạng tín dụng cá nhân của bạn tại các tổ chức tín dụng.»</t>
  </si>
  <si>
    <t>Các thao tác với sổ tiết kiệm. (Theo title/meta, chưa đọc bài.)</t>
  </si>
  <si>
    <t>Do đó, khách hàng nên cân nhắc khả năng tài chính và lên kế hoạch trả nợ phù hợp trước khi ký hợp đồng vay nhằm duy trì lịch sử tín dụng tốt cho các lần vay tiếp theo trong tương lai.</t>
  </si>
  <si>
    <t>Thêm ngay sau đoạn này: «Lịch sử trả nợ cũng là cơ sở quan trọng để ngân hàng đánh giá xếp hạng tín dụng của mỗi khách hàng.»</t>
  </si>
  <si>
    <t>7.3. Chậm trả góp bao lâu thì bị nợ xấu?</t>
  </si>
  <si>
    <t>Dưới 10 ngày: Thường vẫn được xếp vào nhóm nợ đủ tiêu chuẩn (nhóm 1) hoặc nợ cần chú ý (nhóm 2) nếu tổ chức tín dụng đánh giá bạn vẫn có khả năng trả</t>
  </si>
  <si>
    <t>Thêm dòng sau đoạn: «Xem thêm: xếp hạng tín dụng là gì»</t>
  </si>
  <si>
    <t>Đoạn liệt kê mốc thời gian – dùng Xem thêm</t>
  </si>
  <si>
    <t>7.5. Sau khi thanh toán hết nợ xấu, bao lâu thì có thể vay lại được?</t>
  </si>
  <si>
    <t>Chủ động kiểm soát lịch sử tín dụng và tuân thủ nghĩa vụ trả nợ đúng hạn sẽ giúp người vay duy trì uy tín tài chính và dễ dàng tiếp cận các giải pháp tín dụng khi cần thiết.</t>
  </si>
  <si>
    <t>Sửa câu thành: «Chủ động kiểm soát lịch sử tín dụng và tuân thủ nghĩa vụ trả nợ đúng hạn sẽ giúp người vay duy trì uy tín tài chính, cải thiện xếp hạng tín dụng và dễ dàng tiếp cận các giải pháp tín dụng khi cần thiết.»</t>
  </si>
  <si>
    <t>2. Nợ nhóm 2 có vay ngân hàng, mở thẻ tín dụng được không?</t>
  </si>
  <si>
    <t>Lý do là các ngân hàng và tổ chức tín dụng luôn xem đây là nhóm khách hàng tiềm ẩn rủi ro cao hơn, nên quá trình thẩm định hồ sơ sẽ được thực hiệ…</t>
  </si>
  <si>
    <t>Thêm ngay sau đoạn này: «Nhóm nợ cũng ảnh hưởng trực tiếp đến xếp hạng tín dụng của khách hàng khi ngân hàng thẩm định hồ sơ.»</t>
  </si>
  <si>
    <t>Mở sổ cần bao nhiêu tiền. (Theo title/meta, chưa đọc bài.)</t>
  </si>
  <si>
    <t>3. Câu hỏi thường gặp khi nợ thẻ tín dụng quá hạn</t>
  </si>
  <si>
    <t>Trả nợ thẻ tín dụng là trách nhiệm của mỗi người, khách hàng nên thu xếp tài chính hợp lý để thanh toán nợ đầy đủ và đúng hạn.</t>
  </si>
  <si>
    <t>Thêm ngay sau đoạn này: «Thanh toán đúng hạn cũng giúp duy trì xếp hạng tín dụng tốt cho khách hàng.»</t>
  </si>
  <si>
    <t>TK tiết kiệm ~ sổ tiết kiệm. (Theo title/meta, chưa đọc bài.)</t>
  </si>
  <si>
    <t>sổ tiết kiệm</t>
  </si>
  <si>
    <t>Mất sổ — cần hiểu sổ. (Theo title/meta, chưa đọc bài.)</t>
  </si>
  <si>
    <t>Gửi thêm vào sổ. (Theo title/meta, chưa đọc bài.)</t>
  </si>
  <si>
    <t>Thị trường hồi phục chậm nhưng theo hướng tích cực</t>
  </si>
  <si>
    <t>Việc tìm hiểu dự báo của giới chuyên gia, nhất là của các tổ chức xếp hạng uy tín cũng được quan tâm hơn.</t>
  </si>
  <si>
    <t>Sửa câu thành: «Việc tìm hiểu dự báo của giới chuyên gia, nhất là của các tổ chức xếp hạng tín dụng uy tín cũng được quan tâm hơn.»</t>
  </si>
  <si>
    <t>Quy trình gửi tiết kiệm tại quầy. (Theo title/meta, chưa đọc bài.)</t>
  </si>
  <si>
    <t>1. Lịch sử tín dụng là gì?</t>
  </si>
  <si>
    <t>Lịch sử tín dụng là bản ghi tổng hợp toàn bộ thông tin về các khoản vay, việc sử dụng thẻ tín dụng và thói quen trả nợ của bạn tại các ngân hàng hay công ty tài chính.</t>
  </si>
  <si>
    <t>Thêm ngay sau đoạn này: «Đây cũng là cơ sở quan trọng để đánh giá xếp hạng tín dụng cá nhân của bạn.»</t>
  </si>
  <si>
    <t>Bằng cách nắm rõ các loại tín dụng ngân hàng, điều kiện cấp tín dụng và các thông tin liên quan, bạn có thể đưa ra các quyết định tài chính sáng suốt…</t>
  </si>
  <si>
    <t>Thêm ngay sau đoạn này: «Ngoài ra, việc theo dõi xếp hạng tín dụng cá nhân cũng giúp bạn chủ động hơn khi có nhu cầu vay vốn.»</t>
  </si>
  <si>
    <t>CIC có nhiệm vụ thu thập, lưu trữ, phân tích và quản lý thông tin tín dụng của cá nhân và tổ chức tại Việt Nam.</t>
  </si>
  <si>
    <t>Thêm ngay sau đoạn này: «Những thông tin này cũng là cơ sở để ngân hàng đánh giá xếp hạng tín dụng cá nhân khi bạn vay vốn.»</t>
  </si>
  <si>
    <t>Cách tiết kiệm theo tuần — dẫn sang 11 cách. (Theo title/meta, chưa đọc bài.)</t>
  </si>
  <si>
    <t>2.1. Thanh toán khoản vay đúng hạn</t>
  </si>
  <si>
    <t>Bởi vì, ngân hàng sẽ căn cứ vào thời gian nợ quá hạn của người vay để đánh giá lịch sử tín dụng cá nhân - đây là một trong những cơ sở để ngân hàng phê duyệt khoả…</t>
  </si>
  <si>
    <t>Thêm ngay sau đoạn này: «Lịch sử trả nợ cũng ảnh hưởng trực tiếp đến xếp hạng tín dụng cá nhân của bạn.»</t>
  </si>
  <si>
    <t>4.1. Có thể chi tiêu vượt hạn mức thẻ tín dụng không?</t>
  </si>
  <si>
    <t>Có thể tiêu vượt định mức hạng thẻ trong các trường hợp ngoại lệ được ngân hàng cho phép và phải đạt các điều kiện nhất định như có lịch sử tín dụng tốt…</t>
  </si>
  <si>
    <t>Thêm ngay sau đoạn này: «Các yếu tố này cũng ảnh hưởng đến xếp hạng tín dụng cá nhân của khách hàng.»</t>
  </si>
  <si>
    <t>Tiết kiệm theo ngày. (Theo title/meta, chưa đọc bài.)</t>
  </si>
  <si>
    <t>cách tiết kiệm tiền hiệu quả</t>
  </si>
  <si>
    <t>1.1. Phân loại nhóm nợ xấu</t>
  </si>
  <si>
    <t>Đặc biệt, người bị xếp vào nhóm 5 sẽ bị hầu hết các ngân hàng hoặc công ty tài chính từ chối cho vay, bất kể có tài sản đảm bảo hay không.</t>
  </si>
  <si>
    <t>Thêm ngay sau đoạn này: «Nhóm nợ cũng ảnh hưởng trực tiếp đến xếp hạng tín dụng cá nhân của người vay.»</t>
  </si>
  <si>
    <t>“Săn” trái phiếu vàng, dù lãi suất thấp hơn 0.5 – 1% so với các tổ chức khác</t>
  </si>
  <si>
    <t>Đặc biệt, TCBS hiện đã chính thức tiến hành ký kết thỏa thuận hợp tác với các công ty xếp hạng tín nhiệm uy tín hàng đầu…</t>
  </si>
  <si>
    <t>Tiết kiệm tiền lương. (Theo title/meta, chưa đọc bài.)</t>
  </si>
  <si>
    <t>Thêm ngay sau đoạn này: «Nhà đầu tư có thể tìm hiểu thêm về xếp hạng tín dụng để đánh giá khả năng trả nợ của tổ chức phát hành.»</t>
  </si>
  <si>
    <t>Cần xác nhận trang đích nói về xếp hạng cá nhân hay doanh nghiệp</t>
  </si>
  <si>
    <t>Yếu tố lãi suất không còn là “then chốt” để chọn mua trái phiếu</t>
  </si>
  <si>
    <t>Còn hiện nay, nhà đầu tư đã quan tâm hơn về các quy định của pháp luật, tìm hiểu kỹ thông tin… xếp hạng tín nhiệm của tổ chức phát hành.</t>
  </si>
  <si>
    <t>Lợi ích tiết kiệm → cách làm. (Theo title/meta, chưa đọc bài.)</t>
  </si>
  <si>
    <t>Thực hành tiết kiệm. (Theo title/meta, chưa đọc bài.)</t>
  </si>
  <si>
    <t>Thông thường, một số công ty chứng khoán lớn như TCBS khi tư vấn phát hành sẽ phối hợp với bên xếp hạng tín nhiệm để từ đó hỗ trợ nhà đầu tư lọc được trái phiếu dễ dàng hơn.</t>
  </si>
  <si>
    <t>Đoạn dạng các bước – dùng Xem thêm</t>
  </si>
  <si>
    <t>Lý do nên gửi → đối chiếu rủi ro. (Theo title/meta, chưa đọc bài.)</t>
  </si>
  <si>
    <t>3. Quy trình cho vay hợp vốn</t>
  </si>
  <si>
    <t>Nếu dự án cần cấp tín dụng với quy mô lớn, tổ chức tín dụng đứng ra dàn xếp sẽ phát hành thư mời tham gia cấp tín dụng hợp vốn…</t>
  </si>
  <si>
    <t>Thêm ngay sau đoạn này: «Khi xem xét tham gia, các tổ chức tín dụng thường đánh giá cả kết quả xếp hạng tín dụng của doanh nghiệp đi vay.»</t>
  </si>
  <si>
    <t>Mất tiền gửi online — rủi ro cụ thể. (Theo title/meta, chưa đọc bài.)</t>
  </si>
  <si>
    <t>gửi tiết kiệm online có an toàn không</t>
  </si>
  <si>
    <t>Kinh nghiệm gửi an toàn. (Theo title/meta, chưa đọc bài.)</t>
  </si>
  <si>
    <t>3. Nên mua bảo hiểm nhân thọ nào? Kinh nghiệm tham gia bảo hiểm nhân thọ phù hợp</t>
  </si>
  <si>
    <t>Bạn có thể kiểm tra xếp hạng tín nhiệm, hoặc tham khảo đánh giá từ khách hàng cũ để yên tâm hơn</t>
  </si>
  <si>
    <t>Thêm dòng sau đoạn: «Xem thêm: Xếp hạng tín dụng là gì?»</t>
  </si>
  <si>
    <t>Đoạn nói xếp hạng tín nhiệm của công ty bảo hiểm – liên quan yếu</t>
  </si>
  <si>
    <t>Hướng dẫn gửi — chèn lưu ý rủi ro. (Theo title/meta, chưa đọc bài.)</t>
  </si>
  <si>
    <t>Nhà đầu tư ưa trái phiếu từ tổ chức phát hành tin cậy</t>
  </si>
  <si>
    <t>Những TCPH có mức độ xếp hạng tín nhiệm cao hơn sẽ an toàn hơn cho nhà đầu tư.</t>
  </si>
  <si>
    <t>Xếp hạng tín nhiệm TCPH khác xếp hạng tín dụng cá nhân</t>
  </si>
  <si>
    <t>Bài anh em (rủi ro chung). (Theo title/meta, chưa đọc bài.)</t>
  </si>
  <si>
    <t>Mỗi người dùng sẽ có hạn mức riêng, phù hợp với hồ sơ tín dụng cá nhân.</t>
  </si>
  <si>
    <t>Sửa câu thành: «Mỗi người dùng sẽ có hạn mức riêng, phù hợp với hồ sơ và xếp hạng tín dụng cá nhân.»</t>
  </si>
  <si>
    <t>6. Quản lý chi tiêu khi sử dụng nhiều thẻ tín dụng cùng lúc</t>
  </si>
  <si>
    <t>Do mỗi người có một giới hạn vay cá nhân khác nhau nên tổng hạn mức các thẻ tín dụng cộng dồn lại càng lớn thì hạn mức các khoản vay còn lại sẽ càng thấp.</t>
  </si>
  <si>
    <t>Thêm ngay sau đoạn này: «Sử dụng thẻ hợp lý, thanh toán đúng hạn cũng góp phần cải thiện xếp hạng tín dụng cá nhân.»</t>
  </si>
  <si>
    <t>Vay 100 triệu — dùng công cụ tính tiền trả. (Theo title/meta, chưa đọc bài.)</t>
  </si>
  <si>
    <t>4. 5 Cách tận dụng tối đa thời gian miễn lãi 55 ngày</t>
  </si>
  <si>
    <t>Kiểm tra lịch sử giao dịch và khả năng chi trả để quản lý chi tiêu hiệu quả, tránh tình trạng chi tiêu quá tay gây ảnh hưởng đến khả năng thực hiện nghĩa vụ thanh toán dư nợ thẻ tín dụng</t>
  </si>
  <si>
    <t>Bôi đen cụm «thanh toán dư nợ thẻ tín dụng» trong câu trên, gắn link.</t>
  </si>
  <si>
    <t>Vay 200 triệu trả góp — người đọc cần tính số tiền trả hàng tháng. (Theo title/meta, chưa đọc bài.)</t>
  </si>
  <si>
    <t>công cụ tính lãi suất vay ngân hàng</t>
  </si>
  <si>
    <t>Do đó, bạn nên chủ động thanh toán dư nợ thẻ tín dụng đúng hạn để duy trì lịch sử tín dụng tích cực…</t>
  </si>
  <si>
    <t>5. VietinBank iPay</t>
  </si>
  <si>
    <t>Quản lý thẻ: Mở/Đóng thẻ trực tuyến; thanh toán dư nợ thẻ tín dụng cùng hàng trăm ưu đãi lên đến 50%++ tại các đối tác khi thực hiện thanh toán bằng thẻ</t>
  </si>
  <si>
    <t>Vay 300 triệu trả góp — người đọc cần tính số tiền trả hàng tháng. (Theo title/meta, chưa đọc bài.)</t>
  </si>
  <si>
    <t>bảng tính lãi suất vay</t>
  </si>
  <si>
    <t>Vay trả góp — tính số tiền trả. (Theo title/meta, chưa đọc bài.)</t>
  </si>
  <si>
    <t>2.2. Tài khoản &amp; Thẻ</t>
  </si>
  <si>
    <t>Chỉ với vài thao tác trên Techcombank Mobile , khách hàng có thể theo dõi lịch sử giao dịch, tải sao kê, thanh toán dư nợ thẻ tín dụng…</t>
  </si>
  <si>
    <t>4. Linh hoạt lựa chọn giải pháp chi tiêu cá nhân</t>
  </si>
  <si>
    <t>Chỉ với vài thao tác trên Techcombank Mobile, khách hàng có thể theo dõi lịch sử giao dịch, tải sao kê, thanh toán dư nợ thẻ tín dụng,…</t>
  </si>
  <si>
    <t>Vay thêm → tính lại khả năng trả. (Theo title/meta, chưa đọc bài.)</t>
  </si>
  <si>
    <t>5.1. Thanh toán đúng hạn</t>
  </si>
  <si>
    <t>Ví dụ: Để đảm bảo thanh toán đúng hạn dư nợ thẻ tín dụng, bạn cần nắm được quy tắc trả nợ thẻ tín dụng và các mốc:</t>
  </si>
  <si>
    <t>Bôi đen cụm «trả nợ thẻ tín dụng» trong câu trên, gắn link.</t>
  </si>
  <si>
    <t>4.2. Phí huỷ thẻ tín dụng là bao nhiêu?</t>
  </si>
  <si>
    <t>Khách hàng chỉ cần thanh toán toàn bộ dư nợ thẻ tín dụng tại thời điểm khoá thẻ và các loại phí khác như phí thường niên, phí trả nợ quá hạn… (nếu có).</t>
  </si>
  <si>
    <t>Thêm ngay sau đoạn này: «Bạn có thể tham khảo các cách thanh toán dư nợ thẻ tín dụng nhanh chóng trước khi đến ngân hàng làm thủ tục.»</t>
  </si>
  <si>
    <t>Mục tiêu 100 triệu — tính lãi tích lũy. (Theo title/meta, chưa đọc bài.)</t>
  </si>
  <si>
    <t>Ngoài ra, khách hàng có thể chọn thẻ tín dụng dựa theo mức thu nhập của bản thân để đảm bảo khả năng chi tiêu và thanh toán dư nợ một cách tốt nhất.</t>
  </si>
  <si>
    <t>Thêm ngay sau đoạn này: «Khách hàng cũng nên nắm rõ cách thanh toán thẻ tín dụng để trả nợ đúng hạn mỗi kỳ.»</t>
  </si>
  <si>
    <t>1. Cách 1: Thanh toán quảng cáo Facebook với thẻ thanh toán (debit card)/thẻ tín dụng</t>
  </si>
  <si>
    <t>Tùy nhu cầu, người dùng có thể sử dụng thẻ thanh toán (debit card) quốc tế hoặc thẻ tín dụng quốc tế để liên kết với tài khoản quảng cáo.</t>
  </si>
  <si>
    <t>Thêm ngay sau đoạn này: «Nếu dùng thẻ tín dụng, bạn nên nắm rõ cách thanh toán thẻ tín dụng để tránh phát sinh lãi và phí trả chậm.»</t>
  </si>
  <si>
    <t>So sánh gửi tiết kiệm 50 triệu — cần tính lãi. (Theo title/meta, chưa đọc bài.)</t>
  </si>
  <si>
    <t>bảng tính lãi suất tiết kiệm</t>
  </si>
  <si>
    <t>Thông qua Techcombank Mobile, khách hàng có thể quản lý thẻ tín dụng và đăng ký chuyển đổi trả góp cho các giao dịch hợp lệ, giúp chủ động chia nhỏ khoản thanh toán theo kỳ hạn 3 - 48 tháng.</t>
  </si>
  <si>
    <t>Thêm ngay sau đoạn này: «Bên cạnh trả góp, chủ thẻ có thể tham khảo các cách thanh toán thẻ tín dụng để chọn kênh phù hợp.»</t>
  </si>
  <si>
    <t>Tiết kiệm tích lũy — tính lãi. (Theo title/meta, chưa đọc bài.)</t>
  </si>
  <si>
    <t>Trước khi gửi, tính lãi dự kiến. (Theo title/meta, chưa đọc bài.)</t>
  </si>
  <si>
    <t>Ngoài ra, nếu khách hàng không có khả năng thanh toán các khoản phí sử dụng thẻ đen cho ngân hàng thì sẽ có khả năng thu hồi rất cao.</t>
  </si>
  <si>
    <t>Thêm ngay sau đoạn này: «Để duy trì thẻ thuận lợi, chủ thẻ nên nắm rõ cách thanh toán thẻ tín dụng đúng hạn.»</t>
  </si>
  <si>
    <t>So sánh lãi — dùng công cụ. (Theo title/meta, chưa đọc bài.)</t>
  </si>
  <si>
    <t>4.2. Nguyên tắc bảo quản</t>
  </si>
  <si>
    <t>Bài viết trên đã giải thích thẻ ngân hàng là gì, tổng hợp cách phân biệt các loại thẻ ngân hàng , hướng dẫn chọn và bảo quản thẻ.</t>
  </si>
  <si>
    <t>Thêm ngay sau đoạn này: «Nếu đang dùng thẻ tín dụng, bạn có thể tham khảo thêm cách thanh toán thẻ tín dụng để tránh phát sinh lãi.»</t>
  </si>
  <si>
    <t>Thẻ tín dụng Techcombank Visa Signature được miễn lãi lên tới 55 ngày, giúp chủ thẻ thoải mái chi tiêu và chủ động thu xếp tài chính để thanh toán dư nợ.</t>
  </si>
  <si>
    <t>Vay online — app là kênh chính. (Theo title/meta, chưa đọc bài.)</t>
  </si>
  <si>
    <t>Sửa câu thành: «Thẻ tín dụng Techcombank Visa Signature được miễn lãi lên tới 55 ngày, giúp chủ thẻ thoải mái chi tiêu và chủ động thu xếp tài chính để thanh toán dư nợ thẻ tín dụng.»</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</si>
  <si>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</si>
  <si>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2. Phân biệt thẻ tín dụng và thẻ ghi nợ</t>
  </si>
  <si>
    <t>Từ những yếu tố trên, bạn có thể dễ dàng nhận thấy thẻ tín dụng có công dụng như một “giải pháp”, giúp người dùng chi tiêu trước những dịch vụ, hóa đơn trong cuộc sống…</t>
  </si>
  <si>
    <t>Thêm ngay sau đoạn này: «Sau khi chi tiêu, chủ thẻ cần thanh toán dư nợ thẻ tín dụng đúng hạn để tránh phát sinh lãi và phí.»</t>
  </si>
  <si>
    <t>Vay chỉ cần CCCD — trùng nhu cầu. (Theo title/meta, chưa đọc bài.)</t>
  </si>
  <si>
    <t>app vay tiền chỉ cần CCCD</t>
  </si>
  <si>
    <t>5. Giải đáp thắc mắc khác về dư nợ</t>
  </si>
  <si>
    <t>Tuy nhiên, phần dư nợ còn lại vẫn sẽ bị tính lãi suất cao, do đó khách hàng nên ưu tiên thanh toán toàn bộ dư nợ để tránh phát si…</t>
  </si>
  <si>
    <t>Thêm ngay sau đoạn này: «Bạn có thể tham khảo các cách trả nợ thẻ tín dụng nhanh chóng để thanh toán đúng hạn.»</t>
  </si>
  <si>
    <t>Vay nhanh 24/24. (Theo title/meta, chưa đọc bài.)</t>
  </si>
  <si>
    <t>vay tiền online</t>
  </si>
  <si>
    <t>Khi thẻ tín dụng sắp hết hạn nhưng vẫn còn dư nợ, khách hàng cần nhanh chóng gia hạn và kích hoạt thẻ tín dụng mới để thực hiện thanh toán dư nợ theo quy định của ngân hàng.</t>
  </si>
  <si>
    <t>Sửa câu thành: «Khi thẻ tín dụng sắp hết hạn nhưng vẫn còn dư nợ, khách hàng cần nhanh chóng gia hạn và kích hoạt thẻ tín dụng mới để trả nợ thẻ tín dụng theo quy định của ngân hàng.»</t>
  </si>
  <si>
    <t>2.4. Chủ động quản lý tài chính khi sử dụng thẻ tín dụng</t>
  </si>
  <si>
    <t>Những khách hàng không có khả năng tự quản lý tài chính tốt khi sử dụng thẻ tín dụng sẽ dễ nảy sinh chi tiêu vượt mức dẫn đến không thể trả kịp khoản nợ khi đến hạn thanh toán.</t>
  </si>
  <si>
    <t>Thêm ngay sau đoạn này: «Để tránh trễ hạn, bạn nên nắm rõ các cách trả nợ thẻ tín dụng nhanh chóng, tiện lợi.»</t>
  </si>
  <si>
    <t>Vay online 3 phút. (Theo title/meta, chưa đọc bài.)</t>
  </si>
  <si>
    <t>Vay siêu tốc. (Theo title/meta, chưa đọc bài.)</t>
  </si>
  <si>
    <t>5. Kinh nghiệm giúp nâng hạn mức thẻ tín dụng</t>
  </si>
  <si>
    <t>Thanh toán dư nợ tín dụng đủ và đúng hạn: Khách hàng cần phải thanh toán tất cả các khoản nợ chi tiêu của mình đúng hạn và đầy đủ.</t>
  </si>
  <si>
    <t>Thêm dòng sau đoạn: «Xem thêm: các cách trả nợ thẻ tín dụng nhanh chóng, đúng hạn»</t>
  </si>
  <si>
    <t>Lãi suất là gì → lãi suất vay hiện nay. (Theo title/meta, chưa đọc bài.)</t>
  </si>
  <si>
    <t>2. Ưu đãi mở thẻ tín dụng Techcombank</t>
  </si>
  <si>
    <t>Giảm giá khi thanh toán bằng thẻ tín dụng tại các thương hiệu đối tác thuộc nhiều lĩnh vực như mua sắm, di chuyển, du lịch, sàn thương mại điện tử…</t>
  </si>
  <si>
    <t>Thêm dòng sau đoạn: «Xem thêm: cách thanh toán thẻ tín dụng đúng hạn»</t>
  </si>
  <si>
    <t>Đoạn nói thanh toán bằng thẻ, trang đích về trả nợ thẻ</t>
  </si>
  <si>
    <t>9. Thẻ tín dụng Vietnam Airlines Techcombank Visa Platinum</t>
  </si>
  <si>
    <t>Khách hàng có thể cân nhắc mức độ chi tiêu hằng năm của bản thân để chọn được một chiếc thẻ tín dụng phù hợp.</t>
  </si>
  <si>
    <t>Thêm ngay sau đoạn này: «Sau khi mở thẻ, chủ thẻ nên nắm rõ cách thanh toán thẻ tín dụng để luôn trả nợ đúng hạn.»</t>
  </si>
  <si>
    <t>Lãi vay tiêu dùng — một phần lãi vay ngân hàng. (Theo title/meta, chưa đọc bài.)</t>
  </si>
  <si>
    <t>lãi suất vay ngân hàng mới nhất</t>
  </si>
  <si>
    <t>Techcombank mang đến loạt ưu đãi hấp dẫn cho khách hàng sở hữu thẻ thanh toán và thẻ tín dụng khi mua iPhone 17 tại kênh online và các hệ thống bán lẻ điện thoại lớn trên toàn quốc.</t>
  </si>
  <si>
    <t>Thêm ngay sau đoạn này: «Sau khi chi tiêu, chủ thẻ nên nắm rõ cách thanh toán thẻ tín dụng để chủ động trả dư nợ đúng hạn.»</t>
  </si>
  <si>
    <t>2. Quẹt thẻ Visa có cần mật khẩu không?</t>
  </si>
  <si>
    <t>Chủ thẻ chỉ cần chạm/quẹt thẻ trực tiếp tại các máy POS và ký tên vào hóa đơn là hoàn tất thanh toán.</t>
  </si>
  <si>
    <t>Lãi vay tín chấp — anh em. (Theo title/meta, chưa đọc bài.)</t>
  </si>
  <si>
    <t>Thêm ngay sau đoạn này: «Sau khi chi tiêu, chủ thẻ tín dụng cần nắm rõ cách thanh toán thẻ tín dụng để trả dư nợ đúng hạn.»</t>
  </si>
  <si>
    <t>Điều kiện vay — chèn ở đoạn chi phí vay. (Theo title/meta, chưa đọc bài.)</t>
  </si>
  <si>
    <t>Lãi quá hạn so với lãi vay thông thường. (Theo title/meta, chưa đọc bài.)</t>
  </si>
  <si>
    <t>2.2. Bao lâu nên đổi mật khẩu Mobile Banking?</t>
  </si>
  <si>
    <t>Trong trường hợp thường xuyên dùng thẻ ngân hàng, bạn cũng nên thay đổi mã PIN thẻ ATM với tần suất tương tự.</t>
  </si>
  <si>
    <t>Thêm ngay sau đoạn này: «Với thẻ tín dụng, bên cạnh việc đổi mã PIN định kỳ, bạn cũng nên nắm rõ cách thanh toán thẻ tín dụng để tránh phát sinh phí trả chậm.»</t>
  </si>
  <si>
    <t>1. Tính thanh khoản</t>
  </si>
  <si>
    <t>Cả chứng chỉ tiền gửi và tiền gửi tiết kiệm/tiền gửi có kỳ hạn đều cho phép khách hàng thu hồi vốn khi có nhu cầu.</t>
  </si>
  <si>
    <t>Bôi đen cụm «chứng chỉ tiền gửi» trong câu trên, gắn link.</t>
  </si>
  <si>
    <t>Hạn mức thấu chi. (Theo title/meta, chưa đọc bài.)</t>
  </si>
  <si>
    <t>3. Tham gia chứng chỉ tiền gửi Bảo Lộc Techcombank, hưởng lợi suất hấp dẫn</t>
  </si>
  <si>
    <t>Chứng chỉ tiền gửi Bảo Lộc là Giấy tờ có giá được Techcombank phát hành theo quy định của Ngân hàng nhà nước.</t>
  </si>
  <si>
    <t>Bôi đen cụm «Chứng chỉ tiền gửi» trong câu trên, gắn link.</t>
  </si>
  <si>
    <t>9. Lưu ý khi chọn kênh sinh lời cho tiền nhàn rỗi</t>
  </si>
  <si>
    <t>Với khoản tiền trung và dài hạn, khách hàng có thể tìm hiểu chứng chỉ tiền gửi, bảo hiểm liên kết đầu tư, quỹ đầu tư, c…</t>
  </si>
  <si>
    <t>Lãi suất thấu chi. (Theo title/meta, chưa đọc bài.)</t>
  </si>
  <si>
    <t>3. Đầu tư thông minh</t>
  </si>
  <si>
    <t>Đầu tư vào chứng chỉ tiền gửi là hình thức được ưa chuộng bởi an toàn, lãi suất ổn định, chính sách chuyển nhượng linh hoạt giúp người mua có thể rút tiền ra khi cần.</t>
  </si>
  <si>
    <t>3.2. Tiền gửi tiết kiệm và chứng chỉ tiền gửi</t>
  </si>
  <si>
    <t>Bao gồm tiền gửi tiết kiệm (không kỳ hạn hoặc có kỳ hạn) và chứng chỉ tiền gửi.</t>
  </si>
  <si>
    <t>Thời hạn thấu chi. (Theo title/meta, chưa đọc bài.)</t>
  </si>
  <si>
    <t>3.2. Tất toán chứng chỉ tiền gửi</t>
  </si>
  <si>
    <t>Tất toán chứng chỉ tiền gửi là hành động chấm dứt quyền sở hữu chứng chỉ tiền gửi của khách hàng tại ngân hàng phát hành.</t>
  </si>
  <si>
    <t>Trả nợ thấu chi. (Theo title/meta, chưa đọc bài.)</t>
  </si>
  <si>
    <t>1. Đầu tư quỹ mở là gì? Cơ chế hoạt động của quỹ mở</t>
  </si>
  <si>
    <t>…công ty quản lý quỹ sẽ thay mặt nhà đầu tư phân bổ dòng vốn vào các tài sản như cổ phiếu, trái phiếu, chứng chỉ tiền gửi...…</t>
  </si>
  <si>
    <t>1. Đầu tư tài chính cá nhân là gì? Tại sao người trẻ cần thực hiện sớm?</t>
  </si>
  <si>
    <t>Đầu tư tài chính cá nhân là quá trình một cá nhân phân bổ nguồn tiền nhàn rỗi vào các kênh sinh lời như tiết kiệm có kỳ hạn, chứng chỉ tiền gửi, trái phiếu, cổ phiếu hoặc chứng chỉ quỹ…</t>
  </si>
  <si>
    <t>Vay hạn mức — gần với thấu chi. (Theo title/meta, chưa đọc bài.)</t>
  </si>
  <si>
    <t>2.2. Phương thức mở sổ tiết kiệm/tài khoản tiền gửi</t>
  </si>
  <si>
    <t>Một số khách hàng cũng tìm hiểu thêm về chuyển nhượng chứng chỉ tiền gửi để linh hoạt hơn trong việc quản lý nguồn vốn dài hạn của mình.</t>
  </si>
  <si>
    <t>2.3. Chiếc lọ 3: Đầu tư (10%)</t>
  </si>
  <si>
    <t>Chiếc lọ đầu tư tập trung vào việc gia tăng tài sản của bạn thông qua các hình thức đầu tư khác nhau như cổ phiếu, chứng chỉ tiền gửi, bất động sản hay quỹ đầu tư.</t>
  </si>
  <si>
    <t>4.2 Cổ phiếu và chứng khoán</t>
  </si>
  <si>
    <t>Các lựa chọn đầu tư như cổ phiếu, chứng khoán, chứng chỉ tiền gửi ,... của các công ty tăng trưởng hoặc quỹ chỉ số thường tăng giá khi kinh tế phát triển…</t>
  </si>
  <si>
    <t>Kiểm tra cụm này đã có link chưa</t>
  </si>
  <si>
    <t>2.3. Quỹ cân bằng</t>
  </si>
  <si>
    <t>Trước khi làm thẻ cần kiểm tra nợ xấu. (Theo title/meta, chưa đọc bài.)</t>
  </si>
  <si>
    <t>Quỹ cân bằng là quỹ đầu tư kết hợp cả cổ phiếu, trái phiếu và đôi khi là các tài sản khác (tiền gửi, chứng chỉ tiền gửi).</t>
  </si>
  <si>
    <t>Gửi tiết kiệm online: Gửi tiết kiệm, tích lũy, chứng chỉ tiền gửi</t>
  </si>
  <si>
    <t>3. Hướng dẫn cách gửi tiền tiết kiệm hàng tháng</t>
  </si>
  <si>
    <t>Bên cạnh hình thức gửi góp định kỳ, khách hàng cũng có thể cân nhắc các sản phẩm tích lũy an toàn như chứng chỉ tiền gửi Techcombank để đa dạng hóa danh mục và tối ưu hóa dòng tiền nhàn rỗi.</t>
  </si>
  <si>
    <t>Nợ xấu có mở thẻ tín dụng được không — cần kiểm tra nợ xấu trước khi mở thẻ. (Theo title/meta, chưa đọc bài.)</t>
  </si>
  <si>
    <t>tra cứu nợ xấu</t>
  </si>
  <si>
    <t>1. Tất toán chứng chỉ tiền gửi là gì?</t>
  </si>
  <si>
    <t>Tất toán chứng chỉ tiền gửi là việc chấm dứt sở hữu chứng chỉ tiền gửi tại ngân hàng phát hành.</t>
  </si>
  <si>
    <t>Có mục cách kiểm tra (theo title). (Theo title/meta, chưa đọc bài.)</t>
  </si>
  <si>
    <t>2. Mua chứng chỉ tiền gửi không phải trả phí bảo hiểm</t>
  </si>
  <si>
    <t>Nếu bạn quan tâm về các khía cạnh khác liên quan tới chứng chỉ tiền gửi, vui lòng tham khảo những bài viết dưới đây của Techcombank:</t>
  </si>
  <si>
    <t>Thêm dòng sau đoạn: «Xem thêm: Chứng chỉ tiền gửi là gì? Lợi ích và lưu ý khi tham gia»</t>
  </si>
  <si>
    <t>Thêm vào danh sách bài liên quan ngay dưới đoạn</t>
  </si>
  <si>
    <t>Kiểm tra trước khi vay thế chấp. (Theo title/meta, chưa đọc bài.)</t>
  </si>
  <si>
    <t>1.3. Số tiền tham gia nhỏ</t>
  </si>
  <si>
    <t>Nợ nhóm 2 — kiểm tra nhóm nợ. (Theo title/meta, chưa đọc bài.)</t>
  </si>
  <si>
    <t>Mệnh giá của chứng chỉ tiền gửi là 100,000 VND hoặc bội số của 100,000 VND.</t>
  </si>
  <si>
    <t>Cụm nằm trong tên sản phẩm</t>
  </si>
  <si>
    <t>Định nghĩa → chọn nơi vay. (Theo title/meta, chưa đọc bài.)</t>
  </si>
  <si>
    <t>Hồ sơ vay → nơi nộp. (Theo title/meta, chưa đọc bài.)</t>
  </si>
  <si>
    <t>3. Cung cấp sản phẩm phù hợp với thói quen tiêu dùng</t>
  </si>
  <si>
    <t>Chứng chỉ tiền gửi Bảo Lộc: Sinh lời tối ưu theo số ngày sở hữu, gửi từ 10,000,000 VND và phù hợp nhất khi gửi từ 1 ngày - 3 tháng</t>
  </si>
  <si>
    <t>Cụm nằm trong tên sản phẩm – soát lại</t>
  </si>
  <si>
    <t>Hạn mức khác nhau giữa ngân hàng. (Theo title/meta, chưa đọc bài.)</t>
  </si>
  <si>
    <t>2. So sánh lãi suất gửi tiết kiệm online và gửi tiết kiệm tại phòng giao dịch</t>
  </si>
  <si>
    <t>Ngoài ra, với những khách hàng quan tâm đến các sản phẩm đầu tư an toàn tương tự tiền gửi, việc hiểu rõ chứng chỉ tiền gửi khác gì trái phiếu cũng sẽ giúp đưa ra lựa chọn tối ưu hơn về kênh tích lũy…</t>
  </si>
  <si>
    <t>Cụm có thể đã gắn link bài CCTG khác trái phiếu – soát lại</t>
  </si>
  <si>
    <t>3.1. Tối ưu dòng tiền nhàn rỗi mà vẫn đảm bảo chi tiêu linh hoạt</t>
  </si>
  <si>
    <t>Hệ thống sẽ tự động phân bổ tiền nhàn rỗi trên tài khoản thanh toán của khách hàng vào các giải pháp sinh lời an toàn như Tiền gửi không kỳ hạn, Chứng chỉ tiền gửi Bảo Lộc, Tài sản khác,...</t>
  </si>
  <si>
    <t>Cụm viết hoa vì là tên sản phẩm</t>
  </si>
  <si>
    <t>Chọn hình thức → chọn nơi vay. (Theo title/meta, chưa đọc bài.)</t>
  </si>
  <si>
    <t>So lãi suất các ngân hàng. (Theo title/meta, chưa đọc bài.)</t>
  </si>
  <si>
    <t>6. Techcombank Mobile - ngân hàng số với nhiều tính năng vượt trội</t>
  </si>
  <si>
    <t>Hiện Techcombank đang có các giải pháp tiết kiệm sau: Chứng chỉ tiền gửi Bảo Lộc , Tiền gửi rút gốc linh hoạt , Tích lũy Như Ý ,...</t>
  </si>
  <si>
    <t>Thêm dòng sau đoạn: «Xem thêm: chứng chỉ tiền gửi là gì»</t>
  </si>
  <si>
    <t>Câu gốc là tên sản phẩm – không bôi đen</t>
  </si>
  <si>
    <t>2. Lợi ích và lưu ý khi gửi tiết kiệm tiền</t>
  </si>
  <si>
    <t>Kỳ vọng sinh lời: Gửi tiết kiệm tiền sẽ giúp khoản tiền nhàn rỗi của bạn sinh lời ổn định…</t>
  </si>
  <si>
    <t>Thêm ngay sau đoạn này: «Bạn cũng có thể tìm hiểu chứng chỉ tiền gửi là gì để có thêm kênh tích lũy an toàn.»</t>
  </si>
  <si>
    <t>Nợ nhóm 2 — giải thích nợ xấu. (Theo title/meta, chưa đọc bài.)</t>
  </si>
  <si>
    <t>Ngoài ra, khi tìm hiểu các sản phẩm tài chính khác ngoài thẻ NAPAS, bạn có thể tham khảo “ chứng chỉ tiền gửi có an toàn không ”…</t>
  </si>
  <si>
    <t>Cụm trong ngoặc có thể đã có link – kiểm tra trước</t>
  </si>
  <si>
    <t>Nợ nhóm 3 là nợ xấu. (Theo title/meta, chưa đọc bài.)</t>
  </si>
  <si>
    <t>nợ xấu</t>
  </si>
  <si>
    <t>Theo chia sẻ từ kênh báo Dân Trí cho biết: “Đối với các giải pháp tiền gửi, chứng chỉ tiền gửi, những sản phẩm truyền thống của ngân hàng…</t>
  </si>
  <si>
    <t>Nằm trong câu trích dẫn báo</t>
  </si>
  <si>
    <t>Dư nợ — chèn ở đoạn chất lượng dư nợ. (Theo title/meta, chưa đọc bài.)</t>
  </si>
  <si>
    <t>Như vậy, bạn có thể yên tâm lựa chọn gửi tiền tại ngân hàng để gửi tiền an toàn, sinh lời ổn định và câu trả lời cho câu hỏi “Gửi tiết kiệm ngân hàng có an toàn không”.</t>
  </si>
  <si>
    <t>Thêm ngay sau đoạn này: «Bên cạnh gửi tiết kiệm, bạn cũng có thể tìm hiểu thêm về chứng chỉ tiền gửi để đa dạng kênh tích lũy.»</t>
  </si>
  <si>
    <t>Quá hạn thẻ có thể thành nợ xấu. (Theo title/meta, chưa đọc bài.)</t>
  </si>
  <si>
    <t>1. Hiểu rõ về gửi tiết kiệm thông thường và gửi tích lũy</t>
  </si>
  <si>
    <t>Bù lại, hình thức gửi tiết kiệm tích lũy chỉ cần gửi vốn định kỳ hàng tháng nhỏ và tiền lãi sẽ tăng dần đều khi gửi thêm tiền.</t>
  </si>
  <si>
    <t>Thêm ngay sau đoạn này: «Ngoài hai hình thức này, khách hàng có thể tìm hiểu thêm chứng chỉ tiền gửi là gì để có thêm lựa chọn.»</t>
  </si>
  <si>
    <t>Bài anh em (thế chấp). (Theo title/meta, chưa đọc bài.)</t>
  </si>
  <si>
    <t>1. Gửi tiết kiệm ngân hàng vẫn tiếp tục tăng trưởng</t>
  </si>
  <si>
    <t>Theo nhận định của TS. Nguyễn Hữu Huân - Giảng viên Trường Đại học Kinh tế TP Hồ Chí Minh (UEH), gửi tiền tại ngân hàng vẫn đang là hình thức tiết kiệm có tính an toàn cao và khả năng sinh lời tốt…</t>
  </si>
  <si>
    <t>Thêm ngay sau đoạn này: «Bên cạnh tiết kiệm, bạn có thể tìm hiểu chứng chỉ tiền gửi là gì để có thêm lựa chọn tích lũy.»</t>
  </si>
  <si>
    <t>Lãi quá hạn khi không trả được. (Theo title/meta, chưa đọc bài.)</t>
  </si>
  <si>
    <t>Đoạn trích ý kiến chuyên gia</t>
  </si>
  <si>
    <t>Nợ quá hạn tương tự. (Theo title/meta, chưa đọc bài.)</t>
  </si>
  <si>
    <t>Ở khía cạnh này, so với cổ phiếu, trái phiếu mang tính bảo toàn vốn cao hơn vì ít chịu …</t>
  </si>
  <si>
    <t>Định nghĩa — chèn ở đoạn rủi ro. (Theo title/meta, chưa đọc bài.)</t>
  </si>
  <si>
    <t>Thêm ngay sau đoạn này: «Ngoài trái phiếu, nhà đầu tư ưu tiên an toàn cũng có thể tìm hiểu chứng chỉ tiền gửi là gì để có thêm lựa chọn.»</t>
  </si>
  <si>
    <t>Lãi suất chứng chỉ tiền gửi tiền gửi có sự thay đổi tùy theo thời điểm tất toán chứng chỉ tiền gửi.</t>
  </si>
  <si>
    <t>Bôi đen cụm «Lãi suất chứng chỉ tiền gửi» trong câu trên, gắn link.</t>
  </si>
  <si>
    <t>2. Cập nhật lợi suất chứng chỉ tiền gửi các ngân hàng hiện nay</t>
  </si>
  <si>
    <t>Dưới đây là lợi suất chứng chỉ tiền gửi 6 tháng dành cho khách hàng cá nhân mới nhất tại 5 ngân hàng:</t>
  </si>
  <si>
    <t>Bôi đen cụm «lợi suất chứng chỉ tiền gửi» trong câu trên, gắn link.</t>
  </si>
  <si>
    <t>Chứng chỉ quỹ là gì → phương pháp đầu tư. (Theo title/meta, chưa đọc bài.)</t>
  </si>
  <si>
    <t>3. Chuyển nhượng linh hoạt khi sở hữu Chứng chỉ tiền gửi Bảo Lộc Techcombank</t>
  </si>
  <si>
    <t>Nếu khách hàng muốn sở hữu chứng chỉ tiền gửi được linh hoạt chuyển nhượng trong thời hạn với lãi suất hấp dẫn, Chứng chỉ tiền gửi Bảo Lộc được phát hành bởi Techcombank là một lựa chọn đáng cân nhắc.</t>
  </si>
  <si>
    <t>Thêm ngay sau đoạn này: «Bạn có thể tham khảo thêm lãi suất chứng chỉ tiền gửi của các ngân hàng để so sánh.»</t>
  </si>
  <si>
    <t>4. Điểm vượt trội và lưu ý khi mua chứng chỉ tiền gửi</t>
  </si>
  <si>
    <t>Lãi suất hấp dẫn: Nhiều ngân hàng đang đẩy mạnh phát hành chứng chỉ tiền gửi với lãi suất cao hơn lãi suất tiền gửi kỳ hạn dưới 6 tháng</t>
  </si>
  <si>
    <t>Thêm ngay sau đoạn này: «Bạn có thể tham khảo bảng lãi suất chứng chỉ tiền gửi các ngân hàng được cập nhật thường xuyên.»</t>
  </si>
  <si>
    <t>Hướng dẫn mua → phương pháp. (Theo title/meta, chưa đọc bài.)</t>
  </si>
  <si>
    <t>cách đầu tư chứng chỉ quỹ</t>
  </si>
  <si>
    <t>3. Nên mua chứng chỉ tiền gửi hay trái phiếu?</t>
  </si>
  <si>
    <t>Chọn chứng chỉ tiền gửi nếu bạn muốn sinh lời cho nguồn tiền nhàn rỗi trong ngắn hạn.</t>
  </si>
  <si>
    <t>Thêm ngay sau đoạn này: «Bạn có thể tham khảo lãi suất chứng chỉ tiền gửi các ngân hàng để chọn nơi phù hợp.»</t>
  </si>
  <si>
    <t>Đầu tư quỹ mở cho người mới. (Theo title/meta, chưa đọc bài.)</t>
  </si>
  <si>
    <t>đầu tư chứng chỉ quỹ cho người mới</t>
  </si>
  <si>
    <t>App theo dõi CCQ. (Theo title/meta, chưa đọc bài.)</t>
  </si>
  <si>
    <t>So sánh CCQ với cổ phiếu. (Theo title/meta, chưa đọc bài.)</t>
  </si>
  <si>
    <t>Bước 3: Xây dựng một chiến lược đầu tư</t>
  </si>
  <si>
    <t>Đầu tư an toàn : Gửi tiết kiệm ngân hàng, mua trái phiếu chính phủ, hoặc chứng chỉ tiền gửi.</t>
  </si>
  <si>
    <t>Thêm ngay sau đoạn này: «Bạn có thể tham khảo lãi suất chứng chỉ tiền gửi các ngân hàng để so sánh trước khi lựa chọn.»</t>
  </si>
  <si>
    <t>1.2. Tối ưu sinh lời cho nguồn tiền nhàn rỗi trong ngắn hạn</t>
  </si>
  <si>
    <t>Lợi suất Chứng chỉ tiền gửi Bảo Lộc được tính theo số ngày nắm giữ thực tế.</t>
  </si>
  <si>
    <t>Thêm ngay sau đoạn này: «Bạn có thể so sánh lợi suất chứng chỉ tiền gửi giữa các ngân hàng để lựa chọn phù hợp.»</t>
  </si>
  <si>
    <t>3. Thủ tục chuyển nhượng</t>
  </si>
  <si>
    <t>Chuyển nhượng chứng chỉ tiền gửi là giải pháp tối ưu để nhận lợi suất hấp dẫn theo thời gian sở hữu thực tế…</t>
  </si>
  <si>
    <t>Thêm ngay sau đoạn này: «Bạn có thể tham khảo lãi suất chứng chỉ tiền gửi tại các ngân hàng để so sánh trước khi mua hoặc chuyển nhượng.»</t>
  </si>
  <si>
    <t>5. Trải nghiệm tài khoản Techcombank Business chuyên biệt cho SMEs - Quản trị dễ dàng, tăn</t>
  </si>
  <si>
    <t>Tối ưu dòng tiền doanh nghiệp: Chứng chỉ tiền gửi Bảo Lộc và tiền gửi có kỳ hạn lãi suất cạnh tranh.</t>
  </si>
  <si>
    <t>Thêm dòng sau đoạn: «Xem thêm: Lãi suất chứng chỉ tiền gửi các ngân hàng hiện nay»</t>
  </si>
  <si>
    <t>Gạch đầu dòng sản phẩm – dùng Xem thêm</t>
  </si>
  <si>
    <t>1. Cập nhật lãi suất chứng chỉ quỹ hiện nay</t>
  </si>
  <si>
    <t>Tại Việt Nam, lãi suất chứng chỉ quỹ hiện nay thường dao động trong khoảng 7 % – 20%/năm(*) , tùy thuộc vào loại quỹ…</t>
  </si>
  <si>
    <t>Thêm ngay sau đoạn này: «Để so sánh, bạn có thể tham khảo thêm lãi suất chứng chỉ tiền gửi tại các ngân hàng.»</t>
  </si>
  <si>
    <t>5. Tối ưu quản trị tài chính toàn diện với Techcombank Business</t>
  </si>
  <si>
    <t>Tối ưu dòng tiền doanh nghiệp: Chứng chỉ tiền gửi Bảo Lộc và tiền gửi có kỳ hạn với lãi suất cạnh tranh, giao dịch online tiện lợi, minh bạch, an toàn .</t>
  </si>
  <si>
    <t>2. Lợi ích khi lựa chọn gửi tiền có kỳ hạn</t>
  </si>
  <si>
    <t>Tuy nhiên, hình thức này vẫn có một vài hạn chế như lãi suất tiền gửi không cao và không sinh lời nhanh bằng các kênh đầu tư khác…</t>
  </si>
  <si>
    <t>Thêm ngay sau đoạn này: «Khách hàng muốn lợi suất cao hơn có thể tham khảo lãi suất chứng chỉ tiền gửi các ngân hàng.»</t>
  </si>
  <si>
    <t>3. Chứng chỉ tiền gửi Bảo Lộc Techcombank - Sinh lời mỗi ngày, thanh khoản linh hoạt</t>
  </si>
  <si>
    <t>Mua Chứng chỉ tiền gửi Bảo Lộc dễ dàng trên Techcombank Mobile.</t>
  </si>
  <si>
    <t>Thêm ngay sau đoạn này: «Trước khi mua, bạn có thể so sánh lợi suất chứng chỉ tiền gửi giữa các ngân hàng.»</t>
  </si>
  <si>
    <t>3. Mua chứng chỉ tiền gửi</t>
  </si>
  <si>
    <t>Lợi suất vượt trội: Chứng chỉ tiền gửi Bảo Lộc có lợi suất hấp dẫn.</t>
  </si>
  <si>
    <t>Thêm dòng sau đoạn: «Xem thêm: so sánh lợi suất chứng chỉ tiền gửi các ngân hàng»</t>
  </si>
  <si>
    <t>Ví dụ: Ngân hàng số Techcombank phát hành Chứng chỉ tiền gửi Bảo Lộc với lợi suất lên tới 4.1%/năm(*)…</t>
  </si>
  <si>
    <t>Thêm ngay sau đoạn này: «Bạn có thể so sánh thêm lợi suất chứng chỉ tiền gửi của các ngân hàng.»</t>
  </si>
  <si>
    <t>3.2.2. Chứng chỉ tiền gửi</t>
  </si>
  <si>
    <t>Đối với chứng chỉ tiền gửi, mức độ thanh khoản cũng phụ thuộc vào điều kiện chuyển nhượng hoặc bán lại của từng sản phẩm.</t>
  </si>
  <si>
    <t>Thêm ngay sau đoạn này: «Bên cạnh thanh khoản, bạn cũng nên so sánh lợi suất chứng chỉ tiền gửi giữa các ngân hàng trước khi mua.»</t>
  </si>
  <si>
    <t>2.6. MB Bank</t>
  </si>
  <si>
    <t>Bên cạnh đó, để cân nhắc các phương án tiết kiệm, bạn cũng có thể tham khảo Chứng chỉ tiền gửi bảo lộc lợi suất tính theo ngày để tối ưu hóa lợi nhuận từ khoản tiết kiệm của mình.</t>
  </si>
  <si>
    <t>Thêm ngay sau đoạn này: «Bạn cũng có thể so sánh lợi suất chứng chỉ tiền gửi giữa các ngân hàng trước khi quyết định.»</t>
  </si>
  <si>
    <t>Đại diện CTCP Chứng khoán kỹ thương (TCBS) tư vấn, những tổ chức phát hành (TCPH) có mức độ xếp hạng tín nhiệm cao hơn sẽ an toàn hơn cho nhà đầu tư.</t>
  </si>
  <si>
    <t>Thêm ngay sau đoạn này: «Nhà đầu tư cũng có thể tham khảo lãi suất chứng chỉ tiền gửi của các ngân hàng để so sánh với kênh trái phiếu.»</t>
  </si>
  <si>
    <t>2. Có nên mở sổ tiết kiệm tại ngân hàng?</t>
  </si>
  <si>
    <t>Vì thế, người dùng nên ưu tiên gửi tiết kiệm online để được hưởng lãi suất tốt hơn, dễ dàng theo dõi tiền gửi cũng như thao tác rút - gửi tiết kiệm.</t>
  </si>
  <si>
    <t>Thêm ngay sau đoạn này: «Ngoài sổ tiết kiệm, bạn cũng có thể tham khảo lãi suất chứng chỉ tiền gửi nếu muốn đa dạng kênh tích lũy.»</t>
  </si>
  <si>
    <t>Tiết kiệm thêm lợi với đặc quyền lãi suất</t>
  </si>
  <si>
    <t>Đồng hành cùng khách hàng trong quá trình xây dựng nền tảng tài chính vững chắc, Techcombank mang đến chương trình cộng thêm đến 1.3%/năm lãi suất cho khoản tiền gửi tiết kiệm đầu tiên.</t>
  </si>
  <si>
    <t>Thêm ngay sau đoạn này: «Bạn cũng có thể so sánh với lãi suất chứng chỉ tiền gửi để chọn kênh tích lũy phù hợp.»</t>
  </si>
  <si>
    <t>Thêm dòng sau đoạn: «Xem thêm: lãi suất chứng chỉ tiền gửi các ngân hàng hiện nay»</t>
  </si>
  <si>
    <t>Đoạn ưu đãi sản phẩm</t>
  </si>
  <si>
    <t>Kênh đầu tư trái phiếu: Ưu tiên an toàn</t>
  </si>
  <si>
    <t>Cùng là tài sản mang về thu nhập cố định, trái phiếu doanh nghiệp vẫn đang duy trì mức lãi suất khá hấp dẫn.</t>
  </si>
  <si>
    <t>Thêm ngay sau đoạn này: «Với nhà đầu tư ưu tiên an toàn hơn, có thể so sánh thêm lãi suất chứng chỉ tiền gửi các ngân hàng.»</t>
  </si>
  <si>
    <t>Cơ hội đầu tư trái phiếu</t>
  </si>
  <si>
    <t>Tại các nước kinh tế phát triển, song song với sự lớn mạnh của cộng đồng doanh nghiệp, hình thức đầu tư trái phiếu doanh nghiệp là lựa chọn rất phổ biến…</t>
  </si>
  <si>
    <t>Thêm ngay sau đoạn này: «Bên cạnh trái phiếu, nhà đầu tư cũng có thể tham khảo lãi suất chứng chỉ tiền gửi các ngân hàng như một kênh thu nhập ổn định.»</t>
  </si>
  <si>
    <t>4. Vai trò của ESG đối với doanh nghiệp</t>
  </si>
  <si>
    <t>Song song đó, ngân hàng cũng cung cấp đa dạng các sản phẩm tích lũy, chẳng hạn như tìm hiểu chứng chỉ tiền gửi là gì để tối ưu hóa nguồn tiền nhàn rỗi</t>
  </si>
  <si>
    <t>Thêm ngay sau đoạn này: «Bạn cũng có thể tham khảo lãi suất chứng chỉ tiền gửi các ngân hàng để lựa chọn sản phẩm phù hợp.»</t>
  </si>
  <si>
    <t>Đoạn đã có link "chứng chỉ tiền gửi là gì"</t>
  </si>
  <si>
    <t>3. Phân loại tài sản theo tính thanh khoản</t>
  </si>
  <si>
    <t>Tài sản tương đương tiền: Tiền gửi không kỳ hạn tại ngân hàng, chứng chỉ tiền gửi ngắn hạn, tín phiếu kho bạc.</t>
  </si>
  <si>
    <t>1. Công cụ chuyển đổi tỷ giá Nhân dân tệ hôm nay</t>
  </si>
  <si>
    <t>Dễ dàng ước tính giá trị giao dịch mua, bán ngoại tệ của bạn theo tỷ giá Nhân dân tệ mới nhất với công cụ chuyển đổi tiền tệ của Techcombank.</t>
  </si>
  <si>
    <t>Bôi đen cụm «tỷ giá Nhân dân tệ» trong câu trên, gắn link.</t>
  </si>
  <si>
    <t>Tỷ giá Nhân dân tệ (CNY) so với Việt Nam đồng (VND) thay đổi theo thị trường, vì vậy việc cập nhật tỷ giá mới nhất sẽ giúp bạn tính toán chính xác trước khi đổi tiền, đi du lịch hay mua sắm hàng hóa.</t>
  </si>
  <si>
    <t>Bôi đen cụm «Tỷ giá Nhân dân tệ» trong câu trên, gắn link.</t>
  </si>
  <si>
    <t>2. 1 vạn tệ là bao nhiêu tiền Việt?</t>
  </si>
  <si>
    <t>1 Nhân dân tệ (CNY) có giá trị tương đương khoảng 3,835 (*) Đồng Việt Nam (VND).</t>
  </si>
  <si>
    <t>Thêm dòng sau đoạn: «Xem thêm: 1 Tệ bằng bao nhiêu tiền Việt»</t>
  </si>
  <si>
    <t>3.5. Nhân dân tệ (CNY)</t>
  </si>
  <si>
    <t>Đây cũng là một trong những loại tiền tệ được giao dịch nhiều nhất trên thị trường ngoại hối.</t>
  </si>
  <si>
    <t>Thêm ngay sau đoạn này: «Bạn có thể theo dõi tỷ giá Nhân dân tệ hôm nay để cập nhật mức quy đổi mới nhất.»</t>
  </si>
  <si>
    <t>1. Chuyển đổi tiền tệ</t>
  </si>
  <si>
    <t>Dễ dàng ước tính giá trị giao dịch mua, bán ngoại tệ của bạn theo tỷ giá mới nhất với công cụ chuyển đổi tiền tệ của Techcombank.</t>
  </si>
  <si>
    <t>Thêm ngay sau đoạn này: «Ví dụ, bạn có thể tra nhanh 1 Tệ bằng bao nhiêu tiền Việt trước khi nhận tiền từ Trung Quốc.»</t>
  </si>
  <si>
    <t>2.2. Tìm hiểu về tỷ giá chuyển đổi và phí giao dịch quốc tế khi thanh toán bằng thẻ ngân h</t>
  </si>
  <si>
    <t>Tỷ giá quy đổi ngoại tệ: Mọi giao dịch phát sinh bằng đồng Nhân dân tệ (CNY) sẽ được chuyển đổi sang đồng Việt Nam (VND) dựa trên tỷ giá áp dụng tại thời điểm tổ chức thẻ quốc tế (Visa/Mastercard/JCB…</t>
  </si>
  <si>
    <t>Thêm ngay sau đoạn này: «Bạn có thể theo dõi tỷ giá Nhân dân tệ trước chuyến đi để dự trù chi phí chính xác hơn.»</t>
  </si>
  <si>
    <t>6. Ngoại tệ và thẻ tín dụng</t>
  </si>
  <si>
    <t>Thay vì đổi tiền ở sân bay hay các quầy du lịch – nơi tỷ giá thường cao hơn thị trường và kèm phí dịch vụ, bạn nên chọn các ngân hàng uy tín trong nước để đảm bảo có được tỷ giá tốt nhất.</t>
  </si>
  <si>
    <t>Thêm ngay sau đoạn này: «Nếu đi Trung Quốc, bạn có thể tham khảo tỷ giá Nhân dân tệ để chọn thời điểm đổi tiền phù hợp.»</t>
  </si>
  <si>
    <t>2. 1 Man Nhật bằng bao nhiêu tiền Việt Nam?</t>
  </si>
  <si>
    <t>Dựa trên tỷ giá tham khảo, dưới đây là một số mức quy đổi phổ biến của tiền Man Nhật giúp bạn trả lời câu hỏi 1 Man bằng bao nhiêu tiền Việt:</t>
  </si>
  <si>
    <t>Đặt sau bảng quy đổi, không sửa bảng</t>
  </si>
  <si>
    <t>3.2. Loại ngoại tệ được mua</t>
  </si>
  <si>
    <t>1. Được mua loại ngoại tệ là đồng tiền của nước nơi công dân Việt Nam đến.</t>
  </si>
  <si>
    <t>Thêm dòng sau đoạn: «Xem thêm: 1 Tệ bằng bao nhiêu tiền Việt khi đổi tiền đi Trung Quốc»</t>
  </si>
  <si>
    <t>3. Nên mở loại tài khoản ngân hàng nào?</t>
  </si>
  <si>
    <t>Khách hàng có nhu cầu giao dịch quốc tế, chuyển và nhận tiền ngoại tệ với tỷ giá hấp dẫn, nhanh chóng: Có thể mở tài khoản ngoại tệ để thuận tiện giao dịch cũng như tiết kiệm chi phí chuyển đổi ngoại…</t>
  </si>
  <si>
    <t>Thêm ngay sau đoạn này: «Trước khi giao dịch ngoại tệ, bạn có thể tham khảo tỷ giá thực tế, chẳng hạn 1 Tệ bằng bao nhiêu tiền Việt hôm nay.»</t>
  </si>
  <si>
    <t>2.2. Cách 2: Tính phí ẩn trong chênh lệch tỷ giá (Spread)</t>
  </si>
  <si>
    <t>Phương pháp này thường được áp dụng khi bạn mua/bán ngoại tệ tiền mặt hoặc sử dụng các dịch vụ chuyển tiền quốc tế.</t>
  </si>
  <si>
    <t>Thêm dòng sau đoạn: «Xem thêm: 1 Tệ bằng bao nhiêu tiền Việt theo tỷ giá hôm nay»</t>
  </si>
  <si>
    <t>1. Chuyển đổi tiền Hàn Quốc</t>
  </si>
  <si>
    <t>Dễ dàng ước tính 1000 Won bằng bao nhiêu tiền Việt cũng như giá trị giao dịch mua, bán ngoại tệ của bạn theo tỷ giá mới nhất với công cụ chuyển đổi tiền tệ của Techcombank.</t>
  </si>
  <si>
    <t>Link ngoại tệ khác – liên quan vừa phải</t>
  </si>
  <si>
    <t>4. 1 Tân Đài Tệ bằng bao nhiêu tiền Việt?</t>
  </si>
  <si>
    <t>Bạn có thể tự tính toán giá tiền Đài hôm nay, ví dụ 1000 Đài tệ bằng bao nhiêu tiền Việt bằng việc quy đổi theo công thức đơn giản sau…</t>
  </si>
  <si>
    <t>Thêm ngay sau đoạn này: «Cách quy đổi này cũng áp dụng khi bạn muốn biết 1 Tệ bằng bao nhiêu tiền Việt (Nhân dân tệ).»</t>
  </si>
  <si>
    <t>“Tệ” dễ nhầm Đài tệ/Nhân dân tệ – đặt sau công thức</t>
  </si>
  <si>
    <t>5. Làm thế nào để cập nhật tỷ giá USD/VND chính xác nhất?</t>
  </si>
  <si>
    <t>Các trang tin tức kinh tế – tài chính uy tín: Những nền tảng như CafeF, VnExpress, Investing.com, Bloomberg… thường xuyên cung cấp tỷ giá ngoại tệ mới nhất trong ngày.</t>
  </si>
  <si>
    <t>Tuy nhiên, 1000 Yên bằng bao nhiêu tiền Việt Nam không phải là con số cố định, mà thay đổi liên tục theo biến động của thị trường ngoại tệ.</t>
  </si>
  <si>
    <t>5. Nhận và chuyển tiền Hàn Quốc - Việt Nam dễ dàng với Techcombank</t>
  </si>
  <si>
    <t>Để giúp khách hàng giao dịch quốc tế thuận tiện cũng như theo dõi tỷ giá tiền Hàn Quốc đổi sang tiền Việt Nam, Techcombank đã “thiết kế” Dịch vụ nhận và chuyển tiền quốc tế…</t>
  </si>
  <si>
    <t>3. Cách cập nhật tỷ giá Đô Úc hôm nay (AUD/VND) chính xác?</t>
  </si>
  <si>
    <t>Công cụ tìm kiếm trực tuyến : Nhập các từ khóa như “1 Đô Úc bằng bao nhiêu tiền Việt Nam”, “tỷ giá Đô Úc hôm nay” hoặc “AUD to VND”…</t>
  </si>
  <si>
    <t>Việc nắm rõ 1 cent tương đương bao nhiêu tiền Việt giúp bạn tính toán chi phí chính xác khi đổi ngoại tệ, thanh toán quốc tế hoặc mua sắm trực tuyến.</t>
  </si>
  <si>
    <t>6.3. Đổi VND sang EUR online, nhận nhiều ưu đãi</t>
  </si>
  <si>
    <t>Tỷ giá Euro – Việt Nam Đồng thay đổi liên tục theo biến động của thị trường và các yếu tố kinh tế vĩ mô.</t>
  </si>
  <si>
    <t>4. Nhận và chuyển tiền Hàn Quốc - Việt Nam dễ dàng với Techcombank</t>
  </si>
  <si>
    <t>3.1. Thanh toán trực tiếp thông qua máy POS</t>
  </si>
  <si>
    <t>Đặc biệt, khi thanh toán thông qua máy POS, khách hàng sẽ không phải thao tác chuyển đổi tiền tệ.</t>
  </si>
  <si>
    <t>Thêm ngay sau đoạn này: «Nếu du lịch Trung Quốc, bạn có thể tham khảo trước 1 Tệ bằng bao nhiêu tiền Việt để dự trù chi phí.»</t>
  </si>
  <si>
    <t>3. Quy định về tỷ giá và giao dịch ngoại tệ</t>
  </si>
  <si>
    <t>Doanh nghiệp có thể niêm yết tỷ giá công khai giữa VND và các loại ngoại tệ khác khi giao dịch với khách hàng.</t>
  </si>
  <si>
    <t>Thêm dòng sau đoạn: «Xem thêm: Tỷ giá Nhân dân tệ hôm nay»</t>
  </si>
  <si>
    <t>Mục quy định – dùng Xem thêm</t>
  </si>
  <si>
    <t>5. Các lưu ý cần biết khi giao dịch ngoại hối</t>
  </si>
  <si>
    <t>Rủi ro và cơ hội: Giao dịch ngoại hối có nhiều rủi ro vì tỷ giá biến động mạnh.</t>
  </si>
  <si>
    <t>Thêm dòng sau đoạn: «Xem thêm: tỷ giá Nhân dân tệ hôm nay»</t>
  </si>
  <si>
    <t>Tỷ giá giữa các ngân hàng có thể chênh lệch đáng kể, ảnh hưởng trực tiếp đến số tiền bạn nhận được hoặc phải thanh toán.</t>
  </si>
  <si>
    <t>Mỗi ngân hàng thương mại có thể niêm yết tỷ giá ngoại tệ khác nhau tùy theo chiến lược kinh doanh.</t>
  </si>
  <si>
    <t>2. Ngân hàng thương mại</t>
  </si>
  <si>
    <t>Các ngân hàng như Techcombank, Vietcombank, BIDV, VietinBank... đều cung cấp dịch vụ mua bán ngoại tệ cho khách hàng cá nhân.</t>
  </si>
  <si>
    <t>Thêm ngay sau đoạn này: «Nếu cần đổi tiền đi Trung Quốc, bạn cũng có thể tham khảo tỷ giá Nhân dân tệ trước khi giao dịch.»</t>
  </si>
  <si>
    <t>4. Dịch vụ mua bán ngoại tệ kỳ hạn cho khách hàng doanh nghiệp tại Techcombank</t>
  </si>
  <si>
    <t>Đây là một công cụ hữu ích cho doanh nghiệp và cá nhân có kế hoạch ngoại tệ dài hạn, giúp chủ động tài chính, giảm thiểu rủi ro biến động tỷ giá…</t>
  </si>
  <si>
    <t>Thêm ngay sau đoạn này: «Ví dụ, khi giao thương với Trung Quốc, bạn có thể theo dõi tỷ giá Nhân dân tệ để chủ động kế hoạch thanh toán.»</t>
  </si>
  <si>
    <t>2.2. Cân nhắc tổng thể chi phí giao dịch</t>
  </si>
  <si>
    <t>Tỷ giá hối đoái: Là mức giá mà ngân hàng áp dụng để quy đổi từ tiền Việt (VND) sang đồng ngoại tệ mà người thân của bạn nhận (như USD, EUR, AUD,...).</t>
  </si>
  <si>
    <t>Thêm ngay sau đoạn này: «Ví dụ, nếu người thân đang học tập tại Trung Quốc, bạn nên theo dõi tỷ giá Nhân dân tệ trước khi chuyển.»</t>
  </si>
  <si>
    <t>Trong bối cảnh kinh tế toàn cầu liên tục biến động, tỷ giá USD/VND đang là mối quan tâm lớn không chỉ với doanh nghiệp xuất nhập khẩu mà còn với nhà đầu tư…</t>
  </si>
  <si>
    <t>Bôi đen cụm «tỷ giá USD/VND» trong câu trên, gắn link.</t>
  </si>
  <si>
    <t>2.2. Bước 2 – Kiểm tra tỷ giá và phí chuyển đổi</t>
  </si>
  <si>
    <t>Trước khi giao dịch, người mua nên kiểm tra tỷ giá USD/VND và các loại phí liên quan.</t>
  </si>
  <si>
    <t>3. Làm thế nào để cập nhật tỷ giá USD/VND chính xác?</t>
  </si>
  <si>
    <t>Tỷ giá USD/VND luôn biến động theo tình hình thị trường tài chính quốc tế, chính sách tiền tệ của Cục Dự trữ Liên bang Mỹ (Fed) cũng như cung - cầu ngoại tệ trong nước.</t>
  </si>
  <si>
    <t>Bôi đen cụm «Tỷ giá USD/VND» trong câu trên, gắn link.</t>
  </si>
  <si>
    <t>4.3. Điện SWIFT</t>
  </si>
  <si>
    <t>Để tối ưu chi phí và đảm bảo giao dịch thuận lợi, bạn nên luôn kiểm tra tỷ giá USD/VND mới nhất, so sánh phí …</t>
  </si>
  <si>
    <t>2.2. Yếu tố trong nước</t>
  </si>
  <si>
    <t>Tỷ giá USD/VND trên thị trường tự do cũng là một yếu tố tác động đến giá vàng quy đổi trong nước.</t>
  </si>
  <si>
    <t>3. Các yếu tố tác động trực tiếp đến giá vàng 14K</t>
  </si>
  <si>
    <t>Tỷ giá USD/VND cũng ảnh hưởng đến mức quy đổi từ giá vàng thế giới sang đồng Việt Nam.</t>
  </si>
  <si>
    <t>5. Công thức quy đổi giá vàng thế giới (USD/oz) sang giá Việt Nam (VND/lượng)</t>
  </si>
  <si>
    <t>Tỷ giá USD/VND: Tỷ giá đô la Mỹ bán ra tại các ngân hàng</t>
  </si>
  <si>
    <t>Anchor viết hoa chữ đầu vì đứng đầu dòng</t>
  </si>
  <si>
    <t>2. Các yếu tố tác động trực tiếp đến giá vàng 16K</t>
  </si>
  <si>
    <t>Biến động giá vàng thế giới và tỷ giá: Giá vàng phụ thuộc vào đà tăng giảm của vàng nguyên liệu quốc tế và trong nước, chịu ảnh hưởng bởi động thái lãi suất của các ngân hàng lớn và tỷ giá USD/VND.</t>
  </si>
  <si>
    <t>1.1. Ưu điểm khi gửi tiết kiệm USD</t>
  </si>
  <si>
    <t>Bạn có thể gửi tiết kiệm USD tại ngân hàng và chờ tỷ giá USD/VND tăng để bán ra lấy lời.</t>
  </si>
  <si>
    <t>3. Cập nhật tỷ giá USD mới nhất ở đâu?</t>
  </si>
  <si>
    <t>Để cập nhật tỷ giá USD/VND chính xác nhất và biết 1 triệu Đô bằng bao nhiêu tiền Việt tại thời điểm giao dịch…</t>
  </si>
  <si>
    <t>1. Lãi suất gửi tiết kiệm USD - Cập nhật 2026</t>
  </si>
  <si>
    <t>Gửi tiết kiệm USD không mang lại lãi suất cho khoản tiền gửi của khách hàng mà chỉ đảm bảo được tính an toàn và ổn định tỷ giá.</t>
  </si>
  <si>
    <t>Thêm ngay sau đoạn này: «Bạn có thể theo dõi tỷ giá USD/VND hôm nay để cân nhắc thời điểm quy đổi phù hợp.»</t>
  </si>
  <si>
    <t>5. Kinh nghiệm đổi tiền Riel Campuchia sang Việt Nam đồng</t>
  </si>
  <si>
    <t>Để chuyến đi Campuchia của bạn thuận tiện và tối ưu chi phí, việc nắm rõ mệnh giá tiền Campuchia, cập nhật tỷ giá mới nhất… và biết cách sử dụng đồng Riel kết hợp với USD là rất quan trọng.</t>
  </si>
  <si>
    <t>Thêm ngay sau đoạn này: «Vì USD được dùng song song với Riel, bạn cũng nên theo dõi tỷ giá USD/VND trước chuyến đi.»</t>
  </si>
  <si>
    <t>5. Lưu ý quan trọng khi đổi tiền Indonesia</t>
  </si>
  <si>
    <t>Mang theo USD hoặc Euro: Nếu đổi tiền trực tiếp tại Indonesia, việc mang theo USD hoặc Euro sẽ thuận lợi hơn.</t>
  </si>
  <si>
    <t>Thêm ngay sau đoạn này: «Bạn nên theo dõi tỷ giá USD/VND trước khi đổi để chuẩn bị số tiền phù hợp.»</t>
  </si>
  <si>
    <t>3. Hướng dẫn nộp tiền du học trên Flywire</t>
  </si>
  <si>
    <t>Phụ huynh có thể chủ động tạo giao dịch, theo dõi tỷ giá, kiểm tra trạng thái chuyển tiền ngay trên điện thoại mà không cần đến phòng giao dịch.</t>
  </si>
  <si>
    <t>Thêm ngay sau đoạn này: «Bạn có thể tham khảo tỷ giá USD/VND để chọn thời điểm chuyển tiền phù hợp.»</t>
  </si>
  <si>
    <t>5. Lưu ý quan trọng khi đổi tiền Malaysia</t>
  </si>
  <si>
    <t>Mang theo USD hoặc Euro: Nếu đổi tiền trực tiếp tại Malaysia, việc mang theo USD hoặc Euro sẽ thuận lợi hơn.</t>
  </si>
  <si>
    <t>3. Cập nhật giá vàng thế giới hôm nay 28/09/2026</t>
  </si>
  <si>
    <t>Giá vàng thế giới ngày 24/09/2026 giao dịch quanh ngưỡng 4,800 USD/ounce (tương đương khoảng 124,922,400 VND/lượng quy đổi theo tỷ giá Techcombank, chưa thuế, phí).</t>
  </si>
  <si>
    <t>Sửa câu thành: «Giá vàng thế giới ngày 24/09/2026 giao dịch quanh ngưỡng 4,800 USD/ounce (tương đương khoảng 124,922,400 VND/lượng quy đổi theo tỷ giá USD/VND của Techcombank, chưa thuế, phí).»</t>
  </si>
  <si>
    <t>5. Cách quy đổi tiền Lào sang tiền Việt Nam</t>
  </si>
  <si>
    <t>Bạn có thể đổi Kip tại ngân hàng, cửa khẩu biên giới hoặc trực tiếp tại Lào. Đổi từ USD hoặc Bath Thái sang Kip thường có tỷ giá tốt hơn.</t>
  </si>
  <si>
    <t>Thêm ngay sau đoạn này: «Nếu đổi từ USD, bạn nên tham khảo tỷ giá USD/VND để ước tính chi phí.»</t>
  </si>
  <si>
    <t>1. Tỷ giá hối đoái là gì?</t>
  </si>
  <si>
    <t>Ví dụ: Nếu tỷ giá hối đoái giữa USD và VND là 1 USD = 25.000 VND, bạn sẽ cần 25.000 Đồng Việt Nam để mua 1 Đô la Mỹ.</t>
  </si>
  <si>
    <t>Thêm ngay sau đoạn này: «Để biết tỷ giá USD/VND thực tế hôm nay, bạn có thể tham khảo bảng cập nhật mới nhất.»</t>
  </si>
  <si>
    <t>7. Chuyển tiền từ Việt Nam sang Trung Quốc dễ dàng với Techcombank</t>
  </si>
  <si>
    <t>Tỷ giá Nhân dân tệ (CNY) so với Đồng Việt Nam luôn có sự biến động theo thị trường và chính sách tiền tệ.</t>
  </si>
  <si>
    <t>Thêm dòng sau đoạn: «Xem thêm: 1 đô bằng bao nhiêu tiền Việt»</t>
  </si>
  <si>
    <t>4. Tỷ giá Nhân dân tệ (CNY) so với tiền Việt Nam (VND) cập nhật mới nhất hôm nay</t>
  </si>
  <si>
    <t>Trả lời cho câu hỏi 1 tệ bằng bao nhiêu tiền Việt cũng như tỷ giá tiền Trung Quốc thì hiện nay 1 Nhân dân tệ Trung Quốc (CNY) tương đương khoảng 3,835 Đồng Việt Nam (VND)(*).</t>
  </si>
  <si>
    <t>Tỷ giá giữa đồng Nhân dân tệ (CNY) và đồng Việt Nam đồng (VND) luôn có sự biến động do nhiều yếu tố tác động.</t>
  </si>
  <si>
    <t>1. Chuyển đổi tỷ giá Đài tệ hôm nay</t>
  </si>
  <si>
    <t>Dễ dàng ước tính giá trị giao dịch mua, bán tiền Đài Loan của bạn như 1 hay 1000 Đài tệ bằng bao nhiêu tiền Việt theo tỷ giá mới nhất…</t>
  </si>
  <si>
    <t>Thêm ngay sau đoạn này: «Tương tự, bạn có thể tra cứu 1 đô bằng bao nhiêu tiền Việt khi cần quy đổi USD.»</t>
  </si>
  <si>
    <t>4. Cách cập nhật tỷ giá Won hôm nay nhanh và chính xác</t>
  </si>
  <si>
    <t>Công cụ tìm kiếm (Google, Bing…) : Chỉ cần nhập các cụm từ như “1 won bằng bao nhiêu tiền Việt” hoặc “tỷ giá KRW/VND hôm nay” , kết quả sẽ hiển thị nhiều nguồn uy tín giúp bạn tổng hợp thông tin.</t>
  </si>
  <si>
    <t>3.1. Phân biệt rõ các loại chi phí giao dịch</t>
  </si>
  <si>
    <t>Tỷ giá hối đoái (VND/AUD): Là tỷ giá được ngân hàng áp dụng để quy đổi từ tiền Việt (VND) sang Đô la Úc (AUD) tại thời điểm giao dịch.</t>
  </si>
  <si>
    <t>Thêm ngay sau đoạn này: «Nếu cần quy đổi qua USD, bạn có thể tham khảo thêm tỷ giá USD/VND hôm nay.»</t>
  </si>
  <si>
    <t>Bài về AUD, liên quan vừa phải</t>
  </si>
  <si>
    <t>4. 1 Đô Sing bằng bao nhiêu tiền Việt?</t>
  </si>
  <si>
    <t>Để tra cứu tỷ giá SGD/VND mới nhất, bạn có thể cập nhật tại 1 trong 3 kênh sau:</t>
  </si>
  <si>
    <t>Thêm dòng sau đoạn: «Xem thêm: tỷ giá USD/VND hôm nay»</t>
  </si>
  <si>
    <t>Bài về SGD, USD hơi lệch</t>
  </si>
  <si>
    <t>3. Cách cập nhật tỷ giá Won hàng ngày nhanh và chính xác</t>
  </si>
  <si>
    <t>Công cụ tìm kiếm (Google, Bing…): Chỉ cần nhập các cụm từ như “1000 won bằng bao nhiêu tiền Việt” hoặc “tỷ giá KRW/VND hôm nay”…</t>
  </si>
  <si>
    <t>Thêm dòng sau đoạn: «Xem thêm: tỷ giá USD/VND»</t>
  </si>
  <si>
    <t>2. 1000 Tệ bằng bao nhiêu tiền Việt?</t>
  </si>
  <si>
    <t>Tỷ giá CNY/VND không cố định, có thể thay đổi theo giờ, theo ngày.</t>
  </si>
  <si>
    <t>5.2. Điện SWIFT</t>
  </si>
  <si>
    <t>Nếu chưa có tài khoản ngoại tệ tại Techcombank: Khách hàng vẫn có thể nhận ngoại tệ thông qua tài khoản VND tại Techcombank và chuyển đổi sang VND với tỷ giá cạnh tranh…</t>
  </si>
  <si>
    <t>Bài về Yên Nhật, USD hơi lệch</t>
  </si>
  <si>
    <t>3.1. Lập kế hoạch tài chính rõ ràng</t>
  </si>
  <si>
    <t>Ví dụ, mức lương khởi điểm tại Mỹ có thể từ 30,000-50,000 USD/năm, trong khi tại Việt Nam khoảng 10,000-20,000 USD/năm.</t>
  </si>
  <si>
    <t>Trong bài viết này, hãy cùng tìm hiểu về các đơn vị tiền tệ phổ biến của Nhật Bản, cách đọc và quy đổi tiền Nhật sang tiền Việt, cũng như tỷ giá hiện tại để …</t>
  </si>
  <si>
    <t>Bôi đen cụm «tiền Nhật» trong câu trên, gắn link.</t>
  </si>
  <si>
    <t>3. Công thức đổi tiền Yên Nhật (JPY) sang VND</t>
  </si>
  <si>
    <t>Việc quy đổi tiền Yên Nhật sang tiền Việt rất đơn giản, dưới đây là công thức giúp bạn dễ dàng tính được 1000 Yên Nhật bằng bao nhiêu tiền Việt Nam mới nhất 2026:</t>
  </si>
  <si>
    <t>Bôi đen cụm «tiền Yên Nhật» trong câu trên, gắn link.</t>
  </si>
  <si>
    <t>2. Cập nhật tỷ giá Yên Nhật mới nhất hôm nay</t>
  </si>
  <si>
    <t>Yên Nhật (JPY) là đơn vị tiền tệ chính thức của Nhật Bản, ký hiệu là ¥ .</t>
  </si>
  <si>
    <t>Thêm ngay sau đoạn này: «Bạn có thể tìm hiểu thêm về các mệnh giá tiền Yên Nhật và cách đổi tiền.»</t>
  </si>
  <si>
    <t>1.3. Tiền mặt (Yên Nhật - JPY)</t>
  </si>
  <si>
    <t>Tiền mặt (Yên Nhật - JPY) vẫn là phương thức thanh toán "bắt buộc" trong một số trường hợp như:</t>
  </si>
  <si>
    <t>Sửa câu thành: «Tiền mặt (tiền Nhật - Yên/JPY) vẫn là phương thức thanh toán "bắt buộc" trong một số trường hợp như:»</t>
  </si>
  <si>
    <t>4. Đổi ngoại tệ dễ dàng, sẵn sàng đi du lịch cùng Techcombank</t>
  </si>
  <si>
    <t>Việc nắm rõ quy định về hạn mức mua và mang ngoại tệ khi đi du lịch giúp bạn tránh được các rủi ro về pháp lý…</t>
  </si>
  <si>
    <t>Thêm ngay sau đoạn này: «Nếu chuẩn bị đi Nhật Bản, bạn có thể tham khảo thêm mệnh giá và tỷ giá tiền Nhật trước khi đổi.»</t>
  </si>
  <si>
    <t>6.1 Techcombank hỗ trợ chuyển tiền từ nước nào về Việt Nam?</t>
  </si>
  <si>
    <t>Dịch vụ nhận và chuyển tiền quốc tế của Techcombank hiện đang hỗ trợ khách hàng nhận và chuyển tiền đến hơn 192 quốc gia, vùng lãnh thổ như: chuyển tiền từ Nhật về Việt Nam…</t>
  </si>
  <si>
    <t>Thêm ngay sau đoạn này: «Nếu nhận tiền từ Nhật Bản, bạn có thể tìm hiểu thêm về mệnh giá và tỷ giá tiền Nhật.»</t>
  </si>
  <si>
    <t>3. Xây dựng thói quen tiết kiệm từ nhỏ cho trẻ</t>
  </si>
  <si>
    <t>Bên cạnh đó, việc chú trọng đến việc giáo dục tài chính cho trẻ em là không thể thiếu.</t>
  </si>
  <si>
    <t>Thêm ngay sau đoạn này: «Nếu quan tâm đến đồng tiền Nhật Bản, bạn có thể tìm hiểu thêm về mệnh giá và tỷ giá tiền Nhật.»</t>
  </si>
  <si>
    <t>6. Tiền USD có những mệnh giá nào?</t>
  </si>
  <si>
    <t>Mỗi mệnh giá USD đều có thiết kế riêng biệt với chân dung các tổng thống và biểu tượng quốc gia Hoa Kỳ, kèm theo các yếu tố bảo mật tiên tiến giúp chống làm giả.</t>
  </si>
  <si>
    <t>Thêm dòng sau đoạn: «Xem thêm: các mệnh giá tiền Nhật»</t>
  </si>
  <si>
    <t>5. Làm thế nào để cập nhật tỷ giá 1 tệ Trung bằng bao nhiêu tiền Việt chính xác nhất?</t>
  </si>
  <si>
    <t>Để đảm bảo giao dịch hiệu quả, bạn nên so sánh tỷ giá CNY/VND giữa các ngân hàng, đồng thời cập nhật vào thời điểm gần nhất trước khi thực hiện đổi tiền.</t>
  </si>
  <si>
    <t>Thêm dòng sau đoạn: «Xem thêm: tỷ giá và mệnh giá tiền Nhật»</t>
  </si>
  <si>
    <t>6. Cách chuyển tiền từ Trung Quốc về Việt Nam</t>
  </si>
  <si>
    <t>Việc nắm vững mệnh giá tiền Trung Quốc - Nhân dân tệ (CNY) , tỷ giá quy đổi Nhân dân tệ hôm nay và các kênh đổi – chuyển tiền hợp pháp…</t>
  </si>
  <si>
    <t>Thêm ngay sau đoạn này: «Nếu bạn có kế hoạch đến các nước châu Á khác, có thể tìm hiểu thêm về tiền Nhật.»</t>
  </si>
  <si>
    <t>Để giao dịch thuận tiện khi đến đây, việc nắm rõ về đồng tiền Singapore là điều rất cần thiết.</t>
  </si>
  <si>
    <t>Thêm ngay sau đoạn này: «Nếu bạn quan tâm đến các đồng tiền khác trong khu vực châu Á, có thể tham khảo thêm về tiền Nhật.»</t>
  </si>
  <si>
    <t>4.2. Điện SWIFT</t>
  </si>
  <si>
    <t>Hiểu rõ 1000 Won bằng bao nhiêu tiền Việt Nam và nắm được cách cập nhật tỷ giá của các mệnh giá tiền Hàn Quốc sẽ giúp bạn chủ động hơn trong các giao dịch…</t>
  </si>
  <si>
    <t>Thêm dòng sau đoạn: «Xem thêm: tiền Nhật»</t>
  </si>
  <si>
    <t>4. Nhận và chuyển tiền Trung Quốc - Việt Nam dễ dàng với Techcombank</t>
  </si>
  <si>
    <t>Để giúp khách hàng giao dịch quốc tế thuận tiện, Techcombank đã “thiết kế” Dịch vụ nhận và chuyển tiền quốc tế đến hơn 192 quốc gia, vùng lãnh thổ, trong đó có Nhật Bản.</t>
  </si>
  <si>
    <t>Câu gốc nhắc 'Nhật Bản' trong bài Trung Quốc – có thể lỗi biên tập</t>
  </si>
  <si>
    <t>3. Tờ tiền 1000 Nhân dân tệ của Trung Quốc</t>
  </si>
  <si>
    <t>Hệ thống tiền giấy hợp pháp tại Trung Quốc bao gồm các mệnh giá: 1, 5, 10, 20, 50 và 100 tệ, bên cạnh đó còn có một số mệnh giá tiền xu cho các giao dịch nhỏ lẻ.</t>
  </si>
  <si>
    <t>1. Chuyển đổi tiền Campuchia</t>
  </si>
  <si>
    <t>Dễ dàng ước tính giá trị giao dịch mua, bán ngoại tệ của bạn theo tỷ giá mới nhất với công cụ chuyển đổi tiền tệ của Techcombank…</t>
  </si>
  <si>
    <t>6.2. Chuyển tiền từ Việt Nam sang Đài Loan</t>
  </si>
  <si>
    <t>Bài viết trên đã cập nhật cho bạn thông tin mới nhất về tỷ giá Đài tệ hôm nay cũng như địa điểm đổi tiền Đài Loan an toàn, uy tín.</t>
  </si>
  <si>
    <t>Thêm ngay sau đoạn này: «Nếu có kế hoạch đến Nhật Bản, bạn cũng có thể tìm hiểu về tiền Nhật và tỷ giá Yên.»</t>
  </si>
  <si>
    <t>Chủ đề khác ngoại tệ – nên đọc lại</t>
  </si>
  <si>
    <t>Trang web của các ngân hàng: Hầu hết các ngân hàng đều cập nhật tỷ giá liên tục theo thời gian giao dịch trên thị trường ngoại hối quốc tế…</t>
  </si>
  <si>
    <t>Việc nắm rõ 1 Dollar Úc bằng bao nhiêu tiền Việt Nam giúp cá nhân và doanh nghiệp chủ động hơn trong giao dịch, thanh toán quốc tế hoặc chuẩn bị chi phí cho các chuyến du lịch, du học, công…</t>
  </si>
  <si>
    <t>1. Chuyển đổi tiền Yên Nhật sang tiền Việt</t>
  </si>
  <si>
    <t>Dễ dàng ước tính giá trị giao dịch mua, bán ngoại tệ của bạn theo tỷ giá Yên Nhật hôm nay với công cụ chuyển đổi tiền tệ của Techcombank.</t>
  </si>
  <si>
    <t>Bôi đen cụm «tỷ giá Yên Nhật» trong câu trên, gắn link.</t>
  </si>
  <si>
    <t>4. 4 lưu ý quan trọng khi chuyển tiền từ Nhật về Việt Nam</t>
  </si>
  <si>
    <t>Để tối ưu chi phí và đảm bảo giao dịch thuận lợi, bạn nên luôn kiểm tra tỷ giá Yên Nhật mới nhất, so sánh p…</t>
  </si>
  <si>
    <t>2.2. Chú ý về tỷ giá quy đổi và phí giao dịch quốc tế trước khi giao dịch</t>
  </si>
  <si>
    <t>Để kiểm soát chi phí tốt hơn, du khách nên kiểm tra tỷ giá, biểu phí của thẻ trước khi thực hiện giao dịch.</t>
  </si>
  <si>
    <t>Sửa câu thành: «Để kiểm soát chi phí tốt hơn, du khách nên kiểm tra tỷ giá Yên Nhật, biểu phí của thẻ trước khi thực hiện giao dịch.»</t>
  </si>
  <si>
    <t>1 Man bằng 10,000 Yên. Tính theo tỷ giá hiện tại, 1 Yên bằng ~ 164.7 Đồng Việt Nam (VND) .</t>
  </si>
  <si>
    <t>Thêm ngay sau đoạn này: «Để theo dõi chi tiết tỷ giá đồng Yên, bạn có thể tham khảo 1 Yên bằng bao nhiêu tiền Việt.»</t>
  </si>
  <si>
    <t>2. Tỷ giá 1000 Yên bằng bao nhiêu tiền Việt?</t>
  </si>
  <si>
    <t>Đây là tỷ giá tham khảo dựa trên mức trung bình của các ngân hàng lớn tại Việt Nam.</t>
  </si>
  <si>
    <t>Thêm ngay sau đoạn này: «Bạn có thể theo dõi thêm tỷ giá Yên Nhật được cập nhật hằng ngày để quy đổi chính xác hơn.»</t>
  </si>
  <si>
    <t>Do đó, tỷ giá 1 Đô Mỹ bằng bao nhiêu tiền Việt luôn được nhiều người quan tâm, dù mức quy đổi này thay đổi liên tục theo thị trường.</t>
  </si>
  <si>
    <t>Thêm dòng sau đoạn: «Xem thêm: 1 Yên bằng bao nhiêu tiền Việt»</t>
  </si>
  <si>
    <t>Tỷ giá CNY/VND thay đổi liên tục theo diễn biến thị trường và chính sách tài chính của cả Trung Quốc và Việt Nam.</t>
  </si>
  <si>
    <t>Đặt sau danh sách nguồn tra cứu</t>
  </si>
  <si>
    <t>4. Địa điểm đổi Tân Đài tệ (TWD) uy tín, hợp pháp tại Việt Nam</t>
  </si>
  <si>
    <t>Khi cần chuyển tiền quốc tế từ Tân Đài tệ (TWD) sang Việt Nam đồng (VND), việc lựa chọn đúng địa điểm giúp giao dịch an toàn, hợp pháp và có lợi về tỷ giá.</t>
  </si>
  <si>
    <t>Đặt sau danh sách kênh đổi tiền</t>
  </si>
  <si>
    <t>4.2. Gửi tiền Trung Quốc về nước nhanh chóng</t>
  </si>
  <si>
    <t>Như vậy, việc biết 1 vạn là bao nhiêu , sẽ giúp bạn hiểu rõ cách quy đổi các mệnh giá tiền Trung Quốc, tỷ giá hiện tại mà còn giúp bạn chủ động trong các giao dịch ngoại tệ.</t>
  </si>
  <si>
    <t>Tỷ giá USD (Đô la Mỹ) và VND (Việt Nam đồng) luôn biến động, ảnh hưởng đến giá trị của các khoản tiền lớn.</t>
  </si>
  <si>
    <t>Theo tỷ giá Đài tệ hôm nay, 1 Tân Đài Tệ (TWD) tương đương khoảng 818.6 Đồng Việt Nam (VND)(*) .</t>
  </si>
  <si>
    <t>Thêm ngay sau đoạn này: «Nếu cần quy đổi các ngoại tệ khác, bạn có thể tham khảo 1 Yên bằng bao nhiêu tiền Việt.»</t>
  </si>
  <si>
    <t>2. 1 Cent bằng bao nhiêu tiền Việt Nam?</t>
  </si>
  <si>
    <t>1 cent (0.01 USD) hiện tương đương khoảng 260 VND (*). Tỷ giá này có thể khác nhau tùy ngân hàng, hình thức giao dịch (tiền mặt hoặc chuyển khoản) và thời điểm thực tế.</t>
  </si>
  <si>
    <t>Vậy 1 Won bằng bao nhiêu tiền Việt? Bài viết sau sẽ giúp bạn cập nhật tỷ giá Won hôm nay mới nhất!.</t>
  </si>
  <si>
    <t>Tỷ giá AUD/VND luôn biến động theo diễn biến thị trường tài chính quốc tế, chính sách tiền tệ của Ngân hàng Dự trữ Australia (Reserve Bank of Australia – RBA) và tình hình kinh tế trong nước.</t>
  </si>
  <si>
    <t>Tỷ giá minh bạch: Tỷ giá mua – bán được niêm yết công khai tại quầy và trên website ngân hàng, cập nhật liên tục theo thị trường</t>
  </si>
  <si>
    <t>Thêm ngay sau đoạn này: «Nếu có nhu cầu đổi tiền đi Nhật Bản, bạn có thể tham khảo thêm tỷ giá Yên Nhật.»</t>
  </si>
  <si>
    <t>Nên cập nhật tỷ giá tại ngân hàng và các kênh tin tức uy tín.</t>
  </si>
  <si>
    <t>Thêm dòng sau đoạn: «Xem thêm: tỷ giá Yên Nhật»</t>
  </si>
  <si>
    <t>2. 100 Riel tiền Campuchia bằng bao nhiêu tiền Việt Nam?</t>
  </si>
  <si>
    <t>Tuy nhiên, mức tỷ giá này có thể thay đổi theo biến động thị trường và quy định niêm yết của từng ngân hàng tại thời điểm giao dịch.</t>
  </si>
  <si>
    <t>4. 1000 Baht Thái bằng bao nhiêu tiền Việt?</t>
  </si>
  <si>
    <t>Số tiền (THB) x Tỷ giá THB/VND = Số tiền (VND)</t>
  </si>
  <si>
    <t>Thêm dòng sau đoạn: «Xem thêm: cách quy đổi tương tự theo tỷ giá Yên Nhật»</t>
  </si>
  <si>
    <t>3. Cập nhật tỷ giá Won mới nhất ở đâu?</t>
  </si>
  <si>
    <t>Để cập nhật tỷ giá Won Hàn Quốc (KRW) mới nhất, bạn có thể tham khảo từ nhiều nguồn đáng tin cậy như:</t>
  </si>
  <si>
    <t>Bôi đen cụm «tỷ giá Won» trong câu trên, gắn link.</t>
  </si>
  <si>
    <t>2.2. Lưu ý về phí giao dịch quốc tế và tỷ giá</t>
  </si>
  <si>
    <t>Để kiểm soát chi phí, du khách nên kiểm tra tỷ giá và biểu phí của thẻ trước chuyến đi.</t>
  </si>
  <si>
    <t>Sửa câu thành: «Để kiểm soát chi phí, du khách nên kiểm tra tỷ giá Won và biểu phí của thẻ trước chuyến đi.»</t>
  </si>
  <si>
    <t>2. Cập nhật tỉ giá tiền Won Hàn mới nhất hôm nay</t>
  </si>
  <si>
    <t>Hiện nay 1 KRW ≈ 17.768 VND . Đây là mức quy đổi mang tính tham khảo.</t>
  </si>
  <si>
    <t>Thêm ngay sau đoạn này: «Bạn có thể theo dõi tỷ giá Won được cập nhật hằng ngày để chọn thời điểm chuyển tiền phù hợp.»</t>
  </si>
  <si>
    <t>Tỷ giá KRW/VND thường xuyên thay đổi, nên việc cập nhật thông tin về tỷ giá tiền Hàn Quốc cũng như 1000 Won Hàn Quốc bằng bao nhiêu tiền Việt Nam đúng lúc là rất cần thiết.</t>
  </si>
  <si>
    <t>Sửa câu thành: «Tỷ giá KRW/VND thường xuyên thay đổi, nên việc cập nhật thông tin về tỷ giá Won cũng như 1000 Won Hàn Quốc bằng bao nhiêu tiền Việt Nam đúng lúc là rất cần thiết.»</t>
  </si>
  <si>
    <t>Dễ dàng tiếp cận nguồn ngoại tệ hợp pháp, an toàn với tỷ giá ưu đãi</t>
  </si>
  <si>
    <t>Thêm dòng sau đoạn: «Xem thêm: tỷ giá Won trước khi đổi tiền đi Hàn Quốc»</t>
  </si>
  <si>
    <t>2.3. Tối ưu chi phí chuyển đổi ngoại tệ</t>
  </si>
  <si>
    <t>Thực tế, khi giao dịch bằng thẻ thanh toán quốc tế, ngân hàng sẽ áp dụng tỷ giá hối đoái niêm yết tại thời điểm thanh toán, thường ổn định và minh bạch hơn so với thị trường tự do.</t>
  </si>
  <si>
    <t>Thêm ngay sau đoạn này: «Chẳng hạn, khi du lịch Hàn Quốc, bạn có thể theo dõi tỷ giá Won để ước tính chi phí chi tiêu.»</t>
  </si>
  <si>
    <t>Công cụ tìm kiếm Google: Chỉ cần nhập từ khóa như:“tỷ giá USD/VND hôm nay”, “1 đô bằng bao nhiêu tiền việt”…</t>
  </si>
  <si>
    <t>Thêm dòng sau đoạn: «Xem thêm: 1 Won bằng bao nhiêu tiền Việt»</t>
  </si>
  <si>
    <t>Việc nắm rõ tỷ giá Nhân dân tệ (CNY) so với Đồng Việt Nam (VND) là yếu tố quan trọng để mọi giao dịch tài chính …</t>
  </si>
  <si>
    <t>Công cụ tìm kiếm trực tuyến: Nếu cần tra cứu nhanh, bạn có thể nhập từ khóa như “1 cent bằng bao nhiêu tiền Việt” , “tỷ giá USD hôm nay” hoặc “USD to VND”…</t>
  </si>
  <si>
    <t>Bài viết này sẽ giúp bạn trả lời câu hỏi “ 1 vạn tiền Đài Loan bằng bao nhiêu tiền Việt? " kèm bản…</t>
  </si>
  <si>
    <t>4.2. Gửi tiền Man Nhật về nước nhanh chóng</t>
  </si>
  <si>
    <t>Như vậy bài viết trên đã giải đáp chi tiết 1 Man bằng bao nhiêu tiền Việt cũng như 1 Man bằng bao nhiêu Yên .</t>
  </si>
  <si>
    <t>1. Tỷ giá ngân hàng là gì? Tầm quan trọng của việc so sánh tỷ giá các ngân hàng</t>
  </si>
  <si>
    <t>Việc nắm rõ bản chất tỷ giá và tầm quan trọng của so sánh tỷ giá các ngân hàng giúp người dùng ra quyết định chính xác…</t>
  </si>
  <si>
    <t>Thêm dòng sau đoạn: «Xem thêm: tỷ giá Won hôm nay»</t>
  </si>
  <si>
    <t>4. Quầy đổi tiền tại sân bay</t>
  </si>
  <si>
    <t>Nếu có kế hoạch trước, hãy ưu tiên đổi tiền tại các ngân hàng thương mại để có tỷ giá tốt và an toàn.</t>
  </si>
  <si>
    <t>Thêm ngay sau đoạn này: «Nếu đi Hàn Quốc, bạn cũng nên tham khảo tỷ giá Won trước để chủ động đổi tiền.»</t>
  </si>
  <si>
    <t>Việc nắm rõ tỷ giá Riel Campuchia (KHR) so với Đồng Việt Nam (VND) là chìa khóa để bạn chủ động trong mọi giao dịch, từ du lịch, kinh doanh đến chuyển tiền.</t>
  </si>
  <si>
    <t>Thêm dòng sau đoạn: «Xem thêm: tỷ giá Won»</t>
  </si>
  <si>
    <t>3.4. So sánh tỷ giá giữa các ngân hàng lớn trước khi mua</t>
  </si>
  <si>
    <t>Dù cùng tuân theo điều kiện mua USD từ ngân hàng, tỷ giá và phí tại mỗi ngân hàng có thể khác nhau.</t>
  </si>
  <si>
    <t>Thêm ngay sau đoạn này: «Nếu cần đổi ngoại tệ khác cho chuyến đi Hàn Quốc, bạn có thể tham khảo thêm tỷ giá Won.»</t>
  </si>
  <si>
    <t>1. Đa dạng ngoại tệ</t>
  </si>
  <si>
    <t>Khi thực hiện giao dịch, hệ thống cho phép kiểm tra tỷ giá Dollar , Euro… và số tiền quy đổi theo thời gian thực, giúp khách hàng ước tính chính xác chi phí và kiểm soát ngân sách hiệu quả.</t>
  </si>
  <si>
    <t>Thêm ngay sau đoạn này: «Nếu định cư tại Hàn Quốc, bạn có thể tham khảo thêm tỷ giá Won mới nhất để dự trù chi phí.»</t>
  </si>
  <si>
    <t>3. Cách cập nhật tỷ giá Tân Đài tệ (TWD/VND) chính xác</t>
  </si>
  <si>
    <t>Tỷ giá giữa Tân Đài tệ (TWD) và Việt Nam đồng (VND) thay đổi liên tục theo biến động thị trường ngoại hối, chính sách tiền tệ và quy định của từng ngân hàng.</t>
  </si>
  <si>
    <t>Bôi đen cụm «Tân Đài tệ» trong câu trên, gắn link.</t>
  </si>
  <si>
    <t>4. Cách đổi ngoại tệ đi du lịch an toàn tại Techcombank</t>
  </si>
  <si>
    <t>Thêm dòng sau đoạn: «Xem thêm: tỷ giá Đài tệ hôm nay và cách đổi tiền»</t>
  </si>
  <si>
    <t>4. Đổi tiền ngoại tệ và chuyển/nhận tiền quốc tế với Techcombank</t>
  </si>
  <si>
    <t>Lựa chọn ngân hàng phù hợp không chỉ giúp bạn giảm chi phí đổi ngoại tệ mà còn tăng mức độ an toàn khi thực hiện các giao dịch quốc tế.</t>
  </si>
  <si>
    <t>Thêm dòng sau đoạn: «Xem thêm: tỷ giá Đài tệ hôm nay»</t>
  </si>
  <si>
    <t>2. Trường hợp không có đồng tiền của nước nơi công dân Việt Nam đến, tổ chức tín dụng được phép thực hiện bán ngoại tệ tự do chuyển đổi khác.”</t>
  </si>
  <si>
    <t>Thêm dòng sau đoạn: «Xem thêm: tỷ giá Đài tệ và cách đổi tiền khi đi Đài Loan»</t>
  </si>
  <si>
    <t>Đoạn trích luật – dùng Xem thêm; sát link khác cùng bài</t>
  </si>
  <si>
    <t>Thêm ngay sau đoạn này: «Nếu chuẩn bị đi Đài Loan, bạn có thể tham khảo thêm tỷ giá Đài tệ trước khi đổi tiền.»</t>
  </si>
  <si>
    <t>4. Cách cập nhật tỷ giá Riel Campuchia (KHR/VND)</t>
  </si>
  <si>
    <t>Liên hệ trực tiếp ngân hàng : Trong trường hợp giao dịch giá trị lớn, việc liên hệ tổng đài hoặc đến trực tiếp quầy giao dịch sẽ giúp cập nhật chính xác mức tỷ giá áp dụng tại thời điểm thực hiện.</t>
  </si>
  <si>
    <t>Thêm dòng sau đoạn: «Xem thêm: tỷ giá Đài tệ»</t>
  </si>
  <si>
    <t>4.1. Đổi USD đi du lịch</t>
  </si>
  <si>
    <t>Thêm ngay sau đoạn này: «Nếu có lịch trình đến Đài Loan, bạn có thể tham khảo thêm tỷ giá Đài tệ trước chuyến đi.»</t>
  </si>
  <si>
    <t>Thêm ngay sau đoạn này: «Nếu con du học tại Đài Loan, phụ huynh có thể tham khảo tỷ giá Đài tệ trước khi chuyển tiền.»</t>
  </si>
  <si>
    <t>4. Kinh nghiệm chuyển tiền ra nước ngoài nhanh chóng, an toàn và tiết kiệm</t>
  </si>
  <si>
    <t>Cập nhật tỷ giá trước giao dịch : Theo dõi tỷ giá để chọn thời điểm chuyển tiền tối ưu, giảm chi phí</t>
  </si>
  <si>
    <t>Thêm ngay sau đoạn này: «Ví dụ, khi chuyển tiền sang Đài Loan, bạn nên tham khảo tỷ giá Đài tệ trước khi giao dịch.»</t>
  </si>
  <si>
    <t>2. Giới thiệu dịch vụ chuyển tiền quốc tế Techcombank</t>
  </si>
  <si>
    <t>Ưu đãi tỷ giá : Ưu đãi tỷ giá giao dịch ngoại tệ lên đến 215 điểm (*)…</t>
  </si>
  <si>
    <t>Thêm ngay sau đoạn này: «Nếu chuyển tiền đến Đài Loan, bạn có thể tham khảo thêm tỷ giá Đài tệ trước khi giao dịch.»</t>
  </si>
  <si>
    <t>5. Nhận tiền từ nước ngoài nhanh chóng, đổi ngoại tệ siêu hời với Techcombank</t>
  </si>
  <si>
    <t>Linh hoạt chuyển đổi sang VND: Tiền gửi tới Tài khoản nhận tiền từ nước ngoài có thể chuyển đổi sang VND với tỷ giá ưu đãi ngay trên Techcombank Mobile</t>
  </si>
  <si>
    <t>Thêm ngay sau đoạn này: «Với tiền gửi từ Đài Loan, bạn có thể tham khảo tỷ giá Đài tệ hôm nay trước khi chuyển đổi.»</t>
  </si>
  <si>
    <t>5. Tiền Yên Nhật Bản có những mệnh giá nào?</t>
  </si>
  <si>
    <t>10,000 Yên : Là mệnh giá cao nhất, tương đương khoảng 1 Man (gọi theo cách dùng của người Nhật)</t>
  </si>
  <si>
    <t>Thêm dòng sau đoạn: «Xem thêm: 1 Man Nhật bằng bao nhiêu tiền Việt»</t>
  </si>
  <si>
    <t>Danh sách mệnh giá – dùng Xem thêm</t>
  </si>
  <si>
    <t>1 Yên Nhật (JPY) có giá trị tương đương khoảng 161.96 (*) Đồng Việt Nam (VND).</t>
  </si>
  <si>
    <t>Thêm ngay sau đoạn này: «Bạn có thể tham khảo thêm 1 Man Nhật bằng bao nhiêu tiền Việt để quy đổi các mệnh giá lớn.»</t>
  </si>
  <si>
    <t>5.3. Đổi tiền Việt sang Yên Nhật online, nhận nhiều ưu đãi</t>
  </si>
  <si>
    <t>Tỷ giá 1000 Yên Nhật bằng bao nhiêu tiền Việt luôn thay đổi và có ảnh hưởng trực tiếp đến quyết định giao dịch của bạn.</t>
  </si>
  <si>
    <t>Thêm dòng sau đoạn: «Xem thêm: 1 Man bằng bao nhiêu tiền Việt»</t>
  </si>
  <si>
    <t>4. Tỷ giá Yên Nhật (JPY) so với tiền Việt Nam (VND) hôm nay</t>
  </si>
  <si>
    <t>Dựa trên tỷ giá Yên hôm nay là 1 JPY = 167 VND , một số mức quy đổi phổ biến như sau:</t>
  </si>
  <si>
    <t>Đoạn dẫn bảng số liệu – dùng Xem thêm</t>
  </si>
  <si>
    <t>Công cụ tìm kiếm: Gõ các cụm từ như "1 vạn tiền Đài Loan bằng bao nhiêu tiền Việt" hoặc "10,000 TWD bằng bao nhiêu VND hôm nay" trên Google sẽ đưa ra kết quả tham khảo từ nhiều nguồn.</t>
  </si>
  <si>
    <t>4. Làm thế nào để cập nhật tỷ giá Euro (EUR/VND) chính xác?</t>
  </si>
  <si>
    <t>Công cụ tìm kiếm trực tuyến: Bạn có thể gõ các từ khóa như "1 Euro bằng bao nhiêu tiền Việt Nam" , "1 Euro bằng bao nhiêu VND" , "tỷ giá Euro hôm nay"…</t>
  </si>
  <si>
    <t>4.2. Chuyển tiền từ Hàn Quốc về Việt Nam</t>
  </si>
  <si>
    <t>Hiểu rõ 1 triệu Won bằng bao nhiêu tiền Việt hay 2 triệu, 3 triệu, 4 triệu, 5 triệu Won bằng bao nhiêu tiền Việt Nam và biết cách cập nhật tỷ giá sẽ giúp bạn chủ động hơn trong các giao dịch…</t>
  </si>
  <si>
    <t>5.2. Mua USD từ ngân hàng để chuyển tiền quốc tế</t>
  </si>
  <si>
    <t>Tỷ giá cent và đồng Việt Nam luôn thay đổi theo biến động của thị trường và chính sách tiền tệ quốc tế.</t>
  </si>
  <si>
    <t>2.1. Đổi Baht Thái tại ngân hàng lớn, uy tín</t>
  </si>
  <si>
    <t>Tỷ giá công khai, minh bạch: Tỷ giá mua – bán tiền Baht Thái được niêm yết công khai và cập nhật thường xuyên trên các kênh, cập nhật liên tục.</t>
  </si>
  <si>
    <t>Bôi đen cụm «tiền Baht» trong câu trên, gắn link.</t>
  </si>
  <si>
    <t>3. Thẻ Techcombank Visa - Trải nghiệm chi tiêu linh hoạt, thuận tiện tại Thái Lan</t>
  </si>
  <si>
    <t>Khách hàng nên chuẩn bị nhiều hình thức thanh toán như thẻ quốc tế, tiền mặt Baht hay ví điện tử/thanh toán không chạm để chủ động hơn khi du lịch hoặc công tác tại Thái Lan.</t>
  </si>
  <si>
    <t>Sửa câu thành: «Khách hàng nên chuẩn bị nhiều hình thức thanh toán như thẻ quốc tế, tiền mặt Baht (tiền Thái Lan) hay ví điện tử/thanh toán không chạm để chủ động hơn khi du lịch hoặc công tác tại Thái Lan.»</t>
  </si>
  <si>
    <t>Tuy nhiên, không ít người vẫn băn khoăn về thủ tục, quy định và tỷ giá khi thực hiện giao dịch quốc tế.</t>
  </si>
  <si>
    <t>Thêm ngay sau đoạn này: «Nếu chuyển tiền sang Thái Lan, bạn có thể tham khảo tỷ giá tiền Baht Thái trước khi giao dịch.»</t>
  </si>
  <si>
    <t>2.1. Lợi ích</t>
  </si>
  <si>
    <t>Có thể chi tiêu tại một số quốc gia khác ngoài Việt Nam: …sử dụng để rút tiền mặt tại các ATM ở Hàn Quốc, Thái Lan, Malaysia và Nga với chi phí hợp lý</t>
  </si>
  <si>
    <t>Thêm ngay sau đoạn này: «Trước chuyến đi, khách hàng có thể tìm hiểu thêm về tiền Thái Lan và cách đổi tiền phù hợp.»</t>
  </si>
  <si>
    <t>3. Cập nhật ưu đãi thanh toán quảng cáo TikTok với thẻ Techcombank</t>
  </si>
  <si>
    <t>Ưu đãi giảm giá di chuyển, mua sắm, ăn uống toàn cầu khi chi tiêu du lịch tại Paris, Italy, London, Thái Lan, Nhật Bản, Đài Loan...; ăn ngon giá gọn giảm tới 20%...</t>
  </si>
  <si>
    <t>Thêm ngay sau đoạn này: «Nếu chuẩn bị du lịch Thái Lan, bạn có thể tìm hiểu thêm về mệnh giá và tỷ giá tiền Thái Lan.»</t>
  </si>
  <si>
    <t>2.3. Phân loại thẻ ATM</t>
  </si>
  <si>
    <t>Thẻ NAPAS: Là thẻ của Công ty Cổ phần Thanh toán Quốc gia Việt Nam , được chấp nhận tại Việt Nam và 5 quốc gia khác gồm Hàn Quốc, Nga, Lào, Thái Lan, Malaysia</t>
  </si>
  <si>
    <t>Thêm dòng sau đoạn: «Xem thêm: tiền Thái Lan»</t>
  </si>
  <si>
    <t>5.2. Thẻ debit có thanh toán quốc tế được không?</t>
  </si>
  <si>
    <t>Đối với thẻ nội địa NAPAS, khách hàng có thể thanh toán tại một số quốc gia trong mạng lưới liên kết như Hàn Quốc, Nga, Lào, Thái Lan, Malaysia.</t>
  </si>
  <si>
    <t>Thêm ngay sau đoạn này: «Khi chi tiêu tại Thái Lan, bạn có thể tham khảo thêm về tiền Thái Lan và tỷ giá quy đổi.»</t>
  </si>
  <si>
    <t>7.2. Mua USD từ ngân hàng để chuyển tiền quốc tế</t>
  </si>
  <si>
    <t>Để trả lời chính xác câu hỏi " 1 đô la Mỹ bằng bao nhiêu tiền Việt Nam , 100 đô là bao nhiêu tiền Việt hay 1000 đô bằng bao nhiêu tiền Việt", bạn nên cập nhật tỷ giá từ các nguồn đáng tin cậy…</t>
  </si>
  <si>
    <t>Thêm ngay sau đoạn này: «Nếu cần quy đổi số tiền lớn hơn, bạn có thể tham khảo thêm 1 triệu đô bằng bao nhiêu tiền Việt.»</t>
  </si>
  <si>
    <t>Tuy nhiên, không phải ai cũng biết nên đổi tiền Đô ở đâu để đảm bảo an toàn, đúng quy định và có tỷ giá hợp lý.</t>
  </si>
  <si>
    <t>Thêm ngay sau đoạn này: «Trước khi đổi, bạn có thể tham khảo 1 triệu đô bằng bao nhiêu tiền Việt để ước tính giá trị quy đổi.»</t>
  </si>
  <si>
    <t>3.1. Đô la Mỹ (USD)</t>
  </si>
  <si>
    <t>Đây là đồng tiền mạnh nhất và được sử dụng phổ biến nhất trên thế giới.</t>
  </si>
  <si>
    <t>Thêm ngay sau đoạn này: «Để quy đổi số tiền lớn, bạn có thể xem 1 triệu đô bằng bao nhiêu tiền Việt theo tỷ giá hôm nay.»</t>
  </si>
  <si>
    <t>2. Cập nhật tỉ giá USD to VND mới nhất hôm nay</t>
  </si>
  <si>
    <t>Tại thời điểm hiện tại, 1 Đô la Mỹ (USD) có giá trị tương đương khoảng 26,26 Đồng Việt Nam (VND) .</t>
  </si>
  <si>
    <t>Thêm ngay sau đoạn này: «Với số tiền lớn, bạn có thể tham khảo 1 triệu đô bằng bao nhiêu tiền Việt theo tỷ giá hôm nay.»</t>
  </si>
  <si>
    <t>Số “26,26” trong bài gốc có vẻ thiếu đơn vị – nên báo sửa</t>
  </si>
  <si>
    <t>Vậy 1 triệu Won bằng bao nhiêu tiền Việt ? hay 2 triệu, 3 triệu, 4 triệu, 5 triệu Won bằng bao nhiêu tiền Việt Nam là những câu hỏi đ…</t>
  </si>
  <si>
    <t>Thêm dòng sau đoạn: «Xem thêm: 1 triệu đô bằng bao nhiêu tiền Việt»</t>
  </si>
  <si>
    <t>4. Làm thế nào để cập nhật tỷ giá Yên Nhật (JPY/VND) chính xác nhất?</t>
  </si>
  <si>
    <t>Công cụ tìm kiếm trực tuyến : Bạn có thể gõ các từ khóa như “1 Yên Nhật Bản bằng bao nhiêu tiền Việt Nam”…</t>
  </si>
  <si>
    <t>Hy vọng bài viết đã giúp bạn trả lời câu hỏi 1 vạn tiền Đài Loan bằng bao nhiêu tiền Việt một cách rõ ràng và cập nhật.</t>
  </si>
  <si>
    <t>1. Chuyển đổi tỷ giá Euro</t>
  </si>
  <si>
    <t>Dễ dàng ước tính 1 Euro bằng bao nhiêu tiền Việt cũng như giá trị giao dịch mua, bán ngoại tệ của bạn theo tỷ giá mới nhất với công cụ chuyển đổi tiền tệ của Techcombank.</t>
  </si>
  <si>
    <t>6.3. Đổi VND sang AUD online, nhận nhiều ưu đãi</t>
  </si>
  <si>
    <t>Tỷ giá 1 Đô la Úc sang tiền Việt có thể biến động theo từng thời điểm, phụ thuộc vào diễn biến thị trường và chính sách của các ngân hàng.</t>
  </si>
  <si>
    <t>2. Tỷ giá VND to MYR hôm nay là bao nhiêu?</t>
  </si>
  <si>
    <t>Để dễ hình dung hơn, chúng ta tham khảo tỷ giá Ringgit Malaysia sang tiền Việt trước:</t>
  </si>
  <si>
    <t>Cùng chủ đề quy đổi tiền nhưng khác ngoại tệ</t>
  </si>
  <si>
    <t>5. 1 Dinar Kuwait bằng bao nhiêu tiền Việt Nam?</t>
  </si>
  <si>
    <t>Là đồng tiền có mệnh giá tiền cao nhất thế giới hiện nay, 1 Dinar Kuwait (KWD) có giá trị tương đương khoảng 85,044.74 (*) Đồng Việt Nam (VND).</t>
  </si>
  <si>
    <t>Thêm ngay sau đoạn này: «Để so sánh với đồng USD, bạn có thể tham khảo 1 triệu đô bằng bao nhiêu tiền Việt.»</t>
  </si>
  <si>
    <t>3.2. Đặc điểm của thị trường ngoại hối</t>
  </si>
  <si>
    <t>Đồng tiền sử dụng nhiều frong giao dịch của thị trường ngoại hối là đồng Đô la Mỹ (USD), tiếp đến là các ngoại tệ mạnh khác…</t>
  </si>
  <si>
    <t>Câu gốc có lỗi chính tả «frong»</t>
  </si>
  <si>
    <t>7. Lưu ý khi giao dịch liên quan đến tỷ giá hối đoái</t>
  </si>
  <si>
    <t>Việc hiểu rõ tỷ giá hối đoái là gì giúp người dùng chủ động hơn trong giao dịch ngoại tệ, từ đó đưa ra quyết định chính xác và tối ưu chi phí.</t>
  </si>
  <si>
    <t>2. Tỷ giá USD thay đổi ảnh hưởng thế nào tới Việt Nam</t>
  </si>
  <si>
    <t>Việc chủ động theo dõi thị trường hay giá Đô hôm nay tăng hay giảm kết hợp cùng các…</t>
  </si>
  <si>
    <t>Thêm ngay sau đoạn này: «Bạn cũng có thể tham khảo 1 triệu đô bằng bao nhiêu tiền Việt theo tỷ giá hôm nay để dễ hình dung giá trị quy đổi.»</t>
  </si>
  <si>
    <t>Tỷ giá ảnh hưởng đến công thức quy đổi giá vàng thế giới sang giá vàng Việt Nam.</t>
  </si>
  <si>
    <t>Thêm ngay sau đoạn này: «Với các khoản lớn, bạn có thể tham khảo 1 triệu đô bằng bao nhiêu tiền Việt theo tỷ giá hôm nay.»</t>
  </si>
  <si>
    <t>1.3. Nguồn tiền hợp pháp dùng để mua USD</t>
  </si>
  <si>
    <t>Ngân hàng có quyền yêu cầu chứng từ chứng minh nguồn tiền đối với các giao dịch có giá trị lớn hoặc phát sinh dấu hiệu bất thường.</t>
  </si>
  <si>
    <t>Thêm ngay sau đoạn này: «Với giao dịch lớn, bạn có thể tham khảo 1 triệu đô bằng bao nhiêu tiền Việt để ước tính số tiền cần chuẩn bị.»</t>
  </si>
  <si>
    <t>2.1. Quy định pháp lý khi mang tiền mặt xuất-nhập cảnh</t>
  </si>
  <si>
    <t>Khi rời Việt Nam (Theo quy định của Ngân hàng Nhà nước): Cá nhân được phép mang tối đa 5.000 USD…</t>
  </si>
  <si>
    <t>Thêm dòng sau đoạn: «Xem thêm: 1 triệu đô bằng bao nhiêu tiền Việt? Tỷ giá hôm nay»</t>
  </si>
  <si>
    <t>Đoạn quy định – dùng Xem thêm</t>
  </si>
  <si>
    <t>3.1. Dự báo ngắn hạn (đến hết năm 2026)</t>
  </si>
  <si>
    <t>Ở chiều thận trọng hơn, HSBC Global Research cho rằng giá vàng có thể kết thúc năm 2026 ở vùng khoảng 4,750 USD/ounce.</t>
  </si>
  <si>
    <t>Thêm ngay sau đoạn này: «Để hình dung giá trị quy đổi, bạn có thể tham khảo 1 triệu đô bằng bao nhiêu tiền Việt.»</t>
  </si>
  <si>
    <t>3. Giá cà phê phản ánh điều gì về thị trường và tác động như thế nào đến ngành cà phê?</t>
  </si>
  <si>
    <t>Giá cà phê hôm nay biến động theo nhiều yếu tố như nguồn cung, nhu cầu tiêu thụ, thời tiết, tỷ giá và diễn biến thị trường quốc tế.</t>
  </si>
  <si>
    <t>Thêm ngay sau đoạn này: «Để hình dung giá trị quy đổi ngoại tệ, bạn có thể tham khảo 1 triệu đô bằng bao nhiêu tiền Việt.»</t>
  </si>
  <si>
    <t>Liên quan yếu – nên đọc lại</t>
  </si>
  <si>
    <t>Phí nhận tiền (tại Việt Nam): Đa phần người nhận sẽ được miễn phí nhận tiền, tuy nhiên có thể phát sinh phí chuyển đổi ngoại tệ…</t>
  </si>
  <si>
    <t>Thêm dòng sau đoạn: «Xem thêm: 1 triệu đô bằng bao nhiêu tiền Việt theo tỷ giá hôm nay»</t>
  </si>
  <si>
    <t>Ví dụ: Bạn muốn mua 1,000 USD tiền mặt để đi du lịch.</t>
  </si>
  <si>
    <t>Đoạn ví dụ số liệu – dùng Xem thêm</t>
  </si>
  <si>
    <t>2. 1 Won bằng bao nhiêu tiền Việt Nam?</t>
  </si>
  <si>
    <t>Dựa trên tỷ giá tham khảo, dưới đây là một số mức quy đổi tiền Hàn đổi sang tiền Việt phổ biến như 1,000 won, 10,000 won, 100,000 won, 1,000,000 won bằng bao nhiêu tiền Việt…</t>
  </si>
  <si>
    <t>Bôi đen cụm «1,000 won» trong câu trên, gắn link.</t>
  </si>
  <si>
    <t>Dưới đây là bảng quy đổi một số mệnh giá VND phổ biến sang KRW (tham khảo, dựa trên tỷ giá 1 KRW ≈ 17.768 VND KRW):</t>
  </si>
  <si>
    <t>Thêm dòng sau đoạn: «Xem thêm: 1,000 won bằng bao nhiêu tiền Việt»</t>
  </si>
  <si>
    <t>Đoạn dẫn vào bảng – dùng Xem thêm (đặt sau bảng)</t>
  </si>
  <si>
    <t>Dễ dàng ước tính giá trị giao dịch mua, bán ngoại tệ của bạn như 1 triệu Won, 5 triệu Won bằng bao nhiêu tiền Việt Nam theo tỷ giá mới nhất với công cụ chuyển đổi tiền tệ của Techcombank.</t>
  </si>
  <si>
    <t>Thêm dòng sau đoạn: «Xem thêm: 1000 Won bằng bao nhiêu tiền Việt»</t>
  </si>
  <si>
    <t>1.4. Tiền mặt</t>
  </si>
  <si>
    <t>Mặc dù thẻ và thanh toán điện tử được sử dụng rộng rãi, tiền mặt bằng Won Hàn Quốc vẫn cần thiết trong một số tình huống khi đu du lịch như:</t>
  </si>
  <si>
    <t>Thêm dòng sau đoạn: «Xem thêm: 1000 Won bằng bao nhiêu tiền Việt theo tỷ giá hôm nay»</t>
  </si>
  <si>
    <t>Đặt sau danh sách liệt kê</t>
  </si>
  <si>
    <t>5.2. Gửi tiền Trung Quốc về nước nhanh chóng</t>
  </si>
  <si>
    <t>Biết chính xác 1000 Tệ bằng bao nhiêu tiền Việt giúp bạn chủ động hơn khi đổi tiền hoặc thanh toán bằng ngoại tệ.</t>
  </si>
  <si>
    <t>3.2. Nắm rõ biểu phí khi sử dụng thẻ thanh toán quốc tế</t>
  </si>
  <si>
    <t>Phí giao dịch ngoại tệ: Vì tài khoản thanh toán của bạn là tiền Việt (VND), nên khi bạn chi tiêu bằng USD, EUR hay JPY, ngân hàng sẽ cần thực hiện quy đổi ngoại tệ để trừ tiền vào tài khoản.</t>
  </si>
  <si>
    <t>Thêm ngay sau đoạn này: «Ví dụ, khi chi tiêu tại Hàn Quốc, bạn có thể tham khảo 1000 Won bằng bao nhiêu tiền Việt để ước tính số tiền bị trừ.»</t>
  </si>
  <si>
    <t>6.2. Gửi tiền EURO về nước nhanh chóng</t>
  </si>
  <si>
    <t>Techcombank đã cung cấp giải pháp Nhận tiền quốc tế linh hoạt để người Việt trong nước có nhận kiều hối từ người thân ở nước ngoài một cách trọn vẹn.</t>
  </si>
  <si>
    <t>Bôi đen cụm «nhận kiều hối» trong câu trên, gắn link.</t>
  </si>
  <si>
    <t>6. Cách nhận tiền từ Singapore về Việt Nam</t>
  </si>
  <si>
    <t>Để nhận kiều hối từ Singapore, khách hàng có thể chọn các kênh hợp pháp như:</t>
  </si>
  <si>
    <t>Để đáp ứng nhu cầu nhận tiền từ nước ngoài, Techcombank đã cung cấp giải pháp Nhận tiền quốc tế linh hoạt để người Việt trong nước có nhận kiều hối từ người thân ở nước ngoài một cách trọn vẹn.</t>
  </si>
  <si>
    <t>6.2. Gửi Đô Úc về nước nhanh chóng</t>
  </si>
  <si>
    <t>Chọn thời điểm giao dịch hợp lý: Khi chuyển đổi ngoại tệ hoặc nhận kiều hối, nên theo dõi xu hướng thị trường để chọn thời điểm tỷ giá tốt;</t>
  </si>
  <si>
    <t>1. Tỷ giá là gì? Tác động của tỷ giá đến giao dịch ngoại tệ</t>
  </si>
  <si>
    <t>Nếu tỷ giá có lợi (ví dụ: ngoại tệ tăng giá khi bạn là người nhận kiều hối hoặc xuất khẩu) , bạn sẽ nhận được giá trị quy đổi cao hơn, tăng lợi ích thực nhận</t>
  </si>
  <si>
    <t>Người nhận kiều hối có thể thấy thu nhập quy đổi giảm, trong khi người thanh toán chi phí du học, du lịch hay điều trị y tế ở nước ngoài…</t>
  </si>
  <si>
    <t>4. Lưu ý khi nhận tiền Western Union</t>
  </si>
  <si>
    <t>Ngoài ra, khi sử dụng dịch vụ nhận tiền từ nước ngoài, bạn nên tìm hiểu trước các quy định của pháp luật để tránh những rắc rối không mong muốn.</t>
  </si>
  <si>
    <t>Bôi đen cụm «nhận tiền từ nước ngoài» trong câu trên, gắn link.</t>
  </si>
  <si>
    <t>Đoạn có trích nghị định – chỉ bôi đen ở câu đầu, không sửa câu</t>
  </si>
  <si>
    <t>5.2. Gửi tiền USD về nước nhanh chóng</t>
  </si>
  <si>
    <t>Để đáp ứng nhu cầu nhận tiền từ nước ngoài, Techcombank đã cung cấp giải pháp Nhận tiền quốc tế linh hoạt…</t>
  </si>
  <si>
    <t>4. Mã IBAN của các ngân hàng ở Việt Nam</t>
  </si>
  <si>
    <t>Trong các giao dịch chuyển tiền quốc tế từ Việt Nam hoặc nhận tiền từ nước ngoài về Việt Nam, khách hàng sẽ cần cung cấp các thông tin sau:</t>
  </si>
  <si>
    <t>3. Chức năng của mã SWIFT/BIC code</t>
  </si>
  <si>
    <t>Với mã SWIFT/BIC, người gửi, người nhận và giao dịch viên có thể xác định được giao dịch chuyển/nhận tiền quốc tế đến từ ngân hàng nào, quốc gia nào, địa phương và chi nhánh (nếu có).</t>
  </si>
  <si>
    <t>Thêm ngay sau đoạn này: «Bạn có thể tham khảo thêm cách nhận tiền từ nước ngoài về Việt Nam an toàn.»</t>
  </si>
  <si>
    <t>6.1. Chuyển tiền từ Malaysia về Việt Nam</t>
  </si>
  <si>
    <t>Khách hàng có thể chuyển tiền từ Malaysia về Việt Nam qua 2 kênh với Dịch vụ nhận tiền quốc tế Techcombank:</t>
  </si>
  <si>
    <t>Thêm dòng sau đoạn: «Xem thêm: Cách nhận tiền từ nước ngoài về Việt Nam an toàn»</t>
  </si>
  <si>
    <t>Đặt sau danh sách 2 kênh</t>
  </si>
  <si>
    <t>4. Quy trình trong giao dịch chuyển tiền thanh toán quốc tế</t>
  </si>
  <si>
    <t>Người thụ hưởng (Beneficiary): Là người nhận tiền, có thể là nhà xuất khẩu, chủ nợ, người nhận vốn đầu tư hoặc người nhận kiều hối, được chỉ định bởi người chuyển tiền.</t>
  </si>
  <si>
    <t>2.2. Gói BusinessOne Plus</t>
  </si>
  <si>
    <t>4. Phí nhận tiền từ nước ngoài vào tài khoản ngoại tệ</t>
  </si>
  <si>
    <t>Có thể là dòng bảng phí – chỉ gắn link, không sửa chữ</t>
  </si>
  <si>
    <t>6. Cách chuyển tiền từ nước ngoài về Việt Nam với Techcombank</t>
  </si>
  <si>
    <t>Hiện nay, Techcombank đang triển khai 2 kênh nhận tiền từ nước ngoài về Việt Nam:</t>
  </si>
  <si>
    <t>Sửa câu thành: «Hiện nay, Techcombank đang triển khai 2 kênh nhận kiều hối, nhận tiền từ nước ngoài về Việt Nam:»</t>
  </si>
  <si>
    <t>1. Thanh toán quốc tế là gì?</t>
  </si>
  <si>
    <t>Ví dụ: Khi một doanh nghiệp Việt Nam nhập khẩu máy móc từ Nhật Bản, họ phải thực hiện nghĩa vụ thanh toán bằng ngoại tệ thông qua ngân hàng.</t>
  </si>
  <si>
    <t>Thêm ngay sau đoạn này: «Với cá nhân, bạn có thể tham khảo cách nhận tiền từ nước ngoài về Việt Nam an toàn.»</t>
  </si>
  <si>
    <t>Việc nắm rõ thủ tục chuyển tiền ra nước ngoài không chỉ giúp giao dịch diễn ra suôn sẻ mà còn đảm bảo tuân thủ đầy đủ quy định pháp lý.</t>
  </si>
  <si>
    <t>Thêm ngay sau đoạn này: «Ngược lại, nếu cần nhận tiền từ nước ngoài, bạn có thể tham khảo hướng dẫn riêng cho chiều giao dịch này.»</t>
  </si>
  <si>
    <t>3. Hướng dẫn chuyển tiền quốc tế trên Techcombank Mobile</t>
  </si>
  <si>
    <t>Việc gửi tiền sang nước ngoài giờ đây trở nên dễ dàng và minh bạch hơn bao giờ hết với Techcombank Mobile.</t>
  </si>
  <si>
    <t>Thêm ngay sau đoạn này: «Với chiều ngược lại, bạn có thể tham khảo cách nhận tiền từ nước ngoài về Việt Nam an toàn.»</t>
  </si>
  <si>
    <t>2.1. Với ngoại tệ là tiền mặt</t>
  </si>
  <si>
    <t>Như vậy, Việt Nam không giới hạn số tiền mặt tối đa được mang theo khi đi du lịch nước ngoài, tuy nhiên sẽ cần khai báo Hải quan nếu mang số tiền mặt trên mức quy định.</t>
  </si>
  <si>
    <t>Thêm ngay sau đoạn này: «Ở chiều ngược lại, nếu có người thân ở nước ngoài gửi tiền về, bạn có thể tham khảo cách nhận tiền từ nước ngoài về Việt Nam an toàn.»</t>
  </si>
  <si>
    <t>Chủ đề hơi lệch (chiều tiền về)</t>
  </si>
  <si>
    <t>2. Phân biệt thẻ ghi nợ nội địa và thẻ ghi nợ quốc tế</t>
  </si>
  <si>
    <t>Như vậy, thẻ ghi nợ quốc tế sẽ phù hợp hơn với những người thường xuyên đi du lịch, công tác, muốn trải nghiệm các dịch vụ tiện ích và ưu đãi hấp dẫn tại nước ngoài.</t>
  </si>
  <si>
    <t>Thêm ngay sau đoạn này: «Với khách hàng có người thân ở nước ngoài, có thể tìm hiểu thêm cách nhận tiền từ nước ngoài về tài khoản ngân hàng tại Việt Nam.»</t>
  </si>
  <si>
    <t>Nhiều người dùng hiện nay có nhu cầu chi tiêu, mua sắm trong những chuyến đi nước ngoài nhưng chưa biết cách đăng ký thẻ thanh toán quốc tế.</t>
  </si>
  <si>
    <t>Thêm ngay sau đoạn này: «Bên cạnh chi tiêu, nhiều khách hàng cũng quan tâm đến cách nhận tiền từ nước ngoài về tài khoản tại Việt Nam.»</t>
  </si>
  <si>
    <t>3. Tư vấn chuyên sâu từ chuyên gia tài chính di trú</t>
  </si>
  <si>
    <t>Chuyển tiền định cư là bước quan trọng trong hành trình xây dựng cuộc sống ở một quốc gia mới.</t>
  </si>
  <si>
    <t>Thêm ngay sau đoạn này: «Ngược lại, khi cần chuyển tiền về cho gia đình, bạn có thể tham khảo cách nhận tiền từ nước ngoài về Việt Nam.»</t>
  </si>
  <si>
    <t>Bài về chuyển đi, trang đích về nhận về</t>
  </si>
  <si>
    <t>1. Ngoại tệ là gì?</t>
  </si>
  <si>
    <t>Ngoại tệ đóng vai trò quan trọng trong thương mại quốc tế, đầu…</t>
  </si>
  <si>
    <t>Thêm ngay sau đoạn này: «Nếu có người thân ở nước ngoài, bạn có thể tham khảo cách nhận tiền từ nước ngoài về Việt Nam an toàn.»</t>
  </si>
  <si>
    <t>3. Nên làm thẻ visa hay nội địa?</t>
  </si>
  <si>
    <t>Người thường xuyên thanh toán quốc tế, đi nước ngoài hoặc muốn tận dụng tối đa tiện ích có thể ưu tiên mở thẻ Visa .</t>
  </si>
  <si>
    <t>Thêm dòng sau đoạn: «Xem thêm: cách chuyển và nhận tiền từ nước ngoài về Việt Nam»</t>
  </si>
  <si>
    <t xml:space="preserve">3. Chuẩn bị hồ sơ cá nhân, chứng minh tài chính và giấy tờ quan Xây dựng kế hoạch quản lý </t>
  </si>
  <si>
    <t>Trước khi định cư, bạn nên rà soát lại toàn bộ danh mục tài sản hiện có, bao gồm tiền mặt, tiền gửi, bất động sản, khoản đầu tư, nguồn thu tại Việt Nam và kế hoạch chi tiêu tại châu Âu.</t>
  </si>
  <si>
    <t>Thêm ngay sau đoạn này: «Với các nguồn thu phát sinh giữa hai nơi, bạn có thể tìm hiểu thêm cách chuyển và nhận tiền từ nước ngoài về Việt Nam an toàn.»</t>
  </si>
  <si>
    <t>… chính hữu ích khi du lịch quốc tế, giúp bạn dễ dàng thanh toán mà không cần mang theo nhiều tiền mặt.</t>
  </si>
  <si>
    <t>Thêm ngay sau đoạn này: «Nếu vẫn cần mang theo tiền mặt, bạn có thể tham khảo đổi tiền đô ở đâu để chọn kênh an toàn, tỷ giá tốt.»</t>
  </si>
  <si>
    <t>Đoạn đổi ngoại tệ đã dùng cho link khác cùng bài</t>
  </si>
  <si>
    <t>5.3. Đổi VND sang USD online, nhận nhiều ưu đãi</t>
  </si>
  <si>
    <t>Việc nắm rõ mệnh giá tiền Đô, tỷ giá quy đổi tiền Đô sang tiền Việt và các kênh đổi – chuyển tiền hợp pháp sẽ giúp bạn giao dịch an toàn và tiết kiệm chi phí khi đến Thái Lan.</t>
  </si>
  <si>
    <t>Thêm ngay sau đoạn này: «Nếu cần đổi tiền mặt, bạn có thể tham khảo đổi tiền đô ở đâu để chọn kênh an toàn, uy tín.»</t>
  </si>
  <si>
    <t>Câu gốc nhắc 'Thái Lan' – có thể lỗi biên tập, nên soát lại</t>
  </si>
  <si>
    <t>4. Kinh nghiệm đổi tiền Malaysia ở đâu tốt?</t>
  </si>
  <si>
    <t>Bạn nên đổi tiền tại các ngân hàng uy tín vì đây là kênh an toàn và minh bạch.</t>
  </si>
  <si>
    <t>Thêm ngay sau đoạn này: «Nếu mang theo USD, bạn có thể tham khảo đổi tiền đô ở đâu an toàn, tỷ giá tốt.»</t>
  </si>
  <si>
    <t>3. Các yếu tố ảnh hưởng đến phí chuyển đổi ngoại tệ</t>
  </si>
  <si>
    <t>Đơn vị cung cấp dịch vụ: Tỷ giá tại ngân hàng, các công ty công nghệ tài chính và quầy đổi tiền ở sân bay/trung tâm du lịch sẽ khác nhau</t>
  </si>
  <si>
    <t>Thêm dòng sau đoạn: «Xem thêm: Đổi tiền đô ở đâu an toàn, tỷ giá tốt»</t>
  </si>
  <si>
    <t>5.1. Cách đổi tiền hiệu quả</t>
  </si>
  <si>
    <t>Đổi tại Malaysia: Nếu bạn chưa kịp đổi tiền, hãy mang theo Đô la Mỹ (USD) để có tỷ giá tốt khi đổi sang Ringgit…</t>
  </si>
  <si>
    <t>Thêm ngay sau đoạn này: «Nếu chưa có sẵn USD, bạn có thể tham khảo đổi USD ở đâu để có tỷ giá tốt và an toàn.»</t>
  </si>
  <si>
    <t>Tỷ giá cạnh tranh và biểu phí công khai: Các ngân hàng thương mại lớn thường cung cấp tỷ giá cạnh tranh hơn.</t>
  </si>
  <si>
    <t>Thêm ngay sau đoạn này: «Nếu cần mua ngoại tệ tiền mặt, bạn có thể tham khảo đổi tiền đô ở đâu để có tỷ giá tốt.»</t>
  </si>
  <si>
    <t>Như vậy, Western Union là một dịch vụ chuyển tiền quốc tế đáng tin cậy và tiện lợi, phù hợp với nhu cầu của nhiều người dùng.</t>
  </si>
  <si>
    <t>Thêm ngay sau đoạn này: «Nếu cần đổi sang ngoại tệ tiền mặt, bạn có thể tham khảo đổi tiền đô ở đâu an toàn, tỷ giá tốt.»</t>
  </si>
  <si>
    <t>Việc nắm rõ mệnh giá tiền Singapore , tỷ giá quy đổi và kênh đổi – chuyển tiền hợp pháp cũng như đổi tiền Singapore ở đâu? sẽ giúp bạn giao dịch thuận tiện…</t>
  </si>
  <si>
    <t>Thêm ngay sau đoạn này: «Nếu cần đổi đô la Mỹ, bạn có thể tham khảo thêm đổi tiền đô ở đâu để chọn kênh uy tín.»</t>
  </si>
  <si>
    <t>2. Gợi ý các cách thanh toán tối ưu khi mua sắm tại Thái Lan</t>
  </si>
  <si>
    <t>Tiền mặt: Chi tiêu tại chợ đêm, quán ăn nhỏ, phương tiện địa phương hoặc điểm bán chưa hỗ trợ thẻ.</t>
  </si>
  <si>
    <t>Thêm ngay sau đoạn này: «Nếu mang theo USD, bạn có thể tham khảo đổi tiền đô ở đâu để có tỷ giá tốt.»</t>
  </si>
  <si>
    <t>Bài nói về Baht, anchor về USD</t>
  </si>
  <si>
    <t>3.2. Hiểu đúng về tỷ giá hối đoái và phí chuyển tiền</t>
  </si>
  <si>
    <t>Tỷ giá USD/VND có thể khác nhau đáng kể giữa các ngân hàng và dịch vụ chuyển tiền, thậm chí thay đổi liên tục trong ngày.</t>
  </si>
  <si>
    <t>Thêm ngay sau đoạn này: «Nếu người nhận cần đổi USD tiền mặt, có thể tham khảo đổi tiền đô ở đâu để được tỷ giá tốt.»</t>
  </si>
  <si>
    <t>Vay tiêu dùng tín chấp trả góp : Dành cho khách hàng không có tài sản đảm bảo, với hạn mức lên đến 1 tỷ VND và thời gian vay linh hoạt từ 12 đến 60 tháng…</t>
  </si>
  <si>
    <t>Thêm dòng sau đoạn: «Xem thêm: vay 1 tỷ mỗi tháng trả bao nhiêu»</t>
  </si>
  <si>
    <t>Đoạn liệt kê có số liệu – dùng Xem thêm</t>
  </si>
  <si>
    <t>1. Lợi ích của việc vay ngân hàng mua nhà</t>
  </si>
  <si>
    <t>Giảm tải áp lực tiền thuê nhà: … và chi phí thuê nhà có thể bù đắp được một phần vào tiền lãi vay ngân hàng mỗi tháng…</t>
  </si>
  <si>
    <t>Thêm ngay sau đoạn này: «Để hình dung rõ hơn, bạn có thể tham khảo vay ngân hàng 1 tỷ mỗi tháng trả bao nhiêu theo từng thời hạn vay.»</t>
  </si>
  <si>
    <t>4.1. Vay 20 triệu VND mỗi tháng trả bao nhiêu tiền lãi?</t>
  </si>
  <si>
    <t>Bạn sẽ trả một khoản tiền cố định mỗi tháng, ngoại trừ tháng cuối trong thời hạn vay.</t>
  </si>
  <si>
    <t>Thêm ngay sau đoạn này: «Với khoản vay lớn hơn, bạn có thể tham khảo vay 1 tỷ mỗi tháng trả bao nhiêu.»</t>
  </si>
  <si>
    <t>Vay mua nhà : Vay mua nhà dự án, nhà đất có sổ đỏ trả góp tới 35 năm…</t>
  </si>
  <si>
    <t>Thêm ngay sau đoạn này: «Nếu đang cân nhắc khoản vay lớn, bạn có thể tham khảo vay 1 tỷ mỗi tháng trả bao nhiêu để lên kế hoạch trả nợ.»</t>
  </si>
  <si>
    <t>4. Hướng dẫn trả góp khoản vay trên Techcombank Mobile</t>
  </si>
  <si>
    <t>Bạn sẽ trả một khoản tiền cố định mỗi tháng, ngoại trừ tháng cuối cùng trong thời hạn vay.</t>
  </si>
  <si>
    <t>3. Cách tính lãi mà khách hàng phải trả khi vay thế chấp</t>
  </si>
  <si>
    <t>Với phương thức trả nợ niên kim, ngân hàng sẽ chia đều số tiền cả gốc lẫn lãi trong các năm và khách hàng sẽ trả một khoản tương đối cố định hàng tháng…</t>
  </si>
  <si>
    <t>Thêm ngay sau đoạn này: «Để hình dung cụ thể, bạn có thể tham khảo ví dụ vay ngân hàng 1 tỷ mỗi tháng trả bao nhiêu theo từng thời hạn vay.»</t>
  </si>
  <si>
    <t>5. Cần lưu ý gì khi vay thêm nếu đang vay trả góp?</t>
  </si>
  <si>
    <t>Kiểm tra tổng nghĩa vụ thanh toán: Tỷ lệ thanh toán tín dụng hàng tháng không nên vượt quá 40% thu nhập để đảm bảo khả năng chi trả ổn định</t>
  </si>
  <si>
    <t>Thêm ngay sau đoạn này: «Để hình dung rõ hơn nghĩa vụ trả nợ, bạn có thể tham khảo ví dụ vay ngân hàng 1 tỷ mỗi tháng trả bao nhiêu.»</t>
  </si>
  <si>
    <t>Mỗi ngân hàng sẽ có quy định riêng về điều kiện, hồ sơ và thủ tục mua ô tô trả góp.</t>
  </si>
  <si>
    <t>Thêm ngay sau đoạn này: «Với khoản vay lớn, bạn có thể tham khảo ví dụ vay ngân hàng 1 tỷ mỗi tháng trả bao nhiêu để ước tính áp lực trả nợ.»</t>
  </si>
  <si>
    <t>2. Mua vé máy bay giá rẻ từ các nền tảng du lịch trực tuyến</t>
  </si>
  <si>
    <t>Traveloka: Mã giảm giá theo tháng, ưu đãi cho khách hàng mới, Flash Sale, giảm giá khi thanh toán bằng thẻ ngân hàng hoặc ví điện tử</t>
  </si>
  <si>
    <t>Thêm dòng sau đoạn: «Xem thêm: cách nhận voucher Traveloka với Techcombank OneU»</t>
  </si>
  <si>
    <t>3. Hướng dẫn sử dụng voucher The Pizza Company</t>
  </si>
  <si>
    <t>Khách hàng đổi điểm lấy voucher trên Techcombank Mobile và xuất trình cho nhân viên thu ngân tại The Pizza Company để sử dụng ưu đãi.</t>
  </si>
  <si>
    <t>Thêm ngay sau đoạn này: «Bạn cũng có thể tham khảo cách lấy voucher Traveloka trên Techcombank OneU để tiết kiệm khi đặt vé, khách sạn.»</t>
  </si>
  <si>
    <t>3. Hướng dẫn sử dụng voucher Co.opmart</t>
  </si>
  <si>
    <t>Khách hàng đổi điểm lấy voucher trên Techcombank Mobile/app Techcombank OneU, sau đó đến cửa hàng xuất trình voucher cho thu ngân trước khi thanh toán để sử dụng ưu đãi.</t>
  </si>
  <si>
    <t>Thêm ngay sau đoạn này: «Bạn cũng có thể tham khảo cách lấy voucher Traveloka bằng U-Point cho các chuyến đi.»</t>
  </si>
  <si>
    <t>3. Hướng dẫn sử dụng voucher Jollibee</t>
  </si>
  <si>
    <t>Khách hàng đổi điểm lấy voucher trên Techcombank Mobile/app Techcombank OneU và xuất trình cho nhân viên thu ngân tại Jollibee để sử dụng ưu đãi.</t>
  </si>
  <si>
    <t>Thêm ngay sau đoạn này: «Bạn cũng có thể tham khảo cách lấy voucher Traveloka với các bước tương tự.»</t>
  </si>
  <si>
    <t>3. Hướng dẫn sử dụng voucher Katinat</t>
  </si>
  <si>
    <t>Khách hàng đổi điểm lấy voucher trên Techcombank Mobile/app Techcombank OneU và xuất trình cho nhân viên thu ngân tại Katinat để sử dụng ưu đãi.</t>
  </si>
  <si>
    <t>2. Cách lấy voucher Kichi Kichi trên Techcombank Mobile và OneU</t>
  </si>
  <si>
    <t>Ngoài lấy voucher trên Techcombank Mobile, khách hàng có thể lấy voucher Kichi Kichi trên app OneU bằng cách:</t>
  </si>
  <si>
    <t>Thêm dòng sau đoạn: «Xem thêm: cách lấy voucher Traveloka trên Techcombank OneU»</t>
  </si>
  <si>
    <t>Đặt sau danh sách các bước</t>
  </si>
  <si>
    <t>2. Hướng dẫn lấy mã giảm giá Shopee trên Techcombank Mobile và OneU</t>
  </si>
  <si>
    <t>Thỏa sức săn sale Shopee, đổi voucher mua sắm, giải trí, đặt xe Xanh SM hay đổi dặm Vietnam Airlines… cùng lúc tại mục Techcombank OneU trên Techcombank Mobile và ứng dụng OneU.</t>
  </si>
  <si>
    <t>Thêm ngay sau đoạn này: «Với nhu cầu du lịch, bạn có thể tham khảo thêm cách lấy voucher Traveloka trên Techcombank OneU.»</t>
  </si>
  <si>
    <t>3.1. Hướng dẫn lấy voucher Starbucks</t>
  </si>
  <si>
    <t>Ngoài lấy voucher trên Techcombank Mobile, khách hàng có thể lấy voucher Starbucks trên app Techcombank OneU bằng cách:</t>
  </si>
  <si>
    <t>Đặt sau các bước – dùng Xem thêm</t>
  </si>
  <si>
    <t>7. Nhận ngay voucher mua hàng cửa hàng tiện lợi trên Techcombank Mobile và OneU</t>
  </si>
  <si>
    <t>Với chương trình khách hàng thân thiết Techcombank OneU , khách hàng có thể đổi điểm tích lũy U-Point để nhận voucher mua sắm tại các cửa hàng tiện lợi…</t>
  </si>
  <si>
    <t>Thêm ngay sau đoạn này: «Ngoài voucher cửa hàng tiện lợi, bạn cũng có thể tham khảo cách lấy voucher Traveloka để tiết kiệm khi đi du lịch.»</t>
  </si>
  <si>
    <t>2. Hướng dẫn lấy voucher KFC trên Techcombank Mobile và OneU</t>
  </si>
  <si>
    <t>Ngoài lấy voucher trên Techcombank Mobile, khách hàng có thể lấy voucher KFC trên app OneU bằng cách:</t>
  </si>
  <si>
    <t>Hãy đăng nhập Techcombank OneU và đổi voucher ngay hôm nay.</t>
  </si>
  <si>
    <t>Thêm ngay sau đoạn này: «Bên cạnh đó, bạn có thể tham khảo cách lấy voucher Traveloka để dùng U-Point cho các chuyến đi.»</t>
  </si>
  <si>
    <t>2. Hướng dẫn lấy voucher Grab</t>
  </si>
  <si>
    <t>Khách hàng có thể lấy voucher Grab đồng thời trên Techcombank Mobile hoặc app Techcombank OneU.</t>
  </si>
  <si>
    <t>Thêm ngay sau đoạn này: «Tương tự, bạn có thể tham khảo cách lấy voucher Traveloka để tiết kiệm cho các chuyến đi.»</t>
  </si>
  <si>
    <t>2.2. Cách 2: Đổi U-Point nhận voucher trên app Techcombank OneU</t>
  </si>
  <si>
    <t>Cách lấy voucher TOUS les JOURS trên Techcombank OneU.</t>
  </si>
  <si>
    <t>Thêm dòng sau đoạn: «Xem thêm: cách lấy voucher Traveloka với Techcombank OneU»</t>
  </si>
  <si>
    <t>2. Cách lấy voucher Xanh SM trên Techcombank Mobile và OneU</t>
  </si>
  <si>
    <t>Ngoài lấy voucher trên Techcombank Mobile, khách hàng có thể lấy voucher Xanh SM trên app OneU bằng cách:</t>
  </si>
  <si>
    <t>2.2. Đặc quyền tích điểm, đổi thưởng, nhận ưu đãi từ hơn 150 đối tác</t>
  </si>
  <si>
    <t>Đặc biệt, vào 12:00 trưa ngày 28 hàng tháng, chương trình Flash Deal sẽ diễn ra với số lượng giới hạn các voucher… Annam Gourmet, Traveloka…</t>
  </si>
  <si>
    <t>Thêm dòng sau đoạn: «Xem thêm: Cách nhận voucher Traveloka với Techcombank OneU»</t>
  </si>
  <si>
    <t>4. Đặt vé máy bay qua nền tảng du lịch trực tuyến</t>
  </si>
  <si>
    <t>Đặt vé qua nền tảng du lịch trực tuyến (OTA) như Agoda, Traveloka, Booking.com, Trip.com… giúp người dùng dễ dàng so sánh giá vé của nhiều hãng hàng không…</t>
  </si>
  <si>
    <t>Thêm ngay sau đoạn này: «Khi đặt vé qua Traveloka, bạn có thể tận dụng voucher Traveloka từ Techcombank OneU để tiết kiệm thêm chi phí.»</t>
  </si>
  <si>
    <t>2.4. Kiểm tra các ưu đãi du lịch của thẻ ngân hàng</t>
  </si>
  <si>
    <t>Trước chuyến đi, hãy dành vài phút truy cập website hoặc ứng dụng ngân hàng để kiểm tra danh sách ưu đãi hiện hành, với hàng loạt voucher giảm giá đặt vé máy bay, phòng khách sạn hay ưu đãi độc quyền…</t>
  </si>
  <si>
    <t>Thêm ngay sau đoạn này: «Chẳng hạn, chủ thẻ có thể săn voucher Traveloka để tiết kiệm chi phí đặt vé và phòng.»</t>
  </si>
  <si>
    <t>5. Mẹo đặt vé xem phim giá rẻ - tiết kiệm tối đa chi phí</t>
  </si>
  <si>
    <t>Hiện nay, Techcombank OneU đang triển khai chương trình đổi voucher xem phim CGV trị giá 100,000 VND, giúp khách hàng dễ dàn…</t>
  </si>
  <si>
    <t>Thêm ngay sau đoạn này: «Ngoài vé xem phim, khách hàng cũng có thể đổi voucher Traveloka trên OneU cho các chuyến đi.»</t>
  </si>
  <si>
    <t>3. Hướng dẫn chủ quán đưa cửa hàng lên bản đồ du lịch trên app Techcombank OneU</t>
  </si>
  <si>
    <t>Bản đồ du lịch trên app Techcombank OneU giúp khách hàng khám phá điểm đến thuận tiện hơn, tối ưu chi tiêu với voucher, U-Point và thanh toán không tiền mặt.</t>
  </si>
  <si>
    <t>Thêm ngay sau đoạn này: «Khi đặt vé hoặc phòng cho chuyến đi, bạn có thể tham khảo thêm voucher Traveloka để tiết kiệm chi phí.»</t>
  </si>
  <si>
    <t>Ưu đãi đa lĩnh vực như du lịch, thời trang, giải trí, mua sắm online, mua sắm tại cửa hàng… tại nhiều thương hiệu lớn như Shopee, Tiktokshop, Lazada, Vietnam Airlines, Trip.com, Traveloka, Agoda,...</t>
  </si>
  <si>
    <t>Thêm ngay sau đoạn này: «Bạn có thể tham khảo cách nhận voucher Traveloka với Techcombank OneU.»</t>
  </si>
  <si>
    <t>4.4. Mở rộng ưu đãi thông qua hệ sinh thái đối tác</t>
  </si>
  <si>
    <t>Di chuyển: Trip, Traveloka, Agoda, Grab, Vietnam Airlines, China Airlines…</t>
  </si>
  <si>
    <t>Thêm ngay sau đoạn này: «Chẳng hạn, bạn có thể dùng điểm U-Point để đổi voucher Traveloka khi đặt vé hoặc phòng khách sạn.»</t>
  </si>
  <si>
    <t>3. Khám phá đặc sản Hải Phòng với voucher từ Techcombank OneU</t>
  </si>
  <si>
    <t>Lưu lại danh sách trên và truy cập Techcombank OneU để khám phá thêm nhiều ưu đãi ăn uống, giúp chuyến food tour Hải Phòng vừa ngon miệng vừa tiết kiệm hơn.</t>
  </si>
  <si>
    <t>Thêm ngay sau đoạn này: «Nếu đang lên kế hoạch đến Hải Phòng, bạn cũng có thể dùng voucher Traveloka để đặt vé và phòng tiết kiệm hơn.»</t>
  </si>
  <si>
    <t>Đừng bỏ lỡ cơ hội đổi điểm U-Point nhận voucher giảm đến 200K để tận hưởng bữa tiệc Shang Chi trọn vị hơn, tiện lợi hơn ngay hôm nay cùng Techcombank Mobile.</t>
  </si>
  <si>
    <t>Thêm ngay sau đoạn này: «Ngoài ra, bạn cũng có thể tham khảo cách nhận voucher Traveloka với Techcombank OneU cho các chuyến đi.»</t>
  </si>
  <si>
    <t>Đổi U-Point ngay hôm nay để nhận ưu đãi khi thưởng thức lẩu, nướng và nhiều món ngon tại các thương hiệu thuộc hệ thống Golden Gate.</t>
  </si>
  <si>
    <t>Thêm ngay sau đoạn này: «Ngoài ra, bạn có thể dùng U-Point để đổi voucher Traveloka cho các chuyến du lịch.»</t>
  </si>
  <si>
    <t>Với Techcombank OneU, bạn có thể sử dụng U-Point để đổi mã giảm giá Al Fresco’s giảm đến 150.000 VND, thoải mái thưởng thức pizza, pasta, steak và nhiều món Âu hấp dẫn.</t>
  </si>
  <si>
    <t>Thêm ngay sau đoạn này: «Ngoài Al Fresco’s, bạn cũng có thể tham khảo cách lấy voucher Traveloka để tiết kiệm chi phí du lịch.»</t>
  </si>
  <si>
    <t>Chỉ cần vài thao tác đổi điểm U-Point trên Techcombank Mobile, bạn có thể nhận ngay mã giảm đến 100,000 VND cho mọi dịch vụ từ beDelivery, beFood đến beTran…</t>
  </si>
  <si>
    <t>Thêm ngay sau đoạn này: «Ngoài Be, bạn cũng có thể tham khảo cách lấy voucher Traveloka bằng điểm U-Point.»</t>
  </si>
  <si>
    <t>Chỉ từ 0 U-Point trên Techcombank OneU, khách hàng đã có thể nhận miễn phí đồ uống hoặc đổi mã giảm giá Phê La chỉ bằng vài thao tác.</t>
  </si>
  <si>
    <t>Thêm ngay sau đoạn này: «Ngoài Phê La, bạn cũng có thể tham khảo cách lấy voucher Traveloka để tiết kiệm chi phí du lịch.»</t>
  </si>
  <si>
    <t>2. Hướng dẫn lấy mã giảm giá Green SM trên Techcombank Mobile và OneU</t>
  </si>
  <si>
    <t>Để lấy voucher Green SM với điểm U-Point, khách hàng chỉ cần thực hiện các bước sau:</t>
  </si>
  <si>
    <t>Thêm dòng sau đoạn: «Xem thêm: Cách lấy voucher Traveloka trên Techcombank OneU»</t>
  </si>
  <si>
    <t>Đoạn dẫn vào các bước – đặt Xem thêm sau danh sách bước</t>
  </si>
  <si>
    <t>1. Ưu đãi giảm 30% hoá đơn tại Mr.Eco độc quyền cho khách hàng của Techcombank</t>
  </si>
  <si>
    <t>Techcombank tặng bạn voucher giảm 30% cho bữa ăn tại Mr.Eco Healthy Food.</t>
  </si>
  <si>
    <t>Thêm ngay sau đoạn này: «Ngoài ẩm thực, khách hàng có thể tham khảo cách lấy voucher Traveloka để nhận thêm ưu đãi du lịch.»</t>
  </si>
  <si>
    <t>3. Đặt Xanh SM trên app VNPAY</t>
  </si>
  <si>
    <t>Truy cập Techcombank Mobile, chọn Techcombank OneU để đổi điểm và săn voucher giảm giá – di chuyển xanh, nhận quà liền tay!</t>
  </si>
  <si>
    <t>Thêm ngay sau đoạn này: «Ngoài Xanh SM, bạn cũng có thể tham khảo cách lấy voucher Traveloka bằng điểm U-Point cho các chuyến đi.»</t>
  </si>
  <si>
    <t>6. Hộ kinh doanh cần lưu ý gì khi chuyển từ thuế khoán sang kê khai?</t>
  </si>
  <si>
    <t>Chủ động cập nhật chính sách thuế mới: Các quy định về thuế hộ kinh doanh có thể được điều chỉnh trong từng giai đoạn.</t>
  </si>
  <si>
    <t>Bôi đen cụm «thuế hộ kinh doanh» trong câu trên, gắn link.</t>
  </si>
  <si>
    <t>2.3. Nộp thuế online trên eTax Mobile cho hộ kinh doanh</t>
  </si>
  <si>
    <t>Sau khi hoàn tất tờ khai, hộ kinh doanh cần nắm rõ cách đóng thuế hộ kinh doanh trên eTax Mobile cũng như các phương thức điện tử khác để thực hiện nộp thuế đúng hạn:</t>
  </si>
  <si>
    <t>4.3. Phát hiện thông tin đăng ký thuế bị sai phải làm gì?</t>
  </si>
  <si>
    <t>Kiểm tra thuế hộ kinh doanh giúp chủ hộ theo dõi tình trạng đăng ký thuế, nghĩa vụ thuế và các khoản thuế còn phải nộp.</t>
  </si>
  <si>
    <t>4. Techcombank đồng hành cùng hộ kinh doanh tuân thủ và làm đúng các nghĩa vụ thuế</t>
  </si>
  <si>
    <t>Nắm rõ thời hạn và quy trình kê khai thuế hộ kinh doanh cá thể online sẽ giúp chủ hộ thực hiện đúng nghĩa vụ thuế và tiết kiệm thời gian xử lý thủ tục.</t>
  </si>
  <si>
    <t>Bài viết dưới đây tổng hợp quy định mới nhất về thời hạn đăng ký thuế, mức phạt chậm đăng ký thuế hộ kinh doanh và hướng xử lý khi phát sinh vi phạm.</t>
  </si>
  <si>
    <t>6. Khám phá giải pháp quản lý thuế và dòng tiền từ Techcombank</t>
  </si>
  <si>
    <t>Đăng ký thuế hộ kinh doanh cá thể online không chỉ dừng lại ở việc được cấp mã số thuế mà còn bao gồm nhiều thủ tục quan trọng…</t>
  </si>
  <si>
    <t>1. Nắm vững và cập nhật các quy định thuế mới</t>
  </si>
  <si>
    <t>Chính sách thuế mới hướng tới minh bạch hóa hoạt động kinh doanh, bảo vệ quyền lợi người kinh doanh và giảm thiểu rủi ro pháp lý.</t>
  </si>
  <si>
    <t>Thêm ngay sau đoạn này: «Nếu chưa rõ hộ kinh doanh đóng thuế như thế nào theo quy định mới, bạn có thể tham khảo hướng dẫn tính và kê khai chi tiết.»</t>
  </si>
  <si>
    <t>Nhiều hộ kinh doanh lo ngại phải đóng thuế cao.</t>
  </si>
  <si>
    <t>Thêm ngay sau đoạn này: «Để hiểu rõ hộ kinh doanh đóng thuế như thế nào theo từng mức doanh thu, bạn có thể tham khảo thêm.»</t>
  </si>
  <si>
    <t>1. Truy thu thuế hộ kinh doanh là gì?</t>
  </si>
  <si>
    <t>Thời gian gần đây, vấn đề truy thu thuế hộ kinh doanh đang nhận được nhiều sự quan tâm vì tâm lý lo ngại doanh thu tính thuế tăng khi chuyển đổi từ phương pháp khoán sang kê khai.</t>
  </si>
  <si>
    <t>Thêm ngay sau đoạn này: «Để hiểu rõ nghĩa vụ của mình, chủ hộ nên nắm các quy định về thuế hộ kinh doanh theo phương pháp kê khai.»</t>
  </si>
  <si>
    <t>7.3. Mất bao lâu để đóng mã số thuế hộ kinh doanh?</t>
  </si>
  <si>
    <t>Nắm rõ quy định về đóng mã số thuế hộ kinh doanh sẽ giúp chủ hộ chủ động chuẩn bị hồ sơ, hoàn thành đầy đủ nghĩa vụ thuế và thực hiện thủ tục đúng quy định.</t>
  </si>
  <si>
    <t>Thêm ngay sau đoạn này: «Bạn có thể tham khảo thêm cách tính thuế hộ kinh doanh để kê khai và nộp thuế đúng quy định.»</t>
  </si>
  <si>
    <t>6.3. Chấm dứt hoạt động hộ kinh doanh thì mã số thuế cá nhân có bị chấm dứt không?</t>
  </si>
  <si>
    <t>Bên cạnh việc tuân thủ quy định về thuế, chủ hộ cũng nên chủ động ứng dụng các công cụ quản lý tài chính phù hợp…</t>
  </si>
  <si>
    <t>Sửa câu thành: «Bên cạnh việc tuân thủ quy định về thuế hộ kinh doanh, chủ hộ cũng nên chủ động ứng dụng các công cụ quản lý tài chính phù hợp…»</t>
  </si>
  <si>
    <t>5. Quản lý thuế bằng phần mềm dễ dàng, hộ kinh doanh tập trung buôn bán với “trợ thủ” đắc</t>
  </si>
  <si>
    <t>Việc chủ động kiểm tra và cập nhật thông tin thuế không chỉ giúp thực hiện đúng nghĩa vụ tài chính mà còn hạn chế các sai sót trong quá trình xuất hóa đơn, kê khai…</t>
  </si>
  <si>
    <t>Thêm ngay sau đoạn này: «Chủ hộ cũng nên nắm rõ cách tính thuế hộ kinh doanh để kê khai chính xác.»</t>
  </si>
  <si>
    <t>3.1. Trường hợp đăng ký trực tiếp</t>
  </si>
  <si>
    <t>Trường hợp hồ sơ đủ điều kiện: Trong vòng 03 ngày làm việc kể từ ngày nhận hồ sơ, cơ quan đăng ký kinh doanh cấp xã cấp Giấy chứng nhận đăng ký hộ kinh doanh và gửi thông báo về cơ quan thuế quản lý…</t>
  </si>
  <si>
    <t>Thêm dòng sau đoạn: «Xem thêm: Cách kê khai và nộp thuế hộ kinh doanh»</t>
  </si>
  <si>
    <t>Đoạn thủ tục – dùng Xem thêm</t>
  </si>
  <si>
    <t>2. Hướng dẫn cách tạo mã QR ngân hàng cho hộ kinh doanh</t>
  </si>
  <si>
    <t>Mã QR cửa hàng của Techcombank giúp chủ hộ kinh doanh, chủ cửa hàng, chủ shop online dễ dàng phân tách, theo dõi, quản lý dòng tiền kinh doanh một cách thuận tiện hơn.</t>
  </si>
  <si>
    <t>Thêm ngay sau đoạn này: «Việc tách bạch dòng tiền cũng giúp chủ hộ thuận tiện hơn khi kê khai thuế hộ kinh doanh.»</t>
  </si>
  <si>
    <t>2. Minh bạch hóa nghĩa vụ thuế và tài chính</t>
  </si>
  <si>
    <t>Khác với cơ chế thuế khoán của hộ kinh doanh, doanh nghiệp thực hiện kê khai thuế dựa trên doanh thu, chi phí và lợi nhuận thực tế.</t>
  </si>
  <si>
    <t>Sửa câu thành: «Khác với cơ chế thuế khoán áp dụng cho thuế hộ kinh doanh, doanh nghiệp thực hiện kê khai thuế dựa trên doanh thu, chi phí và lợi nhuận thực tế.»</t>
  </si>
  <si>
    <t>4. Techcombank đồng hành cùng doanh nghiệp mới – Ưu đãi toàn diện trong giai đoạn chuyển đ</t>
  </si>
  <si>
    <t>Chuyển đổi từ hộ kinh doanh sang mô hình doanh nghiệp không còn là một lựa chọn xa vời…</t>
  </si>
  <si>
    <t>Thêm ngay sau đoạn này: «Nếu tiếp tục duy trì hộ kinh doanh, bạn nên nắm rõ quy định về thuế hộ kinh doanh mới nhất.»</t>
  </si>
  <si>
    <t>Từ ngày 01/01/2026, hộ kinh doanh và cá nhân kinh doanh sẽ phải nộp thuế dựa trên doanh thu thực tế thay vì khoán thuế.</t>
  </si>
  <si>
    <t>Thêm ngay sau đoạn này: «Bạn có thể tham khảo thêm hướng dẫn tính và kê khai thuế hộ kinh doanh theo doanh thu thực tế.»</t>
  </si>
  <si>
    <t>Đồng thời, giới thiệu thêm giải pháp hỗ trợ quản lý giao dịch và hóa đơn điện tử dành cho hộ kinh doanh nhỏ lẻ.</t>
  </si>
  <si>
    <t>Thêm ngay sau đoạn này: «Bên cạnh hóa đơn, hộ kinh doanh cũng cần nắm rõ cách tính và kê khai thuế hộ kinh doanh.»</t>
  </si>
  <si>
    <t>2.4. An tâm liên kết eTax Mobile nhận thêm ưu đãi</t>
  </si>
  <si>
    <t>Sở hữu tài khoản Hộ kinh doanh Techcombank, khách hàng có thể dễ dàng liên kết eTax hỗ trợ kê khai thuế thuận tiện và chuẩn quy định chỉ với 5 bước:</t>
  </si>
  <si>
    <t>Sửa câu thành: «Sở hữu tài khoản Hộ kinh doanh Techcombank, khách hàng có thể dễ dàng liên kết eTax hỗ trợ kê khai thuế hộ kinh doanh thuận tiện và chuẩn quy định chỉ với 5 bước:»</t>
  </si>
  <si>
    <t>6.2. Chuẩn bị đầy đủ giấy tờ cần thiết khi vay</t>
  </si>
  <si>
    <t>Đảm bảo rằng bạn có đầy đủ các giấy tờ cần thiết như hóa đơn, hợp đồng mua bán; sổ sách ghi chép kinh doanh; bản sao tờ khai thuế, báo cáo tài chính (nếu có) .</t>
  </si>
  <si>
    <t>Thêm ngay sau đoạn này: «Để kê khai đúng, bạn có thể tìm hiểu thêm cách tính thuế hộ kinh doanh theo quy định hiện hành.»</t>
  </si>
  <si>
    <t>2. Quy trình khai báo tài khoản ngân hàng với eTax Mobile</t>
  </si>
  <si>
    <t>Khai báo tài khoản ngân hàng với cơ quan thuế theo thời hạn quy định không chỉ là nghĩa vụ pháp lý bắt buộc, mà còn là cơ sở để hộ kinh doanh chuẩn hóa cách vận hành.</t>
  </si>
  <si>
    <t>Thêm ngay sau đoạn này: «Bên cạnh khai báo tài khoản, hộ kinh doanh cũng cần nắm rõ nghĩa vụ và cách kê khai thuế hộ kinh doanh.»</t>
  </si>
  <si>
    <t>Một sai lầm phổ biến là nhiều chủ hộ kinh doanh vẫn nghĩ nghĩa vụ thuế khi lên doanh nghiệp tương tự như trước đây.</t>
  </si>
  <si>
    <t>Sửa câu thành: «Một sai lầm phổ biến là nhiều chủ hộ kinh doanh vẫn nghĩ nghĩa vụ thuế khi lên doanh nghiệp tương tự như thuế hộ kinh doanh trước đây.»</t>
  </si>
  <si>
    <t>3. Đặc điểm của giấy phép kinh doanh</t>
  </si>
  <si>
    <t>Thời điểm cấp phép: Chỉ được xem xét và cấp sau khi tổ chức, cá nhân đã có Giấy chứng nhận đăng ký doanh nghiệp hoặc Giấy chứng nhận đăng ký hộ kinh doanh.</t>
  </si>
  <si>
    <t>Thêm ngay sau đoạn này: «Sau khi đăng ký hộ kinh doanh, bạn cũng cần tìm hiểu cách tính thuế hộ kinh doanh để kê khai đúng quy định.»</t>
  </si>
  <si>
    <t>5. Bước 5: Lưu trữ – đối soát</t>
  </si>
  <si>
    <t>Việc lưu trữ và đối soát chặt chẽ giúp hộ kinh doanh bảo vệ quyền lợi trong trường hợp thanh kiểm tra thuế, đồng thời nâng cao tính minh bạch tài chính.</t>
  </si>
  <si>
    <t>Thêm ngay sau đoạn này: «Để chủ động hơn, chủ hộ nên nắm rõ cách kê khai và nộp thuế hộ kinh doanh theo quy định mới.»</t>
  </si>
  <si>
    <t>4. Mở Tài khoản Hộ kinh doanh Techcombank - Thuận tiện quản lý dòng tiền, kê khai và tuân</t>
  </si>
  <si>
    <t>Để việc quản lý thu - chi - kê khai thuế minh bạch ngay từ đầu, đồng thời tối ưu hóa các giao dịch nộp thuế điện tử qua eTax Mobile, việc sở hữu một tài khoản chuyên biệt…</t>
  </si>
  <si>
    <t>Sửa câu thành: «Để việc quản lý thu - chi - kê khai thuế hộ kinh doanh minh bạch ngay từ đầu, đồng thời tối ưu hóa các giao dịch nộp thuế điện tử qua eTax Mobile, việc sở hữu một tài khoản chuyên biệt với hệ sinh thái ưu đãi vượt trội là giải pháp hàng đầu dành cho hộ kinh doanh.»</t>
  </si>
  <si>
    <t>3. Nên chọn hộ kinh doanh hay doanh nghiệp?</t>
  </si>
  <si>
    <t>Đăng ký kinh doanh là bước đi quan trọng khẳng định tính hợp pháp cho hoạt động thương mại.</t>
  </si>
  <si>
    <t>Thêm ngay sau đoạn này: «Nếu vẫn duy trì hộ kinh doanh, bạn nên nắm rõ quy định về thuế hộ kinh doanh mới nhất để kê khai đúng.»</t>
  </si>
  <si>
    <t>1.1. Giải pháp quản lý doanh thu All-In-One</t>
  </si>
  <si>
    <t>Techcombank T-Shop - Ứng dụng quản lý bán hàng: … giúp các chủ hộ kinh doanh cùng doanh nghiệp vừa và nhỏ quẳng gánh lo về thuế, tự tin bứt phá doanh thu.</t>
  </si>
  <si>
    <t>Thêm ngay sau đoạn này: «Bạn có thể tìm hiểu thêm cách tính và kê khai thuế hộ kinh doanh theo quy định mới.»</t>
  </si>
  <si>
    <t>4.3. Nghĩa vụ tuân thủ điều kiện kinh doanh ngành nghề có điều kiện</t>
  </si>
  <si>
    <t>Xác thực danh tính, tách bạch tài khoản thanh toán và tuân thủ nghĩa vụ thuế là ba nhóm nghĩa vụ chính người bán online cần lưu ý</t>
  </si>
  <si>
    <t>Thêm ngay sau đoạn này: «Với hộ kinh doanh online, có thể tìm hiểu thêm cách tính và kê khai thuế hộ kinh doanh để thực hiện đúng nghĩa vụ.»</t>
  </si>
  <si>
    <t>3. Thúc đẩy cơ hội phát triển và mở rộng kinh doanh</t>
  </si>
  <si>
    <t>Việc triển khai hóa đơn điện tử đối với hộ kinh doanh không chỉ là yêu cầu pháp lý, mà còn là bước tiến chiến lược trong quá trình chuyên nghiệp hóa hoạt động kinh doanh.</t>
  </si>
  <si>
    <t>Thêm ngay sau đoạn này: «Bên cạnh hóa đơn điện tử, chủ hộ cũng nên nắm rõ cách tính và kê khai thuế hộ kinh doanh để chủ động nghĩa vụ thuế.»</t>
  </si>
  <si>
    <t>6. Quy trình triển khai máy tính tiền như thế nào?</t>
  </si>
  <si>
    <t>Việc nắm vững quy định và có lộ trình chuẩn bị kỹ lưỡng sẽ giúp quá trình chuyển đổi của hộ kinh doanh diễn ra thuận lợi.</t>
  </si>
  <si>
    <t>Thêm ngay sau đoạn này: «Bên cạnh hóa đơn điện tử, hộ kinh doanh cũng cần nắm rõ cách tính và kê khai thuế hộ kinh doanh.»</t>
  </si>
  <si>
    <t>1. Phần mềm xuất hoá đơn điện tử ứng dụng quản lý bán hàng T-Shop</t>
  </si>
  <si>
    <t>Ứng dụng hỗ trợ người dùng quản lý bán hàng, vận hành cửa hàng, xuất hóa đơn điện tử, kê khai thuế và thúc đẩy tăng trưởng kinh doanh trên một nền tảng duy nhất.</t>
  </si>
  <si>
    <t>Thêm ngay sau đoạn này: «Để kê khai đúng, chủ hộ cũng nên nắm rõ cách tính thuế hộ kinh doanh theo quy định hiện hành.»</t>
  </si>
  <si>
    <t>Ứng dụng Techcombank T-Shop giúp các chủ hộ kinh doanh quẳng gánh lo về thuế, tự tin bứt phá doanh thu.</t>
  </si>
  <si>
    <t>Thêm ngay sau đoạn này: «Để chủ động hơn, chủ hộ có thể tìm hiểu thêm cách tính thuế hộ kinh doanh và kê khai theo quy định.»</t>
  </si>
  <si>
    <t>7. Ứng dụng khấu hao trong quản lý tài sản cá nhân</t>
  </si>
  <si>
    <t>Với người kinh doanh nhỏ lẻ, việc tính khấu hao còn giúp đưa chi phí vào sổ sách, giảm gánh nặng thuế và phản ánh đúng lợi nhuận.</t>
  </si>
  <si>
    <t>Sửa câu thành: «Với người kinh doanh nhỏ lẻ, việc tính khấu hao còn giúp đưa chi phí vào sổ sách, giảm gánh nặng thuế hộ kinh doanh và phản ánh đúng lợi nhuận.»</t>
  </si>
  <si>
    <t>Không bắt buộc ở giai đoạn đầu, tuy nhiên doanh nghiệp vẫn nên ghi chép sổ sách thu chi rõ ràng ngay từ đầu để thuận tiện cho việc quản trị tài chính và các nghĩa vụ thuế sau này.</t>
  </si>
  <si>
    <t>Thêm ngay sau đoạn này: «Với hộ kinh doanh, bạn có thể tham khảo thêm cách tính thuế hộ kinh doanh để chủ động kê khai.»</t>
  </si>
  <si>
    <t>Thường xuyên tra cứu nợ thuế giúp hộ kinh doanh chủ động theo dõi nghĩa vụ thuế, kịp thời phát hiện các khoản thuế chưa nộp hoặc tiền chậm nộp phát sinh.</t>
  </si>
  <si>
    <t>Thêm ngay sau đoạn này: «Nếu chưa nắm rõ các loại thuế hộ kinh doanh phải nộp, bạn có thể tìm hiểu thêm trước khi tra cứu.»</t>
  </si>
  <si>
    <t>Sau khi tra cứu, nếu phát hiện còn nghĩa vụ thuế chưa hoàn tất, bạn có thể thực hiện nộp trực tuyến ngay trên hệ thống…</t>
  </si>
  <si>
    <t>Thêm ngay sau đoạn này: «Nếu bạn là chủ hộ kinh doanh, có thể tham khảo thêm cách tính và kê khai thuế hộ kinh doanh.»</t>
  </si>
  <si>
    <t>eTax mobile là ứng dụng thuế điện tử chính thức do Tổng cục Thuế Việt Nam phát hành, nhằm hỗ trợ cá nhân, hộ kinh doanh và cá nhân kinh doanh thực hiện các nghĩa vụ thuế…</t>
  </si>
  <si>
    <t>Thêm ngay sau đoạn này: «Với hộ kinh doanh, bạn có thể tham khảo thêm cách tính thuế hộ kinh doanh và cách kê khai.»</t>
  </si>
  <si>
    <t>5. Techcombank đồng hành cùng hộ kinh doanh tối ưu vận hành trong thời kỳ số</t>
  </si>
  <si>
    <t>Hộ kinh doanh cứ yên tâm bán tốt, việc quản lý cửa hàng tinh gọn, kê khai thuế thuận tiện đã có Techcombank đồng hành.</t>
  </si>
  <si>
    <t>Thêm ngay sau đoạn này: «Bạn có thể tham khảo hướng dẫn kê khai thuế hộ kinh doanh chi tiết để thực hiện đúng quy định.»</t>
  </si>
  <si>
    <t>3.4. Quản lý và lưu trữ hồ sơ nhân sự</t>
  </si>
  <si>
    <t>Việc chuyển đổi từ hộ kinh doanh sang doanh nghiệp không chỉ giúp hợp thức hóa hoạt động theo đúng quy định mà còn mở ra cơ hội phát triển bền vững trong dài hạn.</t>
  </si>
  <si>
    <t>Thêm ngay sau đoạn này: «Trước khi chuyển đổi, chủ hộ có thể đối chiếu lại nghĩa vụ thuế hộ kinh doanh hiện tại để chuẩn bị tốt hơn.»</t>
  </si>
  <si>
    <t>3. Khám phá các giải pháp dành cho Merchant tại Techcombank</t>
  </si>
  <si>
    <t>Việc lựa chọn đúng dịch vụ sẽ giúp các hộ kinh doanh và doanh nghiệp nhỏ quản lý dòng tiền hiệu quả, mở rộng hoạt động kinh doanh và phát triển bền vững.</t>
  </si>
  <si>
    <t>Thêm ngay sau đoạn này: «Bên cạnh đó, hộ kinh doanh cũng nên nắm rõ nghĩa vụ thuế hộ kinh doanh để hoạt động đúng quy định.»</t>
  </si>
  <si>
    <t>2.3. SoftPOS</t>
  </si>
  <si>
    <t>SoftPOS đặc biệt phù hợp với hộ kinh doanh nhỏ lẻ như cửa hàng tiện lợi, quán cà phê nhỏ, hoặc kinh doanh lưu động.</t>
  </si>
  <si>
    <t>Thêm ngay sau đoạn này: «Bên cạnh giải pháp thanh toán, hộ kinh doanh cũng nên nắm rõ nghĩa vụ và cách kê khai thuế hộ kinh doanh.»</t>
  </si>
  <si>
    <t>7.2. Hoàn thuế VAT (Điều 15)</t>
  </si>
  <si>
    <t>Techcombank đồng hành cùng Doanh nghiệp trong quá trình vận hành kinh doanh.</t>
  </si>
  <si>
    <t>Thêm ngay sau đoạn này: «Với hộ kinh doanh, bạn có thể tham khảo thêm quy định về thuế hộ kinh doanh để kê khai đúng.»</t>
  </si>
  <si>
    <t>Cân đối vốn điều lệ thực tế: Dù không có quy định mức tối thiểu cho các ngành thông thường…</t>
  </si>
  <si>
    <t>Thêm ngay sau đoạn này: «Nếu đang cân nhắc giữa thành lập doanh nghiệp và hộ kinh doanh, bạn có thể tham khảo thêm cách tính thuế hộ kinh doanh để so sánh.»</t>
  </si>
  <si>
    <t>2. Ưu đãi thuế cho doanh nghiệp vừa và nhỏ với mức 15% hoặc 17%</t>
  </si>
  <si>
    <t>Cơ chế phân bậc thuế suất giúp giảm gánh nặng cho doanh nghiệp quy mô nhỏ, đồng thời khuyến khích các hộ kinh doanh chính thức hóa hoạt động.</t>
  </si>
  <si>
    <t>Thêm ngay sau đoạn này: «Hộ kinh doanh đang cân nhắc chuyển đổi có thể so sánh với quy định về thuế hộ kinh doanh hiện hành.»</t>
  </si>
  <si>
    <t>1. Nhượng quyền là gì?</t>
  </si>
  <si>
    <t>Nhượng quyền là mô hình kinh doanh đang được quan tâm hiện nay.</t>
  </si>
  <si>
    <t>Bôi đen cụm «mô hình kinh doanh» trong câu trên, gắn link.</t>
  </si>
  <si>
    <t>1.3. Tích lũy kinh nghiệm thực chiến</t>
  </si>
  <si>
    <t>Việc tiếp cận sớm với các mô hình kinh doanh giả lập hoặc các sân chơi thực tế giúp con có cơ hội "thử và sai" trong môi trường kinh doanh.</t>
  </si>
  <si>
    <t>3. Giải pháp SoftPOS của Techcombank có gì?</t>
  </si>
  <si>
    <t>Giải pháp SoftPOS của Techcombank sẽ phù hợp với mô hình kinh doanh dưới 5 cửa hàng với biểu phí hấp dẫn.</t>
  </si>
  <si>
    <t>Phù hợp với mọi mô hình kinh doanh dù online hay offline: Chủ cửa hàng/chủ doanh nghiệp chỉ cần in và trưng bày mã QR tại cửa hàng, hoặc chia sẻ hình ảnh mã QR qua tin nhắn cho người mua hàng để nhận…</t>
  </si>
  <si>
    <t>3. Nên lựa chọn hình thức vay ngắn hạn nào?</t>
  </si>
  <si>
    <t>Vay quay vòng: Dành cho doanh nghiệp có mô hình kinh doanh ngắn, như bán lẻ theo ngày hoặc tuần.</t>
  </si>
  <si>
    <t>2. Xu hướng chuyển đổi xanh trong tiêu dùng</t>
  </si>
  <si>
    <t>Điều này không chỉ giúp bảo vệ môi trường mà còn thúc đẩy các doanh nghiệp chuyển đổi sang mô hình kinh doanh bền vững hơn.</t>
  </si>
  <si>
    <t>4. Giá cao su tác động như thế nào đến ngành cao su và thị trường đầu tư?</t>
  </si>
  <si>
    <t>Tuy nhiên, mức độ ảnh hưởng còn phụ thuộc vào mô hình kinh doanh, cơ cấu doanh thu, chi phí nguyên liệu và tình hình hoạt động của từng doanh nghiệp.</t>
  </si>
  <si>
    <t>Để mô hình kinh doanh vận hành một cách hợp pháp và bền vững, hoàn thiện thủ tục thuế ban đầu là bước đi bắt buộc.</t>
  </si>
  <si>
    <t>4.1. Khám phá tính năng bán hàng bằng Barcode cho kinh doanh bán lẻ từ Techcombank</t>
  </si>
  <si>
    <t>Tính năng này phù hợp với nhiều mô hình kinh doanh như: tạp hóa, siêu thị mini, cửa hàn…</t>
  </si>
  <si>
    <t>Dưới đây là danh sách phần mềm quản lý bán hàng an toàn, uy tín, dễ sử dụng và phù hợp với nhiều mô hình kinh doanh:</t>
  </si>
  <si>
    <t>1. Hộ kinh doanh cá thể là gì?</t>
  </si>
  <si>
    <t>Hộ kinh doanh cá thể (hay còn gọi là hộ kinh doanh hoặc hộ kinh doanh cá nhân) là mô hình kinh doanh do một cá nhân hoặc các thành viên của hộ gia đình cùng đăng ký thành lập…</t>
  </si>
  <si>
    <t>Trong bối cảnh chính sách thuế và kế toán thường xuyên thay đổi, việc lựa chọn mô hình kinh doanh phù hợp ngay từ đầu trở nên đặc biệt quan trọng.</t>
  </si>
  <si>
    <t>4. ROA khác gì với ROE?</t>
  </si>
  <si>
    <t>Một chỉ số cao không nên được đánh giá riêng lẻ mà cần đặt trong bối cảnh ngành nghề, mô hình kinh doanh và các yếu tố tài chính liên quan.</t>
  </si>
  <si>
    <t>1. SmartPOS là gì?</t>
  </si>
  <si>
    <t>Với mô hình kinh doanh có ít hơn 5 cửa hàng có thể chọn giải pháp SoftPOS .</t>
  </si>
  <si>
    <t>Đây là lợi thế rõ rệt nếu mô hình kinh doanh có nhiều chi phí phát sinh.</t>
  </si>
  <si>
    <t>3. Loa Ting Ting thích hợp với cửa hàng nào?</t>
  </si>
  <si>
    <t>Loa báo chuyển khoản Ting Ting không chỉ dành riêng cho một loại hình kinh doanh, mà thực tế phù hợp với rất nhiều mô hình, bất kỳ ai kinh doanh có sử dụng hình thức chuyển khoản đều có thể sử dụng.</t>
  </si>
  <si>
    <t>Sửa câu thành: «Loa báo chuyển khoản Ting Ting không chỉ dành riêng cho một loại hình kinh doanh, mà thực tế phù hợp với rất nhiều mô hình kinh doanh, bất kỳ ai kinh doanh có sử dụng hình thức chuyển khoản đều có thể sử dụng.»</t>
  </si>
  <si>
    <t>Đoạn và trùng nội dung – sửa đoạn đầu tiên</t>
  </si>
  <si>
    <t>1. 10+ ý tưởng kinh doanh online tiềm năng cho người mới bắt đầu</t>
  </si>
  <si>
    <t>Kinh doanh online là hình thức bán hàng và cung cấp dịch vụ thông qua Internet.</t>
  </si>
  <si>
    <t>Thêm ngay sau đoạn này: «Để chọn hướng đi phù hợp, bạn có thể tìm hiểu thêm mô hình kinh doanh là gì và các mô hình phổ biến.»</t>
  </si>
  <si>
    <t>1. One-Stop Shop là gì?</t>
  </si>
  <si>
    <t>Trong quá trình vận hành, chủ hộ thường phải sử dụng nhiều công cụ khác nhau cho các nhu cầu như nhận thanh toán, quản lý bán hàng, xuất hóa đơn điện tử, kê khai thuế…</t>
  </si>
  <si>
    <t>Thêm ngay sau đoạn này: «Để hiểu rõ hơn bối cảnh ra đời của One-Stop Shop, bạn có thể tìm hiểu mô hình kinh doanh là gì và các mô hình phổ biến hiện nay.»</t>
  </si>
  <si>
    <t>3. Nên chọn mô hình hộ kinh doanh hay doanh nghiệp sau loạt chính sách mới?</t>
  </si>
  <si>
    <t>Tùy vào quy mô hoạt động, mục tiêu phát triển và nhu cầu vận hành, cá nhân kinh doanh có thể cân nhắc giữa hai hướng…</t>
  </si>
  <si>
    <t>Thêm ngay sau đoạn này: «Để đưa ra lựa chọn phù hợp, bạn có thể tìm hiểu thêm mô hình kinh doanh là gì và các mô hình phổ biến.»</t>
  </si>
  <si>
    <t>Việc lựa chọn hình thức đăng ký kinh doanh phụ thuộc vào quy mô hoạt động, mục tiêu phát triển và khả năng quản lý của từng cá nhân hay tổ chức.</t>
  </si>
  <si>
    <t>Thêm ngay sau đoạn này: «Trước khi quyết định, bạn có thể tìm hiểu mô hình kinh doanh là gì và các mô hình phổ biến để định hướng phù hợp.»</t>
  </si>
  <si>
    <t>3. NIM cao hay thấp nói lên điều gì về ngân hàng?</t>
  </si>
  <si>
    <t>Giá trị NIM cao hay thấp chỉ có ý nghĩa khi được đặt trong cùng phương pháp tính, cùng kỳ so sánh và cùng nhóm ngân hàng có mô hình kinh doanh tương đồng.</t>
  </si>
  <si>
    <t>Ngữ cảnh mô hình kinh doanh ngân hàng</t>
  </si>
  <si>
    <t>Tác động đến doanh nghiệp sản xuất và xuất khẩu cà phê: Giá bán cà phê có thể ảnh hưởng đến doanh thu và hiệu quả kinh doanh của các doanh nghiệp tham gia sản xuất, thu mua hoặc xuất khẩu.</t>
  </si>
  <si>
    <t>Thêm ngay sau đoạn này: «Mức độ tác động cũng khác nhau tùy mô hình kinh doanh của từng doanh nghiệp.»</t>
  </si>
  <si>
    <t>2.6. Tiếp cận xu hướng thanh toán hiện đại</t>
  </si>
  <si>
    <t>Việc sử dụng loa thông báo chuyển khoản giúp cửa hàng tiếp cận với xu hướng thanh toán không dùng tiền mặt, phù hợp với nhu cầu và thói quen của khách hàng hiện đại.</t>
  </si>
  <si>
    <t>Thêm ngay sau đoạn này: «Đây là giải pháp phù hợp với nhiều mô hình kinh doanh bán lẻ hiện nay.»</t>
  </si>
  <si>
    <t>4. Công ty Cổ phần</t>
  </si>
  <si>
    <t>Mô hình công ty cổ phần đặc biệt phù hợp với những doanh nghiệp có nhu cầu huy động vốn lớn, muốn mở rộng quy mô trên thị trường và phát triển bền vững nhờ sự tham gia của nhiều nhà đầu tư.</t>
  </si>
  <si>
    <t>Thêm dòng sau đoạn: «Xem thêm: mô hình kinh doanh là gì»</t>
  </si>
  <si>
    <t>Khác nghĩa: loại hình doanh nghiệp vs mô hình kinh doanh</t>
  </si>
  <si>
    <t>4. Những lưu ý "vàng" để hồ sơ được duyệt ngay lần đầu</t>
  </si>
  <si>
    <t>Vốn điều lệ: Tuy không quy định mức tối thiểu cho ngành thông thường, nhưng cần cân đối với quy mô kinh doanh và khả năng tài chính thực tế để đảm bảo uy tín với đối tác.</t>
  </si>
  <si>
    <t>Thêm ngay sau đoạn này: «Trước khi chốt vốn và loại hình, bạn nên tìm hiểu mô hình kinh doanh là gì và chọn mô hình phù hợp với kế hoạch của mình.»</t>
  </si>
  <si>
    <t>Chủ doanh nghiệp nên nắm vững các khoản thuế, phí bắt buộc, dự trù chi phí vận hành v…</t>
  </si>
  <si>
    <t>Thêm ngay sau đoạn này: «Trước khi chuyển đổi, chủ hộ cũng nên tìm hiểu mô hình kinh doanh là gì để lựa chọn loại hình phù hợp.»</t>
  </si>
  <si>
    <t>1.4. Sàn thương mại điện tử phải khai và nộp thuế thay hộ, cá nhân kinh doanh</t>
  </si>
  <si>
    <t>Những quy định mới này được kỳ vọng sẽ nâng cao tính minh bạch trong quản lý, đồng thời tạo môi trường kinh doanh công bằng hơn giữa hình thức trực tuyến và truyền thống.</t>
  </si>
  <si>
    <t>Thêm ngay sau đoạn này: «Nếu đang cân nhắc chuyển đổi hình thức hoạt động, bạn có thể tìm hiểu thêm mô hình kinh doanh là gì và các mô hình phổ biến.»</t>
  </si>
  <si>
    <t>1. Giấy phép kinh doanh là gì? Tại sao bắt buộc phải có?</t>
  </si>
  <si>
    <t>Giấy chứng nhận đăng ký doanh nghiệp/hộ kinh doanh: Là văn bản do Cơ quan đăng ký kinh doanh cấp nhằm ghi nhận sự hình thành hợp pháp của một doanh nghiệp/hộ kinh doanh.</t>
  </si>
  <si>
    <t>Thêm ngay sau đoạn này: «Trước khi đăng ký, bạn nên tìm hiểu mô hình kinh doanh là gì để chọn loại hình phù hợp.»</t>
  </si>
  <si>
    <t>3. Hướng dẫn cách tạo mã QR ngân hàng cho doanh nghiệp</t>
  </si>
  <si>
    <t>Trên đây là các cách tạo mã QR ngân hàng qua ngân hàng số và nền tảng VietQR dành cho 3 đối tượng là cá nhân, hộ kinh doanh và doanh nghiệp…</t>
  </si>
  <si>
    <t>Thêm ngay sau đoạn này: «Sau khi tạo mã, bạn có thể tham khảo cách gửi mã QR ngân hàng để chia sẻ nhanh cho người chuyển tiền.»</t>
  </si>
  <si>
    <t>3. Mã QR ngân hàng bị lỗi/hỏng</t>
  </si>
  <si>
    <t>Tuy nhiên việc thay mới mã QR sẽ cần thời gian chờ đợi, nên trong trường hợp gấp, người nhận thanh toán có thể truy cập ngân hàng số, ví điện tử… để lấy mã QR và chia sẻ trực tiếp đến người thanh toán.</t>
  </si>
  <si>
    <t>Thêm ngay sau đoạn này: «Tham khảo thêm cách gửi mã QR ngân hàng nhanh chóng qua ứng dụng ngân hàng số.»</t>
  </si>
  <si>
    <t>4. Cần lưu ý gì khi tự in mã QR ngân hàng ra giấy?</t>
  </si>
  <si>
    <t>Trên đây là toàn bộ thông tin giải đáp cách lấy mã QR và in mã QR ngân hàng cũng như một số lưu ý khi thực hiện in mã QR tại nhà.</t>
  </si>
  <si>
    <t>Thêm ngay sau đoạn này: «Ngoài in ra giấy, bạn cũng có thể tham khảo cách gửi mã QR ngân hàng qua tin nhắn để nhận tiền nhanh hơn.»</t>
  </si>
  <si>
    <t>Việc công khai hình ảnh mã QR không có rủi ro cho tài khoản ngân hàng nên chủ cửa hàng/chủ doanh nghiệp có thể in và trưng bày mã QR, hoặc chia sẻ hình ảnh mã QR trực tuyến…</t>
  </si>
  <si>
    <t>Thêm ngay sau đoạn này: «Bạn có thể tham khảo cách gửi mã QR ngân hàng nhanh chóng qua ứng dụng ngân hàng số.»</t>
  </si>
  <si>
    <t>Chia sẻ mã QR: Chọn biểu tượng “Chia sẻ” (góc phải cuối màn hình), sau đó chọn ứng dụng cần gửi/ chia sẻ mã QR như Facebook, Zalo, Gmail, Google Drive...</t>
  </si>
  <si>
    <t>Thêm dòng sau đoạn: «Xem thêm: Cách gửi mã QR ngân hàng nhanh chóng»</t>
  </si>
  <si>
    <t>3. Cách tạo mã QR cho cửa hàng qua ví MoMo</t>
  </si>
  <si>
    <t>Bước 2: Màn hình hiển thị mã QR nhận tiền qua ví MoMo.</t>
  </si>
  <si>
    <t>3.1. Hướng dẫn tạo mã QR nhận thanh toán</t>
  </si>
  <si>
    <t>Bước 3: Nhấn Chia sẻ mã QR để gửi QR thanh toán tới đối tác/khách hàng, hoặc chọn Sửa số tiền để chỉnh sửa (nếu cần).</t>
  </si>
  <si>
    <t>Quét mã QR: Thanh toán bằng cách quét mã QR hoặc chia sẻ mã QR cá nhân để nhận tiền</t>
  </si>
  <si>
    <t>Thêm dòng sau đoạn: «Xem thêm: cách gửi mã QR ngân hàng để nhận tiền nhanh»</t>
  </si>
  <si>
    <t>2. Cách rút tiền ATM bằng mã QR</t>
  </si>
  <si>
    <t>Rút tiền bằng mã QR là giải pháp tiện lợi, nhanh chóng, an toàn, hiện đại giúp bạn dễ dàng giao dịch mà không cần thẻ.</t>
  </si>
  <si>
    <t>Thêm ngay sau đoạn này: «Bên cạnh rút tiền, bạn cũng có thể tham khảo cách gửi mã QR ngân hàng để nhận chuyển khoản nhanh chóng.»</t>
  </si>
  <si>
    <t>1. Cách chuyển tiền bằng mã QR</t>
  </si>
  <si>
    <t>Chuyển tiền bằng mã QR là cách chuyển khoản ngân hàng phổ biến nhất hiện nay.</t>
  </si>
  <si>
    <t>Thêm ngay sau đoạn này: «Nếu là người nhận, bạn có thể tham khảo cách gửi mã QR ngân hàng để người chuyển chỉ cần quét mã là hoàn tất.»</t>
  </si>
  <si>
    <t>3.1 Tính năng Quỹ nhóm thuộc Dịch vụ Ngân hàng Bạn bè trên Ngân hàng số Techcombank Mobile</t>
  </si>
  <si>
    <t>Là thành viên của quỹ nhóm, bạn có thể theo dõi chi tiết các giao dịch thu chi, góp quỹ trực tiếp hoặc qua mã QR, đổi và sử dụng voucher ưu đãi nhóm.</t>
  </si>
  <si>
    <t>Thêm ngay sau đoạn này: «Nếu chưa quen thao tác, bạn có thể tham khảo cách gửi mã QR ngân hàng để góp quỹ nhanh hơn.»</t>
  </si>
  <si>
    <t>Mã QR Cửa hàng: Nhận thanh toán và phân tách dòng tiền kinh doanh, thuận tiện theo dõi dòng tiền của từng điểm bán…</t>
  </si>
  <si>
    <t>Thêm ngay sau đoạn này: «Bạn có thể tham khảo cách gửi mã QR ngân hàng để chia sẻ nhanh cho khách khi nhận thanh toán.»</t>
  </si>
  <si>
    <t>2. Gợi ý 3 cách lấy mã QR ngân hàng miễn phí nhanh nhất</t>
  </si>
  <si>
    <t>Sau khi mã QR được tạo thành công, bạn có thể lưu ảnh mã QR về máy để sử dụng sau hoặc lựa chọn chia sẻ online cho người chuy…</t>
  </si>
  <si>
    <t>Thêm ngay sau đoạn này: «Tham khảo thêm cách gửi mã QR ngân hàng để người chuyển tiền thao tác nhanh hơn.»</t>
  </si>
  <si>
    <t>2.4. Mã QR Cửa hàng</t>
  </si>
  <si>
    <t>Với mã QR Cửa hàng, Merchant có thể in và trưng bày tại quầy thu ngân để tối ưu trải nghiệm thanh toán cho khách hàng…</t>
  </si>
  <si>
    <t>Thêm ngay sau đoạn này: «Với khách mua online, chủ cửa hàng có thể tham khảo cách gửi mã QR ngân hàng để nhận thanh toán từ xa.»</t>
  </si>
  <si>
    <t>3.2. Hướng dẫn chia sẻ QR cửa hàng</t>
  </si>
  <si>
    <t>Bước 2: Chọn Chia sẻ QR cửa hàng để gửi mã QR đến người nhận qua kênh (trực tuyến) mong muốn</t>
  </si>
  <si>
    <t>Thêm dòng sau đoạn: «Xem thêm: Cách lấy và gửi mã QR ngân hàng nhanh chóng»</t>
  </si>
  <si>
    <t>Các bước thao tác – dùng Xem thêm</t>
  </si>
  <si>
    <t>2. Đánh giá ưu, nhược điểm của mã QR và mã vạch</t>
  </si>
  <si>
    <t>Mã vạch thường được sử dụng cho mục đích quản lý kho hàng, trong khi đó mã QR thường được sử dụng để nhận thanh toán.</t>
  </si>
  <si>
    <t>Thêm ngay sau đoạn này: «Để nhận tiền nhanh hơn, bạn có thể tìm hiểu cách gửi mã QR ngân hàng cho người chuyển.»</t>
  </si>
  <si>
    <t>3.1. Đối với mã QR tài khoản thanh toán doanh nghiệp</t>
  </si>
  <si>
    <t>Bước 3: Nhấn Chia sẻ mã QR để gửi mã QR trực tuyến, hoặc chọn Sửa số tiền để chỉnh sửa (nếu cần)</t>
  </si>
  <si>
    <t>3. Lợi ích khi sử dụng mã QR động nhận thanh toán tại cửa hàng</t>
  </si>
  <si>
    <t>Lưu và chia sẻ mã QR giao dịch: Tính năng này đặc biệt hữu ích với các shop online, vì chủ cửa hàng có thể gửi mã QR giao dịch cho người mua qua tin nhắn</t>
  </si>
  <si>
    <t>2. Chuyển khoản qua Mobile Banking với tính năng Quét mã QR</t>
  </si>
  <si>
    <t>Ngoài chuyển khoản qua tính năng Chuyển tiền, hầu hết ngân hàng số/Mobile Banking hiện đều có tính năng Quét mã QR giúp khách hàng rút ngắn thời gian…</t>
  </si>
  <si>
    <t>Thêm ngay sau đoạn này: «Ngược lại, khi cần nhận tiền, bạn cũng có thể gửi mã QR ngân hàng của mình để người chuyển quét nhanh.»</t>
  </si>
  <si>
    <t>Mã QR Techcombank là giải pháp thanh toán miễn phí - an toàn - nhanh chóng.</t>
  </si>
  <si>
    <t>Thêm ngay sau đoạn này: «Ngoài quét mã để thanh toán, bạn cũng có thể gửi mã QR ngân hàng của mình cho người khác để nhận tiền nhanh chóng.»</t>
  </si>
  <si>
    <t>2. Tài khoản Hộ kinh doanh - Giải pháp ứng dụng mô hình One-Stop Shop của Techcombank</t>
  </si>
  <si>
    <t>Mã QR cửa hàng - Nhận thanh toán siêu nhanh, vận hành siêu dễ</t>
  </si>
  <si>
    <t>1.1. Định nghĩa</t>
  </si>
  <si>
    <t>Loa thông báo chuyển khoản, còn được gọi là “loa ting ting” hay "loa bán hàng", là thiết bị công nghệ nhỏ gọn hỗ trợ các chủ cửa hàng, tiểu thương và shipper xác nhận giao dịch chuyển khoản qua mã QR…</t>
  </si>
  <si>
    <t>Thêm ngay sau đoạn này: «Để khách thanh toán nhanh hơn, chủ cửa hàng cũng có thể tham khảo cách gửi mã QR ngân hàng cho khách mua online.»</t>
  </si>
  <si>
    <t>2.3. Thanh toán đơn giản, an toàn</t>
  </si>
  <si>
    <t>Thanh toán bằng quét mã QR Code qua các ứng dụng ngân hàng</t>
  </si>
  <si>
    <t>2. QR Code - Xu hướng thanh toán nổi bật được doanh nghiệp đẩy mạnh phát triển</t>
  </si>
  <si>
    <t>Không chỉ được người dùng hưởng ứng, thanh toán mã QR còn được các đơn vị kinh doanh hiện nay tập trung đẩy mạnh.</t>
  </si>
  <si>
    <t>Thêm ngay sau đoạn này: «Với người bán nhỏ lẻ, chỉ cần gửi mã QR ngân hàng cho khách là có thể nhận tiền nhanh chóng.»</t>
  </si>
  <si>
    <t>8. Kinh nghiệm lựa chọn phần mềm bán hàng phù hợp</t>
  </si>
  <si>
    <t>Chọn phần mềm tích hợp thanh toán liền mạch : Giải pháp lý tưởng liên kết trực tiếp với tài khoản ngân hàng, tự động đối soát, sinh mã QR và xuất hóa đơn thuế nhanh chóng…</t>
  </si>
  <si>
    <t>Thêm dòng sau đoạn: «Xem thêm: cách lấy và gửi mã QR ngân hàng»</t>
  </si>
  <si>
    <t>4.2. QR code của loa bán hàng Techcombank hỗ trợ thanh toán những ngân hàng nào?</t>
  </si>
  <si>
    <t>Mã QR của loa bán hàng hỗ trợ nhận tiền chuyển khoản từ tất cả các ngân hàng trong nước và các ngân hàng nước ngoài tại Việt Nam.</t>
  </si>
  <si>
    <t>Thêm ngay sau đoạn này: «Với khách mua online, chủ cửa hàng có thể tham khảo cách gửi mã QR ngân hàng qua ứng dụng nhắn tin để nhận thanh toán.»</t>
  </si>
  <si>
    <t>6. Khám phá trọn bộ công cụ quản lý kinh doanh dành cho chủ cửa hàng của Techcombank</t>
  </si>
  <si>
    <t>0 PHÍ GIAO DỊCH: Mở tài khoản hộ kinh doanh, giao dịch chuyển khoản miễn phí 100%, cam kết không có phí ẩn</t>
  </si>
  <si>
    <t>Bôi đen cụm «Mở tài khoản hộ kinh doanh» trong câu trên, gắn link.</t>
  </si>
  <si>
    <t>5. Quy định về địa điểm kinh doanh của hộ kinh doanh cá thể</t>
  </si>
  <si>
    <t>5. Vững nền tảng pháp lý, bứt tốc đà kinh doanh với giải pháp từ Techcombank</t>
  </si>
  <si>
    <t>7. Hộ kinh doanh quản lý kinh doanh dễ dàng, đóng thuế “nhẹ tênh” với bộ giải pháp từ Tech</t>
  </si>
  <si>
    <t>0 PHÍ GIAO DỊCH: mở tài khoản hộ kinh doanh, giao dịch chuyển khoản miễn phí 100%, cam kết không có phí ẩn</t>
  </si>
  <si>
    <t>Bôi đen cụm «mở tài khoản hộ kinh doanh» trong câu trên, gắn link.</t>
  </si>
  <si>
    <t>3. Thu tiền dễ, tính thuế gọn, thực hiện đúng nghĩa vụ thuế với giải pháp từ Techcombank</t>
  </si>
  <si>
    <t>Bôi đen cụm «tài khoản hộ kinh doanh» trong câu trên, gắn link.</t>
  </si>
  <si>
    <t>2.2. Mở tài khoản Hộ kinh doanh tại phòng giao dịch/chi nhánh ngân hàng Techcombank</t>
  </si>
  <si>
    <t>Khách hàng được giao dịch viên tư vấn tận tình về các ưu đãi và tiện ích của tài khoản hộ kinh doanh Techcombank.</t>
  </si>
  <si>
    <t>8. Hộ kinh doanh quản lý kinh doanh dễ dàng, đóng thuế “nhẹ tênh” với bộ giải pháp từ Tech</t>
  </si>
  <si>
    <t>Mở tài khoản Hộ kinh doanh Techcombank, chủ cửa hàng sẽ có cơ hội tiếp cận hệ sinh thái “trợ thủ” kinh doanh đắc lực:</t>
  </si>
  <si>
    <t>Bôi đen cụm «tài khoản Hộ kinh doanh» trong câu trên, gắn link.</t>
  </si>
  <si>
    <t>Gốc viết hoa chữ "Hộ"</t>
  </si>
  <si>
    <t>3. Thủ tục cho vay vốn kinh doanh tại các ngân hàng</t>
  </si>
  <si>
    <t>Khoản vay sẽ được giải ngân vào tài khoản hộ kinh doanh sau khi hồ sơ vay vốn bằng giấy phép kinh doanh được xét duyệt.</t>
  </si>
  <si>
    <t>4. Hộ kinh doanh ứng dụng công nghệ để thích nghi trong bối cảnh mới</t>
  </si>
  <si>
    <t>4.2. T-Shop - Phần mềm bán hàng, xuất hóa đơn ngay trên điện thoại dành cho Hộ kinh doanh</t>
  </si>
  <si>
    <t>Tài khoản hộ kinh doanh với tính năng tiện ích đa dạng</t>
  </si>
  <si>
    <t>Bôi đen cụm «Tài khoản hộ kinh doanh» trong câu trên, gắn link.</t>
  </si>
  <si>
    <t>3. Hướng dẫn đăng ký Dịch vụ thu hộ qua POS của Techcombank</t>
  </si>
  <si>
    <t>Gạch đầu dòng khuyến mãi</t>
  </si>
  <si>
    <t>5. Hộ kinh doanh quản lý kinh doanh dễ dàng, đóng thuế “nhẹ tênh” với bộ giải pháp từ Tech</t>
  </si>
  <si>
    <t>Chính sách thuế hộ kinh doanh 2026 mở ra cả cơ hội và thách thức cho.</t>
  </si>
  <si>
    <t>Thêm ngay sau đoạn này: «Nếu chưa có tài khoản, hộ kinh doanh có thể tham khảo cách mở tài khoản hộ kinh doanh online đơn giản.»</t>
  </si>
  <si>
    <t>5. Thu tiền dễ, tính thuế gọn cùng bộ giải pháp từ Techcombank</t>
  </si>
  <si>
    <t>Mở Tài khoản Hộ kinh doanh Techcombank để nhận nhiều ưu đãi 0 phí ngay hôm nay.</t>
  </si>
  <si>
    <t>Sửa câu thành: «Mở tài khoản hộ kinh doanh Techcombank để nhận nhiều ưu đãi 0 phí ngay hôm nay.»</t>
  </si>
  <si>
    <t>Chỉ đổi chữ hoa sang thường để khớp anchor</t>
  </si>
  <si>
    <t>Bước 3: Nhận kết quả từ cơ quan thẩm quyền</t>
  </si>
  <si>
    <t>Khi mở tài khoản doanh nghiệp tại Techcombank, quý khách hàng không chỉ nhận được ưu đãi miễn phí trọn gói thủ tục thành lập doanh nghiệp từ đối tác Cenvi…</t>
  </si>
  <si>
    <t>Thêm ngay sau đoạn này: «Với hộ kinh doanh, bạn có thể tham khảo cách mở tài khoản hộ kinh doanh đơn giản.»</t>
  </si>
  <si>
    <t>1. Xu hướng tài chính 2026: Hộ kinh doanh kỳ vọng gì ở một tài khoản ngân hàng?</t>
  </si>
  <si>
    <t>Tài khoản ngân hàng không còn chỉ là một chiếc "ví điện tử" để nhận và chuyển tiền, mà được kỳ vọng trở thành một công cụ tài chính đắc lực.</t>
  </si>
  <si>
    <t>Sửa câu thành: «Tài khoản ngân hàng, đặc biệt là tài khoản hộ kinh doanh, không còn chỉ là một chiếc "ví điện tử" để nhận và chuyển tiền, mà được kỳ vọng trở thành một công cụ tài chính đắc lực.»</t>
  </si>
  <si>
    <t>6. Phần mềm xuất hoá đơn điện tử: Mobiphone Invoice</t>
  </si>
  <si>
    <t>MobiFone Invoice là giải pháp công nghệ được thiết kế hướng tới sự tinh gọn và dễ tiếp cận cho các doanh nghiệp siêu nhỏ hoặc các hộ kinh doanh cá thể mới thành lập.</t>
  </si>
  <si>
    <t>Thêm dòng sau đoạn: «Xem thêm: Cách mở tài khoản hộ kinh doanh cá thể đơn giản»</t>
  </si>
  <si>
    <t>Có thể thấy, việc chọn hộ kinh doanh kê khai hay doanh nghiệp phụ thuộc vào quy mô, định hướng phát triển và khả năng quản trị của từng cá nhân.</t>
  </si>
  <si>
    <t>Thêm ngay sau đoạn này: «Nếu chọn hộ kinh doanh, bạn có thể tham khảo cách mở tài khoản hộ kinh doanh để quản lý dòng tiền thuận tiện hơn.»</t>
  </si>
  <si>
    <t>6. Hộ kinh doanh nên làm gì để tránh truy thu thuế?</t>
  </si>
  <si>
    <t>Bên cạnh T-Shop, Techcombank còn cung cấp Tài khoản Hộ kinh doanh - giải pháp giúp chủ hộ tách bạch dòng tiền kinh doanh với dòng tiền cá nhân…</t>
  </si>
  <si>
    <t>Sửa câu thành: «Bên cạnh T-Shop, Techcombank còn cung cấp tài khoản hộ kinh doanh - giải pháp giúp chủ hộ tách bạch dòng tiền kinh doanh với dòng tiền cá nhân, đồng thời tiếp cận nhiều ưu đãi về giao dịch, hóa đơn điện tử, thuế và vốn kinh doanh.»</t>
  </si>
  <si>
    <t>Nói một cách dễ hiểu hơn, hộ kinh doanh là khách hàng cá nhân, có kinh doanh nhưng không đăng ký doanh nghiệp.</t>
  </si>
  <si>
    <t>Thêm ngay sau đoạn này: «Để tách bạch dòng tiền kinh doanh, chủ hộ có thể cân nhắc mở tài khoản hộ kinh doanh riêng.»</t>
  </si>
  <si>
    <t>6.4. Chứng minh doanh thu ổn định</t>
  </si>
  <si>
    <t>Ví dụ, hộ kinh doanh cá thể có nhu cầu vay vốn cần chuẩn bị các tài liệu như hóa đơn bán hàng, hợp đồng mua bán, sổ sách kế toán và các giấy tờ khác theo yêu cầu.</t>
  </si>
  <si>
    <t>Thêm ngay sau đoạn này: «Việc sử dụng tài khoản hộ kinh doanh riêng cũng giúp dòng tiền minh bạch và thuận lợi hơn khi chứng minh doanh thu.»</t>
  </si>
  <si>
    <t>Dịch vụ ngân hàng số Techcombank Mobile : Quản lý dòng tiền hiệu quả - Kinh doanh nhẹ nhàng - Miễn phí số tài khoản đẹp, số ưu thích, số phong thuỷ</t>
  </si>
  <si>
    <t>Thêm ngay sau đoạn này: «Bạn có thể tham khảo cách mở tài khoản hộ kinh doanh online để bắt đầu sử dụng các tiện ích trên.»</t>
  </si>
  <si>
    <t>4. Các chi phí khác khi vay vốn kinh doanh</t>
  </si>
  <si>
    <t>Tuy nhiên, tại Techcombank, khách hàng được hưởng nhiều ưu đãi hỗ trợ quản lý tài chính.</t>
  </si>
  <si>
    <t>Thêm ngay sau đoạn này: «Để thuận tiện giải ngân và quản lý dòng tiền, hộ kinh doanh có thể mở tài khoản hộ kinh doanh tại Techcombank.»</t>
  </si>
  <si>
    <t>4. Techcombank đồng hành cùng hộ kinh doanh trên hành trình chuyển đổi số</t>
  </si>
  <si>
    <t>Với mong muốn tạo nền tảng tài chính vững chắc cho Hộ kinh doanh, Techcombank triển khai nhiều chương trình ưu đãi như hoàn tiền khi giao dịch hợp lệ qua QR, SoftPOS; tặng tiền khi giới thiệu chủ sho…</t>
  </si>
  <si>
    <t>Sửa câu thành: «Với mong muốn tạo nền tảng tài chính vững chắc cho Hộ kinh doanh, Techcombank triển khai nhiều chương trình ưu đãi như hoàn tiền khi giao dịch hợp lệ qua QR, SoftPOS; tặng tiền khi giới thiệu chủ shop mở tài khoản hộ kinh doanh Techcombank… cùng nhiều ưu đãi phí dịch vụ khác.»</t>
  </si>
  <si>
    <t>Sửa nhẹ – kiểm tra đúng chính sách</t>
  </si>
  <si>
    <t>2. So sánh thủ tục đăng ký hộ kinh doanh cá thể và doanh nghiệp</t>
  </si>
  <si>
    <t>So sánh thủ tục đăng ký hộ kinh doanh cá thể và doanh nghiệp.</t>
  </si>
  <si>
    <t>Thêm dòng sau đoạn: «Xem thêm: Cách mở tài khoản hộ kinh doanh online»</t>
  </si>
  <si>
    <t>Câu có thể là chú thích ảnh/bảng – đặt Xem thêm sau bảng</t>
  </si>
  <si>
    <t>Thay vào đó, nghĩa vụ thuế được xác định dựa trên doanh thu thực tế , gắn với hóa đơn điện tử và quản lý theo phương pháp rủi ro.</t>
  </si>
  <si>
    <t>Thêm ngay sau đoạn này: «Bạn có thể tham khảo cách tính thuế hộ kinh doanh theo doanh thu thực tế để chủ động chuẩn bị.»</t>
  </si>
  <si>
    <t>4. Nghĩa vụ hộ kinh doanh cần thực hiện sau khi được cấp mã số thuế</t>
  </si>
  <si>
    <t>Việc tuân thủ đầy đủ các nghĩa vụ trên giúp hộ kinh doanh hạn chế rủi ro về thuế và thuận lợi hơn trong quá trình hoạt động.</t>
  </si>
  <si>
    <t>Thêm ngay sau đoạn này: «Để chủ động kê khai và nộp thuế, chủ hộ có thể tham khảo thêm cách tính thuế hộ kinh doanh.»</t>
  </si>
  <si>
    <t>Bệ phóng vững chắc cho một hộ kinh doanh phát triển bền vững chính là sự minh bạch về tài chính và chuẩn chỉnh về pháp lý thuế.</t>
  </si>
  <si>
    <t>Thêm ngay sau đoạn này: «Để làm đúng ngay từ đầu, chủ hộ nên nắm rõ cách tính thuế hộ kinh doanh theo doanh thu và ngành nghề.»</t>
  </si>
  <si>
    <t>Việc hiểu và tuân thủ đúng quy định về thuế thương mại điện tử không chỉ giúp hộ kinh doanh tránh rủi ro pháp lý…</t>
  </si>
  <si>
    <t>Thêm ngay sau đoạn này: «Hộ kinh doanh cũng nên nắm rõ cách tính thuế hộ kinh doanh để chủ động kê khai.»</t>
  </si>
  <si>
    <t>Chủ hộ kinh doanh nên chủ động cập nhật chính sách thuế mới.</t>
  </si>
  <si>
    <t>Sửa câu thành: «Chủ hộ kinh doanh nên chủ động cập nhật chính sách thuế mới và nắm rõ cách tính thuế hộ kinh doanh áp dụng cho mình.»</t>
  </si>
  <si>
    <t>4.2. Khai thuế hộ kinh doanh</t>
  </si>
  <si>
    <t>Thêm ngay sau đoạn này: «Trước khi kê khai, chủ hộ nên nắm rõ cách tính thuế hộ kinh doanh theo doanh thu và ngành nghề.»</t>
  </si>
  <si>
    <t>Việc hiểu rõ hộ kinh doanh là gì cùng các nghĩa vụ liên quan khi đang chuẩn bị khởi sự kinh doanh là rất cần thiết.</t>
  </si>
  <si>
    <t>Thêm ngay sau đoạn này: «Bạn có thể tham khảo thêm cách tính thuế hộ kinh doanh để chủ động dự trù nghĩa vụ thuế.»</t>
  </si>
  <si>
    <t>1. Địa điểm đăng ký kinh doanh cho hộ/cá nhân kinh doanh</t>
  </si>
  <si>
    <t>Từ 1/7/2025 , hồ sơ đăng ký thuế được thực hiện liên thông với đăng ký kinh doanh tại Trung tâm phục vụ hành chính công cấp xã .</t>
  </si>
  <si>
    <t>Thêm ngay sau đoạn này: «Sau khi có mã số thuế, hộ kinh doanh nên tìm hiểu cách tính thuế hộ kinh doanh để kê khai đúng.»</t>
  </si>
  <si>
    <t>Đoạn có mốc quy định – thêm câu, không sửa</t>
  </si>
  <si>
    <t>Một trong những rào cản lớn nhất khiến hộ kinh doanh ngần ngại chuyển đổi là thủ tục pháp lý và gánh nặng thuế phí.</t>
  </si>
  <si>
    <t>Thêm ngay sau đoạn này: «Để so sánh, hộ kinh doanh nên nắm rõ cách tính thuế hộ kinh doanh hiện hành trước khi quyết định chuyển đổi.»</t>
  </si>
  <si>
    <t>Các quy định mới về thanh toán không dùng tiền mặt không chỉ góp phần minh bạch hóa dòng tiền, mà còn thúc đẩy quá trình chuyển đổi số trong lĩnh vực kinh doanh bán lẻ và dịch vụ.</t>
  </si>
  <si>
    <t>Thêm ngay sau đoạn này: «Bên cạnh đó, hộ kinh doanh nên nắm rõ cách tính thuế hộ kinh doanh để kê khai đúng quy định.»</t>
  </si>
  <si>
    <t>Việc nắm rõ cách tra cứu nợ thuế hộ kinh doanh giúp chủ hộ chủ động theo dõi nghĩa vụ thuế, kịp thời phát hiện các khoản thuế còn tồn đọng…</t>
  </si>
  <si>
    <t>Thêm ngay sau đoạn này: «Bên cạnh đó, chủ hộ nên nắm cách tính thuế hộ kinh doanh để dự trù số thuế phải nộp.»</t>
  </si>
  <si>
    <t>Chỉ với vài bước đơn giản, hộ và cá nhân kinh doanh có thể dễ dàng kê khai thuế trực tiếp trên eTax Mobile.</t>
  </si>
  <si>
    <t>Thêm ngay sau đoạn này: «Trước khi kê khai, hộ kinh doanh nên nắm rõ cách tính thuế hộ kinh doanh theo quy định hiện hành.»</t>
  </si>
  <si>
    <t>Bảng tổng hợp quy định kê khai &amp; cách tính thuế theo mức doanh thu hộ kinh doanh:</t>
  </si>
  <si>
    <t>Thêm dòng sau đoạn: «Xem thêm: cách tính thuế hộ kinh doanh nhỏ lẻ chi tiết theo ngành nghề»</t>
  </si>
  <si>
    <t>Đoạn dẫn vào bảng – đặt Xem thêm sau bảng</t>
  </si>
  <si>
    <t>7.3. Hộ kinh doanh đã nộp thuế khoán có bị truy thu lại không?</t>
  </si>
  <si>
    <t>Trường hợp hộ kinh doanh đã thực hiện đầy đủ nghĩa vụ thuế theo mức khoán do cơ quan thuế xác định và không có hành vi vi phạm thì không bị truy thu chỉ vì doanh thu thực tế tăng trong các năm sau.</t>
  </si>
  <si>
    <t>Thêm ngay sau đoạn này: «Chủ hộ có thể tham khảo cách tính thuế hộ kinh doanh để đối chiếu nghĩa vụ thuế hằng năm.»</t>
  </si>
  <si>
    <t>Hộ kinh doanh cá thể : Thường phù hợp với mô hình nhỏ lẻ, vốn ít, hoạt động chủ yếu trong phạm vi địa phương.</t>
  </si>
  <si>
    <t>Thêm ngay sau đoạn này: «Nếu chọn hình thức này, bạn nên tìm hiểu trước cách tính thuế hộ kinh doanh để chủ động chi phí.»</t>
  </si>
  <si>
    <t>Từ hộ kinh doanh lên doanh nghiệp sẽ có những thay đổi rõ rệt về nghĩa vụ thuế.</t>
  </si>
  <si>
    <t>Thêm ngay sau đoạn này: «Để thấy rõ sự khác biệt, chủ hộ có thể tham khảo lại cách tính thuế hộ kinh doanh hiện hành.»</t>
  </si>
  <si>
    <t>T-Shop hiện có tính năng hỗ trợ xuất hoá đơn điện tử chuẩn thuế chỉ trong 5 giây, kê khai thuế đúng chuẩn cùng nhiều ưu đãi như:</t>
  </si>
  <si>
    <t>Thêm dòng sau đoạn: «Xem thêm: cách tính thuế hộ kinh doanh»</t>
  </si>
  <si>
    <t>Việc đăng ký thuế đúng thời hạn giúp hộ kinh doanh hạn chế rủi ro bị xử phạt và bảo đảm quá trình hoạt động diễn ra thuận lợi.</t>
  </si>
  <si>
    <t>Thêm ngay sau đoạn này: «Bên cạnh việc đăng ký đúng hạn, chủ hộ cũng nên tìm hiểu cách tính thuế hộ kinh doanh để kê khai và nộp thuế chính xác.»</t>
  </si>
  <si>
    <t>6.2. Phương pháp tính trực tiếp</t>
  </si>
  <si>
    <t>Hộ kinh doanh, cá nhân kinh doanh, trừ những trường hợp phải nộp thuế theo phương pháp khoán theo quy định riêng</t>
  </si>
  <si>
    <t>Thêm ngay sau đoạn này: «Hộ kinh doanh có thể tham khảo thêm cách tính thuế hộ kinh doanh để xác định đầy đủ các khoản thuế phải nộp.»</t>
  </si>
  <si>
    <t>Đồng hành cùng hộ kinh doanh trên mọi nẻo đường và từng con phố nhỏ, Techcombank mang đến giải pháp Tài khoản Hộ kinh doanh và Ứng dụng T-Shop…</t>
  </si>
  <si>
    <t>Thêm ngay sau đoạn này: «Để chủ động dự trù, chủ hộ cũng nên nắm rõ cách tính thuế hộ kinh doanh theo doanh thu.»</t>
  </si>
  <si>
    <t>Đoạn giới thiệu sản phẩm</t>
  </si>
  <si>
    <t>Thay đổi địa chỉ hộ kinh doanh mở ra cơ hội phát triển mới nhưng cũng đi kèm không ít đầu việc hành chính như rà soát thông tin thuế, hóa đơn điện tử, chứng từ giao dịch và các dữ liệu liên quan để đ…</t>
  </si>
  <si>
    <t>Thêm ngay sau đoạn này: «Đây cũng là dịp để chủ hộ rà soát lại cách tính thuế hộ kinh doanh đang áp dụng.»</t>
  </si>
  <si>
    <t>Bài viết trên đây đã giúp bạn trả lời câu hỏi “hộ kinh doanh đóng thuế như thế nào?”, cũng như hướng dẫn về nghĩa vụ kê khai thuế hộ kinh doanh năm 2026.</t>
  </si>
  <si>
    <t>Thêm ngay sau đoạn này: «Để xem thêm ví dụ chi tiết, bạn có thể tham khảo cách tính thuế hộ kinh doanh nhỏ lẻ theo từng ngành nghề.»</t>
  </si>
  <si>
    <t>Trang đích trùng chủ đề bài nguồn</t>
  </si>
  <si>
    <t>4. Phí đăng ký giao dịch bảo đảm</t>
  </si>
  <si>
    <t>Ngoài việc tìm hiểu về các loại phí, khách hàng cũng cần nắm được cách tính lãi suất vay thế chấp , vì đây là yếu tố quan trọng ảnh hưởng trực tiếp đến chi phí vay tổng thể.</t>
  </si>
  <si>
    <t>Bôi đen cụm «cách tính lãi suất vay» trong câu trên, gắn link.</t>
  </si>
  <si>
    <t>3. Ưu đãi về chi phí sử dụng thẻ</t>
  </si>
  <si>
    <t>Đặc biệt, khách hàng cần nắm được cách tính lãi suất vay ngân hàng theo…</t>
  </si>
  <si>
    <t>Kiểm tra cụm này đã có link sẵn chưa</t>
  </si>
  <si>
    <t>4. Hạn mức cho vay mua nhà ở xã hội trả góp</t>
  </si>
  <si>
    <t>Song song với đó, việc hiểu rõ cách tính lãi suất vay thế chấp ngân hàng cũng hỗ trợ người vay chủ động hơn trong quá trình cân đối nguồn vốn và đánh giá chi phí thực tế.</t>
  </si>
  <si>
    <t>2. Cách tính tiền trả nợ 1 tỷ mỗi tháng kèm ví dụ (5 năm, 10 năm và 20 năm)</t>
  </si>
  <si>
    <t>Người có ý định vay ngân hàng có thể sử dụng công cụ tính toán để tìm được số tiền dự kiến cần trả hàng tháng với cách tính lãi suất vay ngân hàng theo năm phù hợp.</t>
  </si>
  <si>
    <t>Bôi đen cụm «cách tính lãi suất vay ngân hàng» trong câu trên, gắn link.</t>
  </si>
  <si>
    <t>4. Cách quản lý dư nợ hiệu quả</t>
  </si>
  <si>
    <t>…bao gồm số tiền vay ban đầu, lãi suất, phương thức tính lãi (dư nợ cố định hay giảm dần) và lịch trả nợ từng kỳ.</t>
  </si>
  <si>
    <t>Thêm ngay sau đoạn này: «Bạn có thể tham khảo cách tính lãi suất vay theo từng phương thức để dự trù nghĩa vụ trả nợ chính xác hơn.»</t>
  </si>
  <si>
    <t>3. 2 phương thức thanh toán phổ biến theo hình thức trả góp</t>
  </si>
  <si>
    <t>Trong phương thức này, số tiền phải trả hàng tháng sẽ giảm dần theo thời gian.</t>
  </si>
  <si>
    <t>Thêm ngay sau đoạn này: «Chi tiết công thức và ví dụ minh họa có tại bài viết về cách tính lãi suất vay.»</t>
  </si>
  <si>
    <t>5.2. Bảng tính số tiền trả hàng tháng cố định</t>
  </si>
  <si>
    <t>Công thức này có thể tính toán khi bạn vay 300 triệu trong 1 năm lãi suất bao nhiêu, vay 300 triệu lãi suất bao nhiêu 1 tháng.</t>
  </si>
  <si>
    <t>Thêm ngay sau đoạn này: «Bạn có thể tham khảo thêm cách tính lãi suất vay theo dư nợ gốc và dư nợ giảm dần kèm ví dụ.»</t>
  </si>
  <si>
    <t>4. Tính toán cụ thể số tiền phải thanh toán hàng tháng</t>
  </si>
  <si>
    <t>Hiện nay, vay mua nhà trả góp tại ngân hàng được tính lãi theo 2 hình thức phổ biến là niên kim và dư nợ giảm dần.</t>
  </si>
  <si>
    <t>Thêm ngay sau đoạn này: «Công thức và ví dụ cụ thể của từng hình thức được trình bày trong bài viết về cách tính lãi suất vay.»</t>
  </si>
  <si>
    <t>1. Giới thiệu gói vay 40 triệu chỉ cần CCCD trên Techcombank Mobile</t>
  </si>
  <si>
    <t>Lãi suất vay chỉ từ 1.2%/tháng (*) - tính trên dư nợ giảm dần : Giảm bớt áp lực trả góp với lãi suất cạnh tranh</t>
  </si>
  <si>
    <t>Thêm dòng sau đoạn: «Xem thêm: cách tính lãi suất vay theo dư nợ giảm dần»</t>
  </si>
  <si>
    <t>5. Lưu ý khi vay 15 triệu online</t>
  </si>
  <si>
    <t>Hiểu rõ cơ cấu lãi suất và lịch trả nợ: Lãi suất khoản vay được tính theo dư nợ giảm dần , nghĩa là tiền lãi giảm dần qua từng kỳ trả góp.</t>
  </si>
  <si>
    <t>4. Lưu ý quan trọng khi vay vốn ngân hàng</t>
  </si>
  <si>
    <t>Chú ý cách tính lãi suất, một số chi phí phát sinh và sự thay đổi trong thời hạn của lãi suất cho vay.</t>
  </si>
  <si>
    <t>Sửa câu thành: «Chú ý cách tính lãi suất vay, một số chi phí phát sinh và sự thay đổi trong thời hạn của lãi suất cho vay.»</t>
  </si>
  <si>
    <t>Công thức này có thể tính toán khi bạn vay 200 triệu trong 1 năm lãi suất bao nhiêu, vay 200 triệu trong 2 năm lãi suất bao nhiêu…</t>
  </si>
  <si>
    <t>3. Vì sao cần quan tâm đến lãi suất thực?</t>
  </si>
  <si>
    <t>Hiểu rõ tổng chi phí khi vay: Với các khoản vay, lãi suất thực giúp phản ánh chi phí vay sau khi xem xét đến ảnh hưởng của lạm phát.</t>
  </si>
  <si>
    <t>Thêm ngay sau đoạn này: «Bạn có thể tham khảo cách tính lãi suất vay ngân hàng để ước tính chính xác tiền lãi phải trả.»</t>
  </si>
  <si>
    <t>2. Hiểu rõ về cách tính lãi suất ngân hàng khi vay thế chấp</t>
  </si>
  <si>
    <t>Hiện nay, có nhiều cách tính lãi vay ngân hàng (theo dư nợ giảm dần, theo phương thức niên kim) và các loại lãi suất (cố định, thả nổi và hỗn hợp).</t>
  </si>
  <si>
    <t>Sửa câu thành: «Hiện nay, có nhiều cách tính lãi suất vay ngân hàng (theo dư nợ giảm dần, theo phương thức niên kim) và các loại lãi suất (cố định, thả nổi và hỗn hợp).»</t>
  </si>
  <si>
    <t>Nắm rõ về lãi suất vay thế chấp và cách tính lãi của ngân hàng giúp khách hàng xác định được số tiền gốc và lãi cần trả mỗi tháng…</t>
  </si>
  <si>
    <t>Sửa câu thành: «Nắm rõ về lãi suất vay thế chấp và cách tính lãi suất vay ngân hàng giúp khách hàng xác định được số tiền gốc và lãi cần trả mỗi tháng…»</t>
  </si>
  <si>
    <t>2. Lưu ý cách tính lãi suất khi vay thế chấp sổ đỏ/ sổ hồng tại ngân hàng</t>
  </si>
  <si>
    <t>Hiểu rõ về cách tính lãi suất của ngân hàng giúp bạn chủ động kiểm soát cho khoản vay của bản thân.</t>
  </si>
  <si>
    <t>Sửa câu thành: «Hiểu rõ về cách tính lãi suất vay ngân hàng giúp bạn chủ động kiểm soát cho khoản vay của bản thân.»</t>
  </si>
  <si>
    <t>1. Lãi suất thả nổi là gì?</t>
  </si>
  <si>
    <t>Một khách hàng vay 100,000,000 VND với lãi suất thả nổi 10%/năm.</t>
  </si>
  <si>
    <t>Thêm ngay sau đoạn này: «Bạn có thể tham khảo thêm cách tính lãi suất vay kèm ví dụ cụ thể.»</t>
  </si>
  <si>
    <t>3.1. Tính lãi theo dư nợ giảm dần</t>
  </si>
  <si>
    <t>Ví dụ : Bạn vay ngân hàng 80,000,000 VND cho thời hạn 12 tháng, lãi suất 12%/năm trên dư nợ giảm dần.</t>
  </si>
  <si>
    <t>Thêm dòng sau đoạn: «Xem thêm: Cách tính lãi suất vay ngân hàng kèm ví dụ chi tiết»</t>
  </si>
  <si>
    <t>Đoạn ví dụ tính toán – dùng Xem thêm</t>
  </si>
  <si>
    <t>1.4. Vay thấu chi</t>
  </si>
  <si>
    <t>Lãi suất cao hơn so với các hình thức vay thông thường: Do tính chất linh hoạt của khoản vay, lãi suất vay thấu chi thường cao hơn các hình thức vay khác.</t>
  </si>
  <si>
    <t>Thêm dòng sau đoạn: «Xem thêm: cách tính lãi suất vay ngân hàng»</t>
  </si>
  <si>
    <t>2. Lãi vay thấu chi được tính như thế nào?</t>
  </si>
  <si>
    <t>Ví dụ: Bạn vay thấu chi 10,000,000 VND với mức lãi suất là 13%/năm và thời gian thấu chi thực tế là 45 ngày.</t>
  </si>
  <si>
    <t>Thêm dòng sau đoạn: «Xem thêm: Cách tính lãi suất vay ngân hàng theo dư nợ giảm dần và dư nợ ban đầu»</t>
  </si>
  <si>
    <t>4.1. Lịch trả góp hàng tháng như thế nào?</t>
  </si>
  <si>
    <t>Khoản trả hàng tháng = Gốc trả hàng tháng + Lãi vay theo tháng</t>
  </si>
  <si>
    <t>Thêm dòng sau đoạn: «Xem thêm: cách tính lãi suất vay ngân hàng kèm ví dụ»</t>
  </si>
  <si>
    <t>1. Vay tiêu dùng tín chấp trả góp online</t>
  </si>
  <si>
    <t>Lãi suất chỉ từ 1.2%/tháng (*) - tính trên dư nợ giảm dần: Giảm bớt áp lực trả góp với lãi suất cạnh tranh</t>
  </si>
  <si>
    <t>3.1. Lãi suất cố định</t>
  </si>
  <si>
    <t>Lãi suất cố định giúp người vay dễ dàng tính toán dòng tiền, không lo biến động thị trường…</t>
  </si>
  <si>
    <t>Thêm ngay sau đoạn này: «Bạn có thể tham khảo thêm cách tính lãi suất vay kèm ví dụ để ước tính chi phí.»</t>
  </si>
  <si>
    <t>2. Lợi ích khi vay 30 triệu trên Techcombank Mobile</t>
  </si>
  <si>
    <t>Lãi suất vay chỉ từ 1.2%/tháng: Giảm bớt áp lực trả góp với lãi suất cạnh tranh</t>
  </si>
  <si>
    <t>2. Lưu ý về cách tính lãi khi vay ngân hàng xây/sửa nhà</t>
  </si>
  <si>
    <t>Ví dụ: Bạn vay ngân hàng xây nhà với số tiền 480,000,000 VND cho thời hạn 48 tháng, lãi suất 6.5 %/năm trên dư nợ giảm dần…</t>
  </si>
  <si>
    <t>Đoạn ví dụ số liệu – đặt Xem thêm sau phần tính</t>
  </si>
  <si>
    <t>2.1. Cách tính lãi vay tín chấp theo dư nợ giảm dần</t>
  </si>
  <si>
    <t>Theo cách tính này, lãi suất vay tín chấp sẽ được tính trên số tiền thực tế mà bạn còn nợ (sau khi đã trừ một phần tiền gốc đã trả trước đó).</t>
  </si>
  <si>
    <t>Thêm ngay sau đoạn này: «Bạn có thể tìm hiểu thêm cách tính lãi suất vay theo dư nợ giảm dần và dư nợ ban đầu kèm ví dụ cụ thể.»</t>
  </si>
  <si>
    <t>5. Hướng dẫn vay tín dụng tiêu dùng</t>
  </si>
  <si>
    <t>Thay vì chỉ tập trung vào hạn mức hay lãi suất, bạn cần đánh giá kỹ tổng thể: từ khả năng thanh toán, tính linh hoạt của sản phẩm, đến mức độ ảnh hưởng lên tài chính cá nhân.</t>
  </si>
  <si>
    <t>Thêm ngay sau đoạn này: «Bạn cũng nên nắm cách tính lãi suất vay để so sánh chi phí giữa các gói vay.»</t>
  </si>
  <si>
    <t>3. Vay nhanh online 24/24 trên Techcombank Mobile - vay tiền có liền</t>
  </si>
  <si>
    <t>Dòng có số liệu – dùng Xem thêm</t>
  </si>
  <si>
    <t>4. Vay tiền online nhanh 24/24 trên Techcombank Mobile - vay tiền có liền</t>
  </si>
  <si>
    <t>3. Ví dụ về cách tính tiền lãi khi ân hạn nợ gốc</t>
  </si>
  <si>
    <t>Dưới đây là một ví dụ để giúp bạn dễ dàng hình dung về cách tính tiền lãi khi ân hạn nợ gốc.</t>
  </si>
  <si>
    <t>Thêm ngay sau đoạn này: «Để nắm rõ nguyên tắc chung, bạn có thể tham khảo thêm cách tính lãi suất vay ngân hàng.»</t>
  </si>
  <si>
    <t>3. Lời khuyên khi mua xe ô tô theo hình thức trả góp</t>
  </si>
  <si>
    <t>Nên lựa chọn ngân hàng cung cấp giải pháp vay có thời hạn vay dài, hạn mức vay cao, ưu đãi về lãi suất vay mua ô tô , thủ tục đơn giản, giải ngân nhanh chóng.</t>
  </si>
  <si>
    <t>Thêm ngay sau đoạn này: «Bạn cũng nên nắm cách tính lãi suất vay ngân hàng để so sánh chính xác các phương án vay.»</t>
  </si>
  <si>
    <t>2.1. Tính lãi theo dư nợ giảm dần</t>
  </si>
  <si>
    <t>Ví dụ: Bạn vay tiêu dùng 60,000,000 VND cho thời hạn 12 tháng, lãi suất 10%/năm trên dư nợ giảm dần.</t>
  </si>
  <si>
    <t>3. Cân nhắc về hình thức thanh toán gốc và lãi</t>
  </si>
  <si>
    <t>Trường hợp bạn muốn giảm áp lực trả nợ trong các thời kỳ đầu và dễ dàng quản lý số tiền gốc, lãi cần trả hàng tháng thì cách tính theo niên kim sẽ phù hợp cho bạn.</t>
  </si>
  <si>
    <t>Thêm dòng sau đoạn: «Xem thêm: 2 cách tính lãi suất vay ngân hàng kèm ví dụ»</t>
  </si>
  <si>
    <t>Song song với đó, khi có nhu cầu sử dụng thêm các sản phẩm vay vốn, khách …</t>
  </si>
  <si>
    <t>Thêm ngay sau đoạn này: «Trước khi vay, khách hàng nên tìm hiểu cách tính lãi suất vay ngân hàng để chủ động kế hoạch trả nợ.»</t>
  </si>
  <si>
    <t>2. Tìm hiểu về kỳ hạn gửi tiết kiệm 12 tháng</t>
  </si>
  <si>
    <t>Để có cái nhìn trực quan và dễ lựa chọn hơn, khách hàng nên tìm hiểu cách tính lãi suất vay ngân hàng theo tháng và tham khảo mức lãi suất tiết kiệm online…</t>
  </si>
  <si>
    <t>Câu gốc nói lãi vay trong bài tiết kiệm – kiểm tra có link sẵn chưa</t>
  </si>
  <si>
    <t>5. Mở cơ hội dễ dàng tiếp cận các dịch vụ tài chính khác</t>
  </si>
  <si>
    <t>Các gói vay online trên Techcombank Business có quy trình phê duyệt nhanh chóng, giúp doanh nghiệp tiếp cận nguồn vốn cần thiết với lãi suất ưu đãi và không phí trả nợ trước hạn.</t>
  </si>
  <si>
    <t>Thêm ngay sau đoạn này: «Doanh nghiệp có thể tìm hiểu cách tính lãi suất vay để ước tính chi phí vốn trước khi đăng ký.»</t>
  </si>
  <si>
    <t>4. 4 lưu ý sử dụng và quản lý thẻ tín dụng phụ hợp lý</t>
  </si>
  <si>
    <t>Do đó, chủ thẻ chính sẽ phải thanh toán đúng hạn để không phát sinh các loại phí như phí phạt trả chậm và lãi suất.</t>
  </si>
  <si>
    <t>Thêm ngay sau đoạn này: «Với các khoản vay khác, chủ thẻ cũng nên tìm hiểu cách tính lãi suất vay ngân hàng để chủ động kế hoạch trả nợ.»</t>
  </si>
  <si>
    <t>4. Đọc hiểu sao kê thẻ tín dụng như thế nào?</t>
  </si>
  <si>
    <t>Việc chỉ thanh toán số tiền tối thiểu sẽ giúp bạn không bị phạt trả chậm, nhưng phần dư nợ còn lại sẽ bắt đầu bị tính lãi suất theo quy định của ngân hàng.</t>
  </si>
  <si>
    <t>Thêm dòng sau đoạn: «Xem thêm: Cách tính lãi suất vay ngân hàng kèm ví dụ»</t>
  </si>
  <si>
    <t>Lãi thẻ tín dụng khác lãi vay – đọc lại</t>
  </si>
  <si>
    <t>Hỗ trợ: Chuyên viên hướng dẫn chi tiết phương án vay phù hợp để tối ưu lãi suất và thời gian chuẩn bị.</t>
  </si>
  <si>
    <t>Thêm ngay sau đoạn này: «Bạn cũng có thể tham khảo cách tính lãi suất vay ngân hàng để chủ động kế hoạch trả nợ.»</t>
  </si>
  <si>
    <t>Đoạn tóm tắt mở bài – cân nhắc vị trí</t>
  </si>
  <si>
    <t>5. Cách tính số tiền trả góp hàng tháng</t>
  </si>
  <si>
    <t>Ví dụ: Khách hàng mua một chiếc điện thoại giá 9 triệu và chọn trả góp trong 6 tháng với mức % phí chuyển đổi là 3,75%.</t>
  </si>
  <si>
    <t>4. Ví dụ về cách tính hạn mức vay thế chấp sổ đỏ</t>
  </si>
  <si>
    <t>…để nhận được hạn mức vay thế chấp sổ đỏ tối đa, người vay cần đảm bảo lịch sử tín dụng tốt, sở hữu tài sản đảm bảo có tính thanh khoản cao với giấy tờ pháp lý rõ ràng.</t>
  </si>
  <si>
    <t>Bôi đen cụm «vay thế chấp sổ đỏ» trong câu trên, gắn link.</t>
  </si>
  <si>
    <t>Với những khách hàng quan tâm đến kế hoạch tài chính dài hạn, việc hiểu rõ hạn mức vay thế chấp sổ đỏ cũng giú…</t>
  </si>
  <si>
    <t>1. Vay thế chấp sổ đỏ là cách gọi không chính thức trong lĩnh vực ngân hàng</t>
  </si>
  <si>
    <t>Trong lĩnh vực ngân hàng, vay thế chấp sổ đỏ là một cách gọi không chính xác về mặt pháp lý và được công nhận chính thức.</t>
  </si>
  <si>
    <t>1.1. Lãi suất ưu đãi</t>
  </si>
  <si>
    <t>Lãi suất ảnh hưởng trực tiếp đến số tiền mà bạn cần trả hàng tháng khi vay thế chấp, đặc biệt là trong giai đoạn thả nổi.</t>
  </si>
  <si>
    <t>Thêm ngay sau đoạn này: «Nếu tài sản bảo đảm là nhà đất, bạn có thể tìm hiểu thêm điều kiện vay thế chấp sổ đỏ ngân hàng.»</t>
  </si>
  <si>
    <t>1. Khái niệm vay thế chấp ngân hàng</t>
  </si>
  <si>
    <t>Tài sản bảo đảm đa dạng như bất động sản có giấy chứng nhận (quyền sở hữu nhà và quyền sử dụng đất ở - sổ hồng; hoặc quyền sử dụng đất - sổ đỏ)…</t>
  </si>
  <si>
    <t>Thêm ngay sau đoạn này: «Với tài sản là nhà đất, bạn có thể tìm hiểu thêm về vay thế chấp sổ đỏ ngân hàng cùng lãi suất, thủ tục và điều kiện.»</t>
  </si>
  <si>
    <t>7. Lựa chọn ngân hàng uy tín, gói vay linh hoạt</t>
  </si>
  <si>
    <t>Các ngân hàng lớn, uy tín có nhiều gói vay thế chấp với mức lãi suất cạnh tranh và chính sách vay có lợi cho khách hàng.</t>
  </si>
  <si>
    <t>Thêm ngay sau đoạn này: «Nếu dùng sổ đỏ làm tài sản bảo đảm, bạn có thể tham khảo thêm lãi suất vay thế chấp sổ đỏ tại các ngân hàng.»</t>
  </si>
  <si>
    <t>Bạn quan tâm tới các giải pháp mua bất động sản có giấy chứng nhận , vay mua nhà dự án trực tiếp từ Chủ đầu tư , vay mua ô tô đi lại của Techcombank…</t>
  </si>
  <si>
    <t>Thêm ngay sau đoạn này: «Bạn cũng có thể tham khảo lãi suất vay thế chấp sổ đỏ để so sánh trước khi lựa chọn.»</t>
  </si>
  <si>
    <t>2.5 Vay thế chấp mua ô tô</t>
  </si>
  <si>
    <t>Bên cạnh tìm hiểu về điều kiện, bạn có thể đọc thêm bài viết 7 kinh nghiệm vay thế chấp ngân hàng hiệu quả, nhanh chóng, lãi suất thấp để tăng cơ hội nhận được vốn vay.</t>
  </si>
  <si>
    <t>Thêm ngay sau đoạn này: «Bạn cũng có thể tham khảo lãi suất vay thế chấp sổ đỏ để chuẩn bị kế hoạch vay phù hợp.»</t>
  </si>
  <si>
    <t>3. Vay thế chấp sổ hồng lãi suất bao nhiêu?</t>
  </si>
  <si>
    <t>Nếu bạn đã nắm được mức lãi suất khi vay thế chấp sổ hồng, bạn có thể sử dụng công cụ tính lãi vay để biết tổng số tiền gốc và lãi phải trả…</t>
  </si>
  <si>
    <t>Sửa câu thành: «Nếu bạn đã nắm được mức lãi suất vay thế chấp sổ hồng, bạn có thể sử dụng công cụ tính lãi vay để biết tổng số tiền gốc và lãi phải trả, cũng như số tiền gốc và lãi phải trả cho từng tháng.»</t>
  </si>
  <si>
    <t>Trang đích nói về sổ đỏ, nội dung tương đương</t>
  </si>
  <si>
    <t>3. Không nên nhờ người khác đứng tên trên giấy chứng nhận quyền sử dụng đất</t>
  </si>
  <si>
    <t>Vay thế chấp sổ hồng là một trong những hình thức phổ biến khi vay vốn.</t>
  </si>
  <si>
    <t>Sửa câu thành: «Vay thế chấp sổ đỏ, sổ hồng là một trong những hình thức phổ biến khi vay vốn.»</t>
  </si>
  <si>
    <t>Anchor là ‘vay thế chấp sổ đỏ’</t>
  </si>
  <si>
    <t>2. Lời khuyên giúp bạn vay thế chấp với hạn mức vay cao</t>
  </si>
  <si>
    <t>Như vậy, hạn mức vay thế chấp tối đa sẽ tùy theo quy định và chính sách của ngân hàng.</t>
  </si>
  <si>
    <t>Thêm ngay sau đoạn này: «Nếu tài sản bảo đảm là nhà đất, bạn có thể tìm hiểu thêm về vay thế chấp sổ đỏ cùng lãi suất, thủ tục và điều kiện.»</t>
  </si>
  <si>
    <t>1.1. Những điểm quan trọng về thanh lý tài sản</t>
  </si>
  <si>
    <t>Tài sản đảm bảo / tài sản thế chấp là tài sản mà người vay cam kết dùng để đảm bảo một khoản vay hay nghĩa vụ tài chính.</t>
  </si>
  <si>
    <t>Thêm ngay sau đoạn này: «Phổ biến nhất là hình thức vay thế chấp sổ đỏ, khi quyền sử dụng đất được dùng làm tài sản đảm bảo.»</t>
  </si>
  <si>
    <t>3. Các hình thức vay sản xuất kinh doanh</t>
  </si>
  <si>
    <t>Vay thế chấp: Cần có tài sản đảm bảo là điều kiện bắt buộc để khách hàng có thể vay thế chấp.</t>
  </si>
  <si>
    <t>Thêm ngay sau đoạn này: «Nếu tài sản đảm bảo là nhà đất, bạn có thể tìm hiểu thêm về vay thế chấp sổ đỏ ngân hàng cùng lãi suất, thủ tục và điều kiện.»</t>
  </si>
  <si>
    <t>2. 3 hình thức chứng minh thu nhập được chấp nhận khi vay thế chấp</t>
  </si>
  <si>
    <t>Sự linh hoạt về hình thức chứng minh thu nhập của các ngân hàng tạo điều kiện thuận lợi cho khách hàng trong việc vay thế chấp…</t>
  </si>
  <si>
    <t>Thêm ngay sau đoạn này: «Nếu tài sản đảm bảo là nhà đất, bạn có thể tham khảo thêm về vay thế chấp sổ đỏ ngân hàng cùng điều kiện và thủ tục.»</t>
  </si>
  <si>
    <t>4. Các câu hỏi thường gặp khi vay doanh nghiệp không thế chấp</t>
  </si>
  <si>
    <t>Techcombank cung cấp nhiều giải pháp vay doanh nghiệp, trong đó có các sản phẩm vay không thế chấp, với mức lãi suất linh hoạt, ưu đãi, phù hợp với từng mục đích vay cụ thể.</t>
  </si>
  <si>
    <t>Thêm ngay sau đoạn này: «Nếu có tài sản bảo đảm là nhà đất, bạn có thể so sánh thêm với lãi suất vay thế chấp sổ đỏ.»</t>
  </si>
  <si>
    <t>Bài về vay không thế chấp – liên quan vừa phải</t>
  </si>
  <si>
    <t>Với mong muốn hỗ trợ khách hàng nhanh chóng tiếp cận nguồn vốn để thực hiện các kế hoạch tài chính, Techcombank mang đến nhiều giải pháp Vay thế chấp với lãi suất ưu đãi và chính sách hỗ trợ linh hoạ…</t>
  </si>
  <si>
    <t>Thêm dòng sau đoạn: «Xem thêm: lãi suất vay thế chấp sổ đỏ tại các ngân hàng»</t>
  </si>
  <si>
    <t>Đặt sau danh sách giải pháp vay</t>
  </si>
  <si>
    <t>Bạn cần xóa thế chấp tài sản để cập nhật tình trạng pháp lý?</t>
  </si>
  <si>
    <t>Thêm ngay sau đoạn này: «Nếu đang tìm hiểu khoản vay dùng sổ đỏ làm tài sản bảo đảm, bạn có thể tham khảo thêm về vay thế chấp sổ đỏ tại ngân hàng.»</t>
  </si>
  <si>
    <t>Như vậy, vay thế chấp qua lương chưa được chấp nhận tại nhiều ngân hàng hiện nay.</t>
  </si>
  <si>
    <t>Thêm ngay sau đoạn này: «Nếu có nhà đất, bạn có thể cân nhắc vay thế chấp sổ đỏ ngân hàng để được hạn mức cao hơn.»</t>
  </si>
  <si>
    <t>4. Quy trình giải ngân vốn vay thế chấp của ngân hàng</t>
  </si>
  <si>
    <t>Nếu khách hàng có nhu cầu thanh toán khoản vay, vui lòng tham khảo thêm thông tin chi tiết trong bài viết: Quy trình tất toán khoản vay thế chấp .</t>
  </si>
  <si>
    <t>Thêm ngay sau đoạn này: «Nếu dùng sổ đỏ làm tài sản đảm bảo, bạn có thể tìm hiểu thêm về vay thế chấp sổ đỏ ngân hàng.»</t>
  </si>
  <si>
    <t>Đoạn đã có link khác</t>
  </si>
  <si>
    <t>4. Lưu ý khi tất toán khoản vay thế chấp</t>
  </si>
  <si>
    <t>Sau khi hoàn thành tất toán khoản vay, khách hàng sẽ được thông báo về thời gian đến nhận lại tài sản từ ngân hàng và các hồ sơ liên quan để thực hiện thủ tục xóa chấp.</t>
  </si>
  <si>
    <t>Sửa câu thành: «Sau khi hoàn thành tất toán khoản vay, khách hàng sẽ được thông báo về thời gian đến nhận lại tài sản từ ngân hàng và các hồ sơ liên quan để thực hiện thủ tục xóa thế chấp.»</t>
  </si>
  <si>
    <t>3.3. Tất toán khoản vay là gì?</t>
  </si>
  <si>
    <t>Khách hàng có thể tới quầy để được tư vấn về thủ tục, quy trình tất toán khoản vay.</t>
  </si>
  <si>
    <t>Thêm ngay sau đoạn này: «Với khoản vay thế chấp, sau khi tất toán bạn cần chuẩn bị hồ sơ thủ tục xóa thế chấp để nhận lại giấy tờ tài sản.»</t>
  </si>
  <si>
    <t>2.4. Hồ sơ và quy trình vay tiêu dùng thế chấp</t>
  </si>
  <si>
    <t>Bước 1: Gửi hồ sơ vay thế chấp cho ngân hàng/công ty tài chính</t>
  </si>
  <si>
    <t>Thêm dòng sau đoạn: «Xem thêm: hồ sơ thủ tục xóa thế chấp khi tất toán khoản vay»</t>
  </si>
  <si>
    <t>Tóm lại, vay thế chấp là một giải pháp tài chính linh hoạt và hữu ích, giúp bạn hiện thực hóa những mục tiêu tài chính lớn.</t>
  </si>
  <si>
    <t>Thêm ngay sau đoạn này: «Sau khi tất toán khoản vay, bạn cần thực hiện thủ tục xóa thế chấp để hoàn tất quyền sở hữu tài sản.»</t>
  </si>
  <si>
    <t>5. Ví dụ về cách tính hạn mức vay thế chấp sổ đỏ</t>
  </si>
  <si>
    <t>Như vậy, sổ đỏ có thể được sử dụng để vay ngân hàng nếu tài sản đáp ứng điều kiện pháp lý và khách hàng đáp ứng tiêu chí vay vốn theo quy định của ngân hàng.</t>
  </si>
  <si>
    <t>Thêm ngay sau đoạn này: «Sau khi tất toán khoản vay, bạn cần thực hiện thủ tục xóa thế chấp sổ đỏ để hoàn tất nghĩa vụ với ngân hàng.»</t>
  </si>
  <si>
    <t>Vai trò của Giấy chứng nhận quyền sử dụng đất trong giao dịch vay thế chấp là tài sản được bên vay sử dụng để đảm bảo cho nghĩa vụ trả nợ vay tại ngân hàng.</t>
  </si>
  <si>
    <t>Thêm ngay sau đoạn này: «Sau khi tất toán khoản vay, bạn cần làm thủ tục xóa thế chấp sổ đỏ để hoàn tất việc giải chấp tài sản.»</t>
  </si>
  <si>
    <t>Hiểu về giải ngân vay thế chấp giúp khách hàng chủ động hơn trong chuẩn bị hồ sơ vay và kế hoạch sử d…</t>
  </si>
  <si>
    <t>Thêm ngay sau đoạn này: «Khi tất toán khoản vay sau này, bạn cũng nên tìm hiểu hồ sơ thủ tục xóa thế chấp để hoàn tất nghĩa vụ.»</t>
  </si>
  <si>
    <t>3.2. Hồ sơ vay thế chấp</t>
  </si>
  <si>
    <t>Hồ sơ vay tiền có thế chấp của khách hàng sẽ gồm các giấy tờ sau:</t>
  </si>
  <si>
    <t>Đặt sau danh sách giấy tờ</t>
  </si>
  <si>
    <t>3.3. Cần lưu ý gì khi mua xe trả góp?</t>
  </si>
  <si>
    <t>Trước khi đăng ký, hãy tham khảo kỹ điều kiện của từng ngân hàng để lựa chọn giải pháp tài chính đáp ứng tốt nhất nhu cầu và khả năng thanh toán.</t>
  </si>
  <si>
    <t>Thêm ngay sau đoạn này: «Với khoản vay có tài sản bảo đảm, sau khi tất toán bạn có thể tham khảo hồ sơ thủ tục xóa thế chấp để hoàn tất giấy tờ.»</t>
  </si>
  <si>
    <t>Đích nói về xóa thế chấp đất/sổ đỏ</t>
  </si>
  <si>
    <t>5. Lưu ý khi vay sản xuất kinh doanh</t>
  </si>
  <si>
    <t>Ngoài ra, để đảm bảo vay vốn thành công, việc chuẩn bị thủ tục, hồ sơ cần cũng được chú trọng.</t>
  </si>
  <si>
    <t>Thêm ngay sau đoạn này: «Sau khi tất toán khoản vay thế chấp, bạn cũng nên tìm hiểu hồ sơ thủ tục xóa thế chấp để hoàn tất quyền sở hữu tài sản.»</t>
  </si>
  <si>
    <t>4.1 Hồ sơ</t>
  </si>
  <si>
    <t>Hồ sơ vay thế chấp ngân hàng thường gồm các loại giấy tờ như sau:</t>
  </si>
  <si>
    <t>Thêm dòng sau đoạn: «Xem thêm: hồ sơ thủ tục xóa thế chấp khi đã tất toán khoản vay»</t>
  </si>
  <si>
    <t>2.7. Giải pháp ứng vốn kinh doanh</t>
  </si>
  <si>
    <t>Giải pháp ứng vốn kinh doanh (thường bao gồm vay tín chấp và vay thế chấp) là đòn bẩy tài chính, giúp Merchant kịp thời có nguồn vốn để thực hiện các nhu cầu tài chính ngắn hạn/dài hạn.</t>
  </si>
  <si>
    <t>Thêm ngay sau đoạn này: «Với khoản vay thế chấp, sau khi tất toán, khách hàng cần thực hiện thủ tục xóa thế chấp tài sản bảo đảm.»</t>
  </si>
  <si>
    <t>1. Hạn mức vay thế chấp tối đa hiện nay</t>
  </si>
  <si>
    <t>Ví dụ: Anh Nguyễn Văn A có nhu cầu vay thế chấp để mua căn hộ chung cư và thế chấp bằng chính sổ đỏ là căn hộ chung cư mua.</t>
  </si>
  <si>
    <t>Thêm dòng sau đoạn: «Xem thêm: thủ tục xóa thế chấp sổ đỏ sau khi tất toán khoản vay»</t>
  </si>
  <si>
    <t>Đoạn ví dụ có số liệu – dùng Xem thêm</t>
  </si>
  <si>
    <t>Dù lựa chọn tích trữ vàng hay gửi tiết kiệm, người dùng vẫn cần theo dõi sát biến động giá vàng, tỷ giá ngoại tệ và lãi suất ngân hàng .</t>
  </si>
  <si>
    <t>Bôi đen cụm «lãi suất ngân hàng» trong câu trên, gắn link.</t>
  </si>
  <si>
    <t>Có thể đã gắn link sẵn – kiểm tra trùng</t>
  </si>
  <si>
    <t>Lãi suất của chứng chỉ quỹ không cố định như lãi suất tiền gửi ngân hàng.</t>
  </si>
  <si>
    <t>Bôi đen cụm «lãi suất tiền gửi ngân hàng» trong câu trên, gắn link.</t>
  </si>
  <si>
    <t>3. 7 thông tin cần biết trước khi mở sổ tiết kiệm</t>
  </si>
  <si>
    <t>Bên cạnh đó, lãi suất gửi tiết kiệm cũng sẽ khác nhau tùy theo số tiền gửi, kỳ hạn gửi, đơn vị tiền gửi, hình thức gửi...</t>
  </si>
  <si>
    <t>Sửa câu thành: «Bên cạnh đó, lãi suất gửi tiết kiệm ngân hàng cũng sẽ khác nhau tùy theo số tiền gửi, kỳ hạn gửi, đơn vị tiền gửi, hình thức gửi...»</t>
  </si>
  <si>
    <t>1. Gửi tiết kiệm</t>
  </si>
  <si>
    <t>Gửi tiết kiệm là hình thức đầu tư truyền thống, trong đó người gửi chuyển một khoản tiền gửi nhàn rỗi vào ngân hàng để hưởng lãi suất theo kỳ hạn đã chọn…</t>
  </si>
  <si>
    <t>Thêm ngay sau đoạn này: «Bạn có thể tham khảo lãi suất gửi tiết kiệm ngân hàng hiện nay để lựa chọn kỳ hạn phù hợp.»</t>
  </si>
  <si>
    <t>Hiện nay, các ngân hàng đang có hình thức gửi tiết kiệm tại quầy giao dịch hoặc gửi tiết kiệm online với mức tiền gửi tối thiểu chỉ từ 100.000 VND - 1.000.000 VND tùy ngân hàng mà bạn lựa chọn.</t>
  </si>
  <si>
    <t>Thêm ngay sau đoạn này: «Bạn có thể so sánh lãi suất gửi tiết kiệm ngân hàng hiện nay để chọn nơi gửi phù hợp.»</t>
  </si>
  <si>
    <t>3. Nên làm gì với 5 triệu để sinh lời ngoài mua vàng?</t>
  </si>
  <si>
    <t>Với số tiền 5 triệu VND, nếu bạn ưu tiên sự an toàn, ổn định và muốn sinh lời chắc chắn mà không cần lo lắng về biến động thị trường, thì gửi tiết kiệm ngân hàng là một lựa chọn rất phù hợp.</t>
  </si>
  <si>
    <t>Thêm ngay sau đoạn này: «Trước khi gửi, bạn nên so sánh lãi suất gửi tiết kiệm ngân hàng để chọn kỳ hạn phù hợp.»</t>
  </si>
  <si>
    <t>5. So sánh lợi nhuận từ tích lũy vàng so với lãi ngân hàng</t>
  </si>
  <si>
    <t>Trước khi quyết định đầu tư vào vàng, nhà đầu tư nên so sánh lợi nhuận kỳ vọng từ việc tích trữ vàng với lãi suất tiết kiệm ngân hàng.</t>
  </si>
  <si>
    <t>Sửa câu thành: «Trước khi quyết định đầu tư vào vàng, nhà đầu tư nên so sánh lợi nhuận kỳ vọng từ việc tích trữ vàng với lãi suất ngân hàng dành cho tiền gửi tiết kiệm.»</t>
  </si>
  <si>
    <t>2. Có nên gửi tiết kiệm USD không?</t>
  </si>
  <si>
    <t>Lãi suất gửi tiết kiệm VNĐ dao động từ 3 - 6%/năm (tuỳ theo chính sách của mỗi ngân hàng tại từng thời điểm), cao hơn rất nhiều so với…</t>
  </si>
  <si>
    <t>Thêm ngay sau đoạn này: «Bạn có thể tham khảo lãi suất ngân hàng hiện nay để chọn nơi gửi phù hợp.»</t>
  </si>
  <si>
    <t>3. Các phương pháp tiết kiệm tiền mua nhà thông minh</t>
  </si>
  <si>
    <t>Gửi tiền vào ngân hàng để sinh lời: Chủ động mở sổ tiết kiệm để gửi tiền mỗi tháng vào ngân hàng để hưởng lãi suất, giúp số tiền sinh lời tự động theo thời gian.</t>
  </si>
  <si>
    <t>Thêm ngay sau đoạn này: «Bạn có thể so sánh lãi suất ngân hàng hiện nay để chọn nơi gửi phù hợp.»</t>
  </si>
  <si>
    <t>2. 4 sản phẩm gửi tiết kiệm hàng tháng của các ngân hàng</t>
  </si>
  <si>
    <t>Khách hàng có thể lựa chọn sản phẩm tiết kiệm giữa các ngân hàng dựa trên các tiêu chí như: So sánh lãi suất trong cùng kỳ hạn, số lượng kỳ hạn được gửi, số tiền tối thiểu mỗi lần gửi...</t>
  </si>
  <si>
    <t>Thêm ngay sau đoạn này: «Bạn có thể tham khảo lãi suất tiền gửi ngân hàng cập nhật hằng ngày để so sánh nhanh.»</t>
  </si>
  <si>
    <t>1. Gửi tiền tiết kiệm qua ngân hàng số</t>
  </si>
  <si>
    <t>Lãi suất hấp dẫn: Các ngân hàng thường áp dụng lãi suất cao hơn 0.1 - 0.4%/năm (có thể thay đổi tuỳ theo chính sách của từng ngân hàng tại từng thời kỳ) cho tiền gửi online…</t>
  </si>
  <si>
    <t>Thêm dòng sau đoạn: «Xem thêm: lãi suất tiền gửi ngân hàng hôm nay»</t>
  </si>
  <si>
    <t>Có số liệu – dùng Xem thêm</t>
  </si>
  <si>
    <t>1.1. Lợi ích khi mở nhiều tài khoản ngân hàng</t>
  </si>
  <si>
    <t>Bằng cách mở nhiều tài khoản ngân hàng, bạn có thể phân chia tiền gửi của mình vào các tài khoản hoặc các ngân hàng có lãi suất cao hơn, từ đó tăng khả năng sinh lời và tiết kiệm.</t>
  </si>
  <si>
    <t>Thêm ngay sau đoạn này: «Bạn có thể tham khảo bảng lãi suất tiền gửi ngân hàng hôm nay để so sánh.»</t>
  </si>
  <si>
    <t>3. Cung cấp đa dạng dịch vụ tiết kiệm và đầu tư</t>
  </si>
  <si>
    <t>Ngân hàng số cung cấp dịch vụ tiết kiệm và đầu tư với lợi thế lãi suất cạnh tranh, linh hoạt trong việc gửi/rút tiền và các mô hình đầu tư chủ động.</t>
  </si>
  <si>
    <t>Thêm ngay sau đoạn này: «Bạn có thể tham khảo bảng lãi suất tiền gửi ngân hàng hiện nay để so sánh trước khi gửi.»</t>
  </si>
  <si>
    <t>1. Lãi suất thực phản ánh điều gì khi gửi tiết kiệm hoặc vay vốn?</t>
  </si>
  <si>
    <t>Lãi suất danh nghĩa (lãi suất công bố) là mức lãi suất ngân hàng niêm yết trên hợp đồng hoặc bảng biểu, chưa tính đến biến động giá cả.</t>
  </si>
  <si>
    <t>1.2. Lãi suất</t>
  </si>
  <si>
    <t>Có thể thấy, mức lãi suất khi gửi tiết kiệm online Techcombank sẽ cao hơn so với gửi tiết kiệm tại quầy.</t>
  </si>
  <si>
    <t>Thêm ngay sau đoạn này: «Bạn có thể tham khảo thêm bảng lãi suất gửi tiết kiệm ngân hàng hôm nay để so sánh trước khi chọn nơi gửi.»</t>
  </si>
  <si>
    <t>2. Ưu điểm của giải pháp Tích lũy Như Ý so với gửi tiết kiệm thông thường</t>
  </si>
  <si>
    <t>Khách hàng có thể lựa chọn kỳ hạn từ 3 - 60 tháng tùy theo mục đích gửi tiết kiệm.</t>
  </si>
  <si>
    <t>Thêm ngay sau đoạn này: «Bạn có thể so sánh với lãi suất gửi tiết kiệm ngân hàng khác hiện nay.»</t>
  </si>
  <si>
    <t>2.3. Lưu ý khi gửi tiết kiệm tại ngân hàng</t>
  </si>
  <si>
    <t>Gửi tiết kiệm tại ngân hàng uy tín giúp đảm bảo tính an toàn và hưởng lãi suất hấp dẫn.</t>
  </si>
  <si>
    <t>Thêm ngay sau đoạn này: «Trước khi gửi, bạn nên so sánh lãi suất gửi tiết kiệm ngân hàng giữa các ngân hàng.»</t>
  </si>
  <si>
    <t>Những biến động thất thường trên thị trường chứng khoán cộng với mức lãi suất huy động đã về mức thấp như thời gian gần đây đã tạo cho nhà đầu tư tâm lý thận trọng hơn…</t>
  </si>
  <si>
    <t>Thêm ngay sau đoạn này: «Bạn có thể theo dõi lãi suất gửi tiết kiệm ngân hàng để so sánh với các kênh đầu tư khác.»</t>
  </si>
  <si>
    <t>2.1. Quản lý tài chính bằng góc nhìn dài hạn</t>
  </si>
  <si>
    <t>Khách hàng nên chọn giải pháp tiền gửi phù hợp với mục tiêu tiết kiệm và khả năng tài chính của bản thân để duy trì tiết kiệm lâu dài.</t>
  </si>
  <si>
    <t>Thêm ngay sau đoạn này: «Trước khi gửi, khách hàng có thể so sánh lãi suất gửi tiết kiệm ngân hàng để chọn kỳ hạn phù hợp.»</t>
  </si>
  <si>
    <t>Thêm dòng sau đoạn: «Xem thêm: Lãi suất gửi tiết kiệm ngân hàng hôm nay»</t>
  </si>
  <si>
    <t>Đoạn khuyến mãi có số liệu – dùng Xem thêm</t>
  </si>
  <si>
    <t>2. Lời khuyên để sở hữu chứng chỉ tiền gửi an toàn, sinh lời tốt</t>
  </si>
  <si>
    <t>Chứng chỉ tiền gửi Bảo Lộc do Techcombank phát hành cho phép người sở hữu chủ động quyết định thời điểm bán/chuyển nhượng .</t>
  </si>
  <si>
    <t>Thêm ngay sau đoạn này: «Bạn có thể so sánh mức lợi suất này với lãi suất gửi tiết kiệm ngân hàng hiện nay để chọn kênh phù hợp.»</t>
  </si>
  <si>
    <t>1.4. Cơ hội đầu tư sinh lời</t>
  </si>
  <si>
    <t>Gửi tiết kiệm có kỳ hạn để hưởng lãi suất kép .</t>
  </si>
  <si>
    <t>Thêm ngay sau đoạn này: «Bạn có thể tham khảo lãi suất gửi tiết kiệm ngân hàng hiện nay để chọn nơi gửi phù hợp.»</t>
  </si>
  <si>
    <t>2.3. Sinh lời và tăng trưởng tài sản</t>
  </si>
  <si>
    <t>Đặc biệt trong thời kỳ lãi suất huy động có xu hướng tăng, nhiều người vẫn ưu tiên gửi tiết kiệm để bảo toàn vốn, đồng thời có thu nhập thụ động nhỏ.</t>
  </si>
  <si>
    <t>Sửa câu thành: «Đặc biệt trong thời kỳ lãi suất gửi tiết kiệm ngân hàng có xu hướng tăng, nhiều người vẫn ưu tiên gửi tiết kiệm để bảo toàn vốn, đồng thời có thu nhập thụ động nhỏ.»</t>
  </si>
  <si>
    <t>Khởi đầu tuần mới đầy hứng khởi với lãi suất cộng thêm lên đến 0.8%/năm khi có khoản tiền gửi tiết kiệm mở mới từ 20 triệu VND.</t>
  </si>
  <si>
    <t>Thêm ngay sau đoạn này: «Bạn có thể so sánh với lãi suất gửi tiết kiệm ngân hàng khác trước khi quyết định.»</t>
  </si>
  <si>
    <t>2.2. Chiếc lọ 2: Tiết kiệm (10%)</t>
  </si>
  <si>
    <t>Một trong những cách hiệu quả nhất để tạo quỹ tiết kiệm dài hạn là gửi tiết kiệm online trên Techcombank Mobile.</t>
  </si>
  <si>
    <t>Thêm dòng sau đoạn: «Xem thêm: lãi suất gửi tiết kiệm ngân hàng hôm nay»</t>
  </si>
  <si>
    <t>Đặt sau danh sách giải pháp tiết kiệm</t>
  </si>
  <si>
    <t>Trong bối cảnh của lãi suất tiết kiệm hạ nhiệt ở mức thấp 4%-5%/năm, trái phiếu doanh nghiệp đang trở lại là một kênh đầu tư đầy tiềm năng.</t>
  </si>
  <si>
    <t>Thêm ngay sau đoạn này: «Bạn có thể theo dõi lãi suất ngân hàng được cập nhật hằng ngày để so sánh với lợi suất trái phiếu.»</t>
  </si>
  <si>
    <t>1. CASA là gì?</t>
  </si>
  <si>
    <t>So với tài khoản tiền gửi có kỳ hạn, lãi suất tiền gửi có kỳ hạn thấp hơn - không quá 0.5%/năm theo Quyết định 575/QĐ-NHNN năm 2023…</t>
  </si>
  <si>
    <t>Thêm dòng sau đoạn: «Xem thêm: lãi suất ngân hàng cho tiền gửi tiết kiệm hôm nay»</t>
  </si>
  <si>
    <t>Thêm ngay sau đoạn này: «Bạn có thể so sánh với lãi suất ngân hàng khác được cập nhật hằng ngày.»</t>
  </si>
  <si>
    <t>3. 1 CCCD lập được bao nhiêu tài khoản ngân hàng?</t>
  </si>
  <si>
    <t>Muốn tận dụng ưu đãi của các tài khoản ngân hàng: Các ngân hàng thường cung cấp các ưu đãi riêng cho từng loại tài khoản.</t>
  </si>
  <si>
    <t>Thêm ngay sau đoạn này: «Nếu mở thêm tài khoản để gửi tiết kiệm, bạn nên so sánh lãi suất ngân hàng trước khi lựa chọn.»</t>
  </si>
  <si>
    <t>3.2. Chứng chỉ tiền gửi</t>
  </si>
  <si>
    <t>Chứng chỉ tiền gửi là một dạng giấy tờ có giá do tổ chức tín dụng phát hành, thường có mức lãi suất nhỉnh hơn tiền gửi tiết kiệm thông thường…</t>
  </si>
  <si>
    <t>Thêm ngay sau đoạn này: «Bạn có thể so sánh với lãi suất ngân hàng dành cho tiền gửi tiết kiệm hiện nay để lựa chọn phù hợp.»</t>
  </si>
  <si>
    <t>Tiền gửi Phát Lộc Online: Cất giữ tiền với lãi suất cố định, gửi từ 1,000,000 VND và phù hợp nhất khi gửi từ 6 – 12 tháng</t>
  </si>
  <si>
    <t>Thêm ngay sau đoạn này: «Bạn có thể tham khảo lãi suất ngân hàng hiện nay để so sánh trước khi gửi.»</t>
  </si>
  <si>
    <t>2. Tổng quan về Sinh Lời Tự Động</t>
  </si>
  <si>
    <t>*Lưu ý lãi suất trên chỉ mang tính chất tham khảo và có thể thay đổi theo từng thời kỳ tùy theo quyết định của ngân hàng.</t>
  </si>
  <si>
    <t>Thêm ngay sau đoạn này: «Bạn có thể tham khảo thêm lãi suất ngân hàng hiện nay để so sánh.»</t>
  </si>
  <si>
    <t>Số tiền dư thừa nên được tận dụng hiệu quả cho các kênh đầu tư an toàn, đặc biệt là gửi tiết kiệm lãi kép để gia t…</t>
  </si>
  <si>
    <t>Thêm ngay sau đoạn này: «Khách hàng có thể tham khảo lãi suất ngân hàng cho các kỳ hạn gửi tiết kiệm để chọn sản phẩm phù hợp.»</t>
  </si>
  <si>
    <t>Hiện nay, nhiều ngân hàng áp dụng mức lãi suất gửi tiết kiệm online cao hơn 0.1 - 0.4%/năm so với gửi tiết kiệm tại phòng giao dịch (tùy thuộc vào chính sách của từng ngân hàng theo từng thời kỳ).</t>
  </si>
  <si>
    <t>Thêm ngay sau đoạn này: «Bạn có thể tham khảo lãi suất ngân hàng hiện nay để so sánh mức chênh lệch cụ thể.»</t>
  </si>
  <si>
    <t>Theo đó, tất cả các ngân hàng hiện nay đều áp dụng mức lãi suất 0% với tiền gửi USD của khách hàng…</t>
  </si>
  <si>
    <t>Thêm ngay sau đoạn này: «Với tiền gửi VND, bạn có thể tham khảo lãi suất ngân hàng hiện nay để so sánh.»</t>
  </si>
  <si>
    <t>Trái phiếu an toàn – giao dịch tiện lợi “lên ngôi”</t>
  </si>
  <si>
    <t>Hiện nay, lãi suất huy động của các ngân hàng thương mại đã xuống mức rất thấp, ở mức xung quanh 5%/năm tại hầu hết các nhà băng quy mô lớn.</t>
  </si>
  <si>
    <t>Thêm ngay sau đoạn này: «Bạn đọc có thể theo dõi lãi suất ngân hàng hiện nay để so sánh với lợi suất trái phiếu.»</t>
  </si>
  <si>
    <t>Bài tin có mốc thời gian cũ – nên đọc lại</t>
  </si>
  <si>
    <t>Hiện nay, một điểm tích cực nhìn thấy ở kênh đầu tư trái phiếu là mặt bằng lãi suất tiết kiệm ngân hàng đã xuống rất thấp…</t>
  </si>
  <si>
    <t>Thêm ngay sau đoạn này: «Nhà đầu tư có thể theo dõi lãi suất ngân hàng hiện nay để so sánh với lợi suất trái phiếu.»</t>
  </si>
  <si>
    <t>2.2. Mất cơ hội tối đa khả năng sinh lời, bị phạt nếu không đọc kỹ điều khoản dịch vụ</t>
  </si>
  <si>
    <t>Ví dụ, bạn gửi tiền tiết kiệm với kỳ hạn 6 tháng tại ngân hàng nhưng lại tất toán trước hạn , bạn sẽ không được hưởng lãi suất của gửi tiết kiệm có kỳ hạn…</t>
  </si>
  <si>
    <t>Thêm dòng sau đoạn: «Xem thêm: Lãi suất ngân hàng tiền gửi hôm nay»</t>
  </si>
  <si>
    <t>4. Đọc kỹ điều khoản gửi tiền tiết kiệm online của ngân hàng</t>
  </si>
  <si>
    <t>Điều này dẫn đến bạn có khả năng không hiểu rõ về các quy định liên quan tới các chính sách lãi suất, kỳ hạn gửi, số tiền gửi tối thiểu, điều kiện tất toán trước hạn…</t>
  </si>
  <si>
    <t>Thêm ngay sau đoạn này: «Bên cạnh đó, bạn có thể so sánh lãi suất ngân hàng tiền gửi giữa các ngân hàng trước khi quyết định.»</t>
  </si>
  <si>
    <t>Bài viết dưới đây sẽ tổng hợp lãi suất chứng chỉ tiền gửi các ngân hàng mới nhất để bạn để có thể lựa chọn được đơn vị phát hành phù hợp.</t>
  </si>
  <si>
    <t>Thêm ngay sau đoạn này: «Bạn cũng có thể so sánh với lãi suất ngân hàng tiền gửi tiết kiệm thông thường để chọn kênh phù hợp.»</t>
  </si>
  <si>
    <t>2. Gửi tiết kiệm</t>
  </si>
  <si>
    <t>Cộng đến 1.3%/năm (*) lãi suất cho khoản tiền gửi tiết kiệm đầu tiên theo chương trình ưu đãi của Techcombank (Xem chi tiết ưu đãi )</t>
  </si>
  <si>
    <t>Thêm dòng sau đoạn: «Xem thêm: bảng lãi suất ngân hàng tiền gửi tiết kiệm mới nhất»</t>
  </si>
  <si>
    <t>Thêm ngay sau đoạn này: «Bạn cũng có thể so sánh lãi suất ngân hàng tiền gửi hiện nay để chọn kỳ hạn phù hợp.»</t>
  </si>
  <si>
    <t>1.7. Sử dụng dịch vụ gửi tiền tích lũy của ngân hàng</t>
  </si>
  <si>
    <t>Gửi tiền ngân hàng là kênh đầu tư an toàn và sinh lời ổn định theo mức lãi suất quy định của từng ngân hàng.</t>
  </si>
  <si>
    <t>Thêm ngay sau đoạn này: «Bạn có thể so sánh lãi suất ngân hàng tiền gửi hiện nay để chọn nơi gửi phù hợp.»</t>
  </si>
  <si>
    <t>4. Số dư tài khoản thanh toán có sinh lời được không?</t>
  </si>
  <si>
    <t>Hiện nay, khách hàng sử dụng tài khoản thanh toán Techcombank còn có thể kích hoạt Techcombank Sinh lời tự động , giúp khách hàng được hưởng lợi suất trên toàn bộ số dư tài khoản lên đến 4%/năm (*).</t>
  </si>
  <si>
    <t>Thêm ngay sau đoạn này: «Bạn có thể so sánh mức lợi suất này với lãi suất ngân hàng tiền gửi có kỳ hạn hiện nay để chọn cách sinh lời phù hợp.»</t>
  </si>
  <si>
    <t>3. Lãi suất tiền gửi không kỳ hạn là gì?</t>
  </si>
  <si>
    <t>Theo Quyết định 575/QĐ-NHNN năm 2023 , lãi suất không kỳ hạn được quy định không quá 0.5%/năm.</t>
  </si>
  <si>
    <t>Thêm dòng sau đoạn: «Xem thêm: Lãi suất tiền gửi ngân hàng mới nhất»</t>
  </si>
  <si>
    <t>1. Cách 1: Gửi tiết kiệm online cho người đã có tài khoản ngân hàng</t>
  </si>
  <si>
    <t>…khách hàng lựa chọn đa dạng kỳ hạn từ 1 tháng đến vài năm phù hợp với nhiều mục tiêu và thời hạn tiết kiệm của từng người.</t>
  </si>
  <si>
    <t>Thêm ngay sau đoạn này: «Trước khi chọn kỳ hạn, bạn có thể tham khảo lãi suất tiền gửi ngân hàng hiện nay để so sánh.»</t>
  </si>
  <si>
    <t>Bài viết dưới đây sẽ cung cấp thông tin về hình thức tiết kiệm này, cùng với đó là gợi ý 8 ngân hàng có lãi suất cao, an toàn 20…</t>
  </si>
  <si>
    <t>Thêm ngay sau đoạn này: «Bạn cũng có thể tham khảo lãi suất tiền gửi ngân hàng cập nhật hằng ngày để so sánh.»</t>
  </si>
  <si>
    <t>Mối lo lạm phát</t>
  </si>
  <si>
    <t>…kỳ vọng bình quân mặt bằng lãi suất huy động tiếp tục giảm 0,26 - 0,35%. Số liệu tiền gửi dân cư tại hệ thống ngân hàng…</t>
  </si>
  <si>
    <t>Thêm ngay sau đoạn này: «Bạn có thể theo dõi diễn biến lãi suất tiền gửi ngân hàng được cập nhật thường xuyên để có quyết định phù hợp.»</t>
  </si>
  <si>
    <t>3.3. Rút tiền trực tiếp tại quầy giao dịch</t>
  </si>
  <si>
    <t>Như vậy, gửi tiết kiệm online có rút trước hạn được, tuy nhiên, khoản tiền rút trước hạn sẽ áp dụng lãi suất gửi tiết kiệm không kỳ hạn (0.1 - 0.5%/ năm).</t>
  </si>
  <si>
    <t>Thêm ngay sau đoạn này: «Bạn có thể tham khảo lãi suất tiền gửi ngân hàng hiện nay để cân nhắc trước khi rút.»</t>
  </si>
  <si>
    <t>2.2. Lãi suất bậc thang</t>
  </si>
  <si>
    <t>Lãi suất được áp dụng theo từng mức tiền gửi. Số tiền càng lớn, lãi suất càng cao.</t>
  </si>
  <si>
    <t>Thêm ngay sau đoạn này: «Bạn có thể tham khảo lãi suất tiền gửi ngân hàng hiện nay để so sánh giữa các nơi.»</t>
  </si>
  <si>
    <t>1. Tài khoản tiết kiệm là gì?</t>
  </si>
  <si>
    <t>Tài khoản tiết kiệm là tài khoản tiền gửi cho phép người dùng gửi vào đó một khoản tiền và định kỳ sẽ nhận được tiền lãi theo mức lãi suất đã thoả thuận từ trước.</t>
  </si>
  <si>
    <t>Thêm ngay sau đoạn này: «Mức lãi này phụ thuộc vào lãi suất tiền gửi ngân hàng tại từng thời điểm và kỳ hạn bạn chọn.»</t>
  </si>
  <si>
    <t>Thêm dòng sau đoạn: «Xem thêm: Lãi suất tiền gửi ngân hàng hôm nay»</t>
  </si>
  <si>
    <t>2.2. Tài khoản tiết kiệm</t>
  </si>
  <si>
    <t>Khi gửi tiền vào tài khoản tiết kiệm, khách hàng sẽ được hưởng mức lãi suất theo quy định của ngân hàng tại từng thời kỳ.</t>
  </si>
  <si>
    <t>Thêm ngay sau đoạn này: «Bạn có thể tham khảo lãi suất tiền gửi ngân hàng mới nhất để so sánh trước khi gửi.»</t>
  </si>
  <si>
    <t>2. Tiết kiệm tự động: Nguyên tắc quản lý tài chính cần thiết</t>
  </si>
  <si>
    <t>Tiền gửi Phát Lộc Online: Cất giữ tiền với lãi suất cố định, gửi từ 1,000,000 VND và phù hợp nhất khi gửi từ 6 – 12 tháng.</t>
  </si>
  <si>
    <t>1. Công cụ tính lợi nhuận chứng chỉ tiền gửi nhanh, đơn giản</t>
  </si>
  <si>
    <t>Ví dụ trên Techcombank Mobile, khi mua Chứng chỉ tiền gửi Bảo Lộc , hệ thống sẽ hiển thị bảng minh họa lợi suất và lợi nhuận tạm tính khi bạn nắm giữ CCTG trong 6 tháng.</t>
  </si>
  <si>
    <t>Thêm ngay sau đoạn này: «Bạn cũng có thể so sánh với lãi suất tiền gửi ngân hàng hiện nay để chọn kênh phù hợp.»</t>
  </si>
  <si>
    <t>4. Lãi suất</t>
  </si>
  <si>
    <t>Cụ thể, trường hợp lãi suất ngân hàng cao hơn mức lãi suất bảo lãnh, chủ đầu tư sẽ hỗ trợ chi trả phần lãi suất chênh lệch này.</t>
  </si>
  <si>
    <t>Câu nói lãi vay, đích là lãi tiết kiệm</t>
  </si>
  <si>
    <t>Đồng hành cùng khách hàng trong quá trình xây dựng nền tảng tài chính vững chắc, Techcombank mang đến chương trình cộng thêm đến 1.3%/năm lãi suất…</t>
  </si>
  <si>
    <t>Thêm ngay sau đoạn này: «Khách hàng có thể so sánh thêm lãi suất gửi tiết kiệm ngân hàng để lựa chọn phù hợp.»</t>
  </si>
  <si>
    <t>Đoạn khuyến mãi</t>
  </si>
  <si>
    <t>Đặc quyền dành cho hội viên Private hoặc Priority: Cộng thêm đến 1%/năm cho khoản tiền gửi tiết kiệm mở mới trong tuần lễ PnP</t>
  </si>
  <si>
    <t>Tích lũy Như Ý: Gửi tiết kiệm đều đặn để tích lũy cho một mục tiêu cụ thể, gửi từ 100,000 VND và phù hợp nhất khi gửi từ 6 – 18 tháng</t>
  </si>
  <si>
    <t>3. Ưu đãi dành cho chủ cửa hàng sử dụng Tài khoản Hộ kinh doanh Techcombank</t>
  </si>
  <si>
    <t>Cộng thêm 1% lợi suất Sinh lời tự động lên tới 5.5% khi kích hoạt Sinh Lời Tự Động 2.0</t>
  </si>
  <si>
    <t>Thêm ngay sau đoạn này: «Bạn có thể tham khảo thêm lãi suất gửi tiết kiệm ngân hàng hiện nay để so sánh.»</t>
  </si>
  <si>
    <t>Đặt ở khối ưu đãi</t>
  </si>
  <si>
    <t>6. Một số câu hỏi thường gặp khi mở tài khoản thanh toán</t>
  </si>
  <si>
    <t>Tuy nhiên, trong quá trình sử dụng tài khoản thanh toán, nếu gặp phải những rủi ro liên quan đến lỗi chuyển khoản hay các hoạt động lừa đảo, đánh cắp thông tin, bạn cần liên hệ ngay tới các số hotlin…</t>
  </si>
  <si>
    <t>Thêm ngay sau đoạn này: «Nếu có khoản tiền nhàn rỗi, bạn có thể tham khảo lãi suất gửi tiết kiệm ngân hàng hiện nay để tối ưu lợi nhuận.»</t>
  </si>
  <si>
    <t>Khẩu vị thay đổi, nhà đầu tư tập trung các trái phiếu uy tín cao</t>
  </si>
  <si>
    <t>Tuy nhiên, mức lãi suất thấp hơn khoảng 0,5-1%/năm cũng không phải là vấn đề trong mắt nhà đầu tư hiện nay.</t>
  </si>
  <si>
    <t>Thêm ngay sau đoạn này: «Nhà đầu tư cũng thường so sánh với lãi suất gửi tiết kiệm ngân hàng để cân nhắc lựa chọn kênh phù hợp.»</t>
  </si>
  <si>
    <t>4. Cách sử dụng tài sản và tiêu sản hợp lý</t>
  </si>
  <si>
    <t>Tạo quỹ khẩn cấp: Đảm bảo rằng bạn có một quỹ tài chính dự phòng để đối phó với các tình huống bất ngờ mà không phải tiêu vào các tài sản có giá trị.</t>
  </si>
  <si>
    <t>Thêm ngay sau đoạn này: «Bạn có thể tham khảo lãi suất gửi tiết kiệm ngân hàng để chọn nơi gửi quỹ khẩn cấp phù hợp.»</t>
  </si>
  <si>
    <t>Bước 1: Xác định tình hình tài chính hiện tại</t>
  </si>
  <si>
    <t>Đồng thời, việc phân tích dòng tiền hàng tháng (thu nhập - chi tiêu) cũng giúp xác định tỷ lệ tiết kiệm và khả năng đầu tư.</t>
  </si>
  <si>
    <t>3. Lựa chọn kỳ hạn vay phù hợp</t>
  </si>
  <si>
    <t>Biến động lãi suất: Việc dự báo xu hướng lãi suất sẽ giúp bạn đưa ra quyết định có lợi nhất.</t>
  </si>
  <si>
    <t>Thêm ngay sau đoạn này: «Theo dõi diễn biến lãi suất ngân hàng thường xuyên sẽ giúp bạn nắm bắt xu hướng thị trường sát hơn.»</t>
  </si>
  <si>
    <t>Trang đích về lãi tiết kiệm</t>
  </si>
  <si>
    <t>Thêm dòng sau đoạn: «Xem thêm: Lãi suất ngân hàng gửi tiết kiệm hôm nay»</t>
  </si>
  <si>
    <t>3. Khám phá 10+ tính năng của ngân hàng số tại Techcombank</t>
  </si>
  <si>
    <t>Thêm dòng sau đoạn: «Xem thêm: lãi suất ngân hàng gửi tiết kiệm hôm nay»</t>
  </si>
  <si>
    <t>3. Khám phá The Inner - Chương trình đặc quyền hệ sinh thái từ Techcombank &amp; Masterise Hom</t>
  </si>
  <si>
    <t>Cộng tới 1%/năm lãi suất tiền gửi trong tuần lễ hội viên ưu tiên</t>
  </si>
  <si>
    <t>Thêm dòng sau đoạn: «Xem thêm: lãi suất ngân hàng hôm nay của các ngân hàng»</t>
  </si>
  <si>
    <t>Đầu tư an toàn và thận trọng vẫn là xu hướng được ưu tiên trong năm 2024</t>
  </si>
  <si>
    <t>Bởi vậy, dễ hiểu vì sao nhà đầu tư sẵn sàng tìm mua các trái phiếu với lãi suất có thể thấp hơn thị trường 0,5-1…</t>
  </si>
  <si>
    <t>Thêm ngay sau đoạn này: «Nhà đầu tư cũng có thể so sánh với lãi suất ngân hàng cho tiền gửi tiết kiệm để cân nhắc kênh phù hợp.»</t>
  </si>
  <si>
    <t>Vay ngắn hạn giúp giải quyết nhu cầu cấp thời, nhưng để giảm áp lực tài chính bạn có thể ưu tiên tiết kiệm tiền mỗi ngày…</t>
  </si>
  <si>
    <t>Thêm ngay sau đoạn này: «Với khoản tiền nhàn rỗi, bạn có thể tham khảo lãi suất ngân hàng cho tiền gửi tiết kiệm để tối ưu khoản tích lũy.»</t>
  </si>
  <si>
    <t>2. Tổng quan về Sinh Lời Tự Động 2.0</t>
  </si>
  <si>
    <t>Lợi suất tối ưu hàng đầu thị trường: Chỉ cần duy trì tài khoản từ 5 triệu VND trở lên… thay vì chỉ hưởng lãi suất không kỳ hạn 0.05%/năm.</t>
  </si>
  <si>
    <t>Thêm dòng sau đoạn: «Xem thêm: Lãi suất ngân hàng cho tiền gửi tiết kiệm hôm nay»</t>
  </si>
  <si>
    <t>3.2. Bước 2: Tích lũy lại điểm tín dụng uy tín</t>
  </si>
  <si>
    <t>Gia tăng giá trị tài sản : Ngân hàng sẽ cấp thẻ tín dụng cho một khách hàng nếu cá nhân đó đảm bảo khả năng thanh toán của mình.</t>
  </si>
  <si>
    <t>Thêm ngay sau đoạn này: «Nếu muốn gia tăng tài sản qua kênh gửi tiết kiệm, bạn có thể tham khảo lãi suất ngân hàng để chọn kỳ hạn phù hợp.»</t>
  </si>
  <si>
    <t>Trang đích lãi suất tiết kiệm, liên quan vừa</t>
  </si>
  <si>
    <t>5.1. Tiền để trong tài khoản thanh toán có được hưởng lãi không?</t>
  </si>
  <si>
    <t>Số tiền trong tài khoản thanh toán sẽ được hưởng lãi suất không kỳ hạn, từ 0.05%/năm đến tối đa 0.5%/năm (*) theo Quyết định 2411/QĐ-NHNN .</t>
  </si>
  <si>
    <t>2.3. Sinh Lời Tự Động</t>
  </si>
  <si>
    <t>Thêm ngay sau đoạn này: «Khách hàng có thể tham khảo thêm lãi suất ngân hàng mới nhất cho tiền gửi tiết kiệm để so sánh.»</t>
  </si>
  <si>
    <t>2. Chứng chỉ tiền gửi có được tất toán trước thời hạn không?</t>
  </si>
  <si>
    <t>Thông thường, khách hàng sẽ hưởng lãi suất không kỳ hạn khi thực hiện tất toán chứng chỉ tiền gửi trước hạn .</t>
  </si>
  <si>
    <t>Thêm ngay sau đoạn này: «Bạn có thể tham khảo lãi suất ngân hàng hiện nay để so sánh mức chênh lệch giữa lãi suất có kỳ hạn và không kỳ hạn.»</t>
  </si>
  <si>
    <t>2. Các khái niệm liên quan đến tất toán</t>
  </si>
  <si>
    <t>Tất toán trước hạn: Là việc khách hàng chấm dứt giao dịch sớm hơn thời điểm thỏa thuận trong hợp đồng.</t>
  </si>
  <si>
    <t>Thêm ngay sau đoạn này: «Bạn có thể tham khảo lãi suất ngân hàng hiện nay để cân nhắc trước khi tất toán trước hạn.»</t>
  </si>
  <si>
    <t>2. Những điểm khác biệt giữa chứng chỉ tiền gửi và trái phiếu</t>
  </si>
  <si>
    <t>Lãi suất cố định hoặc thả nổi tùy theo quy định của từng ngân hàng phát hành</t>
  </si>
  <si>
    <t>Có thể là ô bảng – dùng Xem thêm</t>
  </si>
  <si>
    <t>2. Dễ dàng rút tiền khi tham gia bảo hiểm nhân thọ tại Techcombank</t>
  </si>
  <si>
    <t>Dù khách hàng rút tiền một phần, phần giá trị tài khoản còn lại vẫn tiếp tục được hưởng lãi suất đầu tư thực tế, không thấp hơn lãi suất cam kết xuyên suốt hợp đồng…</t>
  </si>
  <si>
    <t>Thêm ngay sau đoạn này: «Bạn có thể so sánh với lãi suất ngân hàng cho tiền gửi tiết kiệm để lựa chọn kênh tích lũy phù hợp.»</t>
  </si>
  <si>
    <t>3. Quyền lợi khi tham gia bảo hiểm liên kết đầu tư</t>
  </si>
  <si>
    <t>Hưởng lãi từ quỹ liên kết chung hoặc đơn vị: Tùy loại hình tham gia, khách hàng được hưởng lãi suất ổn định hoặc lợi nhuận từ thị trường</t>
  </si>
  <si>
    <t>Thêm dòng sau đoạn: «Xem thêm: lãi suất ngân hàng khi gửi tiết kiệm»</t>
  </si>
  <si>
    <t>Nếu khách hàng có thói quen tiết kiệm lâu dài, ngân hàng có thể giới thiệu các sản phẩm tiết kiệm hoặc đầu tư với lãi s…</t>
  </si>
  <si>
    <t>Thêm ngay sau đoạn này: «Trước khi lựa chọn, bạn có thể tham khảo thêm lãi suất ngân hàng hiện nay.»</t>
  </si>
  <si>
    <t>4. CPI ảnh hưởng thế nào đến lãi suất và thị trường tài chính?</t>
  </si>
  <si>
    <t>Lãi suất tăng thường làm chi phí vay vốn cao hơn, từ đó có thể làm giảm động lực chi tiêu và đầu tư…</t>
  </si>
  <si>
    <t>Thêm ngay sau đoạn này: «Bạn có thể theo dõi diễn biến lãi suất ngân hàng hiện nay để chủ động kế hoạch gửi tiền.»</t>
  </si>
  <si>
    <t>3. Nâng tầm phong cách sống cùng The Inner - Chương trình đặc quyền hệ sinh thái từ Techco</t>
  </si>
  <si>
    <t>Tri ân đồng hành: Nhóm đặc quyền dành cho khách hàng đạt các cột mốc quan trọng… như hạn mức tín chấp hoặc lãi suất tiền gửi hấp dẫn và hoàn điểm U-Points.</t>
  </si>
  <si>
    <t>4. FAQs</t>
  </si>
  <si>
    <t>Trước khi giao dịch, bạn nên kiểm tra lại giá niêm yết, tiền công và chính sách thu đổi tại thời điểm mua.</t>
  </si>
  <si>
    <t>Thêm ngay sau đoạn này: «Nếu cân nhắc kênh tích lũy khác, bạn có thể tham khảo lãi suất ngân hàng cho tiền gửi tiết kiệm hiện nay.»</t>
  </si>
  <si>
    <t>1. Số dư tiền gửi là gì?</t>
  </si>
  <si>
    <t>Tham khảo ngay để nhận được mức lãi suất hấp dẫn.</t>
  </si>
  <si>
    <t>Thêm ngay sau đoạn này: «Bạn cũng có thể so sánh với lãi suất ngân hàng khác trên thị trường hiện nay.»</t>
  </si>
  <si>
    <t>1.3. Thanh toán quẹt thẻ online qua ví điện tử</t>
  </si>
  <si>
    <t>Ngoài ra, một số giải pháp tài chính hiện nay còn tích hợp tính năng sinh lời tự động , giúp khách hàng tận dụng tốt hơn nguồn tiền nhàn rỗi khi chi tiêu qua ví.</t>
  </si>
  <si>
    <t>Thêm ngay sau đoạn này: «Bạn cũng có thể so sánh lợi suất này với lãi suất ngân hàng cho tiền gửi tiết kiệm hiện nay.»</t>
  </si>
  <si>
    <t>2.1. Yếu tố từ thị trường</t>
  </si>
  <si>
    <t>Ngân hàng Nhà nước dùng lãi suất để điều tiết lạm phát, dẫn đến tăng lãi suất huy động và cho vay.</t>
  </si>
  <si>
    <t>Thêm dòng sau đoạn: «Xem thêm: lãi suất ngân hàng hiện nay cho tiền gửi tiết kiệm»</t>
  </si>
  <si>
    <t>Trang đích lãi tiết kiệm, bài cho vay doanh nghiệp</t>
  </si>
  <si>
    <t>2. Hiểu rõ về mức lãi suất và cách tính của ngân hàng</t>
  </si>
  <si>
    <t>Về lãi suất , khách hàng chú ý tới thời gian áp dụng mức lãi suất cố định và lãi suất thả nổi.</t>
  </si>
  <si>
    <t>Thêm ngay sau đoạn này: «Bạn có thể tham khảo thêm lãi suất ngân hàng hiện nay để nắm mặt bằng chung trên thị trường.»</t>
  </si>
  <si>
    <t>Trang đích về lãi tiết kiệm, bài về lãi vay</t>
  </si>
  <si>
    <t>3. Lãi suất cho vay mua nhà ở xã hội trả góp</t>
  </si>
  <si>
    <t>Ngân hàng Nhà nước và nhiều tổ chức tín dụng đang có nhiều ưu đãi về lãi suất để hỗ trợ người vay mua nhà ở xã hội.</t>
  </si>
  <si>
    <t>Thêm ngay sau đoạn này: «Bên cạnh lãi suất cho vay, bạn cũng có thể theo dõi lãi suất ngân hàng hiện nay đối với tiền gửi tiết kiệm để chủ động kế hoạch tích lũy mua nhà.»</t>
  </si>
  <si>
    <t>1.2 Thanh khoản linh hoạt - "Cần là có"</t>
  </si>
  <si>
    <t>Do đó, dù muốn tiền sinh lời, họ không thể chấp nhận rủi ro "giam vốn" trong các sổ tiết kiệm có kỳ hạn.</t>
  </si>
  <si>
    <t>Thêm ngay sau đoạn này: «Bạn có thể tham khảo lãi suất ngân hàng hôm nay của các sổ tiết kiệm có kỳ hạn để so sánh hiệu quả sinh lời.»</t>
  </si>
  <si>
    <t>Bài đang so sánh với tiết kiệm có kỳ hạn</t>
  </si>
  <si>
    <t>Bên cạnh cổ phiếu, trái phiếu hay tiền gửi tiết kiệm, chứng chỉ quỹ mở và đóng đang trở thành một kênh tích lũy được nhiều nhà đầu tư cá nhân tại Việt Nam quan tâm…</t>
  </si>
  <si>
    <t>Thêm ngay sau đoạn này: «Nếu đang cân nhắc giữa gửi tiết kiệm và chứng chỉ quỹ, bạn có thể tham khảo lãi suất ngân hàng hôm nay để so sánh.»</t>
  </si>
  <si>
    <t>1.1 Techcombank Sinh Lời Tự Động là gì?</t>
  </si>
  <si>
    <t>Lợi suất tối ưu hàng đầu thị trường : Chỉ cần duy trì tài khoản từ 5 triệu VND trở lên, khách hàng sẽ được hưởng mức lợi suất lên đến 6.5%/năm (*) (thay vì chỉ hưởng lãi suất không kỳ hạn 0.05%/năm)</t>
  </si>
  <si>
    <t>Thêm ngay sau đoạn này: «Bạn có thể tham khảo bảng tổng hợp để biết lãi suất ngân hàng nào cao nhất hiện nay.»</t>
  </si>
  <si>
    <t>Trái phiếu tốt sẽ được lựa chọn</t>
  </si>
  <si>
    <t>Nếu so với sự biến động thất thường trên thị trường chứng khoán và mức lãi suất huy động thấp hiện nay, trái phiếu doanh n…</t>
  </si>
  <si>
    <t>Thêm dòng sau đoạn: «Xem thêm: lãi suất ngân hàng nào cao nhất hiện nay»</t>
  </si>
  <si>
    <t>Bài tin tức trái phiếu – liên quan vừa phải</t>
  </si>
  <si>
    <t>Gửi tiết kiệm tiền là hình thức bạn gửi một khoản tiền nhàn rỗi vào ngân hàng/tổ chức tài chính để nhận lãi theo kỳ hạn đã thỏa thuận trước đó.</t>
  </si>
  <si>
    <t>Thêm ngay sau đoạn này: «Bạn có thể tham khảo lãi suất ngân hàng tiền gửi hiện nay để so sánh.»</t>
  </si>
  <si>
    <t>Anchor hơi gượng</t>
  </si>
  <si>
    <t>…lượng tiền gửi của người dân và doanh nghiệp vẫn tăng trưởng đều đặn ngay cả khi lãi suất tiền gửi tại ngân hàng có xu hướng giảm trong thời gian vừa qua.</t>
  </si>
  <si>
    <t>Thêm ngay sau đoạn này: «Bạn có thể theo dõi lãi suất ngân hàng tiền gửi được cập nhật hằng ngày.»</t>
  </si>
  <si>
    <t>Chèn ở mở bài; anchor hơi gượng</t>
  </si>
  <si>
    <t>Thêm ngay sau đoạn này: «Bạn có thể so sánh với lãi suất ngân hàng tiền gửi hiện nay trước khi quyết định.»</t>
  </si>
  <si>
    <t>Thêm ngay sau đoạn này: «Bạn có thể so sánh thêm với lãi suất ngân hàng tiền gửi VND hiện nay.»</t>
  </si>
  <si>
    <t>Không cần chờ đến hết kỳ hạn, khách hàng vẫn có thể linh hoạt sử dụng tiền bằng cách bán lại chứng chỉ tiền gửi cho đối tác có nhu cầu.</t>
  </si>
  <si>
    <t>Thêm ngay sau đoạn này: «Bạn có thể so sánh mức lợi suất này với lãi suất ngân hàng tiền gửi có kỳ hạn hiện nay.»</t>
  </si>
  <si>
    <t>3.2. Với hình thức gửi tiết kiệm có kỳ hạn</t>
  </si>
  <si>
    <t>Tuy nhiên, khách hàng sẽ chỉ nhận được mức lãi suất không kỳ hạn với số tiền đã rút ra và sẽ phải hoàn trả số tiền lãi có kỳ hạn đã nhận được trước đó (nếu khách hàng gửi tiết kiệm lấy lãi trước).</t>
  </si>
  <si>
    <t>Thêm ngay sau đoạn này: «Bạn có thể tham khảo lãi suất ngân hàng tiền gửi mới nhất để so sánh mức chênh lệch giữa có kỳ hạn và không kỳ hạn.»</t>
  </si>
  <si>
    <t>Thêm ngay sau đoạn này: «Bạn có thể so sánh thêm lãi suất ngân hàng tiền gửi hiện nay để chọn nơi gửi phù hợp.»</t>
  </si>
  <si>
    <t>Thêm ngay sau đoạn này: «Khách hàng có thể so sánh thêm lãi suất ngân hàng tiền gửi hiện nay để chọn kỳ hạn phù hợp.»</t>
  </si>
  <si>
    <t>Chỉ có đoạn khuyến mãi phù hợp</t>
  </si>
  <si>
    <t>1. Chứng chỉ tiền gửi được bảo hiểm tương tự tiền gửi tiết kiệm/tiền gửi có kỳ hạn</t>
  </si>
  <si>
    <t>Trong trường hợp tổ chức tín dụng không có khả năng hoàn trả tiền gốc và lãi chứng chỉ tiền gửi, tổ chức Bảo hiểm tiền gửi Việt Nam sẽ thẩm định hồ sơ…</t>
  </si>
  <si>
    <t>Thêm ngay sau đoạn này: «Bên cạnh mức độ an toàn, bạn có thể tham khảo lãi suất ngân hàng tiền gửi hiện nay để so sánh hiệu quả sinh lời.»</t>
  </si>
  <si>
    <t>4. So sánh nhanh chứng chỉ quỹ đóng và chứng chỉ quỹ mở</t>
  </si>
  <si>
    <t>Hiểu rõ chứng chỉ quỹ đóng là gì cùng các đặc điểm vận hành, ưu và nhược điểm riêng sẽ giúp bạn xác định liệu đây có phải là kênh đầu tư phù hợp…</t>
  </si>
  <si>
    <t>Thêm ngay sau đoạn này: «Nếu ưu tiên kênh an toàn, bạn có thể so sánh thêm với lãi suất ngân hàng tiền gửi hiện nay.»</t>
  </si>
  <si>
    <t>1. Tỷ giá kỳ hạn là gì?</t>
  </si>
  <si>
    <t>Tỷ giá này được xác định dựa trên cơ sở là tỷ giá giao ngay và lãi suất trên thị trường tiền tệ.</t>
  </si>
  <si>
    <t>Thêm ngay sau đoạn này: «Bạn có thể tham khảo thêm lãi suất tiền gửi ngân hàng hiện nay để hiểu rõ mặt bằng lãi suất.»</t>
  </si>
  <si>
    <t>5. Phân biệt chứng chỉ tiền gửi và tiền gửi có kỳ hạn</t>
  </si>
  <si>
    <t>Cố định trong suốt kỳ hạn gửi, tất toán trước hạn nhận lãi suất không kỳ hạn</t>
  </si>
  <si>
    <t>2. Các tiêu chí của ngoại tệ mạnh</t>
  </si>
  <si>
    <t>Khi lãi suất của một quốc gia cao hơn so với các quốc gia khác, nó thường thu hút các nhà đầu tư nước ngoài tìm kiếm lợi nhuận từ việc gửi tiền vào ngân hàng…</t>
  </si>
  <si>
    <t>Thêm ngay sau đoạn này: «Với người gửi tiền trong nước, có thể tham khảo lãi suất tiền gửi ngân hàng mới nhất.»</t>
  </si>
  <si>
    <t>Tuỳ theo quy định của đơn vị phát hành, chứng chỉ tiền gửi có thể được bán lại cho khách hàng khác trước hạn…</t>
  </si>
  <si>
    <t>Thêm ngay sau đoạn này: «Bạn có thể đối chiếu với lãi suất tiền gửi ngân hàng hiện nay để đánh giá hiệu quả sinh lời.»</t>
  </si>
  <si>
    <t>Chuyển nhượng chứng chỉ tiền gửi giúp người sở hữu có nguồn vốn trước thời điểm đáo hạn khi phát sinh nhu cầu tài chính bất ngờ.</t>
  </si>
  <si>
    <t>Thêm ngay sau đoạn này: «Bạn cũng có thể so sánh lợi suất chứng chỉ tiền gửi với lãi suất tiền gửi ngân hàng hiện nay.»</t>
  </si>
  <si>
    <t>4. Cách tính lãi của khoản tiền gửi không kỳ hạn</t>
  </si>
  <si>
    <t>Tiền lãi của tiền gửi không kỳ hạn được tính theo ngày.</t>
  </si>
  <si>
    <t>Thêm dòng sau đoạn: «Xem thêm: Cách tính lãi suất ngân hàng cho tiền gửi tiết kiệm»</t>
  </si>
  <si>
    <t>Đặt sau công thức và ví dụ – dùng Xem thêm</t>
  </si>
  <si>
    <t>1. Tài khoản ngân hàng dưới 50k có bị khóa không?</t>
  </si>
  <si>
    <t>Công cụ tính lãi suất tiết kiệm mới nhất của Techcombank</t>
  </si>
  <si>
    <t>Bôi đen cụm «tính lãi suất tiết kiệm» trong câu trên, gắn link.</t>
  </si>
  <si>
    <t>Có thể đã gắn link công cụ – soát lại</t>
  </si>
  <si>
    <t>Việc kết hợp theo dõi chi tiêu và sử dụng thêm các công cụ tính lãi suất tiết kiệm cũng…</t>
  </si>
  <si>
    <t>Cụm nằm trong "công cụ tính lãi suất tiết kiệm" – trang đích là bài hướng dẫn</t>
  </si>
  <si>
    <t>3. Hướng dẫn thanh toán hoá đơn tự động trên Techcombank Mobile</t>
  </si>
  <si>
    <t>Khách hàng nên sử dụng công cụ tính lãi suất tiết kiệm để xác định số tiền nhàn rỗi, từ đó thiết lập thanh toán tự động cho các hóa đơn hàng tháng một cách hợp lý.</t>
  </si>
  <si>
    <t>Tại mỗi ngân hàng, các sản phẩm tiết kiệm gửi góp hàng tháng thuộc hình thức gửi tiền tiết kiệm linh hoạt (linh hoạt gửi) đều có tên gọi, chính sách và lãi suất khác nhau.</t>
  </si>
  <si>
    <t>Thêm ngay sau đoạn này: «Bạn có thể tham khảo cách tính lãi suất ngân hàng để so sánh tiền lãi giữa các sản phẩm.»</t>
  </si>
  <si>
    <t>4. Những yếu tố ảnh hưởng đến lãi suất thực</t>
  </si>
  <si>
    <t>Lãi suất công bố: Đây là mức lãi suất cơ sở làm nền cho việc tính lãi suất thực.</t>
  </si>
  <si>
    <t>Thêm ngay sau đoạn này: «Bạn có thể tham khảo cách tính lãi suất ngân hàng cho tiền gửi để xác định chính xác tiền lãi danh nghĩa.»</t>
  </si>
  <si>
    <t>Ngoài ra, ngân hàng số còn cung cấp các mức lãi suất hấp dẫn, giúp bạn gia tăng giá trị quỹ dự phòng một cách hiệu quả.</t>
  </si>
  <si>
    <t>Thêm ngay sau đoạn này: «Để ước tính số tiền lãi, bạn có thể tham khảo cách tính lãi suất ngân hàng cho tiền gửi tiết kiệm.»</t>
  </si>
  <si>
    <t>1. Tìm hiểu về kỳ hạn gửi tiết kiệm 6 tháng</t>
  </si>
  <si>
    <t>Bên cạnh đó, khách hàng cũng dễ dàng dự đoán, tính toán và thay đổi định hướng tiết kiệm của bản thân hơn, tuy nhiên mức lãi suất nhận được sẽ không cao bằng kỳ hạn 12 tháng.</t>
  </si>
  <si>
    <t>Thêm ngay sau đoạn này: «Khách hàng có thể tham khảo cách tính lãi suất tiết kiệm ngân hàng để so sánh tiền lãi giữa hai kỳ hạn.»</t>
  </si>
  <si>
    <t>Cách tiền tiết kiệm của người Nhật từ việc gửi ngân hàng có lãi suất hấp dẫn giúp bạn tích lũy số tiền nhanh hơn và an toàn hơn.</t>
  </si>
  <si>
    <t>Thêm ngay sau đoạn này: «Bạn có thể tham khảo cách tính lãi suất tiết kiệm ngân hàng để ước tính số tiền tích lũy được.»</t>
  </si>
  <si>
    <t>Khách hàng có thể sử dụng số tiền nhàn rỗi trong tài khoản thanh toán để gửi tiết kiệm online ngay trên Techcombank Mobile.</t>
  </si>
  <si>
    <t>Sửa câu thành: «Khách hàng có thể sử dụng số tiền nhàn rỗi trong tài khoản thanh toán để gửi tiết kiệm online ngay trên Techcombank Mobile, đồng thời tham khảo cách tính lãi suất tiết kiệm ngân hàng để ước tính tiền lãi.»</t>
  </si>
  <si>
    <t>2. Đáo hạn sổ tiết kiệm, tài khoản tiền gửi có kỳ hạn là gì?</t>
  </si>
  <si>
    <t>Tuy nhiên, toàn bộ số tiền (kể cả lãi lũy kế) sẽ được tính theo mức lãi suất không kỳ hạn – thường thấp hơn so với lãi suất có kỳ hạn.</t>
  </si>
  <si>
    <t>Thêm ngay sau đoạn này: «Để so sánh số tiền lãi nhận được, bạn có thể tham khảo cách tính lãi suất ngân hàng cho tiền gửi tiết kiệm.»</t>
  </si>
  <si>
    <t>Thêm ngay sau đoạn này: «Bạn có thể tham khảo cách tính lãi suất ngân hàng để ước tính tiền lãi nhận được.»</t>
  </si>
  <si>
    <t>Khách hàng có thể truy cập vào công cụ tính lãi suất tự động của Techcombank và thực hiện điền số vốn, số phần trăm lãi suất, số kỳ hạn gửi để thực hiện tính lãi.</t>
  </si>
  <si>
    <t>Thêm ngay sau đoạn này: «Bạn cũng có thể tham khảo cách tính lãi suất ngân hàng để tự kiểm tra kết quả.»</t>
  </si>
  <si>
    <t>3. Nên gửi tiết kiệm vàng hay tiền?</t>
  </si>
  <si>
    <t>Bạn muốn sinh lời đều đặn và chắc chắn: Tiền gửi có kỳ hạn là công cụ giúp bạn biết trước lãi suất ngay từ thời điểm gửi</t>
  </si>
  <si>
    <t>Thêm ngay sau đoạn này: «Bạn có thể tham khảo cách tính lãi suất ngân hàng để ước tính tiền lãi trước khi gửi.»</t>
  </si>
  <si>
    <t>Mỗi ngân hàng sẽ có chính sách riêng về lãi suất tiết kiệm, khách hàng liên hệ trực tiếp để có được thông tin chính xác nhất.</t>
  </si>
  <si>
    <t>Thêm ngay sau đoạn này: «Sau khi nắm mức lãi suất, bạn có thể tham khảo cách tính lãi suất ngân hàng để ước tính tiền lãi nhận được.»</t>
  </si>
  <si>
    <t>Lựa chọn giải pháp tiền gửi phù hợp: Hiện nay, các ngân hàng có đa dạng giải pháp tiền gửi với kỳ hạn, lãi suất và tính năng khác nhau.</t>
  </si>
  <si>
    <t>Thêm ngay sau đoạn này: «Để so sánh hiệu quả, bạn nên biết cách tính lãi suất ngân hàng cho từng hình thức gửi.»</t>
  </si>
  <si>
    <t>2. Gửi tiết kiệm online có lãi suất hấp dẫn</t>
  </si>
  <si>
    <t>Các ngân hàng đang đẩy mạnh xu hướng này với chính sách lãi suất gửi tiết kiệm online cao hơn từ 0.1 - 0.4%/năm so với gửi trực tiếp tại chi nhánh/phòng giao dịch của ngân hàng.</t>
  </si>
  <si>
    <t>Thêm ngay sau đoạn này: «Để thấy rõ chênh lệch, bạn có thể tham khảo cách tính lãi suất ngân hàng cho khoản tiền gửi của mình.»</t>
  </si>
  <si>
    <t>3. Lưu ý khi gửi tiết kiệm online</t>
  </si>
  <si>
    <t>Lựa chọn hình thức gửi tiết kiệm online phù hợp: Mỗi hình thức gửi tiết kiệm sẽ có mức lãi suất khác nhau, phụ thuộc vào kỳ hạn, số tiền gửi và các điều kiện đi kèm.</t>
  </si>
  <si>
    <t>2. So sánh gửi tiết kiệm tích lũy với gửi tiết kiệm cố định</t>
  </si>
  <si>
    <t>Lãi suất trên chỉ có tính chất tham khảo và sẽ thay đổi tùy thuộc vào chính sách của ngân hàng tại từng thời điểm.</t>
  </si>
  <si>
    <t>Thêm ngay sau đoạn này: «Bạn có thể tham khảo cách tính lãi suất ngân hàng để tự ước tính tiền lãi.»</t>
  </si>
  <si>
    <t>3. Gửi tiết kiệm online với kỳ hạn phù hợp</t>
  </si>
  <si>
    <t>Như vậy, việc gửi tiền tiết kiệm không chỉ phụ thuộc vào mức lãi suất cao hay thấp mà còn phụ thuộc vào khả năng phân bổ tài chính của bạn…</t>
  </si>
  <si>
    <t>Thêm ngay sau đoạn này: «Bạn có thể tính lãi suất ngân hàng theo số tiền và kỳ hạn dự kiến để so sánh các phương án.»</t>
  </si>
  <si>
    <t>1. Gửi tiết kiệm online có rút trước hạn được không?</t>
  </si>
  <si>
    <t>Trong trường hợp rút một phần, số tiền rút trước sẽ được tính theo lãi suất không kỳ hạn, số tiền gốc còn lại vẫn áp dụng lãi …</t>
  </si>
  <si>
    <t>Thêm ngay sau đoạn này: «Bạn có thể tham khảo cách tính lãi suất ngân hàng để ước tính tiền lãi trong từng trường hợp.»</t>
  </si>
  <si>
    <t>Hầu hết tiền gửi tiết kiệm online thường có mức lãi suất cao hơn so với gửi tiết kiệm tại quầy khoảng 0.1 - 0.4%/năm (có thể thay đổi tuỳ theo chính sách của ngân hàng theo từng thời kỳ), do ngân hàn…</t>
  </si>
  <si>
    <t>Thêm ngay sau đoạn này: «Để tự ước tính tiền lãi, bạn có thể tham khảo cách tính lãi suất ngân hàng cho từng hình thức gửi.»</t>
  </si>
  <si>
    <t>3. Có 50 triệu nên mua vàng hay gửi tiết kiệm?</t>
  </si>
  <si>
    <t>Cả vàng và tiết kiệm đều là kênh giữ tiền an toàn nếu được sử dụng đúng mục đích.</t>
  </si>
  <si>
    <t>Thêm ngay sau đoạn này: «Bạn có thể tham khảo cách tính lãi suất ngân hàng để tự ước tính tiền lãi trước khi gửi.»</t>
  </si>
  <si>
    <t>4. Một số câu hỏi thường gặp về tiền gửi có kỳ hạn</t>
  </si>
  <si>
    <t>Khi rút một phần tiền trong số tiền gửi trước thời hạn thì ngân hàng chỉ tính lãi không kỳ hạn trên số tiền vừa rút…</t>
  </si>
  <si>
    <t>Thêm ngay sau đoạn này: «Để ước tính số lãi nhận được, bạn có thể tham khảo cách tính lãi suất ngân hàng cho tiền gửi.»</t>
  </si>
  <si>
    <t>Nếu bạn đã xác định được thời hạn gửi tiền , muốn hưởng lãi suất tròn kỳ khi đến thời gian tất toán</t>
  </si>
  <si>
    <t>Thêm ngay sau đoạn này: «Bạn có thể tham khảo cách tính lãi suất ngân hàng cho tiền gửi có kỳ hạn để ước tính tiền lãi.»</t>
  </si>
  <si>
    <t>3. Lời khuyên khi mở sổ tiết kiệm/tài khoản tiền gửi cho người mới</t>
  </si>
  <si>
    <t>Khách hàng nên chọn gửi tiết kiệm tại những ngân hàng uy tín để nhận được lãi suất hấp dẫn, hỗ trợ đa dạng hình thức đăng ký, sử dụng và được đảm bảo an toàn…</t>
  </si>
  <si>
    <t>Thêm ngay sau đoạn này: «Trước khi gửi, khách hàng có thể tìm hiểu cách tính lãi suất ngân hàng để ước tính khoản lãi nhận được.»</t>
  </si>
  <si>
    <t>2.3. Lãi suất có kỳ hạn</t>
  </si>
  <si>
    <t>Kỳ hạn càng dài, lãi suất thường càng cao.</t>
  </si>
  <si>
    <t>Thêm ngay sau đoạn này: «Bạn có thể tính lãi suất ngân hàng theo từng kỳ hạn để chọn phương án phù hợp.»</t>
  </si>
  <si>
    <t>1. Bật Sinh Lời Tự Động cho tài khoản thanh toán</t>
  </si>
  <si>
    <t>Lãi suất này được tính theo số ngày thực tế khách hàn…</t>
  </si>
  <si>
    <t>Thêm dòng sau đoạn: «Xem thêm: cách tính lãi suất ngân hàng cho tiền gửi tiết kiệm»</t>
  </si>
  <si>
    <t>Đoạn có trích quyết định – dùng Xem thêm</t>
  </si>
  <si>
    <t>Thêm ngay sau đoạn này: «Để biết số tiền lãi nhận được, bạn có thể tham khảo cách tính lãi suất ngân hàng.»</t>
  </si>
  <si>
    <t>Có, số dư tài khoản thanh toán chính là khoản tiền gửi không kỳ hạn.</t>
  </si>
  <si>
    <t>Đoạn trích quy định – dùng Xem thêm</t>
  </si>
  <si>
    <t>Đến hiện tại, Sinh Lời Tự Động đã được hơn 5 triệu khách hàng tin dùng nhờ khả năng linh hoạt chi tiêu 24/7 mà vẫn được hưởng lợi suất hấp dẫn lên đến 5.5%/năm (*), tính lãi theo số dư và ngày thực t…</t>
  </si>
  <si>
    <t>Thêm ngay sau đoạn này: «Để hiểu rõ cách tính lãi suất ngân hàng theo số dư và số ngày gửi thực tế, bạn có thể tham khảo hướng dẫn chi tiết.»</t>
  </si>
  <si>
    <t>2. Giải pháp thay thế phương án tất toán chứng chỉ tiền gửi trước hạn</t>
  </si>
  <si>
    <t>Khách hàng tất toán trước hạn thường được hưởng lãi suất không kỳ hạn</t>
  </si>
  <si>
    <t>Thêm ngay sau đoạn này: «Để thấy rõ chênh lệch tiền lãi, bạn có thể tham khảo cách tính lãi suất ngân hàng cho tiền gửi.»</t>
  </si>
  <si>
    <t>Thông thường, số dư trên tài khoản thanh toán sẽ được áp dụng mức lãi suất tiền gửi không kỳ hạn (từ 0.05%/năm đến tối đa 0.5%/năm theo Quyết định 1121/QĐ-NHNN năm 2023).</t>
  </si>
  <si>
    <t>Tuy nhiên, để giúp khách hàng nhanh chóng tính toán được lợi nhuận thực tế khi sở hữu Chứng chỉ tiền gửi, một số ngân hàng đã cung cấp công cụ giúp khách hàng tính lợi suất nhanh và đơn giản.</t>
  </si>
  <si>
    <t>Thêm ngay sau đoạn này: «Với tiền gửi tiết kiệm thông thường, bạn có thể tham khảo cách tính lãi suất ngân hàng.»</t>
  </si>
  <si>
    <t>3. Ưu, nhược điểm của từng hình thức và cách lựa chọn phù hợp</t>
  </si>
  <si>
    <t>Tiền gửi tiết kiệm trực tuyến &amp; Giải pháp quản lý dòng tiền: Phù hợp với nhà đầu tư ưu tiên sự an toàn…</t>
  </si>
  <si>
    <t>Thêm ngay sau đoạn này: «Bạn có thể tham khảo cách tính lãi suất ngân hàng để ước tính tiền lãi từ khoản tiết kiệm của mình.»</t>
  </si>
  <si>
    <t>4. Bí quyết gửi tiền tiết kiệm với lãi suất sinh lời hấp dẫn</t>
  </si>
  <si>
    <t>Bạn có thể tham khảo bảng lãi suất trên và một số lời khuyên gửi tiết kiệm trong bài để chọn được ngân hàng và sản phẩm tiết kiệm phù hợp, đáp ứng tốt mục tiêu tài chính.</t>
  </si>
  <si>
    <t>Thêm ngay sau đoạn này: «Để ước tính số tiền lãi nhận được, khách hàng có thể tìm hiểu thêm cách tính lãi suất tiết kiệm theo từng kỳ hạn.»</t>
  </si>
  <si>
    <t>Thêm ngay sau đoạn này: «Bạn có thể tham khảo cách tính lãi suất tiết kiệm để ước tính khoản lãi nhận được.»</t>
  </si>
  <si>
    <t>2.3. Bỏ lỡ thông báo quan trọng từ ngân hàng do không thường xuyên cập nhật ứng dụng</t>
  </si>
  <si>
    <t>Mỗi giải pháp tiền gửi tại ngân hàng có tính năng, kỳ hạn và lãi suất khác nhau.</t>
  </si>
  <si>
    <t>Thêm ngay sau đoạn này: «Để so sánh hiệu quả giữa các giải pháp, bạn có thể tham khảo cách tính lãi suất tiết kiệm.»</t>
  </si>
  <si>
    <t>Thêm ngay sau đoạn này: «Bạn có thể tham khảo cách tính lãi suất tiết kiệm để ước tính tiền lãi nhận được.»</t>
  </si>
  <si>
    <t>Thêm ngay sau đoạn này: «Bạn có thể tham khảo cách tính lãi suất tiết kiệm để biết khoản lãi nhận được.»</t>
  </si>
  <si>
    <t>2. Lãi suất</t>
  </si>
  <si>
    <t>Trường hợp rút một phần tiền gửi có kỳ hạn trước hạn: Mức lãi suất của phần tiền gửi rút trước hạn được tính theo lãi suất gửi không kỳ hạn.</t>
  </si>
  <si>
    <t>Thêm ngay sau đoạn này: «Để tự kiểm tra số tiền lãi, bạn có thể tham khảo cách tính lãi suất tiết kiệm chi tiết.»</t>
  </si>
  <si>
    <t>3. Ứng dụng fintech khác</t>
  </si>
  <si>
    <t>Việc tích lũy tiền tiết kiệm cũng giúp bạn chủ động hơn khi tìm hiểu về các loại lãi suất như lãi suất vay mua xe ô tô , lãi suất vay mua nhà,...</t>
  </si>
  <si>
    <t>Thêm ngay sau đoạn này: «Bạn cũng có thể tự tính lãi suất tiết kiệm để ước lượng khoản lãi trước khi gửi.»</t>
  </si>
  <si>
    <t>5.1. Tất toán tài khoản tiết kiệm online là gì?</t>
  </si>
  <si>
    <t>Khách hàng cần lưu ý việc tất toán tiết kiệm online cũng cần thực hiện đúng ngày theo hợp đồng.</t>
  </si>
  <si>
    <t>Thêm ngay sau đoạn này: «Để biết chênh lệch tiền lãi, bạn có thể tham khảo cách tính lãi suất tiết kiệm.»</t>
  </si>
  <si>
    <t>2. 6 sai lầm thường gặp khi lập kế hoạch tài chính</t>
  </si>
  <si>
    <t>Trì hoãn việc tiết kiệm và đầu tư: Bắt đầu quá muộn làm bỏ lỡ sức mạnh của lãi suất kép, khiến việc đạt được các mục tiêu lớn như hưu trí trở nên khó khăn hơn rất nhiều</t>
  </si>
  <si>
    <t>Thêm dòng sau đoạn: «Xem thêm: cách tính lãi suất tiết kiệm ngân hàng»</t>
  </si>
  <si>
    <t>3. So sánh lãi suất chứng chỉ quỹ và các kênh đầu tư khác</t>
  </si>
  <si>
    <t>So với các kênh đầu tư phổ biến như gửi tiết kiệm, trái phiếu doanh nghiệp hoặc cổ phiếu, chứng chỉ quỹ có mức lợi nhuận kỳ vọng trung bình, cân bằng giữa rủi ro và hiệu suất.</t>
  </si>
  <si>
    <t>Thêm ngay sau đoạn này: «Để so sánh sát hơn, bạn có thể tính lãi suất tiết kiệm cho cùng số vốn và thời gian.»</t>
  </si>
  <si>
    <t>1. Lợi ích khi tiết kiệm cho con cùng giải pháp Tích lũy Như Ý</t>
  </si>
  <si>
    <t>Sinh lời hiệu quả: Việc mở tài khoản tiết kiệm giúp các bậc phụ huynh tích lũy thêm được một khoản tiền đáng kể cho tương lai của trẻ nhờ lãi suất hấp dẫn…</t>
  </si>
  <si>
    <t>Thêm ngay sau đoạn này: «Phụ huynh có thể tham khảo cách tính lãi suất tiết kiệm để ước tính khoản tích lũy cho con.»</t>
  </si>
  <si>
    <t>2. Rút tiền tiết kiệm trước kỳ hạn có được nhận tiền lãi không?</t>
  </si>
  <si>
    <t>Ví dụ: Bạn có 5,000,000 VND gửi tiết kiệm trong 30 ngày với lãi suất là 4%/năm, lãi suất không kỳ hạn là 0.5%/năm, lãi nhận theo ngày.</t>
  </si>
  <si>
    <t>Thêm dòng sau đoạn: «Xem thêm: Cách tính lãi suất tiết kiệm ngân hàng»</t>
  </si>
  <si>
    <t>8. Câu hỏi thường gặp về cách đầu tư tài chính</t>
  </si>
  <si>
    <t>2. Hình thức đầu tư nào an toàn cho người mới? Gửi tiết kiệm và chứng chỉ quỹ trái phiếu thường được xem là điểm khởi đầu tương đối an toàn…</t>
  </si>
  <si>
    <t>Thêm ngay sau đoạn này: «Nếu chọn gửi tiết kiệm, bạn nên tìm hiểu cách tính lãi suất tiết kiệm để dự tính khoản lợi nhuận nhận được.»</t>
  </si>
  <si>
    <t>2.2. Cài đặt chế độ tự động chuyển tiền vào tài khoản tiết kiệm</t>
  </si>
  <si>
    <t>Nếu bạn đang sử dụng các giải pháp gửi tiết kiệm linh hoạt tại ngân hàng (ví dụ như giải pháp Tích luỹ Như Ý Techcombank ) bạn có thể cài đặt tính năng tự động chuyển tiền vào tài khoản tiết kiệm.</t>
  </si>
  <si>
    <t>Thêm ngay sau đoạn này: «Bạn có thể tham khảo cách tính lãi suất tiết kiệm để ước tính khoản tích lũy theo thời gian.»</t>
  </si>
  <si>
    <t>2.1. Gửi tiết kiệm ngân hàng</t>
  </si>
  <si>
    <t>Ưu điểm: Bảo toàn vốn tối ưu, lãi suất cố định và tính thanh khoản cao (dễ dàng rút vốn khi có nhu cầu đột xuất).</t>
  </si>
  <si>
    <t>Cộng thêm đến 1.2%/năm lãi suất khi gửi tiết kiệm từ 6 tháng</t>
  </si>
  <si>
    <t>4.1. Tiết kiệm bằng cách gửi tiền vào giải pháp tiết kiệm tích lũy</t>
  </si>
  <si>
    <t>Tiết kiệm tích lũy là hình thức gửi tiết kiệm có kỳ hạn cho phép người dùng gửi góp thêm tiền vào tài khoản tiền gửi định kỳ theo tuần, theo tháng…</t>
  </si>
  <si>
    <t>Thêm ngay sau đoạn này: «Bạn có thể tham khảo cách tính lãi suất tiết kiệm để ước tính số tiền lãi nhận được.»</t>
  </si>
  <si>
    <t>6. Gửi tiết kiệm online tự động mỗi ngày</t>
  </si>
  <si>
    <t>Gửi tiết kiệm càng nhiều thì nhận được lãi suất càng cao.</t>
  </si>
  <si>
    <t>Thêm dòng sau đoạn: «Xem thêm: cách tính lãi suất tiết kiệm chính xác cho từng kỳ hạn»</t>
  </si>
  <si>
    <t>4. Gửi tiết kiệm online lãi suất hấp dẫn tại Ngân hàng số Techcombank Mobile</t>
  </si>
  <si>
    <t>Chọn giải pháp tiền gửi phù hợp với mục tiêu tiết kiệm và khả năng tài chính của bản thân để duy trì tiết kiệm lâu dài.</t>
  </si>
  <si>
    <t>Thêm ngay sau đoạn này: «Trước khi chọn, bạn có thể tìm hiểu cách tính lãi suất tiết kiệm để so sánh các giải pháp.»</t>
  </si>
  <si>
    <t>2.1. Ưu điểm</t>
  </si>
  <si>
    <t>Tài khoản tiết kiệm online thường mang lại lãi suất cao hơn cho người dùng.</t>
  </si>
  <si>
    <t>Thêm ngay sau đoạn này: «Bạn có thể tham khảo cách tính lãi suất tiết kiệm để so sánh khoản lãi giữa các hình thức gửi.»</t>
  </si>
  <si>
    <t>Khi bạn gửi tiết kiệm ở ngân hàng, khoản tiền nhàn rỗi có thể tự động sinh lãi theo thời gian.</t>
  </si>
  <si>
    <t>Thêm ngay sau đoạn này: «Để ước lượng khoản lãi nhận được, bạn có thể tham khảo cách tính lãi suất tiết kiệm.»</t>
  </si>
  <si>
    <t>Chỉ với vài thao tác trên Techcombank Mobile , bạn có thể gửi tiết kiệm online, chọn kỳ hạn linh hoạt và theo dõi lãi suất minh bạc…</t>
  </si>
  <si>
    <t>Thêm ngay sau đoạn này: «Bạn cũng có thể tự tính lãi suất tiết kiệm để ước lượng số tiền lãi nhận được trước khi gửi.»</t>
  </si>
  <si>
    <t>2.1. Chứng chỉ quỹ mở (Open-end Fund)</t>
  </si>
  <si>
    <t>Với nhà đầu tư ưu tiên sự an toàn, việc nắm rõ thủ tục gửi tiết kiệm ngân hàng cũng là một cách để cân đối danh mục…</t>
  </si>
  <si>
    <t>Thêm ngay sau đoạn này: «Bạn cũng nên biết cách tính lãi suất tiết kiệm để so sánh hiệu quả với các quỹ.»</t>
  </si>
  <si>
    <t>3. Ảnh hưởng của lạm phát đến kinh tế cá nhân</t>
  </si>
  <si>
    <t>Nếu lãi suất tiết kiệm không đủ cao để theo kịp lạm phát, thì số tiền trong tài khoản tiết kiệm sẽ giảm đi theo thời gian.</t>
  </si>
  <si>
    <t>Thêm ngay sau đoạn này: «Khách hàng nên tìm hiểu cách tính lãi suất tiết kiệm để so sánh mức sinh lời thực tế với tốc độ lạm phát.»</t>
  </si>
  <si>
    <t>Tài khoản tiết kiệm là tài khoản tiền gửi cho phép người dùng gửi vào đó một khoản tiền và định kỳ nhận được tiền lãi theo mức lãi suất đã thoả thuận từ trước.</t>
  </si>
  <si>
    <t>3. Công cụ tính lãi vay ngân hàng nhanh chóng, chính xác từ Techcombank</t>
  </si>
  <si>
    <t>Techcombank cung cấp một công cụ trực tuyến giúp khách hàng nắm rõ cách tính lãi suất vay ngân hàng theo năm, theo tháng một cách nhanh chóng và chính xác.</t>
  </si>
  <si>
    <t>Thêm ngay sau đoạn này: «Với tiền gửi tiết kiệm, bạn có thể tham khảo cách tính lãi suất ngân hàng cho khoản tiết kiệm của mình.»</t>
  </si>
  <si>
    <t>Bài về vay – trang đích về tiết kiệm</t>
  </si>
  <si>
    <t>Khi vay thế chấp, người vay nên chú ý tới mức lãi suất và cách tính lãi suất của ngân hàng để chủ động trong việc tính toán số tiền cần trả hàng tháng.</t>
  </si>
  <si>
    <t>Sửa câu thành: «Khi vay thế chấp, người vay nên chú ý tới mức lãi suất và cách tính lãi suất ngân hàng áp dụng để chủ động trong việc tính toán số tiền cần trả hàng tháng.»</t>
  </si>
  <si>
    <t>2. 5 lợi ích vượt trội khi sở hữu đặc quyền khách hàng VIP ngân hàng</t>
  </si>
  <si>
    <t>Tối ưu hoá giá trị tài sản và gia tăng lợi nhuận: Nhờ cơ chế lãi suất huy động được cộng thêm biên độ và lãi suất cho vay ưu đãi sâu…</t>
  </si>
  <si>
    <t>Thêm ngay sau đoạn này: «Để ước tính phần lợi nhuận tăng thêm, bạn có thể tham khảo cách tính lãi suất ngân hàng cho khoản tiền gửi.»</t>
  </si>
  <si>
    <t>2.1. Khi nào nên để tiền trong tài khoản thanh toán?</t>
  </si>
  <si>
    <t>Thêm ngay sau đoạn này: «Bạn có thể tham khảo cách tính lãi suất ngân hàng để ước tính tiền lãi thực nhận.»</t>
  </si>
  <si>
    <t>Trong thời gian qua, lãi suất tiền gửi tại các ngân hàng ở Việt Nam có xu hướng giảm nhưng lượng tiền gửi vẫn duy trì mức tăng trưởng .</t>
  </si>
  <si>
    <t>1. Gửi tiết kiệm tại ngân hàng uy tín, có lãi suất tiết kiệm cao</t>
  </si>
  <si>
    <t>Bảng lãi suất được cập nhật ngày 18/12/2025, chỉ có tính chất tham khảo và sẽ thay đổi tùy thuộc vào chính sách của ngân hàng tại từng thời điểm</t>
  </si>
  <si>
    <t>Thêm dòng sau đoạn: «Xem thêm: cách tính lãi suất ngân hàng cho khoản tiền gửi tiết kiệm»</t>
  </si>
  <si>
    <t>Đoạn bảng số liệu – dùng Xem thêm</t>
  </si>
  <si>
    <t>1. Cập nhật lợi suất chứng chỉ tiền gửi các ngân hàng</t>
  </si>
  <si>
    <t>Lợi suất có thể thay đổi tuỳ theo thời gian nắm giữ và kỳ hạn trả lãi.</t>
  </si>
  <si>
    <t>Gạch đầu dòng chú thích bảng – dùng Xem thêm</t>
  </si>
  <si>
    <t>Thêm ngay sau đoạn này: «Bạn có thể tìm hiểu cách tính lãi suất ngân hàng để ước tính khoản lãi thực nhận.»</t>
  </si>
  <si>
    <t>Đến hiện tại, Techcombank Sinh Lời Tự Động đã được trên 5 triệu khách hàng tin dùng nhờ khả năng linh hoạt chi tiêu 24/7 mà vẫn được hưởng lợi suất hấp dẫn lên đến 6.5%/năm (*) , tính lãi theo số dư…</t>
  </si>
  <si>
    <t>Thêm ngay sau đoạn này: «Để hiểu rõ cách tính lãi suất ngân hàng theo số dư và ngày thực tế, bạn có thể tham khảo hướng dẫn chi tiết.»</t>
  </si>
  <si>
    <t>Trong trường hợp cần xem xét tổng thể tài chính trước khi mở thêm các dịch vụ ngân hàng, khách hàng có thể tham khảo bảng tính lãi suất vay mua nhà…</t>
  </si>
  <si>
    <t>Thêm ngay sau đoạn này: «Nếu có khoản tiền nhàn rỗi, khách hàng cũng có thể tìm hiểu cách tính lãi suất ngân hàng khi gửi tiết kiệm.»</t>
  </si>
  <si>
    <t>Tại Techcombank, ngoài lãi suất không kỳ hạn, khi kích hoạt tính năng Sinh Lời Tự Động , số tiền nhàn rỗi trong tài khoản thanh toán của bạn sẽ tự động sinh lời mỗi ngày…</t>
  </si>
  <si>
    <t>Thêm ngay sau đoạn này: «Bạn có thể tìm hiểu thêm cách tính lãi suất ngân hàng để so sánh với tiền gửi tiết kiệm.»</t>
  </si>
  <si>
    <t>2.6. Tiết kiệm</t>
  </si>
  <si>
    <t>Song song với đó, các sản phẩm tiết kiệm như sổ tiết kiệm linh hoạt cũng giúp khách hà…</t>
  </si>
  <si>
    <t>Thêm ngay sau đoạn này: «Bạn có thể tham khảo cách tính lãi suất ngân hàng cho tiền gửi để ước tính khoản lãi nhận được.»</t>
  </si>
  <si>
    <t>Dù bạn đang tích trữ vàng hay giao dịch ngắn hạn, việc hiểu đúng cách tính giá vàng sẽ giúp kiểm soát chi phí và tối ưu lợi nhuận.</t>
  </si>
  <si>
    <t>Thêm ngay sau đoạn này: «Nếu muốn so sánh với kênh gửi tiết kiệm, bạn có thể tham khảo cách tính lãi suất ngân hàng.»</t>
  </si>
  <si>
    <t>Ngân hàng tính số CASA dựa vào tiền gửi trong tài khoản thanh toán (Current Account) và tài khoản tiết kiệm không kỳ hạn (Savings Account) của khách hàng.</t>
  </si>
  <si>
    <t>Thêm ngay sau đoạn này: «Với tiền gửi tiết kiệm, bạn có thể tham khảo cách tính lãi suất ngân hàng để ước tính tiền lãi.»</t>
  </si>
  <si>
    <t>Bạn nên hỏi rõ chính sách thu đổi trước khi mua.</t>
  </si>
  <si>
    <t>Thêm ngay sau đoạn này: «Nếu ưu tiên tích lũy an toàn, bạn có thể so sánh với gửi tiết kiệm và tham khảo cách tính lãi suất ngân hàng.»</t>
  </si>
  <si>
    <t>3. Lựa chọn thời điểm mua vàng tối ưu</t>
  </si>
  <si>
    <t>Khi kinh tế bất ổn hoặc lãi suất giảm: Trong giai đoạn kinh tế có dấu hiệu chững lại, lạm phát tăng cao hoặc khi các ngân hàng trung ương bắt đầu giảm lãi suất huy động…</t>
  </si>
  <si>
    <t>Thêm dòng sau đoạn: «Xem thêm: cách tính lãi suất ngân hàng khi gửi tiết kiệm»</t>
  </si>
  <si>
    <t>4. Ngân hàng số giúp tối ưu chi phí</t>
  </si>
  <si>
    <t>Những khoản chi phí tuy nhỏ tích lũy theo thời gian có thể trở thành khoản đầu tư hoặc tiết kiệm đáng giá trong tương lai.</t>
  </si>
  <si>
    <t>Thêm ngay sau đoạn này: «Nếu chọn gửi tiết kiệm, bạn có thể tìm hiểu cách tính lãi suất ngân hàng để ước tính khoản lãi nhận được.»</t>
  </si>
  <si>
    <t>4. Hướng dẫn đổi quà khi sưu tập các Linh Thú</t>
  </si>
  <si>
    <t>Chương trình "Sinh Lời Rinh Lộc" được tổ chức nhằm nối dài những giá trị vượt trội của Techcombank Sinh Lời Tự Động… tính lãi theo số dư và ngày thực tế…</t>
  </si>
  <si>
    <t>Đoạn có số liệu lợi suất – dùng Xem thêm</t>
  </si>
  <si>
    <t>1. Tài khoản thanh toán là gì? Chức năng của tài khoản thanh toán</t>
  </si>
  <si>
    <t>Là tài khoản dùng để gửi tiết kiệm theo hình thức có kỳ hạn</t>
  </si>
  <si>
    <t>Thêm ngay sau đoạn này: «Bạn có thể tham khảo cách tính lãi suất tiết kiệm để ước tính tiền lãi theo từng kỳ hạn.»</t>
  </si>
  <si>
    <t>Gạch đầu dòng trong danh sách</t>
  </si>
  <si>
    <t>Tái tục tiền tiết kiệm sang kỳ tiếp theo: Lãi suất sẽ được tính bằng lãi suất cố định tại thời điểm gửi tiền/ tái tục nhân tổng số tiền gốc và lãi ở các kỳ hạn tiết kiệm trước.</t>
  </si>
  <si>
    <t>Thêm dòng sau đoạn: «Xem thêm: cách tính lãi suất tiết kiệm chi tiết»</t>
  </si>
  <si>
    <t>Đối với nhà đầu tư có kế hoạch tài chính định sẵn, có thể chọn lựa kỳ hạn đầu tư từ 3 đến 12 tháng với lãi suất đầu tư cố định .</t>
  </si>
  <si>
    <t>Thêm ngay sau đoạn này: «Để so sánh với gửi tiết kiệm cùng kỳ hạn, bạn có thể tham khảo cách tính lãi suất tiết kiệm.»</t>
  </si>
  <si>
    <t>Thêm dòng sau đoạn: «Xem thêm: cách tính lãi suất tiết kiệm»</t>
  </si>
  <si>
    <t>Thêm ngay sau đoạn này: «Để ước tính số tiền lãi nhận được, bạn có thể tham khảo cách tính lãi suất tiết kiệm chi tiết.»</t>
  </si>
  <si>
    <t>Đoạn ưu đãi</t>
  </si>
  <si>
    <t>Khi tìm kiếm những trái phiếu “vàng”, mức lãi suất có thể thấp hơn một chút nhưng đổi lại đó chính là sự an toàn và hiệu quả mà nhà đầu tư nhận được.</t>
  </si>
  <si>
    <t>Thêm ngay sau đoạn này: «Trước khi lựa chọn, nhà đầu tư có thể tham khảo cách tính lãi suất tiết kiệm để so sánh lợi nhuận giữa hai kênh.»</t>
  </si>
  <si>
    <t>Giao diện trực quan, có thể theo dõi lợi suất, lợi nhuận tạm tính và dự phóng lợi nhuận tối đa trong 6 tháng kể từ thời điểm mua</t>
  </si>
  <si>
    <t>Thêm ngay sau đoạn này: «Với tiền gửi tiết kiệm thông thường, bạn có thể tham khảo cách tính lãi suất tiết kiệm để so sánh.»</t>
  </si>
  <si>
    <t>Không chỉ dừng lại ở việc chi tiêu hợp lý hay tiết kiệm dài hạn, người làm công ăn lương ngày nay còn bắt đầu tìm kiếm đến giải pháp sinh lời hiệu quả…</t>
  </si>
  <si>
    <t>Thêm ngay sau đoạn này: «Với khoản tiết kiệm dài hạn, bạn có thể tham khảo cách tính lãi suất tiết kiệm để so sánh hiệu quả giữa các kênh.»</t>
  </si>
  <si>
    <t>Khi có một khoản tiền nhàn rỗi trong vài tuần hoặc vài tháng tới, không ít người băn khoăn nên gửi tiết kiệm, giữ tiền mặt hay tìm một kênh sinh lời nào đó…</t>
  </si>
  <si>
    <t>Thêm ngay sau đoạn này: «Nếu cân nhắc gửi tiết kiệm, bạn có thể tham khảo cách tính lãi suất tiết kiệm để ước tính khoản lợi nhuận nhận về.»</t>
  </si>
  <si>
    <t>Chèn ở mở bài – nên đọc lại</t>
  </si>
  <si>
    <t>Thêm ngay sau đoạn này: «Khách hàng có thể tìm hiểu cách tính lãi suất tiết kiệm để ước tính khoản lãi nhận được.»</t>
  </si>
  <si>
    <t>7. Có nên mở tài khoản tiền gửi online thay cho sổ tiết kiệm không?</t>
  </si>
  <si>
    <t>Chính sách lãi suất gửi tiết kiệm online thường cao hơn từ 0.1 - 0.4%/năm so với gửi trực tiếp tại chi nhánh/phòng giao dịch của ngân…</t>
  </si>
  <si>
    <t>Thêm dòng sau đoạn: «Xem thêm: Cách tính lãi suất tiết kiệm chính xác»</t>
  </si>
  <si>
    <t>3.2. Quỹ đầu tư Cổ phiếu Techcom (TCEF)</t>
  </si>
  <si>
    <t>Với chiến lược tập trung vào tăng trưởng, quỹ đặt mục tiêu mang lại lợi nhuận dài hạn có thể gấp 2 lần lãi suất tiết kiệm trung bình 12 tháng.</t>
  </si>
  <si>
    <t>3. Xây dựng kế hoạch quản lý gia sản dài hạn</t>
  </si>
  <si>
    <t>Lợi nhuận kỳ vọng dự kiến tốt hơn lãi suất tiết kiệm trung bình 12 tháng.</t>
  </si>
  <si>
    <t>Thêm ngay sau đoạn này: «Để so sánh, bạn có thể tham khảo cách tính lãi suất tiết kiệm cho khoản tiền gửi.»</t>
  </si>
  <si>
    <t>Tiếp cận giải pháp tài chính được thiết kế riêng: Cộng thêm ưu đãi lãi suất tiết kiệm; ưu đãi tỷ giá và phí chuyển tiền quốc tế…</t>
  </si>
  <si>
    <t>4. Hướng dẫn mua chứng chỉ quỹ Techcombank đơn giản, nhanh chóng trên Techcombank Mobile</t>
  </si>
  <si>
    <t>Hiệu quả hơn : Không cần theo dõi thị trường hàng ngày hay có kiến thức chuyên sâu. Lợi nhuận kỳ vọng dài hạn lên tới gấp 2 lần lãi suất tiết kiệm trung bình 12 tháng…</t>
  </si>
  <si>
    <t>1. Lập ngân sách</t>
  </si>
  <si>
    <t>Điều này bao gồm: lương chính và các nguồn thu nhập bổ sung (thu nhập từ công việc tự do, tiền cho thuê, lãi suất từ tài khoản tiết kiệm,...)</t>
  </si>
  <si>
    <t>2.1. Thăng hạng hội viên, gia đình hưởng ưu tiên</t>
  </si>
  <si>
    <t>Tính đến ngày 20/6/2025, giá trị tiền gửi tiết kiệm tính theo bình quân 3 tháng của A hiện đang là: (150,000,000 x 40)/90 = 66,666,666</t>
  </si>
  <si>
    <t>Thêm ngay sau đoạn này: «Để ước tính khoản lãi nhận được, bạn có thể tham khảo cách tính lãi suất tiết kiệm.»</t>
  </si>
  <si>
    <t>1. Tiền gửi có kỳ hạn là gì?</t>
  </si>
  <si>
    <t>Có thể tất toán trước hạn nhưng cần thông báo với ngân hàng và khoản tiền rút ra sẽ chỉ được hưởng lãi suất không kỳ hạn…</t>
  </si>
  <si>
    <t>Thêm ngay sau đoạn này: «Bạn có thể tham khảo thêm những điều cần biết khi rút tiền tiết kiệm trước thời hạn.»</t>
  </si>
  <si>
    <t>Giao dịch linh hoạt, dễ kiểm soát: Khách hàng có thể gửi thêm tiền, rút trước hạn một phần hoặc tất toán khoản tiết kiệm trên ngân hàng số…</t>
  </si>
  <si>
    <t>Thêm dòng sau đoạn: «Xem thêm: những điều cần biết khi rút tiền tiết kiệm trước thời hạn»</t>
  </si>
  <si>
    <t>2. Lợi ích của hình thức vay thấu chi bằng sổ tiết kiệm</t>
  </si>
  <si>
    <t>Hoặc, họ không phải rút tiền tiết kiệm trước hạn và hưởng lãi suất không kỳ hạn.</t>
  </si>
  <si>
    <t>Sửa câu thành: «Hoặc, họ không phải rút tiết kiệm trước hạn và hưởng lãi suất không kỳ hạn.»</t>
  </si>
  <si>
    <t>3. 2 hiểu lầm thường gặp về lãi kép ngân hàng</t>
  </si>
  <si>
    <t>Khoản tiền tiết kiệm bị rút trước hạn sẽ được áp dụng lãi suất tiền gửi không kỳ hạn, tối đa 0.5%/năm theo Quyết định 1121/QĐ-NHNN năm 2023.</t>
  </si>
  <si>
    <t>Thêm ngay sau đoạn này: «Bạn có thể tham khảo thêm những điều cần biết khi rút tiết kiệm trước hạn.»</t>
  </si>
  <si>
    <t>Câu có trích quyết định – không sửa, chỉ thêm câu sau</t>
  </si>
  <si>
    <t>3. Lời khuyên khi gửi thêm tiền vào sổ tiết kiệm hoặc tài khoản tiền gửi</t>
  </si>
  <si>
    <t>Nếu vừa muốn gửi thêm tiền linh hoạt, vừa có thể rút một phần tiền trước hạn khi có nhu cầu…</t>
  </si>
  <si>
    <t>Thêm ngay sau đoạn này: «Bạn có thể tìm hiểu thêm các lưu ý khi rút tiết kiệm trước hạn để tránh ảnh hưởng đến tiền lãi.»</t>
  </si>
  <si>
    <t>Tiền gửi tiết kiệm/tiền gửi có kỳ hạn: Có thể tất toán trước hạn (hưởng lãi suất không kỳ hạn) , cầm cố sổ tiết kiệm hoặc chuyển nhượng theo quy định của ngân hàng</t>
  </si>
  <si>
    <t>Thêm ngay sau đoạn này: «Bạn có thể tìm hiểu thêm những điều cần biết khi rút tiết kiệm trước hạn.»</t>
  </si>
  <si>
    <t>4. 3 lời khuyên khi chọn kỳ hạn gửi tiết kiệm ngân hàng</t>
  </si>
  <si>
    <t>Khách hàng có thể tham khảo các sản phẩm gửi tiết kiệm linh hoạt cho phép rút gốc 1 phần trong hạn để tránh tất toán trước hạn.</t>
  </si>
  <si>
    <t>Thêm ngay sau đoạn này: «Bạn cũng nên tìm hiểu quy định khi rút tiết kiệm trước hạn để tránh mất lãi.»</t>
  </si>
  <si>
    <t>4. Nên chia nhỏ các khoản tiết kiệm</t>
  </si>
  <si>
    <t>Điều này có nghĩa là khách hàng sẽ nhận được lãi suất không kỳ hạn cho phần tiền rút trước.</t>
  </si>
  <si>
    <t>Rút trước hạn thường chỉ được hưởng lãi suất không kỳ hạn.</t>
  </si>
  <si>
    <t>Sửa câu thành: «Rút tiết kiệm trước hạn thường chỉ được hưởng lãi suất không kỳ hạn.»</t>
  </si>
  <si>
    <t>3. Hạn mức giao dịch tối đa của các loại tài khoản ngân hàng</t>
  </si>
  <si>
    <t>Nếu rút tiền trước kỳ hạn, bạn vẫn có thể rút hết tiền gốc, nhưng sẽ nhận được số tiền lãi ít hơn (so với rút tiền đúng kỳ hạn) tùy theo quy định của ngân hàng</t>
  </si>
  <si>
    <t>Sửa câu thành: «Nếu rút tiết kiệm trước hạn, bạn vẫn có thể rút hết tiền gốc, nhưng sẽ nhận được số tiền lãi ít hơn (so với rút tiền đúng kỳ hạn) tùy theo quy định của ngân hàng»</t>
  </si>
  <si>
    <t>Gửi góp tiết kiệm linh hoạt: Khác với các hình thức tiết kiệm truyền thống, giải pháp Tiền gửi Tích lũy Như Ý cho phép người dùng chủ động gửi tiền vào tài khoản bất cứ lúc nào trong kỳ…</t>
  </si>
  <si>
    <t>Thêm ngay sau đoạn này: «Nếu cần dùng tiền giữa kỳ, bạn nên tìm hiểu các lưu ý khi rút tiền tiết kiệm trước thời hạn.»</t>
  </si>
  <si>
    <t>4. Mất sổ tiết kiệm có rút được tiền ngay không?</t>
  </si>
  <si>
    <t>Tuy nhiên, nếu mất sổ tiết kiệm, khách hàng cần thực hiện một số thủ tục bổ sung như: Báo mất sổ, xin cấp lại sổ mới và rút tiền sau khi đã được ngân hàng xác minh.</t>
  </si>
  <si>
    <t>Thêm ngay sau đoạn này: «Nếu cần rút tiết kiệm trước hạn, khách hàng nên tìm hiểu kỹ quy định về lãi suất được áp dụng.»</t>
  </si>
  <si>
    <t>Phí làm sổ: Hiện tại, khách hàng được mở sổ tiết kiệm không mất phí tại hầu hết các ngân hàng Việt Nam nhưng có thể chịu phí khoảng 0,01 - 0,03%/năm (tối thiểu 10.000 - 20.000 VND, tối đa 1.000.000 V…</t>
  </si>
  <si>
    <t>Thêm ngay sau đoạn này: «Bạn có thể tìm hiểu thêm các quy định khi rút tiết kiệm trước hạn để hạn chế mất lãi.»</t>
  </si>
  <si>
    <t>3.2.1. Tiền gửi tiết kiệm</t>
  </si>
  <si>
    <t>Tiền gửi Rút gốc linh hoạt Techcombank: Cho phép khách hàng rút từng phần trước hạn mà không cần tất toán.</t>
  </si>
  <si>
    <t>Thêm ngay sau đoạn này: «Bạn có thể tìm hiểu thêm quy định khi rút tiết kiệm trước hạn để chọn hình thức gửi phù hợp.»</t>
  </si>
  <si>
    <t>1. Đầu tư ngắn hạn khác gì với gửi tiết kiệm thông thường?…thường linh hoạt hơn về kỳ hạn và khả năng rút vốn trước hạn.</t>
  </si>
  <si>
    <t>Thêm ngay sau đoạn này: «Với tiền gửi tiết kiệm, bạn nên tìm hiểu kỹ quy định khi rút tiết kiệm trước hạn để tránh ảnh hưởng đến tiền lãi.»</t>
  </si>
  <si>
    <t>1. Hạn chế của bảo hiểm nhân thọ truyền thống khi muốn rút tiền</t>
  </si>
  <si>
    <t>Rút tiền bảo hiểm nhân thọ trước đáo hạn là việc có thể tác động đến các quyền lợi gì mà người tham gia đang được hưởng.</t>
  </si>
  <si>
    <t>Thêm ngay sau đoạn này: «Tương tự, việc rút tiết kiệm trước hạn tại ngân hàng cũng có thể khiến bạn mất một phần tiền lãi.»</t>
  </si>
  <si>
    <t>1. Quy định về rút chứng chỉ tiền gửi trước hạn</t>
  </si>
  <si>
    <t>Theo quy định ở trên, khách hàng có thể được tất toán trước thời hạn chứng chỉ tiền gửi hoặc không tùy theo chính sách của từng ngân hàng .</t>
  </si>
  <si>
    <t>Thêm ngay sau đoạn này: «Với tiền gửi tiết kiệm thông thường, bạn có thể tham khảo các lưu ý khi rút tiết kiệm trước hạn.»</t>
  </si>
  <si>
    <t>2. Phân biệt hình thức quay vòng cả gốc lẫn lãi và hình thức chỉ quay vòng gốc</t>
  </si>
  <si>
    <t>Việc lựa chọn quay vòng cả gốc và lãi hay chỉ quay vòng gốc là tùy theo nhu cầu tiết kiệm tiền gửi của khách hàng.</t>
  </si>
  <si>
    <t>Thêm ngay sau đoạn này: «Nếu cần tiền giữa kỳ, bạn nên tìm hiểu các lưu ý khi rút tiết kiệm trước hạn.»</t>
  </si>
  <si>
    <t>1.3. Mức độ linh hoạt</t>
  </si>
  <si>
    <t>Nếu khách hàng muốn thay đổi các thông số về khoản tiết kiệm của mình hay rút tiền thì cần phải đến ngân hàng để làm thủ tục thực hiện.</t>
  </si>
  <si>
    <t>Thêm ngay sau đoạn này: «Trường hợp cần rút tiết kiệm trước hạn, khách hàng nên tìm hiểu kỹ quy định về lãi suất áp dụng.»</t>
  </si>
  <si>
    <t>3. Phân bổ tiền vào các giải pháp tiền gửi để sinh lời hiệu quả</t>
  </si>
  <si>
    <t>Đặc biệt, một số ngân hàng như Techcombank còn cho phép khách hàng đặt lịch tự động gửi tiền, giúp quá trình tiết kiệm của khách hàng thuận tiện hơn bao giờ hết.</t>
  </si>
  <si>
    <t>Thêm ngay sau đoạn này: «Với tiền gửi có kỳ hạn thông thường, bạn nên tìm hiểu kỹ những điều cần biết khi rút tiết kiệm trước hạn.»</t>
  </si>
  <si>
    <t>2.4. Bước 4: Lập quỹ dự phòng và bảo vệ tài chính</t>
  </si>
  <si>
    <t>Khoản tiền này nên được giữ trong tài khoản tiết kiệm dễ rút hoặc các kênh an toàn, thanh khoản cao như chứng chỉ tiền gửi ngắn hạn.</t>
  </si>
  <si>
    <t>Thêm dòng sau đoạn: «Xem thêm: Những điều cần biết khi rút tiết kiệm trước hạn»</t>
  </si>
  <si>
    <t>3. Biểu phí khi sử dụng thẻ Visa thanh toán quốc tế</t>
  </si>
  <si>
    <t>Đây cũng là lý do nhiều khách hàng thường quan tâm đến các quy trình tài chính khác, chẳng hạn như sổ tiết kiệm rút ở chi nhánh khác được không…</t>
  </si>
  <si>
    <t>Thêm ngay sau đoạn này: «Bên cạnh đó, khách hàng cũng nên nắm rõ quy định khi rút tiền tiết kiệm trước thời hạn.»</t>
  </si>
  <si>
    <t>Đoạn đã có 1 link về sổ tiết kiệm – cân nhắc mật độ</t>
  </si>
  <si>
    <t>1. 2 lý do lãi suất gửi tiết kiệm online thường cao hơn gửi tại phòng giao dịch</t>
  </si>
  <si>
    <t>Mang lại nhiều lợi ích cho người dùng: Thay vì phải đi ra ngân hàng để gửi - rút tiền như trước đây, người dùng có thể thao tác nhanh chóng thông qua điện thoại có kết nối mạng, giúp tiết kiệm thời g…</t>
  </si>
  <si>
    <t>Thêm ngay sau đoạn này: «Ngoài ra, bạn nên tìm hiểu quy định khi rút tiết kiệm trước hạn để hạn chế mất lãi.»</t>
  </si>
  <si>
    <t>2. Mở thẻ tín dụng với tài sản đảm bảo</t>
  </si>
  <si>
    <t>Sử dụng sổ tiết kiệm hoặc tài khoản tiền gửi có kỳ hạn để bảo lãnh cho hạn mức thẻ tín dụng.</t>
  </si>
  <si>
    <t>Thêm ngay sau đoạn này: «Khách hàng nên tìm hiểu thêm quy định rút tiết kiệm trước hạn trước khi dùng sổ làm tài sản bảo đảm.»</t>
  </si>
  <si>
    <t>Chứng chỉ tiền gửi Bảo Lộc là giải pháp sinh lời tối ưu cho nguồn tiền trong ngắn hạn.</t>
  </si>
  <si>
    <t>Thêm dòng sau đoạn: «Xem thêm: những điều cần biết khi rút tiết kiệm trước hạn»</t>
  </si>
  <si>
    <t>3.1. Điều kiện &amp; Hồ sơ</t>
  </si>
  <si>
    <t>Trong quá trình so sánh thẻ và các hình thức tiết kiệm khác, bạn cũng nên xem thêm “ chứng chỉ tiền gửi có được rút trước hạn không ”…</t>
  </si>
  <si>
    <t>Thêm ngay sau đoạn này: «Với tiền gửi tiết kiệm thông thường, bạn cũng nên nắm rõ quy định khi rút tiết kiệm trước hạn.»</t>
  </si>
  <si>
    <t>Mở sổ tiết kiệm cần bao nhiêu tiền là băn khoăn của nhiều khách hàng khi có nhu cầu gửi tiết kiệm.</t>
  </si>
  <si>
    <t>Bôi đen cụm «sổ tiết kiệm» trong câu trên, gắn link.</t>
  </si>
  <si>
    <t>Khi khách hàng có nhu cầu gửi thêm tiền vào sổ tiết kiệm/tài khoản tiền gửi mà không muốn tất toán trước hạn, giải pháp phù hợp là mở thêm một sổ tiết kiệm hoặc tài khoản tiền gửi mới.</t>
  </si>
  <si>
    <t>1. Giới thiệu về hình thức vay thấu chi bằng sổ tiết kiệm</t>
  </si>
  <si>
    <t>Vay thấu chi bằng sổ tiết kiệm là hình thức vay mà khách hàng sử dụng số tiền trong sổ tiết kiệm của mình như một tài sản đảm bảo…</t>
  </si>
  <si>
    <t>Gắn link ở cụm «trong sổ tiết kiệm của mình»</t>
  </si>
  <si>
    <t>5. Lưu ý khi gửi tiết kiệm tại ngân hàng</t>
  </si>
  <si>
    <t>Sau khi đã có sổ tiết kiệm, khách hàng cần bảo quản sổ ở nơi riêng tư, không cho người khác mượn sổ hoặc nhờ người khác gửi tiết kiệm hộ.</t>
  </si>
  <si>
    <t>Ví dụ: Nếu bạn có sổ tiết kiệm trị giá 100 triệu VND tại ngân hàng, bạn có thể mở thẻ tín dụng có hạn mức 80 triệu VND mà không cần chứng minh thu nhập hàng tháng.</t>
  </si>
  <si>
    <t>5. Bí quyết rút tiền trước hạn nhưng vẫn giữ nguyên được lãi</t>
  </si>
  <si>
    <t>Khi bạn cần tiền mà không muốn mất lãi suất ban đầu của khoản tiết kiệm, bạn có thể cân nhắc lựa chọn sử dụng gói vay, trong đó, sổ tiết kiệm được sử dụng làm tài sản đảm bảo của ngân hàng với lãi suất thấp hơn.</t>
  </si>
  <si>
    <t>2.3. Mở thẻ tín dụng hạn mức cao dựa theo tổng tài sản</t>
  </si>
  <si>
    <t>Tài sản được ngân hàng công nhận thông qua các giấy tờ như sổ tiết kiệm, tiền gửi ký quỹ, giấy tờ bất động sản...</t>
  </si>
  <si>
    <t>2.1. Cách đăng ký thẻ Visa Credit trực tiếp tại phòng giao dịch</t>
  </si>
  <si>
    <t>Giấy tờ chứng minh quyền sở hữu tài sản (đảm bảo bản sao có công chứng) như giấy tờ nhà đất, sổ tiết kiệm, sổ bảo hiểm, sở hữu ô tô...</t>
  </si>
  <si>
    <t>1. Sao kê tài khoản ngân hàng là gì?</t>
  </si>
  <si>
    <t>…đặc biệt khi bạn muốn gửi thêm tiền vào sổ tiết kiệm để tăng khả năng tích lũy.</t>
  </si>
  <si>
    <t>3.2. Đánh giá hiện trạng tài chính</t>
  </si>
  <si>
    <t>Tài sản (sổ tiết kiệm, tài khoản, bất động sản,…)</t>
  </si>
  <si>
    <t>Sổ tiết kiệm hoặc tài khoản tiết kiệm online trên Mobile Banking/ Internet Banking.</t>
  </si>
  <si>
    <t>Bôi đen cụm «Sổ tiết kiệm» trong câu trên, gắn link.</t>
  </si>
  <si>
    <t>3.1. Tất toán tài khoản tiết kiệm/sổ tiết kiệm</t>
  </si>
  <si>
    <t>Khách hàng tất toán sổ tiết kiệm sẽ được rút toàn bộ tiền gốc và phần tiền lãi phát sinh trong khoảng thời gian gửi tiền.</t>
  </si>
  <si>
    <t>Đáo hạn sổ tiết kiệm/tài khoản tiền gửi có kỳ hạn là thời điểm kết thúc kỳ hạn gửi tiền tại ngân hàng…</t>
  </si>
  <si>
    <t>Khách hàng gửi tiết kiệm online thường được hưởng lãi suất cao hơn so với mở sổ tiết kiệm tại phòng giao dịch.</t>
  </si>
  <si>
    <t>3. Nên gửi tiết kiệm online hay tại quầy để tránh rủi ro?</t>
  </si>
  <si>
    <t>Bạn cần bảo mật số tiết kiệm vật lý cũng như các thông tin về sổ khi gửi tiết kiệm tại quầy.</t>
  </si>
  <si>
    <t>Sửa câu thành: «Bạn cần bảo mật sổ tiết kiệm vật lý cũng như các thông tin về sổ khi gửi tiết kiệm tại quầy.»</t>
  </si>
  <si>
    <t>Sửa luôn lỗi gõ ‘số’ thành ‘sổ’</t>
  </si>
  <si>
    <t>3. Thời gian cấp lại sổ tiết kiệm mất bao lâu?</t>
  </si>
  <si>
    <t>Thông thường, ngân hàng sẽ cấp lại sổ tiết kiệm cho khách hàng ngay tại thời điểm khách hàng hoàn tất đề nghị và được xác minh.</t>
  </si>
  <si>
    <t>2.2. Vay thấu chi thế chấp</t>
  </si>
  <si>
    <t>Yêu cầu tài sản đảm bảo có giá trị (sổ tiết kiệm, bất động sản đã có giấy chứng nhận, ô tô…)</t>
  </si>
  <si>
    <t>5.3. Phí tất toán sổ tiết kiệm trước hạn là bao nhiêu?</t>
  </si>
  <si>
    <t>Phí tất toán sổ tiết kiệm có thể phát sinh theo quy định của từng ngân hàng, khách hàng có thể kiểm tra trên thông tin biểu phí tiết kiệm của ngân hàng theo từng thời kỳ.</t>
  </si>
  <si>
    <t>Trên đây là những thông tin cơ bản giúp bạn hiểu rõ hơn Chứng chỉ tiền gửi là gì và mức độ an toàn của giải pháp này.</t>
  </si>
  <si>
    <t>Thêm ngay sau đoạn này: «Nếu ưu tiên hình thức quen thuộc, bạn cũng có thể tìm hiểu thêm về sổ tiết kiệm và những điều cần biết khi mở sổ.»</t>
  </si>
  <si>
    <t>4. Nên gửi tiết kiệm ở ngân hàng nào để lãi suất cao?</t>
  </si>
  <si>
    <t>Nhìn chung, khách hàng nên gửi tiết kiệm ngân hàng bởi hình thức này sẽ giúp khoản tiền nhàn rỗi sinh lời ổn định, đảm bảo an toàn và ít xảy ra rủi ro.</t>
  </si>
  <si>
    <t>Thêm ngay sau đoạn này: «Nếu gửi tại quầy, bạn sẽ được cấp sổ tiết kiệm – hãy tìm hiểu thêm những thông tin cần biết trước khi mở sổ.»</t>
  </si>
  <si>
    <t>Khách hàng nên chọn gửi tiết kiệm ngoại tệ tại các ngân hàng lớn, uy tín, bảo mật cao để được đảm bảo quyền lợi và chính sách đã cam kết trong suốt quá trình gửi tiết kiệm.</t>
  </si>
  <si>
    <t>Thêm ngay sau đoạn này: «Bạn có thể tìm hiểu thêm những thông tin cần biết khi mở sổ tiết kiệm.»</t>
  </si>
  <si>
    <t>Khách hàng nên chia tiền vào nhiều sổ/tài khoản tiết kiệm để đáp ứng tốt nhu cầu sử dụng.</t>
  </si>
  <si>
    <t>Sửa câu thành: «Khách hàng nên chia tiền vào nhiều sổ tiết kiệm/tài khoản tiết kiệm để đáp ứng tốt nhu cầu sử dụng.»</t>
  </si>
  <si>
    <t>3. Lưu ý khi mở tài khoản tiết kiệm cho con</t>
  </si>
  <si>
    <t>Khi mở tài khoản tiết kiệm với mục tiêu gửi tiết kiệm cho con, phụ huynh cần nắm rõ những lưu ý dưới đây để đảm bảo sinh lời hiệu quả cho khoản tiền gửi:</t>
  </si>
  <si>
    <t>Sửa câu thành: «Khi mở tài khoản tiết kiệm hoặc sổ tiết kiệm với mục tiêu gửi tiết kiệm cho con, phụ huynh cần nắm rõ những lưu ý dưới đây để đảm bảo sinh lời hiệu quả cho khoản tiền gửi:»</t>
  </si>
  <si>
    <t>2.2. Liên hệ với cơ quan công an</t>
  </si>
  <si>
    <t>Dù tình huống mất tiền tiết kiệm khi gửi tiền online rất ít khi xảy ra nhưng để phòng ngừa những tình huống không mong muốn, khách hàng nên bảo mật tốt thông tin tài khoản…</t>
  </si>
  <si>
    <t>Thêm ngay sau đoạn này: «Bạn cũng có thể tìm hiểu thêm về sổ tiết kiệm ngân hàng và các lưu ý khi mở sổ.»</t>
  </si>
  <si>
    <t>3. Gợi ý sản phẩm bảo hiểm nhân thọ linh hoạt đóng phí, quyền lợi tối ưu</t>
  </si>
  <si>
    <t>Nếu mình may mắn khỏe re, thì sau này khoản tiền đó nó vẫn sinh lời, coi như có thêm một sổ tiết kiệm cho tuổi già.</t>
  </si>
  <si>
    <t>Câu trích lời khách hàng – cân nhắc có nên gắn link</t>
  </si>
  <si>
    <t>Nhiều khách hàng cũng lo ngại những rủi ro tương tự với các giấy tờ tài chính khác, chẳng hạn như mất sổ tiết kiệm , nên xu hướng quản lý…</t>
  </si>
  <si>
    <t>Cụm «mất sổ tiết kiệm» có thể đã gắn link – kiểm tra trùng</t>
  </si>
  <si>
    <t>Chứng chỉ tiền gửi khác gì sổ tiết kiệm? 4 điểm chính bạn cần lưu ý</t>
  </si>
  <si>
    <t>Dòng này có thể đã là link sang bài khác – nếu vậy thì bỏ</t>
  </si>
  <si>
    <t>2. Chức năng của tài khoản thanh toán</t>
  </si>
  <si>
    <t>Đăng ký các dịch vụ khác của ngân hàng: Tiết kiệm, giao dịch ngoại tệ, vay…</t>
  </si>
  <si>
    <t>Thêm dòng sau đoạn: «Xem thêm: Sổ tiết kiệm ngân hàng là gì và những lưu ý khi mở»</t>
  </si>
  <si>
    <t>Như vậy, tại nhiều ngân hàng, gửi tiết kiệm online có lãi suất cao hơn gửi tiết kiệm tại phòng giao dịch từ 0.1 – 0.4%/năm.</t>
  </si>
  <si>
    <t>Sửa câu thành: «Như vậy, tại nhiều ngân hàng, gửi tiết kiệm online có lãi suất cao hơn gửi tiết kiệm tại phòng giao dịch (mở sổ tiết kiệm ngân hàng) từ 0.1 – 0.4%/năm.»</t>
  </si>
  <si>
    <t>Để có một cuộc sống thịnh vượng hơn trong tương lai, bạn nên bắt đầu gửi tích lũy bằng những khoản tiền nhỏ hằng ngày và kiên trì dài lâu.</t>
  </si>
  <si>
    <t>Thêm ngay sau đoạn này: «Bạn cũng có thể tìm hiểu thêm về sổ tiết kiệm ngân hàng để chọn hình thức gửi phù hợp.»</t>
  </si>
  <si>
    <t>Techcombank sẽ bật mí 6 cách tiết kiệm tiền hiệu quả mỗi ngày dễ thực hiện và lưu ý đến bạn 3 sai lầm cản trở việc tiết kiệm theo ngày.</t>
  </si>
  <si>
    <t>Bôi đen cụm «cách tiết kiệm tiền» trong câu trên, gắn link.</t>
  </si>
  <si>
    <t>Việc học cách tiết kiệm tiền lương hiệu quả là điều cần thiết để có một khoản tiền dự trù cho tương lai.</t>
  </si>
  <si>
    <t>Ngoài 3 gợi ý về gửi tiết kiệm trên, bạn cũng có thể chọn nhiều cách tiết kiệm tiền khác được chia sẻ từ những người nổi tiếng như cắt giảm chi tiêu không cần thiết…</t>
  </si>
  <si>
    <t>2.2. Dãy số tứ quý, tiến đơn</t>
  </si>
  <si>
    <t>Ngoài ra, nếu bạn muốn quản lý tài chính cá nhân hiệu quả, có thể tham khảo thêm các bài viết học cách tiết kiệm tiền lương để kết hợp lựa chọn số tài khoản phù hợp với kế hoạch chi tiêu và tiết kiệm.</t>
  </si>
  <si>
    <t>3. Hướng dẫn cách ghi chép chi tiêu cá nhân, gia đình bằng sổ tay</t>
  </si>
  <si>
    <t>Ví dụ: nếu chi cho ăn uống chiếm 45% thu nhập, bạn có thể điều chỉnh bằng cách nấu ăn nhiều hơn, giảm ăn ngoài để tiết kiệm.</t>
  </si>
  <si>
    <t>Thêm ngay sau đoạn này: «Bạn có thể tham khảo thêm các cách tiết kiệm tiền hiệu quả phù hợp với mức thu nhập của mình.»</t>
  </si>
  <si>
    <t>Gửi tiền tại ngân hàng được đánh giá là cách tiết kiệm tiền sinh lời an toàn và ổn định.</t>
  </si>
  <si>
    <t>Để cải thiện tài chính cá nhân và hoàn thành mục tiêu cho các dự định tương lai, bạn hãy học cách tiết kiệm tiền của người Nhật ngay bây giờ.</t>
  </si>
  <si>
    <t>Trên đây là 10 cách tiết kiệm tiền hiệu quả cho gia đình để bạn tham khảo.</t>
  </si>
  <si>
    <t>Bôi đen cụm «cách tiết kiệm tiền hiệu quả» trong câu trên, gắn link.</t>
  </si>
  <si>
    <t>1. Thế nào là tiết kiệm?</t>
  </si>
  <si>
    <t>Tiết kiệm là hành động giảm bớt chi tiêu, giữ lại một phần thu nhập, sử dụng hiệu quả và hợp lý nguồn lực như tiền bạc, thời gian, tài sản…</t>
  </si>
  <si>
    <t>Thêm ngay sau đoạn này: «Để bắt đầu, bạn có thể tham khảo các cách tiết kiệm tiền phù hợp với mức thu nhập của mình.»</t>
  </si>
  <si>
    <t>2.3 Lợi ích của ví điện tử và ngân hàng số trong kinh tế không tiền mặt</t>
  </si>
  <si>
    <t>Ví điện tử giúp theo dõi chi tiêu, ngân hàng số mở rộng thêm các dịch vụ tài chính, từ tiết kiệm đến vay vốn, đầu tư...</t>
  </si>
  <si>
    <t>Thêm ngay sau đoạn này: «Kết hợp với việc theo dõi chi tiêu, bạn có thể tham khảo thêm các cách tiết kiệm tiền hiệu quả.»</t>
  </si>
  <si>
    <t>1.5. Bước 5: Triển khai kế hoạch tiết kiệm và đầu tư</t>
  </si>
  <si>
    <t>Bắt đầu để tiền sinh lời bằng cách tự động hóa tiết kiệm và lựa chọn kênh đầu tư phù hợp.</t>
  </si>
  <si>
    <t>Thêm ngay sau đoạn này: «Bạn có thể tham khảo thêm các cách tiết kiệm tiền phù hợp với mức thu nhập của mình.»</t>
  </si>
  <si>
    <t>2. Quá hạn thanh toán thẻ tín dụng 1 ngày cần trả bao nhiêu tiền?</t>
  </si>
  <si>
    <t>Bên cạnh đó, duy trì tài chính ổn định thông qua các hình thức gửi tiết kiệm cũng là một cách giúp khách hàng chủ động hơn tro…</t>
  </si>
  <si>
    <t>Thêm ngay sau đoạn này: «Bạn có thể tham khảo thêm cách tiết kiệm tiền hiệu quả để chủ động hơn trong chi tiêu.»</t>
  </si>
  <si>
    <t>Với phần tiền chưa có nhu cầu sử dụng ngay, khách hàng có thể tham khảo các giải pháp tiết kiệm tại Techcombank để lựa chọn phương án tích lũy phù hợp…</t>
  </si>
  <si>
    <t>Thêm ngay sau đoạn này: «Bên cạnh đó, áp dụng một vài cách tiết kiệm tiền trong chi tiêu hằng ngày cũng giúp khoản lương hưu được sử dụng hiệu quả hơn.»</t>
  </si>
  <si>
    <t>Giảm thiểu tiêu sản không cần thiết và lập kế hoạch thu chi hợp lý: Hãy xem xét lại những chi tiêu không tạo ra giá trị lâu dài như mua sắm hàng hóa đắt tiền hoặc không thực sự cần thiết.</t>
  </si>
  <si>
    <t>Thêm ngay sau đoạn này: «Bạn có thể tham khảo thêm các cách tiết kiệm tiền hiệu quả để áp dụng vào kế hoạch thu chi.»</t>
  </si>
  <si>
    <t>4. 3 lưu ý để gửi tiết kiệm nhận lãi hàng tháng cao, an toàn</t>
  </si>
  <si>
    <t>Ngoài ra, khách hàng có thể tìm hiểu các giải pháp gửi tiết kiệm rút gốc linh hoạt để dễ dàng quản lý dòng tiền và tận dụng lãi suất hấp dẫn.</t>
  </si>
  <si>
    <t>Thêm ngay sau đoạn này: «Bạn cũng có thể tham khảo thêm các cách tiết kiệm tiền hiệu quả khác.»</t>
  </si>
  <si>
    <t>Bạn có thể phân chia nguồn tiền vào các tài khoản khác nhau dựa trên mục đích sử dụng, như tài khoản tiết kiệm, tài khoản thanh toán hàng ngày và tài khoản tiền gửi ngắn hạn.</t>
  </si>
  <si>
    <t>Thêm ngay sau đoạn này: «Đây cũng là một trong những cách tiết kiệm tiền hiệu quả được nhiều người áp dụng.»</t>
  </si>
  <si>
    <t>6. Nạp thẻ MobiFone trả trước, trả sau bằng ví điện tử Momo, Zalopay, ShopeePay, VNPay</t>
  </si>
  <si>
    <t>Ưu điểm của các ví điện tử này là thường xuyên triển khai các ưu đãi hoàn tiền hoặc chiết khấu khi nạp tiền điện thoại…</t>
  </si>
  <si>
    <t>Thêm ngay sau đoạn này: «Bên cạnh đó, bạn có thể tham khảo thêm cách tiết kiệm tiền hiệu quả trong chi tiêu hằng ngày.»</t>
  </si>
  <si>
    <t>3. Nạp thẻ VinaPhone qua website DigiShop</t>
  </si>
  <si>
    <t>Ngoài ra, nạp thẻ online còn được hưởng chiết khấu 2% cho mọi mệnh giá, giúp tiết kiệm chi phí di động.</t>
  </si>
  <si>
    <t>Thêm ngay sau đoạn này: «Bạn có thể tham khảo thêm cách tiết kiệm tiền hiệu quả cho chi tiêu hằng ngày.»</t>
  </si>
  <si>
    <t>4.2. Tham gia giải pháp Tiền gửi Rút gốc linh hoạt</t>
  </si>
  <si>
    <t>Áp dụng đồng thời những cách trên sẽ giúp bạn tiết kiệm hiệu quả và nhanh chóng đạt được mục tiêu tài chính.</t>
  </si>
  <si>
    <t>Thêm ngay sau đoạn này: «Bạn có thể tham khảo thêm các cách tiết kiệm tiền hiệu quả cho mọi mức thu nhập.»</t>
  </si>
  <si>
    <t>1. Xu hướng quản lý tài chính của dân văn phòng hiện nay</t>
  </si>
  <si>
    <t>Với sự thay đổi trong tư duy tài chính cá nhân, ngày càng nhiều nhân viên công sở nhận ra rằng việc quản lý tài chính hiệu quả không chỉ nằm ở tiết kiệm hay đầu tư riêng lẻ…</t>
  </si>
  <si>
    <t>Thêm ngay sau đoạn này: «Bên cạnh các cách tiết kiệm tiền hiệu quả, việc tận dụng dòng tiền nhàn rỗi cũng giúp tài sản tăng trưởng đều đặn.»</t>
  </si>
  <si>
    <t>2. Biểu phí và lãi suất rút tiền thẻ tín dụng của 10 ngân hàng hiện nay</t>
  </si>
  <si>
    <t>Mức phí rút tiền mặt trực tiếp từ thẻ tín dụng tại các ngân hàng thường dao động từ 2 - 4%/tổng số tiền rút.</t>
  </si>
  <si>
    <t>Thêm ngay sau đoạn này: «Để hạn chế phải rút tiền mặt từ thẻ tín dụng khi cần gấp, bạn có thể tham khảo cách tiết kiệm tiền và chủ động lập quỹ dự phòng.»</t>
  </si>
  <si>
    <t>Đoạn có sẵn cụm này nhưng gắn cờ luật/đã có link</t>
  </si>
  <si>
    <t>4. Lợi ích và hạn chế khi sử dụng thẻ ghi nợ quốc tế - Visa Debit</t>
  </si>
  <si>
    <t>Do đó, mỗi khách hàng nên có cho mình một thẻ ghi nợ Visa để tận dụng như một giải pháp chi tiêu thông minh và hữu ích.</t>
  </si>
  <si>
    <t>Thêm ngay sau đoạn này: «Bên cạnh việc dùng thẻ hợp lý, khách hàng có thể tham khảo thêm các cách tiết kiệm tiền để quản lý tài chính cá nhân hiệu quả.»</t>
  </si>
  <si>
    <t>4.3. Đối với cá nhân</t>
  </si>
  <si>
    <t>Tạo sự linh hoạt tài chính: Có một quỹ dự phòng thanh khoản cao (tiền mặt, tài khoản tiết kiệm) giúp bạn tự tin hơn trong các quyết định tài chính và cuộc sống</t>
  </si>
  <si>
    <t>Thêm dòng sau đoạn: «Xem thêm: cách tiết kiệm tiền để xây dựng quỹ dự phòng»</t>
  </si>
  <si>
    <t>Thêm ngay sau đoạn này: «Bên cạnh gửi tiết kiệm, bạn có thể tham khảo thêm cách tiết kiệm tiền hiệu quả trong chi tiêu hằng ngày.»</t>
  </si>
  <si>
    <t>Khó khăn khi quản lý: Khi sở hữu nhiều tài khoản, người dùng sẽ khó kiểm soát được các nguồn tiền thu chi.</t>
  </si>
  <si>
    <t>Thêm ngay sau đoạn này: «Bên cạnh việc phân vai trò cho từng tài khoản, bạn có thể tham khảo thêm cách tiết kiệm tiền để quản lý thu chi hiệu quả hơn.»</t>
  </si>
  <si>
    <t>5. Những hiểu lầm phổ biến khi tham gia bảo hiểm qua kênh ngân hàng</t>
  </si>
  <si>
    <t>Ngoài chức năng bảo vệ, nhiều sản phẩm Bancassurance kết hợp tiết kiệm và đầu tư , giúp tích lũy tài chính và gia tăng lợi nhuận theo thời gian.</t>
  </si>
  <si>
    <t>Thêm dòng sau đoạn: «Xem thêm: cách tiết kiệm tiền hiệu quả»</t>
  </si>
  <si>
    <t>2.1. Đối với hình thức gửi tiết kiệm online</t>
  </si>
  <si>
    <t>Lưu ý : Suốt quá trình sử dụng, khách hàng chủ yếu sẽ tự thao tác với khoản tiết kiệm online của mình nên khách hàng cần chú ý về các điều kiện bảo mật và những rủi ro khi gửi tiết kiệm online để phò…</t>
  </si>
  <si>
    <t>Bôi đen cụm «rủi ro khi gửi tiết kiệm online» trong câu trên, gắn link.</t>
  </si>
  <si>
    <t>1. Gửi tiết kiệm online an toàn, bảo mật cao</t>
  </si>
  <si>
    <t>Do đó, việc gửi tiết kiệm online được đánh giá là rất an toàn và hiếm khi xuất hiện lỗi từ ngân hàng.</t>
  </si>
  <si>
    <t>Thêm ngay sau đoạn này: «Tuy vậy, để trả lời đầy đủ câu hỏi gửi tiết kiệm online có an toàn không, bạn cũng nên nắm một số rủi ro thường gặp và cách phòng tránh.»</t>
  </si>
  <si>
    <t>Để yên tâm nhất khi gửi tiết kiệm online, bạn nên lưu ý một số vấn đề sau:</t>
  </si>
  <si>
    <t>Sửa câu thành: «Nếu còn băn khoăn gửi tiết kiệm online có an toàn không, bạn nên lưu ý một số vấn đề sau:»</t>
  </si>
  <si>
    <t>2. Gửi tiết kiệm online để nhận lãi suất cao hơn</t>
  </si>
  <si>
    <t>Hiện nay, nhiều ngân hàng đang cung cấp mức lãi suất cho hình thức gửi tiết kiệm online cao hơn từ 0.1 - 0.4%/năm so với gửi tiết kiệm tại chi nhánh.</t>
  </si>
  <si>
    <t>Thêm ngay sau đoạn này: «Nếu còn băn khoăn gửi tiết kiệm online có an toàn không, bạn có thể tìm hiểu thêm các rủi ro cần lưu ý.»</t>
  </si>
  <si>
    <t>8. Cần lưu ý gì khi mở sổ tiết kiệm/tài khoản tiền gửi online?</t>
  </si>
  <si>
    <t>Khi quyết định mở sổ tiết kiệm hoặc tài khoản tiền gửi online, bạn cần lưu ý những điều sau để đảm bảo an toàn cho số tiền gửi:</t>
  </si>
  <si>
    <t>Sửa câu thành: «Khi quyết định mở sổ tiết kiệm hoặc tài khoản tiền gửi online, nhiều người băn khoăn gửi tiết kiệm online có an toàn không. Bạn cần lưu ý những điều sau để đảm bảo an toàn cho số tiền gửi:»</t>
  </si>
  <si>
    <t>Với khách hàng lựa chọn hình thức gửi tiền trực tuyến, bạn đọc tham khảo thêm các kinh nghiệm gửi tiết kiệm online để gửi tiền thuận tiện, nhanh chóng nhất.</t>
  </si>
  <si>
    <t>Thêm ngay sau đoạn này: «Nhiều người cũng băn khoăn gửi tiết kiệm online có an toàn không và cần lưu ý những rủi ro nào.»</t>
  </si>
  <si>
    <t>Gửi tiết kiệm online là một giải pháp tài chính hiện đại, tiện lợi, an toàn và có khả năng mang lại lợi tức tốt hơn so với hình thức truyền thống.</t>
  </si>
  <si>
    <t>Thêm ngay sau đoạn này: «Nếu còn băn khoăn gửi tiết kiệm online có an toàn không, bạn có thể tham khảo thêm các rủi ro thường gặp.»</t>
  </si>
  <si>
    <t>3.2. Hình thức nhận lãi</t>
  </si>
  <si>
    <t>Khách hàng có thể tham khảo chi tiết cách gửi tiết kiệm online an toàn để nhận lãi hàng tháng thuận tiện, nhanh chóng.</t>
  </si>
  <si>
    <t>Thêm ngay sau đoạn này: «Nếu còn băn khoăn, bạn có thể tìm hiểu thêm gửi tiết kiệm online có an toàn không và các rủi ro cần lưu ý.»</t>
  </si>
  <si>
    <t>Để biết thêm chi tiết từng bước gửi tiết kiệm tại quầy và online, khách hàng hãy tham khảo thêm quy trình gửi tiền tiết kiệm đúng chuẩn, an toàn .</t>
  </si>
  <si>
    <t>Thêm ngay sau đoạn này: «Nếu chọn gửi online, bạn có thể tìm hiểu gửi tiết kiệm online có an toàn không để yên tâm hơn.»</t>
  </si>
  <si>
    <t>2. Dự báo xu hướng dòng tiền cuối năm</t>
  </si>
  <si>
    <t>Như vậy, trong thời điểm hiện tại việc gửi tiết kiệm ngân hàng vẫn được các chuyên gia đánh giá là kênh đầu tư an toàn và tối ưu cho người gửi.</t>
  </si>
  <si>
    <t>Thêm ngay sau đoạn này: «Nếu gửi qua ứng dụng, bạn có thể tìm hiểu thêm gửi tiết kiệm online có an toàn không.»</t>
  </si>
  <si>
    <t>Khi gửi tiết kiệm Online: Khách hàng cần đặt mật khẩu phức tạp chứa đủ chữ, số và ký tự đặc biệt, tuyệt đối không tiết lộ mật khẩu cho bất cứ ai…</t>
  </si>
  <si>
    <t>Thêm dòng sau đoạn: «Xem thêm: Gửi tiết kiệm online có an toàn không? Những rủi ro cần biết»</t>
  </si>
  <si>
    <t>3. Cập nhật lãi suất gửi tiết kiệm online</t>
  </si>
  <si>
    <t>Từ thống kê trong bảng, có thể thấy lãi suất gửi tiết kiệm online ở đa số ngân hàng đều cao hơn so với hình thức gửi tại chi nhánh.</t>
  </si>
  <si>
    <t>Thêm ngay sau đoạn này: «Nếu còn băn khoăn gửi tiết kiệm online có an toàn không, khách hàng nên tìm hiểu kỹ các rủi ro và cách phòng tránh trước khi gửi.»</t>
  </si>
  <si>
    <t>2 cách gửi tiết kiệm online an toàn thông qua Mobile Banking</t>
  </si>
  <si>
    <t>Dễ dàng thực hiện: Hiện nay, bạn có thể dễ dàng mở tài khoản tiết kiệm online qua ngân hàng số với số tiền nhỏ chỉ từ 1 triệu VND</t>
  </si>
  <si>
    <t>Thêm ngay sau đoạn này: «Nếu còn băn khoăn gửi tiết kiệm online có an toàn không, bạn nên tìm hiểu kỹ trước khi bắt đầu.»</t>
  </si>
  <si>
    <t>Gửi tiết kiệm vàng hay tiền không phải là lựa chọn đúng - sai, mà là bài toán phù hợp - chưa phù hợp với từng mục tiêu tài chính cá nhân.</t>
  </si>
  <si>
    <t>Thêm ngay sau đoạn này: «Nếu chọn gửi qua ứng dụng, bạn có thể tìm hiểu thêm gửi tiết kiệm online có an toàn không.»</t>
  </si>
  <si>
    <t>3. 3 lợi ích vượt trội khi sử dụng Smart OTP</t>
  </si>
  <si>
    <t>Bảo mật đa tầng cho giao dịch giá trị cao: … từ đó mở rộng hạn mức an toàn tối đa cho các lệnh gửi tiết kiệm online, thanh toán khoản vay hay nộp tiền đầu tư.</t>
  </si>
  <si>
    <t>Thêm ngay sau đoạn này: «Nếu băn khoăn gửi tiết kiệm online có an toàn không, bạn có thể tham khảo thêm các rủi ro thường gặp và cách phòng tránh.»</t>
  </si>
  <si>
    <t>Chứng chỉ tiền gửi là kênh đầu tư sinh lời an toàn vì đã được bảo hiểm tiền gửi.</t>
  </si>
  <si>
    <t>Thêm ngay sau đoạn này: «Nếu bạn đang băn khoăn gửi tiết kiệm online có an toàn không, hãy tìm hiểu thêm các rủi ro thường gặp và cách phòng tránh.»</t>
  </si>
  <si>
    <t>Để hiểu rõ hơn về mức độ an toàn khi mua chứng chỉ tiền gửi, bạn có thể tham khảo tại bài viết: Chứng chỉ tiền gửi có được bảo hiểm không?</t>
  </si>
  <si>
    <t>Thêm ngay sau đoạn này: «Nếu bạn còn băn khoăn gửi tiết kiệm online có an toàn không, có thể tìm hiểu thêm các rủi ro thường gặp.»</t>
  </si>
  <si>
    <t>1. 4 rủi ro khi gửi tiết kiệm ngân hàng và lời khuyên từ chuyên gia</t>
  </si>
  <si>
    <t>Đa số các rủi ro khi gửi tiết kiệm ngân hàng đến từ việc người dùng bảo mật thông tin cá nhân không đúng cách, khiến kẻ gian lợi dụng lấy mất thông tin cá nhân.</t>
  </si>
  <si>
    <t>Thêm ngay sau đoạn này: «Với hình thức gửi trực tuyến, bạn có thể tìm hiểu thêm những rủi ro khi gửi tiết kiệm online để chủ động phòng tránh.»</t>
  </si>
  <si>
    <t>4. Nguyên tắc mua vàng an toàn và tối ưu lợi nhuận</t>
  </si>
  <si>
    <t>Đa dạng hóa kênh tích lũy : Bên cạnh vàng, bạn có thể cân nhắc thêm các kênh có tính thanh khoản và ổn định hơn, chẳng hạn như gửi tiết kiệm online…</t>
  </si>
  <si>
    <t>Thêm dòng sau đoạn: «Xem thêm: rủi ro khi gửi tiết kiệm online và cách phòng tránh»</t>
  </si>
  <si>
    <t>2. Gửi tiết kiệm 50 triệu lãi suất bao nhiêu?</t>
  </si>
  <si>
    <t>Gửi tiết kiệm tiền – lựa chọn an toàn, linh hoạt kỳ hạn và sinh lời ổn định.</t>
  </si>
  <si>
    <t>Thêm ngay sau đoạn này: «Khi gửi online, bạn cũng nên nắm rõ một số rủi ro khi gửi tiết kiệm online để chủ động phòng tránh.»</t>
  </si>
  <si>
    <t>Câu ngắn có thể là chú thích ảnh – kiểm tra</t>
  </si>
  <si>
    <t>3. Lỗi do người dùng khi thanh toán thẻ Visa</t>
  </si>
  <si>
    <t>Bên cạnh đó, khách hàng có thể cân nhắc các giải pháp tài chính an toàn hơn nh…</t>
  </si>
  <si>
    <t>Thêm ngay sau đoạn này: «Nếu quan tâm đến hình thức tích lũy trực tuyến, khách hàng có thể tìm hiểu gửi tiết kiệm online có an toàn không trước khi bắt đầu.»</t>
  </si>
  <si>
    <t>Kiểm tra đoạn có sẵn link tiết kiệm chưa</t>
  </si>
  <si>
    <t>Với những khách hàng ưu tiên quản lý tài chính cá nhân một cách chủ động, đây cũng là thời điểm phù hợp để cân nhắc các kênh tiết kiệm phù hợp…</t>
  </si>
  <si>
    <t>Thêm dòng sau đoạn: «Xem thêm: Những rủi ro khi gửi tiết kiệm online bạn nên biết»</t>
  </si>
  <si>
    <t>2.1. Xác định khẩu vị rủi ro của bạn</t>
  </si>
  <si>
    <t>Đây là phương án phù hợp với nhà đầu tư kỳ vọng lợi nhuận tốt hơn gửi tiết kiệm nhưng vẫn muốn giới hạn rủi ro ở mức vừa phải.</t>
  </si>
  <si>
    <t>3.1. Quỹ đầu tư Trái phiếu Techcom (TCBF)</t>
  </si>
  <si>
    <t>Quỹ hướng đến mục tiêu tạo nguồn thu nhập ổn định và an toàn trong dài hạn, với lợi nhuận kỳ vọng cao hơn lãi suất tiết kiệm trung bình 12 tháng.</t>
  </si>
  <si>
    <t>Thêm dòng sau đoạn: «Xem thêm: rủi ro khi gửi tiết kiệm online»</t>
  </si>
  <si>
    <t>4. Ai nên tham gia bảo hiểm liên kết đầu tư?</t>
  </si>
  <si>
    <t>Nhà đầu tư muốn tối ưu nguồn tiền nhàn rỗi: Sẵn sàng chấp nhận rủi ro để tìm kiếm lợi nhuận cao hơn gửi tiết kiệm</t>
  </si>
  <si>
    <t>2.5. Đa dạng hóa danh mục</t>
  </si>
  <si>
    <t>Cơ chế hoạt động: Đây là phương pháp quản trị rủi ro bằng cách chia nhỏ dòng vốn và phân bổ vào nhiều kênh đầu tư khác nhau như cổ phiếu, trái phiếu, tiền gửi tiết kiệm, chứng chỉ quỹ...</t>
  </si>
  <si>
    <t>Thêm ngay sau đoạn này: «Kể cả với kênh an toàn như tiền gửi, bạn cũng nên tìm hiểu những rủi ro khi gửi tiết kiệm online để chủ động phòng tránh.»</t>
  </si>
  <si>
    <t>3.3. Bước 3: Lựa chọn chiến lược đầu tư phù hợp theo từng giai đoạn</t>
  </si>
  <si>
    <t>Giai đoạn đã nghỉ hưu (Sau 60 tuổi): Khi nguồn thu nhập từ lương chính thức ngừng lại, nên tăng tỷ trọng tài sản có thu nhập cố định và ít rủi ro như tiền gửi tiết kiệm ngân hàng…</t>
  </si>
  <si>
    <t>Riêng khoản gốc trả vào tháng cuối cùng sẽ được tính bằng cách lấy tổng số tiền vay trừ đi tổng số tiền gốc mà bạn đã thanh toán.</t>
  </si>
  <si>
    <t>Thêm ngay sau đoạn này: «Bạn có thể dùng công cụ tính lãi suất vay ngân hàng để xem lịch trả nợ dự kiến.»</t>
  </si>
  <si>
    <t>Đây là giải pháp dành cho những người có nguồn thu nhập ổn định và kế hoạch tài chính rõ ràng để đảm bảo khả năng chi trả cho khoản vay và các chi phí phát sinh.</t>
  </si>
  <si>
    <t>Thêm ngay sau đoạn này: «Trước khi vay, bạn có thể dùng công cụ tính lãi suất vay ngân hàng để ước tính khoản trả hằng tháng.»</t>
  </si>
  <si>
    <t>Bạn vay ngân hàng 700,000,000 VND với lãi suất là 10%/năm, tính lãi trên dư nợ giảm dần.</t>
  </si>
  <si>
    <t>Thêm dòng sau đoạn: «Xem thêm: công cụ tính lãi suất vay ngân hàng»</t>
  </si>
  <si>
    <t>Khoản gốc trả hàng tháng và khoản lãi vay theo tháng tương ứng sẽ được tự động điều chỉnh để khoản trả hàng tháng của bạn là như nhau.</t>
  </si>
  <si>
    <t>Thêm ngay sau đoạn này: «Bạn có thể dùng công cụ tính lãi suất vay ngân hàng để ước tính khoản trả hàng tháng.»</t>
  </si>
  <si>
    <t>4. Tư vấn lựa chọn giải pháp vay mua xe tối ưu</t>
  </si>
  <si>
    <t>Bởi vì, thời gian tính lãi ngắn hơn thì tổng số tiền lãi phải trả sẽ í…</t>
  </si>
  <si>
    <t>Thêm ngay sau đoạn này: «Khách hàng có thể dùng công cụ tính lãi suất vay ngân hàng để so sánh tổng tiền lãi theo từng thời hạn vay.»</t>
  </si>
  <si>
    <t>3. Thu nhập bao nhiêu thì nên mua nhà trả góp đưa trước 100 triệu VND?</t>
  </si>
  <si>
    <t>Khả năng vay mua nhà còn phụ thuộc vào giá trị căn nhà, số tiền vay, thời hạn vay, lãi suất và khả năng trả nợ của từng khách hàng.</t>
  </si>
  <si>
    <t>Thêm ngay sau đoạn này: «Người mua có thể dùng công cụ tính lãi suất vay ngân hàng để ước tính số tiền trả hằng tháng.»</t>
  </si>
  <si>
    <t>3. Cách tính khoản trả góp hàng tháng khi mua ô tô</t>
  </si>
  <si>
    <t>Lưu ý : Bảng trên chỉ là ví dụ minh họa để khách hàng dễ hình dung cách tính khoản trả góp ô tô.</t>
  </si>
  <si>
    <t>Thêm ngay sau đoạn này: «Bạn cũng có thể dùng công cụ tính lãi suất vay ngân hàng để tự ước tính theo khoản vay của mình.»</t>
  </si>
  <si>
    <t>3. Lưu ý quan trọng khi vay mua điện thoại</t>
  </si>
  <si>
    <t>Khách hàng cần xem kỹ tiền gốc, lãi suất và các khoản phí liên quan để tính được tổng chi phí thực tế cần phải trả</t>
  </si>
  <si>
    <t>5. Lưu ý khi vay kinh doanh hộ gia đình</t>
  </si>
  <si>
    <t>Hiểu rõ cách tính chi phí và lường trước rủi ro: Nắm vững cách tính lãi suất, dự phòng các chi phí phát sinh và những thay đổi trong thời gian vay…</t>
  </si>
  <si>
    <t>Thêm ngay sau đoạn này: «Bạn có thể dùng công cụ tính lãi suất vay ngân hàng để ước tính số tiền phải trả mỗi kỳ.»</t>
  </si>
  <si>
    <t>Năng lực tài chính cá nhân</t>
  </si>
  <si>
    <t>Cho dù bạn vay ngân hàng mua nhà với mục đích nào, hãy luôn cân nhắc đến lãi suất và thời hạn hoàn trả khoản vay. … Bạn có thể tham khảo công cụ tín…</t>
  </si>
  <si>
    <t>Thêm ngay sau đoạn này: «Bạn có thể dùng công cụ tính lãi suất vay ngân hàng để ước tính số tiền trả hằng tháng.»</t>
  </si>
  <si>
    <t>Câu cuối đoạn đã nhắc “công cụ tín…” – nếu đã có cụm anchor thì bôi đen gắn link thay vì thêm câu</t>
  </si>
  <si>
    <t>5. Kinh nghiệm vay thế chấp ngân hàng</t>
  </si>
  <si>
    <t>Lập kế hoạch sử dụng nguồn vốn vay giúp bạn xác định rõ khả năng tài chính, số tiền đảm bảo sẽ trả hàng tháng cho ngân hàng.</t>
  </si>
  <si>
    <t>Thêm ngay sau đoạn này: «Bạn có thể dùng công cụ tính lãi suất vay ngân hàng để ước tính số tiền gốc và lãi phải trả mỗi tháng.»</t>
  </si>
  <si>
    <t>Mức lãi suất này sẽ phụ thuộc vào từng ngân hàng cũng như các điều kiện cụ thể của gói vay.</t>
  </si>
  <si>
    <t>Thêm ngay sau đoạn này: «Bạn có thể dùng công cụ tính lãi suất vay ngân hàng để ước tính số tiền lãi phải trả.»</t>
  </si>
  <si>
    <t>4.2. Lãi suất vay 50 triệu tại Techcombank là bao nhiêu?</t>
  </si>
  <si>
    <t>Mức lãi suất thực tế được hiển thị rõ trên ngân hàng số khi đăng ký vay.</t>
  </si>
  <si>
    <t>Thêm ngay sau đoạn này: «Bạn có thể dùng công cụ tính lãi suất vay ngân hàng để ước tính số tiền phải trả mỗi tháng.»</t>
  </si>
  <si>
    <t>4. Cách vay tiêu dùng tại các ngân hàng/công ty tài chính</t>
  </si>
  <si>
    <t>Lãi suất ưu đãi: Mức lãi suất vay tiêu dùng tín chấp chỉ từ 12.9%/năm (**) - xét trên dư nợ giảm dần.</t>
  </si>
  <si>
    <t>Thêm ngay sau đoạn này: «Để ước tính số tiền gốc và lãi phải trả hằng tháng, bạn có thể dùng công cụ tính lãi suất vay ngân hàng.»</t>
  </si>
  <si>
    <t>4. Những lưu ý cho doanh nghiệp vừa và nhỏ khi vay vốn ngân hàng</t>
  </si>
  <si>
    <t>Bên cạnh đó, phương án sử dụng vốn vay và trả nợ cũng cần được tính toàn cẩn thận.</t>
  </si>
  <si>
    <t>Thêm ngay sau đoạn này: «Doanh nghiệp có thể dùng công cụ tính lãi suất vay ngân hàng để ước tính nghĩa vụ trả nợ.»</t>
  </si>
  <si>
    <t>4. Lưu ý cần biết trước khi xoay vốn từ tín dụng tiêu dùng</t>
  </si>
  <si>
    <t>Hiểu rõ về lãi suất và chi phí liên quan: Bên cạnh lãi suất niêm yết, bạn nên tham khảo kỹ thông tin về các khoản phí khác như phí quản lý khoản vay, phí xử lý hồ sơ…</t>
  </si>
  <si>
    <t>4. Thách thức trong chuyển đổi xanh</t>
  </si>
  <si>
    <t>Đối với cá nhân và doanh nghiệp nhỏ muốn đầu tư vào công nghệ xanh nhưng thiếu nguồn vốn, việc tìm hiểu lãi suất vay ngân hàng hiện nay có thể giúp họ lựa c…</t>
  </si>
  <si>
    <t>Thêm ngay sau đoạn này: «Bạn cũng có thể dùng công cụ tính lãi suất vay ngân hàng để ước tính chi phí khoản vay.»</t>
  </si>
  <si>
    <t>Bạn nên tính toán chi tiết số tiền phải trả góp mỗi tháng, từ đó lựa chọn hạn mức và kỳ hạn vay phù hợp.</t>
  </si>
  <si>
    <t>Thêm ngay sau đoạn này: «Bạn có thể dùng công cụ tính lãi vay ngân hàng để ước tính nhanh số tiền gốc và lãi cần trả mỗi tháng.»</t>
  </si>
  <si>
    <t>Dựa trên mức lãi suất này, bạn có thể ước tính tổng tiền gốc và lãi cần trả hàng tháng, từ đó đưa ra kế hoạch tài chính phù hợp.</t>
  </si>
  <si>
    <t>Sửa câu thành: «Dựa trên mức lãi suất này, bạn có thể dùng công cụ tính lãi vay ngân hàng để ước tính tổng tiền gốc và lãi cần trả hàng tháng, từ đó đưa ra kế hoạch tài chính phù hợp.»</t>
  </si>
  <si>
    <t>Thêm ngay sau đoạn này: «Bạn có thể dùng công cụ tính lãi vay ngân hàng để ước tính khoản trả hàng tháng.»</t>
  </si>
  <si>
    <t>Tìm hiểu về cách tính lãi khi vay xây/sửa nhà sẽ giúp bạn xây dựng kế hoạch trả nợ chủ động hơn.</t>
  </si>
  <si>
    <t>Thêm ngay sau đoạn này: «Bạn có thể dùng công cụ tính lãi vay ngân hàng để ước tính nhanh số tiền trả hàng tháng.»</t>
  </si>
  <si>
    <t>3. Cách kiểm soát các khoản vay tín chấp hiệu quả</t>
  </si>
  <si>
    <t>Lập kế hoạch trả nợ ngay từ đầu: Tính toán cụ thể khả năng chi trả hàng tháng trước khi quyết định vay, đảm bảo tỷ lệ nợ không vượt quá 40% thu nhập</t>
  </si>
  <si>
    <t>Thêm ngay sau đoạn này: «Bạn có thể dùng công cụ tính lãi vay ngân hàng để ước tính số tiền phải trả mỗi tháng.»</t>
  </si>
  <si>
    <t>3. Tham khảo kỹ về lãi suất và các điều khoản trong hợp đồng</t>
  </si>
  <si>
    <t>Lãi suất: Lãi suất là yếu tố then chốt quyết định tổng chi phí phải trả khi vay mua nhà.</t>
  </si>
  <si>
    <t>Thêm ngay sau đoạn này: «Bạn có thể dùng công cụ tính lãi vay ngân hàng để ước tính tổng chi phí trước khi ký hợp đồng.»</t>
  </si>
  <si>
    <t>3. Cách tính lãi vay mua chung cư</t>
  </si>
  <si>
    <t>Mỗi ngân hàng sẽ có quy định và chính sách riêng về cách tính lãi vay mua chung cư.</t>
  </si>
  <si>
    <t>Thêm ngay sau đoạn này: «Bạn có thể dùng công cụ tính lãi vay ngân hàng để ước tính số tiền phải trả hàng tháng.»</t>
  </si>
  <si>
    <t>Tìm hiểu về mức lãi suất: Tìm hiểu trước về mức lãi suất sẽ giúp doanh nghiệp lựa chọn được ngân hàng vay vốn phù hợp nhất.</t>
  </si>
  <si>
    <t>Thêm ngay sau đoạn này: «Doanh nghiệp có thể dùng công cụ tính lãi vay ngân hàng để ước tính chi phí vốn trước khi đăng ký.»</t>
  </si>
  <si>
    <t>6. Lãi suất tính từ khi nào?</t>
  </si>
  <si>
    <t>Lãi suất sẽ được tính từ thời điểm ngân hàng thực hiện giải ngân số tiền vay cho khách hàng, không tính từ ngày ký kết hợp đồng vay.</t>
  </si>
  <si>
    <t>Thêm ngay sau đoạn này: «Bạn có thể dùng công cụ tính lãi vay ngân hàng để ước tính số tiền lãi phải trả.»</t>
  </si>
  <si>
    <t>Với các giải pháp vay mua nhà trả góp hấp dẫn từ ngân hàng, khách hàng có thể chủ động hơn trong việc lập kế hoạch tài chính.</t>
  </si>
  <si>
    <t>Thêm ngay sau đoạn này: «Trước khi vay, bạn có thể dùng công cụ tính lãi vay ngân hàng để ước tính số tiền trả hằng tháng.»</t>
  </si>
  <si>
    <t>5. Câu hỏi thường gặp (FAQ)</t>
  </si>
  <si>
    <t>Khi cân nhắc gửi tiết kiệm hoặc vay vốn, bạn nên tìm hiểu kỹ lãi suất công bố, các loại phí đi kèm và điều kiện ưu đãi tại từng thời đ…</t>
  </si>
  <si>
    <t>Thêm ngay sau đoạn này: «Với khoản vay, bạn có thể dùng bảng tính lãi suất vay ngân hàng để ước tính số tiền phải trả.»</t>
  </si>
  <si>
    <t>Ví dụ : Bạn vay ngân hàng 100,000,000 VND cho thời hạn 12 tháng với mức lãi suất 6%/năm.</t>
  </si>
  <si>
    <t>Thêm dòng sau đoạn: «Xem thêm: công cụ tính lãi suất vay ngân hàng để tự tính theo khoản vay của bạn»</t>
  </si>
  <si>
    <t>Hiện nay, Techcombank cung cấp giải pháp vay mua ô tô đi lại với mức lãi suất khá cạnh tranh quý khách hàng có thể tham khảo tại Biểu phí lãi suất vay mua ô tô mới nhất.</t>
  </si>
  <si>
    <t>Thêm ngay sau đoạn này: «Bạn có thể dùng công cụ tính lãi suất vay ngân hàng để ước tính số tiền gốc và lãi phải trả hàng tháng.»</t>
  </si>
  <si>
    <t>1. Hồ sơ vay vốn ngân hàng để xây nhà</t>
  </si>
  <si>
    <t>Một bộ hồ sơ vay hợp lệ sẽ giúp ngân hàng thẩm định được tư cách pháp lý và năng lực thanh toán của người đi vay, từ đó đưa ra các giải pháp vay, hạn mức vay và lãi suất phù hợp.</t>
  </si>
  <si>
    <t>2.1. Nhóm đặc quyền tài chính và tối ưu dòng tiền</t>
  </si>
  <si>
    <t>Nhóm quyền lợi này thường bao gồm các giải pháp vay vốn với lãi suất ưu đãi, thời hạn vay linh hoạt và quy trình phê duyệt hồ sơ từ ngân hàng nhanh chóng.</t>
  </si>
  <si>
    <t>Thêm ngay sau đoạn này: «Trước khi vay, bạn có thể dùng công cụ tính lãi suất vay ngân hàng để ước tính khoản trả hàng tháng.»</t>
  </si>
  <si>
    <t>5. Thanh toán khoản vay</t>
  </si>
  <si>
    <t>Lãi suất cạnh tranh: Cụ thể lãi suất vay tiêu dùng tín chấp từ 12.9%/năm và lãi suất vay tiêu dùng thế chấp chỉ từ 7.5%/năm…</t>
  </si>
  <si>
    <t>Thêm dòng sau đoạn: «Xem thêm: Công cụ tính lãi suất vay ngân hàng»</t>
  </si>
  <si>
    <t>3. Tối ưu lãi suất vay doanh nghiệp tại ngân hàng</t>
  </si>
  <si>
    <t>Việc tìm hiểu về lãi suất cho vay doanh nghiệp tại ngân hàng rất quan trọng.</t>
  </si>
  <si>
    <t>Thêm ngay sau đoạn này: «Doanh nghiệp có thể dùng công cụ tính lãi suất vay ngân hàng để ước tính chi phí trả nợ trước khi quyết định.»</t>
  </si>
  <si>
    <t>Với Techcombank, quý Khách hàng vui lòng tham khảo Biểu phí lãi suất vay mua ô tô mới nhất .</t>
  </si>
  <si>
    <t>Thêm ngay sau đoạn này: «Sau khi có mức lãi suất, bạn có thể dùng công cụ tính lãi suất vay ngân hàng để ước tính số tiền phải trả hàng tháng.»</t>
  </si>
  <si>
    <t>3. Lãi suất và hạn mức vay kinh doanh thế chấp</t>
  </si>
  <si>
    <t>Gói vay vốn lưu động: Hỗ trợ dòng tiền phục vụ hoạt động hằng ngày như thanh toán chi phí, nhập nguyên vật liệu, trả lương...</t>
  </si>
  <si>
    <t>1. Giới thiệu chung về hình thức vay vốn cho doanh nghiệp nhỏ</t>
  </si>
  <si>
    <t>Gói vay với nhiều ưu điểm nổi bật, đáp ứng mọi nhu cầu vốn kinh doanh như thủ tục đơn giản, hạn mức vay tốt, lãi suất cạnh tranh…</t>
  </si>
  <si>
    <t>Thêm ngay sau đoạn này: «Bạn có thể dùng công cụ tính lãi suất vay ngân hàng để ước tính chi phí vốn trước khi đăng ký.»</t>
  </si>
  <si>
    <t>4. Lưu ý khi vay vốn kinh doanh tại các ngân hàng</t>
  </si>
  <si>
    <t>Hộ kinh doanh nên xem xét hợp đồng vay vốn, nắm rõ các điều khoản về lãi suất, phí, thời hạn thanh toán, điều kiện giải ngân...</t>
  </si>
  <si>
    <t>Thêm ngay sau đoạn này: «Hộ kinh doanh có thể dùng công cụ tính lãi suất vay ngân hàng để ước tính số tiền phải trả.»</t>
  </si>
  <si>
    <t>4. Những lưu ý khi vay online tại ngân hàng</t>
  </si>
  <si>
    <t>Tiện lợi, cho phép tiếp cận nguồn vốn nhanh chóng với thủ tục đơn giản chính là những ưu điểm nổi bật của các sản phẩm vay kinh doanh online .</t>
  </si>
  <si>
    <t>Thêm ngay sau đoạn này: «Trước khi vay, bạn có thể dùng công cụ tính lãi suất vay ngân hàng để ước tính chi phí vốn.»</t>
  </si>
  <si>
    <t>3. Lưu ý khi vay tín chấp cá nhân ngân hàng</t>
  </si>
  <si>
    <t>Bởi vậy, bạn cần đọc và nắm kỹ các thông tin quan trọng như: Mức lãi suất, số lần giải ngân, lịch trả nợ, phí phát sinh...</t>
  </si>
  <si>
    <t>6. Lưu ý khi vay vốn lưu động</t>
  </si>
  <si>
    <t>Việc lựa chọn gói vay phù hợp với mức lãi suất tối ưu là điều quan trọng để đảm bảo doanh nghiệp c…</t>
  </si>
  <si>
    <t>Thêm ngay sau đoạn này: «Doanh nghiệp có thể dùng công cụ tính lãi suất vay ngân hàng để ước tính chi phí trước khi đăng ký.»</t>
  </si>
  <si>
    <t>1.3. Phương thức trả nợ linh hoạt</t>
  </si>
  <si>
    <t>Để hiểu thêm về cơ chế tính tiền gốc và lãi của 2 giải pháp trên, bạn có thể đọc thêm tại bài viết: Lãi suất vay thế chấp hiện nay và lưu ý quan trọng về mức lãi .</t>
  </si>
  <si>
    <t>Thêm ngay sau đoạn này: «Bạn cũng có thể dùng công cụ tính lãi suất vay ngân hàng để ước tính số tiền trả hằng tháng.»</t>
  </si>
  <si>
    <t>Vay tiêu dùng thế chấp : Sử dụng cho mục tiêu xây sửa nhà, mua trang thiết bị, nội thất, chi tiêu; vay tới 5 tỷ khi bạn cần…</t>
  </si>
  <si>
    <t>Thêm ngay sau đoạn này: «Trước khi đăng ký, bạn có thể dùng công cụ tính lãi suất vay ngân hàng để ước tính số tiền phải trả hằng tháng.»</t>
  </si>
  <si>
    <t>Nhu cầu vay tiêu dùng của người Việt dự kiến tăng trưởng mạnh mẽ từ cuối năm 2024, nhờ vào đà phục hồi kinh tế, lãi suất ổn định và các chính sách tín dụng cởi mở.</t>
  </si>
  <si>
    <t>Thêm ngay sau đoạn này: «Trước khi vay, người dùng có thể dùng công cụ tính lãi suất vay ngân hàng để ước tính khoản trả hằng tháng.»</t>
  </si>
  <si>
    <t>Thời gian trả nợ: Nếu vay 20,000 USD với lãi suất 7%/năm, bạn cần trả khoảng 400-500 USD/tháng trong 4-5 năm.</t>
  </si>
  <si>
    <t>2. Ý nghĩa của tỷ lệ CASA với ngân hàng</t>
  </si>
  <si>
    <t>Tỷ lệ CASA cao giúp Techcombank có được vốn giá tốt, từ đó nâng cao khả năng cung cấp các khoản vay với lãi suất ưu đãi cho cả khách hàng cá nhân và doanh nghiệp.</t>
  </si>
  <si>
    <t>Thêm ngay sau đoạn này: «Trước khi vay, bạn có thể dùng công cụ tính lãi suất vay ngân hàng để ước tính số tiền phải trả.»</t>
  </si>
  <si>
    <t>Thời điểm lãi suất xuống thấp, nhiều khả năng nhà đầu tư sẽ tiếp tục vay vốn ngân hàng để đầu tư vào thị trường chứng khoán và bất động sản.</t>
  </si>
  <si>
    <t>Thêm ngay sau đoạn này: «Trước khi vay, nhà đầu tư nên dùng công cụ tính lãi suất vay ngân hàng để ước tính chi phí.»</t>
  </si>
  <si>
    <t>2. Lợi ích của Fintech</t>
  </si>
  <si>
    <t>Các giao dịch thanh toán, chuyển tiền, vay vốn có thể được thực hiện chỉ với vài thao tác trên điện thoại di động hoặc máy …</t>
  </si>
  <si>
    <t>Thêm ngay sau đoạn này: «Trước khi vay, bạn có thể dùng công cụ tính lãi suất vay ngân hàng để ước tính khoản phải trả hàng tháng.»</t>
  </si>
  <si>
    <t>3.1. Giá hấp dẫn hơn thị trường</t>
  </si>
  <si>
    <t>Một số ngân hàng có chính sách hỗ trợ vay lại khi mua tài sản thanh lý, như cấp tín dụng, lãi suất ưu đãi, hoặc ân hạn gốc.</t>
  </si>
  <si>
    <t>Thêm ngay sau đoạn này: «Trước khi vay, bạn có thể tính lãi suất vay ngân hàng để ước tính số tiền phải trả hằng tháng.»</t>
  </si>
  <si>
    <t>Chỉ vay thêm khi thật sự cần, có mục đích rõ ràng và không vượt quá khả năng chi trả hàng tháng.</t>
  </si>
  <si>
    <t>Thêm ngay sau đoạn này: «Trước khi quyết định, bạn có thể dùng công cụ tính lãi vay ngân hàng để ước tính số tiền phải trả mỗi tháng.»</t>
  </si>
  <si>
    <t>Trả lãi trên số tiền thực tế sử dụng: Doanh nghiệp chỉ phải trả lãi trên số tiền thực tế đã sử dụng và sẽ không bị tính lãi nếu không sử dụng khoản vay…</t>
  </si>
  <si>
    <t>Thêm dòng sau đoạn: «Xem thêm: công cụ tính lãi vay ngân hàng»</t>
  </si>
  <si>
    <t>2.2. Tất toán khoản vay trước hạn</t>
  </si>
  <si>
    <t>Do đó, bạn nên tìm hiểu về phí tất toán trước hạn của ngân hàng có dự định vay vốn.</t>
  </si>
  <si>
    <t>Thêm ngay sau đoạn này: «Trước khi quyết định, bạn có thể tính lãi vay ngân hàng để so sánh giữa trả theo lịch và tất toán sớm.»</t>
  </si>
  <si>
    <t>2. Cân nhắc kỹ thời gian vay tiền mua nhà, xây nhà</t>
  </si>
  <si>
    <t>Thu nhập hiện tại và tương lai: Thu nhập sẽ quyết định khả năng trả nợ gốc và lãi hàng tháng của bạn.</t>
  </si>
  <si>
    <t>Thêm dòng sau đoạn: «Xem thêm: công cụ tính lãi vay ngân hàng để ước tính khoản trả hàng tháng»</t>
  </si>
  <si>
    <t>3.2. Tính lãi vay tiền ngân hàng theo dư nợ ban đầu</t>
  </si>
  <si>
    <t>Công thức tính tiền phải trả hàng tháng bao gồm số tiền gốc chia đều mỗi tháng cộng với tiền lãi cố định hàng tháng.</t>
  </si>
  <si>
    <t>Thêm ngay sau đoạn này: «Để ước tính nhanh số tiền phải trả, bạn có thể sử dụng công cụ tính lãi vay ngân hàng trực tuyến.»</t>
  </si>
  <si>
    <t>1. Khái niệm dư nợ tín dụng</t>
  </si>
  <si>
    <t>Dư nợ tín dụng được tính bằng tổng của số tiền gốc và lãi vay mà khách hàng còn nợ tổ chức tín dụng tại một thời điểm nhất định.</t>
  </si>
  <si>
    <t>Thêm ngay sau đoạn này: «Bạn có thể dùng công cụ tính lãi vay ngân hàng để ước tính số tiền gốc và lãi phải trả mỗi kỳ.»</t>
  </si>
  <si>
    <t>1. Vay hạn mức là gì?</t>
  </si>
  <si>
    <t>Trong trường hợp sản phẩm vay áp dụng cách tính lãi trên dư nợ thực tế, tiền lãi sẽ đượ…</t>
  </si>
  <si>
    <t>Thêm ngay sau đoạn này: «Bạn có thể dùng công cụ tính lãi vay ngân hàng để ước tính tiền lãi theo số tiền thực rút.»</t>
  </si>
  <si>
    <t>1. Cập nhật lãi suất vay mua ô tô của các ngân hàng hiện nay</t>
  </si>
  <si>
    <t>Mức lãi suất vay mua xe ô tô hiện nay dao động trong khoảng từ 5 - 11%/năm trong kỳ ưu đãi, đây cũng là cơ sở để bạn ước tính mua xe trả góp lãi suất bao nhiêu…</t>
  </si>
  <si>
    <t>Thêm ngay sau đoạn này: «Bạn có thể dùng công cụ tính lãi vay ngân hàng để ước tính số tiền gốc và lãi phải trả hàng tháng.»</t>
  </si>
  <si>
    <t>3. Công thức tính lãi suất thả nổi hiện tại</t>
  </si>
  <si>
    <t>Khách hàng A vay ngân hàng 100,000,000 VND với kỳ hạn 12 tháng, lãi tính trên dư nợ gốc.</t>
  </si>
  <si>
    <t>3. Phương thức giải ngân vốn vay thế chấp</t>
  </si>
  <si>
    <t>Khi hoàn thiện đầy đủ các hồ sơ theo yêu cầu và ký hợp đồng vay với ngân hàng, khách hàng mở tài khoản thanh toán tại ngân hàng nhằm phục vụ cho mục đích trả tiền gốc và lãi hàng tháng.</t>
  </si>
  <si>
    <t>Thêm ngay sau đoạn này: «Bạn có thể dùng công cụ tính lãi vay ngân hàng để ước tính số tiền gốc và lãi phải trả hằng tháng.»</t>
  </si>
  <si>
    <t>3.3. Phương án sử dụng vốn vay</t>
  </si>
  <si>
    <t>Khi đề xuất vay vốn, khách hàng cần thể hiện được kế hoạch sử dụng vốn vay và trả nợ cho ngân hàng.</t>
  </si>
  <si>
    <t>Thêm ngay sau đoạn này: «Để lên kế hoạch trả nợ sát thực tế, bạn có thể dùng công cụ tính lãi vay ngân hàng để ước tính số tiền phải trả mỗi kỳ.»</t>
  </si>
  <si>
    <t>1. Vay thấu chi là gì?</t>
  </si>
  <si>
    <t>Số tiền vượt này sẽ được tính là khoản vay và phải trả lãi cho ngân hàng, đây cũng là một đặc điểm cần biết khi tìm hiểu tài khoản thấu chi là gì.</t>
  </si>
  <si>
    <t>Thêm ngay sau đoạn này: «Bạn có thể dùng công cụ tính lãi vay ngân hàng để ước tính chi phí lãi khi sử dụng hạn mức.»</t>
  </si>
  <si>
    <t>2. Lưu ý khác cần quan tâm khi vay thấu chi</t>
  </si>
  <si>
    <t>Tiền lãi chỉ phát sinh khi khách hàng sử dụng hạn mức và được tính theo số ngày sử dụng thực tế</t>
  </si>
  <si>
    <t>Thêm ngay sau đoạn này: «Để ước tính chi phí, bạn có thể dùng công cụ tính lãi vay ngân hàng.»</t>
  </si>
  <si>
    <t>4.3. Phương án sử dụng vốn vay</t>
  </si>
  <si>
    <t>Thêm ngay sau đoạn này: «Bạn có thể dùng công cụ tính lãi vay ngân hàng để ước tính số tiền trả nợ hàng tháng khi lập kế hoạch.»</t>
  </si>
  <si>
    <t>15. Zalopay - Giải pháp vay nhanh trong 5 phút</t>
  </si>
  <si>
    <t>Lãi suất giảm dần &lt; 55%/ năm và cung cấp ước tính khoản vay cụ thể, minh bạch</t>
  </si>
  <si>
    <t>Để hiểu rõ hơn về thông tin các gói vay và được tư vấn gói vay tín chấp theo lương phù hợp với nhu cầu và năng lực tài chính…</t>
  </si>
  <si>
    <t>Thêm ngay sau đoạn này: «Bạn cũng có thể dùng công cụ tính lãi vay ngân hàng để ước tính số tiền phải trả hàng tháng.»</t>
  </si>
  <si>
    <t>2. Những lưu ý khi làm hồ sơ vay vốn ngân hàng của doanh nghiệp</t>
  </si>
  <si>
    <t>Tiếp cận các nguồn vốn vay từ tổ chức tín dụng uy tín: Doanh nghiệp nên ưu tiên vay vốn tại các ngân hàng thương mại.</t>
  </si>
  <si>
    <t>Thêm ngay sau đoạn này: «Trước khi quyết định, doanh nghiệp có thể dùng công cụ tính lãi vay ngân hàng để ước tính chi phí vốn.»</t>
  </si>
  <si>
    <t>4. Điểm khác biệt giữa cho vay hợp vốn và vay thông thường</t>
  </si>
  <si>
    <t>Nhìn chung, cho vay hợp vốn có tính phức tạp cao hơn và thường chỉ phù hợp với các dự án có quy mô lớn, trong khi vay thông thường thích hợp cho nhu cầu vốn ngắn hạn…</t>
  </si>
  <si>
    <t>Thêm ngay sau đoạn này: «Với các khoản vay thông thường, bạn có thể dùng công cụ tính lãi vay ngân hàng để ước tính chi phí trước khi quyết định.»</t>
  </si>
  <si>
    <t>6. 7 Phương pháp quản trị vốn lưu động hiệu quả nhất</t>
  </si>
  <si>
    <t>Sử dụng vay ngắn hạn thông minh: Chỉ vay bổ sung vốn lưu động khi thực sự cần thiết và có kế hoạch trả nợ rõ ràng để tránh gánh nặng lãi vay.</t>
  </si>
  <si>
    <t>Thêm ngay sau đoạn này: «Bạn có thể dùng công cụ tính lãi vay ngân hàng để ước tính chi phí trước khi vay.»</t>
  </si>
  <si>
    <t>Không thể phủ nhận vay siêu tốc là giải pháp tài chính phù hợp cho những nhu cầu chi tiêu khẩn cấp trong cuộc sống.</t>
  </si>
  <si>
    <t>Thêm ngay sau đoạn này: «Trước khi đăng ký, bạn có thể dùng công cụ tính lãi vay ngân hàng để ước tính số tiền phải trả mỗi kỳ.»</t>
  </si>
  <si>
    <t>Không thể phủ nhận vay nhanh online là giải pháp phù hợp cho nhu cầu chi tiêu hiện đại.</t>
  </si>
  <si>
    <t>Thêm ngay sau đoạn này: «Trước khi đăng ký, bạn có thể dùng công cụ tính lãi vay ngân hàng để ước tính số tiền phải trả.»</t>
  </si>
  <si>
    <t>Giảm tổng nợ phải trả</t>
  </si>
  <si>
    <t>Lập kế hoạch trả nợ thông minh : Ưu tiên thanh toán các khoản vay có lãi suất cao…</t>
  </si>
  <si>
    <t>Thêm ngay sau đoạn này: «Bạn có thể dùng công cụ tính lãi vay ngân hàng để so sánh chi phí giữa các khoản vay.»</t>
  </si>
  <si>
    <t>3. Cập nhật lãi suất tiết kiệm các ngân hàng hiện nay</t>
  </si>
  <si>
    <t>Bài viết trên đây đã hướng dẫn chi tiết cách tính lãi suất ngân hàng với công thức tính dễ hiểu, chính xác cũng như cập nhật lãi suất các ngân hàng hiện nay.</t>
  </si>
  <si>
    <t>Thêm ngay sau đoạn này: «Nếu có nhu cầu vay, bạn có thể dùng bảng tính lãi suất vay ngân hàng để ước tính số tiền phải trả.»</t>
  </si>
  <si>
    <t>2. Nên lựa chọn hình thức vay tín chấp hay vay thế chấp?</t>
  </si>
  <si>
    <t>Bài viết này sẽ giúp bạn hiểu rõ hơn về lãi suất vay thấu chi, cách tính và một số chi phí c…</t>
  </si>
  <si>
    <t>Thêm ngay sau đoạn này: «Với các khoản vay có kỳ hạn, bạn có thể dùng công cụ tính lãi suất vay ngân hàng để ước tính chi phí trước khi đăng ký.»</t>
  </si>
  <si>
    <t>4. Trả góp 0% lãi suất, 0% phí chuyển đổi với thẻ tín dụng Techcombank tại Lazada</t>
  </si>
  <si>
    <t>Mua trả góp trên Lazada bằng thẻ tín dụng giúp bạn chủ động hơn trong kế hoạch chi tiêu nếu lựa chọn kỳ hạn phù hợp và thanh toán đúng hạn.</t>
  </si>
  <si>
    <t>Thêm ngay sau đoạn này: «Nếu cân nhắc vay để mua sắm, bạn có thể dùng công cụ tính lãi suất vay ngân hàng để so sánh chi phí.»</t>
  </si>
  <si>
    <t>Khó khăn trong việc vay vốn ngân hàng: Khi sử dụng tài khoản cá nhân, doanh nghiệp không có hồ sơ pháp lý chứng minh năng lực tài chính…</t>
  </si>
  <si>
    <t>Hiểu một cách đơn giản, với tính năng trả góp qua thẻ tín dụng, thay vì phải thanh toán toàn bộ hóa đơn mua sắm trong một lần, khách hàng sẽ được chia nhỏ khoản tiền cần trả…</t>
  </si>
  <si>
    <t>Thêm ngay sau đoạn này: «Với các khoản vay tiêu dùng khác, bạn có thể dùng công cụ tính lãi suất vay ngân hàng để ước tính số tiền phải trả.»</t>
  </si>
  <si>
    <t>2. 5 lưu ý cần biết khi thanh toán thẻ tín dụng</t>
  </si>
  <si>
    <t>Nguyên nhân là khi thanh toán tối thiểu thẻ tín dụng , khoản dư nợ còn lại sẽ bị tính lãi suất nếu khách hàng không thanh toán đủ vào kỳ sao kê kế tiếp.</t>
  </si>
  <si>
    <t>Thêm ngay sau đoạn này: «Với các khoản vay khác, bạn có thể dùng công cụ tính lãi suất vay ngân hàng để chủ động kế hoạch trả nợ.»</t>
  </si>
  <si>
    <t>2. Giải pháp vay vốn cho doanh nghiệp mới thành lập</t>
  </si>
  <si>
    <t>BusinessOne Credit Plus: Vay vốn nhanh chóng với danh mục hồ sơ cần cung cấp đơn giản, giải ngân online dễ dàng, hạn mức tốt với lãi suất ưu đãi.</t>
  </si>
  <si>
    <t>1. Phí định giá tài sản bảo đảm để vay ngân hàng</t>
  </si>
  <si>
    <t>Mức phí định giá tài sản bảo đảm dựa trên thỏa thuận giữa bên vay và công ty thẩm định giá.</t>
  </si>
  <si>
    <t>Đoạn tốt hơn đã dùng cho link khác</t>
  </si>
  <si>
    <t>Tiền lãi = Dư nợ x Lãi suất/365 x Số ngày vay</t>
  </si>
  <si>
    <t>Thêm dòng sau đoạn: «Xem thêm: Công cụ tính lãi suất vay ngân hàng trực tuyến»</t>
  </si>
  <si>
    <t>3.2. Ảnh hưởng đến khả năng thanh toán khi rút tiền thẻ tín dụng</t>
  </si>
  <si>
    <t>Dựa theo công thức trên, nếu chủ thẻ rút càng nhiều tiền mặt từ thẻ tín dụng thì tiền phí và lãi suất áp dụng sẽ càng cao.</t>
  </si>
  <si>
    <t>Thêm ngay sau đoạn này: «Nếu cần khoản vốn lớn hơn, bạn có thể dùng công cụ tính lãi suất vay ngân hàng để so sánh chi phí với các khoản vay.»</t>
  </si>
  <si>
    <t>2. Việc cá nhân hóa giúp đáp ứng nhu cầu riêng của từng khách hàng</t>
  </si>
  <si>
    <t>Một người có thể cần một khoản vay mua nhà, trong khi người khác lại chỉ quan tâm đến các dịch vụ gửi tiết kiệm hoặc thẻ tín dụng.</t>
  </si>
  <si>
    <t>Thêm ngay sau đoạn này: «Nếu có nhu cầu vay, bạn có thể dùng công cụ tính lãi suất vay ngân hàng để ước tính khoản trả hàng tháng.»</t>
  </si>
  <si>
    <t>3.2. Phí chiếu khấu % giao dịch</t>
  </si>
  <si>
    <t>Từ năm 2023, Techcombank đã triển khai giải pháp SmartPOS với nhiều tính năng vượt trội, giao dịch thuận tiện, tích lũy linh hoạt, tích hợp giải pháp tín dụng siêu dễ dàng…</t>
  </si>
  <si>
    <t>Thêm ngay sau đoạn này: «Khi cân nhắc sử dụng giải pháp tín dụng đi kèm, chủ cửa hàng có thể dùng công cụ tính lãi suất vay ngân hàng để ước tính chi phí.»</t>
  </si>
  <si>
    <t>5.2. Tín dụng xanh</t>
  </si>
  <si>
    <t>Bên cạnh mục tiêu tài chính, tín dụng xanh đóng vai trò quan trọng trong việc thúc đẩy các doanh nghiệp chuyển đổi mô hình hoạt động theo hướng bền vững…</t>
  </si>
  <si>
    <t>Thêm ngay sau đoạn này: «Bạn có thể dùng công cụ tính lãi suất vay ngân hàng để ước tính chi phí trước khi đăng ký khoản vay.»</t>
  </si>
  <si>
    <t>1. Xếp hạng tín dụng là gì?</t>
  </si>
  <si>
    <t>Các ngân hàng và tổ chức tài chính dựa vào xếp hạng này để quyết định có duyệt khoản vay, mở thẻ tín dụng hay không…</t>
  </si>
  <si>
    <t>Thêm ngay sau đoạn này: «Khi đã biết mức lãi suất được đề xuất, bạn có thể dùng công cụ tính lãi suất vay ngân hàng để ước tính số tiền phải trả.»</t>
  </si>
  <si>
    <t>2. Thẻ Visa Credit (Thẻ tín dụng quốc tế) là gì?</t>
  </si>
  <si>
    <t>…sau đó ngân hàng sẽ tính lãi suất cho số tiền chủ thẻ vay và phải hoàn trả lại trong thời hạn quy định.</t>
  </si>
  <si>
    <t>Thêm ngay sau đoạn này: «Với các khoản vay khác, khách hàng có thể dùng công cụ tính lãi vay ngân hàng để ước tính chi phí.»</t>
  </si>
  <si>
    <t>Khách hàng có nhu cầu chi tiêu trước, trả tiền sau, vay tiền chi tiêu: Có thể mở tài khoản tín dụng (thẻ tín dụng) để sử dụng tính năng chi tiêu trước trả tiền sau, trả góp lãi suất 0%, tiện lợi mua…</t>
  </si>
  <si>
    <t>Thêm ngay sau đoạn này: «Với nhu cầu vay tiền, bạn có thể tính lãi vay ngân hàng trước để chủ động kế hoạch trả nợ.»</t>
  </si>
  <si>
    <t>2.2. Số tiền thanh toán</t>
  </si>
  <si>
    <t>Phương án 1 - Toàn bộ số dư: Là toàn bộ số dư tính đến thời điểm bạn lựa chọn thanh toán bao gồm cả số dư gốc đã ứng chưa được chốt trong chu kỳ gần nhất.</t>
  </si>
  <si>
    <t>2. Ảnh hưởng nghiêm trọng của nợ nhóm 3</t>
  </si>
  <si>
    <t>Phát sinh phí và lãi phạt cao: Các khoản nợ quá hạn sẽ bị tính lãi suất phạt và phí chậm trả theo quy định của bên cho vay…</t>
  </si>
  <si>
    <t>3.2. Có thể vay ngân hàng không chứng minh thu nhập được không?</t>
  </si>
  <si>
    <t>Như vậy, khách hàng cần chứng minh thu nhập khi lựa chọn sản phẩm vay thế chấp của các ngân hàng.</t>
  </si>
  <si>
    <t>Thêm ngay sau đoạn này: «Bên cạnh hồ sơ thu nhập, bạn có thể dùng công cụ tính lãi vay ngân hàng để ước tính khả năng trả nợ hàng tháng.»</t>
  </si>
  <si>
    <t>3. Nợ chú ý có vay ngân hàng được không?</t>
  </si>
  <si>
    <t>Trong trường hợp vẫn được xét duyệt, lãi suất áp dụng có thể cao hơn để bù đắp rủi ro tín dụng.</t>
  </si>
  <si>
    <t>Sửa câu thành: «Trong trường hợp vẫn được xét duyệt, lãi suất áp dụng có thể cao hơn để bù đắp rủi ro tín dụng, bạn có thể dùng công cụ tính lãi vay ngân hàng để ước tính chi phí.»</t>
  </si>
  <si>
    <t>Sau khi thanh toán hết nợ xấu, thời gian để được phép vay lại phụ thuộc vào nhóm nợ xấu và chính sách của từng ngân hàng.</t>
  </si>
  <si>
    <t>Thêm ngay sau đoạn này: «Khi có kế hoạch vay lại, bạn có thể dùng công cụ tính lãi vay ngân hàng để ước tính số tiền phải trả hằng tháng.»</t>
  </si>
  <si>
    <t>Tài sản bảo đảm linh hoạt, có thể là chiếc xe hình thành từ vốn vay hoặc bất động sản đã có giấy chứng nhận</t>
  </si>
  <si>
    <t>Việc xác thực danh tính này cũng rất quan trọng khi khách hàng có nhu cầu tìm hiểu các dịch vụ tài chính khác như thủ tục vay…</t>
  </si>
  <si>
    <t>Thêm ngay sau đoạn này: «Trước khi vay, khách hàng có thể dùng công cụ tính lãi vay ngân hàng để ước tính khoản trả hằng tháng.»</t>
  </si>
  <si>
    <t>5. Quy trình bảo lãnh vay vốn tại ngân hàng tại Techcombank</t>
  </si>
  <si>
    <t>Với sự đồng hành từ ngân hàng uy tín, quá trình tiếp cận và quản lý khoản vay trở nên chủ động và minh bạch hơn.</t>
  </si>
  <si>
    <t>Thêm ngay sau đoạn này: «Trước khi vay, doanh nghiệp có thể dùng công cụ tính lãi vay ngân hàng để ước tính chi phí.»</t>
  </si>
  <si>
    <t>3.1. Gửi tiết kiệm kỳ hạn ngắn</t>
  </si>
  <si>
    <t>Ưu điểm của gửi tiết kiệm kỳ hạn ngắn là mức độ an toàn cao, lãi suất được ấn định rõ ràng ngay từ đầu nên nhà đầu tư dễ dàng tính toán được khoản lợi nhuận nhận về.</t>
  </si>
  <si>
    <t>Thêm ngay sau đoạn này: «Bạn có thể dùng bảng tính lãi suất tiết kiệm để ước tính số tiền lãi theo từng kỳ hạn.»</t>
  </si>
  <si>
    <t>Khách hàng nên chọn gửi tiết kiệm có kỳ hạn thay vì không kỳ hạn để được hưởng lãi suất tốt nhất.</t>
  </si>
  <si>
    <t>Khi hết kỳ hạn, khách hàng sẽ nhận lại đầy đủ tiền gốc và lãi theo mức lãi suất đã cam kết.</t>
  </si>
  <si>
    <t>Thêm ngay sau đoạn này: «Bạn có thể dùng bảng tính lãi suất tiết kiệm để ước tính tiền lãi theo từng kỳ hạn.»</t>
  </si>
  <si>
    <t>Hiện mức lãi suất gửi tiết kiệm tại quầy đang dao động từ 1.6 - 5.95%/năm, trong khi mức lãi suất khi gửi tiết kiệm online là 1.6 - 6.0%/năm.</t>
  </si>
  <si>
    <t>Thêm ngay sau đoạn này: «Để biết số tiền lãi cụ thể với 50 triệu, bạn có thể dùng công cụ tính lãi tiết kiệm.»</t>
  </si>
  <si>
    <t>1. Bảng tính lãi suất tiết kiệm</t>
  </si>
  <si>
    <t>Tính toán chính xác tiềm năng sinh lời từ khoản tiền gửi có kỳ hạn của bạn với công cụ tính lãi suất tiết kiệm trực tuyến của Techcombank.</t>
  </si>
  <si>
    <t>Sửa câu thành: «Tính toán chính xác tiềm năng sinh lời từ khoản tiền gửi có kỳ hạn của bạn với công cụ tính lãi tiết kiệm trực tuyến của Techcombank.»</t>
  </si>
  <si>
    <t>3. Gửi tiết kiệm online dễ dàng quản lý và theo dõi thông tin</t>
  </si>
  <si>
    <t>…khách hàng sẽ nhận được nhiều tiện ích khác như gợi ý lộ trình gửi tiết kiệm chi tiết phù hợp với từng khách hàng, công cụ tính tiền lãi trự…</t>
  </si>
  <si>
    <t>Thêm ngay sau đoạn này: «Bạn cũng có thể dùng công cụ tính lãi tiết kiệm để ước tính trước số tiền lãi nhận được.»</t>
  </si>
  <si>
    <t>1. Công cụ tính lãi suất tiết kiệm ngân hàng của Techcombank</t>
  </si>
  <si>
    <t>1. Gửi tiết kiệm online quay vòng cả gốc và lãi là gì?</t>
  </si>
  <si>
    <t>Hiện nay, một số ngân hàng cung cấp công cụ tính lãi suất tiền gửi tiết kiệm giúp khách hàng tính lãi suất chính xác và đơn giản.</t>
  </si>
  <si>
    <t>Sửa câu thành: «Hiện nay, một số ngân hàng cung cấp công cụ tính lãi tiết kiệm giúp khách hàng tính lãi suất chính xác và đơn giản.»</t>
  </si>
  <si>
    <t>1.2. Dễ dàng đạt được những “mục tiêu lớn”</t>
  </si>
  <si>
    <t>Nếu bạn kiên trì thực hiện tiết kiệm, chỉ sau 5 năm, bạn đã có trong tay 500 triệu đồng, chưa kể lãi suất.</t>
  </si>
  <si>
    <t>Thêm ngay sau đoạn này: «Bạn có thể dùng bảng tính lãi suất tiết kiệm để ước tính thêm phần tiền lãi nhận được.»</t>
  </si>
  <si>
    <t>Thêm ngay sau đoạn này: «Bạn có thể dùng bảng tính lãi suất tiết kiệm để ước tính tiền lãi nhận được.»</t>
  </si>
  <si>
    <t>2. Bước 2: Lựa chọn sản phẩm gửi tiết kiệm phù hợp</t>
  </si>
  <si>
    <t>Ngoài ra, với mỗi sản phẩm gửi tiết kiệm, bạn còn được lựa chọn hình thức đáo hạn khác nhau, khách hàng nên cân nhắc về nhu cầu sử dụng tiền lãi để lựa chọn hình thức đáo hạn phù hợp.</t>
  </si>
  <si>
    <t>1. So sánh việc để tiền trong tài khoản và gửi tiết kiệm</t>
  </si>
  <si>
    <t>Trong khi đó, gửi tiết kiệm có kỳ hạn lại có ưu điểm về lãi suất và được hỗ trợ thêm một số tính năng khác…</t>
  </si>
  <si>
    <t>Thêm ngay sau đoạn này: «Để so sánh cụ thể, bạn có thể dùng bảng tính lãi suất tiết kiệm ước tính tiền lãi theo số tiền và kỳ hạn.»</t>
  </si>
  <si>
    <t>Ngoài ra, với xu hướng lãi suất tiền gửi đang lùi về mức rất thấp chỉ 4%-5%/năm, đầu tư trái phiếu cũng đảm bảo có lợi nhuận tốt hơn so với kênh tiết kiệm.</t>
  </si>
  <si>
    <t>Thêm ngay sau đoạn này: «Bạn có thể dùng bảng tính lãi suất tiết kiệm để so sánh khoản lãi giữa hai kênh.»</t>
  </si>
  <si>
    <t>Vì vậy, phụ huynh nên cân nhắc lựa chọn thời gian gửi tiết kiệm phù hợp để đảm bảo sinh lời hấp dẫn cho khoản tiền gửi.</t>
  </si>
  <si>
    <t>Thêm ngay sau đoạn này: «Phụ huynh có thể dùng bảng tính lãi suất tiết kiệm để so sánh tiền lãi giữa các kỳ hạn.»</t>
  </si>
  <si>
    <t>2. Phân loại số dư tiền gửi</t>
  </si>
  <si>
    <t>Khách hàng vui lòng tham khảo bảng lãi suất mới nhất để biết thêm chi tiết tại Biểu phí,…</t>
  </si>
  <si>
    <t>Thêm ngay sau đoạn này: «Bạn cũng có thể dùng bảng tính lãi suất tiết kiệm để ước tính tiền lãi cho khoản gửi của mình.»</t>
  </si>
  <si>
    <t>Nhiều khách hàng thường có thói quen bỏ qua bước đọc/nghiên cứu các điều khoản và điều kiện của dịch vụ gửi tiết kiệm online… bao gồm cách tính lãi suất, mức gửi tối thiểu…</t>
  </si>
  <si>
    <t>Thêm ngay sau đoạn này: «Trước khi gửi, bạn có thể dùng bảng tính lãi suất tiết kiệm để ước tính tiền lãi theo từng kỳ hạn.»</t>
  </si>
  <si>
    <t>2. Ưu nhược điểm khi gửi tiết kiệm ngoại tệ</t>
  </si>
  <si>
    <t>Nhìn chung so với gửi tiết kiệm VND, gửi tiết kiệm ngoại tệ chưa chắc đã sinh lời tốt hơn vì lãi suất thấp.</t>
  </si>
  <si>
    <t>Thêm ngay sau đoạn này: «Bạn có thể dùng bảng tính lãi suất tiết kiệm để so sánh tiền lãi giữa hai hình thức.»</t>
  </si>
  <si>
    <t>Trường hợp rút tiền gửi tiết kiệm/tiền gửi có kỳ hạn đúng hạn: Bạn được hưởng lãi suất theo cam kết</t>
  </si>
  <si>
    <t>Thêm ngay sau đoạn này: «Bạn có thể dùng bảng tính lãi suất tiết kiệm để ước tính số tiền lãi nhận được khi đáo hạn.»</t>
  </si>
  <si>
    <t>4. Gợi ý mở thẻ thanh toán quốc tế và nội địa siêu ưu đãi</t>
  </si>
  <si>
    <t>Ngoài dịch vụ thẻ, người dùng cũng có thể tham khảo thêm các sản phẩm gửi tiết kiệm có kỳ hạn để tối ưu hóa quản lý tài chính cá nhân.</t>
  </si>
  <si>
    <t>Thêm ngay sau đoạn này: «Khách hàng có thể dùng bảng tính lãi suất tiết kiệm để ước tính tiền lãi trước khi gửi.»</t>
  </si>
  <si>
    <t>Thêm ngay sau đoạn này: «Bạn có thể dùng bảng tính lãi suất tiết kiệm để ước tính tiền lãi khi gửi VND.»</t>
  </si>
  <si>
    <t>Tiết kiệm thời gian và công sức: Không cần đến ngân hàng, không tốn thời gian chờ đợi, toàn bộ quá trình gửi tiền, nhận lãi, tất toán đều được thực hiện ngay trên điện thoại</t>
  </si>
  <si>
    <t>Thêm dòng sau đoạn: «Xem thêm: bảng tính lãi suất tiết kiệm»</t>
  </si>
  <si>
    <t>Do đó, khách hàng nên ưu tiên gửi tiền vào các kỳ hạn dài để nhận được mức lãi suất hấp dẫn.</t>
  </si>
  <si>
    <t>Thêm ngay sau đoạn này: «Khách hàng có thể dùng bảng tính lãi suất tiết kiệm để ước tính tiền lãi theo từng kỳ hạn.»</t>
  </si>
  <si>
    <t>Do đó, bạn nên cân nhắc thật kỹ trước khi đưa ra quyết định rút tiền.</t>
  </si>
  <si>
    <t>Thêm ngay sau đoạn này: «Trước khi quyết định, bạn có thể dùng bảng tính lãi suất tiết kiệm để so sánh số tiền lãi nhận được.»</t>
  </si>
  <si>
    <t>Gửi tiết kiệm phù hợp với người mới bắt đầu tích lũy.</t>
  </si>
  <si>
    <t>Thêm ngay sau đoạn này: «Trước khi gửi, bạn có thể dùng bảng tính lãi suất tiết kiệm để ước tính số tiền lãi nhận được.»</t>
  </si>
  <si>
    <t>1.2 Được bảo hiểm theo Luật Bảo hiểm tiền gửi số 06/2012/QH13</t>
  </si>
  <si>
    <t>Chứng chỉ tiền gửi Bảo Lộc Techcombank an toàn và được bảo hiểm tương tự tiền gửi tiết kiệm/tiền gửi có kỳ hạn.</t>
  </si>
  <si>
    <t>Thêm ngay sau đoạn này: «Bạn có thể dùng bảng tính lãi suất tiết kiệm để ước tính tiền lãi khi gửi có kỳ hạn và so sánh với chứng chỉ tiền gửi.»</t>
  </si>
  <si>
    <t>Mục có tên luật nhưng đoạn không trích luật</t>
  </si>
  <si>
    <t>5. Hướng dẫn đầu tư chứng chỉ quỹ an toàn</t>
  </si>
  <si>
    <t>Lợi nhuận kỳ vọng dài hạn lên tới 2 lần lãi suất tiết kiệm trung bình 12 tháng , thực nhận theo thời gian đầu tư.</t>
  </si>
  <si>
    <t>Thêm ngay sau đoạn này: «Để có cơ sở so sánh, bạn có thể ước tính tiền lãi gửi ngân hàng bằng bảng tính lãi suất tiết kiệm.»</t>
  </si>
  <si>
    <t>Để hiểu rõ hơn về cách tính lãi suất của 2 hình thức gửi tiết kiệm thông thường và gửi tiết kiệm tích lũy, khách hàng có thể tham khảo những ví dụ cụ thể sau đây:</t>
  </si>
  <si>
    <t>Sửa câu thành: «Để hiểu rõ hơn về cách tính lãi suất của 2 hình thức gửi tiết kiệm thông thường và gửi tiết kiệm tích lũy, khách hàng có thể dùng công cụ tính lãi tiết kiệm hoặc tham khảo những ví dụ cụ thể sau đây:»</t>
  </si>
  <si>
    <t>4. 3 bí kíp tận dụng sức mạnh của lãi kép ngân hàng</t>
  </si>
  <si>
    <t>Khách hàng nên bắt đầu gửi tiết kiệm lãi suất kép ngay hôm nay và tận dụng sức mạnh của thời gian để đạt được lợi nhuận khổng lồ trong tương lai.</t>
  </si>
  <si>
    <t>Thêm ngay sau đoạn này: «Bạn có thể dùng công cụ tính lãi tiết kiệm để ước tính nhanh số tiền nhận được theo kỳ hạn.»</t>
  </si>
  <si>
    <t>1. Gửi tiết kiệm lấy lãi theo tháng là hình thức gì?</t>
  </si>
  <si>
    <t>Gửi tiết kiệm nhận lãi hàng tháng là hình thức gửi tiết kiệm mà khách hàng sẽ gửi vào ngân hàng 1 khoản tiền trong một khoảng thời gian cụ thể (có thể là 3 tháng, 6 tháng, 12 tháng...).</t>
  </si>
  <si>
    <t>Thêm ngay sau đoạn này: «Bạn có thể dùng công cụ tính lãi tiết kiệm để ước tính tiền lãi nhận được mỗi tháng.»</t>
  </si>
  <si>
    <t>5. Tác động của ứng dụng công nghệ đến chi tiêu trong tương lai</t>
  </si>
  <si>
    <t>Ngân hàng số như Techcombank Mobile sẽ trở thành công cụ không thể thiếu trong việc quản lý tài chính cá nhân, thanh toán, quản lý các hóa đơn, lập kế hoạch chi tiêu, kế hoạch tiết kiệm,...</t>
  </si>
  <si>
    <t>Thêm ngay sau đoạn này: «Bạn cũng có thể dùng công cụ tính lãi tiết kiệm để ước tính tiền lãi trước khi gửi.»</t>
  </si>
  <si>
    <t>Khi gửi tiết kiệm vào ngân hàng, khách hàng sẽ nhận được một khoản lãi theo quy định</t>
  </si>
  <si>
    <t>Thêm ngay sau đoạn này: «Để ước tính khoản lãi này, bạn có thể dùng bảng tính lãi suất tiết kiệm.»</t>
  </si>
  <si>
    <t>Hưởng “trái ngọt” ngay cả khi thị trường rung lắc đầy biến động</t>
  </si>
  <si>
    <t>Thị trường thời gian qua được ví như vừa đi qua “giông bão” khi liên tiếp có những sự rung lắc mạnh mẽ từ thị trường chứng khoán, bất động sản, trong khi lãi suất huy động ở mức thấp.</t>
  </si>
  <si>
    <t>Thêm ngay sau đoạn này: «Để so sánh hiệu quả, bạn có thể dùng bảng tính lãi suất tiết kiệm để ước tính tiền lãi nếu gửi ngân hàng.»</t>
  </si>
  <si>
    <t>Bài về trái phiếu – liên quan vừa phải</t>
  </si>
  <si>
    <t>3. Điểm danh các chứng chỉ quỹ uy tín, hiệu suất sinh lời tốt ở Việt Nam</t>
  </si>
  <si>
    <t>Điểm nổi bật của các quỹ này là khả năng mang lại lợi nhuận kỳ vọng dài hạn gấp khoảng 2 lần lãi suất tiết kiệm trung bình 12 tháng…</t>
  </si>
  <si>
    <t>Chính sách cộng lãi suất tiết kiệm dành cho hạng hội viên tương ứng</t>
  </si>
  <si>
    <t>Thêm dòng sau đoạn: «Xem thêm: Bảng tính lãi suất tiết kiệm»</t>
  </si>
  <si>
    <t>Theo quyết định 1124/QĐ-NHNN ngày 16/6/2023, Ngân hàng Nhà nước quy định lãi suất tối đa đối với tiền gửi không kỳ hạn là 0.5%/năm</t>
  </si>
  <si>
    <t>2. Loyalty Program là gì? Ứng dụng trong ngành ngân hàng</t>
  </si>
  <si>
    <t>Chương trình ưu đãi lãi suất: Khách hàng được tăng lãi suất tiết kiệm, giảm lãi suất vay</t>
  </si>
  <si>
    <t>Thêm dòng sau đoạn: «Xem thêm: Bảng tính lãi suất tiết kiệm trực tuyến»</t>
  </si>
  <si>
    <t>Nếu bạn kỳ vọng lãi suất cao hơn lãi suất tiết kiệm và có nhu cầu nhận dòng tiền định kỳ từ trái tức (coupon) 3 tháng - 6 tháng/lần</t>
  </si>
  <si>
    <t>Thêm ngay sau đoạn này: «Để so sánh, bạn có thể ước tính tiền lãi gửi ngân hàng bằng bảng tính lãi suất tiết kiệm.»</t>
  </si>
  <si>
    <t>Do đó, nếu bạn có kế hoạch sử dụng tiền USD trong tương lai gần, không muốn đổi số tiền USD sang tiền Việt (VND) thì việc gửi tiết kiệm USD là lựa chọn phù hợp.</t>
  </si>
  <si>
    <t>Thêm ngay sau đoạn này: «Nếu cân nhắc gửi tiết kiệm bằng VND, bạn có thể dùng bảng tính lãi suất tiết kiệm để ước tính tiền lãi.»</t>
  </si>
  <si>
    <t>Bài về USD lãi 0%</t>
  </si>
  <si>
    <t>Thông thường lãi suất trái phiếu phát hành bởi những tổ chức phát hành này thấp hơn 0.5 – 1%, so với các tổ chức khác…</t>
  </si>
  <si>
    <t>Thêm ngay sau đoạn này: «Để so sánh với kênh gửi tiết kiệm, nhà đầu tư có thể dùng bảng tính lãi suất tiết kiệm.»</t>
  </si>
  <si>
    <t>Nhà đầu tư có bị thiệt khi đầu tư với mức lãi suất thấp hơn?</t>
  </si>
  <si>
    <t>Khi quyết định đầu tư vào trái phiếu, ai cũng mong muốn khoản đầu tư của mình được sinh lời nhanh chóng, với lãi suất cao và thời gian thanh khoản phù hợp với nhu cầu.</t>
  </si>
  <si>
    <t>Thêm ngay sau đoạn này: «Để so sánh với kênh gửi tiết kiệm, bạn có thể dùng bảng tính lãi suất tiết kiệm để ước tính tiền lãi.»</t>
  </si>
  <si>
    <t>Tiết kiệm hôm nay cho tương lai tài chính vững vàng</t>
  </si>
  <si>
    <t>Thêm ngay sau đoạn này: «Bạn có thể dùng bảng tính lãi suất tiết kiệm để ước tính khoản tiền nhận được trong tương lai.»</t>
  </si>
  <si>
    <t>Việc nắm vững các cách tính lãi suất vay ngân hàng theo năm, theo tháng sẽ giúp bạn tính toán chính xác số tiền phải trả, lựa chọn hình thức vay phù hợp…</t>
  </si>
  <si>
    <t>Thêm ngay sau đoạn này: «Nếu muốn gửi tiết kiệm, bạn cũng có thể dùng công cụ tính lãi tiết kiệm để ước tính tiền lãi.»</t>
  </si>
  <si>
    <t>2.2 Ngân hàng số là gì?</t>
  </si>
  <si>
    <t>Ngân hàng số (Digital Banking) là hình thức ngân hàng mà toàn bộ dịch vụ truyền thống như mở tài khoản, chuyển khoản, gửi tiết kiệm, vay vốn…</t>
  </si>
  <si>
    <t>Thêm ngay sau đoạn này: «Khi gửi tiết kiệm online, bạn có thể dùng công cụ tính lãi tiết kiệm để ước tính tiền lãi nhận được.»</t>
  </si>
  <si>
    <t>1.2. Các hình thức vay nhanh phổ biến</t>
  </si>
  <si>
    <t>Thị trường tài chính hiện nay cung cấp nhiều kênh để khách hàng có thể tiếp cận nguồn vay nhanh, bao gồm:</t>
  </si>
  <si>
    <t>Bôi đen cụm «vay nhanh» trong câu trên, gắn link.</t>
  </si>
  <si>
    <t>Dưới đây là cách vay tiền online nhanh trên Techcombank Mobile :</t>
  </si>
  <si>
    <t>Bôi đen cụm «vay tiền» trong câu trên, gắn link.</t>
  </si>
  <si>
    <t>Ở chiều ngược lại, nếu đang cần nguồn vốn gấp thay vì tất toán tiết kiệm, nhiều người có thể cân nhắc hình thức vay tiền trả góp để không phải rút khoản tiết kiệm trước hạn và vẫn duy trì mức lãi suấ…</t>
  </si>
  <si>
    <t>1. Dư nợ là gì?</t>
  </si>
  <si>
    <t>Nói một cách đơn giản, khi bạn vay tiền hoặc sử dụng thẻ tín dụng, bạn sẽ tạo ra một khoản nợ.</t>
  </si>
  <si>
    <t>Bạn hoàn toàn có thể vay tín dụng trực tuyến (online).</t>
  </si>
  <si>
    <t>Bôi đen cụm «vay» trong câu trên, gắn link.</t>
  </si>
  <si>
    <t>Với Mobile Banking, khách hàng có thể thanh toán hóa đơn, đầu tư, mua bảo hiểm, vay, tiết kiệm, chuyển tiền quốc tế… chỉ với một chiếc điện thoại.</t>
  </si>
  <si>
    <t>Vay tín chấp là hình thức vay vốn tiện lợi, giúp giải quyết nhanh chóng các nhu cầu chi tiêu và mua sắm cá nhân.</t>
  </si>
  <si>
    <t>Bôi đen chữ «vay» trong «hình thức vay vốn tiện lợi»</t>
  </si>
  <si>
    <t>3. Vay thấu chi phải trả những chi phí gì?</t>
  </si>
  <si>
    <t>Bên cạnh đó, nếu bạn đang quan tâm tới hình thức vay không cần tài sản đảm bảo, phê duyệt nhanh chóng, giải ngân nhanh, vay tín chấp tiêu dùng là giải pháp…</t>
  </si>
  <si>
    <t>Bôi đen chữ «vay» trong «hình thức vay không cần tài sản đảm bảo»</t>
  </si>
  <si>
    <t>4. Những ưu đãi/hỗ trợ của Techcombank khi vay tiêu dùng</t>
  </si>
  <si>
    <t>Tìm hiểu thêm về sản phẩm vay tiêu dùng trả góp nếu bạn đang quan tâm tới hình thức vay không cần tài sản đảm bảo, phê duyệt nhanh chóng, giải ngân nhanh.</t>
  </si>
  <si>
    <t>2.1. Vay tiêu dùng tín chấp</t>
  </si>
  <si>
    <t>Vay tiêu dùng tín chấp là hình thức vay dựa trên uy tín cá nhân của người vay, không yêu cầu tài sản đảm bảo.</t>
  </si>
  <si>
    <t>Bôi đen chữ «vay» trong cụm «hình thức vay»</t>
  </si>
  <si>
    <t>8. Câu hỏi thường gặp khi thanh toán trả góp qua thẻ tín dụng</t>
  </si>
  <si>
    <t>Nếu khách hàng có nhu cầu về tài chính mở rộng, các giải pháp vay linh hoạt sẽ giúp đảm bảo chi tiêu an toàn.</t>
  </si>
  <si>
    <t>Đoạn đã có 1 link vay thấu chi</t>
  </si>
  <si>
    <t>3.2. Cách tính</t>
  </si>
  <si>
    <t>Ngoài ra, với nhu cầu chi tiêu linh hoạt, khách hàng có thể tham khảo các giải pháp vay vốn tiêu dùng để nhanh chóng tiếp cận nguồn vốn cần thiết…</t>
  </si>
  <si>
    <t>3. Thủ tục vay 100 triệu nhanh, 24/24 trên Techcombank Mobile</t>
  </si>
  <si>
    <t>Không cần giấy tờ thủ tục phức tạp, khách hàng chỉ cần thao tác trên Techcombank Mobile để vay nhanh 100 triệu:</t>
  </si>
  <si>
    <t>Trang đích là danh sách app vay</t>
  </si>
  <si>
    <t>2. Lợi ích khi vay 15 triệu nhanh trên Techcombank Mobile</t>
  </si>
  <si>
    <t>Chọn vay nhanh trên Techcombank Mobile, khách hàng sẽ nhận được loạt lợi ích thiết thực như:</t>
  </si>
  <si>
    <t>4.3. Cách thức trả nợ trước hạn như thế nào?</t>
  </si>
  <si>
    <t>Vay nhanh lãi nhẹ, trả nợ trước hạn dễ dàng với Techcombank.</t>
  </si>
  <si>
    <t>Bôi đen cụm «Vay nhanh» trong câu trên, gắn link.</t>
  </si>
  <si>
    <t>Câu dạng chú thích ảnh; trang đích là danh sách app vay</t>
  </si>
  <si>
    <t>2. Điều kiện vay 40 triệu trên Techcombank Mobile</t>
  </si>
  <si>
    <t>Vay nhanh Techcombank không cần tài sản đảm bảo.</t>
  </si>
  <si>
    <t>2. 5 loại đòn bẩy tài chính</t>
  </si>
  <si>
    <t>Sử dụng tiền của người khác : Bạn vay tiền từ ngân hàng, tổ chức tài chính hoặc thậm chí từ người thân/bạn bè để đầu tư vào bất động sản…</t>
  </si>
  <si>
    <t>3.2. Lựa chọn hình thức vay phù hợp</t>
  </si>
  <si>
    <t>Khi quyết định vay tiền để đi du học, việc chọn hình thức vay phù hợp là bước quan trọng giúp bạn tối ưu hóa nguồn tài chính và giảm thiểu áp lực trả nợ sau này.</t>
  </si>
  <si>
    <t>3. Hồ sơ vay 200 triệu VND không thế chấp tại Techcombank</t>
  </si>
  <si>
    <t>Hồ sơ vay tiền vay 200 triệu VND không thế chấp của khách hàng sẽ gồm các giấy tờ sau:</t>
  </si>
  <si>
    <t>3. Hồ sơ vay 300 triệu VND không thế chấp tại Techcombank</t>
  </si>
  <si>
    <t>Hồ sơ vay tiền vay 300 triệu VND không thế chấp của khách hàng sẽ gồm các giấy tờ sau:</t>
  </si>
  <si>
    <t>7. Ngân hàng Thương mại cổ phần Việt Nam Thịnh Vượng - VPBank</t>
  </si>
  <si>
    <t>Chỉ vay tiền khi bạn thực sự cần và đảm bảo được khả năng thanh toán.</t>
  </si>
  <si>
    <t>4. Thủ tục vay tiền ngân hàng: Quy trình thẩm định &amp; xét duyệt hồ sơ vay tín chấp</t>
  </si>
  <si>
    <t>Nếu lựa chọn giải pháp vay tiền online tín chấp trả góp trên Techcombank Mobile, khách hàng chỉ mất 1 phút thao tác…</t>
  </si>
  <si>
    <t>1. Khái niệm cho vay tiêu dùng</t>
  </si>
  <si>
    <t>Vay tiêu dùng là hình thức vay tiền tại ngân hàng hoặc công ty tài chính phục vụ cho các nhu cầu đời sống như: Mua nhà, mua xe, khám chữa bệnh, du lịch, cưới hỏi…</t>
  </si>
  <si>
    <t>6. Lưu ý khi gửi tiết kiệm ngoại tệ</t>
  </si>
  <si>
    <t>Dùng sổ tiết kiệm ngoại tệ để quay vòng dòng tiền khi cần: Bạn có thể dùng sổ tiết kiệm ngoại tệ đang hưởng lãi suất 0%/năm để vay tiền VND với lãi suất thấp…</t>
  </si>
  <si>
    <t>Như vậy, khách hàng không thể vay tiền ngân hàng nếu chỉ sử dụng CCCD.</t>
  </si>
  <si>
    <t>Thêm ngay sau đoạn này: «Nếu cần khoản vay nhỏ trong thời gian ngắn, bạn có thể tìm hiểu thêm về các app vay tiền được cấp phép để tránh rủi ro.»</t>
  </si>
  <si>
    <t>3. Các chỉ số tài chính doanh nghiệp nhỏ nên theo dõi định kỳ</t>
  </si>
  <si>
    <t>…đây là dấu hiệu nên chủ động tìm sản phẩm/giải pháp vay phù hợp thay vì để dòng tiền bị động chờ thu hồi công nợ.</t>
  </si>
  <si>
    <t>Bài doanh nghiệp, trang đích app vay cá nhân</t>
  </si>
  <si>
    <t>2. Quản lý chi phí doanh nghiệp hiệu quả</t>
  </si>
  <si>
    <t>Với ngân hàng số Techcombank Business , doanh nghiệp dễ dàng thực hiện quản lý chi phí, thanh toán lương, thanh toán thuế, tài trợ thương mại, giao dịch ngoại tệ, vay vốn…</t>
  </si>
  <si>
    <t>Vay: Không cần phải tới quầy, hiện nay Techcombank Mobile đã cung cấp giải pháp vay cho mọi nhu cầu tài chính của khách hàng…</t>
  </si>
  <si>
    <t>Anchor 1 chữ – nên đọc lại</t>
  </si>
  <si>
    <t>6. FAQs - Câu hỏi thường gặp</t>
  </si>
  <si>
    <t>Dù quy mô nhỏ, việc ứng dụng công nghệ số vào quản lý dòng tiền và đối soát giao dịch vẫn giúp doanh nghiệp… có dữ liệu tài chính minh bạch hơn khi cần tiếp cận vốn vay.</t>
  </si>
  <si>
    <t>Giải pháp Vay mua ô tô đi lạ i của Techcombank đang là lựa chọn của rất nhiều khách hàng nhờ chính sách vay vượt trội như sau:</t>
  </si>
  <si>
    <t>Anchor 1 chữ; đích là app vay tiêu dùng</t>
  </si>
  <si>
    <t>Điều này có thể ảnh hưởng đến khả năng vay vốn và hợp tác với các đối tác kinh doanh.</t>
  </si>
  <si>
    <t>Trang đích là app vay cá nhân – lệch với doanh nghiệp</t>
  </si>
  <si>
    <t>1.4. Hỗ trợ tín dụng từ ngân hàng và tổ chức tài chính</t>
  </si>
  <si>
    <t>… tìm hiểu các giải pháp vay vốn lưu động từ ngân hàng để giải quyết nhu cầu vốn ngắn hạn ngay từ giai đoạn đầu.</t>
  </si>
  <si>
    <t>Anchor 1 chữ; đích là app vay cá nhân</t>
  </si>
  <si>
    <t>Các gói vay tín chấp với hạn mức lên tới 1 tỷ VND, miễn lãi trong 7 ngày đầu và giảm lãi suất trong toàn bộ thời gian vay</t>
  </si>
  <si>
    <t>Anchor 1 chữ, trang đích app vay cá nhân</t>
  </si>
  <si>
    <t>Trang đích app vay nhanh – liên quan vừa</t>
  </si>
  <si>
    <t>2.1. Ưu điểm của ngân hàng xanh</t>
  </si>
  <si>
    <t>Các dịch vụ như thanh toán điện tử, vay tín dụng trực tuyến, và mở tài khoản số không chỉ nâng cao hiệu quả hoạt động ngân hàng…</t>
  </si>
  <si>
    <t>Anchor chung chung</t>
  </si>
  <si>
    <t>Anchor 1 chữ, trang đích là app vay – nên soát</t>
  </si>
  <si>
    <t>Các khoản vay thuộc tín dụng xanh thường được ưu tiên cho các lĩnh vực như:</t>
  </si>
  <si>
    <t>Anchor chung chung, trang đích app vay lệch</t>
  </si>
  <si>
    <t>Trang đích là app vay cá nhân</t>
  </si>
  <si>
    <t>Trước khi quyết định vay, nên đánh giá kỹ nhu cầu thực tế, khả năng hoàn trả và sự phù hợp với kế hoạch tài chính hiện tại…</t>
  </si>
  <si>
    <t>Ngoài ra, việc sử dụng các sản phẩm ngân hàng như làm thẻ tín dụng hợp lý cũng góp phần nâng cao uy tín tài chính cá nhân, hỗ trợ việc vay vốn thuận lợi hơn.</t>
  </si>
  <si>
    <t>Trang đích là app vay nhanh, hơi lệch vay mua xe</t>
  </si>
  <si>
    <t>Nếu đang có nhu cầu bổ sung vốn kinh doanh, bạn có thể tham khảo các sản phẩm vay tín chấp từ ngân hàng uy tín, đặc biệt từ các gói vay của Techcombank.</t>
  </si>
  <si>
    <t>Trang đích là app vay cá nhân, bài về vay doanh nghiệp</t>
  </si>
  <si>
    <t>Vay ngân hàng là một trong những giải pháp tài chính phổ biến để đáp ứng nhu cầu tiêu dùng, kinh doanh hoặc đầu tư.</t>
  </si>
  <si>
    <t>Bôi đen cụm «Vay» trong câu trên, gắn link.</t>
  </si>
  <si>
    <t>Anchor 1 chữ; trang đích là app vay online</t>
  </si>
  <si>
    <t>2. Kiểm tra nợ xấu trên ứng dụng CIC Credit Connect</t>
  </si>
  <si>
    <t>Bạn có thể tham khảo các sản phẩm thẻ tín dụng, vay tín chấp và vay thế chấp tại Techcombank như dưới đây:</t>
  </si>
  <si>
    <t>Anchor 1 chữ</t>
  </si>
  <si>
    <t>2.2. Hồ sơ</t>
  </si>
  <si>
    <t>Tại Techcombank, khách hàng có thể vay trả góp không thế chấp online mà không cần nộp giấy tờ .</t>
  </si>
  <si>
    <t>Anchor 1 chữ – cân nhắc</t>
  </si>
  <si>
    <t>Ngân hàng phê duyệt đơn vay thế chấp cho người vay khi và chỉ khi người vay hoàn thiện hồ sơ vay vốn.</t>
  </si>
  <si>
    <t>Trước khi quyết định vay vốn, bạn nên dành thời gian tìm hiểu kỹ thông tin và tham khảo ý kiến từ các chuyên viên của ngân hàng.</t>
  </si>
  <si>
    <t>Anchor 1 chữ, trang đích app vay hơi lệch</t>
  </si>
  <si>
    <t>3. Nợ nhóm 2 khi nào được xóa?</t>
  </si>
  <si>
    <t>Tuy nhiên, trên thực tế, để được ngân hàng xét duyệt cho vay mới, khách hàng chỉ cần duy trì lịch sử tín dụng tốt trong ít nhất 12 tháng kể từ khi tất toán nợ nhóm 2.</t>
  </si>
  <si>
    <t>Anchor chung chung, trang đích app vay hơi lệch</t>
  </si>
  <si>
    <t>5. Giải đáp thắc mắc khác về nợ nhóm 3</t>
  </si>
  <si>
    <t>Tuy nhiên, một số công ty tài chính nhỏ hoặc tổ chức cho vay tiêu dùng có thể xem xét cho vay lại sau khi bạn đã tất toán nợ…</t>
  </si>
  <si>
    <t>Anchor chung chung; tránh gợi ý vay khi đang nợ xấu</t>
  </si>
  <si>
    <t>5.4. Không mở quá nhiều thẻ tín dụng trong khoảng thời gian ngắn</t>
  </si>
  <si>
    <t>Hành động này có thể khiến khả năng được duyệt hồ sơ vay bị giảm đi.</t>
  </si>
  <si>
    <t>1. Tất toán là gì?</t>
  </si>
  <si>
    <t>Tất toán hay tất toán khoản vay là thuật ngữ quen thuộc trong lĩnh vực tài chính - ngân hàng, dùng để chỉ hành động kết thúc một giao dịch tài chính như gửi tiết kiệm, vay vốn, đầu tư hoặc hợp đồng t…</t>
  </si>
  <si>
    <t>Nhờ đó, khách hàng có cơ hội được xét duyệt khoản vay từ ngân hàng.</t>
  </si>
  <si>
    <t>4. Nên thận trọng khi bảo lãnh cho người khác vay ngân hàng</t>
  </si>
  <si>
    <t>Chúng tôi hy vọng rằng, mọi khách hàng đều có cơ hội tiếp cận với các khoản vay phù hợp, sử dụng tối ưu nguồn vốn…</t>
  </si>
  <si>
    <t>Trang đích app vay lệch với vay thế chấp</t>
  </si>
  <si>
    <t>Những người vay có số ngày quá hạn thanh toán từ 11 ngày trở lên sẽ rơi vào nhóm nợ có vấn đề.</t>
  </si>
  <si>
    <t>Ngoài ra, thấu chi tín chấp cũng là giải pháp vay đáng để cân nhắc nếu bạn đang tìm kiếm giải pháp vay tiêu dùng…</t>
  </si>
  <si>
    <t>Anchor 1 chữ – gắn ở “giải pháp vay đáng để cân nhắc”</t>
  </si>
  <si>
    <t>2.1. Thời điểm thanh toán nợ</t>
  </si>
  <si>
    <t>Khác với các hình thức vay khác, bạn có thể thanh toán nợ vay thấu chi bằng tiền mặt hoặc thẻ ghi nợ bất cứ khi nào mà không phát sinh thêm phí tất toán sớm.</t>
  </si>
  <si>
    <t>Bôi đen chữ «vay» trong «các hình thức vay khác»; trang đích là app vay</t>
  </si>
  <si>
    <t>Trước khi quyết định vay vốn ngân hàng, doanh nghiệp cần xem xét cẩn thận một số yếu tố quan trọng dưới đây để đảm bảo quá trình vay vốn diễn ra hiệu quả.</t>
  </si>
  <si>
    <t>Khi đăng ký vay hoặc mở thẻ tín dụng, nhiều khách hàng bất ngờ bị từ chối do “nợ chú ý”…</t>
  </si>
  <si>
    <t>7.4. Bị nợ xấu có vay tiền ngân hàng được không?</t>
  </si>
  <si>
    <t>Tuỳ theo chính sách của từng ngân hàng, nhưng phần lớn các ngân hàng thường lo ngại khi cấp tín dụng (cho vay, mở thẻ tín dụng, mua trả góp) cho những khách hàng có lịch sử nợ xấu…</t>
  </si>
  <si>
    <t>Ứng dụng công nghệ và sự đa dạng hóa sản phẩm tín dụng Các tổ chức tín dụng đang không ngừng đẩy mạnh ứng dụng công nghệ để cung cấp các giải pháp vay tiêu dùng linh hoạt và tiện lợi…</t>
  </si>
  <si>
    <t>Anchor chung chung; kiểm tra «vay tiêu dùng» đã có link chưa</t>
  </si>
  <si>
    <t>Đồng thời, nền tảng kết nối vay vốn doanh nghiệp MISA Lending đóng vai trò trung gian kết nối các doanh nghiệp có nhu cầu vay vốn với các tổ chức tài chính uy tín, nổi bật trong đó là ngân hàng Techc…</t>
  </si>
  <si>
    <t>Trang đích vay cá nhân, bài vay doanh nghiệp</t>
  </si>
  <si>
    <t>Đây là yếu tố tiên quyết mà mọi ngân hàng đều cần xem xét cẩn thận trước khi nhận hồ sơ vay vốn.</t>
  </si>
  <si>
    <t>3. Hướng dẫn xóa nợ xấu tín dụng nhanh nhất</t>
  </si>
  <si>
    <t>Tóm lại, sau khi xóa nợ xấu thành công, … để xây dựng lại uy tín tín dụng cá nhân tốt, phục vụ cho mục đích vay nợ tín dụng, ngân hàng về sau.</t>
  </si>
  <si>
    <t>…hoặc các giải pháp vay như vay thấu chi online , vay mua nhà, mua xe,...</t>
  </si>
  <si>
    <t>Anchor 1 chữ; đoạn đã có link "vay thấu chi online"</t>
  </si>
  <si>
    <t>Thời gian giải ngân vốn vay trong ngày sau khi khách hàng ký hợp đồng vay với ngân hàng</t>
  </si>
  <si>
    <t>Trang đích app vay nhanh – lệch vay mua xe</t>
  </si>
  <si>
    <t>Khi nhận thấy các giao dịch bất thường, ngân hàng sẽ có quyền đánh giá… bị hạn chế đăng ký làm thẻ tín dụng mới hoặc tham gia các khoản vay vốn khác tại ngân hàng (nếu cần).</t>
  </si>
  <si>
    <t>4.5. Tối đa có thể nâng hạn mức lên bao nhiêu % so với mức cũ?</t>
  </si>
  <si>
    <t>Khi cân nhắc chi tiêu hoặc vay thêm, khách hàng nên nắm rõ…</t>
  </si>
  <si>
    <t>Dựa vào đó, các tổ chức tín dụng sẽ đánh giá mức độ rủi ro khi xét duyệt cho bạn một khoản vay mới.</t>
  </si>
  <si>
    <t>Trang đích app vay nhanh, liên quan vừa</t>
  </si>
  <si>
    <t>3.3. Lãi suất hỗn hợp</t>
  </si>
  <si>
    <t>Đây là loại phổ biến nhất hiện nay khi vay mua nhà, vay tiêu dùng.</t>
  </si>
  <si>
    <t>Anchor 1 chữ – bôi đen chữ "vay" trong "vay tiêu dùng"</t>
  </si>
  <si>
    <t>Ngoài ra, khách hàng cần có lịch sử tín dụng tốt, luôn thanh toán dư nợ đúng hạn cho các khoản vay ( vay tiêu dùng , vay thấu chi,...) .</t>
  </si>
  <si>
    <t>Anchor chung chung; chỉ gắn chữ «vay» trong «các khoản vay»</t>
  </si>
  <si>
    <t>Tuỳ theo chính sách của từng ngân hàng, nhưng phần lớn các ngân hàng thường lo ngại khi cấp tín dụng (cho vay, mở thẻ tín dụng, mua trả góp)…</t>
  </si>
  <si>
    <t>8. Gửi tiền không kỳ hạn với nhiều ưu đãi tại Techcombank</t>
  </si>
  <si>
    <t>Trong trường hợp khách hàng cần thêm giải pháp bổ sung dòng tiền ngắn hạn, các hình thức vay tín chấp cũng có thể được cân nhắc…</t>
  </si>
  <si>
    <t>Anchor 1 chữ – gắn ở “các hình thức vay tín chấp”</t>
  </si>
  <si>
    <t>Ngoài ra, việc hiểu rõ vay tín chấp và vay thế chấp là gì cũng giúp khách hàng đưa ra các quyết định vay vốn thông minh hơn.</t>
  </si>
  <si>
    <t>2.2. Nhanh chóng trả nợ thẻ tín dụng nếu có khả năng tài chính</t>
  </si>
  <si>
    <t>Sau khi hoàn tất thanh toán toàn bộ dư nợ quá hạn, khách hàng cần tiến hành xây dựng và tích lũy lại uy tín tín dụng từ đầu để tăng tỷ lệ được duyệt với các nhu cầu vay vốn sau này.</t>
  </si>
  <si>
    <t>2.1. Lợi ích khi thanh toán tối thiểu tín dụng</t>
  </si>
  <si>
    <t>Không bị liệt kê vào danh sách nhóm nợ quá hạn: Việc rơi vào nhóm nợ quá hạn sẽ ảnh hưởng đến việc vay vốn sau này ở bất kỳ ngân hàng nào.</t>
  </si>
  <si>
    <t>2.1. Gói vay kinh doanh online dành cho doanh nghiệp</t>
  </si>
  <si>
    <t>Thấu hiểu nhu cầu của doanh nghiệp trong việc tiếp cận vốn vay nhanh chóng, thủ tục đơn giản…</t>
  </si>
  <si>
    <t>Cụm nằm trong «vay nhanh chóng»; trang đích là app vay cá nhân</t>
  </si>
  <si>
    <t>3. Thời gian dự kiến khi vay vốn ngân hàng cho mục đích xây nhà</t>
  </si>
  <si>
    <t>Trong trường hợp hồ sơ hợp lệ, Techcombank sẽ giải ngân khoản vay nhanh chóng chỉ trong 2 giờ làm việc.</t>
  </si>
  <si>
    <t>Cụm nằm trong “vay nhanh chóng”; đích là app vay – cân nhắc</t>
  </si>
  <si>
    <t>Cần vay tiền mặt gấp nhưng không muốn thủ tục rườm rà?</t>
  </si>
  <si>
    <t>Bài về sản phẩm Techcombank, đích là danh sách app</t>
  </si>
  <si>
    <t>Khi lựa chọn hình thức tính lãi vay tiền ngân hàng , bạn cần cân nhắc kỹ lưỡng để chọn phương án phù hợp với kế hoạch tài chính cá nhân của mình.</t>
  </si>
  <si>
    <t>Trang đích app vay nhanh, ngữ cảnh là cách tính lãi</t>
  </si>
  <si>
    <t>Bên cạnh đó, không ít người cũng băn khoăn đang trả góp có vay tiền mặt được không hay đang mua trả góp có vay tiền mặt được không.</t>
  </si>
  <si>
    <t>Anchor nằm trong cụm "vay tiền mặt" – nên đọc lại</t>
  </si>
  <si>
    <t>Đừng lo lắng, bài viết này sẽ chia sẻ cho bạn cách vay tiền ngân hàng , giúp bạn nắm vững từng bước một trong quy trình cho vay tiêu dùng…</t>
  </si>
  <si>
    <t>Cụm ‘cách vay tiền ngân hàng’ có thể đã có link – kiểm tra</t>
  </si>
  <si>
    <t>Vay tín chấp: Dành cho các cá nhân/hộ gia đình cần vay tiền cho nhu cầu sinh hoạt/tiêu dùng với một số tiền nhỏ trong thời gian ngắn.</t>
  </si>
  <si>
    <t>Đích là danh sách app vay – liên quan vừa phải</t>
  </si>
  <si>
    <t>1. Khái niệm về tất toán khoản vay thế chấp</t>
  </si>
  <si>
    <t>Tất toán khoản vay là hành động chấm dứt giao dịch vay tiền giữa người đi vay và tổ chức cho vay, theo đó người vay thanh toán toàn bộ tiền gốc và tiền lãi cho ngân hàng.</t>
  </si>
  <si>
    <t>3.2. Vay thấu chi thế chấp</t>
  </si>
  <si>
    <t>Vay thấu chi thế chấp là hình thức vay tiền có sử dụng tài sản bảo đảm có giá trị…</t>
  </si>
  <si>
    <t>Trang đích là app vay, đoạn về vay có thế chấp</t>
  </si>
  <si>
    <t>1.1. Đặc điểm vay tiêu dùng tín chấp</t>
  </si>
  <si>
    <t>Bạn không cần thế chấp bất kỳ tài sản nào như nhà đất, ô tô để vay tiền.</t>
  </si>
  <si>
    <t>Anchor ngắn, trang đích app vay nhanh – soát lại</t>
  </si>
  <si>
    <t>Vay tiêu dùng tín chấp trả góp Techcombank là giải pháp được thiết kế riêng cho các khách hàng có nhu cầu vay tiền nhanh qua Techcombank Mobile…</t>
  </si>
  <si>
    <t>Đoạn nói về sản phẩm Techcombank, đích là danh sách app</t>
  </si>
  <si>
    <t>2.1. Vay thấu chi tín chấp</t>
  </si>
  <si>
    <t>Vay thấu chi tín chấp là hình thức vay tiền không cần tài sản đảm bảo.</t>
  </si>
  <si>
    <t>Khi vay thế chấp ngân hàng, người vay cần trả thêm một số khoản phí bắt buộc khi vay tiền khác ngoài tiền lãi và gốc cần trả định kỳ…</t>
  </si>
  <si>
    <t>Lựa chọn tổ chức cho vay uy tín : Chọn một tổ chức tài chính hoặc ngân hàng uy tín, minh bạch thông tin để đảm bảo quyền lợi của bạn trong quá trình thế chấp và vay tiền.</t>
  </si>
  <si>
    <t>Trang đích app vay nhanh, bài về thế chấp</t>
  </si>
  <si>
    <t>3.1. Người làm tự do chứng minh thu nhập để vay ngân hàng như thế nào?</t>
  </si>
  <si>
    <t>Tương tự, với các sản phẩm vay tiền tiêu dùng trả góp , khách hàng cũng cần cung cấp thông tin chứng minh thu nhập rõ ràng để đảm bảo khả năng trả nợ trong suốt thời gian vay.</t>
  </si>
  <si>
    <t>Trong thời đại tài chính hiện đại, điểm tín dụng cá nhân đóng vai trò rất quan trọng, không chỉ khi bạn vay tiền mà còn ảnh hưởng đến nhiều quyết định tài chính khác.</t>
  </si>
  <si>
    <t>Trang đích là danh sách app vay – cân nhắc hình ảnh thương hiệu</t>
  </si>
  <si>
    <t>Đây là hình thức vay tiền từ bên thứ ba (thường là tổ chức không chính thức) để trả nợ thẻ tín dụng đúng hạn…</t>
  </si>
  <si>
    <t>Ngữ cảnh vay không chính thức – nên đọc lại</t>
  </si>
  <si>
    <t>Ngân hàng số đang trở thành “trung tâm” cho mọi nhu cầu tài chính hằng ngày: chuyển tiền, thanh toán, gửi tiết kiệm, đầu tư, vay trực tuyến…</t>
  </si>
  <si>
    <t>Thêm ngay sau đoạn này: «Nếu chỉ cần khoản vay nhỏ và nhanh, bạn có thể tham khảo thêm các app vay online uy tín.»</t>
  </si>
  <si>
    <t>Mở bài – nên soát lại vị trí</t>
  </si>
  <si>
    <t>5. Bật mí giải pháp ứng tiền MyCash hạn mức đến 100 triệu tại Techcombank</t>
  </si>
  <si>
    <t>Quy trình duyệt vay nhanh, lãi suất cạnh tranh và kỳ hạn linh hoạt chính là điểm cộng giúp Techcombank trở thành lựa chọn đáng tin cậy cho mọi…</t>
  </si>
  <si>
    <t>Thêm ngay sau đoạn này: «Bạn cũng có thể tham khảo thêm các app vay nhanh uy tín để so sánh trước khi đăng ký.»</t>
  </si>
  <si>
    <t>4.4. Tôi có thể vay nhanh 50 triệu trong ngày không?</t>
  </si>
  <si>
    <t>Vay 50 triệu đã trở nên nhanh chóng hơn bao giờ hết với Techcombank Mobile.</t>
  </si>
  <si>
    <t>Thêm ngay sau đoạn này: «Bạn cũng có thể tham khảo thêm các app vay tiền nhanh uy tín để so sánh.»</t>
  </si>
  <si>
    <t>Khi cần mua sắm nhưng chưa muốn thanh toán toàn bộ chi phí ngay, nhiều người tìm đến app mua trước trả sau để chủ động hơn trong quản lý dòng tiền.</t>
  </si>
  <si>
    <t>Thêm ngay sau đoạn này: «Nếu cần khoản tiền mặt nhanh, bạn có thể tham khảo thêm các app vay online uy tín.»</t>
  </si>
  <si>
    <t>Anchor 1 chữ «vay» – nên soát lại</t>
  </si>
  <si>
    <t>Có an toàn không?” cũng như hướng dẫn cách thanh toán SpayLater - Đây là giải pháp mang đến sự linh hoạt trong mua sắm và hỗ trợ người dùng Shopee dễ dàng sở hữu sản phẩm mong muốn mà không cần trả t…</t>
  </si>
  <si>
    <t>Thêm ngay sau đoạn này: «Nếu cần nguồn tiền linh hoạt hơn, bạn có thể tìm hiểu thêm các ứng dụng vay uy tín.»</t>
  </si>
  <si>
    <t>2.2. Vay tín chấp</t>
  </si>
  <si>
    <t>Thủ tục vay nhanh gọn: Với quy trình đơn giản, người vay có thể đăng ký vay kinh doanh online hoặc trực tiếp tại ngân hàng…</t>
  </si>
  <si>
    <t>Thêm ngay sau đoạn này: «Ngoài vay tại ngân hàng, nhiều người cũng tìm hiểu các ứng dụng vay nhanh online, tuy nhiên cần chọn đơn vị uy tín.»</t>
  </si>
  <si>
    <t>Trang đích là app vay cá nhân, bài về hộ kinh doanh</t>
  </si>
  <si>
    <t>1.5. Thời gian giải ngân nhanh chóng</t>
  </si>
  <si>
    <t>Bởi vì, khách hàng sẽ nhanh chóng nhận được nguồn tài chính để phục vụ cho các công việc quan trọng của mình.</t>
  </si>
  <si>
    <t>Thêm ngay sau đoạn này: «Với nhu cầu nhỏ và gấp, bạn có thể tham khảo các ứng dụng vay nhanh online.»</t>
  </si>
  <si>
    <t>Trang đích app vay nhanh – khác vay thế chấp</t>
  </si>
  <si>
    <t>Việc đáp ứng các điều kiện vay vốn ngân hàng và hoàn tất các bước đăng ký tín dụng giúp doanh nghiệp duyệt vay nhanh chóng hơn.</t>
  </si>
  <si>
    <t>Sửa câu thành: «Việc đáp ứng các điều kiện vay vốn ngân hàng và hoàn tất các bước đăng ký tín dụng giúp doanh nghiệp được duyệt vay nhanh hơn.»</t>
  </si>
  <si>
    <t>3. Lời khuyên khi theo dõi dư nợ tín dụng để cải thiện điểm tín dụng cá nhân</t>
  </si>
  <si>
    <t>Cải thiện điểm tín dụng mở ra cho bạn nhiều cơ hội vay vốn tốt hơn.</t>
  </si>
  <si>
    <t>Thêm ngay sau đoạn này: «Khi có điểm tín dụng tốt, việc vay tiền qua ngân hàng hoặc ứng dụng uy tín cũng thuận lợi hơn.»</t>
  </si>
  <si>
    <t>Đoạn đã có link "vay tiền sửa nhà"</t>
  </si>
  <si>
    <t>Bài viết dưới đây sẽ cung cấp thông tin về điều kiện vay tiền ngân hàng, cụ thể là vay vốn theo quy định trong Thông tư 39/2016/TT-NHNN .</t>
  </si>
  <si>
    <t>Thêm dòng sau đoạn: «Xem thêm: App vay tiền nhanh online uy tín chỉ cần CCCD»</t>
  </si>
  <si>
    <t>3. Lựa chọn hình thức gửi tiết kiệm phù hợp</t>
  </si>
  <si>
    <t>Với hình thức gửi tiết kiệm có kỳ hạn, bạn cần cân nhắc thật kỹ nếu muốn rút tiền trước hạn.</t>
  </si>
  <si>
    <t>Thêm ngay sau đoạn này: «Nếu cần một khoản nhỏ trong thời gian ngắn, bạn cũng có thể tìm hiểu các kênh vay tiền online uy tín.»</t>
  </si>
  <si>
    <t>Đoạn có thể đã có link vay khác – kiểm tra trùng</t>
  </si>
  <si>
    <t>2. Hướng dẫn vay tiền mặt nhanh online từ ngân hàng</t>
  </si>
  <si>
    <t>Để vay tiền nhanh online từ ngân hàng, bạn chỉ cần truy cập ngân hàng số, tìm giải pháp vay và làm theo hướng dẫn của hệ thống.</t>
  </si>
  <si>
    <t>Thêm ngay sau đoạn này: «Nếu cân nhắc hình thức vay tiền app, bạn nên ưu tiên các ứng dụng được cấp phép và minh bạch về lãi suất.»</t>
  </si>
  <si>
    <t>Anchor «vay tiền app» khó đặt tự nhiên</t>
  </si>
  <si>
    <t>Lựa chọn ngân hàng phù hợp có lãi suất vay vốn ổn định, điều khoản và dịch vụ tốt…</t>
  </si>
  <si>
    <t>Thêm ngay sau đoạn này: «Bạn có thể tham khảo lãi suất cho vay ngân hàng mới nhất để so sánh trước khi quyết định.»</t>
  </si>
  <si>
    <t>Lãi suất vay thế chấp sẽ tùy thuộc vào từng gói vay, từng thời điểm cụ thể cũng như các chính sách cho vay của ngân hàng.</t>
  </si>
  <si>
    <t>Thêm ngay sau đoạn này: «Bạn có thể tham khảo lãi suất cho vay ngân hàng mới nhất để so sánh trước khi liên hệ.»</t>
  </si>
  <si>
    <t>Ngoài ra, việc so sánh lãi suất và điều kiện vay của nhiều ngân hàng cũng giúp bạn chọn lựa được phương án vay tối ưu nhất.</t>
  </si>
  <si>
    <t>Thêm ngay sau đoạn này: «Bạn có thể tham khảo bảng lãi suất cho vay ngân hàng mới nhất để so sánh.»</t>
  </si>
  <si>
    <t>Cập nhật ngay mức lãi suất vay thế chấp hiện nay của thị trường để thuận tiện cho việc tính toán.</t>
  </si>
  <si>
    <t>Thêm ngay sau đoạn này: «Bạn có thể xem lãi suất vay ngân hàng mới nhất để chọn mức lãi suất phù hợp khi tính toán.»</t>
  </si>
  <si>
    <t>Mức lãi suất vay sẽ dựa vào chính sách của ngân hàng từng thời kỳ và thỏa thuận với khách hàng.</t>
  </si>
  <si>
    <t>Thêm ngay sau đoạn này: «Bạn có thể tham khảo lãi suất vay ngân hàng mới nhất để có cơ sở so sánh khi thỏa thuận.»</t>
  </si>
  <si>
    <t>6. Danh mục Hỏi - Đáp</t>
  </si>
  <si>
    <t>Ở mỗi thời điểm, Techcombank sẽ điều chỉnh lãi suất vay vốn ngân hàng cho doanh nghiệp sao cho phù hợp với chính sách của Nhà nước, tình hình kinh tế và một số yếu tố khác có liên quan.</t>
  </si>
  <si>
    <t>Thêm ngay sau đoạn này: «Bạn có thể tham khảo thêm lãi suất vay ngân hàng mới nhất để so sánh giữa các ngân hàng.»</t>
  </si>
  <si>
    <t>Mức lãi suất vay thế chấp hợp đồng mua bán căn hộ hiện nay dao động từ 5.8 - 14%/năm (*).</t>
  </si>
  <si>
    <t>Thêm ngay sau đoạn này: «Bạn có thể tham khảo lãi suất vay ngân hàng mới nhất để cập nhật mức lãi suất tại từng thời điểm.»</t>
  </si>
  <si>
    <t>3. Lưu ý để tăng cơ hội vay vốn cho doanh nghiệp mới thành lập</t>
  </si>
  <si>
    <t>Do đó, doanh nghiệp trẻ có thể chủ động tìm hiểu, lập bảng so sánh giữa các yếu tố như lãi suất, thời hạn vay, các điều kiện vay…</t>
  </si>
  <si>
    <t>Thêm ngay sau đoạn này: «Bạn có thể tham khảo lãi suất vay ngân hàng mới nhất để việc so sánh sát thực tế hơn.»</t>
  </si>
  <si>
    <t>3. Hạn mức và lãi suất vay tín chấp hộ kinh doanh hiện nay là bao nhiêu?</t>
  </si>
  <si>
    <t>Hộ kinh doanh nên lựa chọn gói vay có hạn mức và lãi suất phù hợp nhất để tăng khả năng trả nợ đúng hạn.</t>
  </si>
  <si>
    <t>Thêm ngay sau đoạn này: «Bạn có thể tham khảo lãi suất vay ngân hàng mới nhất để so sánh trước khi chọn gói vay.»</t>
  </si>
  <si>
    <t>5. Hạn mức và lãi suất vay vốn lưu động</t>
  </si>
  <si>
    <t>Trong bối cảnh kinh tế hiện nay, lãi suất và hạn mức vay của ngân hàng đối với các doanh nghiệp vừa và nhỏ đang có nhiều biến động:</t>
  </si>
  <si>
    <t>Thêm dòng sau đoạn: «Xem thêm: lãi suất vay ngân hàng hiện nay»</t>
  </si>
  <si>
    <t>4. Gợi ý TOP 5 ngân hàng cho vay tín chấp theo lương lãi suất tốt</t>
  </si>
  <si>
    <t>Lãi suất vay tín chấp theo lương hiện nay khá linh hoạt, dao động trong khoảng 12.9% - 18%/năm (*).</t>
  </si>
  <si>
    <t>Thêm ngay sau đoạn này: «Bạn có thể xem thêm lãi suất vay ngân hàng hiện nay để so sánh chi tiết giữa các ngân hàng.»</t>
  </si>
  <si>
    <t>Trước khi quyết định vay, bạn hãy cân nhắc kỹ lãi suất, thời hạn vay, thủ tục và các điều kiện đi kèm.</t>
  </si>
  <si>
    <t>Thêm ngay sau đoạn này: «Bạn có thể tham khảo lãi suất vay ngân hàng hiện nay để so sánh trước khi quyết định.»</t>
  </si>
  <si>
    <t>2. Lập kế hoạch và tiết kiệm tiền mua nhà</t>
  </si>
  <si>
    <t>Hiện nay, các ngân hàng đang áp dụng cách tính lãi vay mua nhà theo dư nợ giảm dần hoặc niêm kim. Trong đó, mức lãi suất vay được tính theo: Cố định, thả nổi hoặc hỗn hợp.</t>
  </si>
  <si>
    <t>Thêm ngay sau đoạn này: «Bạn có thể tham khảo lãi vay ngân hàng hiện nay để ước tính chi phí khoản vay.»</t>
  </si>
  <si>
    <t>1. Cách tính lãi suất vay tín chấp ngân hàng theo dư nợ giảm dần</t>
  </si>
  <si>
    <t>Cách tính lãi suất vay ngân hàng và số tiền phải trả hàng tháng:</t>
  </si>
  <si>
    <t>Bôi đen cụm «lãi suất vay ngân hàng» trong câu trên, gắn link.</t>
  </si>
  <si>
    <t>3.4. Lãi suất theo dư nợ giảm dần và dư nợ gốc</t>
  </si>
  <si>
    <t>Đừng quên cập nhật thông tin thường xuyên và lựa chọn ngân hàng có chính sách lãi suất minh bạch, linh hoạt để đồng hành bền vững cùng kế hoạch của bạn.</t>
  </si>
  <si>
    <t>Thêm ngay sau đoạn này: «Bạn có thể tham khảo bảng lãi suất cho vay ngân hàng được cập nhật thường xuyên.»</t>
  </si>
  <si>
    <t>3. Cách tính lãi suất quá hạn như thế nào?</t>
  </si>
  <si>
    <t>Hy vọng rằng, những thông tin chi tiết về lãi suất quá hạn cũng như cách tính lãi suất nợ quá hạn có thể giúp bạn cân nhắc xây dựng tốt kế hoạch tài chính khi vay vốn ngân hàng…</t>
  </si>
  <si>
    <t>Thêm ngay sau đoạn này: «Bạn cũng nên tham khảo lãi suất cho vay ngân hàng hiện hành trước khi ký hợp đồng.»</t>
  </si>
  <si>
    <t>Với lãi suất ưu đãi, thủ tục đơn giản và quy trình xét duyệt nhanh chóng, Techcombank giúp khách hàng tiếp cận khoản vay 300 triệu VND không cần thế chấp…</t>
  </si>
  <si>
    <t>Thêm ngay sau đoạn này: «Bạn có thể tham khảo thêm lãi suất cho vay ngân hàng hiện nay để so sánh.»</t>
  </si>
  <si>
    <t>Khi có ý định vay ngân hàng mua xe trả góp, bạn nên chú ý tới 3 yếu tố ảnh hưởng trực tiếp tới tài chính và trải nghiệm của người vay: lãi suất, thủ tục vay…</t>
  </si>
  <si>
    <t>Sửa câu thành: «Khi có ý định vay ngân hàng mua xe trả góp, bạn nên chú ý tới 3 yếu tố ảnh hưởng trực tiếp tới tài chính và trải nghiệm của người vay: lãi suất cho vay ngân hàng, thủ tục vay và chính sách chăm sóc khách hàng.»</t>
  </si>
  <si>
    <t>4.3. Nên chọn hình thức vay mua điện thoại nào?</t>
  </si>
  <si>
    <t>Trước khi đăng ký, khách hàng nên so sánh kỹ các hình thức vay, kiểm tra lãi suất, phí, kỳ hạn và tổng số tiền phải trả…</t>
  </si>
  <si>
    <t>Vay vốn lưu động: Đáp ứng nhu cầu dòng tiền cho hoạt động thường xuyên như thanh toán chi phí, nhập nguyên vật liệu, trả lương nhân viên...</t>
  </si>
  <si>
    <t>Thêm ngay sau đoạn này: «Bạn có thể so sánh thêm với mặt bằng lãi suất cho vay ngân hàng hiện nay để lựa chọn phù hợp.»</t>
  </si>
  <si>
    <t>Các bạn sinh viên và gia đình nên chủ động tìm hiểu kỹ thông tin vay tiền sinh viên có lãi cao không, mức lãi cụ thể của từng chương trình…</t>
  </si>
  <si>
    <t>Thêm ngay sau đoạn này: «Bạn cũng có thể tham khảo lãi suất cho vay ngân hàng để so sánh với các chương trình vay ưu đãi.»</t>
  </si>
  <si>
    <t>5. Những lưu ý quan trọng trước khi mua nhà trả góp đưa trước 100 triệu VND</t>
  </si>
  <si>
    <t>Cần đánh giá khả năng vay trước khi thanh toán số tiền lớn, gồm hạn mức vay dự kiến, lãi suất sau ưu đãi, phí trả nợ trước hạn và nghĩa vụ trả nợ hằng tháng</t>
  </si>
  <si>
    <t>Thêm dòng sau đoạn: «Xem thêm: lãi suất cho vay ngân hàng mới nhất»</t>
  </si>
  <si>
    <t>2. Lãi suất vay vốn tiêu dùng hiện nay</t>
  </si>
  <si>
    <t>Lãi suất vay tiêu dùng tại các ngân hàng/công ty tài chính thường phụ thuộc vào hình thức cho vay, cụ thể:</t>
  </si>
  <si>
    <t>Sửa câu thành: «Lãi suất cho vay ngân hàng và công ty tài chính đối với nhu cầu tiêu dùng thường phụ thuộc vào hình thức cho vay, cụ thể:»</t>
  </si>
  <si>
    <t>Như vậy, ngân hàng sẽ giải ngân vay thế chấp khi khách hàng hoàn thành đầy đủ hồ sơ và quy trình thủ tục.</t>
  </si>
  <si>
    <t>Thêm ngay sau đoạn này: «Bạn có thể tham khảo lãi suất cho vay ngân hàng mới nhất để chủ động kế hoạch trả nợ.»</t>
  </si>
  <si>
    <t>6. Lưu ý quan trọng khi vay hạn mức</t>
  </si>
  <si>
    <t>Trước khi đăng ký, khách hàng nên cân nhắc kỹ hạn mức được cấp, lãi suất, phí, thời hạn duy trì hạn mức và khả năng trả nợ.</t>
  </si>
  <si>
    <t>Vay tiền mua nhà là quyết định tài chính dài hạn, không chỉ phụ thuộc vào giá trị căn nhà mà còn liên quan đến thu nhập, lãi suất, thời hạn vay, pháp lý tài sản và khả năng trả nợ trong nhiều năm.</t>
  </si>
  <si>
    <t>Thêm ngay sau đoạn này: «Trước khi vay, bạn nên tham khảo lãi suất cho vay ngân hàng hiện hành để dự trù chi phí.»</t>
  </si>
  <si>
    <t>Ngoài ra, khi tìm hiểu gói vay, hộ kinh doanh nên tham khảo lãi suất, ưu đãi của các ngân hàng.</t>
  </si>
  <si>
    <t>Sửa câu thành: «Ngoài ra, khi tìm hiểu gói vay, hộ kinh doanh nên tham khảo lãi suất cho vay ngân hàng và ưu đãi của từng nơi.»</t>
  </si>
  <si>
    <t>Khách hàng vui lòng liên hệ với chuyên viên tư vấn hoặc chi nhánh Techcombank trên toàn quốc để biết thêm thông tin mới nhất về lãi suất các gói vay tại Techcombank.</t>
  </si>
  <si>
    <t>Thêm ngay sau đoạn này: «Bạn cũng có thể tham khảo lãi suất cho vay ngân hàng trên thị trường để có cơ sở so sánh.»</t>
  </si>
  <si>
    <t>Các chính sách ưu đãi giảm trừ lãi suất trong giai đoạn thả nổi lãi suất hấp dẫn.</t>
  </si>
  <si>
    <t>Thêm ngay sau đoạn này: «Bạn nên so sánh với lãi suất cho vay ngân hàng trên thị trường để lựa chọn gói vay phù hợp.»</t>
  </si>
  <si>
    <t>Với những khách hàng muốn tìm hiểu sâu hơn về các hình thức tín dụng phổ biến, việc nắm rõ cho vay tiêu dùng là gì cũng giúp xây dựng kế hoạch tài chính toàn diện và phù hợp hơn.</t>
  </si>
  <si>
    <t>Thêm ngay sau đoạn này: «Bên cạnh đó, khách hàng nên theo dõi lãi suất cho vay ngân hàng để lựa chọn thời điểm và gói vay phù hợp.»</t>
  </si>
  <si>
    <t>2. Chuẩn bị hồ sơ vay tiêu dùng cá nhân</t>
  </si>
  <si>
    <t>Bạn có thể liên hệ trực tiếp đến ngân hàng để nhận được hướng dẫn chi tiết về quy trình vay ngân hàng cũng như hồ sơ vay tiêu dùng.</t>
  </si>
  <si>
    <t>Thêm ngay sau đoạn này: «Bạn cũng nên tham khảo lãi suất cho vay ngân hàng hiện nay để so sánh trước khi nộp hồ sơ.»</t>
  </si>
  <si>
    <t>Với thủ tục đơn giản và thời gian phê duyệt chỉ 3 phút, khoản vay 40 triệu trên Techcombank Mobile là giải pháp tài chính tiện lợi…</t>
  </si>
  <si>
    <t>Thông tin về mức lãi suất trong bài viết chỉ mang tính tham khảo và có thể thay đổi theo từng thời điểm.</t>
  </si>
  <si>
    <t>Thêm ngay sau đoạn này: «Bạn có thể so sánh thêm lãi suất cho vay ngân hàng mới nhất của nhiều ngân hàng.»</t>
  </si>
  <si>
    <t>3. Các yếu tố ảnh hưởng đến lãi suất vay kinh doanh</t>
  </si>
  <si>
    <t>Lãi suất vay kinh doanh tại các ngân hàng không cố định và thường thay đổi tùy theo nhiều yếu tố:</t>
  </si>
  <si>
    <t>Sửa câu thành: «Cũng như lãi suất vay ngân hàng nói chung, lãi suất vay kinh doanh không cố định và thường thay đổi tùy theo nhiều yếu tố:»</t>
  </si>
  <si>
    <t>3. Chi phí có thể phát sinh khi vay ngân hàng xây/sửa chữa nhà</t>
  </si>
  <si>
    <t>Lãi suất ngân hàng cho vay xây/sửa nhà là một yếu tố quan trọng ảnh hưởng trực tiếp đến quyết định vay vốn của bạn.</t>
  </si>
  <si>
    <t>Thêm ngay sau đoạn này: «Bạn có thể tham khảo bảng lãi suất vay ngân hàng mới nhất để so sánh trước khi quyết định.»</t>
  </si>
  <si>
    <t>Khi cân nhắc mua xe trả góp, ngân hàng thường được xem là một lựa chọn đáng tin cậy vì có các giải pháp vay đa dạng, lãi suất ưu đãi…</t>
  </si>
  <si>
    <t>Thêm ngay sau đoạn này: «Khách hàng có thể tham khảo lãi suất vay ngân hàng mới nhất để so sánh trước khi chọn.»</t>
  </si>
  <si>
    <t>Để cập nhật thông tin cụ thể và mới nhất, bạn vui lòng truy cập vào website hoặc liên hệ trực tiếp tới các ngân hàng để được tư vấn thêm.</t>
  </si>
  <si>
    <t>Thêm ngay sau đoạn này: «Bạn có thể theo dõi bảng lãi suất vay ngân hàng mới nhất để so sánh.»</t>
  </si>
  <si>
    <t>4.3. Phí trả nợ trước hạn và cách thức trả nợ trước hạn như thế nào?</t>
  </si>
  <si>
    <t>Nếu bạn đang tìm kiếm một giải pháp vay nhanh, lãi suất cạnh tranh và được bảo vệ bởi hệ thống ngân hàng uy tín, Techcombank chính là lựa chọn đáng t…</t>
  </si>
  <si>
    <t>Thêm ngay sau đoạn này: «Bạn có thể so sánh thêm lãi suất vay ngân hàng hiện nay trước khi đăng ký.»</t>
  </si>
  <si>
    <t>3.3. Thủ tục vay thế chấp tại phòng giao dịch Techcombank</t>
  </si>
  <si>
    <t>Với quy trình đăng ký đơn giản, xét duyệt nhanh và chính sách lãi suất rõ ràng, Techcombank giúp khách hàng chủ động hơn trong mọi nhu cầu tài chính…</t>
  </si>
  <si>
    <t>Thêm ngay sau đoạn này: «Bạn có thể tham khảo lãi suất vay ngân hàng mới nhất để so sánh trước khi đăng ký.»</t>
  </si>
  <si>
    <t>1. Vay ngắn hạn là gì?</t>
  </si>
  <si>
    <t>Theo quy định tại Khoản 1, Điều 1 Thông tư 08/2014/TT-NHNN , lãi suất vay ngắn hạn bằng đồng Việt Nam không vượt quá mức trần do Ngân hàng Nhà nước quy định…</t>
  </si>
  <si>
    <t>Thêm dòng sau đoạn: «Xem thêm: lãi suất vay ngân hàng mới nhất»</t>
  </si>
  <si>
    <t>1.3. Tái tài trợ</t>
  </si>
  <si>
    <t>Khi lựa chọn hình thức tái tài trợ, doanh nghiệp có thể linh hoạt chuyển đổi sang khoản vay với lãi suất ưu đãi hơn nhằm giảm thiểu áp lực tài chính.</t>
  </si>
  <si>
    <t>Thêm ngay sau đoạn này: «Doanh nghiệp nên theo dõi lãi suất vay ngân hàng để chọn thời điểm tái tài trợ phù hợp.»</t>
  </si>
  <si>
    <t>Có thể thấy lãi suất thả nổi hiện nay là lựa chọn hấp dẫn cho những ai tìm kiếm sự linh hoạt và muốn tận dụng những biến động của thị trường.</t>
  </si>
  <si>
    <t>Thêm ngay sau đoạn này: «Bạn có thể theo dõi lãi suất vay ngân hàng mới nhất để chủ động điều chỉnh kế hoạch.»</t>
  </si>
  <si>
    <t>17.5. Vay app có trả góp được không?</t>
  </si>
  <si>
    <t>Các app vay tiền nhanh online mang lại nhiều tiện ích trong việc tiếp cận nguồn vốn, song bạn cần cân nhắc kỹ lưỡng về hạn mức, lãi suất và uy tín của đơn vị cho vay trước khi đăng ký.</t>
  </si>
  <si>
    <t>Thêm ngay sau đoạn này: «Bạn có thể so sánh với lãi suất vay ngân hàng trước khi quyết định.»</t>
  </si>
  <si>
    <t>Với hạn mức linh hoạt, lãi suất cạnh tranh và quy trình phê duyệt nhanh, Techcombank giúp khách hàng dễ dàng vay 200 triệu không cần thế chấp…</t>
  </si>
  <si>
    <t>Thêm ngay sau đoạn này: «Bạn có thể so sánh thêm lãi suất vay ngân hàng hiện nay trước khi quyết định.»</t>
  </si>
  <si>
    <t>Để lựa chọn ngân hàng phù hợp, hãy so sánh kỹ hạn mức vay tối đa mà các ngân hàng đang cung cấp.</t>
  </si>
  <si>
    <t>Thêm ngay sau đoạn này: «Bên cạnh hạn mức, bạn cũng nên so sánh lãi suất vay ngân hàng giữa các nơi để chọn gói vay phù hợp.»</t>
  </si>
  <si>
    <t>1. Ưu điểm của vay kinh doanh online</t>
  </si>
  <si>
    <t>Lãi suất cạnh tranh, nhiều chương trình ưu đãi: Ngân hàng thường đưa ra mức lãi suất cạnh tranh kèm nhiều ưu đãi hấp dẫn đi kèm sản phẩm vay vốn online.</t>
  </si>
  <si>
    <t>2. Hướng giải quyết tối ưu với các khoản vay tín chấp</t>
  </si>
  <si>
    <t>Hợp nhất khoản vay (nếu đủ điều kiện): Gộp nhiều khoản vay nhỏ thành một khoản vay lớn với thời hạn dài hơn, lãi suất ổn định và kế hoạch thanh toán rõ ràng hơn</t>
  </si>
  <si>
    <t>Thêm ngay sau đoạn này: «Khi cân nhắc hợp nhất, bạn nên tham khảo lãi suất vay ngân hàng hiện hành để so sánh chi phí.»</t>
  </si>
  <si>
    <t>Theo đó, những yếu tố quan trọng mà bạn nên cân nhắc khi lựa chọn ngân hàng vay tín chấp như: Chính sách, mức lãi suất, hạn mức vay, thủ tục vay ngân hàng...</t>
  </si>
  <si>
    <t>Thêm ngay sau đoạn này: «Bạn có thể tham khảo bảng lãi suất vay ngân hàng mới nhất để so sánh giữa các nơi.»</t>
  </si>
  <si>
    <t>Khách hàng có nhu cầu vay thế chấp nên liên hệ trực tiếp với ngân hàng để được tư vấn các chính sách vay tùy theo thời điểm.</t>
  </si>
  <si>
    <t>Thêm ngay sau đoạn này: «Bạn cũng nên tham khảo lãi suất vay ngân hàng mới nhất để so sánh trước khi quyết định.»</t>
  </si>
  <si>
    <t>Đọc kỹ hợp đồng : Trước khi ký hợp đồng thế chấp, bạn hãy đọc kỹ tất cả các điều khoản.</t>
  </si>
  <si>
    <t>Thêm ngay sau đoạn này: «Bạn cũng nên tham khảo lãi suất vay ngân hàng hiện nay để so sánh trước khi ký.»</t>
  </si>
  <si>
    <t>Vay thế chấp tại các ngân hàng uy tín mang lại nhiều lợi ích cho người vay như: lãi suất vay cạnh tranh…</t>
  </si>
  <si>
    <t>Thêm ngay sau đoạn này: «Bạn có thể tham khảo lãi suất vay ngân hàng mới nhất để so sánh giữa các ngân hàng.»</t>
  </si>
  <si>
    <t>1. Ân hạn nợ gốc là gì?</t>
  </si>
  <si>
    <t>Ân hạn nợ gốc là thời gian bạn tạm hoãn việc trả tiền gốc vay, chỉ cần thanh toán lãi suất (nếu có thỏa thuận với ngân hàng).</t>
  </si>
  <si>
    <t>Thêm ngay sau đoạn này: «Số tiền lãi phải trả trong thời gian ân hạn phụ thuộc vào lãi suất vay ngân hàng áp dụng cho khoản vay.»</t>
  </si>
  <si>
    <t>Ví dụ, nếu một khách hàng có thu nhập biến động hoặc có các chi phí phát sinh khác, ngân hàng có thể cung cấp các giải pháp vay ngắn hạn hoặc các g…</t>
  </si>
  <si>
    <t>Thêm ngay sau đoạn này: «Trước khi vay, bạn nên tham khảo lãi suất vay ngân hàng để chọn giải pháp phù hợp.»</t>
  </si>
  <si>
    <t>Tăng lợi thế khi tiếp cận sản phẩm vay vốn: Khi khách hàng duy trì CASA đều đặn, ngân hàng có cơ sở để đánh giá khả năng tài chính minh bạch nếu có yêu cầu vay vốn, mở thẻ tín dụng...</t>
  </si>
  <si>
    <t>Thêm ngay sau đoạn này: «Bạn có thể tham khảo lãi suất vay ngân hàng mới nhất khi có nhu cầu vay vốn.»</t>
  </si>
  <si>
    <t>3.4. Cho vay ngang hàng (P2P Lending)</t>
  </si>
  <si>
    <t>Đó là các nền tảng kết nối người vay và người cho vay trực tiếp, giúp giảm thiểu chi phí và thủ tục truyền thống trong các khoản vay từ ngân hàng.</t>
  </si>
  <si>
    <t>Thêm ngay sau đoạn này: «Trước khi lựa chọn, bạn nên so sánh với lãi suất vay ngân hàng hiện nay.»</t>
  </si>
  <si>
    <t>Lựa chọn ngân hàng cho vay uy tín, an toàn, lãi suất ưu đãi: Hiện nay, có rất nhiều tổ chức tín dụng được thành lập.</t>
  </si>
  <si>
    <t>Thêm ngay sau đoạn này: «Doanh nghiệp có thể tham khảo lãi suất vay ngân hàng mới nhất để so sánh trước khi nộp hồ sơ.»</t>
  </si>
  <si>
    <t>3. Xếp hạng tín dụng cá nhân có mấy mức độ?</t>
  </si>
  <si>
    <t>Điểm tín dụng càng cao, bạn càng có khả năng duyệt vay với lãi suất càng thấp.</t>
  </si>
  <si>
    <t>Thêm ngay sau đoạn này: «Bạn có thể tham khảo lãi suất vay ngân hàng mới nhất để thấy rõ mức chênh lệch giữa các ngân hàng.»</t>
  </si>
  <si>
    <t>3. Lưu ý khi liên kết số điện thoại với tài khoản ngân hàng</t>
  </si>
  <si>
    <t>Khi đó, khách hàng cũng dễ dàng hơn trong việc tiếp cận các sản phẩm tín dụng lớn như vay mua nhà với thủ tục đơn giản và lãi suất ưu đãi.</t>
  </si>
  <si>
    <t>Thêm ngay sau đoạn này: «Khách hàng có thể tham khảo lãi suất vay ngân hàng mới nhất trước khi đăng ký khoản vay.»</t>
  </si>
  <si>
    <t>Techcombank đang không ngừng nỗ lực nâng cao trải nghiệm vay tiêu dùng với đa dạng sản phẩm và quy trình tinh gọn…</t>
  </si>
  <si>
    <t>Thêm ngay sau đoạn này: «Khách hàng có thể tham khảo lãi suất vay ngân hàng mới nhất trước khi lựa chọn sản phẩm.»</t>
  </si>
  <si>
    <t>4. Hoạch định vốn và tìm kiếm hỗ trợ tài chính hiệu quả</t>
  </si>
  <si>
    <t>Thêm dòng sau đoạn: «Xem thêm: Lãi suất vay ngân hàng mới nhất»</t>
  </si>
  <si>
    <t>1. So sánh vay tín chấp và vay thế chấp</t>
  </si>
  <si>
    <t>Bạn có thể tham khảo bài viết: Vay tín chấp lãi suất bao nhiêu ? để cập nhật lãi suất vay hiện nay của các ngân hàng.</t>
  </si>
  <si>
    <t>Thêm ngay sau đoạn này: «Đối với vay thế chấp, bạn có thể xem thêm lãi suất vay ngân hàng hiện nay để so sánh.»</t>
  </si>
  <si>
    <t>Ngoài lãi suất, có nhiều yếu tố khác cần xem xét khi chọn vay thấu chi như thủ tục, hạn mức, thời gian vay...</t>
  </si>
  <si>
    <t>Thêm ngay sau đoạn này: «Bạn cũng có thể tham khảo lãi suất vay ngân hàng hiện nay đối với các hình thức vay thế chấp, tín chấp để so sánh.»</t>
  </si>
  <si>
    <t>Doanh nghiệp nên tìm hiểu rõ về lãi suất doanh nghiệp vay ngân hàng hiện nay để tối ưu hóa nguồn vốn, nâng cao hiệu quả hoạt động và gia tăng lợi nhuận.</t>
  </si>
  <si>
    <t>Sửa câu thành: «Doanh nghiệp nên tìm hiểu rõ về lãi suất vay ngân hàng hiện nay dành cho doanh nghiệp để tối ưu hóa nguồn vốn, nâng cao hiệu quả hoạt động và gia tăng lợi nhuận.»</t>
  </si>
  <si>
    <t>Hiện nay, lãi suất cho vay mua nhà ở xã hội của ngân hàng chính sách xã hội là 6.5%/năm, cố định 5 năm.</t>
  </si>
  <si>
    <t>Thêm ngay sau đoạn này: «Bạn có thể tham khảo thêm lãi suất vay ngân hàng hiện nay để so sánh với lãi suất cho vay mua nhà ở thông thường.»</t>
  </si>
  <si>
    <t>Hiện nay, với các giải pháp ngân hàng số, khách hàng có nhu cầu vay 50 triệu online hoàn toàn có cơ hội tiếp cận khoản vay chỉ trong 3 ph…</t>
  </si>
  <si>
    <t>Thêm ngay sau đoạn này: «Trước khi đăng ký, bạn có thể tham khảo lãi suất vay ngân hàng hiện nay để so sánh.»</t>
  </si>
  <si>
    <t>Bởi vì, khi lãi suất thị trường biến động/tăng lên, khách hàng có thể phải chi trả với mức lãi suất cao hơn và số tiền lãi cần trả cũng sẽ tăng lên.</t>
  </si>
  <si>
    <t>Thêm ngay sau đoạn này: «Để chủ động hơn, bạn nên theo dõi lãi suất vay ngân hàng hiện nay trước khi lựa chọn gói vay.»</t>
  </si>
  <si>
    <t>Lãi suất: Việc tham khảo trước lãi suất vay sẽ giúp bạn lên kế hoạch trả nợ phù hợp mà không ảnh hưởng đến các khoản chi tiêu khác.</t>
  </si>
  <si>
    <t>Sửa câu thành: «Lãi suất: Việc tham khảo trước lãi suất vay ngân hàng hiện nay sẽ giúp bạn lên kế hoạch trả nợ phù hợp mà không ảnh hưởng đến các khoản chi tiêu khác.»</t>
  </si>
  <si>
    <t>Chỉ sửa câu đầu, giữ nguyên câu số liệu phía sau</t>
  </si>
  <si>
    <t>1.1. Giảm áp lực và tối ưu nguồn tài chính cho người mua</t>
  </si>
  <si>
    <t>Hiện nay nhiều ngân hàng cung cấp các giải pháp vay với hạn mức vay cao, lãi suất ưu đãi, thời hạn vay dài…</t>
  </si>
  <si>
    <t>Thêm ngay sau đoạn này: «Bạn có thể tham khảo lãi suất vay ngân hàng hiện nay để so sánh trước khi lựa chọn.»</t>
  </si>
  <si>
    <t>Hiện nay, mức lãi suất vay tiêu dùng tại các ngân hàng và công ty tài chính được hỗ trợ tương đối hấp dẫn.</t>
  </si>
  <si>
    <t>Thêm ngay sau đoạn này: «Bạn có thể tham khảo thêm lãi suất vay ngân hàng hôm nay để so sánh giữa các ngân hàng trước khi đăng ký.»</t>
  </si>
  <si>
    <t>1. Bảng lãi suất vay tín chấp của các ngân hàng 2026</t>
  </si>
  <si>
    <t>Hiện nay, lãi suất vay tín chấp dao động từ 12.9% - 28%/năm. Mức lãi suất có thể thay đổi theo chính sách của từng ngân hàng vào từng thời kỳ khác nhau.</t>
  </si>
  <si>
    <t>Thêm ngay sau đoạn này: «Bạn có thể tham khảo thêm bảng lãi vay ngân hàng hiện nay cho cả hình thức vay thế chấp và tín chấp.»</t>
  </si>
  <si>
    <t>2. Đặc điểm các gói vay sản xuất kinh doanh</t>
  </si>
  <si>
    <t>Các gói vay sản xuất kinh doanh có sự khác biệt về mức lãi suất, hạn mức cho vay.</t>
  </si>
  <si>
    <t>Thêm ngay sau đoạn này: «Bạn có thể tham khảo mức lãi vay ngân hàng hiện nay để so sánh trước khi chọn gói vay.»</t>
  </si>
  <si>
    <t>5. Lưu ý/kinh nghiệm khi vay mua chung cư tại ngân hàng</t>
  </si>
  <si>
    <t>Tùy thuộc vào nhu cầu và mong muốn cá nhân mà bạn có thể liên hệ trực tiếp với ngân hàng mà mình quan tâm để hiểu hơn về điều kiện, lãi suất và các thông tin cơ bản về quy trình vay.</t>
  </si>
  <si>
    <t>Thêm ngay sau đoạn này: «Bạn có thể tham khảo thêm lãi vay ngân hàng hiện nay để so sánh trước khi quyết định.»</t>
  </si>
  <si>
    <t>1. Tìm hiểu kỹ về hình thức vay mua nhà trả góp</t>
  </si>
  <si>
    <t>Mỗi hình thức sẽ có những yêu cầu riêng về điều kiện, thủ tục, lãi suất và hạn mức vay.</t>
  </si>
  <si>
    <t>Thêm ngay sau đoạn này: «Bạn có thể tham khảo mức lãi vay ngân hàng hiện nay để so sánh chi phí giữa hai hình thức này.»</t>
  </si>
  <si>
    <t>Hiện nay, ngân hàng Techcombank đang cung cấp nhiều giải pháp vay thế chấp giúp giải quyết nhu cầu tài chính của khách hàng như: Mua bất động sản có giấy chứng nhận…</t>
  </si>
  <si>
    <t>Thêm ngay sau đoạn này: «Trước khi đăng ký, khách hàng có thể tham khảo mức lãi vay ngân hàng hiện nay để so sánh và lựa chọn gói vay phù hợp.»</t>
  </si>
  <si>
    <t>Hỗ trợ các dịch vụ tài chính đa dạng: Nhiều app ngân hàng hiện nay cung cấp các dịch vụ tài chính đa dạng như chứng khoán, gửi tiết kiệm online và các dịch vụ vay vốn.</t>
  </si>
  <si>
    <t>Thêm ngay sau đoạn này: «Trước khi vay qua app, bạn nên tham khảo lãi vay ngân hàng hiện nay để so sánh.»</t>
  </si>
  <si>
    <t>1. Cho vay hợp vốn là gì?</t>
  </si>
  <si>
    <t>Mức lãi suất cụ thể sẽ được quy định trong hợp đồng vay hợp vốn và phụ thuộc vào mức độ tín nhiệm, rủi ro cũng như quy mô dự án của bên vay.</t>
  </si>
  <si>
    <t>Thêm ngay sau đoạn này: «Bạn có thể tham khảo mặt bằng lãi vay ngân hàng hiện nay để có cơ sở so sánh.»</t>
  </si>
  <si>
    <t>1. Tài sản bảo đảm khi vay thế chấp mua xe ô tô đã qua sử dụng</t>
  </si>
  <si>
    <t>Trên thực tế, ngân hàng sẽ đưa ra đề xuất về hạn mức vay và lãi suất hợp lý dựa trên các yếu tố như sau:</t>
  </si>
  <si>
    <t>Đặt sau danh sách yếu tố</t>
  </si>
  <si>
    <t>4.3. Bước 3: Ký hợp đồng vay</t>
  </si>
  <si>
    <t>Hợp đồng vay bao gồm các điều khoản về: hạn mức vay, lãi suất, thời hạn vay, phương thức trả nợ, các phí phát sinh...</t>
  </si>
  <si>
    <t>Phương án 3 - Số dư đến hạn: Với những giải pháp vay có kế hoạch thanh toán là trả gốc và lãi hằng tháng, bạn có thể lựa chọn thanh toán số dư đến hạn…</t>
  </si>
  <si>
    <t>Hạn chế tối đa rút tiền mặt tại ATM : Giống như thẻ chính, phí rút tiền từ thẻ phụ vào khoảng 4% với lãi suất lên tới 20 - 30%/năm.</t>
  </si>
  <si>
    <t>Thêm ngay sau đoạn này: «Khách hàng có thể so sánh mức này với lãi suất vay ngân hàng để cân nhắc nguồn vốn phù hợp khi cần tiền mặt.»</t>
  </si>
  <si>
    <t>Khách hàng nên tìm hiểu kỹ các quy định của ngân hàng về thủ tục, lãi suất, các khoản phí liên quan tới tất toán khoản vay thế chấp.</t>
  </si>
  <si>
    <t>2. Giải pháp vay ngân hàng nhanh chóng và an toàn cho người vay</t>
  </si>
  <si>
    <t>Với những khách hàng có nhu cầu vay vốn nhưng không có tài sản bảo đảm là bất động sản, Techcombank cung cấp 2 giải pháp vay với thủ tục đơn giản…</t>
  </si>
  <si>
    <t>Thêm ngay sau đoạn này: «Trước khi lựa chọn, bạn nên tham khảo lãi suất vay ngân hàng để cân đối chi phí của từng giải pháp.»</t>
  </si>
  <si>
    <t>Gia tăng tài sản, với ưu đãi lãi vay tương đương 0.1% đến 0.5% giá trị bất động sản</t>
  </si>
  <si>
    <t>2.4. Thời gian ghi nhận tiền về nhanh chóng</t>
  </si>
  <si>
    <t>Khi tiền về tài khoản nhanh chóng, người bán hàng có thể dễ dàng quản lý dòng tiền, thanh toán các khoản chi phí và đầu tư vào việc kinh doanh…</t>
  </si>
  <si>
    <t>Thêm ngay sau đoạn này: «Trước khi sử dụng các sản phẩm vay vốn, doanh nghiệp nên tham khảo lãi suất vay ngân hàng hiện hành.»</t>
  </si>
  <si>
    <t>Tín dụng xanh là hình thức cho vay nhằm tài trợ cho các dự án có lợi cho môi trường hoặc giảm tác động tiêu cực đến khí hậu.</t>
  </si>
  <si>
    <t>Thêm ngay sau đoạn này: «Khi cân nhắc các khoản vay, bạn có thể tham khảo lãi suất vay ngân hàng mới nhất để so sánh.»</t>
  </si>
  <si>
    <t>1. Thanh lý tài sản là gì?</t>
  </si>
  <si>
    <t>…anh lý tài sản (hay xử lý tài sản đảm bảo, phát mại tài sản) là việc ngân hàng hoặc bên cho vay thực hiện quyền xử lý tài sản mà bên vay đã dùng để đảm bảo nghĩa vụ vay khi bên vay không thực hiện h…</t>
  </si>
  <si>
    <t>Thêm ngay sau đoạn này: «Để hạn chế rủi ro này, người vay nên tham khảo lãi suất vay ngân hàng và lập kế hoạch trả nợ phù hợp với khả năng tài chính.»</t>
  </si>
  <si>
    <t>1.1. Khách hàng VIP ngân hàng là gì? Đặc quyền khách hàng VIP ngân hàng</t>
  </si>
  <si>
    <t>Quyền lợi tài chính ưu tiên: Một số ngân hàng có thể áp dụng chính sách ưu đãi về phí, lãi suất, hạn mức giao dịch, sản phẩm tín dụng…</t>
  </si>
  <si>
    <t>Thêm ngay sau đoạn này: «Bạn có thể tham khảo mặt bằng lãi suất vay ngân hàng hiện nay để so sánh mức ưu đãi.»</t>
  </si>
  <si>
    <t>4.2. Chương trình ưu đãi theo từng thời kỳ từ Techcombank và Hệ sinh thái, đối tác</t>
  </si>
  <si>
    <t>Ưu đãi theo sản phẩm: Thẻ tín dụng , thẻ thanh toán/thẻ ghi nợ , tài khoản thanh toán , chuyển tiền quốc tế , bảo hiểm , ngoại tệ , tiết kiệm , vay …</t>
  </si>
  <si>
    <t>Gạch đầu dòng nhiều link – dùng Xem thêm</t>
  </si>
  <si>
    <t>2. 6 lưu ý khi thanh toán online bằng thẻ tín dụng</t>
  </si>
  <si>
    <t>Tận dụng tối đa thời gian miễn lãi: Thông thường, các ngân hàng sẽ miễn lãi từ 45 - 55 ngày, nếu quá thời gian này mà không thanh toán dư nợ người dùng sẽ phát sinh phí phạt trả chậm lên tới 6% và lã…</t>
  </si>
  <si>
    <t>Thêm ngay sau đoạn này: «Mức lãi này thường cao hơn so với lãi suất vay ngân hàng thông thường, vì vậy chủ thẻ nên thanh toán đúng hạn.»</t>
  </si>
  <si>
    <t>Đặc biệt, chính sách vay ở một số ngân hàng như Techcombank cho phép không phát sinh lãi trong trường hợp chi tiêu và hoàn trả trong cùng 1 ngày.</t>
  </si>
  <si>
    <t>Thêm ngay sau đoạn này: «Bạn có thể tham khảo thêm mức lãi vay ngân hàng hiện nay để so sánh chi phí giữa các hình thức vay.»</t>
  </si>
  <si>
    <t>Hiện nay, khách hàng vay của tổ chức tín dụng có thể chọn 1 trong 3 cách thanh toán khoản vay phổ biến, đó là: Thanh toán trực tuyến qua internet banking/mobile banking, trích nợ tự động hoặc thanh t…</t>
  </si>
  <si>
    <t>Thêm ngay sau đoạn này: «Trước khi vay, bạn cũng nên tham khảo lãi vay ngân hàng hiện nay để chọn khoản vay phù hợp.»</t>
  </si>
  <si>
    <t>1. Vay thế chấp cần chứng minh thu nhập theo Thông tư 39/2016/TT-NHNN</t>
  </si>
  <si>
    <t>Như vậy, khách hàng cần chứng minh thu nhập khi vay thế chấp để đảm bảo khả năng trả nợ cho ngân hàng.</t>
  </si>
  <si>
    <t>Thêm ngay sau đoạn này: «Ngoài khả năng trả nợ, bạn cũng nên tham khảo lãi vay ngân hàng hiện nay để dự tính chi phí khoản vay.»</t>
  </si>
  <si>
    <t>4.2. Sản phẩm vay</t>
  </si>
  <si>
    <t>Ví dụ: Khách hàng có thể tham khảo về 4 sản phẩm vay của Techcombank hiện nay trong bảng dưới đây.</t>
  </si>
  <si>
    <t>Thêm dòng sau đoạn: «Xem thêm: lãi vay ngân hàng hiện nay»</t>
  </si>
  <si>
    <t>Đặt sau bảng – dùng Xem thêm</t>
  </si>
  <si>
    <t>Với hình thức vay thấu chi , bạn chỉ bắt buộc (hoặc có nghĩa vụ) thanh toán toàn bộ nợ gốc thấu chi chậm nhất vào ngày kết thúc thời hạn duy trì hạn mức thấu chi (thường là 12 tháng).</t>
  </si>
  <si>
    <t>Bôi đen cụm «vay thấu chi» trong câu trên, gắn link.</t>
  </si>
  <si>
    <t>2.2. Tính theo thấu chi</t>
  </si>
  <si>
    <t>Ưu điểm nổi bật của vay thấu chi là hộ kinh doanh chỉ trả lãi trên số tiền thực tế đã sử dụng, nhờ đó tiết kiệm chi phí.</t>
  </si>
  <si>
    <t>Tài khoản thấu chi MyCash : Đây là giải pháp vay thấu chi với quy trình đăng ký nhanh chóng qua Techcombank Mobile…</t>
  </si>
  <si>
    <t>Nhiều khách hàng cũng quan tâm đến việc vay thấu chi có c…</t>
  </si>
  <si>
    <t>3.1. Vay thấu chi tín chấp</t>
  </si>
  <si>
    <t>Vay thấu chi tín chấp là hình thức vay không cần tài sản bảo đảm.</t>
  </si>
  <si>
    <t>Bôi đen cụm «Vay thấu chi» trong câu trên, gắn link.</t>
  </si>
  <si>
    <t>Bên cạnh đó, vay thấu chi với hạn mức dự phòng không cần tài sản đảm bảo, đáp ứng nhu cầu tiêu dùng…</t>
  </si>
  <si>
    <t>…sử dụng phần mềm MISA, bao gồm: Gói vay thấu chi online không tài sản đảm bảo với hạn mức tới 3 tỷ và gói vay vốn kinh doanh linh hoạt với tổng hạn mức lên tới 20 tỷ đồng, đa dạng hình thức vay vốn…</t>
  </si>
  <si>
    <t>Bên cạnh đó, việc sở hữu sổ tiết kiệm tại ngân hàng cũng là cơ sở quan trọng để bạn tiếp cận gói vay thấu chi có tài sản đảm bảo khi cần nguồn vốn nóng mà không muốn tất toán sổ trước hạn.</t>
  </si>
  <si>
    <t>Đặc biệt, khách hàng còn có thể dễ dàng tiếp cận các sản phẩm tài chính hiện đại khác như vay thấu chi online ngay trên ứng dụng mà không cần bổ sung giấy tờ phức tạp.</t>
  </si>
  <si>
    <t>Mở rộng quyền truy cập hạn mức tín chấp cho tất cả thành viên, với ưu đãi lãi suất vay thấu chi MyCash, vay trả góp không thế chấp, mở thẻ tín dụng Techcombank</t>
  </si>
  <si>
    <t>Vay thấu chi: Là hình thức cấp hạn mức tín dụng gắn liền với tài khoản thanh toán.</t>
  </si>
  <si>
    <t>1. Các hình thức vay vốn ngân hàng cho doanh nghiệp phổ biến hiện nay</t>
  </si>
  <si>
    <t>Hiện nay, có 4 hình thức ngân hàng hỗ trợ vay vốn kinh doanh phổ biến cho các doanh nghiệp vừa và nhỏ (SME), bao gồm: Vay tín chấp, vay thế chấp, vay thấu chi và tái tài trợ.</t>
  </si>
  <si>
    <t>Vay thấu chi: Với vay thấu chi, ngân hàng cho phép khách hàng rút tiền ra ngay cả khi tài khoản của họ không có tiền hoặc đã chi tiêu vượt quá số tiền hiện có.</t>
  </si>
  <si>
    <t>4. Hạn mức và lãi suất vay tín chấp cho doanh nghiệp</t>
  </si>
  <si>
    <t>Vay thấu chi online - Doanh nghiệp: Hạn mức phê duyệt trước tới 5 tỷ VND, lãi suất cạnh tranh.</t>
  </si>
  <si>
    <t>So với vay tín chấp hay vay thấu chi, vay thế chấp sổ đỏ thường được các ngân hàng hỗ trợ mức lãi suất vay hấp dẫn hơn.</t>
  </si>
  <si>
    <t>3. Thủ tục và quy trình cho vay tín chấp cá nhân</t>
  </si>
  <si>
    <t>Đáp ứng nhu cầu vay tiêu dùng của khách hàng, vay thấu chi với hàng loạt lợi ích vượt trội cùng thủ tục đơn giản, phê duyệt nhanh chóng cũng là giải pháp đáng để bạn cân nhắc.</t>
  </si>
  <si>
    <t>Ngoài ra, nhằm đáp ứng chu cầu tiêu dùng khi cần thiết, vay thấu chi với thủ tục đơn giản cùng nhiều lợi ích vượt trội đi kèm là giải pháp đáng để bạn cân nhắc.</t>
  </si>
  <si>
    <t>TPBank : Lãi suất từ 8.7% đến 8.9%/năm, TPBank cung cấp các gói vay tín chấp tiêu dùng và vay thấu chi với hạn mức tối đa 300 triệu VND</t>
  </si>
  <si>
    <t>Câu có số liệu – chỉ gắn link, không sửa</t>
  </si>
  <si>
    <t>Nếu bạn đang tìm kiếm giải pháp tài chính linh hoạt khác, Techcombank còn cung cấp dịch vụ vay thấu chi online để hỗ trợ nhu cầu vốn ngắn hạn…</t>
  </si>
  <si>
    <t>1.2. Vay thấu chi</t>
  </si>
  <si>
    <t>Vay thấu chi là hình thức vay tín dụng cho phép bạn sử dụng số tiền vượt quá số dư tài khoản trong hạn mức được duyệt.</t>
  </si>
  <si>
    <t>2. 5 hình thức cho vay ngắn hạn phổ biến</t>
  </si>
  <si>
    <t>Vay theo hạn mức thấu chi trên tài khoản thanh toán: Khách hàng được phép chi vượt số dư tài khoản thanh toán trong phạm vi mức thấu chi tối đa.</t>
  </si>
  <si>
    <t>Thêm ngay sau đoạn này: «Để hiểu rõ thấu chi là gì cùng điều kiện, thủ tục đăng ký, bạn có thể tham khảo thêm trước khi sử dụng.»</t>
  </si>
  <si>
    <t>Thấu chi MyCash là một hình thức cấp hạn mức chi tiêu vượt số dư tài khoản thanh toán, giúp khách hàng có thể chi tiêu ngay cả khi tài khoản không đủ tiền, với hạn mức được cấp trước.</t>
  </si>
  <si>
    <t>Thêm ngay sau đoạn này: «Bạn có thể tìm hiểu thêm thấu chi là gì cùng điều kiện, thủ tục đăng ký.»</t>
  </si>
  <si>
    <t>Tại Techcombank, chúng tôi cung cấp đa dạng các sản phẩm Vay tiêu dùng như: Tài khoản thấu chi MyCash, Vay tiêu dùng tín chấp trả góp…</t>
  </si>
  <si>
    <t>Thêm dòng sau đoạn: «Xem thêm: thấu chi là gì»</t>
  </si>
  <si>
    <t>4. Cách xử lý nợ nhóm 2 hiệu quả nhất</t>
  </si>
  <si>
    <t>Vay hạn mức thấu chi thế chấp bằng tài sản đảm bảo</t>
  </si>
  <si>
    <t>Thêm dòng sau đoạn: «Xem thêm: Thấu chi là gì? Điều kiện và thủ tục vay thấu chi»</t>
  </si>
  <si>
    <t>Mở tài khoản thấu chi MyCash không cần tài sản đảm bảo, đăng ký 1 lần, linh hoạt sử dụng tới 12 tháng</t>
  </si>
  <si>
    <t>Thêm dòng sau đoạn: «Xem thêm: thấu chi là gì và cách sử dụng hiệu quả»</t>
  </si>
  <si>
    <t>3.1. Nhiệm vụ đặc biệt (thực hiện 1 lần)</t>
  </si>
  <si>
    <t>Mở Thấu chi MyCash và chi tiêu từ 100,000 VND</t>
  </si>
  <si>
    <t>Dòng nhiệm vụ có số liệu – dùng Xem thêm</t>
  </si>
  <si>
    <t>3.1. Rút tiền thông qua Mobile Banking</t>
  </si>
  <si>
    <t>Rút tiền tiết kiệm online trước thời hạn thông qua Mobile Banking khá đơn giản, nhanh chóng và thuận tiện.</t>
  </si>
  <si>
    <t>Thêm ngay sau đoạn này: «Nếu chỉ cần tiền trong thời gian ngắn, bạn có thể cân nhắc vay thấu chi thay vì rút tiết kiệm trước hạn.»</t>
  </si>
  <si>
    <t>Ở một số trường hợp, khách hàng sử dụng thêm các sản phẩm tín dụng như thấu chi cũng thường đặt câu hỏi về phạm vi giao dịch cho phép.</t>
  </si>
  <si>
    <t>Sửa câu thành: «Ở một số trường hợp, khách hàng sử dụng thêm các sản phẩm tín dụng như vay thấu chi cũng thường đặt câu hỏi về phạm vi giao dịch cho phép.»</t>
  </si>
  <si>
    <t>5.3. Thanh toán xanh</t>
  </si>
  <si>
    <t>Đối với doanh nghiệp cần nguồn vốn lưu động linh hoạt để duy trì hoạt động kinh doanh, việc t…</t>
  </si>
  <si>
    <t>Thêm ngay sau đoạn này: «Một trong những giải pháp vốn lưu động phổ biến hiện nay là vay thấu chi tài khoản.»</t>
  </si>
  <si>
    <t>Đoạn bị cắt – đọc lại câu gốc tránh trùng ý</t>
  </si>
  <si>
    <t>Các gói vay tín chấp phổ biến tại Techcombank gồm có: Tài khoản thấu chi MyCash, Vay tín chấp tiêu dùng trả góp…</t>
  </si>
  <si>
    <t>Thêm dòng sau đoạn: «Xem thêm: vay thấu chi là gì, điều kiện và thủ tục đăng ký»</t>
  </si>
  <si>
    <t>Đặt sau danh sách ưu điểm MyCash</t>
  </si>
  <si>
    <t>1. Bản chất của cam kết tín dụng là gì?</t>
  </si>
  <si>
    <t>Cam kết tín dụng là văn bản do ngân hàng hoặc tổ chức tín dụng phát hành, thể hiện sự chấp thuận bằng văn bản về việc sẽ cấp một hạn mức tín dụng (cho vay, bảo lãnh, thấu chi...)…</t>
  </si>
  <si>
    <t>Thêm ngay sau đoạn này: «Nếu chưa rõ vay thấu chi là gì, bạn có thể tham khảo thêm điều kiện và thủ tục vay thấu chi.»</t>
  </si>
  <si>
    <t>3.4. Làm thủ tục xóa thế chấp mất bao nhiêu ngày?</t>
  </si>
  <si>
    <t>Thêm dòng sau đoạn: «Xem thêm: vay thấu chi là gì và điều kiện vay»</t>
  </si>
  <si>
    <t>Vay: Không cần phải tới quầy, hiện nay Techcombank Mobile đã cung cấp giải pháp vay cho mọi nhu cầu tài chính của khách hàng như: Tài khoản thấu chi MyCash , Vay tiêu dùng tín chấp trả góp , Vay mua nhà,...</t>
  </si>
  <si>
    <t>Thêm ngay sau đoạn này: «Nếu chưa rõ vay thấu chi là gì, bạn có thể tìm hiểu thêm trước khi đăng ký.»</t>
  </si>
  <si>
    <t>Đặc biệt, đây cũng là "bệ phóng" để SMEs dễ dàng tiếp cận các nguồn vốn ngắn hạn linh hoạt như thấu chi tài khoản, BusinessOne Credit Plus hoặc Misa Lending…</t>
  </si>
  <si>
    <t>Thêm ngay sau đoạn này: «Nếu chưa quen với hình thức này, bạn có thể tìm hiểu vay thấu chi là gì và điều kiện đăng ký.»</t>
  </si>
  <si>
    <t>2. Cách khóa tài khoản ngân hàng bằng việc yêu cầu khoá thẻ qua hotline ngân hàng</t>
  </si>
  <si>
    <t>Bên cạnh đó, nhiều khách hàng trong quá trình quản lý tài khoản cũng quan tâm đến việc trả nợ vay thấu chi như thế nào , đặc biệt khi cần đảm bảo dòng tiền…</t>
  </si>
  <si>
    <t>Cụm «trả nợ vay thấu chi như thế nào» có thể đã gắn link – kiểm tra trùng</t>
  </si>
  <si>
    <t>Khách hàng nên lựa chọn kỹ lưỡng giải pháp vay phù hợp với nhu cầu vay và khả năng thanh toán của bản thân.</t>
  </si>
  <si>
    <t>Thêm ngay sau đoạn này: «Với nhu cầu chi tiêu ngắn hạn, bạn có thể tìm hiểu thêm thấu chi là gì để cân nhắc như một phương án thay thế.»</t>
  </si>
  <si>
    <t>Thêm dòng sau đoạn: «Xem thêm: thấu chi là gì và điều kiện vay thấu chi»</t>
  </si>
  <si>
    <t>3. Lựa chọn các cách bảo vệ tài khoản ngân hàng</t>
  </si>
  <si>
    <t>Bảo vệ toàn bộ tiền trong các tài khoản thanh toán, tài khoản Thấu chi và Tiết kiệm online của bạn.</t>
  </si>
  <si>
    <t>Hai nguyên tắc cốt lõi bạn cần tuân thủ là không bỏ tất cả trứng vào một giỏ (đa dạng hóa danh mục đầu tư) và luôn duy trì quỹ dự phòng khẩn cấp…</t>
  </si>
  <si>
    <t>Thêm ngay sau đoạn này: «Trong trường hợp cần tiền gấp, bạn có thể tìm hiểu thấu chi là gì để có thêm phương án dự phòng.»</t>
  </si>
  <si>
    <t>3. Hướng dẫn đóng tiền điện online qua Mobile Banking</t>
  </si>
  <si>
    <t>Trên Techcombank Mobile, khách hàng có thể đăng ký tính năng Autobill để tự động thanh toán hóa đơn điện định kỳ hàng tháng, hạn chế tình trạng quên đóng tiền đúng hạn.</t>
  </si>
  <si>
    <t>Thêm ngay sau đoạn này: «Nếu số dư chưa đủ khi đến hạn thanh toán, bạn có thể tìm hiểu thấu chi là gì để có thêm phương án dự phòng.»</t>
  </si>
  <si>
    <t>3. 2 lưu ý khi gửi tiết kiệm online quay vòng cả gốc và lãi</t>
  </si>
  <si>
    <t>Nên lựa chọn phương thức đáo hạn phù hợp: Tại thời điểm gửi, khách hàng có thể chọn phương thức đáo hạn phù hợp với nhu cầu của bản thân…</t>
  </si>
  <si>
    <t>Thêm ngay sau đoạn này: «Khi cần tiền ngắn hạn mà khoản tiết kiệm chưa đến hạn, bạn có thể tìm hiểu thấu chi là gì để có thêm lựa chọn.»</t>
  </si>
  <si>
    <t>Hiện nay, các ngân hàng cung cấp đa dạng giải pháp tiền gửi để đáp ứng nhu cầu của khách hàng.</t>
  </si>
  <si>
    <t>Thêm ngay sau đoạn này: «Ngoài gửi tiết kiệm, khi cần nguồn tiền ngắn hạn, bạn có thể tìm hiểu thêm về vay thấu chi.»</t>
  </si>
  <si>
    <t>Khách hàng có 2 cách kiểm tra nợ xấu trên hệ thống tín dụng CIC, đó là kiểm tra thông qua trang web chính thức của CIC và kiểm tra thôn…</t>
  </si>
  <si>
    <t>Bôi đen cụm «kiểm tra nợ xấu» trong câu trên, gắn link.</t>
  </si>
  <si>
    <t>3. Cách kiểm tra nợ xấu bằng CCCD</t>
  </si>
  <si>
    <t>Bạn có thể kiểm tra nợ xấu chỉ với CCCD thông qua Trung tâm Thông tin Tín dụng Quốc gia Việt Nam (CIC) .</t>
  </si>
  <si>
    <t>3. 3 Cách kiểm tra nợ xấu bằng CCCD nhanh, đơn giản 2026</t>
  </si>
  <si>
    <t>5.4. Tra cứu nợ xấu có mất phí không?</t>
  </si>
  <si>
    <t>Tra cứu nợ xấu, điểm tín dụng trên website/ứng dụng CIC Connect sẽ được miễn phí 1 lần/năm.</t>
  </si>
  <si>
    <t>Bôi đen cụm «Tra cứu nợ xấu» trong câu trên, gắn link.</t>
  </si>
  <si>
    <t>Anchor đứng đầu câu nên viết hoa chữ đầu</t>
  </si>
  <si>
    <t>6. Làm sao để hết nợ chú ý?</t>
  </si>
  <si>
    <t>Kiểm tra lại khoản nợ: Truy cập website hoặc ứng dụng CIC - Trung tâm Thông tin Tín dụng Quốc gia Việt Nam để kiểm tra chính xác khoản nợ…</t>
  </si>
  <si>
    <t>Thêm dòng sau đoạn: «Xem thêm: cách kiểm tra nợ xấu bằng CCCD»</t>
  </si>
  <si>
    <t>Đoạn liệt kê các bước – dùng Xem thêm</t>
  </si>
  <si>
    <t>1. Thanh toán tối thiểu thẻ tín dụng là gì?</t>
  </si>
  <si>
    <t>Thanh toán tối thiểu thẻ tín dụng là mức tiền ÍT NHẤT mà bạn bắt buộc phải trả hàng tháng để tránh phí phạt và nợ xấu.</t>
  </si>
  <si>
    <t>Thêm ngay sau đoạn này: «Nếu lỡ trễ hạn, bạn nên chủ động kiểm tra nợ xấu để biết tình trạng tín dụng của mình.»</t>
  </si>
  <si>
    <t>Kiểm tra dư nợ thẻ: Đảm bảo tất cả các khoản chi tiêu, phí thường niên và lãi phát sinh đã được thanh toán đầy đủ trước khi yêu cầu huỷ</t>
  </si>
  <si>
    <t>Thêm ngay sau đoạn này: «Sau khi tất toán, bạn có thể kiểm tra nợ xấu để chắc chắn lịch sử tín dụng không bị ảnh hưởng.»</t>
  </si>
  <si>
    <t>4. Kinh nghiệm lựa chọn phương án trả góp học phí phù hợp</t>
  </si>
  <si>
    <t>Điều kiện sử dụng: Kiểm tra điều kiện vay trả góp học phí hoặc trả góp học phí với thẻ tín dụng để xác định phương án có thể đăng ký</t>
  </si>
  <si>
    <t>Thêm dòng sau đoạn: «Xem thêm: cách kiểm tra nợ xấu trước khi đăng ký vay»</t>
  </si>
  <si>
    <t>3. 4 bước lập kế hoạch quản lý tài chính cá nhân</t>
  </si>
  <si>
    <t>Bao gồm việc kiểm tra thu nhập hàng tháng, các khoản nợ, và các khoản tiết kiệm.</t>
  </si>
  <si>
    <t>Thêm ngay sau đoạn này: «Nếu đang có khoản vay, bạn cũng nên kiểm tra nợ xấu để nắm rõ lịch sử tín dụng của mình.»</t>
  </si>
  <si>
    <t>Chỉ cần vài thao tác, người dùng đã kiểm tra chi tiết thông tin nợ xấu chính xác.</t>
  </si>
  <si>
    <t>Thêm ngay sau đoạn này: «Ngoài ứng dụng CIC, bạn có thể tham khảo thêm các cách tra cứu nợ xấu bằng CCCD đơn giản, nhanh chóng.»</t>
  </si>
  <si>
    <t>Nhìn chung, nợ nhóm 2 không phải là nợ xấu, nhưng nếu không xử lý sớm, khoản vay có thể nhanh chóng chuyển sang nhóm 3 hoặc cao hơn…</t>
  </si>
  <si>
    <t>Thêm ngay sau đoạn này: «Bạn có thể tham khảo cách tra cứu nợ xấu bằng CCCD để chủ động theo dõi tình trạng tín dụng của mình.»</t>
  </si>
  <si>
    <t>Vay thế chấp kinh doanh ShopCredit : Nguồn vốn vững vàng đến 30 tỷ VND, linh hoạt chứng minh nguồn thu - không giới hạn loại chứng từ…</t>
  </si>
  <si>
    <t>Thêm ngay sau đoạn này: «Trước khi đăng ký vay, chủ hộ có thể tra cứu nợ xấu để chủ động chuẩn bị hồ sơ.»</t>
  </si>
  <si>
    <t>5. Phân biệt cam kết tín dụng và bảo lãnh ngân hàng</t>
  </si>
  <si>
    <t>Việc chủ động chuẩn bị hồ sơ minh bạch và lựa chọn đối tác ngân hàng uy tín sẽ là bước đệm vững chắc cho mọi dự án thành công.</t>
  </si>
  <si>
    <t>Thêm ngay sau đoạn này: «Trước khi làm hồ sơ, chủ doanh nghiệp cũng nên kiểm tra nợ xấu để chủ động xử lý nếu có.»</t>
  </si>
  <si>
    <t>Trang đích hướng tới cá nhân</t>
  </si>
  <si>
    <t>Kiểm tra sao kê trả góp hàng tháng: Khách hàng nên kiểm tra sao kê trả góp hàng tháng để nắm rõ được lộ trình và số tiền cần phải thanh toán trong kỳ hạn tiếp theo, từ đó có kế hoạch chi tiêu tối ưu…</t>
  </si>
  <si>
    <t>Thêm ngay sau đoạn này: «Việc thanh toán trễ hạn có thể ảnh hưởng đến lịch sử tín dụng, vì vậy bạn nên định kỳ kiểm tra nợ xấu.»</t>
  </si>
  <si>
    <t>Thực tế sẽ không có một con số cụ thể trả lời cho câu hỏi: “ Vay tín chấp tối đa được bao nhiêu ?”.</t>
  </si>
  <si>
    <t>Thêm ngay sau đoạn này: «Bạn có thể tham khảo nên vay tín chấp ở đâu để so sánh hạn mức và lãi suất giữa các ngân hàng.»</t>
  </si>
  <si>
    <t>4. Các ưu đãi/hỗ trợ của Techcombank khi cho người vay tín chấp</t>
  </si>
  <si>
    <t>Vì vậy, bạn nên liên hệ trực tiếp với đơn vị cho vay để được tư vấn chính xác hơn.</t>
  </si>
  <si>
    <t>Thêm ngay sau đoạn này: «Nếu đang phân vân nên vay tín chấp ở đâu, bạn có thể tham khảo danh sách các ngân hàng cho vay tín chấp lãi suất tốt.»</t>
  </si>
  <si>
    <t>Trong trường hợp khách hàng muốn vay vốn ngân hàng không yêu cầu chứng minh thu nhập thì có thể xem xét giải pháp vay tín chấp không chứng minh thu nhập ở một số ngân hàng.</t>
  </si>
  <si>
    <t>Thêm ngay sau đoạn này: «Bạn có thể tham khảo nên vay tín chấp ở đâu để so sánh điều kiện và lãi suất giữa các ngân hàng.»</t>
  </si>
  <si>
    <t>Giải pháp vay tín chấp: Đối với các giải pháp vay tín chấp của ngân hàng, khách hàng cần có hợp đồng lao động ở đơn vị đang công tác và sao kê lương trong 3 - 6 tháng gần nhất.</t>
  </si>
  <si>
    <t>Thêm ngay sau đoạn này: «Nếu đáp ứng điều kiện này, bạn có thể tham khảo nên vay tín chấp ở đâu để chọn ngân hàng có lãi suất phù hợp.»</t>
  </si>
  <si>
    <t>3. Lịch sử tín dụng có quan trọng không?</t>
  </si>
  <si>
    <t>Lịch sử tín dụng sẽ ảnh hưởng đến khả năng vay vốn, lãi suất và hạn mức vay.</t>
  </si>
  <si>
    <t>Thêm ngay sau đoạn này: «Khi đã có lịch sử tín dụng tốt, bạn có thể tham khảo nên vay tín chấp ở đâu để nhận mức lãi suất phù hợp.»</t>
  </si>
  <si>
    <t>1. Một người có thể làm bao nhiêu thẻ ATM tại 1 ngân hàng?</t>
  </si>
  <si>
    <t>Việc duy trì giao dịch thường xuyên qua thẻ cũng giúp khách hàng xây dựng điểm tín dụng tốt, từ đó dễ dàng tiếp cận các khoản vốn vay và không còn bỡ ngỡ với khái niệm vay tín chấp là gì…</t>
  </si>
  <si>
    <t>Thêm ngay sau đoạn này: «Khi có nhu cầu vay vốn, bạn có thể tham khảo thêm nên vay tín chấp ở đâu để chọn ngân hàng phù hợp.»</t>
  </si>
  <si>
    <t>Tiếp cận nguồn vốn siêu tốc: Cung cấp các gói vay (ShopCredit, ShopCash, Vay tín chấp trả góp) dựa trên dòng tiền thực tế</t>
  </si>
  <si>
    <t>Thêm dòng sau đoạn: «Xem thêm: nên vay tín chấp ở đâu»</t>
  </si>
  <si>
    <t>Techcombank Mobile sẵn sàng phục vụ khách hàng cá nhân và hộ kinh doanh cho các giao dịch chuyển khoản, thanh toán hóa đơn, gửi tiết kiệm, thanh toán thẻ tín dụng, vay tín chấp...</t>
  </si>
  <si>
    <t>Thêm ngay sau đoạn này: «Nếu đang cân nhắc khoản vay, bạn có thể tham khảo nên vay tín chấp ở đâu để chọn ngân hàng phù hợp.»</t>
  </si>
  <si>
    <t>Tìm hiểu thêm về tín chấp tiêu dùng nếu bạn đang quan tâm tới hình thức vay tín chấp tiêu dùng không cần tài sản đảm bảo, phê duyệt nhanh chóng, giải nhân nhanh.</t>
  </si>
  <si>
    <t>Thêm ngay sau đoạn này: «Nếu đang phân vân nên vay tín chấp ở đâu, bạn có thể tham khảo danh sách các ngân hàng cho vay tín chấp uy tín.»</t>
  </si>
  <si>
    <t>Đoạn đã có 1 link tín chấp tiêu dùng</t>
  </si>
  <si>
    <t>2. Thủ tục làm thẻ tín dụng</t>
  </si>
  <si>
    <t>Bên cạnh đó, khách hàng cũng có thể cân nhắc nhu cầu tài chính ngắn hạn của mình, đặc biệt khi xem xét các giải pháp như vay tiền tiêu dùng…</t>
  </si>
  <si>
    <t>Thêm ngay sau đoạn này: «Nếu đang cân nhắc nên vay tín chấp ở đâu, khách hàng có thể so sánh lãi suất và điều kiện giữa các ngân hàng.»</t>
  </si>
  <si>
    <t>7. Câu hỏi thường gặp</t>
  </si>
  <si>
    <t>Khách hàng nên thanh toán thẻ tín dụng trước ngày đến hạn thanh toán để có lịch sử tín dụng tốt.</t>
  </si>
  <si>
    <t>Thêm ngay sau đoạn này: «Lịch sử tín dụng tốt cũng là lợi thế khi khách hàng tìm hiểu nên vay tín chấp ở đâu với điều kiện phù hợp.»</t>
  </si>
  <si>
    <t>4 - Dễ vay vốn ngân hàng: Doanh nghiệp có thể vay vốn ngân hàng với nhiều hình thức khác nhau ở nhiều tài khoản như vay tín chấp, vay thấu chi, vay thế chấp, vay trả góp...</t>
  </si>
  <si>
    <t>Thêm dòng sau đoạn: «Xem thêm: nên vay tín chấp ở đâu để có lãi suất tốt»</t>
  </si>
  <si>
    <t>Trang đích nói vay tín chấp cá nhân</t>
  </si>
  <si>
    <t>Trước khi vay thêm trong khi đang có khoản trả góp, bạn nên chủ động rà soát tình hình tài chính…</t>
  </si>
  <si>
    <t>Thêm ngay sau đoạn này: «Nếu cần một khoản vay không tài sản đảm bảo, bạn có thể tìm hiểu thêm nên vay tín chấp ở đâu để chọn ngân hàng phù hợp.»</t>
  </si>
  <si>
    <t>Việc hiểu rõ rủi ro, lựa chọn giải pháp phù hợp và kiểm soát tài chính hiệu quả sẽ giúp bạn hạn chế ảnh hưởng tiêu cực và giữ vững uy tín tín dụng cá nhân.</t>
  </si>
  <si>
    <t>Thêm ngay sau đoạn này: «Nếu đang cân nhắc khoản vay mới, bạn có thể tham khảo nên vay tín chấp ở đâu để chọn ngân hàng có điều kiện và lãi suất phù hợp.»</t>
  </si>
  <si>
    <t>4.2. Thiết kế đặc quyền theo từng hạng hội viên</t>
  </si>
  <si>
    <t>Giảm 1%/năm lãi suất vay tín chấp tiêu dùng khi đăng ký mới vào ngày Inspire Day</t>
  </si>
  <si>
    <t>Gạch đầu dòng ưu đãi, liên quan vừa phải</t>
  </si>
  <si>
    <t>Tuy nhiên, đối với các vấn đề tín dụng phức tạp hơn, chẳng hạn như vay tín chấp nợ xấu , khách hàng cần tuân thủ các quy định nghiêm ngặt để tái tạo uy tín tài chính.</t>
  </si>
  <si>
    <t>Thêm ngay sau đoạn này: «Nếu đang cân nhắc nên vay tín chấp ở đâu, bạn nên so sánh lãi suất và điều kiện vay của từng ngân hàng.»</t>
  </si>
  <si>
    <t>Bài về QR – chủ đề vay hơi lệch</t>
  </si>
  <si>
    <t>2. 3 lưu ý cần biết để giao dịch chứng chỉ tiền gửi an toàn, lợi nhuận cao</t>
  </si>
  <si>
    <t>Ngoài ra, ứng dụng cũng hỗ trợ người dùng tra cứu nhanh các thông tin tài chính quan trọng khác, ví dụ như vay tín chấp lãi suất bao nhiêu hay vay thế chấp…</t>
  </si>
  <si>
    <t>Thêm dòng sau đoạn: «Xem thêm: Nên vay tín chấp ở đâu?»</t>
  </si>
  <si>
    <t>Bài về CCTG, liên quan yếu; câu này có thể đã có link</t>
  </si>
  <si>
    <t>Quy trình xóa thế chấp sẽ diễn ra thuận lợi nếu bạn chuẩn bị đủ hồ sơ và tuân thủ đúng quy trình ngay từ bước đầu tiên.</t>
  </si>
  <si>
    <t>Thêm ngay sau đoạn này: «Nếu cần thêm nguồn vốn không cần tài sản bảo đảm, bạn có thể tham khảo nên vay tín chấp ở đâu để có lãi suất phù hợp.»</t>
  </si>
  <si>
    <t>Thêm dòng sau đoạn: «Xem thêm: Nên vay tín chấp ở đâu lãi suất tốt»</t>
  </si>
  <si>
    <t>Doanh nghiệp trẻ có thể tiếp cận nhiều giải pháp vay vốn bao gồm cả vay tín chấp.</t>
  </si>
  <si>
    <t>Thêm ngay sau đoạn này: «Nếu đang cân nhắc nên vay tín chấp ở đâu, bạn có thể so sánh lãi suất và điều kiện của các ngân hàng trước khi quyết định.»</t>
  </si>
  <si>
    <t>Trang đích thiên về vay cá nhân</t>
  </si>
  <si>
    <t>Tìm hiểu các thủ tục vay tín chấp theo lương cho nhân viên văn phòng</t>
  </si>
  <si>
    <t>Có thể đã là dòng link liên quan</t>
  </si>
  <si>
    <t>Vay tín chấp trả góp : Hạn mức vay lên đến 1 tỷ VND, không cần tài sản thế chấp, thời gian vay linh hoạt từ 3 - 36 tháng</t>
  </si>
  <si>
    <t>Đoạn quảng cáo sản phẩm</t>
  </si>
  <si>
    <t>3. Quá hạn thẻ tín dụng bao lâu thì bị nợ xấu?</t>
  </si>
  <si>
    <t>Hồ sơ nợ xấu này có thể khiến khách hàng gặp khó khăn hơn khi đăng ký các sản phẩm tín dụng khác như vay tín chấp hoặc mở thêm thẻ tín dụng mới trong tương lai.</t>
  </si>
  <si>
    <t>Thêm ngay sau đoạn này: «Nếu có nhu cầu vay vốn, khách hàng nên duy trì lịch sử tín dụng tốt và tìm hiểu nên vay tín chấp ở đâu cho phù hợp.»</t>
  </si>
  <si>
    <t>Vì vậy, nhiều người thắc mắc nợ xấu bao lâu thì xóa, liệu nợ x…</t>
  </si>
  <si>
    <t>Bôi đen cụm «nợ xấu» trong câu trên, gắn link.</t>
  </si>
  <si>
    <t>2.1. Lưu ý ngày đến hạn để tránh phát sinh lãi và phí trả chậm</t>
  </si>
  <si>
    <t>Ngoài ra, chủ thẻ có thể sẽ bị đưa vào danh sách nợ quá hạn/nợ xấu, gây khó khăn trong việc mở thẻ tín dụng khác hoặc vay vốn tại ngân hàng…</t>
  </si>
  <si>
    <t>Ngoài ra, các thông tin khác về lịch sử nợ xấu, điểm tín dụng, xếp hạng tín dụng của bạn cũng được thể hiện trong báo cáo này.</t>
  </si>
  <si>
    <t>1.4. Có thể bị chuyển thành nợ xấu - ảnh hưởng uy tín cá nhân</t>
  </si>
  <si>
    <t>Vì thế, khách hàng tuyệt đối không để nợ quá hạn chuyển thành nợ xấu, nếu có nợ quá hạn dưới 90 ngày thì nên tìm cách hoàn trả ngay…</t>
  </si>
  <si>
    <t>4.4. Nợ xấu có làm thẻ tín dụng được không?</t>
  </si>
  <si>
    <t>Tùy thuộc vào quy định của từng ngân hàng tại từng thời kỳ, tuy nhiên nếu khách hàng đang có nợ xấu thường sẽ không được cấp thẻ tín dụng.</t>
  </si>
  <si>
    <t>4. 4 câu hỏi thường gặp khi đăng ký thẻ Visa</t>
  </si>
  <si>
    <t>Khách hàng bị nợ xấu vẫn có thể làm thẻ Visa Debit và Visa Prepaid, tuy nhiên để mở thẻ Visa Credit, khách cần phải trả hết nợ và thanh toán phí phạt trước.</t>
  </si>
  <si>
    <t>Do số tiền chi tiêu từ thẻ phụ sẽ được cộng dồn vào tổng hạn mức của thẻ chính nên chủ thẻ chính… cần phải kiểm soát khả năng thanh toán dư nợ để tránh nợ xấu.</t>
  </si>
  <si>
    <t>2.1. Điều kiện vay tiêu dùng tín chấp trả góp</t>
  </si>
  <si>
    <t>Không có nợ xấu tại các tổ chức tín dụng và công ty tài chính</t>
  </si>
  <si>
    <t>2. Điều kiện để được vay tín chấp là gì?</t>
  </si>
  <si>
    <t>Người vay không có nợ xấu ở các ngân hàng hay các công ty tài chính khác.</t>
  </si>
  <si>
    <t>3. 7 mẹo giúp tăng hạn mức tín dụng cao dễ dàng</t>
  </si>
  <si>
    <t>Thanh toán tín dụng đủ và đúng hạn để tránh bị phạt và nợ xấu làm ảnh hưởng đến khả năng tăng hạn mức, đặc biệt tránh chi tiêu vượt hạn mức thẻ tín dụng một cách bất cẩn.</t>
  </si>
  <si>
    <t>3. Điều kiện vay thấu chi là gì?</t>
  </si>
  <si>
    <t>1. Điều kiện vay tín chấp cá nhân</t>
  </si>
  <si>
    <t>Lịch sử tín dụng tốt, không có nợ xấu tại các ngân hàng khác</t>
  </si>
  <si>
    <t>2.7. Dư nợ trong hạn</t>
  </si>
  <si>
    <t>Dư nợ trong hạn là khoản vay vẫn đang trong thời gian trả nợ đúng theo hợp đồng, chưa bị chậm hoặc chuyển sang nhóm nợ xấu.</t>
  </si>
  <si>
    <t>Do đó, khách hàng cần thu xếp tài chính và thanh toán càng sớm càng tốt để tránh bị chuyển sang các nhóm nợ xấu (từ nhóm 3 trở lên)…</t>
  </si>
  <si>
    <t>2. Nợ xấu làm thẻ Visa Credit được không?</t>
  </si>
  <si>
    <t>Tuy nhiên, thông thường thì khách hàng đang có nợ xấu sẽ không được cấp thẻ tín dụng.</t>
  </si>
  <si>
    <t>2.2. Hạn chế của thanh toán tối thiểu thẻ tín dụng</t>
  </si>
  <si>
    <t>Rủi ro nợ xấu: Thanh toán khoản tối thiểu thẻ tín dụng đúng hạn để chứng minh tình hình tài chính của khách hàng ổn định.</t>
  </si>
  <si>
    <t>8. 6 lưu ý khi sử dụng thẻ tín dụng để không bị khóa thẻ</t>
  </si>
  <si>
    <t>Thanh toán dư nợ đúng hạn: Để không bị ngân hàng xếp vào nhóm nợ xấu và bị khóa thẻ làm ảnh hưởng tới quá trình sử dụng…</t>
  </si>
  <si>
    <t>Vậy những người từng rơi vào tình trạng nợ xấu có vay thế chấp được không ?</t>
  </si>
  <si>
    <t>2. Lời khuyên cho người có nợ xấu muốn vay tín chấp</t>
  </si>
  <si>
    <t>Xử lý nợ xấu trước sẽ giúp bạn tăng tỷ lệ vay tín chấp thành công.</t>
  </si>
  <si>
    <t>1. Nợ quá hạn là gì?</t>
  </si>
  <si>
    <t>Phân loại nhóm nợ xấu theo Trung tâm Thông tin tín dụng Quốc gia Việt Nam (CIC).</t>
  </si>
  <si>
    <t>5.2. Cách để cải thiện điểm tín dụng?</t>
  </si>
  <si>
    <t>Để cải thiện điểm tín dụng, tránh bị liệt kê vào nhóm nợ xấu, bạn nên: thanh toán nợ đúng hạn, hạn chế trễ kỳ trả góp…</t>
  </si>
  <si>
    <t>2.1. Điều kiện vay tín chấp theo lương</t>
  </si>
  <si>
    <t>2.2 Điều kiện vay thế chấp xây/sửa nhà</t>
  </si>
  <si>
    <t>Tại thời điểm vay vốn khách hàng không có dư nợ xấu tại Techcombank hoặc các tổ chức tín dụng khác</t>
  </si>
  <si>
    <t>Nếu bị rơi vào nhóm nợ có thời hạn quá hạn cao, người vay sẽ có lịch sử tín dụng xấu.</t>
  </si>
  <si>
    <t>Thêm ngay sau đoạn này: «Để hiểu rõ nợ xấu là gì cũng như cách kiểm tra và xử lý, bạn có thể tham khảo thêm.»</t>
  </si>
  <si>
    <t>Việc check hay kiểm tra nợ xấu định kỳ không chỉ giúp bạn hiểu rõ lịch sử tín dụng cá nhân mà còn tạo nền tảng vững chắc cho những kế hoạch tài chính dài hạn.</t>
  </si>
  <si>
    <t>Để kiểm tra nợ xấu trên ứng dụng CIC, khách hàng có thể làm theo các bước sau:</t>
  </si>
  <si>
    <t>Do đó, nếu bạn chậm trả góp trên 90 ngày , bạn sẽ bị ghi nhận nợ xấu trên hệ thống CIC.</t>
  </si>
  <si>
    <t>Bài nguồn cùng chủ đề trang đích – cân nhắc trùng lặp</t>
  </si>
  <si>
    <t>4. Cần kết hợp NIM với những chỉ số nào khi đánh giá ngân hàng?</t>
  </si>
  <si>
    <t>Khi nợ xấu tăng, ngân hàng có thể phải tăng chi phí dự phòng, đồng thời ảnh hưởng đến khả năng ghi nhận thu nhập lãi từ các khoản vay gặp vấn đề.</t>
  </si>
  <si>
    <t>Nợ xấu ngân hàng khác nợ xấu cá nhân</t>
  </si>
  <si>
    <t>3. Các chi phí phát sinh khác khi vay tín chấp</t>
  </si>
  <si>
    <t>Nợ xấu có vay tín chấp được không? Lời khuyên khi vay tín chấp nợ xấu</t>
  </si>
  <si>
    <t>Bôi đen cụm «Nợ xấu» trong câu trên, gắn link.</t>
  </si>
  <si>
    <t>Dòng này có thể đã là link bài liên quan – kiểm tra trước</t>
  </si>
  <si>
    <t>Một số nguyên tắc quản lý tài chính cá nhân, chẳng hạn như cách tiết kiệm tiền của người Nhật , cũng nhấn mạnh việc hạn chế nợ xấu và duy trì tính kỷ luật tr…</t>
  </si>
  <si>
    <t>Đoạn gắn cờ luật – chỉ bôi đen, không sửa câu</t>
  </si>
  <si>
    <t>2. Giải pháp cho người vay có khó khăn trong việc trả nợ theo hợp đồng đã ký kết</t>
  </si>
  <si>
    <t>Hệ quả pháp lý của việc chậm trả hoặc không trả được nợ gốc và lãi vay thế chấp có thể là các chế tài dân sự, ảnh hưởng tới lịch sử tín dụng.</t>
  </si>
  <si>
    <t>Thêm ngay sau đoạn này: «Với khoản vay không có tài sản bảo đảm, bạn có thể tìm hiểu thêm vay tín chấp không trả được có sao không để có hướng xử lý phù hợp.»</t>
  </si>
  <si>
    <t>2. Lãi suất quá hạn là gì?</t>
  </si>
  <si>
    <t>Lãi suất quá hạn được tính trên nợ lãi chưa trả hoặc dư nợ gốc với khoản vay bị chuyển thành nợ quá hạn.</t>
  </si>
  <si>
    <t>Thêm ngay sau đoạn này: «Nếu băn khoăn vay tín chấp không trả được có sao không, bạn có thể tham khảo thêm rủi ro và hướng xử lý.»</t>
  </si>
  <si>
    <t>2.1. Liên hệ trả góp dư nợ nếu không đủ khả năng tài chính</t>
  </si>
  <si>
    <t>Tuy nhiên, nợ quá hạn sẽ vẫn ảnh hưởng rất lớn tới uy tín tín dụng cá nhân cho các khoản vay tương lai.</t>
  </si>
  <si>
    <t>Thêm ngay sau đoạn này: «Với khoản vay tiêu dùng, bạn có thể tham khảo thêm vay tín chấp không trả được có sao không.»</t>
  </si>
  <si>
    <t>3.1. Lãi suất và các khoản phí</t>
  </si>
  <si>
    <t>Ngoài ra khi vay tín chấp, bạn có thể phải chi trả thêm một số khoản phí phát sinh khác như: Phí xét duyệt hồ sơ, phí cho phép tất toán trước hạn, lãi trả chậm...</t>
  </si>
  <si>
    <t>Thêm ngay sau đoạn này: «Nếu chậm thanh toán, bạn nên tìm hiểu vay tín chấp không trả được có sao không để có hướng xử lý kịp thời.»</t>
  </si>
  <si>
    <t>1.3. Lãi suất và hạn mức vay tiêu dùng tín chấp</t>
  </si>
  <si>
    <t>Bên cạnh lãi suất, bạn có thể phải chi trả thêm một số khoản phí như phí làm hồ sơ/thủ tục, phí tất toán trước hạn, phí liên quan đến nợ quá hạn…</t>
  </si>
  <si>
    <t>Thêm dòng sau đoạn: «Xem thêm: vay tín chấp không trả được có sao không»</t>
  </si>
  <si>
    <t>Bạn cần vay 200 triệu để chi tiêu, hoặc mở rộng kế hoạch cá nhân?</t>
  </si>
  <si>
    <t>Thêm ngay sau đoạn này: «Trước khi đăng ký, bạn cũng nên tìm hiểu vay tín chấp không trả được có sao không để chủ động kế hoạch trả nợ.»</t>
  </si>
  <si>
    <t>Bạn cần vay 20 triệu để chi tiêu, sửa chữa, du lịch hoặc xử lý công việc gấp?</t>
  </si>
  <si>
    <t>Thêm ngay sau đoạn này: «Trước khi vay, bạn cũng nên tìm hiểu vay tín chấp không trả được có sao không để chủ động kế hoạch trả nợ.»</t>
  </si>
  <si>
    <t>Nếu bạn đã hiểu rõ chứng chỉ quỹ (CCQ) là gì và các đặc điểm cơ bản, dưới đây là những bước cần thiết để bắt đầu đầu tư một cách bài bản và bền vững.</t>
  </si>
  <si>
    <t>Thêm dòng sau đoạn: «Xem thêm: Cách đầu tư chứng chỉ quỹ cho người mới bắt đầu»</t>
  </si>
  <si>
    <t>9. Tối ưu hóa dòng vốn nhỏ - Mua chứng chỉ quỹ ngay trên Techcombank Mobile</t>
  </si>
  <si>
    <t>Không cần chờ có một khoản vốn lớn mới bắt đầu hành trình đầu tư.</t>
  </si>
  <si>
    <t>Thêm ngay sau đoạn này: «Nếu mới bắt đầu, bạn có thể tham khảo cách đầu tư chứng chỉ quỹ để xây dựng danh mục phù hợp với mục tiêu của mình.»</t>
  </si>
  <si>
    <t>4. Lưu ý khi đầu tư chứng chỉ quỹ</t>
  </si>
  <si>
    <t>Hiểu rõ cách hoạt động và lãi suất kỳ vọng của chứng chỉ quỹ sẽ giúp tối ưu hiệu quả đầu tư, đồng thời giảm thiểu rủi ro.</t>
  </si>
  <si>
    <t>Thêm ngay sau đoạn này: «Nếu mới bắt đầu, bạn có thể tham khảo cách đầu tư chứng chỉ quỹ để chọn chiến lược phù hợp.»</t>
  </si>
  <si>
    <t>5. Một số lựa chọn tài sản đầu tư phổ biến tại Việt Nam</t>
  </si>
  <si>
    <t>Chứng chỉ quỹ: Đây là lựa chọn lý tưởng cho nhà đầu tư mới.</t>
  </si>
  <si>
    <t>Thêm ngay sau đoạn này: «Nếu mới bắt đầu, bạn có thể tham khảo cách đầu tư chứng chỉ quỹ để chọn quỹ phù hợp với khẩu vị rủi ro.»</t>
  </si>
  <si>
    <t>4. Giá cả và cách giao dịch</t>
  </si>
  <si>
    <t>Điểm mấu chốt: Chứng chỉ quỹ phù hợp với nhà đầu tư mới hoặc vốn nhỏ, trong khi cổ phiếu đòi hỏi sẵn sàng theo dõi thị trường và quản lý giao dịch.</t>
  </si>
  <si>
    <t>Thêm ngay sau đoạn này: «Nếu mới bắt đầu, bạn có thể tham khảo cách đầu tư chứng chỉ quỹ cho người mới để chọn quỹ phù hợp.»</t>
  </si>
  <si>
    <t>2. Nên đầu tư chứng chỉ quỹ hay các loại chứng khoán khác</t>
  </si>
  <si>
    <t>Nếu bạn là nhà đầu tư cá nhân mới, muốn tích lũy tài sản từ từ mà không cần theo dõi thị trường mỗi ngày, chứng chỉ quỹ là lựa chọn lý tưởng.</t>
  </si>
  <si>
    <t>Thêm ngay sau đoạn này: «Bạn có thể tham khảo hướng dẫn đầu tư chứng chỉ quỹ cho người mới để bắt đầu đúng cách.»</t>
  </si>
  <si>
    <t>3. 4 Bước xây dựng chiến lược đầu tư cho người mới bắt đầu</t>
  </si>
  <si>
    <t>Với những nhà đầu tư mới bắt đầu và chưa có nhiều kinh nghiệm phân tích thị trường, chứng chỉ quỹ là một kênh đáng cân nhắc trong bước lựa chọn kênh đầu tư nói trên.</t>
  </si>
  <si>
    <t>Thêm ngay sau đoạn này: «Bạn có thể tham khảo phương pháp đầu tư chứng chỉ quỹ dành cho người mới để bắt đầu đúng cách.»</t>
  </si>
  <si>
    <t>4. Tiêu chí lựa chọn để biết nên đầu tư chứng chỉ quỹ nào</t>
  </si>
  <si>
    <t>Thay vì tìm kiếm một “công thức chung”, nhà đầu tư nên cân nhắc kỹ lưỡng nhu cầu thực tế để đưa ra quyết định phù hợp…</t>
  </si>
  <si>
    <t>Thêm ngay sau đoạn này: «Nếu mới bắt đầu, bạn có thể tham khảo thêm phương pháp đầu tư chứng chỉ quỹ cho người mới.»</t>
  </si>
  <si>
    <t>Hiện nay, Techcom Securities (TCBS) phân phối đa dạng chứng chỉ quỹ từ Techcom Capital bao gồm TCBF (trái phiếu) , TCEF (cổ phiếu) , TCFF (cân bằng)…</t>
  </si>
  <si>
    <t>Thêm ngay sau đoạn này: «Nếu mới bắt đầu, bạn có thể tham khảo phương pháp đầu tư chứng chỉ quỹ cho người mới.»</t>
  </si>
  <si>
    <t>Không cần nhiều kinh nghiệm, không mất thời gian theo dõi thị trường, bạn vẫn có thể đầu tư bài bản thông qua đội ngũ chu…</t>
  </si>
  <si>
    <t>Thêm ngay sau đoạn này: «Người mới có thể tham khảo thêm cách đầu tư chứng chỉ quỹ để xây dựng chiến lược phù hợp.»</t>
  </si>
  <si>
    <t>10. Các bước mua chứng chỉ quỹ trên ngân hàng số Techcombank</t>
  </si>
  <si>
    <t>Trải nghiệm tính năng đầu tư chứng chỉ quỹ ngay trên Techcombank Mobile .</t>
  </si>
  <si>
    <t>Thêm ngay sau đoạn này: «Nếu mới bắt đầu, bạn có thể tham khảo thêm cách đầu tư chứng chỉ quỹ để xây dựng kế hoạch phù hợp.»</t>
  </si>
  <si>
    <t>4. Các lưu ý khi theo dõi bảng giá chứng chỉ quỹ</t>
  </si>
  <si>
    <t>Sau khi nắm vững các nguyên tắc theo dõi và đánh giá NAV/CCQ, việc lựa chọn quỹ phù hợp và bắt đầu đầu tư là bước tiếp theo để biến chiến lược phân bổ tài sản thành kết quả thực tế.</t>
  </si>
  <si>
    <t>Thêm ngay sau đoạn này: «Nếu mới bắt đầu, bạn có thể tham khảo thêm cách đầu tư chứng chỉ quỹ cho người mới.»</t>
  </si>
  <si>
    <t>3. Lưu ý cho nhà đầu tư khi giao dịch chứng chỉ quỹ</t>
  </si>
  <si>
    <t>Nắm rõ thời gian, quy định giao dịch chứng chỉ quỹ có thể giúp nhà đầu tư tối ưu lợi nhuận.</t>
  </si>
  <si>
    <t>Thêm ngay sau đoạn này: «Với người mới, có thể tham khảo thêm cách đầu tư chứng chỉ quỹ để xây dựng chiến lược phù hợp.»</t>
  </si>
  <si>
    <t>3.3. Phân tích chi phí và danh mục đầu tư</t>
  </si>
  <si>
    <t>Việc hiểu và đánh giá đúng giá chứng chỉ quỹ (NAV/CCQ) chính là nền tảng để lựa chọn đầu tư hiệu quả.</t>
  </si>
  <si>
    <t>Thêm ngay sau đoạn này: «Nếu mới bắt đầu, bạn có thể tham khảo cách đầu tư chứng chỉ quỹ dành cho người mới.»</t>
  </si>
  <si>
    <t>2.5. Bước 5: Đầu tư và gia tăng tài sản</t>
  </si>
  <si>
    <t>Sau khi đã kiểm soát dòng tiền và xây dựng quỹ dự phòng, bước quan trọng tiếp theo là đầu tư để tài sản sinh lời.</t>
  </si>
  <si>
    <t>Thêm ngay sau đoạn này: «Với người mới bắt đầu, bạn có thể tìm hiểu cách đầu tư chứng chỉ quỹ để đa dạng hóa danh mục với số vốn nhỏ.»</t>
  </si>
  <si>
    <t>4. Gợi ý thực tế khi áp dụng phương pháp 6 chiếc lọ tài chính cá nhân</t>
  </si>
  <si>
    <t>Đầu tư vào cổ phiếu, chứng chỉ tiền gửi , quỹ đầu tư, hoặc bất động sản: 2 triệu đồng</t>
  </si>
  <si>
    <t>Thêm dòng sau đoạn: «Xem thêm: cách đầu tư chứng chỉ quỹ cho người mới bắt đầu»</t>
  </si>
  <si>
    <t>Dòng số liệu – dùng Xem thêm</t>
  </si>
  <si>
    <t>Quỹ: Đầu tư đơn giản chỉ từ 10,000 VND với đa dạng lựa chọn quỹ mở do chuyên gia quản lý</t>
  </si>
  <si>
    <t>Tăng tổng tài sản</t>
  </si>
  <si>
    <t>Đầu tư hiệu quả : Phân bổ tiền nhàn rỗi vào các kênh đầu tư phù hợp như chứng chỉ quỹ, chứng chỉ quỹ trái phiếu , cổ phiếu…</t>
  </si>
  <si>
    <t>Thêm ngay sau đoạn này: «Nếu mới bắt đầu, bạn có thể tham khảo cách đầu tư chứng chỉ quỹ để phân bổ vốn hợp lý.»</t>
  </si>
  <si>
    <t>Đây là hũ "gà đẻ trứng vàng". Tiền trong hũ này chỉ dùng để đầu tư (chứng khoán, quỹ, góp vốn kinh doanh...) nhằm tạo ra thu nhập thụ động</t>
  </si>
  <si>
    <t>Bước 4: Theo dõi và điều chỉnh định kỳ</t>
  </si>
  <si>
    <t>Với những người mới bắt đầu, thay vì phải tự mình chọn từng cổ phiếu hay trái phiếu, bạn có thể bắt đầu bằng chứng chỉ quỹ…</t>
  </si>
  <si>
    <t>Thêm ngay sau đoạn này: «Bạn có thể tìm hiểu thêm phương pháp đầu tư chứng chỉ quỹ cho người mới để bắt đầu đúng cách.»</t>
  </si>
  <si>
    <t>2. Tiêu chí phân biệt đầu cơ và đầu tư</t>
  </si>
  <si>
    <t>Với người trẻ muốn đầu tư tài chính cá nhân nhưng chưa có nhiều kinh nghiệm phân tích thị trường, chứng chỉ quỹ là một kênh đáng cân nhắc…</t>
  </si>
  <si>
    <t>Thêm ngay sau đoạn này: «Bạn có thể tham khảo phương pháp đầu tư chứng chỉ quỹ cho người mới để bắt đầu bài bản hơn.»</t>
  </si>
  <si>
    <t>2.2. Chứng chỉ quỹ</t>
  </si>
  <si>
    <t>3. Chứng chỉ quỹ mở có phù hợp với người mới bắt đầu đầu tư dài hạn không? Có.</t>
  </si>
  <si>
    <t>Thêm ngay sau đoạn này: «Bạn có thể tham khảo thêm phương pháp đầu tư chứng chỉ quỹ cho người mới để chọn quỹ phù hợp với mục tiêu.»</t>
  </si>
  <si>
    <t>4. Liên kết thanh toán hóa đơn và đầu tư cá nhân</t>
  </si>
  <si>
    <t>Một ví dụ về cá nhân hóa đáng chú ý trong ngành tài chính ngân hàng là việc tích hợp các dịch vụ thanh toán hóa đơn và đầu tư cá nhân trên cùng một nền tảng.</t>
  </si>
  <si>
    <t>Thêm ngay sau đoạn này: «Với người mới bắt đầu, bạn có thể tham khảo phương pháp đầu tư chứng chỉ quỹ để phân bổ vốn hợp lý.»</t>
  </si>
  <si>
    <t>7. Đầu tư quỹ</t>
  </si>
  <si>
    <t>Tuy nhiên, bạn vẫn nên tìm hiểu mục tiêu đầu tư và mức độ rủi ro của từng quỹ trước khi lựa chọn.</t>
  </si>
  <si>
    <t>Thêm ngay sau đoạn này: «Người mới bắt đầu có thể tham khảo thêm phương pháp đầu tư chứng chỉ quỹ để xây dựng danh mục phù hợp.»</t>
  </si>
  <si>
    <t>Với các gia đình đang chuẩn bị kế hoạch định cư châu Âu, việc xây dựng danh mục đầu tư phù hợp có thể giúp duy trì sự chủ động tài chính.</t>
  </si>
  <si>
    <t>Thêm ngay sau đoạn này: «Bạn có thể tham khảo phương pháp đầu tư chứng chỉ quỹ để lựa chọn quỹ phù hợp với mục tiêu tài chính.»</t>
  </si>
  <si>
    <t>3.3. Chứng chỉ quỹ mở</t>
  </si>
  <si>
    <t>Với những nhà đầu tư muốn dòng tiền nhàn rỗi vừa có cơ hội sinh lời tốt hơn tiền gửi không kỳ hạn, vừa giữ được khả năng giao dịch linh hoạt, chứng chỉ quỹ mở là một giải pháp đáng cân nhắc.</t>
  </si>
  <si>
    <t>Thêm ngay sau đoạn này: «Bạn có thể tham khảo phương pháp đầu tư chứng chỉ quỹ để lựa chọn quỹ phù hợp với mục tiêu của mình.»</t>
  </si>
  <si>
    <t>Tích hợp nhiều dịch vụ tài chính: Bên cạnh tiết kiệm, nhiều ứng dụng fintech còn cung cấp các giải pháp tài chính đa dạng như chứng chỉ quỹ, bảo hiểm…</t>
  </si>
  <si>
    <t>Thêm dòng sau đoạn: «Xem thêm: phương pháp đầu tư chứng chỉ quỹ cho người mới bắt đầu»</t>
  </si>
  <si>
    <t>Bạn có kế hoạch sử dụng tiền cụ thể trong ngắn hoặc trung hạn: Ví dụ như mua sắm nhà, ô tô…, đầu tư một khoản lớn trong vòng 6 - 18 tháng tiếp theo</t>
  </si>
  <si>
    <t>Thêm ngay sau đoạn này: «Nếu muốn đa dạng kênh đầu tư, bạn có thể tham khảo cách đầu tư chứng chỉ quỹ.»</t>
  </si>
  <si>
    <t>Đoạn tốt hơn nhưng đã dùng cho link khác cùng bài</t>
  </si>
</sst>
</file>

<file path=xl/styles.xml><?xml version="1.0" encoding="utf-8"?>
<styleSheet xmlns="http://schemas.openxmlformats.org/spreadsheetml/2006/main" xmlns:x14ac="http://schemas.microsoft.com/office/spreadsheetml/2009/9/ac" xmlns:mc="http://schemas.openxmlformats.org/markup-compatibility/2006">
  <fonts count="24">
    <font>
      <sz val="10.0"/>
      <color rgb="FF000000"/>
      <name val="Arial"/>
      <scheme val="minor"/>
    </font>
    <font>
      <sz val="10.0"/>
      <color rgb="FFFFFFFF"/>
      <name val="Arial"/>
      <scheme val="minor"/>
    </font>
    <font>
      <b/>
      <sz val="12.0"/>
      <color rgb="FF0049EE"/>
      <name val="Arial"/>
      <scheme val="minor"/>
    </font>
    <font>
      <b/>
      <color rgb="FFFFFFFF"/>
      <name val="Arial"/>
    </font>
    <font>
      <sz val="10.0"/>
      <color rgb="FF002992"/>
      <name val="Arial"/>
      <scheme val="minor"/>
    </font>
    <font>
      <b/>
      <sz val="10.0"/>
      <color theme="1"/>
      <name val="Google Sans"/>
    </font>
    <font>
      <sz val="10.0"/>
      <color rgb="FF000000"/>
      <name val="Google Sans"/>
    </font>
    <font>
      <b/>
      <sz val="10.0"/>
      <color rgb="FFFFFFFF"/>
      <name val="Arial"/>
      <scheme val="minor"/>
    </font>
    <font>
      <b/>
      <sz val="10.0"/>
      <color rgb="FFFFFFFF"/>
      <name val="Google Sans"/>
    </font>
    <font>
      <sz val="10.0"/>
      <color theme="1"/>
      <name val="Google Sans"/>
    </font>
    <font>
      <sz val="10.0"/>
      <color theme="1"/>
      <name val="Arial"/>
      <scheme val="minor"/>
    </font>
    <font>
      <b/>
      <sz val="10.0"/>
      <color rgb="FF0049EE"/>
      <name val="Arial"/>
      <scheme val="minor"/>
    </font>
    <font>
      <b/>
      <sz val="9.0"/>
      <color theme="1"/>
      <name val="Arial"/>
      <scheme val="minor"/>
    </font>
    <font>
      <i/>
      <sz val="9.0"/>
      <color rgb="FF994C00"/>
      <name val="Arial"/>
      <scheme val="minor"/>
    </font>
    <font>
      <color theme="1"/>
      <name val="Arial"/>
      <scheme val="minor"/>
    </font>
    <font>
      <b/>
      <sz val="11.0"/>
      <color theme="1"/>
      <name val="Arial"/>
      <scheme val="minor"/>
    </font>
    <font>
      <sz val="11.0"/>
      <color theme="1"/>
      <name val="Arial"/>
      <scheme val="minor"/>
    </font>
    <font>
      <sz val="10.0"/>
      <color theme="1"/>
      <name val="Arial"/>
    </font>
    <font>
      <u/>
      <sz val="10.0"/>
      <color rgb="FF0000FF"/>
    </font>
    <font>
      <u/>
      <color rgb="FF0000FF"/>
    </font>
    <font>
      <b/>
      <color theme="1"/>
      <name val="Arial"/>
      <scheme val="minor"/>
    </font>
    <font>
      <u/>
      <sz val="10.0"/>
      <color rgb="FF0000FF"/>
      <name val="Arial"/>
    </font>
    <font>
      <b/>
      <color rgb="FFFFFFFF"/>
      <name val="Arial"/>
      <scheme val="minor"/>
    </font>
    <font>
      <u/>
      <sz val="10.0"/>
      <color rgb="FF000000"/>
      <name val="Google Sans"/>
    </font>
  </fonts>
  <fills count="6">
    <fill>
      <patternFill patternType="none"/>
    </fill>
    <fill>
      <patternFill patternType="lightGray"/>
    </fill>
    <fill>
      <patternFill patternType="solid">
        <fgColor rgb="FF0049EE"/>
        <bgColor rgb="FF0049EE"/>
      </patternFill>
    </fill>
    <fill>
      <patternFill patternType="solid">
        <fgColor rgb="FFF3F3F6"/>
        <bgColor rgb="FFF3F3F6"/>
      </patternFill>
    </fill>
    <fill>
      <patternFill patternType="solid">
        <fgColor rgb="FF990000"/>
        <bgColor rgb="FF990000"/>
      </patternFill>
    </fill>
    <fill>
      <patternFill patternType="solid">
        <fgColor rgb="FFFFFFFF"/>
        <bgColor rgb="FFFFFFFF"/>
      </patternFill>
    </fill>
  </fills>
  <borders count="9">
    <border/>
    <border>
      <left style="thin">
        <color rgb="FFD8D8E0"/>
      </left>
      <right style="thin">
        <color rgb="FFD8D8E0"/>
      </right>
      <bottom style="thin">
        <color rgb="FFD8D8E0"/>
      </bottom>
    </border>
    <border>
      <left style="thin">
        <color rgb="FFD8D8E0"/>
      </left>
      <right style="thin">
        <color rgb="FFD8D8E0"/>
      </right>
      <top style="thin">
        <color rgb="FFD8D8E0"/>
      </top>
      <bottom style="thin">
        <color rgb="FFD8D8E0"/>
      </bottom>
    </border>
    <border>
      <right style="thin">
        <color rgb="FFDCDCDC"/>
      </right>
      <bottom style="thin">
        <color rgb="FFDCDCDC"/>
      </bottom>
    </border>
    <border>
      <left style="thin">
        <color rgb="FFDCDCDC"/>
      </left>
      <right style="thin">
        <color rgb="FFDCDCDC"/>
      </right>
      <bottom style="thin">
        <color rgb="FFDCDCDC"/>
      </bottom>
    </border>
    <border>
      <left style="thin">
        <color rgb="FFDCDCDC"/>
      </left>
      <bottom style="thin">
        <color rgb="FFDCDCDC"/>
      </bottom>
    </border>
    <border>
      <right style="thin">
        <color rgb="FFDCDCDC"/>
      </right>
      <top style="thin">
        <color rgb="FFDCDCDC"/>
      </top>
      <bottom style="thin">
        <color rgb="FFDCDCDC"/>
      </bottom>
    </border>
    <border>
      <left style="thin">
        <color rgb="FFDCDCDC"/>
      </left>
      <right style="thin">
        <color rgb="FFDCDCDC"/>
      </right>
      <top style="thin">
        <color rgb="FFDCDCDC"/>
      </top>
      <bottom style="thin">
        <color rgb="FFDCDCDC"/>
      </bottom>
    </border>
    <border>
      <left style="thin">
        <color rgb="FFDCDCDC"/>
      </left>
      <top style="thin">
        <color rgb="FFDCDCDC"/>
      </top>
      <bottom style="thin">
        <color rgb="FFDCDCDC"/>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0" fillId="3" fontId="2"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3" fontId="4" numFmtId="0" xfId="0" applyAlignment="1" applyFill="1" applyFont="1">
      <alignment readingOrder="0" shrinkToFit="0" vertical="center" wrapText="1"/>
    </xf>
    <xf borderId="0" fillId="0" fontId="5" numFmtId="0" xfId="0" applyAlignment="1" applyFont="1">
      <alignment readingOrder="0" shrinkToFit="0" vertical="top" wrapText="1"/>
    </xf>
    <xf borderId="2" fillId="0" fontId="6" numFmtId="0" xfId="0" applyAlignment="1" applyBorder="1" applyFont="1">
      <alignment horizontal="center" shrinkToFit="0" vertical="center" wrapText="0"/>
    </xf>
    <xf borderId="3" fillId="2" fontId="7" numFmtId="0" xfId="0" applyAlignment="1" applyBorder="1" applyFill="1" applyFont="1">
      <alignment horizontal="center" readingOrder="0" shrinkToFit="0" vertical="center" wrapText="1"/>
    </xf>
    <xf borderId="2" fillId="0" fontId="6" numFmtId="0" xfId="0" applyAlignment="1" applyBorder="1" applyFont="1">
      <alignment shrinkToFit="0" vertical="center" wrapText="0"/>
    </xf>
    <xf borderId="4" fillId="2" fontId="7" numFmtId="0" xfId="0" applyAlignment="1" applyBorder="1" applyFill="1" applyFont="1">
      <alignment horizontal="center" readingOrder="0" shrinkToFit="0" vertical="center" wrapText="1"/>
    </xf>
    <xf borderId="0" fillId="4" fontId="8" numFmtId="0" xfId="0" applyAlignment="1" applyFill="1" applyFont="1">
      <alignment horizontal="center" readingOrder="0" shrinkToFit="0" vertical="center"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5" fillId="2" fontId="7" numFmtId="0" xfId="0" applyAlignment="1" applyBorder="1" applyFill="1" applyFont="1">
      <alignment horizontal="center" readingOrder="0" shrinkToFit="0" vertical="center" wrapText="1"/>
    </xf>
    <xf borderId="0" fillId="2" fontId="7" numFmtId="0" xfId="0" applyAlignment="1" applyFill="1" applyFont="1">
      <alignment horizontal="center" readingOrder="0" shrinkToFit="0" vertical="center" wrapText="1"/>
    </xf>
    <xf borderId="6" fillId="0" fontId="10" numFmtId="0" xfId="0" applyAlignment="1" applyBorder="1" applyFont="1">
      <alignment horizontal="center" shrinkToFit="0" vertical="center" wrapText="1"/>
    </xf>
    <xf borderId="7" fillId="0" fontId="10" numFmtId="0" xfId="0" applyAlignment="1" applyBorder="1" applyFont="1">
      <alignment shrinkToFit="0" vertical="center" wrapText="1"/>
    </xf>
    <xf borderId="0" fillId="0" fontId="9" numFmtId="0" xfId="0" applyAlignment="1" applyFont="1">
      <alignment readingOrder="0"/>
    </xf>
    <xf borderId="7" fillId="0" fontId="11" numFmtId="0" xfId="0" applyAlignment="1" applyBorder="1" applyFont="1">
      <alignment shrinkToFit="0" vertical="center" wrapText="1"/>
    </xf>
    <xf borderId="0" fillId="0" fontId="9" numFmtId="0" xfId="0" applyFont="1"/>
    <xf borderId="7" fillId="0" fontId="12" numFmtId="0" xfId="0" applyAlignment="1" applyBorder="1" applyFont="1">
      <alignment horizontal="center" shrinkToFit="0" vertical="center" wrapText="1"/>
    </xf>
    <xf borderId="7" fillId="0" fontId="12" numFmtId="0" xfId="0" applyAlignment="1" applyBorder="1" applyFont="1">
      <alignment horizontal="center" readingOrder="0" shrinkToFit="0" vertical="center" wrapText="1"/>
    </xf>
    <xf borderId="8" fillId="0" fontId="13" numFmtId="0" xfId="0" applyAlignment="1" applyBorder="1" applyFont="1">
      <alignment shrinkToFit="0" vertical="center" wrapText="1"/>
    </xf>
    <xf borderId="0" fillId="0" fontId="14" numFmtId="0" xfId="0" applyFont="1"/>
    <xf borderId="0" fillId="0" fontId="14" numFmtId="0" xfId="0" applyAlignment="1" applyFont="1">
      <alignment readingOrder="0"/>
    </xf>
    <xf borderId="2" fillId="5" fontId="6" numFmtId="0" xfId="0" applyAlignment="1" applyBorder="1" applyFill="1" applyFont="1">
      <alignment shrinkToFit="0" vertical="center" wrapText="0"/>
    </xf>
    <xf borderId="6" fillId="0" fontId="10" numFmtId="0" xfId="0" applyAlignment="1" applyBorder="1" applyFont="1">
      <alignment horizontal="center" readingOrder="0" shrinkToFit="0" vertical="center" wrapText="1"/>
    </xf>
    <xf borderId="7" fillId="0" fontId="11" numFmtId="0" xfId="0" applyAlignment="1" applyBorder="1" applyFont="1">
      <alignment readingOrder="0" shrinkToFit="0" vertical="center" wrapText="1"/>
    </xf>
    <xf borderId="7" fillId="0" fontId="10" numFmtId="0" xfId="0" applyAlignment="1" applyBorder="1" applyFont="1">
      <alignment readingOrder="0" shrinkToFit="0" vertical="center" wrapText="1"/>
    </xf>
    <xf borderId="7" fillId="0" fontId="15" numFmtId="0" xfId="0" applyAlignment="1" applyBorder="1" applyFont="1">
      <alignment horizontal="center" readingOrder="0" shrinkToFit="0" vertical="center" wrapText="1"/>
    </xf>
    <xf borderId="7" fillId="0" fontId="15" numFmtId="0" xfId="0" applyAlignment="1" applyBorder="1" applyFont="1">
      <alignment horizontal="center" shrinkToFit="0" vertical="center" wrapText="1"/>
    </xf>
    <xf borderId="8" fillId="0" fontId="15" numFmtId="0" xfId="0" applyAlignment="1" applyBorder="1" applyFont="1">
      <alignment horizontal="center" shrinkToFit="0" vertical="center" wrapText="1"/>
    </xf>
    <xf borderId="8" fillId="0" fontId="16" numFmtId="0" xfId="0" applyAlignment="1" applyBorder="1" applyFont="1">
      <alignment horizontal="left" shrinkToFit="0" vertical="center" wrapText="1"/>
    </xf>
    <xf borderId="8" fillId="0" fontId="10" numFmtId="0" xfId="0" applyAlignment="1" applyBorder="1" applyFont="1">
      <alignment shrinkToFit="0" vertical="center" wrapText="1"/>
    </xf>
    <xf borderId="0" fillId="5" fontId="17" numFmtId="0" xfId="0" applyAlignment="1" applyFill="1" applyFont="1">
      <alignment horizontal="center" shrinkToFit="0" vertical="center" wrapText="0"/>
    </xf>
    <xf borderId="0" fillId="5" fontId="17" numFmtId="0" xfId="0" applyAlignment="1" applyFill="1" applyFont="1">
      <alignment shrinkToFit="0" vertical="center" wrapText="0"/>
    </xf>
    <xf borderId="0" fillId="5" fontId="17" numFmtId="0" xfId="0" applyAlignment="1" applyFill="1" applyFont="1">
      <alignment readingOrder="0" shrinkToFit="0" vertical="center" wrapText="0"/>
    </xf>
    <xf borderId="0" fillId="5" fontId="17" numFmtId="0" xfId="0" applyAlignment="1" applyFill="1" applyFont="1">
      <alignment horizontal="center" readingOrder="0" shrinkToFit="0" vertical="center" wrapText="0"/>
    </xf>
    <xf borderId="0" fillId="5" fontId="17" numFmtId="0" xfId="0" applyAlignment="1" applyFill="1" applyFont="1">
      <alignment readingOrder="0" shrinkToFit="0" vertical="center" wrapText="1"/>
    </xf>
    <xf borderId="7" fillId="0" fontId="18" numFmtId="0" xfId="0" applyAlignment="1" applyBorder="1" applyFont="1">
      <alignment shrinkToFit="0" vertical="center" wrapText="1"/>
    </xf>
    <xf borderId="8" fillId="0" fontId="13" numFmtId="0" xfId="0" applyAlignment="1" applyBorder="1" applyFont="1">
      <alignment readingOrder="0" shrinkToFit="0" vertical="center" wrapText="1"/>
    </xf>
    <xf borderId="0" fillId="0" fontId="14" numFmtId="0" xfId="0" applyAlignment="1" applyFont="1">
      <alignment horizontal="center" readingOrder="0"/>
    </xf>
    <xf borderId="0" fillId="0" fontId="14" numFmtId="0" xfId="0" applyAlignment="1" applyFont="1">
      <alignment readingOrder="0"/>
    </xf>
    <xf borderId="0" fillId="0" fontId="19" numFmtId="0" xfId="0" applyAlignment="1" applyFont="1">
      <alignment readingOrder="0"/>
    </xf>
    <xf borderId="0" fillId="0" fontId="14" numFmtId="0" xfId="0" applyAlignment="1" applyFont="1">
      <alignment horizontal="center"/>
    </xf>
    <xf borderId="0" fillId="0" fontId="20" numFmtId="0" xfId="0" applyAlignment="1" applyFont="1">
      <alignment horizontal="center" readingOrder="0"/>
    </xf>
    <xf borderId="0" fillId="0" fontId="20" numFmtId="0" xfId="0" applyAlignment="1" applyFont="1">
      <alignment horizontal="center"/>
    </xf>
    <xf borderId="0" fillId="0" fontId="17" numFmtId="0" xfId="0" applyAlignment="1" applyFont="1">
      <alignment shrinkToFit="0" vertical="top" wrapText="1"/>
    </xf>
    <xf borderId="0" fillId="0" fontId="17" numFmtId="0" xfId="0" applyAlignment="1" applyFont="1">
      <alignment horizontal="center" readingOrder="0" shrinkToFit="0" vertical="top" wrapText="1"/>
    </xf>
    <xf borderId="0" fillId="0" fontId="21" numFmtId="0" xfId="0" applyAlignment="1" applyFont="1">
      <alignment readingOrder="0" shrinkToFit="0" vertical="center" wrapText="1"/>
    </xf>
    <xf borderId="0" fillId="0" fontId="17" numFmtId="0" xfId="0" applyAlignment="1" applyFont="1">
      <alignment readingOrder="0" shrinkToFit="0" vertical="center" wrapText="1"/>
    </xf>
    <xf borderId="0" fillId="0" fontId="17" numFmtId="0" xfId="0" applyAlignment="1" applyFont="1">
      <alignment readingOrder="0" shrinkToFit="0" vertical="top" wrapText="1"/>
    </xf>
    <xf borderId="0" fillId="5" fontId="17" numFmtId="0" xfId="0" applyAlignment="1" applyFill="1" applyFont="1">
      <alignment readingOrder="0" shrinkToFit="0" vertical="center" wrapText="1"/>
    </xf>
    <xf borderId="0" fillId="0" fontId="14" numFmtId="0" xfId="0" applyAlignment="1" applyFont="1">
      <alignment shrinkToFit="0" wrapText="1"/>
    </xf>
    <xf borderId="0" fillId="2" fontId="22" numFmtId="0" xfId="0" applyAlignment="1" applyFill="1" applyFont="1">
      <alignment readingOrder="0"/>
    </xf>
    <xf borderId="0" fillId="2" fontId="22" numFmtId="0" xfId="0" applyFill="1" applyFont="1"/>
    <xf borderId="0" fillId="2" fontId="22" numFmtId="0" xfId="0" applyAlignment="1" applyFill="1" applyFont="1">
      <alignment readingOrder="0"/>
    </xf>
    <xf borderId="0" fillId="0" fontId="17" numFmtId="0" xfId="0" applyAlignment="1" applyFont="1">
      <alignment horizontal="center" shrinkToFit="0" vertical="top" wrapText="1"/>
    </xf>
    <xf borderId="0" fillId="0" fontId="17" numFmtId="0" xfId="0" applyAlignment="1" applyFont="1">
      <alignment shrinkToFit="0" vertical="center" wrapText="1"/>
    </xf>
    <xf borderId="2" fillId="5" fontId="23" numFmtId="0" xfId="0" applyAlignment="1" applyBorder="1" applyFill="1" applyFont="1">
      <alignment shrinkToFit="0" vertical="center" wrapText="0"/>
    </xf>
  </cellXfs>
  <cellStyles count="1">
    <cellStyle xfId="0" name="Normal" builtinId="0"/>
  </cellStyles>
  <dxfs count="20">
    <dxf>
      <font>
        <color rgb="FF991919"/>
      </font>
      <fill>
        <patternFill patternType="solid">
          <fgColor rgb="FFFFD8CC"/>
          <bgColor rgb="FFFFD8CC"/>
        </patternFill>
      </fill>
      <border/>
    </dxf>
    <dxf>
      <font>
        <color rgb="FF00663E"/>
      </font>
      <fill>
        <patternFill patternType="solid">
          <fgColor rgb="FFD3F9EA"/>
          <bgColor rgb="FFD3F9EA"/>
        </patternFill>
      </fill>
      <border/>
    </dxf>
    <dxf>
      <font/>
      <fill>
        <patternFill patternType="solid">
          <fgColor rgb="FFFFD8CC"/>
          <bgColor rgb="FFFFD8CC"/>
        </patternFill>
      </fill>
      <border/>
    </dxf>
    <dxf>
      <font/>
      <fill>
        <patternFill patternType="solid">
          <fgColor rgb="FFD4FAEA"/>
          <bgColor rgb="FFD4FAEA"/>
        </patternFill>
      </fill>
      <border/>
    </dxf>
    <dxf>
      <font>
        <b/>
      </font>
      <fill>
        <patternFill patternType="solid">
          <fgColor rgb="FFF9C67F"/>
          <bgColor rgb="FFF9C67F"/>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7EAD2"/>
          <bgColor rgb="FFD7EAD2"/>
        </patternFill>
      </fill>
      <border/>
    </dxf>
    <dxf>
      <font/>
      <fill>
        <patternFill patternType="solid">
          <fgColor rgb="FFCEE1F1"/>
          <bgColor rgb="FFCEE1F1"/>
        </patternFill>
      </fill>
      <border/>
    </dxf>
    <dxf>
      <font/>
      <fill>
        <patternFill patternType="solid">
          <fgColor rgb="FFFFF1CC"/>
          <bgColor rgb="FFFFF1CC"/>
        </patternFill>
      </fill>
      <border/>
    </dxf>
    <dxf>
      <font/>
      <fill>
        <patternFill patternType="solid">
          <fgColor rgb="FFCEE2F2"/>
          <bgColor rgb="FFCEE2F2"/>
        </patternFill>
      </fill>
      <border/>
    </dxf>
    <dxf>
      <font/>
      <fill>
        <patternFill patternType="solid">
          <fgColor rgb="FFD8EAD3"/>
          <bgColor rgb="FFD8EAD3"/>
        </patternFill>
      </fill>
      <border/>
    </dxf>
    <dxf>
      <font>
        <color rgb="FF002992"/>
      </font>
      <fill>
        <patternFill patternType="solid">
          <fgColor rgb="FF06EE9C"/>
          <bgColor rgb="FF06EE9C"/>
        </patternFill>
      </fill>
      <border/>
    </dxf>
    <dxf>
      <font>
        <color rgb="FF8C6600"/>
      </font>
      <fill>
        <patternFill patternType="solid">
          <fgColor rgb="FFFFF3C2"/>
          <bgColor rgb="FFFFF3C2"/>
        </patternFill>
      </fill>
      <border/>
    </dxf>
    <dxf>
      <font>
        <color rgb="FF002992"/>
      </font>
      <fill>
        <patternFill patternType="solid">
          <fgColor rgb="FFDCE7FC"/>
          <bgColor rgb="FFDCE7FC"/>
        </patternFill>
      </fill>
      <border/>
    </dxf>
    <dxf>
      <font>
        <color rgb="FF00663F"/>
      </font>
      <fill>
        <patternFill patternType="solid">
          <fgColor rgb="FFD4FAEA"/>
          <bgColor rgb="FFD4FAEA"/>
        </patternFill>
      </fill>
      <border/>
    </dxf>
    <dxf>
      <font/>
      <fill>
        <patternFill patternType="solid">
          <fgColor rgb="FFF3F3F6"/>
          <bgColor rgb="FFF3F3F6"/>
        </patternFill>
      </fill>
      <border/>
    </dxf>
    <dxf>
      <font/>
      <fill>
        <patternFill patternType="solid">
          <fgColor rgb="FFD6EAD2"/>
          <bgColor rgb="FFD6EAD2"/>
        </patternFill>
      </fill>
      <border/>
    </dxf>
    <dxf>
      <font>
        <b/>
      </font>
      <fill>
        <patternFill patternType="solid">
          <fgColor rgb="FFDCE7FB"/>
          <bgColor rgb="FFDCE7FB"/>
        </patternFill>
      </fill>
      <border/>
    </dxf>
    <dxf>
      <font>
        <color rgb="FF1154CC"/>
      </font>
      <fill>
        <patternFill patternType="solid">
          <fgColor rgb="FFEDF2FF"/>
          <bgColor rgb="FFEDF2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90" Type="http://schemas.openxmlformats.org/officeDocument/2006/relationships/hyperlink" Target="https://techcombank.com/thong-tin/blog/voucher-golden-gate" TargetMode="External"/><Relationship Id="rId194" Type="http://schemas.openxmlformats.org/officeDocument/2006/relationships/hyperlink" Target="https://techcombank.com/thong-tin/blog/may-tinh-tien" TargetMode="External"/><Relationship Id="rId193" Type="http://schemas.openxmlformats.org/officeDocument/2006/relationships/hyperlink" Target="https://techcombank.com/thong-tin/blog/ho-kinh-doanh-dong-thue-nhu-nao" TargetMode="External"/><Relationship Id="rId192" Type="http://schemas.openxmlformats.org/officeDocument/2006/relationships/hyperlink" Target="https://techcombank.com/thong-tin/blog/hoa-don-dien-tu-ho-kinh-doanh" TargetMode="External"/><Relationship Id="rId191" Type="http://schemas.openxmlformats.org/officeDocument/2006/relationships/hyperlink" Target="https://techcombank.com/thong-tin/blog/ho-kinh-doanh-dong-thue-nhu-nao" TargetMode="External"/><Relationship Id="rId187" Type="http://schemas.openxmlformats.org/officeDocument/2006/relationships/hyperlink" Target="https://techcombank.com/thong-tin/blog/traveloka-voucher" TargetMode="External"/><Relationship Id="rId186" Type="http://schemas.openxmlformats.org/officeDocument/2006/relationships/hyperlink" Target="https://techcombank.com/thong-tin/blog/dac-san-hai-phong" TargetMode="External"/><Relationship Id="rId185" Type="http://schemas.openxmlformats.org/officeDocument/2006/relationships/hyperlink" Target="https://techcombank.com/thong-tin/blog/traveloka-voucher" TargetMode="External"/><Relationship Id="rId184" Type="http://schemas.openxmlformats.org/officeDocument/2006/relationships/hyperlink" Target="https://techcombank.com/thong-tin/blog/chuong-trinh-khach-hang-than-thiet" TargetMode="External"/><Relationship Id="rId189" Type="http://schemas.openxmlformats.org/officeDocument/2006/relationships/hyperlink" Target="https://techcombank.com/thong-tin/blog/traveloka-voucher" TargetMode="External"/><Relationship Id="rId188" Type="http://schemas.openxmlformats.org/officeDocument/2006/relationships/hyperlink" Target="https://techcombank.com/thong-tin/blog/shang-chi" TargetMode="External"/><Relationship Id="rId183" Type="http://schemas.openxmlformats.org/officeDocument/2006/relationships/hyperlink" Target="https://techcombank.com/thong-tin/blog/traveloka-voucher" TargetMode="External"/><Relationship Id="rId182" Type="http://schemas.openxmlformats.org/officeDocument/2006/relationships/hyperlink" Target="https://techcombank.com/thong-tin/blog/tien-thai-lan" TargetMode="External"/><Relationship Id="rId181" Type="http://schemas.openxmlformats.org/officeDocument/2006/relationships/hyperlink" Target="https://techcombank.com/thong-tin/blog/cach-nhan-tien-tu-nuoc-ngoai-ve-viet-nam" TargetMode="External"/><Relationship Id="rId180" Type="http://schemas.openxmlformats.org/officeDocument/2006/relationships/hyperlink" Target="https://techcombank.com/thong-tin/blog/tien-malaysia" TargetMode="External"/><Relationship Id="rId176" Type="http://schemas.openxmlformats.org/officeDocument/2006/relationships/hyperlink" Target="https://techcombank.com/thong-tin/blog/ty-gia-la-gi" TargetMode="External"/><Relationship Id="rId297" Type="http://schemas.openxmlformats.org/officeDocument/2006/relationships/hyperlink" Target="https://techcombank.com/thong-tin/blog/rut-tien-tiet-kiem-truoc-thoi-han" TargetMode="External"/><Relationship Id="rId175" Type="http://schemas.openxmlformats.org/officeDocument/2006/relationships/hyperlink" Target="https://techcombank.com/thong-tin/blog/cach-nhan-tien-tu-nuoc-ngoai-ve-viet-nam" TargetMode="External"/><Relationship Id="rId296" Type="http://schemas.openxmlformats.org/officeDocument/2006/relationships/hyperlink" Target="https://techcombank.com/thong-tin/blog/cach-dau-tu" TargetMode="External"/><Relationship Id="rId174" Type="http://schemas.openxmlformats.org/officeDocument/2006/relationships/hyperlink" Target="https://techcombank.com/thong-tin/blog/ty-gia-hoi-doai-la-gi" TargetMode="External"/><Relationship Id="rId295" Type="http://schemas.openxmlformats.org/officeDocument/2006/relationships/hyperlink" Target="https://techcombank.com/thong-tin/blog/rut-tien-tiet-kiem-truoc-thoi-han" TargetMode="External"/><Relationship Id="rId173" Type="http://schemas.openxmlformats.org/officeDocument/2006/relationships/hyperlink" Target="https://techcombank.com/thong-tin/blog/cach-nhan-tien-tu-nuoc-ngoai-ve-viet-nam" TargetMode="External"/><Relationship Id="rId294" Type="http://schemas.openxmlformats.org/officeDocument/2006/relationships/hyperlink" Target="https://techcombank.com/thong-tin/blog/tai-san-va-tieu-san-la-gi" TargetMode="External"/><Relationship Id="rId179" Type="http://schemas.openxmlformats.org/officeDocument/2006/relationships/hyperlink" Target="https://techcombank.com/thong-tin/blog/cach-nhan-tien-tu-nuoc-ngoai-ve-viet-nam" TargetMode="External"/><Relationship Id="rId178" Type="http://schemas.openxmlformats.org/officeDocument/2006/relationships/hyperlink" Target="https://techcombank.com/thong-tin/blog/xu-huong-ty-gia-usd" TargetMode="External"/><Relationship Id="rId299" Type="http://schemas.openxmlformats.org/officeDocument/2006/relationships/hyperlink" Target="https://techcombank.com/thong-tin/blog/rut-tien-tiet-kiem-truoc-thoi-han" TargetMode="External"/><Relationship Id="rId177" Type="http://schemas.openxmlformats.org/officeDocument/2006/relationships/hyperlink" Target="https://techcombank.com/thong-tin/blog/cach-nhan-tien-tu-nuoc-ngoai-ve-viet-nam" TargetMode="External"/><Relationship Id="rId298" Type="http://schemas.openxmlformats.org/officeDocument/2006/relationships/hyperlink" Target="https://techcombank.com/thong-tin/blog/tai-khoan-ngan-hang-chua-toi-da-bao-nhieu-tien" TargetMode="External"/><Relationship Id="rId198" Type="http://schemas.openxmlformats.org/officeDocument/2006/relationships/hyperlink" Target="https://techcombank.com/thong-tin/blog/top-phan-mem-ban-hang" TargetMode="External"/><Relationship Id="rId197" Type="http://schemas.openxmlformats.org/officeDocument/2006/relationships/hyperlink" Target="https://techcombank.com/thong-tin/blog/ho-kinh-doanh-dong-thue-nhu-nao" TargetMode="External"/><Relationship Id="rId196" Type="http://schemas.openxmlformats.org/officeDocument/2006/relationships/hyperlink" Target="https://techcombank.com/thong-tin/blog/phan-mem-xuat-hoa-don-dien-tu" TargetMode="External"/><Relationship Id="rId195" Type="http://schemas.openxmlformats.org/officeDocument/2006/relationships/hyperlink" Target="https://techcombank.com/thong-tin/blog/ho-kinh-doanh-dong-thue-nhu-nao" TargetMode="External"/><Relationship Id="rId199" Type="http://schemas.openxmlformats.org/officeDocument/2006/relationships/hyperlink" Target="https://techcombank.com/thong-tin/blog/ho-kinh-doanh-dong-thue-nhu-nao" TargetMode="External"/><Relationship Id="rId150" Type="http://schemas.openxmlformats.org/officeDocument/2006/relationships/hyperlink" Target="https://techcombank.com/thong-tin/blog/cach-tinh-ty-gia-ky-han" TargetMode="External"/><Relationship Id="rId271" Type="http://schemas.openxmlformats.org/officeDocument/2006/relationships/hyperlink" Target="https://techcombank.com/thong-tin/blog/cach-tinh-lai-suat-tien-gui-tiet-kiem" TargetMode="External"/><Relationship Id="rId392" Type="http://schemas.openxmlformats.org/officeDocument/2006/relationships/hyperlink" Target="https://techcombank.com/thong-tin/blog/lam-the-visa-o-dau" TargetMode="External"/><Relationship Id="rId270" Type="http://schemas.openxmlformats.org/officeDocument/2006/relationships/hyperlink" Target="https://techcombank.com/thong-tin/blog/dac-quyen-khach-hang-vip-ngan-hang" TargetMode="External"/><Relationship Id="rId391" Type="http://schemas.openxmlformats.org/officeDocument/2006/relationships/hyperlink" Target="https://techcombank.com/thong-tin/blog/vay-thau-chi-la-gi" TargetMode="External"/><Relationship Id="rId390" Type="http://schemas.openxmlformats.org/officeDocument/2006/relationships/hyperlink" Target="https://techcombank.com/thong-tin/blog/gui-them-tien-vao-so-tiet-kiem" TargetMode="External"/><Relationship Id="rId1" Type="http://schemas.openxmlformats.org/officeDocument/2006/relationships/hyperlink" Target="https://techcombank.com/thong-tin/blog/cach-nop-thue-dien-tu" TargetMode="External"/><Relationship Id="rId2" Type="http://schemas.openxmlformats.org/officeDocument/2006/relationships/hyperlink" Target="https://techcombank.com/thong-tin/blog/ho-kinh-doanh-la-gi" TargetMode="External"/><Relationship Id="rId3" Type="http://schemas.openxmlformats.org/officeDocument/2006/relationships/hyperlink" Target="https://techcombank.com/thong-tin/blog/thue-thu-nhap-doanh-nghiep" TargetMode="External"/><Relationship Id="rId149" Type="http://schemas.openxmlformats.org/officeDocument/2006/relationships/hyperlink" Target="https://techcombank.com/thong-tin/blog/1-te-bang-bao-nhieu-tien-viet-nam" TargetMode="External"/><Relationship Id="rId4" Type="http://schemas.openxmlformats.org/officeDocument/2006/relationships/hyperlink" Target="https://techcombank.com/thong-tin/blog/chuan-bi-cho-doanh-nghiep-khoi-nghiep-truoc-nhung-thay-doi-ve-thue" TargetMode="External"/><Relationship Id="rId148" Type="http://schemas.openxmlformats.org/officeDocument/2006/relationships/hyperlink" Target="https://techcombank.com/thong-tin/blog/thanh-toan-bang-the-quoc-te" TargetMode="External"/><Relationship Id="rId269" Type="http://schemas.openxmlformats.org/officeDocument/2006/relationships/hyperlink" Target="https://techcombank.com/thong-tin/blog/cach-tinh-lai-suat-tien-gui-tiet-kiem" TargetMode="External"/><Relationship Id="rId9" Type="http://schemas.openxmlformats.org/officeDocument/2006/relationships/hyperlink" Target="https://techcombank.com/thong-tin/blog/thue-doanh-nghiep" TargetMode="External"/><Relationship Id="rId143" Type="http://schemas.openxmlformats.org/officeDocument/2006/relationships/hyperlink" Target="https://techcombank.com/thong-tin/blog/1-te-bang-bao-nhieu-tien-viet-nam" TargetMode="External"/><Relationship Id="rId264" Type="http://schemas.openxmlformats.org/officeDocument/2006/relationships/hyperlink" Target="https://techcombank.com/thong-tin/blog/chung-chi-quy" TargetMode="External"/><Relationship Id="rId385" Type="http://schemas.openxmlformats.org/officeDocument/2006/relationships/hyperlink" Target="https://techcombank.com/thong-tin/blog/lai-suat-vay-ngan-hang" TargetMode="External"/><Relationship Id="rId142" Type="http://schemas.openxmlformats.org/officeDocument/2006/relationships/hyperlink" Target="https://techcombank.com/thong-tin/blog/tinh-thanh-khoan-la-gi" TargetMode="External"/><Relationship Id="rId263" Type="http://schemas.openxmlformats.org/officeDocument/2006/relationships/hyperlink" Target="https://techcombank.com/thong-tin/blog/cach-tinh-lai-suat-tien-gui-tiet-kiem" TargetMode="External"/><Relationship Id="rId384" Type="http://schemas.openxmlformats.org/officeDocument/2006/relationships/hyperlink" Target="https://techcombank.com/thong-tin/blog/dac-quyen-khach-hang-vip-ngan-hang" TargetMode="External"/><Relationship Id="rId141" Type="http://schemas.openxmlformats.org/officeDocument/2006/relationships/hyperlink" Target="https://techcombank.com/thong-tin/blog/lai-suat-chung-chi-tien-gui-cac-ngan-hang" TargetMode="External"/><Relationship Id="rId262" Type="http://schemas.openxmlformats.org/officeDocument/2006/relationships/hyperlink" Target="https://techcombank.com/thong-tin/blog/5-trieu-mua-duoc-bao-nhieu-vang" TargetMode="External"/><Relationship Id="rId383" Type="http://schemas.openxmlformats.org/officeDocument/2006/relationships/hyperlink" Target="https://techcombank.com/thong-tin/blog/lai-suat-vay-ngan-hang" TargetMode="External"/><Relationship Id="rId140" Type="http://schemas.openxmlformats.org/officeDocument/2006/relationships/hyperlink" Target="https://techcombank.com/thong-tin/blog/esg" TargetMode="External"/><Relationship Id="rId261" Type="http://schemas.openxmlformats.org/officeDocument/2006/relationships/hyperlink" Target="https://techcombank.com/thong-tin/blog/cach-tinh-lai-suat-tien-gui-tiet-kiem" TargetMode="External"/><Relationship Id="rId382" Type="http://schemas.openxmlformats.org/officeDocument/2006/relationships/hyperlink" Target="https://techcombank.com/thong-tin/blog/thanh-ly-tai-san" TargetMode="External"/><Relationship Id="rId5" Type="http://schemas.openxmlformats.org/officeDocument/2006/relationships/hyperlink" Target="https://techcombank.com/thong-tin/blog/thue-thu-nhap-doanh-nghiep" TargetMode="External"/><Relationship Id="rId147" Type="http://schemas.openxmlformats.org/officeDocument/2006/relationships/hyperlink" Target="https://techcombank.com/thong-tin/blog/1-te-bang-bao-nhieu-tien-viet-nam" TargetMode="External"/><Relationship Id="rId268" Type="http://schemas.openxmlformats.org/officeDocument/2006/relationships/hyperlink" Target="https://techcombank.com/thong-tin/blog/tai-khoan-ngan-hang-chua-toi-da-bao-nhieu-tien" TargetMode="External"/><Relationship Id="rId389" Type="http://schemas.openxmlformats.org/officeDocument/2006/relationships/hyperlink" Target="https://techcombank.com/thong-tin/blog/vay-thau-chi-la-gi" TargetMode="External"/><Relationship Id="rId6" Type="http://schemas.openxmlformats.org/officeDocument/2006/relationships/hyperlink" Target="https://techcombank.com/thong-tin/blog/cach-quan-ly-tai-chinh-kinh-doanh" TargetMode="External"/><Relationship Id="rId146" Type="http://schemas.openxmlformats.org/officeDocument/2006/relationships/hyperlink" Target="https://techcombank.com/thong-tin/blog/1-trieu-won-bang-bao-nhieu-tien-viet" TargetMode="External"/><Relationship Id="rId267" Type="http://schemas.openxmlformats.org/officeDocument/2006/relationships/hyperlink" Target="https://techcombank.com/thong-tin/blog/cach-tinh-lai-suat-tien-gui-tiet-kiem" TargetMode="External"/><Relationship Id="rId388" Type="http://schemas.openxmlformats.org/officeDocument/2006/relationships/hyperlink" Target="https://techcombank.com/thong-tin/blog/thanh-toan-online-bang-the-tin-dung" TargetMode="External"/><Relationship Id="rId7" Type="http://schemas.openxmlformats.org/officeDocument/2006/relationships/hyperlink" Target="https://techcombank.com/thong-tin/blog/thue-thu-nhap-doanh-nghiep" TargetMode="External"/><Relationship Id="rId145" Type="http://schemas.openxmlformats.org/officeDocument/2006/relationships/hyperlink" Target="https://techcombank.com/thong-tin/blog/1-te-bang-bao-nhieu-tien-viet-nam" TargetMode="External"/><Relationship Id="rId266" Type="http://schemas.openxmlformats.org/officeDocument/2006/relationships/hyperlink" Target="https://techcombank.com/thong-tin/blog/lam-phat-la-gi" TargetMode="External"/><Relationship Id="rId387" Type="http://schemas.openxmlformats.org/officeDocument/2006/relationships/hyperlink" Target="https://techcombank.com/thong-tin/blog/lai-suat-vay-ngan-hang" TargetMode="External"/><Relationship Id="rId8" Type="http://schemas.openxmlformats.org/officeDocument/2006/relationships/hyperlink" Target="https://techcombank.com/thong-tin/blog/cong-ty-xuat-nhap-khau" TargetMode="External"/><Relationship Id="rId144" Type="http://schemas.openxmlformats.org/officeDocument/2006/relationships/hyperlink" Target="https://techcombank.com/thong-tin/blog/1-euro-bang-bao-nhieu-tien-viet" TargetMode="External"/><Relationship Id="rId265" Type="http://schemas.openxmlformats.org/officeDocument/2006/relationships/hyperlink" Target="https://techcombank.com/thong-tin/blog/cach-tinh-lai-suat-tien-gui-tiet-kiem" TargetMode="External"/><Relationship Id="rId386" Type="http://schemas.openxmlformats.org/officeDocument/2006/relationships/hyperlink" Target="https://techcombank.com/thong-tin/blog/loyalty-la-gi" TargetMode="External"/><Relationship Id="rId260" Type="http://schemas.openxmlformats.org/officeDocument/2006/relationships/hyperlink" Target="https://techcombank.com/thong-tin/blog/dau-co-va-dau-tu" TargetMode="External"/><Relationship Id="rId381" Type="http://schemas.openxmlformats.org/officeDocument/2006/relationships/hyperlink" Target="https://techcombank.com/thong-tin/blog/lai-suat-vay-ngan-hang" TargetMode="External"/><Relationship Id="rId380" Type="http://schemas.openxmlformats.org/officeDocument/2006/relationships/hyperlink" Target="https://techcombank.com/thong-tin/blog/san-pham-xanh" TargetMode="External"/><Relationship Id="rId139" Type="http://schemas.openxmlformats.org/officeDocument/2006/relationships/hyperlink" Target="https://techcombank.com/thong-tin/blog/lai-suat-chung-chi-tien-gui-cac-ngan-hang" TargetMode="External"/><Relationship Id="rId138" Type="http://schemas.openxmlformats.org/officeDocument/2006/relationships/hyperlink" Target="https://techcombank.com/thong-tin/blog/hoc-sinh-sinh-vien-nen-lam-the-ngan-hang-nao" TargetMode="External"/><Relationship Id="rId259" Type="http://schemas.openxmlformats.org/officeDocument/2006/relationships/hyperlink" Target="https://techcombank.com/thong-tin/blog/cach-tinh-lai-suat-tien-gui-tiet-kiem" TargetMode="External"/><Relationship Id="rId137" Type="http://schemas.openxmlformats.org/officeDocument/2006/relationships/hyperlink" Target="https://techcombank.com/thong-tin/blog/lai-suat-chung-chi-tien-gui-cac-ngan-hang" TargetMode="External"/><Relationship Id="rId258" Type="http://schemas.openxmlformats.org/officeDocument/2006/relationships/hyperlink" Target="https://techcombank.com/thong-tin/blog/cach-tinh-loi-nhuan-chung-chi-tien-gui" TargetMode="External"/><Relationship Id="rId379" Type="http://schemas.openxmlformats.org/officeDocument/2006/relationships/hyperlink" Target="https://techcombank.com/thong-tin/blog/lai-suat-vay-ngan-hang" TargetMode="External"/><Relationship Id="rId132" Type="http://schemas.openxmlformats.org/officeDocument/2006/relationships/hyperlink" Target="https://techcombank.com/thong-tin/blog/app-ngan-hang" TargetMode="External"/><Relationship Id="rId253" Type="http://schemas.openxmlformats.org/officeDocument/2006/relationships/hyperlink" Target="https://techcombank.com/thong-tin/blog/lai-suat-tiet-kiem" TargetMode="External"/><Relationship Id="rId374" Type="http://schemas.openxmlformats.org/officeDocument/2006/relationships/hyperlink" Target="https://techcombank.com/thong-tin/blog/cho-vay-hop-von-la-gi" TargetMode="External"/><Relationship Id="rId131" Type="http://schemas.openxmlformats.org/officeDocument/2006/relationships/hyperlink" Target="https://techcombank.com/thong-tin/blog/chung-chi-tien-gui-la-gi" TargetMode="External"/><Relationship Id="rId252" Type="http://schemas.openxmlformats.org/officeDocument/2006/relationships/hyperlink" Target="https://techcombank.com/thong-tin/blog/so-du-tien-gui-la-gi" TargetMode="External"/><Relationship Id="rId373" Type="http://schemas.openxmlformats.org/officeDocument/2006/relationships/hyperlink" Target="https://techcombank.com/thong-tin/blog/lai-suat-vay-ngan-hang" TargetMode="External"/><Relationship Id="rId130" Type="http://schemas.openxmlformats.org/officeDocument/2006/relationships/hyperlink" Target="https://techcombank.com/thong-tin/blog/ca-nhan-hoa" TargetMode="External"/><Relationship Id="rId251" Type="http://schemas.openxmlformats.org/officeDocument/2006/relationships/hyperlink" Target="https://techcombank.com/thong-tin/blog/lai-suat-tiet-kiem" TargetMode="External"/><Relationship Id="rId372" Type="http://schemas.openxmlformats.org/officeDocument/2006/relationships/hyperlink" Target="https://techcombank.com/thong-tin/blog/app-ngan-hang" TargetMode="External"/><Relationship Id="rId250" Type="http://schemas.openxmlformats.org/officeDocument/2006/relationships/hyperlink" Target="https://techcombank.com/thong-tin/blog/gia-vang-16k-hom-nay" TargetMode="External"/><Relationship Id="rId371" Type="http://schemas.openxmlformats.org/officeDocument/2006/relationships/hyperlink" Target="https://techcombank.com/thong-tin/blog/lai-suat-vay-ngan-hang" TargetMode="External"/><Relationship Id="rId136" Type="http://schemas.openxmlformats.org/officeDocument/2006/relationships/hyperlink" Target="https://techcombank.com/thong-tin/blog/quan-ly-tai-chinh-doanh-nghiep-la-gi" TargetMode="External"/><Relationship Id="rId257" Type="http://schemas.openxmlformats.org/officeDocument/2006/relationships/hyperlink" Target="https://techcombank.com/thong-tin/blog/cach-tinh-lai-suat-tien-gui-tiet-kiem" TargetMode="External"/><Relationship Id="rId378" Type="http://schemas.openxmlformats.org/officeDocument/2006/relationships/hyperlink" Target="https://techcombank.com/thong-tin/blog/pos" TargetMode="External"/><Relationship Id="rId135" Type="http://schemas.openxmlformats.org/officeDocument/2006/relationships/hyperlink" Target="https://techcombank.com/thong-tin/blog/lai-suat-chung-chi-tien-gui-cac-ngan-hang" TargetMode="External"/><Relationship Id="rId256" Type="http://schemas.openxmlformats.org/officeDocument/2006/relationships/hyperlink" Target="https://techcombank.com/thong-tin/blog/so-du-tien-gui-la-gi" TargetMode="External"/><Relationship Id="rId377" Type="http://schemas.openxmlformats.org/officeDocument/2006/relationships/hyperlink" Target="https://techcombank.com/thong-tin/blog/lai-suat-vay-ngan-hang" TargetMode="External"/><Relationship Id="rId134" Type="http://schemas.openxmlformats.org/officeDocument/2006/relationships/hyperlink" Target="https://techcombank.com/thong-tin/blog/cach-quan-ly-tai-san" TargetMode="External"/><Relationship Id="rId255" Type="http://schemas.openxmlformats.org/officeDocument/2006/relationships/hyperlink" Target="https://techcombank.com/thong-tin/blog/cach-tinh-lai-suat-tien-gui-tiet-kiem" TargetMode="External"/><Relationship Id="rId376" Type="http://schemas.openxmlformats.org/officeDocument/2006/relationships/hyperlink" Target="https://techcombank.com/thong-tin/blog/khach-hang-vip-bat-dong-san" TargetMode="External"/><Relationship Id="rId133" Type="http://schemas.openxmlformats.org/officeDocument/2006/relationships/hyperlink" Target="https://techcombank.com/thong-tin/blog/lai-suat-chung-chi-tien-gui-cac-ngan-hang" TargetMode="External"/><Relationship Id="rId254" Type="http://schemas.openxmlformats.org/officeDocument/2006/relationships/hyperlink" Target="https://techcombank.com/thong-tin/blog/thanh-toan-online-bang-the-tin-dung" TargetMode="External"/><Relationship Id="rId375" Type="http://schemas.openxmlformats.org/officeDocument/2006/relationships/hyperlink" Target="https://techcombank.com/thong-tin/blog/lai-suat-vay-ngan-hang" TargetMode="External"/><Relationship Id="rId172" Type="http://schemas.openxmlformats.org/officeDocument/2006/relationships/hyperlink" Target="https://techcombank.com/thong-tin/blog/phi-chuyen-doi-ngoai-te" TargetMode="External"/><Relationship Id="rId293" Type="http://schemas.openxmlformats.org/officeDocument/2006/relationships/hyperlink" Target="https://techcombank.com/thong-tin/blog/cach-tinh-lai-suat-tien-gui-tiet-kiem" TargetMode="External"/><Relationship Id="rId171" Type="http://schemas.openxmlformats.org/officeDocument/2006/relationships/hyperlink" Target="https://techcombank.com/thong-tin/blog/1-trieu-do-bang-bao-nhieu-tien-viet" TargetMode="External"/><Relationship Id="rId292" Type="http://schemas.openxmlformats.org/officeDocument/2006/relationships/hyperlink" Target="https://techcombank.com/thong-tin/blog/quy-gia-dinh" TargetMode="External"/><Relationship Id="rId170" Type="http://schemas.openxmlformats.org/officeDocument/2006/relationships/hyperlink" Target="https://techcombank.com/thong-tin/blog/kieu-hoi-la-gi" TargetMode="External"/><Relationship Id="rId291" Type="http://schemas.openxmlformats.org/officeDocument/2006/relationships/hyperlink" Target="https://techcombank.com/thong-tin/blog/cach-tinh-lai-suat-tien-gui-tiet-kiem" TargetMode="External"/><Relationship Id="rId290" Type="http://schemas.openxmlformats.org/officeDocument/2006/relationships/hyperlink" Target="https://techcombank.com/thong-tin/blog/nguyen-tac-quan-ly-tai-chinh-ca-nhan" TargetMode="External"/><Relationship Id="rId165" Type="http://schemas.openxmlformats.org/officeDocument/2006/relationships/hyperlink" Target="https://techcombank.com/thong-tin/blog/1-trieu-do-bang-bao-nhieu-tien-viet" TargetMode="External"/><Relationship Id="rId286" Type="http://schemas.openxmlformats.org/officeDocument/2006/relationships/hyperlink" Target="https://techcombank.com/thong-tin/blog/loyalty-la-gi" TargetMode="External"/><Relationship Id="rId164" Type="http://schemas.openxmlformats.org/officeDocument/2006/relationships/hyperlink" Target="https://techcombank.com/thong-tin/blog/dinh-cu-chau-au" TargetMode="External"/><Relationship Id="rId285" Type="http://schemas.openxmlformats.org/officeDocument/2006/relationships/hyperlink" Target="https://techcombank.com/thong-tin/blog/cach-tinh-lai-suat-tien-gui-tiet-kiem" TargetMode="External"/><Relationship Id="rId163" Type="http://schemas.openxmlformats.org/officeDocument/2006/relationships/hyperlink" Target="https://techcombank.com/thong-tin/blog/1-trieu-do-bang-bao-nhieu-tien-viet" TargetMode="External"/><Relationship Id="rId284" Type="http://schemas.openxmlformats.org/officeDocument/2006/relationships/hyperlink" Target="https://techcombank.com/thong-tin/blog/cam-nang-dinh-cu-my" TargetMode="External"/><Relationship Id="rId162" Type="http://schemas.openxmlformats.org/officeDocument/2006/relationships/hyperlink" Target="https://techcombank.com/thong-tin/blog/dieu-kien-mua-usd-tu-ngan-hang" TargetMode="External"/><Relationship Id="rId283" Type="http://schemas.openxmlformats.org/officeDocument/2006/relationships/hyperlink" Target="https://techcombank.com/thong-tin/blog/cach-tinh-lai-suat-tien-gui-tiet-kiem" TargetMode="External"/><Relationship Id="rId169" Type="http://schemas.openxmlformats.org/officeDocument/2006/relationships/hyperlink" Target="https://techcombank.com/thong-tin/blog/1-trieu-do-bang-bao-nhieu-tien-viet" TargetMode="External"/><Relationship Id="rId168" Type="http://schemas.openxmlformats.org/officeDocument/2006/relationships/hyperlink" Target="https://techcombank.com/thong-tin/blog/gia-ca-phe-hom-nay" TargetMode="External"/><Relationship Id="rId289" Type="http://schemas.openxmlformats.org/officeDocument/2006/relationships/hyperlink" Target="https://techcombank.com/thong-tin/blog/cach-tinh-lai-suat-tien-gui-tiet-kiem" TargetMode="External"/><Relationship Id="rId167" Type="http://schemas.openxmlformats.org/officeDocument/2006/relationships/hyperlink" Target="https://techcombank.com/thong-tin/blog/1-trieu-do-bang-bao-nhieu-tien-viet" TargetMode="External"/><Relationship Id="rId288" Type="http://schemas.openxmlformats.org/officeDocument/2006/relationships/hyperlink" Target="https://techcombank.com/thong-tin/blog/mua-chung-chi-quy" TargetMode="External"/><Relationship Id="rId166" Type="http://schemas.openxmlformats.org/officeDocument/2006/relationships/hyperlink" Target="https://techcombank.com/thong-tin/blog/du-bao-gia-vang" TargetMode="External"/><Relationship Id="rId287" Type="http://schemas.openxmlformats.org/officeDocument/2006/relationships/hyperlink" Target="https://techcombank.com/thong-tin/blog/cach-tinh-lai-suat-tien-gui-tiet-kiem" TargetMode="External"/><Relationship Id="rId161" Type="http://schemas.openxmlformats.org/officeDocument/2006/relationships/hyperlink" Target="https://techcombank.com/thong-tin/blog/1-trieu-do-bang-bao-nhieu-tien-viet" TargetMode="External"/><Relationship Id="rId282" Type="http://schemas.openxmlformats.org/officeDocument/2006/relationships/hyperlink" Target="https://techcombank.com/thong-tin/blog/sinh-loi-rinh-loc" TargetMode="External"/><Relationship Id="rId160" Type="http://schemas.openxmlformats.org/officeDocument/2006/relationships/hyperlink" Target="https://techcombank.com/thong-tin/blog/cach-tinh-gia-vang" TargetMode="External"/><Relationship Id="rId281" Type="http://schemas.openxmlformats.org/officeDocument/2006/relationships/hyperlink" Target="https://techcombank.com/thong-tin/blog/cach-tinh-lai-suat-tien-gui-tiet-kiem" TargetMode="External"/><Relationship Id="rId280" Type="http://schemas.openxmlformats.org/officeDocument/2006/relationships/hyperlink" Target="https://techcombank.com/thong-tin/blog/ly-do-ngan-hang-so-tro-thanh-cong-cu-tai-chinh-hang-dau-cua-gioi-tre" TargetMode="External"/><Relationship Id="rId159" Type="http://schemas.openxmlformats.org/officeDocument/2006/relationships/hyperlink" Target="https://techcombank.com/thong-tin/blog/1-trieu-do-bang-bao-nhieu-tien-viet" TargetMode="External"/><Relationship Id="rId154" Type="http://schemas.openxmlformats.org/officeDocument/2006/relationships/hyperlink" Target="https://techcombank.com/thong-tin/blog/1-chi-vang-bao-nhieu-tien" TargetMode="External"/><Relationship Id="rId275" Type="http://schemas.openxmlformats.org/officeDocument/2006/relationships/hyperlink" Target="https://techcombank.com/thong-tin/blog/cach-tinh-lai-suat-tien-gui-tiet-kiem" TargetMode="External"/><Relationship Id="rId396" Type="http://schemas.openxmlformats.org/officeDocument/2006/relationships/hyperlink" Target="https://techcombank.com/thong-tin/blog/vay-sieu-toc" TargetMode="External"/><Relationship Id="rId153" Type="http://schemas.openxmlformats.org/officeDocument/2006/relationships/hyperlink" Target="https://techcombank.com/thong-tin/blog/1-dong-do-la-my-bang-bao-nhieu-tien-viet-nam" TargetMode="External"/><Relationship Id="rId274" Type="http://schemas.openxmlformats.org/officeDocument/2006/relationships/hyperlink" Target="https://techcombank.com/thong-tin/blog/casa-la-gi" TargetMode="External"/><Relationship Id="rId395" Type="http://schemas.openxmlformats.org/officeDocument/2006/relationships/hyperlink" Target="https://techcombank.com/thong-tin/blog/vay-thau-chi-la-gi" TargetMode="External"/><Relationship Id="rId152" Type="http://schemas.openxmlformats.org/officeDocument/2006/relationships/hyperlink" Target="https://techcombank.com/thong-tin/blog/chuyen-tien-tro-cap-than-nhan-o-nuoc-ngoai" TargetMode="External"/><Relationship Id="rId273" Type="http://schemas.openxmlformats.org/officeDocument/2006/relationships/hyperlink" Target="https://techcombank.com/thong-tin/blog/cach-tinh-lai-suat-tien-gui-tiet-kiem" TargetMode="External"/><Relationship Id="rId394" Type="http://schemas.openxmlformats.org/officeDocument/2006/relationships/hyperlink" Target="https://techcombank.com/thong-tin/blog/quy-gia-dinh" TargetMode="External"/><Relationship Id="rId151" Type="http://schemas.openxmlformats.org/officeDocument/2006/relationships/hyperlink" Target="https://techcombank.com/thong-tin/blog/1-te-bang-bao-nhieu-tien-viet-nam" TargetMode="External"/><Relationship Id="rId272" Type="http://schemas.openxmlformats.org/officeDocument/2006/relationships/hyperlink" Target="https://techcombank.com/thong-tin/blog/cach-tinh-gia-vang" TargetMode="External"/><Relationship Id="rId393" Type="http://schemas.openxmlformats.org/officeDocument/2006/relationships/hyperlink" Target="https://techcombank.com/thong-tin/blog/vay-thau-chi-la-gi" TargetMode="External"/><Relationship Id="rId158" Type="http://schemas.openxmlformats.org/officeDocument/2006/relationships/hyperlink" Target="https://techcombank.com/thong-tin/blog/ty-gia-hoi-doai-la-gi" TargetMode="External"/><Relationship Id="rId279" Type="http://schemas.openxmlformats.org/officeDocument/2006/relationships/hyperlink" Target="https://techcombank.com/thong-tin/blog/cach-tinh-lai-suat-tien-gui-tiet-kiem" TargetMode="External"/><Relationship Id="rId157" Type="http://schemas.openxmlformats.org/officeDocument/2006/relationships/hyperlink" Target="https://techcombank.com/thong-tin/blog/1-dong-do-la-my-bang-bao-nhieu-tien-viet-nam" TargetMode="External"/><Relationship Id="rId278" Type="http://schemas.openxmlformats.org/officeDocument/2006/relationships/hyperlink" Target="https://techcombank.com/thong-tin/blog/kinh-nghiem-mua-vang-tich-tru" TargetMode="External"/><Relationship Id="rId399" Type="http://schemas.openxmlformats.org/officeDocument/2006/relationships/hyperlink" Target="https://techcombank.com/thong-tin/blog/vay-thau-chi-la-gi" TargetMode="External"/><Relationship Id="rId156" Type="http://schemas.openxmlformats.org/officeDocument/2006/relationships/hyperlink" Target="https://techcombank.com/thong-tin/blog/tien-lao" TargetMode="External"/><Relationship Id="rId277" Type="http://schemas.openxmlformats.org/officeDocument/2006/relationships/hyperlink" Target="https://techcombank.com/thong-tin/blog/cach-tinh-lai-suat-tien-gui-tiet-kiem" TargetMode="External"/><Relationship Id="rId398" Type="http://schemas.openxmlformats.org/officeDocument/2006/relationships/hyperlink" Target="https://techcombank.com/thong-tin/blog/ngan-hang-so" TargetMode="External"/><Relationship Id="rId155" Type="http://schemas.openxmlformats.org/officeDocument/2006/relationships/hyperlink" Target="https://techcombank.com/thong-tin/blog/1-dong-do-la-my-bang-bao-nhieu-tien-viet-nam" TargetMode="External"/><Relationship Id="rId276" Type="http://schemas.openxmlformats.org/officeDocument/2006/relationships/hyperlink" Target="https://techcombank.com/thong-tin/blog/gia-vang-16k-hom-nay" TargetMode="External"/><Relationship Id="rId397" Type="http://schemas.openxmlformats.org/officeDocument/2006/relationships/hyperlink" Target="https://techcombank.com/thong-tin/blog/vay-thau-chi-la-gi" TargetMode="External"/><Relationship Id="rId40" Type="http://schemas.openxmlformats.org/officeDocument/2006/relationships/hyperlink" Target="https://techcombank.com/thong-tin/blog/thue-vat-la-gi" TargetMode="External"/><Relationship Id="rId42" Type="http://schemas.openxmlformats.org/officeDocument/2006/relationships/hyperlink" Target="https://techcombank.com/thong-tin/blog/quy-dinh-ve-mua-ban-ngoai-te-cua-doanh-nghiep" TargetMode="External"/><Relationship Id="rId41" Type="http://schemas.openxmlformats.org/officeDocument/2006/relationships/hyperlink" Target="https://techcombank.com/thong-tin/blog/ngan-hang-uy-tin" TargetMode="External"/><Relationship Id="rId44" Type="http://schemas.openxmlformats.org/officeDocument/2006/relationships/hyperlink" Target="https://techcombank.com/thong-tin/blog/chuyen-tien-tro-cap-than-nhan-o-nuoc-ngoai" TargetMode="External"/><Relationship Id="rId43" Type="http://schemas.openxmlformats.org/officeDocument/2006/relationships/hyperlink" Target="https://techcombank.com/thong-tin/blog/ngan-hang-uy-tin" TargetMode="External"/><Relationship Id="rId46" Type="http://schemas.openxmlformats.org/officeDocument/2006/relationships/hyperlink" Target="https://techcombank.com/thong-tin/blog/nop-tien-mat-vao-tai-khoan-cong-ty" TargetMode="External"/><Relationship Id="rId45" Type="http://schemas.openxmlformats.org/officeDocument/2006/relationships/hyperlink" Target="https://techcombank.com/thong-tin/blog/ngan-hang-uy-tin" TargetMode="External"/><Relationship Id="rId48" Type="http://schemas.openxmlformats.org/officeDocument/2006/relationships/hyperlink" Target="https://techcombank.com/thong-tin/blog/quy-du-phong-tai-chinh-la-gi" TargetMode="External"/><Relationship Id="rId47" Type="http://schemas.openxmlformats.org/officeDocument/2006/relationships/hyperlink" Target="https://techcombank.com/thong-tin/blog/ngan-hang-uy-tin" TargetMode="External"/><Relationship Id="rId49" Type="http://schemas.openxmlformats.org/officeDocument/2006/relationships/hyperlink" Target="https://techcombank.com/thong-tin/blog/ngan-hang-uy-tin" TargetMode="External"/><Relationship Id="rId31" Type="http://schemas.openxmlformats.org/officeDocument/2006/relationships/hyperlink" Target="https://techcombank.com/thong-tin/blog/cach-tinh-thue-thu-nhap-ca-nhan-2025" TargetMode="External"/><Relationship Id="rId30" Type="http://schemas.openxmlformats.org/officeDocument/2006/relationships/hyperlink" Target="https://techcombank.com/thong-tin/blog/kinh-doanh-online" TargetMode="External"/><Relationship Id="rId33" Type="http://schemas.openxmlformats.org/officeDocument/2006/relationships/hyperlink" Target="https://techcombank.com/thong-tin/blog/cach-tinh-thue-thu-nhap-ca-nhan-2025" TargetMode="External"/><Relationship Id="rId32" Type="http://schemas.openxmlformats.org/officeDocument/2006/relationships/hyperlink" Target="https://techcombank.com/thong-tin/blog/ho-kinh-doanh-la-gi" TargetMode="External"/><Relationship Id="rId35" Type="http://schemas.openxmlformats.org/officeDocument/2006/relationships/hyperlink" Target="https://techcombank.com/thong-tin/blog/cach-tinh-thue-thu-nhap-ca-nhan-2025" TargetMode="External"/><Relationship Id="rId34" Type="http://schemas.openxmlformats.org/officeDocument/2006/relationships/hyperlink" Target="https://techcombank.com/thong-tin/blog/thue-doanh-nghiep" TargetMode="External"/><Relationship Id="rId37" Type="http://schemas.openxmlformats.org/officeDocument/2006/relationships/hyperlink" Target="https://techcombank.com/thong-tin/blog/cach-tinh-thue-thu-nhap-ca-nhan-2025" TargetMode="External"/><Relationship Id="rId36" Type="http://schemas.openxmlformats.org/officeDocument/2006/relationships/hyperlink" Target="https://techcombank.com/thong-tin/blog/cach-nhan-tien-tu-nuoc-ngoai-ve-viet-nam" TargetMode="External"/><Relationship Id="rId39" Type="http://schemas.openxmlformats.org/officeDocument/2006/relationships/hyperlink" Target="https://techcombank.com/thong-tin/blog/cach-tinh-thue-thu-nhap-ca-nhan-2025" TargetMode="External"/><Relationship Id="rId38" Type="http://schemas.openxmlformats.org/officeDocument/2006/relationships/hyperlink" Target="https://techcombank.com/thong-tin/blog/phat-cham-dang-ky-thue-ho-kinh-doanh" TargetMode="External"/><Relationship Id="rId20" Type="http://schemas.openxmlformats.org/officeDocument/2006/relationships/hyperlink" Target="https://techcombank.com/thong-tin/blog/mo-tai-khoan-ngan-hang-bang-so-dien-thoai" TargetMode="External"/><Relationship Id="rId22" Type="http://schemas.openxmlformats.org/officeDocument/2006/relationships/hyperlink" Target="https://techcombank.com/thong-tin/blog/app-mua-truoc-tra-sau" TargetMode="External"/><Relationship Id="rId21" Type="http://schemas.openxmlformats.org/officeDocument/2006/relationships/hyperlink" Target="https://techcombank.com/thong-tin/blog/cach-tinh-tien-dien-sinh-hoat" TargetMode="External"/><Relationship Id="rId24" Type="http://schemas.openxmlformats.org/officeDocument/2006/relationships/hyperlink" Target="https://techcombank.com/thong-tin/blog/app-ngan-hang" TargetMode="External"/><Relationship Id="rId23" Type="http://schemas.openxmlformats.org/officeDocument/2006/relationships/hyperlink" Target="https://techcombank.com/thong-tin/blog/cach-tinh-tien-dien-sinh-hoat" TargetMode="External"/><Relationship Id="rId409" Type="http://schemas.openxmlformats.org/officeDocument/2006/relationships/hyperlink" Target="https://techcombank.com/thong-tin/blog/vay-thau-chi-la-gi" TargetMode="External"/><Relationship Id="rId404" Type="http://schemas.openxmlformats.org/officeDocument/2006/relationships/hyperlink" Target="https://techcombank.com/thong-tin/blog/cam-ket-tin-dung" TargetMode="External"/><Relationship Id="rId403" Type="http://schemas.openxmlformats.org/officeDocument/2006/relationships/hyperlink" Target="https://techcombank.com/thong-tin/blog/vay-thau-chi-la-gi" TargetMode="External"/><Relationship Id="rId402" Type="http://schemas.openxmlformats.org/officeDocument/2006/relationships/hyperlink" Target="https://techcombank.com/thong-tin/blog/san-pham-xanh" TargetMode="External"/><Relationship Id="rId401" Type="http://schemas.openxmlformats.org/officeDocument/2006/relationships/hyperlink" Target="https://techcombank.com/thong-tin/blog/vay-thau-chi-la-gi" TargetMode="External"/><Relationship Id="rId408" Type="http://schemas.openxmlformats.org/officeDocument/2006/relationships/hyperlink" Target="https://techcombank.com/thong-tin/blog/ngan-hang-dien-tu" TargetMode="External"/><Relationship Id="rId407" Type="http://schemas.openxmlformats.org/officeDocument/2006/relationships/hyperlink" Target="https://techcombank.com/thong-tin/blog/vay-thau-chi-la-gi" TargetMode="External"/><Relationship Id="rId406" Type="http://schemas.openxmlformats.org/officeDocument/2006/relationships/hyperlink" Target="https://techcombank.com/thong-tin/blog/ho-so-thu-tuc-xoa-the-chap" TargetMode="External"/><Relationship Id="rId405" Type="http://schemas.openxmlformats.org/officeDocument/2006/relationships/hyperlink" Target="https://techcombank.com/thong-tin/blog/vay-thau-chi-la-gi" TargetMode="External"/><Relationship Id="rId26" Type="http://schemas.openxmlformats.org/officeDocument/2006/relationships/hyperlink" Target="https://techcombank.com/thong-tin/blog/app-quan-ly-chi-tieu" TargetMode="External"/><Relationship Id="rId25" Type="http://schemas.openxmlformats.org/officeDocument/2006/relationships/hyperlink" Target="https://techcombank.com/thong-tin/blog/cach-tinh-tien-dien-sinh-hoat" TargetMode="External"/><Relationship Id="rId28" Type="http://schemas.openxmlformats.org/officeDocument/2006/relationships/hyperlink" Target="https://techcombank.com/thong-tin/blog/cach-nap-the-viettel" TargetMode="External"/><Relationship Id="rId27" Type="http://schemas.openxmlformats.org/officeDocument/2006/relationships/hyperlink" Target="https://techcombank.com/thong-tin/blog/cach-tinh-tien-dien-sinh-hoat" TargetMode="External"/><Relationship Id="rId400" Type="http://schemas.openxmlformats.org/officeDocument/2006/relationships/hyperlink" Target="https://techcombank.com/thong-tin/blog/sinh-loi-rinh-loc" TargetMode="External"/><Relationship Id="rId29" Type="http://schemas.openxmlformats.org/officeDocument/2006/relationships/hyperlink" Target="https://techcombank.com/thong-tin/blog/cach-tinh-thue-thu-nhap-ca-nhan-2025" TargetMode="External"/><Relationship Id="rId11" Type="http://schemas.openxmlformats.org/officeDocument/2006/relationships/hyperlink" Target="https://techcombank.com/thong-tin/blog/thue-doanh-nghiep" TargetMode="External"/><Relationship Id="rId10" Type="http://schemas.openxmlformats.org/officeDocument/2006/relationships/hyperlink" Target="https://techcombank.com/thong-tin/blog/bao-lanh-ngan-hang-la-gi" TargetMode="External"/><Relationship Id="rId13" Type="http://schemas.openxmlformats.org/officeDocument/2006/relationships/hyperlink" Target="https://techcombank.com/thong-tin/blog/thue-doanh-nghiep" TargetMode="External"/><Relationship Id="rId12" Type="http://schemas.openxmlformats.org/officeDocument/2006/relationships/hyperlink" Target="https://techcombank.com/thong-tin/blog/cac-loai-hinh-doanh-nghiep" TargetMode="External"/><Relationship Id="rId15" Type="http://schemas.openxmlformats.org/officeDocument/2006/relationships/hyperlink" Target="https://techcombank.com/thong-tin/blog/cong-ty-su-dung-tai-khoan-ca-nhan" TargetMode="External"/><Relationship Id="rId14" Type="http://schemas.openxmlformats.org/officeDocument/2006/relationships/hyperlink" Target="https://techcombank.com/thong-tin/blog/cach-quan-ly-tai-chinh-kinh-doanh" TargetMode="External"/><Relationship Id="rId17" Type="http://schemas.openxmlformats.org/officeDocument/2006/relationships/hyperlink" Target="https://techcombank.com/thong-tin/blog/cach-tinh-tien-dien-sinh-hoat" TargetMode="External"/><Relationship Id="rId16" Type="http://schemas.openxmlformats.org/officeDocument/2006/relationships/hyperlink" Target="https://techcombank.com/thong-tin/blog/bao-lanh-ngan-hang-la-gi" TargetMode="External"/><Relationship Id="rId19" Type="http://schemas.openxmlformats.org/officeDocument/2006/relationships/hyperlink" Target="https://techcombank.com/thong-tin/blog/cach-tinh-tien-dien-sinh-hoat" TargetMode="External"/><Relationship Id="rId18" Type="http://schemas.openxmlformats.org/officeDocument/2006/relationships/hyperlink" Target="https://techcombank.com/thong-tin/blog/app-dong-tien-dien-online" TargetMode="External"/><Relationship Id="rId84" Type="http://schemas.openxmlformats.org/officeDocument/2006/relationships/hyperlink" Target="https://techcombank.com/thong-tin/blog/sang-ngang-the-tin-dung" TargetMode="External"/><Relationship Id="rId83" Type="http://schemas.openxmlformats.org/officeDocument/2006/relationships/hyperlink" Target="https://techcombank.com/thong-tin/blog/cach-quet-nfc-cccd-tren-iphone" TargetMode="External"/><Relationship Id="rId86" Type="http://schemas.openxmlformats.org/officeDocument/2006/relationships/hyperlink" Target="https://techcombank.com/thong-tin/blog/viet-kieu-co-mo-duoc-tai-khoan-ngan-hang-khong" TargetMode="External"/><Relationship Id="rId85" Type="http://schemas.openxmlformats.org/officeDocument/2006/relationships/hyperlink" Target="https://techcombank.com/thong-tin/blog/cach-quet-nfc-cccd-tren-iphone" TargetMode="External"/><Relationship Id="rId88" Type="http://schemas.openxmlformats.org/officeDocument/2006/relationships/hyperlink" Target="https://techcombank.com/thong-tin/blog/cach-dang-ky-the-visa" TargetMode="External"/><Relationship Id="rId87" Type="http://schemas.openxmlformats.org/officeDocument/2006/relationships/hyperlink" Target="https://techcombank.com/thong-tin/blog/cach-quet-nfc-cccd-tren-iphone" TargetMode="External"/><Relationship Id="rId89" Type="http://schemas.openxmlformats.org/officeDocument/2006/relationships/hyperlink" Target="https://techcombank.com/thong-tin/blog/cach-quet-nfc-cccd-tren-iphone" TargetMode="External"/><Relationship Id="rId80" Type="http://schemas.openxmlformats.org/officeDocument/2006/relationships/hyperlink" Target="https://techcombank.com/thong-tin/blog/bao-nhieu-tuoi-duoc-mo-tai-khoan-ngan-hang" TargetMode="External"/><Relationship Id="rId82" Type="http://schemas.openxmlformats.org/officeDocument/2006/relationships/hyperlink" Target="https://techcombank.com/thong-tin/blog/lam-the-thanh-toan-quoc-te" TargetMode="External"/><Relationship Id="rId81" Type="http://schemas.openxmlformats.org/officeDocument/2006/relationships/hyperlink" Target="https://techcombank.com/thong-tin/blog/cach-quet-nfc-cccd-tren-iphone" TargetMode="External"/><Relationship Id="rId73" Type="http://schemas.openxmlformats.org/officeDocument/2006/relationships/hyperlink" Target="https://techcombank.com/thong-tin/blog/rut-tien-bang-ma-qr-la-gi-cach-thuc-hien-nhu-the-nao" TargetMode="External"/><Relationship Id="rId72" Type="http://schemas.openxmlformats.org/officeDocument/2006/relationships/hyperlink" Target="https://techcombank.com/thong-tin/blog/dau-tu-quy-mo" TargetMode="External"/><Relationship Id="rId75" Type="http://schemas.openxmlformats.org/officeDocument/2006/relationships/hyperlink" Target="https://techcombank.com/thong-tin/blog/rut-tien-bang-ma-qr-la-gi-cach-thuc-hien-nhu-the-nao" TargetMode="External"/><Relationship Id="rId74" Type="http://schemas.openxmlformats.org/officeDocument/2006/relationships/hyperlink" Target="https://techcombank.com/thong-tin/blog/cac-loai-the-ngan-hang" TargetMode="External"/><Relationship Id="rId77" Type="http://schemas.openxmlformats.org/officeDocument/2006/relationships/hyperlink" Target="https://techcombank.com/thong-tin/blog/cach-quet-nfc-cccd-tren-iphone" TargetMode="External"/><Relationship Id="rId76" Type="http://schemas.openxmlformats.org/officeDocument/2006/relationships/hyperlink" Target="https://techcombank.com/thong-tin/blog/lam-the-visa-online" TargetMode="External"/><Relationship Id="rId79" Type="http://schemas.openxmlformats.org/officeDocument/2006/relationships/hyperlink" Target="https://techcombank.com/thong-tin/blog/cach-quet-nfc-cccd-tren-iphone" TargetMode="External"/><Relationship Id="rId78" Type="http://schemas.openxmlformats.org/officeDocument/2006/relationships/hyperlink" Target="https://techcombank.com/thong-tin/blog/smart-otp-la-gi" TargetMode="External"/><Relationship Id="rId71" Type="http://schemas.openxmlformats.org/officeDocument/2006/relationships/hyperlink" Target="https://techcombank.com/thong-tin/blog/thue-thu-nhap-ca-nhan" TargetMode="External"/><Relationship Id="rId70" Type="http://schemas.openxmlformats.org/officeDocument/2006/relationships/hyperlink" Target="https://techcombank.com/thong-tin/blog/kieu-hoi-la-gi" TargetMode="External"/><Relationship Id="rId62" Type="http://schemas.openxmlformats.org/officeDocument/2006/relationships/hyperlink" Target="https://techcombank.com/thong-tin/blog/mo-tai-khoan-ngan-hang-bang-so-dien-thoai" TargetMode="External"/><Relationship Id="rId61" Type="http://schemas.openxmlformats.org/officeDocument/2006/relationships/hyperlink" Target="https://techcombank.com/thong-tin/blog/ten-dang-nhap-tai-khoan-ngan-hang-la-gi" TargetMode="External"/><Relationship Id="rId64" Type="http://schemas.openxmlformats.org/officeDocument/2006/relationships/hyperlink" Target="https://techcombank.com/thong-tin/blog/ma-qr-lam-gia-duoc-khong" TargetMode="External"/><Relationship Id="rId63" Type="http://schemas.openxmlformats.org/officeDocument/2006/relationships/hyperlink" Target="https://techcombank.com/thong-tin/blog/ten-dang-nhap-tai-khoan-ngan-hang-la-gi" TargetMode="External"/><Relationship Id="rId66" Type="http://schemas.openxmlformats.org/officeDocument/2006/relationships/hyperlink" Target="https://techcombank.com/thong-tin/blog/cach-sao-ke-tai-khoan-ngan-hang" TargetMode="External"/><Relationship Id="rId65" Type="http://schemas.openxmlformats.org/officeDocument/2006/relationships/hyperlink" Target="https://techcombank.com/thong-tin/blog/ten-dang-nhap-tai-khoan-ngan-hang-la-gi" TargetMode="External"/><Relationship Id="rId68" Type="http://schemas.openxmlformats.org/officeDocument/2006/relationships/hyperlink" Target="https://techcombank.com/thong-tin/blog/cach-nhan-tien-tu-nuoc-ngoai-ve-viet-nam" TargetMode="External"/><Relationship Id="rId67" Type="http://schemas.openxmlformats.org/officeDocument/2006/relationships/hyperlink" Target="https://techcombank.com/thong-tin/blog/thue-thu-nhap-ca-nhan" TargetMode="External"/><Relationship Id="rId60" Type="http://schemas.openxmlformats.org/officeDocument/2006/relationships/hyperlink" Target="https://techcombank.com/thong-tin/blog/the-tin-dung-mien-lai-55-ngay" TargetMode="External"/><Relationship Id="rId69" Type="http://schemas.openxmlformats.org/officeDocument/2006/relationships/hyperlink" Target="https://techcombank.com/thong-tin/blog/thue-thu-nhap-ca-nhan" TargetMode="External"/><Relationship Id="rId51" Type="http://schemas.openxmlformats.org/officeDocument/2006/relationships/hyperlink" Target="https://techcombank.com/thong-tin/blog/bao-nhieu-tuoi-duoc-mo-tai-khoan-ngan-hang" TargetMode="External"/><Relationship Id="rId50" Type="http://schemas.openxmlformats.org/officeDocument/2006/relationships/hyperlink" Target="https://techcombank.com/thong-tin/blog/bao-lanh-vay-von" TargetMode="External"/><Relationship Id="rId53" Type="http://schemas.openxmlformats.org/officeDocument/2006/relationships/hyperlink" Target="https://techcombank.com/thong-tin/blog/mo-tai-khoan-ngan-hang-duoi-18-tuoi" TargetMode="External"/><Relationship Id="rId52" Type="http://schemas.openxmlformats.org/officeDocument/2006/relationships/hyperlink" Target="https://techcombank.com/thong-tin/blog/qr-code-phuong-thuc-thanh-toan-toi-uu-trong-ky-nguyen-so" TargetMode="External"/><Relationship Id="rId55" Type="http://schemas.openxmlformats.org/officeDocument/2006/relationships/hyperlink" Target="https://techcombank.com/thong-tin/blog/nap-tien-vao-tai-khoan-ngan-hang" TargetMode="External"/><Relationship Id="rId54" Type="http://schemas.openxmlformats.org/officeDocument/2006/relationships/hyperlink" Target="https://techcombank.com/thong-tin/blog/ekyc-la-gi" TargetMode="External"/><Relationship Id="rId57" Type="http://schemas.openxmlformats.org/officeDocument/2006/relationships/hyperlink" Target="https://techcombank.com/thong-tin/blog/nap-tien-vao-tai-khoan-ngan-hang" TargetMode="External"/><Relationship Id="rId56" Type="http://schemas.openxmlformats.org/officeDocument/2006/relationships/hyperlink" Target="https://techcombank.com/thong-tin/blog/cach-dong-tien-dien-qua-tai-khoan-ngan-hang" TargetMode="External"/><Relationship Id="rId59" Type="http://schemas.openxmlformats.org/officeDocument/2006/relationships/hyperlink" Target="https://techcombank.com/thong-tin/blog/cach-sao-ke-tai-khoan-ngan-hang" TargetMode="External"/><Relationship Id="rId58" Type="http://schemas.openxmlformats.org/officeDocument/2006/relationships/hyperlink" Target="https://techcombank.com/thong-tin/blog/cac-loai-the-ngan-hang" TargetMode="External"/><Relationship Id="rId107" Type="http://schemas.openxmlformats.org/officeDocument/2006/relationships/hyperlink" Target="https://techcombank.com/thong-tin/blog/the-tin-dung-hoan-tien" TargetMode="External"/><Relationship Id="rId228" Type="http://schemas.openxmlformats.org/officeDocument/2006/relationships/hyperlink" Target="https://techcombank.com/thong-tin/blog/thue-vat-la-gi" TargetMode="External"/><Relationship Id="rId349" Type="http://schemas.openxmlformats.org/officeDocument/2006/relationships/hyperlink" Target="https://techcombank.com/cong-cu-tien-ich/cong-cu-tinh-toan/bang-tinh-lai-suat-vay" TargetMode="External"/><Relationship Id="rId106" Type="http://schemas.openxmlformats.org/officeDocument/2006/relationships/hyperlink" Target="https://techcombank.com/thong-tin/blog/4p-pizza" TargetMode="External"/><Relationship Id="rId227" Type="http://schemas.openxmlformats.org/officeDocument/2006/relationships/hyperlink" Target="https://techcombank.com/thong-tin/blog/cach-tinh-thue-ho-kinh-doanh-nho-le" TargetMode="External"/><Relationship Id="rId348" Type="http://schemas.openxmlformats.org/officeDocument/2006/relationships/hyperlink" Target="https://techcombank.com/thong-tin/blog/xep-hang-tin-dung" TargetMode="External"/><Relationship Id="rId105" Type="http://schemas.openxmlformats.org/officeDocument/2006/relationships/hyperlink" Target="https://techcombank.com/thong-tin/blog/the-tin-dung-hoan-tien" TargetMode="External"/><Relationship Id="rId226" Type="http://schemas.openxmlformats.org/officeDocument/2006/relationships/hyperlink" Target="https://techcombank.com/thong-tin/blog/phat-cham-dang-ky-thue-ho-kinh-doanh" TargetMode="External"/><Relationship Id="rId347" Type="http://schemas.openxmlformats.org/officeDocument/2006/relationships/hyperlink" Target="https://techcombank.com/cong-cu-tien-ich/cong-cu-tinh-toan/bang-tinh-lai-suat-vay" TargetMode="External"/><Relationship Id="rId104" Type="http://schemas.openxmlformats.org/officeDocument/2006/relationships/hyperlink" Target="https://techcombank.com/thong-tin/blog/so-du-tai-khoan-thanh-toan" TargetMode="External"/><Relationship Id="rId225" Type="http://schemas.openxmlformats.org/officeDocument/2006/relationships/hyperlink" Target="https://techcombank.com/thong-tin/blog/cach-tinh-thue-ho-kinh-doanh-nho-le" TargetMode="External"/><Relationship Id="rId346" Type="http://schemas.openxmlformats.org/officeDocument/2006/relationships/hyperlink" Target="https://techcombank.com/thong-tin/blog/san-pham-xanh" TargetMode="External"/><Relationship Id="rId109" Type="http://schemas.openxmlformats.org/officeDocument/2006/relationships/hyperlink" Target="https://techcombank.com/thong-tin/blog/the-tin-dung-hoan-tien" TargetMode="External"/><Relationship Id="rId108" Type="http://schemas.openxmlformats.org/officeDocument/2006/relationships/hyperlink" Target="https://techcombank.com/thong-tin/blog/cach-nap-the-mobi" TargetMode="External"/><Relationship Id="rId229" Type="http://schemas.openxmlformats.org/officeDocument/2006/relationships/hyperlink" Target="https://techcombank.com/thong-tin/blog/cach-tinh-lai-vay-ngan-hang" TargetMode="External"/><Relationship Id="rId220" Type="http://schemas.openxmlformats.org/officeDocument/2006/relationships/hyperlink" Target="https://techcombank.com/thong-tin/blog/chuyen-doi-so-ho-kinh-doanh" TargetMode="External"/><Relationship Id="rId341" Type="http://schemas.openxmlformats.org/officeDocument/2006/relationships/hyperlink" Target="https://techcombank.com/cong-cu-tien-ich/cong-cu-tinh-toan/bang-tinh-lai-suat-vay" TargetMode="External"/><Relationship Id="rId340" Type="http://schemas.openxmlformats.org/officeDocument/2006/relationships/hyperlink" Target="https://techcombank.com/thong-tin/blog/gia-tri-tai-san-rong" TargetMode="External"/><Relationship Id="rId103" Type="http://schemas.openxmlformats.org/officeDocument/2006/relationships/hyperlink" Target="https://techcombank.com/thong-tin/blog/rut-tien-mat-tu-the-tin-dung" TargetMode="External"/><Relationship Id="rId224" Type="http://schemas.openxmlformats.org/officeDocument/2006/relationships/hyperlink" Target="https://techcombank.com/thong-tin/blog/phan-mem-xuat-hoa-don-dien-tu" TargetMode="External"/><Relationship Id="rId345"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so-du-kha-dung" TargetMode="External"/><Relationship Id="rId223" Type="http://schemas.openxmlformats.org/officeDocument/2006/relationships/hyperlink" Target="https://techcombank.com/thong-tin/blog/mo-tai-khoan-ho-kinh-doanh" TargetMode="External"/><Relationship Id="rId344" Type="http://schemas.openxmlformats.org/officeDocument/2006/relationships/hyperlink" Target="https://techcombank.com/thong-tin/blog/pos" TargetMode="External"/><Relationship Id="rId101" Type="http://schemas.openxmlformats.org/officeDocument/2006/relationships/hyperlink" Target="https://techcombank.com/thong-tin/blog/rut-tien-mat-tu-the-tin-dung" TargetMode="External"/><Relationship Id="rId222" Type="http://schemas.openxmlformats.org/officeDocument/2006/relationships/hyperlink" Target="https://techcombank.com/thong-tin/blog/may-pos-la-gi" TargetMode="External"/><Relationship Id="rId343"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lam-the-visa-online" TargetMode="External"/><Relationship Id="rId221" Type="http://schemas.openxmlformats.org/officeDocument/2006/relationships/hyperlink" Target="https://techcombank.com/thong-tin/blog/mo-tai-khoan-ho-kinh-doanh" TargetMode="External"/><Relationship Id="rId342" Type="http://schemas.openxmlformats.org/officeDocument/2006/relationships/hyperlink" Target="https://techcombank.com/thong-tin/blog/ca-nhan-hoa" TargetMode="External"/><Relationship Id="rId217" Type="http://schemas.openxmlformats.org/officeDocument/2006/relationships/hyperlink" Target="https://techcombank.com/thong-tin/blog/gui-ma-qr-ngan-hang" TargetMode="External"/><Relationship Id="rId338" Type="http://schemas.openxmlformats.org/officeDocument/2006/relationships/hyperlink" Target="https://techcombank.com/thong-tin/blog/thanh-ly-tai-san" TargetMode="External"/><Relationship Id="rId216" Type="http://schemas.openxmlformats.org/officeDocument/2006/relationships/hyperlink" Target="https://techcombank.com/thong-tin/blog/loa-thong-bao-chuyen-khoan" TargetMode="External"/><Relationship Id="rId337" Type="http://schemas.openxmlformats.org/officeDocument/2006/relationships/hyperlink" Target="https://techcombank.com/cong-cu-tien-ich/cong-cu-tinh-toan/bang-tinh-lai-suat-vay" TargetMode="External"/><Relationship Id="rId215" Type="http://schemas.openxmlformats.org/officeDocument/2006/relationships/hyperlink" Target="https://techcombank.com/thong-tin/blog/mo-hinh-kinh-doanh-la-gi" TargetMode="External"/><Relationship Id="rId336" Type="http://schemas.openxmlformats.org/officeDocument/2006/relationships/hyperlink" Target="https://techcombank.com/thong-tin/blog/fintech-la-gi" TargetMode="External"/><Relationship Id="rId214" Type="http://schemas.openxmlformats.org/officeDocument/2006/relationships/hyperlink" Target="https://techcombank.com/thong-tin/blog/gia-ca-phe-hom-nay" TargetMode="External"/><Relationship Id="rId335" Type="http://schemas.openxmlformats.org/officeDocument/2006/relationships/hyperlink" Target="https://techcombank.com/cong-cu-tien-ich/cong-cu-tinh-toan/bang-tinh-lai-suat-vay" TargetMode="External"/><Relationship Id="rId219" Type="http://schemas.openxmlformats.org/officeDocument/2006/relationships/hyperlink" Target="https://techcombank.com/thong-tin/blog/gui-ma-qr-ngan-hang" TargetMode="External"/><Relationship Id="rId218" Type="http://schemas.openxmlformats.org/officeDocument/2006/relationships/hyperlink" Target="https://techcombank.com/thong-tin/blog/app-chia-tien" TargetMode="External"/><Relationship Id="rId339" Type="http://schemas.openxmlformats.org/officeDocument/2006/relationships/hyperlink" Target="https://techcombank.com/cong-cu-tien-ich/cong-cu-tinh-toan/bang-tinh-lai-suat-vay" TargetMode="External"/><Relationship Id="rId330" Type="http://schemas.openxmlformats.org/officeDocument/2006/relationships/hyperlink" Target="https://techcombank.com/thong-tin/blog/bao-hiem-lien-ket-dau-tu" TargetMode="External"/><Relationship Id="rId451" Type="http://schemas.openxmlformats.org/officeDocument/2006/relationships/hyperlink" Target="https://techcombank.com/thong-tin/blog/phuong-phap-dau-tu-chung-chi-quy" TargetMode="External"/><Relationship Id="rId450" Type="http://schemas.openxmlformats.org/officeDocument/2006/relationships/hyperlink" Target="https://techcombank.com/thong-tin/blog/gia-tri-tai-san-rong" TargetMode="External"/><Relationship Id="rId213" Type="http://schemas.openxmlformats.org/officeDocument/2006/relationships/hyperlink" Target="https://techcombank.com/thong-tin/blog/mo-hinh-kinh-doanh-la-gi" TargetMode="External"/><Relationship Id="rId334" Type="http://schemas.openxmlformats.org/officeDocument/2006/relationships/hyperlink" Target="https://techcombank.com/thong-tin/blog/ke-hoach-huu-tri" TargetMode="External"/><Relationship Id="rId212" Type="http://schemas.openxmlformats.org/officeDocument/2006/relationships/hyperlink" Target="https://techcombank.com/thong-tin/blog/loa-ting-ting" TargetMode="External"/><Relationship Id="rId333" Type="http://schemas.openxmlformats.org/officeDocument/2006/relationships/hyperlink" Target="https://techcombank.com/thong-tin/blog/rui-ro-khi-gui-tiet-kiem-online" TargetMode="External"/><Relationship Id="rId211" Type="http://schemas.openxmlformats.org/officeDocument/2006/relationships/hyperlink" Target="https://techcombank.com/thong-tin/blog/mo-hinh-kinh-doanh-la-gi" TargetMode="External"/><Relationship Id="rId332" Type="http://schemas.openxmlformats.org/officeDocument/2006/relationships/hyperlink" Target="https://techcombank.com/thong-tin/blog/chien-luoc-dau-tu" TargetMode="External"/><Relationship Id="rId453" Type="http://schemas.openxmlformats.org/officeDocument/2006/relationships/drawing" Target="../drawings/drawing3.xml"/><Relationship Id="rId210" Type="http://schemas.openxmlformats.org/officeDocument/2006/relationships/hyperlink" Target="https://techcombank.com/thong-tin/blog/barcode-la-gi" TargetMode="External"/><Relationship Id="rId331" Type="http://schemas.openxmlformats.org/officeDocument/2006/relationships/hyperlink" Target="https://techcombank.com/thong-tin/blog/rui-ro-khi-gui-tiet-kiem-online" TargetMode="External"/><Relationship Id="rId452" Type="http://schemas.openxmlformats.org/officeDocument/2006/relationships/hyperlink" Target="https://techcombank.com/thong-tin/blog/hu-chi-tieu" TargetMode="External"/><Relationship Id="rId370" Type="http://schemas.openxmlformats.org/officeDocument/2006/relationships/hyperlink" Target="https://techcombank.com/thong-tin/blog/quan-ly-chi-phi-doanh-nghiep" TargetMode="External"/><Relationship Id="rId129" Type="http://schemas.openxmlformats.org/officeDocument/2006/relationships/hyperlink" Target="https://techcombank.com/thong-tin/blog/chung-chi-tien-gui-la-gi" TargetMode="External"/><Relationship Id="rId128" Type="http://schemas.openxmlformats.org/officeDocument/2006/relationships/hyperlink" Target="https://techcombank.com/thong-tin/blog/cach-doi-mat-khau-tai-khoan-ngan-hang" TargetMode="External"/><Relationship Id="rId249" Type="http://schemas.openxmlformats.org/officeDocument/2006/relationships/hyperlink" Target="https://techcombank.com/thong-tin/blog/lai-suat-tiet-kiem" TargetMode="External"/><Relationship Id="rId127" Type="http://schemas.openxmlformats.org/officeDocument/2006/relationships/hyperlink" Target="https://techcombank.com/thong-tin/blog/cach-thanh-toan-the-tin-dung" TargetMode="External"/><Relationship Id="rId248" Type="http://schemas.openxmlformats.org/officeDocument/2006/relationships/hyperlink" Target="https://techcombank.com/thong-tin/blog/dac-quyen-khach-hang-vip-ngan-hang" TargetMode="External"/><Relationship Id="rId369" Type="http://schemas.openxmlformats.org/officeDocument/2006/relationships/hyperlink" Target="https://techcombank.com/thong-tin/blog/lai-suat-vay-ngan-hang" TargetMode="External"/><Relationship Id="rId126" Type="http://schemas.openxmlformats.org/officeDocument/2006/relationships/hyperlink" Target="https://techcombank.com/thong-tin/blog/han-muc-the-tin-dung" TargetMode="External"/><Relationship Id="rId247" Type="http://schemas.openxmlformats.org/officeDocument/2006/relationships/hyperlink" Target="https://techcombank.com/thong-tin/blog/lai-suat-tiet-kiem" TargetMode="External"/><Relationship Id="rId368" Type="http://schemas.openxmlformats.org/officeDocument/2006/relationships/hyperlink" Target="https://techcombank.com/thong-tin/blog/nhu-cau-vay-tieu-dung-cua-nguoi-viet-du-kien-tang-manh-trong-thoi-gian-toi" TargetMode="External"/><Relationship Id="rId121" Type="http://schemas.openxmlformats.org/officeDocument/2006/relationships/hyperlink" Target="https://techcombank.com/thong-tin/blog/xep-hang-tin-dung" TargetMode="External"/><Relationship Id="rId242" Type="http://schemas.openxmlformats.org/officeDocument/2006/relationships/hyperlink" Target="https://techcombank.com/thong-tin/blog/lam-the-tin-dung-co-mat-phi-khong" TargetMode="External"/><Relationship Id="rId363" Type="http://schemas.openxmlformats.org/officeDocument/2006/relationships/hyperlink" Target="https://techcombank.com/thong-tin/blog/lai-suat-vay-ngan-hang" TargetMode="External"/><Relationship Id="rId120" Type="http://schemas.openxmlformats.org/officeDocument/2006/relationships/hyperlink" Target="https://techcombank.com/thong-tin/blog/co-nen-mua-bao-hiem-nhan-tho" TargetMode="External"/><Relationship Id="rId241" Type="http://schemas.openxmlformats.org/officeDocument/2006/relationships/hyperlink" Target="https://techcombank.com/thong-tin/blog/lai-suat-tiet-kiem" TargetMode="External"/><Relationship Id="rId362" Type="http://schemas.openxmlformats.org/officeDocument/2006/relationships/hyperlink" Target="https://techcombank.com/thong-tin/blog/thu-tuc-vay-von-doanh-nghiep" TargetMode="External"/><Relationship Id="rId240" Type="http://schemas.openxmlformats.org/officeDocument/2006/relationships/hyperlink" Target="https://techcombank.com/thong-tin/blog/thanh-ly-tai-san" TargetMode="External"/><Relationship Id="rId361" Type="http://schemas.openxmlformats.org/officeDocument/2006/relationships/hyperlink" Target="https://techcombank.com/thong-tin/blog/lai-suat-vay-ngan-hang" TargetMode="External"/><Relationship Id="rId360" Type="http://schemas.openxmlformats.org/officeDocument/2006/relationships/hyperlink" Target="https://techcombank.com/thong-tin/blog/fintech-la-gi" TargetMode="External"/><Relationship Id="rId125" Type="http://schemas.openxmlformats.org/officeDocument/2006/relationships/hyperlink" Target="https://techcombank.com/thong-tin/blog/cach-thanh-toan-the-tin-dung" TargetMode="External"/><Relationship Id="rId246" Type="http://schemas.openxmlformats.org/officeDocument/2006/relationships/hyperlink" Target="https://techcombank.com/thong-tin/blog/cpi-la-gi" TargetMode="External"/><Relationship Id="rId367" Type="http://schemas.openxmlformats.org/officeDocument/2006/relationships/hyperlink" Target="https://techcombank.com/thong-tin/blog/lai-suat-vay-ngan-hang" TargetMode="External"/><Relationship Id="rId124" Type="http://schemas.openxmlformats.org/officeDocument/2006/relationships/hyperlink" Target="https://techcombank.com/thong-tin/blog/cac-loai-the-ngan-hang" TargetMode="External"/><Relationship Id="rId245" Type="http://schemas.openxmlformats.org/officeDocument/2006/relationships/hyperlink" Target="https://techcombank.com/thong-tin/blog/lai-suat-tiet-kiem" TargetMode="External"/><Relationship Id="rId366" Type="http://schemas.openxmlformats.org/officeDocument/2006/relationships/hyperlink" Target="https://techcombank.com/thong-tin/blog/mo-tai-khoan-ngan-hang-trung-so-dien-thoai" TargetMode="External"/><Relationship Id="rId123" Type="http://schemas.openxmlformats.org/officeDocument/2006/relationships/hyperlink" Target="https://techcombank.com/thong-tin/blog/cach-thanh-toan-the-tin-dung" TargetMode="External"/><Relationship Id="rId244" Type="http://schemas.openxmlformats.org/officeDocument/2006/relationships/hyperlink" Target="https://techcombank.com/thong-tin/blog/ca-nhan-hoa" TargetMode="External"/><Relationship Id="rId365" Type="http://schemas.openxmlformats.org/officeDocument/2006/relationships/hyperlink" Target="https://techcombank.com/thong-tin/blog/lai-suat-vay-ngan-hang" TargetMode="External"/><Relationship Id="rId122" Type="http://schemas.openxmlformats.org/officeDocument/2006/relationships/hyperlink" Target="https://techcombank.com/thong-tin/blog/nha-dau-tu-giao-dich-trai-phieu-truc-tuyen-tang-manh-tro-lai" TargetMode="External"/><Relationship Id="rId243" Type="http://schemas.openxmlformats.org/officeDocument/2006/relationships/hyperlink" Target="https://techcombank.com/thong-tin/blog/lai-suat-tiet-kiem" TargetMode="External"/><Relationship Id="rId364" Type="http://schemas.openxmlformats.org/officeDocument/2006/relationships/hyperlink" Target="https://techcombank.com/thong-tin/blog/xep-hang-tin-dung" TargetMode="External"/><Relationship Id="rId95" Type="http://schemas.openxmlformats.org/officeDocument/2006/relationships/hyperlink" Target="https://techcombank.com/thong-tin/blog/rut-tien-mat-tu-the-tin-dung" TargetMode="External"/><Relationship Id="rId94" Type="http://schemas.openxmlformats.org/officeDocument/2006/relationships/hyperlink" Target="https://techcombank.com/thong-tin/blog/the-ghi-no-la-gi" TargetMode="External"/><Relationship Id="rId97" Type="http://schemas.openxmlformats.org/officeDocument/2006/relationships/hyperlink" Target="https://techcombank.com/thong-tin/blog/rut-tien-mat-tu-the-tin-dung" TargetMode="External"/><Relationship Id="rId96" Type="http://schemas.openxmlformats.org/officeDocument/2006/relationships/hyperlink" Target="https://techcombank.com/thong-tin/blog/app-chia-tien" TargetMode="External"/><Relationship Id="rId99" Type="http://schemas.openxmlformats.org/officeDocument/2006/relationships/hyperlink" Target="https://techcombank.com/thong-tin/blog/rut-tien-mat-tu-the-tin-dung" TargetMode="External"/><Relationship Id="rId98" Type="http://schemas.openxmlformats.org/officeDocument/2006/relationships/hyperlink" Target="https://techcombank.com/thong-tin/blog/eco-card" TargetMode="External"/><Relationship Id="rId91" Type="http://schemas.openxmlformats.org/officeDocument/2006/relationships/hyperlink" Target="https://techcombank.com/thong-tin/blog/cach-quet-nfc-cccd-tren-iphone" TargetMode="External"/><Relationship Id="rId90" Type="http://schemas.openxmlformats.org/officeDocument/2006/relationships/hyperlink" Target="https://techcombank.com/thong-tin/blog/lam-the-visa-online" TargetMode="External"/><Relationship Id="rId93" Type="http://schemas.openxmlformats.org/officeDocument/2006/relationships/hyperlink" Target="https://techcombank.com/thong-tin/blog/eco-card" TargetMode="External"/><Relationship Id="rId92" Type="http://schemas.openxmlformats.org/officeDocument/2006/relationships/hyperlink" Target="https://techcombank.com/thong-tin/blog/the-atm-gan-chip" TargetMode="External"/><Relationship Id="rId118" Type="http://schemas.openxmlformats.org/officeDocument/2006/relationships/hyperlink" Target="https://techcombank.com/thong-tin/blog/cho-vay-hop-von-la-gi" TargetMode="External"/><Relationship Id="rId239" Type="http://schemas.openxmlformats.org/officeDocument/2006/relationships/hyperlink" Target="https://techcombank.com/thong-tin/blog/lai-suat-vay-the-chap-so-do" TargetMode="External"/><Relationship Id="rId117" Type="http://schemas.openxmlformats.org/officeDocument/2006/relationships/hyperlink" Target="https://techcombank.com/thong-tin/blog/xep-hang-tin-dung" TargetMode="External"/><Relationship Id="rId238" Type="http://schemas.openxmlformats.org/officeDocument/2006/relationships/hyperlink" Target="https://techcombank.com/thong-tin/blog/loi-ich-cua-ngan-hang-so-voi-sme" TargetMode="External"/><Relationship Id="rId359" Type="http://schemas.openxmlformats.org/officeDocument/2006/relationships/hyperlink" Target="https://techcombank.com/thong-tin/blog/lai-suat-vay-ngan-hang" TargetMode="External"/><Relationship Id="rId116" Type="http://schemas.openxmlformats.org/officeDocument/2006/relationships/hyperlink" Target="https://techcombank.com/thong-tin/blog/bi-quyet-lua-chon-trai-phieu-an-toan-cho-nha-dau-tu" TargetMode="External"/><Relationship Id="rId237" Type="http://schemas.openxmlformats.org/officeDocument/2006/relationships/hyperlink" Target="https://techcombank.com/thong-tin/blog/cach-tinh-lai-vay-ngan-hang" TargetMode="External"/><Relationship Id="rId358" Type="http://schemas.openxmlformats.org/officeDocument/2006/relationships/hyperlink" Target="https://techcombank.com/thong-tin/blog/casa-la-gi" TargetMode="External"/><Relationship Id="rId115" Type="http://schemas.openxmlformats.org/officeDocument/2006/relationships/hyperlink" Target="https://techcombank.com/thong-tin/blog/xep-hang-tin-dung" TargetMode="External"/><Relationship Id="rId236" Type="http://schemas.openxmlformats.org/officeDocument/2006/relationships/hyperlink" Target="https://techcombank.com/thong-tin/blog/the-tin-dung-hoan-tien" TargetMode="External"/><Relationship Id="rId357" Type="http://schemas.openxmlformats.org/officeDocument/2006/relationships/hyperlink" Target="https://techcombank.com/thong-tin/blog/lai-suat-vay-ngan-hang" TargetMode="External"/><Relationship Id="rId119" Type="http://schemas.openxmlformats.org/officeDocument/2006/relationships/hyperlink" Target="https://techcombank.com/thong-tin/blog/xep-hang-tin-dung" TargetMode="External"/><Relationship Id="rId110" Type="http://schemas.openxmlformats.org/officeDocument/2006/relationships/hyperlink" Target="https://techcombank.com/thong-tin/blog/cac-loai-the-ngan-hang" TargetMode="External"/><Relationship Id="rId231" Type="http://schemas.openxmlformats.org/officeDocument/2006/relationships/hyperlink" Target="https://techcombank.com/thong-tin/blog/cach-tinh-lai-vay-ngan-hang" TargetMode="External"/><Relationship Id="rId352" Type="http://schemas.openxmlformats.org/officeDocument/2006/relationships/hyperlink" Target="https://techcombank.com/thong-tin/blog/gia-tri-tai-san-rong" TargetMode="External"/><Relationship Id="rId230" Type="http://schemas.openxmlformats.org/officeDocument/2006/relationships/hyperlink" Target="https://techcombank.com/thong-tin/blog/tin-dung-tieu-dung" TargetMode="External"/><Relationship Id="rId351" Type="http://schemas.openxmlformats.org/officeDocument/2006/relationships/hyperlink" Target="https://techcombank.com/thong-tin/blog/app-vay-tien-nhanh" TargetMode="External"/><Relationship Id="rId350" Type="http://schemas.openxmlformats.org/officeDocument/2006/relationships/hyperlink" Target="https://techcombank.com/thong-tin/blog/mo-tai-khoan-ngan-hang-online-co-an-toan-khong" TargetMode="External"/><Relationship Id="rId114" Type="http://schemas.openxmlformats.org/officeDocument/2006/relationships/hyperlink" Target="https://techcombank.com/thong-tin/blog/khau-vi-nha-dau-tu-tpdn-thay-doi-the-nao-sau-nhung-bien-dong-vua-qua" TargetMode="External"/><Relationship Id="rId235" Type="http://schemas.openxmlformats.org/officeDocument/2006/relationships/hyperlink" Target="https://techcombank.com/thong-tin/blog/cach-tinh-lai-vay-ngan-hang" TargetMode="External"/><Relationship Id="rId356" Type="http://schemas.openxmlformats.org/officeDocument/2006/relationships/hyperlink" Target="https://techcombank.com/thong-tin/blog/ca-nhan-hoa" TargetMode="External"/><Relationship Id="rId113" Type="http://schemas.openxmlformats.org/officeDocument/2006/relationships/hyperlink" Target="https://techcombank.com/thong-tin/blog/xep-hang-tin-dung" TargetMode="External"/><Relationship Id="rId234" Type="http://schemas.openxmlformats.org/officeDocument/2006/relationships/hyperlink" Target="https://techcombank.com/thong-tin/blog/vay-tien-online" TargetMode="External"/><Relationship Id="rId355" Type="http://schemas.openxmlformats.org/officeDocument/2006/relationships/hyperlink" Target="https://techcombank.com/thong-tin/blog/lai-suat-vay-ngan-hang" TargetMode="External"/><Relationship Id="rId112" Type="http://schemas.openxmlformats.org/officeDocument/2006/relationships/hyperlink" Target="https://techcombank.com/thong-tin/blog/cach-nap-the-vina" TargetMode="External"/><Relationship Id="rId233" Type="http://schemas.openxmlformats.org/officeDocument/2006/relationships/hyperlink" Target="https://techcombank.com/thong-tin/blog/cach-tinh-lai-vay-ngan-hang" TargetMode="External"/><Relationship Id="rId354" Type="http://schemas.openxmlformats.org/officeDocument/2006/relationships/hyperlink" Target="https://techcombank.com/thong-tin/blog/an-han-no-goc-la-gi" TargetMode="External"/><Relationship Id="rId111" Type="http://schemas.openxmlformats.org/officeDocument/2006/relationships/hyperlink" Target="https://techcombank.com/thong-tin/blog/the-tin-dung-hoan-tien" TargetMode="External"/><Relationship Id="rId232" Type="http://schemas.openxmlformats.org/officeDocument/2006/relationships/hyperlink" Target="https://techcombank.com/thong-tin/blog/vay-sieu-toc" TargetMode="External"/><Relationship Id="rId353" Type="http://schemas.openxmlformats.org/officeDocument/2006/relationships/hyperlink" Target="https://techcombank.com/thong-tin/blog/lai-suat-vay-ngan-hang" TargetMode="External"/><Relationship Id="rId305" Type="http://schemas.openxmlformats.org/officeDocument/2006/relationships/hyperlink" Target="https://techcombank.com/thong-tin/blog/so-tiet-kiem-ngan-hang" TargetMode="External"/><Relationship Id="rId426" Type="http://schemas.openxmlformats.org/officeDocument/2006/relationships/hyperlink" Target="https://techcombank.com/thong-tin/blog/barcode-la-gi" TargetMode="External"/><Relationship Id="rId304" Type="http://schemas.openxmlformats.org/officeDocument/2006/relationships/hyperlink" Target="https://techcombank.com/thong-tin/blog/the-visa-co-thanh-toan-quoc-te-duoc-khong" TargetMode="External"/><Relationship Id="rId425" Type="http://schemas.openxmlformats.org/officeDocument/2006/relationships/hyperlink" Target="https://techcombank.com/thong-tin/blog/nen-vay-tin-chap-o-dau" TargetMode="External"/><Relationship Id="rId303" Type="http://schemas.openxmlformats.org/officeDocument/2006/relationships/hyperlink" Target="https://techcombank.com/thong-tin/blog/rut-tien-tiet-kiem-truoc-thoi-han" TargetMode="External"/><Relationship Id="rId424" Type="http://schemas.openxmlformats.org/officeDocument/2006/relationships/hyperlink" Target="https://techcombank.com/thong-tin/blog/1-nguoi-co-the-lam-duoc-bao-nhieu-the-atm" TargetMode="External"/><Relationship Id="rId302" Type="http://schemas.openxmlformats.org/officeDocument/2006/relationships/hyperlink" Target="https://techcombank.com/thong-tin/blog/lap-ke-hoach-tai-chinh-ca-nhan" TargetMode="External"/><Relationship Id="rId423" Type="http://schemas.openxmlformats.org/officeDocument/2006/relationships/hyperlink" Target="https://techcombank.com/thong-tin/blog/nen-vay-tin-chap-o-dau" TargetMode="External"/><Relationship Id="rId309" Type="http://schemas.openxmlformats.org/officeDocument/2006/relationships/hyperlink" Target="https://techcombank.com/thong-tin/blog/so-tiet-kiem-ngan-hang" TargetMode="External"/><Relationship Id="rId308" Type="http://schemas.openxmlformats.org/officeDocument/2006/relationships/hyperlink" Target="https://techcombank.com/thong-tin/blog/cach-dang-ky-the-visa" TargetMode="External"/><Relationship Id="rId429" Type="http://schemas.openxmlformats.org/officeDocument/2006/relationships/hyperlink" Target="https://techcombank.com/thong-tin/blog/nen-vay-tin-chap-o-dau" TargetMode="External"/><Relationship Id="rId307" Type="http://schemas.openxmlformats.org/officeDocument/2006/relationships/hyperlink" Target="https://techcombank.com/thong-tin/blog/so-tiet-kiem-ngan-hang" TargetMode="External"/><Relationship Id="rId428" Type="http://schemas.openxmlformats.org/officeDocument/2006/relationships/hyperlink" Target="https://techcombank.com/thong-tin/blog/gio-lam-viec-techcombank" TargetMode="External"/><Relationship Id="rId306" Type="http://schemas.openxmlformats.org/officeDocument/2006/relationships/hyperlink" Target="https://techcombank.com/thong-tin/blog/mo-the-tin-dung-han-muc-cao" TargetMode="External"/><Relationship Id="rId427" Type="http://schemas.openxmlformats.org/officeDocument/2006/relationships/hyperlink" Target="https://techcombank.com/thong-tin/blog/nen-vay-tin-chap-o-dau" TargetMode="External"/><Relationship Id="rId301" Type="http://schemas.openxmlformats.org/officeDocument/2006/relationships/hyperlink" Target="https://techcombank.com/thong-tin/blog/rut-tien-tiet-kiem-truoc-thoi-han" TargetMode="External"/><Relationship Id="rId422" Type="http://schemas.openxmlformats.org/officeDocument/2006/relationships/hyperlink" Target="https://techcombank.com/thong-tin/blog/lich-su-tin-dung" TargetMode="External"/><Relationship Id="rId300" Type="http://schemas.openxmlformats.org/officeDocument/2006/relationships/hyperlink" Target="https://techcombank.com/thong-tin/blog/cach-tiet-kiem-tien" TargetMode="External"/><Relationship Id="rId421" Type="http://schemas.openxmlformats.org/officeDocument/2006/relationships/hyperlink" Target="https://techcombank.com/thong-tin/blog/nen-vay-tin-chap-o-dau" TargetMode="External"/><Relationship Id="rId420" Type="http://schemas.openxmlformats.org/officeDocument/2006/relationships/hyperlink" Target="https://techcombank.com/thong-tin/blog/gui-tiet-kiem-online-quay-vong-ca-goc-va-lai" TargetMode="External"/><Relationship Id="rId415" Type="http://schemas.openxmlformats.org/officeDocument/2006/relationships/hyperlink" Target="https://techcombank.com/thong-tin/blog/vay-thau-chi-la-gi" TargetMode="External"/><Relationship Id="rId414" Type="http://schemas.openxmlformats.org/officeDocument/2006/relationships/hyperlink" Target="https://techcombank.com/thong-tin/blog/cach-bao-ve-tai-khoan" TargetMode="External"/><Relationship Id="rId413" Type="http://schemas.openxmlformats.org/officeDocument/2006/relationships/hyperlink" Target="https://techcombank.com/thong-tin/blog/vay-thau-chi-la-gi" TargetMode="External"/><Relationship Id="rId412" Type="http://schemas.openxmlformats.org/officeDocument/2006/relationships/hyperlink" Target="https://techcombank.com/thong-tin/blog/cach-khoa-the-ngan-hang" TargetMode="External"/><Relationship Id="rId419" Type="http://schemas.openxmlformats.org/officeDocument/2006/relationships/hyperlink" Target="https://techcombank.com/thong-tin/blog/vay-thau-chi-la-gi" TargetMode="External"/><Relationship Id="rId418" Type="http://schemas.openxmlformats.org/officeDocument/2006/relationships/hyperlink" Target="https://techcombank.com/thong-tin/blog/gia-dien-sinh-hoat" TargetMode="External"/><Relationship Id="rId417" Type="http://schemas.openxmlformats.org/officeDocument/2006/relationships/hyperlink" Target="https://techcombank.com/thong-tin/blog/vay-thau-chi-la-gi" TargetMode="External"/><Relationship Id="rId416" Type="http://schemas.openxmlformats.org/officeDocument/2006/relationships/hyperlink" Target="https://techcombank.com/thong-tin/blog/dau-tu-tai-chinh-ca-nhan" TargetMode="External"/><Relationship Id="rId411" Type="http://schemas.openxmlformats.org/officeDocument/2006/relationships/hyperlink" Target="https://techcombank.com/thong-tin/blog/vay-thau-chi-la-gi" TargetMode="External"/><Relationship Id="rId410" Type="http://schemas.openxmlformats.org/officeDocument/2006/relationships/hyperlink" Target="https://techcombank.com/thong-tin/blog/quan-ly-tai-chinh-doanh-nghiep-nho" TargetMode="External"/><Relationship Id="rId206" Type="http://schemas.openxmlformats.org/officeDocument/2006/relationships/hyperlink" Target="https://techcombank.com/thong-tin/blog/thue-vat-la-gi" TargetMode="External"/><Relationship Id="rId327" Type="http://schemas.openxmlformats.org/officeDocument/2006/relationships/hyperlink" Target="https://techcombank.com/thong-tin/blog/rui-ro-khi-gui-tiet-kiem-online" TargetMode="External"/><Relationship Id="rId448" Type="http://schemas.openxmlformats.org/officeDocument/2006/relationships/hyperlink" Target="https://techcombank.com/thong-tin/blog/the-tin-dung-bi-khoa" TargetMode="External"/><Relationship Id="rId205" Type="http://schemas.openxmlformats.org/officeDocument/2006/relationships/hyperlink" Target="https://techcombank.com/thong-tin/blog/ho-kinh-doanh-dong-thue-nhu-nao" TargetMode="External"/><Relationship Id="rId326" Type="http://schemas.openxmlformats.org/officeDocument/2006/relationships/hyperlink" Target="https://techcombank.com/thong-tin/blog/bancassurance" TargetMode="External"/><Relationship Id="rId447" Type="http://schemas.openxmlformats.org/officeDocument/2006/relationships/hyperlink" Target="https://techcombank.com/thong-tin/blog/nen-vay-tin-chap-o-dau" TargetMode="External"/><Relationship Id="rId204" Type="http://schemas.openxmlformats.org/officeDocument/2006/relationships/hyperlink" Target="https://techcombank.com/thong-tin/blog/may-pos-la-gi" TargetMode="External"/><Relationship Id="rId325" Type="http://schemas.openxmlformats.org/officeDocument/2006/relationships/hyperlink" Target="https://techcombank.com/thong-tin/blog/cach-tiet-kiem-tien" TargetMode="External"/><Relationship Id="rId446" Type="http://schemas.openxmlformats.org/officeDocument/2006/relationships/hyperlink" Target="https://techcombank.com/thong-tin/blog/thanh-lap-ho-kinh-doanh-ca-the" TargetMode="External"/><Relationship Id="rId203" Type="http://schemas.openxmlformats.org/officeDocument/2006/relationships/hyperlink" Target="https://techcombank.com/thong-tin/blog/ho-kinh-doanh-dong-thue-nhu-nao" TargetMode="External"/><Relationship Id="rId324" Type="http://schemas.openxmlformats.org/officeDocument/2006/relationships/hyperlink" Target="https://techcombank.com/thong-tin/blog/cach-nap-the-vina" TargetMode="External"/><Relationship Id="rId445" Type="http://schemas.openxmlformats.org/officeDocument/2006/relationships/hyperlink" Target="https://techcombank.com/thong-tin/blog/nen-vay-tin-chap-o-dau" TargetMode="External"/><Relationship Id="rId209" Type="http://schemas.openxmlformats.org/officeDocument/2006/relationships/hyperlink" Target="https://techcombank.com/thong-tin/blog/mo-hinh-kinh-doanh-la-gi" TargetMode="External"/><Relationship Id="rId208" Type="http://schemas.openxmlformats.org/officeDocument/2006/relationships/hyperlink" Target="https://techcombank.com/thong-tin/blog/dieu-kien-thanh-lap-doanh-nghiep" TargetMode="External"/><Relationship Id="rId329" Type="http://schemas.openxmlformats.org/officeDocument/2006/relationships/hyperlink" Target="https://techcombank.com/thong-tin/blog/rui-ro-khi-gui-tiet-kiem-online" TargetMode="External"/><Relationship Id="rId207" Type="http://schemas.openxmlformats.org/officeDocument/2006/relationships/hyperlink" Target="https://techcombank.com/thong-tin/blog/ho-kinh-doanh-dong-thue-nhu-nao" TargetMode="External"/><Relationship Id="rId328" Type="http://schemas.openxmlformats.org/officeDocument/2006/relationships/hyperlink" Target="https://techcombank.com/thong-tin/blog/co-50-trieu-nen-mua-vang-hay-gui-tiet-kiem" TargetMode="External"/><Relationship Id="rId449" Type="http://schemas.openxmlformats.org/officeDocument/2006/relationships/hyperlink" Target="https://techcombank.com/thong-tin/blog/phuong-phap-dau-tu-chung-chi-quy" TargetMode="External"/><Relationship Id="rId440" Type="http://schemas.openxmlformats.org/officeDocument/2006/relationships/hyperlink" Target="https://techcombank.com/thong-tin/blog/phan-mem-xuat-hoa-don-dien-tu" TargetMode="External"/><Relationship Id="rId202" Type="http://schemas.openxmlformats.org/officeDocument/2006/relationships/hyperlink" Target="https://techcombank.com/thong-tin/blog/quan-ly-tai-chinh-doanh-nghiep-nho" TargetMode="External"/><Relationship Id="rId323" Type="http://schemas.openxmlformats.org/officeDocument/2006/relationships/hyperlink" Target="https://techcombank.com/thong-tin/blog/cach-tiet-kiem-tien" TargetMode="External"/><Relationship Id="rId444" Type="http://schemas.openxmlformats.org/officeDocument/2006/relationships/hyperlink" Target="https://techcombank.com/thong-tin/blog/tai-khoan-ngan-hang-duoi-50k-co-bi-khoa-khong" TargetMode="External"/><Relationship Id="rId201" Type="http://schemas.openxmlformats.org/officeDocument/2006/relationships/hyperlink" Target="https://techcombank.com/thong-tin/blog/ho-kinh-doanh-dong-thue-nhu-nao" TargetMode="External"/><Relationship Id="rId322" Type="http://schemas.openxmlformats.org/officeDocument/2006/relationships/hyperlink" Target="https://techcombank.com/thong-tin/blog/cach-nap-the-mobi" TargetMode="External"/><Relationship Id="rId443" Type="http://schemas.openxmlformats.org/officeDocument/2006/relationships/hyperlink" Target="https://techcombank.com/thong-tin/blog/nen-vay-tin-chap-o-dau" TargetMode="External"/><Relationship Id="rId200" Type="http://schemas.openxmlformats.org/officeDocument/2006/relationships/hyperlink" Target="https://techcombank.com/thong-tin/blog/khau-hao-la-gi" TargetMode="External"/><Relationship Id="rId321" Type="http://schemas.openxmlformats.org/officeDocument/2006/relationships/hyperlink" Target="https://techcombank.com/thong-tin/blog/cach-tiet-kiem-tien" TargetMode="External"/><Relationship Id="rId442" Type="http://schemas.openxmlformats.org/officeDocument/2006/relationships/hyperlink" Target="https://techcombank.com/thong-tin/blog/quan-ly-chi-phi-doanh-nghiep" TargetMode="External"/><Relationship Id="rId320" Type="http://schemas.openxmlformats.org/officeDocument/2006/relationships/hyperlink" Target="https://techcombank.com/thong-tin/blog/chung-chi-tien-gui-co-duoc-bao-hiem-khong" TargetMode="External"/><Relationship Id="rId441" Type="http://schemas.openxmlformats.org/officeDocument/2006/relationships/hyperlink" Target="https://techcombank.com/thong-tin/blog/nen-vay-tin-chap-o-dau" TargetMode="External"/><Relationship Id="rId316" Type="http://schemas.openxmlformats.org/officeDocument/2006/relationships/hyperlink" Target="https://techcombank.com/thong-tin/blog/bao-hiem-nhan-tho-bao-nhieu-tien" TargetMode="External"/><Relationship Id="rId437" Type="http://schemas.openxmlformats.org/officeDocument/2006/relationships/hyperlink" Target="https://techcombank.com/thong-tin/blog/nen-vay-tin-chap-o-dau" TargetMode="External"/><Relationship Id="rId315" Type="http://schemas.openxmlformats.org/officeDocument/2006/relationships/hyperlink" Target="https://techcombank.com/thong-tin/blog/so-tiet-kiem-ngan-hang" TargetMode="External"/><Relationship Id="rId436" Type="http://schemas.openxmlformats.org/officeDocument/2006/relationships/hyperlink" Target="https://techcombank.com/thong-tin/blog/co-nen-gui-chung-chi-tien-gui" TargetMode="External"/><Relationship Id="rId314" Type="http://schemas.openxmlformats.org/officeDocument/2006/relationships/hyperlink" Target="https://techcombank.com/thong-tin/blog/chung-chi-tien-gui-la-gi" TargetMode="External"/><Relationship Id="rId435" Type="http://schemas.openxmlformats.org/officeDocument/2006/relationships/hyperlink" Target="https://techcombank.com/thong-tin/blog/nen-vay-tin-chap-o-dau" TargetMode="External"/><Relationship Id="rId313" Type="http://schemas.openxmlformats.org/officeDocument/2006/relationships/hyperlink" Target="https://techcombank.com/thong-tin/blog/so-tiet-kiem-ngan-hang" TargetMode="External"/><Relationship Id="rId434" Type="http://schemas.openxmlformats.org/officeDocument/2006/relationships/hyperlink" Target="https://techcombank.com/thong-tin/blog/cach-chuyen-tien-qua-ma-qr-techcombank" TargetMode="External"/><Relationship Id="rId319" Type="http://schemas.openxmlformats.org/officeDocument/2006/relationships/hyperlink" Target="https://techcombank.com/thong-tin/blog/so-tiet-kiem-ngan-hang" TargetMode="External"/><Relationship Id="rId318" Type="http://schemas.openxmlformats.org/officeDocument/2006/relationships/hyperlink" Target="https://techcombank.com/thong-tin/blog/cach-dong-tien-dien-qua-tai-khoan-ngan-hang" TargetMode="External"/><Relationship Id="rId439" Type="http://schemas.openxmlformats.org/officeDocument/2006/relationships/hyperlink" Target="https://techcombank.com/thong-tin/blog/nen-vay-tin-chap-o-dau" TargetMode="External"/><Relationship Id="rId317" Type="http://schemas.openxmlformats.org/officeDocument/2006/relationships/hyperlink" Target="https://techcombank.com/thong-tin/blog/so-tiet-kiem-ngan-hang" TargetMode="External"/><Relationship Id="rId438" Type="http://schemas.openxmlformats.org/officeDocument/2006/relationships/hyperlink" Target="https://techcombank.com/thong-tin/blog/ho-so-thu-tuc-xoa-the-chap" TargetMode="External"/><Relationship Id="rId312" Type="http://schemas.openxmlformats.org/officeDocument/2006/relationships/hyperlink" Target="https://techcombank.com/thong-tin/blog/cach-tiet-kiem-100-trieu-1-nam" TargetMode="External"/><Relationship Id="rId433" Type="http://schemas.openxmlformats.org/officeDocument/2006/relationships/hyperlink" Target="https://techcombank.com/thong-tin/blog/nen-vay-tin-chap-o-dau" TargetMode="External"/><Relationship Id="rId311" Type="http://schemas.openxmlformats.org/officeDocument/2006/relationships/hyperlink" Target="https://techcombank.com/thong-tin/blog/so-tiet-kiem-ngan-hang" TargetMode="External"/><Relationship Id="rId432" Type="http://schemas.openxmlformats.org/officeDocument/2006/relationships/hyperlink" Target="https://techcombank.com/thong-tin/blog/chuong-trinh-khach-hang-than-thiet" TargetMode="External"/><Relationship Id="rId310" Type="http://schemas.openxmlformats.org/officeDocument/2006/relationships/hyperlink" Target="https://techcombank.com/thong-tin/blog/cach-sao-ke-tai-khoan-ngan-hang" TargetMode="External"/><Relationship Id="rId431" Type="http://schemas.openxmlformats.org/officeDocument/2006/relationships/hyperlink" Target="https://techcombank.com/thong-tin/blog/nen-vay-tin-chap-o-dau" TargetMode="External"/><Relationship Id="rId430" Type="http://schemas.openxmlformats.org/officeDocument/2006/relationships/hyperlink" Target="https://techcombank.com/thong-tin/blog/tra-no-vay-thau-chi-nhu-the-nao"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 Id="rId40" Type="http://schemas.openxmlformats.org/officeDocument/2006/relationships/hyperlink" Target="https://techcombank.com/thong-tin/blog/1-dong-do-la-my-bang-bao-nhieu-tien-viet-nam" TargetMode="External"/><Relationship Id="rId42" Type="http://schemas.openxmlformats.org/officeDocument/2006/relationships/hyperlink" Target="https://techcombank.com/thong-tin/blog/1-yen-bang-bao-nhieu-tien-viet-nam" TargetMode="External"/><Relationship Id="rId41" Type="http://schemas.openxmlformats.org/officeDocument/2006/relationships/hyperlink" Target="https://techcombank.com/thong-tin/blog/tien-nhat" TargetMode="External"/><Relationship Id="rId44" Type="http://schemas.openxmlformats.org/officeDocument/2006/relationships/hyperlink" Target="https://techcombank.com/thong-tin/blog/tien-dai-loan" TargetMode="External"/><Relationship Id="rId43" Type="http://schemas.openxmlformats.org/officeDocument/2006/relationships/hyperlink" Target="https://techcombank.com/thong-tin/blog/1-won-bang-bao-nhieu-tien-viet" TargetMode="External"/><Relationship Id="rId46" Type="http://schemas.openxmlformats.org/officeDocument/2006/relationships/hyperlink" Target="https://techcombank.com/thong-tin/blog/tien-thai-lan" TargetMode="External"/><Relationship Id="rId45" Type="http://schemas.openxmlformats.org/officeDocument/2006/relationships/hyperlink" Target="https://techcombank.com/thong-tin/blog/1-man-bang-bao-nhieu-tien-viet" TargetMode="External"/><Relationship Id="rId48" Type="http://schemas.openxmlformats.org/officeDocument/2006/relationships/hyperlink" Target="https://techcombank.com/thong-tin/blog/1000-won-bang-bao-nhieu-tien-viet" TargetMode="External"/><Relationship Id="rId47" Type="http://schemas.openxmlformats.org/officeDocument/2006/relationships/hyperlink" Target="https://techcombank.com/thong-tin/blog/1-trieu-do-bang-bao-nhieu-tien-viet" TargetMode="External"/><Relationship Id="rId49" Type="http://schemas.openxmlformats.org/officeDocument/2006/relationships/hyperlink" Target="https://techcombank.com/thong-tin/blog/cach-nhan-tien-tu-nuoc-ngoai-ve-viet-nam" TargetMode="External"/><Relationship Id="rId31" Type="http://schemas.openxmlformats.org/officeDocument/2006/relationships/hyperlink" Target="https://techcombank.com/thong-tin/blog/lam-the-tin-dung" TargetMode="External"/><Relationship Id="rId30" Type="http://schemas.openxmlformats.org/officeDocument/2006/relationships/hyperlink" Target="https://techcombank.com/thong-tin/blog/rut-tien-mat-tu-the-tin-dung" TargetMode="External"/><Relationship Id="rId33" Type="http://schemas.openxmlformats.org/officeDocument/2006/relationships/hyperlink" Target="https://techcombank.com/thong-tin/blog/the-tin-dung-hoan-tien" TargetMode="External"/><Relationship Id="rId32" Type="http://schemas.openxmlformats.org/officeDocument/2006/relationships/hyperlink" Target="https://techcombank.com/khach-hang-ca-nhan/chi-tieu/the/the-tin-dung/techcombank-everyday" TargetMode="External"/><Relationship Id="rId35" Type="http://schemas.openxmlformats.org/officeDocument/2006/relationships/hyperlink" Target="https://techcombank.com/thong-tin/blog/xep-hang-tin-dung" TargetMode="External"/><Relationship Id="rId34" Type="http://schemas.openxmlformats.org/officeDocument/2006/relationships/hyperlink" Target="https://techcombank.com/thong-tin/blog/cach-huy-the-tin-dung" TargetMode="External"/><Relationship Id="rId37" Type="http://schemas.openxmlformats.org/officeDocument/2006/relationships/hyperlink" Target="https://techcombank.com/thong-tin/blog/chung-chi-tien-gui-la-gi" TargetMode="External"/><Relationship Id="rId36" Type="http://schemas.openxmlformats.org/officeDocument/2006/relationships/hyperlink" Target="https://techcombank.com/thong-tin/blog/cach-thanh-toan-the-tin-dung" TargetMode="External"/><Relationship Id="rId39" Type="http://schemas.openxmlformats.org/officeDocument/2006/relationships/hyperlink" Target="https://techcombank.com/thong-tin/blog/1-te-bang-bao-nhieu-tien-viet-nam" TargetMode="External"/><Relationship Id="rId38" Type="http://schemas.openxmlformats.org/officeDocument/2006/relationships/hyperlink" Target="https://techcombank.com/thong-tin/blog/lai-suat-chung-chi-tien-gui-cac-ngan-hang" TargetMode="External"/><Relationship Id="rId20" Type="http://schemas.openxmlformats.org/officeDocument/2006/relationships/hyperlink" Target="https://techcombank.com/thong-tin/blog/nap-tien-vao-tai-khoan-ngan-hang" TargetMode="External"/><Relationship Id="rId22" Type="http://schemas.openxmlformats.org/officeDocument/2006/relationships/hyperlink" Target="https://techcombank.com/thong-tin/blog/day-so-phat-tai-phat-loc" TargetMode="External"/><Relationship Id="rId21" Type="http://schemas.openxmlformats.org/officeDocument/2006/relationships/hyperlink" Target="https://techcombank.com/thong-tin/blog/cach-sao-ke-tai-khoan-ngan-hang" TargetMode="External"/><Relationship Id="rId24" Type="http://schemas.openxmlformats.org/officeDocument/2006/relationships/hyperlink" Target="https://techcombank.com/thong-tin/blog/ten-dang-nhap-tai-khoan-ngan-hang-la-gi" TargetMode="External"/><Relationship Id="rId23" Type="http://schemas.openxmlformats.org/officeDocument/2006/relationships/hyperlink" Target="https://techcombank.com/thong-tin/blog/kiem-tra-thue-thu-nhap-ca-nhan" TargetMode="External"/><Relationship Id="rId26" Type="http://schemas.openxmlformats.org/officeDocument/2006/relationships/hyperlink" Target="https://techcombank.com/thong-tin/blog/rut-tien-bang-ma-qr-la-gi-cach-thuc-hien-nhu-the-nao" TargetMode="External"/><Relationship Id="rId25" Type="http://schemas.openxmlformats.org/officeDocument/2006/relationships/hyperlink" Target="https://techcombank.com/thong-tin/blog/thue-thu-nhap-ca-nhan" TargetMode="External"/><Relationship Id="rId28" Type="http://schemas.openxmlformats.org/officeDocument/2006/relationships/hyperlink" Target="https://techcombank.com/thong-tin/blog/eco-card" TargetMode="External"/><Relationship Id="rId27" Type="http://schemas.openxmlformats.org/officeDocument/2006/relationships/hyperlink" Target="https://techcombank.com/thong-tin/blog/cach-quet-nfc-cccd-tren-iphone" TargetMode="External"/><Relationship Id="rId29" Type="http://schemas.openxmlformats.org/officeDocument/2006/relationships/hyperlink" Target="https://techcombank.com/thong-tin/blog/cic-la-gi" TargetMode="External"/><Relationship Id="rId11" Type="http://schemas.openxmlformats.org/officeDocument/2006/relationships/hyperlink" Target="https://techcombank.com/thong-tin/blog/cach-tinh-tien-dien-sinh-hoat" TargetMode="External"/><Relationship Id="rId10" Type="http://schemas.openxmlformats.org/officeDocument/2006/relationships/hyperlink" Target="https://techcombank.com/thong-tin/blog/cach-nap-the-viettel" TargetMode="External"/><Relationship Id="rId13" Type="http://schemas.openxmlformats.org/officeDocument/2006/relationships/hyperlink" Target="https://techcombank.com/thong-tin/blog/cach-kiem-tra-tai-khoan-ngan-hang" TargetMode="External"/><Relationship Id="rId12" Type="http://schemas.openxmlformats.org/officeDocument/2006/relationships/hyperlink" Target="https://techcombank.com/thong-tin/blog/cach-tinh-thue-thu-nhap-ca-nhan-2025" TargetMode="External"/><Relationship Id="rId15" Type="http://schemas.openxmlformats.org/officeDocument/2006/relationships/hyperlink" Target="https://techcombank.com/thong-tin/blog/ngan-hang-uy-tin" TargetMode="External"/><Relationship Id="rId14" Type="http://schemas.openxmlformats.org/officeDocument/2006/relationships/hyperlink" Target="https://techcombank.com/thong-tin/blog/cach-mo-tai-khoan"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mo-tai-khoan-ngan-hang-duoi-18-tuoi" TargetMode="External"/><Relationship Id="rId18" Type="http://schemas.openxmlformats.org/officeDocument/2006/relationships/hyperlink" Target="https://techcombank.com/thong-tin/blog/cach-mo-tai-khoan" TargetMode="External"/><Relationship Id="rId73" Type="http://schemas.openxmlformats.org/officeDocument/2006/relationships/hyperlink" Target="https://techcombank.com/thong-tin/blog/nen-vay-tin-chap-o-dau" TargetMode="External"/><Relationship Id="rId72" Type="http://schemas.openxmlformats.org/officeDocument/2006/relationships/hyperlink" Target="https://techcombank.com/thong-tin/blog/kiem-tra-no-xau" TargetMode="External"/><Relationship Id="rId75" Type="http://schemas.openxmlformats.org/officeDocument/2006/relationships/hyperlink" Target="https://techcombank.com/thong-tin/blog/vay-tin-chap-khong-tra-duoc-co-sao-khong" TargetMode="External"/><Relationship Id="rId74" Type="http://schemas.openxmlformats.org/officeDocument/2006/relationships/hyperlink" Target="https://techcombank.com/thong-tin/blog/no-xau-la-gi" TargetMode="External"/><Relationship Id="rId77" Type="http://schemas.openxmlformats.org/officeDocument/2006/relationships/drawing" Target="../drawings/drawing6.xml"/><Relationship Id="rId76" Type="http://schemas.openxmlformats.org/officeDocument/2006/relationships/hyperlink" Target="https://techcombank.com/thong-tin/blog/phuong-phap-dau-tu-chung-chi-quy" TargetMode="External"/><Relationship Id="rId71" Type="http://schemas.openxmlformats.org/officeDocument/2006/relationships/hyperlink" Target="https://techcombank.com/thong-tin/blog/vay-thau-chi-la-gi" TargetMode="External"/><Relationship Id="rId70" Type="http://schemas.openxmlformats.org/officeDocument/2006/relationships/hyperlink" Target="https://techcombank.com/thong-tin/blog/lai-suat-vay-ngan-hang" TargetMode="External"/><Relationship Id="rId62" Type="http://schemas.openxmlformats.org/officeDocument/2006/relationships/hyperlink" Target="https://techcombank.com/thong-tin/blog/cach-tinh-lai-suat-tien-gui-tiet-kiem" TargetMode="External"/><Relationship Id="rId61" Type="http://schemas.openxmlformats.org/officeDocument/2006/relationships/hyperlink" Target="https://techcombank.com/thong-tin/blog/lai-suat-tiet-kiem" TargetMode="External"/><Relationship Id="rId64" Type="http://schemas.openxmlformats.org/officeDocument/2006/relationships/hyperlink" Target="https://techcombank.com/thong-tin/blog/so-tiet-kiem-ngan-hang" TargetMode="External"/><Relationship Id="rId63" Type="http://schemas.openxmlformats.org/officeDocument/2006/relationships/hyperlink" Target="https://techcombank.com/thong-tin/blog/rut-tien-tiet-kiem-truoc-thoi-han" TargetMode="External"/><Relationship Id="rId66" Type="http://schemas.openxmlformats.org/officeDocument/2006/relationships/hyperlink" Target="https://techcombank.com/thong-tin/blog/rui-ro-khi-gui-tiet-kiem-online" TargetMode="External"/><Relationship Id="rId65" Type="http://schemas.openxmlformats.org/officeDocument/2006/relationships/hyperlink" Target="https://techcombank.com/thong-tin/blog/cach-tiet-kiem-tien" TargetMode="External"/><Relationship Id="rId68" Type="http://schemas.openxmlformats.org/officeDocument/2006/relationships/hyperlink" Target="https://techcombank.com/cong-cu-tien-ich/cong-cu-tinh-toan/bang-tinh-lai-suat-tiet-kiem" TargetMode="External"/><Relationship Id="rId67" Type="http://schemas.openxmlformats.org/officeDocument/2006/relationships/hyperlink" Target="https://techcombank.com/cong-cu-tien-ich/cong-cu-tinh-toan/bang-tinh-lai-suat-vay" TargetMode="External"/><Relationship Id="rId60" Type="http://schemas.openxmlformats.org/officeDocument/2006/relationships/hyperlink" Target="https://techcombank.com/thong-tin/blog/ho-so-thu-tuc-xoa-the-chap" TargetMode="External"/><Relationship Id="rId69" Type="http://schemas.openxmlformats.org/officeDocument/2006/relationships/hyperlink" Target="https://techcombank.com/thong-tin/blog/app-vay-tien-nhanh" TargetMode="External"/><Relationship Id="rId51" Type="http://schemas.openxmlformats.org/officeDocument/2006/relationships/hyperlink" Target="https://techcombank.com/thong-tin/blog/vay-ngan-hang-1-ty-moi-thang-tra-bao-nhieu" TargetMode="External"/><Relationship Id="rId50" Type="http://schemas.openxmlformats.org/officeDocument/2006/relationships/hyperlink" Target="https://techcombank.com/thong-tin/blog/doi-tien-do-o-dau" TargetMode="External"/><Relationship Id="rId53" Type="http://schemas.openxmlformats.org/officeDocument/2006/relationships/hyperlink" Target="https://techcombank.com/thong-tin/blog/ho-kinh-doanh-dong-thue-nhu-nao" TargetMode="External"/><Relationship Id="rId52" Type="http://schemas.openxmlformats.org/officeDocument/2006/relationships/hyperlink" Target="https://techcombank.com/thong-tin/blog/traveloka-voucher" TargetMode="External"/><Relationship Id="rId55" Type="http://schemas.openxmlformats.org/officeDocument/2006/relationships/hyperlink" Target="https://techcombank.com/thong-tin/blog/gui-ma-qr-ngan-hang" TargetMode="External"/><Relationship Id="rId54" Type="http://schemas.openxmlformats.org/officeDocument/2006/relationships/hyperlink" Target="https://techcombank.com/thong-tin/blog/mo-hinh-kinh-doanh-la-gi"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mo-tai-khoan-ho-kinh-doanh"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cach-tinh-lai-vay-ngan-ha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techcombank.com/thong-tin/blog/lai-suat-tiet-kiem" TargetMode="External"/><Relationship Id="rId2" Type="http://schemas.openxmlformats.org/officeDocument/2006/relationships/hyperlink" Target="https://techcombank.com/thong-tin/blog/lai-suat-tiet-kiem" TargetMode="External"/><Relationship Id="rId3" Type="http://schemas.openxmlformats.org/officeDocument/2006/relationships/hyperlink" Target="https://techcombank.com/thong-tin/blog/lai-suat-tiet-kiem" TargetMode="External"/><Relationship Id="rId4" Type="http://schemas.openxmlformats.org/officeDocument/2006/relationships/hyperlink" Target="https://techcombank.com/thong-tin/blog/lai-suat-tiet-kiem" TargetMode="External"/><Relationship Id="rId9" Type="http://schemas.openxmlformats.org/officeDocument/2006/relationships/hyperlink" Target="https://techcombank.com/thong-tin/blog/lai-suat-tiet-kiem" TargetMode="External"/><Relationship Id="rId5" Type="http://schemas.openxmlformats.org/officeDocument/2006/relationships/hyperlink" Target="https://techcombank.com/thong-tin/blog/lai-suat-tiet-kiem" TargetMode="External"/><Relationship Id="rId6" Type="http://schemas.openxmlformats.org/officeDocument/2006/relationships/hyperlink" Target="https://techcombank.com/thong-tin/blog/lai-suat-tiet-kiem" TargetMode="External"/><Relationship Id="rId7" Type="http://schemas.openxmlformats.org/officeDocument/2006/relationships/hyperlink" Target="https://techcombank.com/thong-tin/blog/lai-suat-tiet-kiem" TargetMode="External"/><Relationship Id="rId8" Type="http://schemas.openxmlformats.org/officeDocument/2006/relationships/hyperlink" Target="https://techcombank.com/thong-tin/blog/lai-suat-tiet-kiem" TargetMode="External"/><Relationship Id="rId40" Type="http://schemas.openxmlformats.org/officeDocument/2006/relationships/hyperlink" Target="https://techcombank.com/thong-tin/blog/cach-tinh-lai-suat-tien-gui-tiet-kiem" TargetMode="External"/><Relationship Id="rId42" Type="http://schemas.openxmlformats.org/officeDocument/2006/relationships/hyperlink" Target="https://techcombank.com/cong-cu-tien-ich/cong-cu-tinh-toan/bang-tinh-lai-suat-vay" TargetMode="External"/><Relationship Id="rId41" Type="http://schemas.openxmlformats.org/officeDocument/2006/relationships/hyperlink" Target="https://techcombank.com/thong-tin/blog/cach-tinh-lai-suat-tien-gui-tiet-kiem" TargetMode="External"/><Relationship Id="rId44" Type="http://schemas.openxmlformats.org/officeDocument/2006/relationships/hyperlink" Target="https://techcombank.com/cong-cu-tien-ich/cong-cu-tinh-toan/bang-tinh-lai-suat-vay" TargetMode="External"/><Relationship Id="rId43" Type="http://schemas.openxmlformats.org/officeDocument/2006/relationships/hyperlink" Target="https://techcombank.com/cong-cu-tien-ich/cong-cu-tinh-toan/bang-tinh-lai-suat-vay" TargetMode="External"/><Relationship Id="rId46" Type="http://schemas.openxmlformats.org/officeDocument/2006/relationships/hyperlink" Target="https://techcombank.com/thong-tin/blog/nop-thue-dat-qua-ngan-hang" TargetMode="External"/><Relationship Id="rId45" Type="http://schemas.openxmlformats.org/officeDocument/2006/relationships/hyperlink" Target="https://techcombank.com/thong-tin/blog/nop-thue-dat-qua-ngan-hang" TargetMode="External"/><Relationship Id="rId48" Type="http://schemas.openxmlformats.org/officeDocument/2006/relationships/hyperlink" Target="https://techcombank.com/thong-tin/blog/lai-suat-vay-ngan-hang"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lai-suat-vay-ngan-hang" TargetMode="External"/><Relationship Id="rId31" Type="http://schemas.openxmlformats.org/officeDocument/2006/relationships/hyperlink" Target="https://techcombank.com/thong-tin/blog/app-vay-tien-nhanh" TargetMode="External"/><Relationship Id="rId30" Type="http://schemas.openxmlformats.org/officeDocument/2006/relationships/hyperlink" Target="https://techcombank.com/thong-tin/blog/app-vay-tien-nhanh" TargetMode="External"/><Relationship Id="rId33" Type="http://schemas.openxmlformats.org/officeDocument/2006/relationships/hyperlink" Target="https://techcombank.com/thong-tin/blog/app-vay-tien-nhanh" TargetMode="External"/><Relationship Id="rId32" Type="http://schemas.openxmlformats.org/officeDocument/2006/relationships/hyperlink" Target="https://techcombank.com/thong-tin/blog/app-vay-tien-nhanh" TargetMode="External"/><Relationship Id="rId35" Type="http://schemas.openxmlformats.org/officeDocument/2006/relationships/hyperlink" Target="https://techcombank.com/thong-tin/blog/cach-tinh-lai-suat-tien-gui-tiet-kiem" TargetMode="External"/><Relationship Id="rId34" Type="http://schemas.openxmlformats.org/officeDocument/2006/relationships/hyperlink" Target="https://techcombank.com/thong-tin/blog/cach-tinh-lai-suat-tien-gui-tiet-kiem" TargetMode="External"/><Relationship Id="rId37" Type="http://schemas.openxmlformats.org/officeDocument/2006/relationships/hyperlink" Target="https://techcombank.com/thong-tin/blog/cach-tinh-lai-suat-tien-gui-tiet-kiem" TargetMode="External"/><Relationship Id="rId36" Type="http://schemas.openxmlformats.org/officeDocument/2006/relationships/hyperlink" Target="https://techcombank.com/thong-tin/blog/cach-tinh-lai-suat-tien-gui-tiet-kiem" TargetMode="External"/><Relationship Id="rId39" Type="http://schemas.openxmlformats.org/officeDocument/2006/relationships/hyperlink" Target="https://techcombank.com/thong-tin/blog/cach-tinh-lai-suat-tien-gui-tiet-kiem" TargetMode="External"/><Relationship Id="rId38"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app-vay-tien-nhanh" TargetMode="External"/><Relationship Id="rId22" Type="http://schemas.openxmlformats.org/officeDocument/2006/relationships/hyperlink" Target="https://techcombank.com/thong-tin/blog/app-vay-tien-nhanh" TargetMode="External"/><Relationship Id="rId21" Type="http://schemas.openxmlformats.org/officeDocument/2006/relationships/hyperlink" Target="https://techcombank.com/thong-tin/blog/app-vay-tien-nhanh" TargetMode="External"/><Relationship Id="rId24" Type="http://schemas.openxmlformats.org/officeDocument/2006/relationships/hyperlink" Target="https://techcombank.com/thong-tin/blog/app-vay-tien-nhanh" TargetMode="External"/><Relationship Id="rId23" Type="http://schemas.openxmlformats.org/officeDocument/2006/relationships/hyperlink" Target="https://techcombank.com/thong-tin/blog/app-vay-tien-nhanh" TargetMode="External"/><Relationship Id="rId26" Type="http://schemas.openxmlformats.org/officeDocument/2006/relationships/hyperlink" Target="https://techcombank.com/thong-tin/blog/app-vay-tien-nhanh" TargetMode="External"/><Relationship Id="rId25" Type="http://schemas.openxmlformats.org/officeDocument/2006/relationships/hyperlink" Target="https://techcombank.com/thong-tin/blog/app-vay-tien-nhanh" TargetMode="External"/><Relationship Id="rId28" Type="http://schemas.openxmlformats.org/officeDocument/2006/relationships/hyperlink" Target="https://techcombank.com/thong-tin/blog/app-vay-tien-nhanh" TargetMode="External"/><Relationship Id="rId27" Type="http://schemas.openxmlformats.org/officeDocument/2006/relationships/hyperlink" Target="https://techcombank.com/thong-tin/blog/app-vay-tien-nhanh" TargetMode="External"/><Relationship Id="rId29" Type="http://schemas.openxmlformats.org/officeDocument/2006/relationships/hyperlink" Target="https://techcombank.com/thong-tin/blog/app-vay-tien-nhanh" TargetMode="External"/><Relationship Id="rId11" Type="http://schemas.openxmlformats.org/officeDocument/2006/relationships/hyperlink" Target="https://techcombank.com/thong-tin/blog/lai-suat-tiet-kiem" TargetMode="External"/><Relationship Id="rId10" Type="http://schemas.openxmlformats.org/officeDocument/2006/relationships/hyperlink" Target="https://techcombank.com/thong-tin/blog/lai-suat-tiet-kiem" TargetMode="External"/><Relationship Id="rId13" Type="http://schemas.openxmlformats.org/officeDocument/2006/relationships/hyperlink" Target="https://techcombank.com/thong-tin/blog/lai-suat-tiet-kiem" TargetMode="External"/><Relationship Id="rId12" Type="http://schemas.openxmlformats.org/officeDocument/2006/relationships/hyperlink" Target="https://techcombank.com/thong-tin/blog/lai-suat-tiet-kiem" TargetMode="External"/><Relationship Id="rId15" Type="http://schemas.openxmlformats.org/officeDocument/2006/relationships/hyperlink" Target="https://techcombank.com/thong-tin/blog/cic-la-gi" TargetMode="External"/><Relationship Id="rId14" Type="http://schemas.openxmlformats.org/officeDocument/2006/relationships/hyperlink" Target="https://techcombank.com/thong-tin/blog/lai-suat-tiet-kiem" TargetMode="External"/><Relationship Id="rId17" Type="http://schemas.openxmlformats.org/officeDocument/2006/relationships/hyperlink" Target="https://techcombank.com/thong-tin/blog/cic-la-gi"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cic-la-gi" TargetMode="External"/><Relationship Id="rId18" Type="http://schemas.openxmlformats.org/officeDocument/2006/relationships/hyperlink" Target="https://techcombank.com/thong-tin/blog/cic-la-gi" TargetMode="External"/><Relationship Id="rId80" Type="http://schemas.openxmlformats.org/officeDocument/2006/relationships/drawing" Target="../drawings/drawing7.xml"/><Relationship Id="rId73" Type="http://schemas.openxmlformats.org/officeDocument/2006/relationships/hyperlink" Target="https://techcombank.com/thong-tin/blog/cach-nap-the-viettel" TargetMode="External"/><Relationship Id="rId72" Type="http://schemas.openxmlformats.org/officeDocument/2006/relationships/hyperlink" Target="https://techcombank.com/thong-tin/blog/cach-nap-the-viettel" TargetMode="External"/><Relationship Id="rId75" Type="http://schemas.openxmlformats.org/officeDocument/2006/relationships/hyperlink" Target="https://techcombank.com/thong-tin/blog/cach-nap-the-viettel" TargetMode="External"/><Relationship Id="rId74" Type="http://schemas.openxmlformats.org/officeDocument/2006/relationships/hyperlink" Target="https://techcombank.com/thong-tin/blog/cach-nap-the-viettel" TargetMode="External"/><Relationship Id="rId77" Type="http://schemas.openxmlformats.org/officeDocument/2006/relationships/hyperlink" Target="https://techcombank.com/thong-tin/blog/cach-mo-tai-khoan" TargetMode="External"/><Relationship Id="rId76" Type="http://schemas.openxmlformats.org/officeDocument/2006/relationships/hyperlink" Target="https://techcombank.com/thong-tin/blog/cach-mo-tai-khoan" TargetMode="External"/><Relationship Id="rId79" Type="http://schemas.openxmlformats.org/officeDocument/2006/relationships/hyperlink" Target="https://techcombank.com/thong-tin/blog/cach-kiem-tra-tai-khoan-ngan-hang" TargetMode="External"/><Relationship Id="rId78" Type="http://schemas.openxmlformats.org/officeDocument/2006/relationships/hyperlink" Target="https://techcombank.com/thong-tin/blog/cach-kiem-tra-tai-khoan-ngan-hang" TargetMode="External"/><Relationship Id="rId71" Type="http://schemas.openxmlformats.org/officeDocument/2006/relationships/hyperlink" Target="https://techcombank.com/thong-tin/blog/cach-nop-thue-dien-tu" TargetMode="External"/><Relationship Id="rId70" Type="http://schemas.openxmlformats.org/officeDocument/2006/relationships/hyperlink" Target="https://techcombank.com/thong-tin/blog/cach-nop-thue-dien-tu" TargetMode="External"/><Relationship Id="rId62" Type="http://schemas.openxmlformats.org/officeDocument/2006/relationships/hyperlink" Target="https://techcombank.com/thong-tin/blog/ho-kinh-doanh-dong-thue-nhu-nao" TargetMode="External"/><Relationship Id="rId61" Type="http://schemas.openxmlformats.org/officeDocument/2006/relationships/hyperlink" Target="https://techcombank.com/thong-tin/blog/rut-tien-mat-tu-the-tin-dung" TargetMode="External"/><Relationship Id="rId64" Type="http://schemas.openxmlformats.org/officeDocument/2006/relationships/hyperlink" Target="https://techcombank.com/thong-tin/blog/cach-tinh-tien-dien-sinh-hoat" TargetMode="External"/><Relationship Id="rId63" Type="http://schemas.openxmlformats.org/officeDocument/2006/relationships/hyperlink" Target="https://techcombank.com/thong-tin/blog/ho-kinh-doanh-dong-thue-nhu-nao" TargetMode="External"/><Relationship Id="rId66" Type="http://schemas.openxmlformats.org/officeDocument/2006/relationships/hyperlink" Target="https://techcombank.com/thong-tin/blog/cach-tinh-thue-thu-nhap-ca-nhan-2025" TargetMode="External"/><Relationship Id="rId65" Type="http://schemas.openxmlformats.org/officeDocument/2006/relationships/hyperlink" Target="https://techcombank.com/thong-tin/blog/cach-tinh-tien-dien-sinh-hoat" TargetMode="External"/><Relationship Id="rId68" Type="http://schemas.openxmlformats.org/officeDocument/2006/relationships/hyperlink" Target="https://techcombank.com/thong-tin/blog/cach-tinh-lai-vay-ngan-hang" TargetMode="External"/><Relationship Id="rId67" Type="http://schemas.openxmlformats.org/officeDocument/2006/relationships/hyperlink" Target="https://techcombank.com/thong-tin/blog/cach-tinh-thue-thu-nhap-ca-nhan-2025" TargetMode="External"/><Relationship Id="rId60" Type="http://schemas.openxmlformats.org/officeDocument/2006/relationships/hyperlink" Target="https://techcombank.com/thong-tin/blog/rut-tien-mat-tu-the-tin-dung" TargetMode="External"/><Relationship Id="rId69" Type="http://schemas.openxmlformats.org/officeDocument/2006/relationships/hyperlink" Target="https://techcombank.com/thong-tin/blog/cach-tinh-lai-vay-ngan-hang" TargetMode="External"/><Relationship Id="rId51" Type="http://schemas.openxmlformats.org/officeDocument/2006/relationships/hyperlink" Target="https://techcombank.com/thong-tin/blog/lai-suat-vay-ngan-hang" TargetMode="External"/><Relationship Id="rId50" Type="http://schemas.openxmlformats.org/officeDocument/2006/relationships/hyperlink" Target="https://techcombank.com/thong-tin/blog/lai-suat-vay-ngan-hang" TargetMode="External"/><Relationship Id="rId53" Type="http://schemas.openxmlformats.org/officeDocument/2006/relationships/hyperlink" Target="https://techcombank.com/thong-tin/blog/lai-suat-vay-ngan-hang" TargetMode="External"/><Relationship Id="rId52" Type="http://schemas.openxmlformats.org/officeDocument/2006/relationships/hyperlink" Target="https://techcombank.com/thong-tin/blog/lai-suat-vay-ngan-hang" TargetMode="External"/><Relationship Id="rId55" Type="http://schemas.openxmlformats.org/officeDocument/2006/relationships/hyperlink" Target="https://techcombank.com/thong-tin/blog/vay-thau-chi-la-gi" TargetMode="External"/><Relationship Id="rId54" Type="http://schemas.openxmlformats.org/officeDocument/2006/relationships/hyperlink" Target="https://techcombank.com/thong-tin/blog/vay-thau-chi-la-gi" TargetMode="External"/><Relationship Id="rId57" Type="http://schemas.openxmlformats.org/officeDocument/2006/relationships/hyperlink" Target="https://techcombank.com/thong-tin/blog/vay-thau-chi-la-gi" TargetMode="External"/><Relationship Id="rId56" Type="http://schemas.openxmlformats.org/officeDocument/2006/relationships/hyperlink" Target="https://techcombank.com/thong-tin/blog/vay-thau-chi-la-gi" TargetMode="External"/><Relationship Id="rId59" Type="http://schemas.openxmlformats.org/officeDocument/2006/relationships/hyperlink" Target="https://techcombank.com/thong-tin/blog/thue-thu-nhap-doanh-nghiep" TargetMode="External"/><Relationship Id="rId58" Type="http://schemas.openxmlformats.org/officeDocument/2006/relationships/hyperlink" Target="https://techcombank.com/thong-tin/blog/thue-thu-nhap-doanh-nghiep" TargetMode="External"/></Relationships>
</file>

<file path=xl/worksheets/_rels/sheet8.xml.rels><?xml version="1.0" encoding="UTF-8" standalone="yes"?><Relationships xmlns="http://schemas.openxmlformats.org/package/2006/relationships"><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297" Type="http://schemas.openxmlformats.org/officeDocument/2006/relationships/hyperlink" Target="https://techcombank.com/thong-tin/blog/cach-thanh-toan-the-tin-dung" TargetMode="External"/><Relationship Id="rId175" Type="http://schemas.openxmlformats.org/officeDocument/2006/relationships/hyperlink" Target="https://techcombank.com/thong-tin/blog/day-so-phat-tai-phat-loc" TargetMode="External"/><Relationship Id="rId296" Type="http://schemas.openxmlformats.org/officeDocument/2006/relationships/hyperlink" Target="https://techcombank.com/thong-tin/blog/thanh-toan-toi-thieu-the-tin-dung" TargetMode="External"/><Relationship Id="rId174" Type="http://schemas.openxmlformats.org/officeDocument/2006/relationships/hyperlink" Target="https://techcombank.com/thong-tin/blog/cach-chon-so-tai-khoan-dep" TargetMode="External"/><Relationship Id="rId295" Type="http://schemas.openxmlformats.org/officeDocument/2006/relationships/hyperlink" Target="https://techcombank.com/thong-tin/blog/cach-thanh-toan-the-tin-dung" TargetMode="External"/><Relationship Id="rId173" Type="http://schemas.openxmlformats.org/officeDocument/2006/relationships/hyperlink" Target="https://techcombank.com/thong-tin/blog/day-so-phat-tai-phat-loc" TargetMode="External"/><Relationship Id="rId294" Type="http://schemas.openxmlformats.org/officeDocument/2006/relationships/hyperlink" Target="https://techcombank.com/thong-tin/blog/no-xau-co-vay-the-chap-duoc-khong"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299" Type="http://schemas.openxmlformats.org/officeDocument/2006/relationships/hyperlink" Target="https://techcombank.com/thong-tin/blog/cach-thanh-toan-the-tin-dung" TargetMode="External"/><Relationship Id="rId177" Type="http://schemas.openxmlformats.org/officeDocument/2006/relationships/hyperlink" Target="https://techcombank.com/thong-tin/blog/kiem-tra-thue-thu-nhap-ca-nhan" TargetMode="External"/><Relationship Id="rId298" Type="http://schemas.openxmlformats.org/officeDocument/2006/relationships/hyperlink" Target="https://techcombank.com/thong-tin/blog/qua-han-thanh-toan-the-tin-dung-1-ngay"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271" Type="http://schemas.openxmlformats.org/officeDocument/2006/relationships/hyperlink" Target="https://techcombank.com/thong-tin/blog/the-tin-dung-hoan-tien" TargetMode="External"/><Relationship Id="rId392" Type="http://schemas.openxmlformats.org/officeDocument/2006/relationships/hyperlink" Target="https://techcombank.com/thong-tin/blog/di-du-lich-nuoc-ngoai-can-chuan-bi-gi" TargetMode="External"/><Relationship Id="rId270" Type="http://schemas.openxmlformats.org/officeDocument/2006/relationships/hyperlink" Target="https://techcombank.com/thong-tin/blog/thanh-toan-tien-dien-bang-the-tin-dung"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149" Type="http://schemas.openxmlformats.org/officeDocument/2006/relationships/hyperlink" Target="https://techcombank.com/thong-tin/blog/mo-tai-khoan-ngan-hang-duoi-18-tuoi" TargetMode="External"/><Relationship Id="rId4" Type="http://schemas.openxmlformats.org/officeDocument/2006/relationships/hyperlink" Target="https://techcombank.com/thong-tin/blog/co-nen-mua-o-to-tra-gop" TargetMode="External"/><Relationship Id="rId148" Type="http://schemas.openxmlformats.org/officeDocument/2006/relationships/hyperlink" Target="https://techcombank.com/thong-tin/blog/mo-tai-khoan-tiet-kiem-cho-con" TargetMode="External"/><Relationship Id="rId269" Type="http://schemas.openxmlformats.org/officeDocument/2006/relationships/hyperlink" Target="https://techcombank.com/thong-tin/blog/the-tin-dung-hoan-tien" TargetMode="External"/><Relationship Id="rId9" Type="http://schemas.openxmlformats.org/officeDocument/2006/relationships/hyperlink" Target="https://techcombank.com/thong-tin/blog/lai-suat-vay-mua-o-to" TargetMode="External"/><Relationship Id="rId143" Type="http://schemas.openxmlformats.org/officeDocument/2006/relationships/hyperlink" Target="https://techcombank.com/thong-tin/blog/bao-nhieu-tuoi-duoc-mo-tai-khoan-ngan-hang" TargetMode="External"/><Relationship Id="rId264" Type="http://schemas.openxmlformats.org/officeDocument/2006/relationships/hyperlink" Target="https://techcombank.com/thong-tin/blog/uu-dai-the-tin-dung" TargetMode="External"/><Relationship Id="rId385" Type="http://schemas.openxmlformats.org/officeDocument/2006/relationships/hyperlink" Target="https://techcombank.com/thong-tin/blog/tien-thai-lan" TargetMode="External"/><Relationship Id="rId142" Type="http://schemas.openxmlformats.org/officeDocument/2006/relationships/hyperlink" Target="https://techcombank.com/thong-tin/blog/hoc-sinh-sinh-vien-nen-lam-the-ngan-hang-nao" TargetMode="External"/><Relationship Id="rId263" Type="http://schemas.openxmlformats.org/officeDocument/2006/relationships/hyperlink" Target="https://techcombank.com/khach-hang-ca-nhan/chi-tieu/the/the-tin-dung/techcombank-everyday" TargetMode="External"/><Relationship Id="rId384" Type="http://schemas.openxmlformats.org/officeDocument/2006/relationships/hyperlink" Target="https://techcombank.com/thong-tin/blog/thanh-toan-khi-du-lich-nhat-ban" TargetMode="External"/><Relationship Id="rId141" Type="http://schemas.openxmlformats.org/officeDocument/2006/relationships/hyperlink" Target="https://techcombank.com/thong-tin/blog/bao-nhieu-tuoi-duoc-mo-tai-khoan-ngan-hang" TargetMode="External"/><Relationship Id="rId262" Type="http://schemas.openxmlformats.org/officeDocument/2006/relationships/hyperlink" Target="https://techcombank.com/thong-tin/blog/thoi-gian-hoan-tien-the-tin-dung" TargetMode="External"/><Relationship Id="rId383" Type="http://schemas.openxmlformats.org/officeDocument/2006/relationships/hyperlink" Target="https://techcombank.com/thong-tin/blog/1-man-bang-bao-nhieu-tien-viet" TargetMode="External"/><Relationship Id="rId140" Type="http://schemas.openxmlformats.org/officeDocument/2006/relationships/hyperlink" Target="https://techcombank.com/thong-tin/blog/mo-tai-khoan-ngan-hang-cho-tre-em" TargetMode="External"/><Relationship Id="rId261" Type="http://schemas.openxmlformats.org/officeDocument/2006/relationships/hyperlink" Target="https://techcombank.com/khach-hang-ca-nhan/chi-tieu/the/the-tin-dung/techcombank-everyday" TargetMode="External"/><Relationship Id="rId382" Type="http://schemas.openxmlformats.org/officeDocument/2006/relationships/hyperlink" Target="https://techcombank.com/thong-tin/blog/chuyen-tien-tu-nhat-ve-viet-nam" TargetMode="External"/><Relationship Id="rId5" Type="http://schemas.openxmlformats.org/officeDocument/2006/relationships/hyperlink" Target="https://techcombank.com/thong-tin/blog/lai-suat-vay-mua-o-to" TargetMode="External"/><Relationship Id="rId147" Type="http://schemas.openxmlformats.org/officeDocument/2006/relationships/hyperlink" Target="https://techcombank.com/thong-tin/blog/mo-tai-khoan-ngan-hang-duoi-18-tuoi" TargetMode="External"/><Relationship Id="rId268" Type="http://schemas.openxmlformats.org/officeDocument/2006/relationships/hyperlink" Target="https://techcombank.com/thong-tin/blog/mo-the-tin-dung-co-loi-ich-gi" TargetMode="External"/><Relationship Id="rId389" Type="http://schemas.openxmlformats.org/officeDocument/2006/relationships/hyperlink" Target="https://techcombank.com/thong-tin/blog/tien-thai-lan" TargetMode="External"/><Relationship Id="rId6" Type="http://schemas.openxmlformats.org/officeDocument/2006/relationships/hyperlink" Target="https://techcombank.com/thong-tin/blog/thu-tuc-mua-xe-tra-gop" TargetMode="External"/><Relationship Id="rId146" Type="http://schemas.openxmlformats.org/officeDocument/2006/relationships/hyperlink" Target="https://techcombank.com/thong-tin/blog/the-debit-cho-con" TargetMode="External"/><Relationship Id="rId267" Type="http://schemas.openxmlformats.org/officeDocument/2006/relationships/hyperlink" Target="https://techcombank.com/khach-hang-ca-nhan/chi-tieu/the/the-tin-dung/techcombank-everyday" TargetMode="External"/><Relationship Id="rId388" Type="http://schemas.openxmlformats.org/officeDocument/2006/relationships/hyperlink" Target="https://techcombank.com/thong-tin/blog/thanh-toan-qr-thai-lan" TargetMode="External"/><Relationship Id="rId7" Type="http://schemas.openxmlformats.org/officeDocument/2006/relationships/hyperlink" Target="https://techcombank.com/thong-tin/blog/lai-suat-vay-mua-o-to" TargetMode="External"/><Relationship Id="rId145" Type="http://schemas.openxmlformats.org/officeDocument/2006/relationships/hyperlink" Target="https://techcombank.com/thong-tin/blog/mo-tai-khoan-ngan-hang-duoi-18-tuoi" TargetMode="External"/><Relationship Id="rId266" Type="http://schemas.openxmlformats.org/officeDocument/2006/relationships/hyperlink" Target="https://techcombank.com/thong-tin/blog/cac-loai-the-tin-dung" TargetMode="External"/><Relationship Id="rId387" Type="http://schemas.openxmlformats.org/officeDocument/2006/relationships/hyperlink" Target="https://techcombank.com/thong-tin/blog/tien-thai-lan" TargetMode="External"/><Relationship Id="rId8" Type="http://schemas.openxmlformats.org/officeDocument/2006/relationships/hyperlink" Target="https://techcombank.com/thong-tin/blog/nen-mua-xe-tra-gop-hay-tra-thang" TargetMode="External"/><Relationship Id="rId144" Type="http://schemas.openxmlformats.org/officeDocument/2006/relationships/hyperlink" Target="https://techcombank.com/thong-tin/blog/cach-lam-the-atm" TargetMode="External"/><Relationship Id="rId265" Type="http://schemas.openxmlformats.org/officeDocument/2006/relationships/hyperlink" Target="https://techcombank.com/khach-hang-ca-nhan/chi-tieu/the/the-tin-dung/techcombank-everyday" TargetMode="External"/><Relationship Id="rId386" Type="http://schemas.openxmlformats.org/officeDocument/2006/relationships/hyperlink" Target="https://techcombank.com/thong-tin/blog/thanh-toan-khi-du-lich-thai-lan" TargetMode="External"/><Relationship Id="rId260" Type="http://schemas.openxmlformats.org/officeDocument/2006/relationships/hyperlink" Target="https://techcombank.com/thong-tin/blog/the-tin-dung-nao-nhieu-uu-dai-nhat"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259" Type="http://schemas.openxmlformats.org/officeDocument/2006/relationships/hyperlink" Target="https://techcombank.com/khach-hang-ca-nhan/chi-tieu/the/the-tin-dung/techcombank-everyday" TargetMode="External"/><Relationship Id="rId137" Type="http://schemas.openxmlformats.org/officeDocument/2006/relationships/hyperlink" Target="https://techcombank.com/thong-tin/blog/chuyen-khoan-thanh-cong-nhung-khong-nhan-duoc-tien" TargetMode="External"/><Relationship Id="rId258" Type="http://schemas.openxmlformats.org/officeDocument/2006/relationships/hyperlink" Target="https://techcombank.com/thong-tin/blog/co-nen-dung-the-tin-dung-khong" TargetMode="External"/><Relationship Id="rId379" Type="http://schemas.openxmlformats.org/officeDocument/2006/relationships/hyperlink" Target="https://techcombank.com/thong-tin/blog/1-man-bang-bao-nhieu-tien-viet" TargetMode="External"/><Relationship Id="rId132" Type="http://schemas.openxmlformats.org/officeDocument/2006/relationships/hyperlink" Target="https://techcombank.com/thong-tin/blog/chuyen-khoan-lien-ngan-hang" TargetMode="External"/><Relationship Id="rId253" Type="http://schemas.openxmlformats.org/officeDocument/2006/relationships/hyperlink" Target="https://techcombank.com/thong-tin/blog/lam-the-tin-dung" TargetMode="External"/><Relationship Id="rId374" Type="http://schemas.openxmlformats.org/officeDocument/2006/relationships/hyperlink" Target="https://techcombank.com/thong-tin/blog/han-muc-mua-ngoai-te-khi-di-du-lich" TargetMode="External"/><Relationship Id="rId495" Type="http://schemas.openxmlformats.org/officeDocument/2006/relationships/hyperlink" Target="https://techcombank.com/thong-tin/blog/cach-tinh-lai-vay-ngan-hang" TargetMode="External"/><Relationship Id="rId131" Type="http://schemas.openxmlformats.org/officeDocument/2006/relationships/hyperlink" Target="https://techcombank.com/thong-tin/blog/chuyen-khoan-thanh-cong-nhung-khong-nhan-duoc-tien" TargetMode="External"/><Relationship Id="rId252" Type="http://schemas.openxmlformats.org/officeDocument/2006/relationships/hyperlink" Target="https://techcombank.com/thong-tin/blog/mo-the-tin-dung-chi-can-cccd" TargetMode="External"/><Relationship Id="rId373" Type="http://schemas.openxmlformats.org/officeDocument/2006/relationships/hyperlink" Target="https://techcombank.com/thong-tin/blog/tien-dai-loan" TargetMode="External"/><Relationship Id="rId494" Type="http://schemas.openxmlformats.org/officeDocument/2006/relationships/hyperlink" Target="https://techcombank.com/thong-tin/blog/du-no-la-gi" TargetMode="External"/><Relationship Id="rId130" Type="http://schemas.openxmlformats.org/officeDocument/2006/relationships/hyperlink" Target="https://techcombank.com/thong-tin/blog/cach-chuyen-tien" TargetMode="External"/><Relationship Id="rId251" Type="http://schemas.openxmlformats.org/officeDocument/2006/relationships/hyperlink" Target="https://techcombank.com/thong-tin/blog/lam-the-tin-dung" TargetMode="External"/><Relationship Id="rId372" Type="http://schemas.openxmlformats.org/officeDocument/2006/relationships/hyperlink" Target="https://techcombank.com/thong-tin/blog/ty-gia-cac-ngan-hang" TargetMode="External"/><Relationship Id="rId493" Type="http://schemas.openxmlformats.org/officeDocument/2006/relationships/hyperlink" Target="https://techcombank.com/thong-tin/blog/cach-tinh-lai-vay-ngan-hang" TargetMode="External"/><Relationship Id="rId250" Type="http://schemas.openxmlformats.org/officeDocument/2006/relationships/hyperlink" Target="https://techcombank.com/thong-tin/blog/the-tin-dung-la-gi" TargetMode="External"/><Relationship Id="rId371" Type="http://schemas.openxmlformats.org/officeDocument/2006/relationships/hyperlink" Target="https://techcombank.com/thong-tin/blog/tien-dai-loan" TargetMode="External"/><Relationship Id="rId492" Type="http://schemas.openxmlformats.org/officeDocument/2006/relationships/hyperlink" Target="https://techcombank.com/thong-tin/blog/ho-kinh-doanh-ca-the" TargetMode="External"/><Relationship Id="rId136" Type="http://schemas.openxmlformats.org/officeDocument/2006/relationships/hyperlink" Target="https://techcombank.com/thong-tin/blog/chuyen-nham-tien-co-lay-lai-duoc-khong" TargetMode="External"/><Relationship Id="rId257" Type="http://schemas.openxmlformats.org/officeDocument/2006/relationships/hyperlink" Target="https://techcombank.com/thong-tin/blog/lam-the-tin-dung" TargetMode="External"/><Relationship Id="rId378" Type="http://schemas.openxmlformats.org/officeDocument/2006/relationships/hyperlink" Target="https://techcombank.com/thong-tin/blog/1-yen-bang-bao-nhieu-tien-viet-nam" TargetMode="External"/><Relationship Id="rId499" Type="http://schemas.openxmlformats.org/officeDocument/2006/relationships/hyperlink" Target="https://techcombank.com/thong-tin/blog/cach-tinh-lai-vay-ngan-hang" TargetMode="External"/><Relationship Id="rId135" Type="http://schemas.openxmlformats.org/officeDocument/2006/relationships/hyperlink" Target="https://techcombank.com/thong-tin/blog/chuyen-khoan-thanh-cong-nhung-khong-nhan-duoc-tien" TargetMode="External"/><Relationship Id="rId256" Type="http://schemas.openxmlformats.org/officeDocument/2006/relationships/hyperlink" Target="https://techcombank.com/thong-tin/blog/mo-the-tin-dung-khong-can-chung-minh-thu-nhap" TargetMode="External"/><Relationship Id="rId377" Type="http://schemas.openxmlformats.org/officeDocument/2006/relationships/hyperlink" Target="https://techcombank.com/thong-tin/blog/1-man-bang-bao-nhieu-tien-viet" TargetMode="External"/><Relationship Id="rId498" Type="http://schemas.openxmlformats.org/officeDocument/2006/relationships/hyperlink" Target="https://techcombank.com/thong-tin/blog/lai-suat-tha-noi" TargetMode="External"/><Relationship Id="rId134" Type="http://schemas.openxmlformats.org/officeDocument/2006/relationships/hyperlink" Target="https://techcombank.com/thong-tin/blog/ma-giao-dich-la-gi" TargetMode="External"/><Relationship Id="rId255" Type="http://schemas.openxmlformats.org/officeDocument/2006/relationships/hyperlink" Target="https://techcombank.com/thong-tin/blog/lam-the-tin-dung" TargetMode="External"/><Relationship Id="rId376" Type="http://schemas.openxmlformats.org/officeDocument/2006/relationships/hyperlink" Target="https://techcombank.com/thong-tin/blog/tien-nhat" TargetMode="External"/><Relationship Id="rId497" Type="http://schemas.openxmlformats.org/officeDocument/2006/relationships/hyperlink" Target="https://techcombank.com/thong-tin/blog/cach-tinh-lai-vay-ngan-hang" TargetMode="External"/><Relationship Id="rId133" Type="http://schemas.openxmlformats.org/officeDocument/2006/relationships/hyperlink" Target="https://techcombank.com/thong-tin/blog/chuyen-khoan-thanh-cong-nhung-khong-nhan-duoc-tien" TargetMode="External"/><Relationship Id="rId254" Type="http://schemas.openxmlformats.org/officeDocument/2006/relationships/hyperlink" Target="https://techcombank.com/thong-tin/blog/lam-the-tin-dung-co-mat-phi-khong" TargetMode="External"/><Relationship Id="rId375" Type="http://schemas.openxmlformats.org/officeDocument/2006/relationships/hyperlink" Target="https://techcombank.com/thong-tin/blog/1-man-bang-bao-nhieu-tien-viet" TargetMode="External"/><Relationship Id="rId496" Type="http://schemas.openxmlformats.org/officeDocument/2006/relationships/hyperlink" Target="https://techcombank.com/thong-tin/blog/an-han-no-goc-la-gi" TargetMode="External"/><Relationship Id="rId172" Type="http://schemas.openxmlformats.org/officeDocument/2006/relationships/hyperlink" Target="https://techcombank.com/thong-tin/blog/so-tai-khoan-dep" TargetMode="External"/><Relationship Id="rId293" Type="http://schemas.openxmlformats.org/officeDocument/2006/relationships/hyperlink" Target="https://techcombank.com/thong-tin/blog/xep-hang-tin-dung" TargetMode="External"/><Relationship Id="rId171" Type="http://schemas.openxmlformats.org/officeDocument/2006/relationships/hyperlink" Target="https://techcombank.com/thong-tin/blog/day-so-phat-tai-phat-loc" TargetMode="External"/><Relationship Id="rId292" Type="http://schemas.openxmlformats.org/officeDocument/2006/relationships/hyperlink" Target="https://techcombank.com/thong-tin/blog/dieu-kien-vay-von-ngan-hang" TargetMode="External"/><Relationship Id="rId170" Type="http://schemas.openxmlformats.org/officeDocument/2006/relationships/hyperlink" Target="https://techcombank.com/thong-tin/blog/so-6868"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165" Type="http://schemas.openxmlformats.org/officeDocument/2006/relationships/hyperlink" Target="https://techcombank.com/thong-tin/blog/cach-sao-ke-tai-khoan-ngan-hang" TargetMode="External"/><Relationship Id="rId286" Type="http://schemas.openxmlformats.org/officeDocument/2006/relationships/hyperlink" Target="https://techcombank.com/thong-tin/blog/the-tin-dung-bi-khoa" TargetMode="External"/><Relationship Id="rId164" Type="http://schemas.openxmlformats.org/officeDocument/2006/relationships/hyperlink" Target="https://techcombank.com/thong-tin/blog/sao-ke-tai-khoan-doanh-nghiep" TargetMode="External"/><Relationship Id="rId285" Type="http://schemas.openxmlformats.org/officeDocument/2006/relationships/hyperlink" Target="https://techcombank.com/thong-tin/blog/cach-huy-the-tin-dung" TargetMode="External"/><Relationship Id="rId163" Type="http://schemas.openxmlformats.org/officeDocument/2006/relationships/hyperlink" Target="https://techcombank.com/thong-tin/blog/cach-sao-ke-tai-khoan-ngan-hang" TargetMode="External"/><Relationship Id="rId284" Type="http://schemas.openxmlformats.org/officeDocument/2006/relationships/hyperlink" Target="https://techcombank.com/thong-tin/blog/cach-khoa-the-ngan-hang" TargetMode="External"/><Relationship Id="rId162" Type="http://schemas.openxmlformats.org/officeDocument/2006/relationships/hyperlink" Target="https://techcombank.com/thong-tin/blog/sao-ke-luong" TargetMode="External"/><Relationship Id="rId283" Type="http://schemas.openxmlformats.org/officeDocument/2006/relationships/hyperlink" Target="https://techcombank.com/thong-tin/blog/cach-huy-the-tin-du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289" Type="http://schemas.openxmlformats.org/officeDocument/2006/relationships/hyperlink" Target="https://techcombank.com/thong-tin/blog/xep-hang-tin-dung" TargetMode="External"/><Relationship Id="rId167" Type="http://schemas.openxmlformats.org/officeDocument/2006/relationships/hyperlink" Target="https://techcombank.com/thong-tin/blog/day-so-phat-tai-phat-loc" TargetMode="External"/><Relationship Id="rId288" Type="http://schemas.openxmlformats.org/officeDocument/2006/relationships/hyperlink" Target="https://techcombank.com/thong-tin/blog/the-tin-dung-het-han" TargetMode="External"/><Relationship Id="rId166" Type="http://schemas.openxmlformats.org/officeDocument/2006/relationships/hyperlink" Target="https://techcombank.com/thong-tin/blog/vay-the-chap-qua-luong" TargetMode="External"/><Relationship Id="rId287" Type="http://schemas.openxmlformats.org/officeDocument/2006/relationships/hyperlink" Target="https://techcombank.com/thong-tin/blog/cach-huy-the-tin-dung" TargetMode="External"/><Relationship Id="rId161" Type="http://schemas.openxmlformats.org/officeDocument/2006/relationships/hyperlink" Target="https://techcombank.com/thong-tin/blog/cach-sao-ke-tai-khoan-ngan-hang" TargetMode="External"/><Relationship Id="rId282" Type="http://schemas.openxmlformats.org/officeDocument/2006/relationships/hyperlink" Target="https://techcombank.com/thong-tin/blog/khong-su-dung-the-tin-dung-co-mat-phi-khong" TargetMode="External"/><Relationship Id="rId160" Type="http://schemas.openxmlformats.org/officeDocument/2006/relationships/hyperlink" Target="https://techcombank.com/thong-tin/blog/cay-atm-gan-day"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275" Type="http://schemas.openxmlformats.org/officeDocument/2006/relationships/hyperlink" Target="https://techcombank.com/thong-tin/blog/the-tin-dung-hoan-tien" TargetMode="External"/><Relationship Id="rId396" Type="http://schemas.openxmlformats.org/officeDocument/2006/relationships/hyperlink" Target="https://techcombank.com/thong-tin/blog/1-dong-do-la-my-bang-bao-nhieu-tien-viet-nam" TargetMode="External"/><Relationship Id="rId153" Type="http://schemas.openxmlformats.org/officeDocument/2006/relationships/hyperlink" Target="https://techcombank.com/thong-tin/blog/nap-tien-vao-tai-khoan-ngan-hang" TargetMode="External"/><Relationship Id="rId274" Type="http://schemas.openxmlformats.org/officeDocument/2006/relationships/hyperlink" Target="https://techcombank.com/thong-tin/blog/uu-dai-mo-the-tin-dung" TargetMode="External"/><Relationship Id="rId395" Type="http://schemas.openxmlformats.org/officeDocument/2006/relationships/hyperlink" Target="https://techcombank.com/thong-tin/blog/1-trieu-do-bang-bao-nhieu-tien-viet" TargetMode="External"/><Relationship Id="rId152" Type="http://schemas.openxmlformats.org/officeDocument/2006/relationships/hyperlink" Target="https://techcombank.com/thong-tin/blog/cdm" TargetMode="External"/><Relationship Id="rId273" Type="http://schemas.openxmlformats.org/officeDocument/2006/relationships/hyperlink" Target="https://techcombank.com/thong-tin/blog/the-tin-dung-hoan-tien" TargetMode="External"/><Relationship Id="rId394" Type="http://schemas.openxmlformats.org/officeDocument/2006/relationships/hyperlink" Target="https://techcombank.com/thong-tin/blog/thanh-toan-bang-the-quoc-te" TargetMode="External"/><Relationship Id="rId151" Type="http://schemas.openxmlformats.org/officeDocument/2006/relationships/hyperlink" Target="https://techcombank.com/thong-tin/blog/nap-tien-vao-tai-khoan-ngan-hang" TargetMode="External"/><Relationship Id="rId272" Type="http://schemas.openxmlformats.org/officeDocument/2006/relationships/hyperlink" Target="https://techcombank.com/thong-tin/blog/cashback-the-thanh-toan" TargetMode="External"/><Relationship Id="rId393" Type="http://schemas.openxmlformats.org/officeDocument/2006/relationships/hyperlink" Target="https://techcombank.com/thong-tin/blog/tien-thai-lan" TargetMode="External"/><Relationship Id="rId158" Type="http://schemas.openxmlformats.org/officeDocument/2006/relationships/hyperlink" Target="https://techcombank.com/thong-tin/blog/nop-tien-mat-vao-tai-khoan-cong-ty" TargetMode="External"/><Relationship Id="rId279" Type="http://schemas.openxmlformats.org/officeDocument/2006/relationships/hyperlink" Target="https://techcombank.com/thong-tin/blog/cach-huy-the-tin-dung" TargetMode="External"/><Relationship Id="rId157" Type="http://schemas.openxmlformats.org/officeDocument/2006/relationships/hyperlink" Target="https://techcombank.com/thong-tin/blog/nap-tien-vao-tai-khoan-ngan-hang" TargetMode="External"/><Relationship Id="rId278" Type="http://schemas.openxmlformats.org/officeDocument/2006/relationships/hyperlink" Target="https://techcombank.com/thong-tin/blog/cach-su-dung-the-tin-dung" TargetMode="External"/><Relationship Id="rId399" Type="http://schemas.openxmlformats.org/officeDocument/2006/relationships/hyperlink" Target="https://techcombank.com/thong-tin/blog/1-trieu-do-bang-bao-nhieu-tien-viet" TargetMode="External"/><Relationship Id="rId156" Type="http://schemas.openxmlformats.org/officeDocument/2006/relationships/hyperlink" Target="https://techcombank.com/thong-tin/blog/tai-khoan-ngan-hang-con-0-dong-co-sao-khong" TargetMode="External"/><Relationship Id="rId277" Type="http://schemas.openxmlformats.org/officeDocument/2006/relationships/hyperlink" Target="https://techcombank.com/thong-tin/blog/the-tin-dung-hoan-tien" TargetMode="External"/><Relationship Id="rId398" Type="http://schemas.openxmlformats.org/officeDocument/2006/relationships/hyperlink" Target="https://techcombank.com/thong-tin/blog/high-net-worth-client-va-ultra-high-net-worth-client" TargetMode="External"/><Relationship Id="rId155" Type="http://schemas.openxmlformats.org/officeDocument/2006/relationships/hyperlink" Target="https://techcombank.com/thong-tin/blog/nap-tien-vao-tai-khoan-ngan-hang" TargetMode="External"/><Relationship Id="rId276" Type="http://schemas.openxmlformats.org/officeDocument/2006/relationships/hyperlink" Target="https://techcombank.com/thong-tin/blog/the-tin-dung-mien-phi-thuong-nien"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629" Type="http://schemas.openxmlformats.org/officeDocument/2006/relationships/hyperlink" Target="https://techcombank.com/thong-tin/blog/kiem-tra-no-xau" TargetMode="External"/><Relationship Id="rId503" Type="http://schemas.openxmlformats.org/officeDocument/2006/relationships/hyperlink" Target="https://techcombank.com/thong-tin/blog/lai-suat-vay-the-chap-so-do" TargetMode="External"/><Relationship Id="rId624" Type="http://schemas.openxmlformats.org/officeDocument/2006/relationships/hyperlink" Target="https://techcombank.com/thong-tin/blog/thoi-han-vay-thau-chi" TargetMode="External"/><Relationship Id="rId502" Type="http://schemas.openxmlformats.org/officeDocument/2006/relationships/hyperlink" Target="https://techcombank.com/thong-tin/blog/vay-tra-gop" TargetMode="External"/><Relationship Id="rId623" Type="http://schemas.openxmlformats.org/officeDocument/2006/relationships/hyperlink" Target="https://techcombank.com/thong-tin/blog/vay-thau-chi-la-gi" TargetMode="External"/><Relationship Id="rId501" Type="http://schemas.openxmlformats.org/officeDocument/2006/relationships/hyperlink" Target="https://techcombank.com/thong-tin/blog/cach-tinh-lai-vay-ngan-hang" TargetMode="External"/><Relationship Id="rId622" Type="http://schemas.openxmlformats.org/officeDocument/2006/relationships/hyperlink" Target="https://techcombank.com/thong-tin/blog/lai-suat-vay-thau-chi" TargetMode="External"/><Relationship Id="rId500" Type="http://schemas.openxmlformats.org/officeDocument/2006/relationships/hyperlink" Target="https://techcombank.com/thong-tin/blog/cong-thuc-tinh-lai-suat-thuc" TargetMode="External"/><Relationship Id="rId621" Type="http://schemas.openxmlformats.org/officeDocument/2006/relationships/hyperlink" Target="https://techcombank.com/thong-tin/blog/vay-thau-chi-la-gi" TargetMode="External"/><Relationship Id="rId507" Type="http://schemas.openxmlformats.org/officeDocument/2006/relationships/hyperlink" Target="https://techcombank.com/thong-tin/blog/lai-suat-vay-the-chap-so-do" TargetMode="External"/><Relationship Id="rId628" Type="http://schemas.openxmlformats.org/officeDocument/2006/relationships/hyperlink" Target="https://techcombank.com/thong-tin/blog/vay-han-muc-la-gi" TargetMode="External"/><Relationship Id="rId506" Type="http://schemas.openxmlformats.org/officeDocument/2006/relationships/hyperlink" Target="https://techcombank.com/thong-tin/blog/vay-the-chap-so-hong" TargetMode="External"/><Relationship Id="rId627" Type="http://schemas.openxmlformats.org/officeDocument/2006/relationships/hyperlink" Target="https://techcombank.com/thong-tin/blog/vay-thau-chi-la-gi" TargetMode="External"/><Relationship Id="rId505" Type="http://schemas.openxmlformats.org/officeDocument/2006/relationships/hyperlink" Target="https://techcombank.com/thong-tin/blog/lai-suat-vay-the-chap-so-do" TargetMode="External"/><Relationship Id="rId626" Type="http://schemas.openxmlformats.org/officeDocument/2006/relationships/hyperlink" Target="https://techcombank.com/thong-tin/blog/tra-no-vay-thau-chi-nhu-the-nao" TargetMode="External"/><Relationship Id="rId504" Type="http://schemas.openxmlformats.org/officeDocument/2006/relationships/hyperlink" Target="https://techcombank.com/thong-tin/blog/han-muc-vay-the-chap-so-do" TargetMode="External"/><Relationship Id="rId625" Type="http://schemas.openxmlformats.org/officeDocument/2006/relationships/hyperlink" Target="https://techcombank.com/thong-tin/blog/vay-thau-chi-la-gi"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620" Type="http://schemas.openxmlformats.org/officeDocument/2006/relationships/hyperlink" Target="https://techcombank.com/thong-tin/blog/han-muc-thau-chi-la-gi"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525" Type="http://schemas.openxmlformats.org/officeDocument/2006/relationships/hyperlink" Target="https://techcombank.com/thong-tin/blog/lai-suat-tiet-kiem" TargetMode="External"/><Relationship Id="rId646" Type="http://schemas.openxmlformats.org/officeDocument/2006/relationships/hyperlink" Target="https://techcombank.com/thong-tin/blog/vay-tin-chap-va-vay-the-chap" TargetMode="External"/><Relationship Id="rId403" Type="http://schemas.openxmlformats.org/officeDocument/2006/relationships/hyperlink" Target="https://techcombank.com/thong-tin/blog/1000-won-bang-bao-nhieu-tien-viet" TargetMode="External"/><Relationship Id="rId524" Type="http://schemas.openxmlformats.org/officeDocument/2006/relationships/hyperlink" Target="https://techcombank.com/thong-tin/blog/co-nen-gui-tiet-kiem-ngan-hang" TargetMode="External"/><Relationship Id="rId645" Type="http://schemas.openxmlformats.org/officeDocument/2006/relationships/hyperlink" Target="https://techcombank.com/thong-tin/blog/nen-vay-tin-chap-o-dau" TargetMode="External"/><Relationship Id="rId402" Type="http://schemas.openxmlformats.org/officeDocument/2006/relationships/hyperlink" Target="https://techcombank.com/thong-tin/blog/1-won-bang-bao-nhieu-tien-viet" TargetMode="External"/><Relationship Id="rId523" Type="http://schemas.openxmlformats.org/officeDocument/2006/relationships/hyperlink" Target="https://techcombank.com/thong-tin/blog/lai-suat-tiet-kiem" TargetMode="External"/><Relationship Id="rId644" Type="http://schemas.openxmlformats.org/officeDocument/2006/relationships/hyperlink" Target="https://techcombank.com/thong-tin/blog/vay-tin-chap-toi-da-duoc-bao-nhieu" TargetMode="External"/><Relationship Id="rId401" Type="http://schemas.openxmlformats.org/officeDocument/2006/relationships/hyperlink" Target="https://techcombank.com/thong-tin/blog/1000-won-bang-bao-nhieu-tien-viet" TargetMode="External"/><Relationship Id="rId522" Type="http://schemas.openxmlformats.org/officeDocument/2006/relationships/hyperlink" Target="https://techcombank.com/thong-tin/blog/tai-sao-gui-tiet-kiem-online-lai-suat-cao-hon" TargetMode="External"/><Relationship Id="rId643" Type="http://schemas.openxmlformats.org/officeDocument/2006/relationships/hyperlink" Target="https://techcombank.com/thong-tin/blog/nen-vay-tin-chap-o-dau" TargetMode="External"/><Relationship Id="rId408" Type="http://schemas.openxmlformats.org/officeDocument/2006/relationships/hyperlink" Target="https://techcombank.com/thong-tin/blog/chuyen-tien-tu-han-sang-viet-nam" TargetMode="External"/><Relationship Id="rId529" Type="http://schemas.openxmlformats.org/officeDocument/2006/relationships/hyperlink" Target="https://techcombank.com/thong-tin/blog/cach-tinh-lai-suat-tien-gui-tiet-kiem" TargetMode="External"/><Relationship Id="rId407" Type="http://schemas.openxmlformats.org/officeDocument/2006/relationships/hyperlink" Target="https://techcombank.com/thong-tin/blog/1000-won-bang-bao-nhieu-tien-viet" TargetMode="External"/><Relationship Id="rId528" Type="http://schemas.openxmlformats.org/officeDocument/2006/relationships/hyperlink" Target="https://techcombank.com/thong-tin/blog/so-sanh-gui-tiet-kiem-online-va-tai-quay" TargetMode="External"/><Relationship Id="rId649" Type="http://schemas.openxmlformats.org/officeDocument/2006/relationships/hyperlink" Target="https://techcombank.com/thong-tin/blog/no-xau-la-gi" TargetMode="External"/><Relationship Id="rId406" Type="http://schemas.openxmlformats.org/officeDocument/2006/relationships/hyperlink" Target="https://techcombank.com/thong-tin/blog/thanh-toan-khi-du-lich-han-quoc" TargetMode="External"/><Relationship Id="rId527" Type="http://schemas.openxmlformats.org/officeDocument/2006/relationships/hyperlink" Target="https://techcombank.com/thong-tin/blog/lai-suat-tiet-kiem" TargetMode="External"/><Relationship Id="rId648" Type="http://schemas.openxmlformats.org/officeDocument/2006/relationships/hyperlink" Target="https://techcombank.com/thong-tin/blog/lai-suat-vay-tin-chap" TargetMode="External"/><Relationship Id="rId405" Type="http://schemas.openxmlformats.org/officeDocument/2006/relationships/hyperlink" Target="https://techcombank.com/thong-tin/blog/1000-won-bang-bao-nhieu-tien-viet" TargetMode="External"/><Relationship Id="rId526" Type="http://schemas.openxmlformats.org/officeDocument/2006/relationships/hyperlink" Target="https://techcombank.com/thong-tin/blog/tien-gui-co-ky-han" TargetMode="External"/><Relationship Id="rId647" Type="http://schemas.openxmlformats.org/officeDocument/2006/relationships/hyperlink" Target="https://techcombank.com/thong-tin/blog/nen-vay-tin-chap-o-da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400" Type="http://schemas.openxmlformats.org/officeDocument/2006/relationships/hyperlink" Target="https://techcombank.com/thong-tin/blog/xu-huong-ty-gia-usd" TargetMode="External"/><Relationship Id="rId521" Type="http://schemas.openxmlformats.org/officeDocument/2006/relationships/hyperlink" Target="https://techcombank.com/thong-tin/blog/lai-suat-tiet-kiem" TargetMode="External"/><Relationship Id="rId642" Type="http://schemas.openxmlformats.org/officeDocument/2006/relationships/hyperlink" Target="https://techcombank.com/thong-tin/blog/ho-so-vay-tin-chap" TargetMode="External"/><Relationship Id="rId29" Type="http://schemas.openxmlformats.org/officeDocument/2006/relationships/hyperlink" Target="https://techcombank.com/thong-tin/blog/thue-thu-nhap-doanh-nghiep" TargetMode="External"/><Relationship Id="rId520" Type="http://schemas.openxmlformats.org/officeDocument/2006/relationships/hyperlink" Target="https://techcombank.com/thong-tin/blog/nen-gui-tiet-kiem-6-thang-hay-1-nam"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635" Type="http://schemas.openxmlformats.org/officeDocument/2006/relationships/hyperlink" Target="https://techcombank.com/thong-tin/blog/kiem-tra-no-xau" TargetMode="External"/><Relationship Id="rId513" Type="http://schemas.openxmlformats.org/officeDocument/2006/relationships/hyperlink" Target="https://techcombank.com/thong-tin/blog/ho-so-thu-tuc-xoa-the-chap" TargetMode="External"/><Relationship Id="rId634" Type="http://schemas.openxmlformats.org/officeDocument/2006/relationships/hyperlink" Target="https://techcombank.com/thong-tin/blog/vay-tin-chap-no-xau" TargetMode="External"/><Relationship Id="rId512" Type="http://schemas.openxmlformats.org/officeDocument/2006/relationships/hyperlink" Target="https://techcombank.com/thong-tin/blog/vay-the-chap-la-gi" TargetMode="External"/><Relationship Id="rId633" Type="http://schemas.openxmlformats.org/officeDocument/2006/relationships/hyperlink" Target="https://techcombank.com/thong-tin/blog/kiem-tra-no-xau" TargetMode="External"/><Relationship Id="rId511" Type="http://schemas.openxmlformats.org/officeDocument/2006/relationships/hyperlink" Target="https://techcombank.com/thong-tin/blog/lai-suat-vay-the-chap-so-do" TargetMode="External"/><Relationship Id="rId632" Type="http://schemas.openxmlformats.org/officeDocument/2006/relationships/hyperlink" Target="https://techcombank.com/thong-tin/blog/no-xau-mo-the-tin-dung-duoc-khong" TargetMode="External"/><Relationship Id="rId518" Type="http://schemas.openxmlformats.org/officeDocument/2006/relationships/hyperlink" Target="https://techcombank.com/thong-tin/blog/the-chap-la-gi" TargetMode="External"/><Relationship Id="rId639" Type="http://schemas.openxmlformats.org/officeDocument/2006/relationships/hyperlink" Target="https://techcombank.com/thong-tin/blog/nen-vay-tin-chap-o-dau" TargetMode="External"/><Relationship Id="rId517" Type="http://schemas.openxmlformats.org/officeDocument/2006/relationships/hyperlink" Target="https://techcombank.com/thong-tin/blog/ho-so-thu-tuc-xoa-the-chap" TargetMode="External"/><Relationship Id="rId638" Type="http://schemas.openxmlformats.org/officeDocument/2006/relationships/hyperlink" Target="https://techcombank.com/thong-tin/blog/no-xau-nhom-2" TargetMode="External"/><Relationship Id="rId516" Type="http://schemas.openxmlformats.org/officeDocument/2006/relationships/hyperlink" Target="https://techcombank.com/thong-tin/blog/tat-toan" TargetMode="External"/><Relationship Id="rId637" Type="http://schemas.openxmlformats.org/officeDocument/2006/relationships/hyperlink" Target="https://techcombank.com/thong-tin/blog/kiem-tra-no-xau" TargetMode="External"/><Relationship Id="rId515" Type="http://schemas.openxmlformats.org/officeDocument/2006/relationships/hyperlink" Target="https://techcombank.com/thong-tin/blog/ho-so-thu-tuc-xoa-the-chap" TargetMode="External"/><Relationship Id="rId636" Type="http://schemas.openxmlformats.org/officeDocument/2006/relationships/hyperlink" Target="https://techcombank.com/thong-tin/blog/no-xau-co-vay-the-chap-duoc-khong"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510" Type="http://schemas.openxmlformats.org/officeDocument/2006/relationships/hyperlink" Target="https://techcombank.com/thong-tin/blog/nen-vay-the-chap-ngan-hang-nao" TargetMode="External"/><Relationship Id="rId631" Type="http://schemas.openxmlformats.org/officeDocument/2006/relationships/hyperlink" Target="https://techcombank.com/thong-tin/blog/kiem-tra-no-xau" TargetMode="External"/><Relationship Id="rId18" Type="http://schemas.openxmlformats.org/officeDocument/2006/relationships/hyperlink" Target="https://techcombank.com/thong-tin/blog/quyet-toan-thue-thu-nhap-ca-nhan" TargetMode="External"/><Relationship Id="rId630" Type="http://schemas.openxmlformats.org/officeDocument/2006/relationships/hyperlink" Target="https://techcombank.com/thong-tin/blog/no-xau-co-lam-the-visa-duoc-khong"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 Type="http://schemas.openxmlformats.org/officeDocument/2006/relationships/hyperlink" Target="https://techcombank.com/thong-tin/blog/thue-doanh-nghiep-2025"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590" Type="http://schemas.openxmlformats.org/officeDocument/2006/relationships/hyperlink" Target="https://techcombank.com/thong-tin/blog/cach-tiet-kiem-100-trieu-1-nam" TargetMode="External"/><Relationship Id="rId107" Type="http://schemas.openxmlformats.org/officeDocument/2006/relationships/hyperlink" Target="https://techcombank.com/thong-tin/blog/cach-kiem-tra-tai-khoan-ngan-hang" TargetMode="External"/><Relationship Id="rId228" Type="http://schemas.openxmlformats.org/officeDocument/2006/relationships/hyperlink" Target="https://techcombank.com/thong-tin/blog/the-ghi-no-visa-la-gi" TargetMode="External"/><Relationship Id="rId349" Type="http://schemas.openxmlformats.org/officeDocument/2006/relationships/hyperlink" Target="https://techcombank.com/thong-tin/blog/1-yen-bang-bao-nhieu-tien-viet-nam" TargetMode="External"/><Relationship Id="rId106" Type="http://schemas.openxmlformats.org/officeDocument/2006/relationships/hyperlink" Target="https://techcombank.com/thong-tin/blog/so-du-kha-dung" TargetMode="External"/><Relationship Id="rId227" Type="http://schemas.openxmlformats.org/officeDocument/2006/relationships/hyperlink" Target="https://techcombank.com/thong-tin/blog/eco-card" TargetMode="External"/><Relationship Id="rId348" Type="http://schemas.openxmlformats.org/officeDocument/2006/relationships/hyperlink" Target="https://techcombank.com/thong-tin/blog/1-man-bang-bao-nhieu-tien-viet" TargetMode="External"/><Relationship Id="rId469" Type="http://schemas.openxmlformats.org/officeDocument/2006/relationships/hyperlink" Target="https://techcombank.com/thong-tin/blog/gui-ma-qr-ngan-hang" TargetMode="External"/><Relationship Id="rId105" Type="http://schemas.openxmlformats.org/officeDocument/2006/relationships/hyperlink" Target="https://techcombank.com/thong-tin/blog/cach-kiem-tra-tai-khoan-ngan-hang" TargetMode="External"/><Relationship Id="rId226" Type="http://schemas.openxmlformats.org/officeDocument/2006/relationships/hyperlink" Target="https://techcombank.com/thong-tin/blog/xu-huong-song-xanh" TargetMode="External"/><Relationship Id="rId347" Type="http://schemas.openxmlformats.org/officeDocument/2006/relationships/hyperlink" Target="https://techcombank.com/thong-tin/blog/tien-nhat" TargetMode="External"/><Relationship Id="rId468" Type="http://schemas.openxmlformats.org/officeDocument/2006/relationships/hyperlink" Target="https://techcombank.com/thong-tin/blog/lo-ma-qr-ngan-hang-co-sao-khong" TargetMode="External"/><Relationship Id="rId589" Type="http://schemas.openxmlformats.org/officeDocument/2006/relationships/hyperlink" Target="https://techcombank.com/cong-cu-tien-ich/cong-cu-tinh-toan/bang-tinh-lai-suat-tiet-kiem" TargetMode="External"/><Relationship Id="rId104" Type="http://schemas.openxmlformats.org/officeDocument/2006/relationships/hyperlink" Target="https://techcombank.com/thong-tin/blog/so-tai-khoan-ngan-hang" TargetMode="External"/><Relationship Id="rId225" Type="http://schemas.openxmlformats.org/officeDocument/2006/relationships/hyperlink" Target="https://techcombank.com/thong-tin/blog/eco-card" TargetMode="External"/><Relationship Id="rId346" Type="http://schemas.openxmlformats.org/officeDocument/2006/relationships/hyperlink" Target="https://techcombank.com/thong-tin/blog/1-yen-bang-bao-nhieu-tien-viet-nam" TargetMode="External"/><Relationship Id="rId467" Type="http://schemas.openxmlformats.org/officeDocument/2006/relationships/hyperlink" Target="https://techcombank.com/thong-tin/blog/gui-ma-qr-ngan-hang" TargetMode="External"/><Relationship Id="rId588" Type="http://schemas.openxmlformats.org/officeDocument/2006/relationships/hyperlink" Target="https://techcombank.com/thong-tin/blog/dang-vay-tra-gop-co-vay-them-duoc-kho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341" Type="http://schemas.openxmlformats.org/officeDocument/2006/relationships/hyperlink" Target="https://techcombank.com/thong-tin/blog/tien-nhat" TargetMode="External"/><Relationship Id="rId462" Type="http://schemas.openxmlformats.org/officeDocument/2006/relationships/hyperlink" Target="https://techcombank.com/thong-tin/blog/one-stop-shop" TargetMode="External"/><Relationship Id="rId583" Type="http://schemas.openxmlformats.org/officeDocument/2006/relationships/hyperlink" Target="https://techcombank.com/cong-cu-tien-ich/cong-cu-tinh-toan/bang-tinh-lai-suat-vay" TargetMode="External"/><Relationship Id="rId340" Type="http://schemas.openxmlformats.org/officeDocument/2006/relationships/hyperlink" Target="https://techcombank.com/thong-tin/blog/chuyen-tien-tu-my-ve-viet-nam" TargetMode="External"/><Relationship Id="rId461" Type="http://schemas.openxmlformats.org/officeDocument/2006/relationships/hyperlink" Target="https://techcombank.com/thong-tin/blog/mo-hinh-kinh-doanh-la-gi" TargetMode="External"/><Relationship Id="rId582" Type="http://schemas.openxmlformats.org/officeDocument/2006/relationships/hyperlink" Target="https://techcombank.com/thong-tin/blog/vay-200-trieu" TargetMode="External"/><Relationship Id="rId460" Type="http://schemas.openxmlformats.org/officeDocument/2006/relationships/hyperlink" Target="https://techcombank.com/thong-tin/blog/kinh-doanh-online"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103" Type="http://schemas.openxmlformats.org/officeDocument/2006/relationships/hyperlink" Target="https://techcombank.com/thong-tin/blog/cach-kiem-tra-tai-khoan-ngan-hang" TargetMode="External"/><Relationship Id="rId224" Type="http://schemas.openxmlformats.org/officeDocument/2006/relationships/hyperlink" Target="https://techcombank.com/thong-tin/blog/san-pham-xanh" TargetMode="External"/><Relationship Id="rId345" Type="http://schemas.openxmlformats.org/officeDocument/2006/relationships/hyperlink" Target="https://techcombank.com/thong-tin/blog/tien-nhat" TargetMode="External"/><Relationship Id="rId466" Type="http://schemas.openxmlformats.org/officeDocument/2006/relationships/hyperlink" Target="https://techcombank.com/thong-tin/blog/in-ma-qr-ngan-hang" TargetMode="External"/><Relationship Id="rId587"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dang-ky-ma-so-thue-ca-nhan" TargetMode="External"/><Relationship Id="rId223" Type="http://schemas.openxmlformats.org/officeDocument/2006/relationships/hyperlink" Target="https://techcombank.com/thong-tin/blog/eco-card" TargetMode="External"/><Relationship Id="rId344" Type="http://schemas.openxmlformats.org/officeDocument/2006/relationships/hyperlink" Target="https://techcombank.com/thong-tin/blog/chuyen-tien-tu-nhat-ve-viet-nam" TargetMode="External"/><Relationship Id="rId465" Type="http://schemas.openxmlformats.org/officeDocument/2006/relationships/hyperlink" Target="https://techcombank.com/thong-tin/blog/gui-ma-qr-ngan-hang" TargetMode="External"/><Relationship Id="rId586" Type="http://schemas.openxmlformats.org/officeDocument/2006/relationships/hyperlink" Target="https://techcombank.com/thong-tin/blog/vay-tra-gop" TargetMode="External"/><Relationship Id="rId101" Type="http://schemas.openxmlformats.org/officeDocument/2006/relationships/hyperlink" Target="https://techcombank.com/thong-tin/blog/cach-tinh-thue-thu-nhap-ca-nhan-2025" TargetMode="External"/><Relationship Id="rId222" Type="http://schemas.openxmlformats.org/officeDocument/2006/relationships/hyperlink" Target="https://techcombank.com/thong-tin/blog/dau-chan-carbon" TargetMode="External"/><Relationship Id="rId343" Type="http://schemas.openxmlformats.org/officeDocument/2006/relationships/hyperlink" Target="https://techcombank.com/thong-tin/blog/tien-nhat" TargetMode="External"/><Relationship Id="rId464" Type="http://schemas.openxmlformats.org/officeDocument/2006/relationships/hyperlink" Target="https://techcombank.com/thong-tin/blog/cach-tao-ma-qr" TargetMode="External"/><Relationship Id="rId585"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hoan-thue-thu-nhap-ca-nhan" TargetMode="External"/><Relationship Id="rId221" Type="http://schemas.openxmlformats.org/officeDocument/2006/relationships/hyperlink" Target="https://techcombank.com/thong-tin/blog/eco-card" TargetMode="External"/><Relationship Id="rId342" Type="http://schemas.openxmlformats.org/officeDocument/2006/relationships/hyperlink" Target="https://techcombank.com/thong-tin/blog/thanh-toan-khi-du-lich-nhat-ban" TargetMode="External"/><Relationship Id="rId463" Type="http://schemas.openxmlformats.org/officeDocument/2006/relationships/hyperlink" Target="https://techcombank.com/thong-tin/blog/gui-ma-qr-ngan-hang" TargetMode="External"/><Relationship Id="rId584" Type="http://schemas.openxmlformats.org/officeDocument/2006/relationships/hyperlink" Target="https://techcombank.com/thong-tin/blog/vay-300-trieu" TargetMode="External"/><Relationship Id="rId217" Type="http://schemas.openxmlformats.org/officeDocument/2006/relationships/hyperlink" Target="https://techcombank.com/thong-tin/blog/cach-quet-nfc-cccd-tren-iphone" TargetMode="External"/><Relationship Id="rId338" Type="http://schemas.openxmlformats.org/officeDocument/2006/relationships/hyperlink" Target="https://techcombank.com/thong-tin/blog/lai-suat-gui-tiet-kiem-usd" TargetMode="External"/><Relationship Id="rId459" Type="http://schemas.openxmlformats.org/officeDocument/2006/relationships/hyperlink" Target="https://techcombank.com/thong-tin/blog/mo-hinh-kinh-doanh-la-gi" TargetMode="External"/><Relationship Id="rId216" Type="http://schemas.openxmlformats.org/officeDocument/2006/relationships/hyperlink" Target="https://techcombank.com/thong-tin/blog/ekyc-la-gi" TargetMode="External"/><Relationship Id="rId337" Type="http://schemas.openxmlformats.org/officeDocument/2006/relationships/hyperlink" Target="https://techcombank.com/thong-tin/blog/1-dong-do-la-my-bang-bao-nhieu-tien-viet-nam" TargetMode="External"/><Relationship Id="rId458" Type="http://schemas.openxmlformats.org/officeDocument/2006/relationships/hyperlink" Target="https://techcombank.com/thong-tin/blog/nhuong-quyen-la-gi" TargetMode="External"/><Relationship Id="rId579" Type="http://schemas.openxmlformats.org/officeDocument/2006/relationships/hyperlink" Target="https://techcombank.com/cong-cu-tien-ich/cong-cu-tinh-toan/bang-tinh-lai-suat-vay" TargetMode="External"/><Relationship Id="rId215" Type="http://schemas.openxmlformats.org/officeDocument/2006/relationships/hyperlink" Target="https://techcombank.com/thong-tin/blog/cach-quet-nfc-cccd-tren-iphone" TargetMode="External"/><Relationship Id="rId336" Type="http://schemas.openxmlformats.org/officeDocument/2006/relationships/hyperlink" Target="https://techcombank.com/thong-tin/blog/1-cent-bang-bao-nhieu-tien-viet" TargetMode="External"/><Relationship Id="rId457" Type="http://schemas.openxmlformats.org/officeDocument/2006/relationships/hyperlink" Target="https://techcombank.com/thong-tin/blog/mo-hinh-kinh-doanh-la-gi" TargetMode="External"/><Relationship Id="rId578" Type="http://schemas.openxmlformats.org/officeDocument/2006/relationships/hyperlink" Target="https://techcombank.com/thong-tin/blog/rui-ro-khi-gui-tiet-kiem-ngan-hang" TargetMode="External"/><Relationship Id="rId214" Type="http://schemas.openxmlformats.org/officeDocument/2006/relationships/hyperlink" Target="https://techcombank.com/thong-tin/blog/cach-lien-ket-tai-khoan-ngan-hang-voi-vneid" TargetMode="External"/><Relationship Id="rId335" Type="http://schemas.openxmlformats.org/officeDocument/2006/relationships/hyperlink" Target="https://techcombank.com/thong-tin/blog/1-dong-do-la-my-bang-bao-nhieu-tien-viet-nam" TargetMode="External"/><Relationship Id="rId456" Type="http://schemas.openxmlformats.org/officeDocument/2006/relationships/hyperlink" Target="https://techcombank.com/thong-tin/blog/thue-ho-kinh-doanh-2025" TargetMode="External"/><Relationship Id="rId577" Type="http://schemas.openxmlformats.org/officeDocument/2006/relationships/hyperlink" Target="https://techcombank.com/thong-tin/blog/rui-ro-khi-gui-tiet-kiem-online"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451" Type="http://schemas.openxmlformats.org/officeDocument/2006/relationships/hyperlink" Target="https://techcombank.com/thong-tin/blog/ho-kinh-doanh-dong-thue-nhu-nao" TargetMode="External"/><Relationship Id="rId572" Type="http://schemas.openxmlformats.org/officeDocument/2006/relationships/hyperlink" Target="https://techcombank.com/thong-tin/blog/gui-tiet-kiem-online-bi-mat-tien" TargetMode="External"/><Relationship Id="rId450" Type="http://schemas.openxmlformats.org/officeDocument/2006/relationships/hyperlink" Target="https://techcombank.com/thong-tin/blog/thue-khoan-ho-kinh-doanh-la-gi"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213" Type="http://schemas.openxmlformats.org/officeDocument/2006/relationships/hyperlink" Target="https://techcombank.com/thong-tin/blog/cach-quet-nfc-cccd-tren-iphone" TargetMode="External"/><Relationship Id="rId334" Type="http://schemas.openxmlformats.org/officeDocument/2006/relationships/hyperlink" Target="https://techcombank.com/thong-tin/blog/dieu-kien-mua-usd-tu-ngan-hang" TargetMode="External"/><Relationship Id="rId455" Type="http://schemas.openxmlformats.org/officeDocument/2006/relationships/hyperlink" Target="https://techcombank.com/thong-tin/blog/ho-kinh-doanh-dong-thue-nhu-nao" TargetMode="External"/><Relationship Id="rId576" Type="http://schemas.openxmlformats.org/officeDocument/2006/relationships/hyperlink" Target="https://techcombank.com/thong-tin/blog/cach-gui-tiet-kiem-online" TargetMode="External"/><Relationship Id="rId212" Type="http://schemas.openxmlformats.org/officeDocument/2006/relationships/hyperlink" Target="https://techcombank.com/thong-tin/blog/xac-thuc-sinh-trac-hoc-khi-chuyen-tien" TargetMode="External"/><Relationship Id="rId333" Type="http://schemas.openxmlformats.org/officeDocument/2006/relationships/hyperlink" Target="https://techcombank.com/thong-tin/blog/1-dong-do-la-my-bang-bao-nhieu-tien-viet-nam" TargetMode="External"/><Relationship Id="rId454" Type="http://schemas.openxmlformats.org/officeDocument/2006/relationships/hyperlink" Target="https://techcombank.com/thong-tin/blog/truy-thu-thue-ho-kinh-doanh" TargetMode="External"/><Relationship Id="rId575" Type="http://schemas.openxmlformats.org/officeDocument/2006/relationships/hyperlink" Target="https://techcombank.com/thong-tin/blog/rui-ro-khi-gui-tiet-kiem-online" TargetMode="External"/><Relationship Id="rId211" Type="http://schemas.openxmlformats.org/officeDocument/2006/relationships/hyperlink" Target="https://techcombank.com/thong-tin/blog/cach-quet-nfc-cccd-tren-iphone" TargetMode="External"/><Relationship Id="rId332" Type="http://schemas.openxmlformats.org/officeDocument/2006/relationships/hyperlink" Target="https://techcombank.com/thong-tin/blog/xu-huong-ty-gia-usd" TargetMode="External"/><Relationship Id="rId453" Type="http://schemas.openxmlformats.org/officeDocument/2006/relationships/hyperlink" Target="https://techcombank.com/thong-tin/blog/ho-kinh-doanh-dong-thue-nhu-nao" TargetMode="External"/><Relationship Id="rId574" Type="http://schemas.openxmlformats.org/officeDocument/2006/relationships/hyperlink" Target="https://techcombank.com/thong-tin/blog/kinh-nghiem-gui-tiet-kiem-online" TargetMode="External"/><Relationship Id="rId210" Type="http://schemas.openxmlformats.org/officeDocument/2006/relationships/hyperlink" Target="https://techcombank.com/thong-tin/blog/cay-atm-gan-day" TargetMode="External"/><Relationship Id="rId331" Type="http://schemas.openxmlformats.org/officeDocument/2006/relationships/hyperlink" Target="https://techcombank.com/thong-tin/blog/1-dong-do-la-my-bang-bao-nhieu-tien-viet-nam" TargetMode="External"/><Relationship Id="rId452" Type="http://schemas.openxmlformats.org/officeDocument/2006/relationships/hyperlink" Target="https://techcombank.com/thong-tin/blog/nhung-ho-kinh-doanh-duoc-mien-thue" TargetMode="External"/><Relationship Id="rId573" Type="http://schemas.openxmlformats.org/officeDocument/2006/relationships/hyperlink" Target="https://techcombank.com/thong-tin/blog/rui-ro-khi-gui-tiet-kiem-online" TargetMode="External"/><Relationship Id="rId370" Type="http://schemas.openxmlformats.org/officeDocument/2006/relationships/hyperlink" Target="https://techcombank.com/thong-tin/blog/ngoai-te-la-gi"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249" Type="http://schemas.openxmlformats.org/officeDocument/2006/relationships/hyperlink" Target="https://techcombank.com/thong-tin/blog/lam-the-tin-dung" TargetMode="External"/><Relationship Id="rId127" Type="http://schemas.openxmlformats.org/officeDocument/2006/relationships/hyperlink" Target="https://techcombank.com/thong-tin/blog/ngan-hang-uy-tin" TargetMode="External"/><Relationship Id="rId248" Type="http://schemas.openxmlformats.org/officeDocument/2006/relationships/hyperlink" Target="https://techcombank.com/thong-tin/blog/lai-suat-the-tin-dung" TargetMode="External"/><Relationship Id="rId369" Type="http://schemas.openxmlformats.org/officeDocument/2006/relationships/hyperlink" Target="https://techcombank.com/thong-tin/blog/tien-dai-loan" TargetMode="External"/><Relationship Id="rId126" Type="http://schemas.openxmlformats.org/officeDocument/2006/relationships/hyperlink" Target="https://techcombank.com/thong-tin/blog/gui-tien-ngan-hang-co-an-toan-khong" TargetMode="External"/><Relationship Id="rId247" Type="http://schemas.openxmlformats.org/officeDocument/2006/relationships/hyperlink" Target="https://techcombank.com/thong-tin/blog/rut-tien-mat-tu-the-tin-dung" TargetMode="External"/><Relationship Id="rId368" Type="http://schemas.openxmlformats.org/officeDocument/2006/relationships/hyperlink" Target="https://techcombank.com/thong-tin/blog/1-van-tien-dai-loan-bang-bao-nhieu-tien-viet" TargetMode="External"/><Relationship Id="rId489" Type="http://schemas.openxmlformats.org/officeDocument/2006/relationships/hyperlink" Target="https://techcombank.com/thong-tin/blog/cach-tinh-thue-ho-kinh-doanh-nho-le" TargetMode="External"/><Relationship Id="rId121" Type="http://schemas.openxmlformats.org/officeDocument/2006/relationships/hyperlink" Target="https://techcombank.com/thong-tin/blog/cach-mo-tai-khoan" TargetMode="External"/><Relationship Id="rId242" Type="http://schemas.openxmlformats.org/officeDocument/2006/relationships/hyperlink" Target="https://techcombank.com/thong-tin/blog/the-visa-co-rut-tien-duoc-khong" TargetMode="External"/><Relationship Id="rId363" Type="http://schemas.openxmlformats.org/officeDocument/2006/relationships/hyperlink" Target="https://techcombank.com/thong-tin/blog/1-won-bang-bao-nhieu-tien-viet" TargetMode="External"/><Relationship Id="rId484" Type="http://schemas.openxmlformats.org/officeDocument/2006/relationships/hyperlink" Target="https://techcombank.com/thong-tin/blog/ke-khai-thue-ho-kinh-doanh-ca-the-online" TargetMode="External"/><Relationship Id="rId120" Type="http://schemas.openxmlformats.org/officeDocument/2006/relationships/hyperlink" Target="https://techcombank.com/thong-tin/blog/mo-tai-khoan-ngan-hang-co-mat-phi-khong" TargetMode="External"/><Relationship Id="rId241" Type="http://schemas.openxmlformats.org/officeDocument/2006/relationships/hyperlink" Target="https://techcombank.com/thong-tin/blog/rut-tien-mat-tu-the-tin-dung" TargetMode="External"/><Relationship Id="rId362" Type="http://schemas.openxmlformats.org/officeDocument/2006/relationships/hyperlink" Target="https://techcombank.com/thong-tin/blog/thanh-toan-khi-du-lich-han-quoc" TargetMode="External"/><Relationship Id="rId483" Type="http://schemas.openxmlformats.org/officeDocument/2006/relationships/hyperlink" Target="https://techcombank.com/thong-tin/blog/cach-tinh-thue-ho-kinh-doanh-nho-le" TargetMode="External"/><Relationship Id="rId240" Type="http://schemas.openxmlformats.org/officeDocument/2006/relationships/hyperlink" Target="https://techcombank.com/thong-tin/blog/phi-rut-tien-mat-the-tin-dung" TargetMode="External"/><Relationship Id="rId361" Type="http://schemas.openxmlformats.org/officeDocument/2006/relationships/hyperlink" Target="https://techcombank.com/thong-tin/blog/1-won-bang-bao-nhieu-tien-viet" TargetMode="External"/><Relationship Id="rId482" Type="http://schemas.openxmlformats.org/officeDocument/2006/relationships/hyperlink" Target="https://techcombank.com/thong-tin/blog/cach-dang-ky-ma-so-thue-ho-kinh-doanh-online" TargetMode="External"/><Relationship Id="rId360" Type="http://schemas.openxmlformats.org/officeDocument/2006/relationships/hyperlink" Target="https://techcombank.com/thong-tin/blog/1000-won-bang-bao-nhieu-tien-viet" TargetMode="External"/><Relationship Id="rId481" Type="http://schemas.openxmlformats.org/officeDocument/2006/relationships/hyperlink" Target="https://techcombank.com/thong-tin/blog/mo-tai-khoan-ho-kinh-doanh" TargetMode="External"/><Relationship Id="rId125" Type="http://schemas.openxmlformats.org/officeDocument/2006/relationships/hyperlink" Target="https://techcombank.com/thong-tin/blog/ngan-hang-uy-tin" TargetMode="External"/><Relationship Id="rId246" Type="http://schemas.openxmlformats.org/officeDocument/2006/relationships/hyperlink" Target="https://techcombank.com/thong-tin/blog/han-muc-the-tin-dung" TargetMode="External"/><Relationship Id="rId367" Type="http://schemas.openxmlformats.org/officeDocument/2006/relationships/hyperlink" Target="https://techcombank.com/thong-tin/blog/tien-dai-loan" TargetMode="External"/><Relationship Id="rId488" Type="http://schemas.openxmlformats.org/officeDocument/2006/relationships/hyperlink" Target="https://techcombank.com/thong-tin/blog/thue-thuong-mai-dien-tu" TargetMode="External"/><Relationship Id="rId124" Type="http://schemas.openxmlformats.org/officeDocument/2006/relationships/hyperlink" Target="https://techcombank.com/thong-tin/blog/app-ngan-hang-uy-tin" TargetMode="External"/><Relationship Id="rId245" Type="http://schemas.openxmlformats.org/officeDocument/2006/relationships/hyperlink" Target="https://techcombank.com/thong-tin/blog/rut-tien-mat-tu-the-tin-dung" TargetMode="External"/><Relationship Id="rId366" Type="http://schemas.openxmlformats.org/officeDocument/2006/relationships/hyperlink" Target="https://techcombank.com/thong-tin/blog/ty-gia-cac-ngan-hang" TargetMode="External"/><Relationship Id="rId487" Type="http://schemas.openxmlformats.org/officeDocument/2006/relationships/hyperlink" Target="https://techcombank.com/thong-tin/blog/cach-tinh-thue-ho-kinh-doanh-nho-le" TargetMode="External"/><Relationship Id="rId123" Type="http://schemas.openxmlformats.org/officeDocument/2006/relationships/hyperlink" Target="https://techcombank.com/thong-tin/blog/ngan-hang-uy-tin" TargetMode="External"/><Relationship Id="rId244" Type="http://schemas.openxmlformats.org/officeDocument/2006/relationships/hyperlink" Target="https://techcombank.com/thong-tin/blog/the-tin-dung-co-chuyen-khoan-duoc-khong" TargetMode="External"/><Relationship Id="rId365" Type="http://schemas.openxmlformats.org/officeDocument/2006/relationships/hyperlink" Target="https://techcombank.com/thong-tin/blog/1-won-bang-bao-nhieu-tien-viet" TargetMode="External"/><Relationship Id="rId486" Type="http://schemas.openxmlformats.org/officeDocument/2006/relationships/hyperlink" Target="https://techcombank.com/thong-tin/blog/kiem-tra-thue-ho-kinh-doanh" TargetMode="External"/><Relationship Id="rId122" Type="http://schemas.openxmlformats.org/officeDocument/2006/relationships/hyperlink" Target="https://techcombank.com/thong-tin/blog/1-cmnd-dang-ky-duoc-may-tai-khoan-ngan-hang" TargetMode="External"/><Relationship Id="rId243" Type="http://schemas.openxmlformats.org/officeDocument/2006/relationships/hyperlink" Target="https://techcombank.com/thong-tin/blog/rut-tien-mat-tu-the-tin-dung" TargetMode="External"/><Relationship Id="rId364" Type="http://schemas.openxmlformats.org/officeDocument/2006/relationships/hyperlink" Target="https://techcombank.com/thong-tin/blog/chuyen-tien-tu-han-sang-viet-nam" TargetMode="External"/><Relationship Id="rId485" Type="http://schemas.openxmlformats.org/officeDocument/2006/relationships/hyperlink" Target="https://techcombank.com/thong-tin/blog/cach-tinh-thue-ho-kinh-doanh-nho-le"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480" Type="http://schemas.openxmlformats.org/officeDocument/2006/relationships/hyperlink" Target="https://techcombank.com/thong-tin/blog/ho-kinh-doanh-ca-the"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118" Type="http://schemas.openxmlformats.org/officeDocument/2006/relationships/hyperlink" Target="https://techcombank.com/thong-tin/blog/mo-tai-khoan-ngan-hang-online-co-an-toan-khong" TargetMode="External"/><Relationship Id="rId239" Type="http://schemas.openxmlformats.org/officeDocument/2006/relationships/hyperlink" Target="https://techcombank.com/thong-tin/blog/rut-tien-mat-tu-the-tin-dung" TargetMode="External"/><Relationship Id="rId117" Type="http://schemas.openxmlformats.org/officeDocument/2006/relationships/hyperlink" Target="https://techcombank.com/thong-tin/blog/cach-mo-tai-khoan" TargetMode="External"/><Relationship Id="rId238" Type="http://schemas.openxmlformats.org/officeDocument/2006/relationships/hyperlink" Target="https://techcombank.com/thong-tin/blog/no-xau-nhom-2" TargetMode="External"/><Relationship Id="rId359" Type="http://schemas.openxmlformats.org/officeDocument/2006/relationships/hyperlink" Target="https://techcombank.com/thong-tin/blog/1-won-bang-bao-nhieu-tien-viet" TargetMode="External"/><Relationship Id="rId116" Type="http://schemas.openxmlformats.org/officeDocument/2006/relationships/hyperlink" Target="https://techcombank.com/thong-tin/blog/tai-khoan-thanh-toan-la-gi" TargetMode="External"/><Relationship Id="rId237" Type="http://schemas.openxmlformats.org/officeDocument/2006/relationships/hyperlink" Target="https://techcombank.com/thong-tin/blog/cic-la-gi" TargetMode="External"/><Relationship Id="rId358" Type="http://schemas.openxmlformats.org/officeDocument/2006/relationships/hyperlink" Target="https://techcombank.com/thong-tin/blog/1-trieu-won-bang-bao-nhieu-tien-viet" TargetMode="External"/><Relationship Id="rId479" Type="http://schemas.openxmlformats.org/officeDocument/2006/relationships/hyperlink" Target="https://techcombank.com/thong-tin/blog/mo-tai-khoan-ho-kinh-doanh" TargetMode="External"/><Relationship Id="rId115" Type="http://schemas.openxmlformats.org/officeDocument/2006/relationships/hyperlink" Target="https://techcombank.com/thong-tin/blog/cach-mo-tai-khoan" TargetMode="External"/><Relationship Id="rId236" Type="http://schemas.openxmlformats.org/officeDocument/2006/relationships/hyperlink" Target="https://techcombank.com/thong-tin/blog/no-chu-y-la-gi" TargetMode="External"/><Relationship Id="rId357" Type="http://schemas.openxmlformats.org/officeDocument/2006/relationships/hyperlink" Target="https://techcombank.com/thong-tin/blog/1-won-bang-bao-nhieu-tien-viet" TargetMode="External"/><Relationship Id="rId478" Type="http://schemas.openxmlformats.org/officeDocument/2006/relationships/hyperlink" Target="https://techcombank.com/thong-tin/blog/khai-bao-tai-khoan-ngan-hang-voi-co-quan-thue" TargetMode="External"/><Relationship Id="rId599" Type="http://schemas.openxmlformats.org/officeDocument/2006/relationships/hyperlink" Target="https://techcombank.com/thong-tin/blog/app-vay-tien-nhanh"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231" Type="http://schemas.openxmlformats.org/officeDocument/2006/relationships/hyperlink" Target="https://techcombank.com/thong-tin/blog/cic-la-gi" TargetMode="External"/><Relationship Id="rId352" Type="http://schemas.openxmlformats.org/officeDocument/2006/relationships/hyperlink" Target="https://techcombank.com/thong-tin/blog/tien-nhat" TargetMode="External"/><Relationship Id="rId473" Type="http://schemas.openxmlformats.org/officeDocument/2006/relationships/hyperlink" Target="https://techcombank.com/thong-tin/blog/mo-tai-khoan-ho-kinh-doanh" TargetMode="External"/><Relationship Id="rId594" Type="http://schemas.openxmlformats.org/officeDocument/2006/relationships/hyperlink" Target="https://techcombank.com/thong-tin/blog/gui-tiet-kiem-tich-luy-la-gi" TargetMode="External"/><Relationship Id="rId230" Type="http://schemas.openxmlformats.org/officeDocument/2006/relationships/hyperlink" Target="https://techcombank.com/thong-tin/blog/diem-tin-dung" TargetMode="External"/><Relationship Id="rId351" Type="http://schemas.openxmlformats.org/officeDocument/2006/relationships/hyperlink" Target="https://techcombank.com/thong-tin/blog/1-yen-bang-bao-nhieu-tien-viet-nam" TargetMode="External"/><Relationship Id="rId472" Type="http://schemas.openxmlformats.org/officeDocument/2006/relationships/hyperlink" Target="https://techcombank.com/thong-tin/blog/ma-qr-ngan-hang-khong-hop-le" TargetMode="External"/><Relationship Id="rId593" Type="http://schemas.openxmlformats.org/officeDocument/2006/relationships/hyperlink" Target="https://techcombank.com/cong-cu-tien-ich/cong-cu-tinh-toan/bang-tinh-lai-suat-tiet-kiem" TargetMode="External"/><Relationship Id="rId350" Type="http://schemas.openxmlformats.org/officeDocument/2006/relationships/hyperlink" Target="https://techcombank.com/thong-tin/blog/1000-yen-bang-bao-nhieu-tien-viet" TargetMode="External"/><Relationship Id="rId471" Type="http://schemas.openxmlformats.org/officeDocument/2006/relationships/hyperlink" Target="https://techcombank.com/thong-tin/blog/gui-ma-qr-ngan-hang" TargetMode="External"/><Relationship Id="rId592" Type="http://schemas.openxmlformats.org/officeDocument/2006/relationships/hyperlink" Target="https://techcombank.com/thong-tin/blog/co-50-trieu-nen-mua-vang-hay-gui-tiet-kiem" TargetMode="External"/><Relationship Id="rId470" Type="http://schemas.openxmlformats.org/officeDocument/2006/relationships/hyperlink" Target="https://techcombank.com/thong-tin/blog/lam-ma-qr-ngan-hang-co-mat-phi-khong" TargetMode="External"/><Relationship Id="rId591" Type="http://schemas.openxmlformats.org/officeDocument/2006/relationships/hyperlink" Target="https://techcombank.com/cong-cu-tien-ich/cong-cu-tinh-toan/bang-tinh-lai-suat-tiet-kiem" TargetMode="External"/><Relationship Id="rId114" Type="http://schemas.openxmlformats.org/officeDocument/2006/relationships/hyperlink" Target="https://techcombank.com/thong-tin/blog/tai-khoan-ngan-hang-la-gi" TargetMode="External"/><Relationship Id="rId235" Type="http://schemas.openxmlformats.org/officeDocument/2006/relationships/hyperlink" Target="https://techcombank.com/thong-tin/blog/cic-la-gi" TargetMode="External"/><Relationship Id="rId356" Type="http://schemas.openxmlformats.org/officeDocument/2006/relationships/hyperlink" Target="https://techcombank.com/thong-tin/blog/chuyen-tien-tu-nhat-ve-viet-nam" TargetMode="External"/><Relationship Id="rId477" Type="http://schemas.openxmlformats.org/officeDocument/2006/relationships/hyperlink" Target="https://techcombank.com/thong-tin/blog/mo-tai-khoan-ho-kinh-doanh" TargetMode="External"/><Relationship Id="rId598" Type="http://schemas.openxmlformats.org/officeDocument/2006/relationships/hyperlink" Target="https://techcombank.com/thong-tin/blog/nen-de-tien-trong-the-hay-gui-tiet-kiem" TargetMode="External"/><Relationship Id="rId113" Type="http://schemas.openxmlformats.org/officeDocument/2006/relationships/hyperlink" Target="https://techcombank.com/thong-tin/blog/cach-mo-tai-khoan" TargetMode="External"/><Relationship Id="rId234" Type="http://schemas.openxmlformats.org/officeDocument/2006/relationships/hyperlink" Target="https://techcombank.com/thong-tin/blog/no-nhom-3" TargetMode="External"/><Relationship Id="rId355" Type="http://schemas.openxmlformats.org/officeDocument/2006/relationships/hyperlink" Target="https://techcombank.com/thong-tin/blog/1-yen-bang-bao-nhieu-tien-viet-nam" TargetMode="External"/><Relationship Id="rId476" Type="http://schemas.openxmlformats.org/officeDocument/2006/relationships/hyperlink" Target="https://techcombank.com/thong-tin/blog/thanh-lap-ho-kinh-doanh-ca-the" TargetMode="External"/><Relationship Id="rId597" Type="http://schemas.openxmlformats.org/officeDocument/2006/relationships/hyperlink" Target="https://techcombank.com/cong-cu-tien-ich/cong-cu-tinh-toan/bang-tinh-lai-suat-tiet-kiem" TargetMode="External"/><Relationship Id="rId112" Type="http://schemas.openxmlformats.org/officeDocument/2006/relationships/hyperlink" Target="https://techcombank.com/thong-tin/blog/cach-kiem-tra-tai-khoan-ngan-hang-cua-cong-ty" TargetMode="External"/><Relationship Id="rId233" Type="http://schemas.openxmlformats.org/officeDocument/2006/relationships/hyperlink" Target="https://techcombank.com/thong-tin/blog/cic-la-gi" TargetMode="External"/><Relationship Id="rId354" Type="http://schemas.openxmlformats.org/officeDocument/2006/relationships/hyperlink" Target="https://techcombank.com/thong-tin/blog/1-man-bang-bao-nhieu-tien-viet" TargetMode="External"/><Relationship Id="rId475" Type="http://schemas.openxmlformats.org/officeDocument/2006/relationships/hyperlink" Target="https://techcombank.com/thong-tin/blog/mo-tai-khoan-ho-kinh-doanh" TargetMode="External"/><Relationship Id="rId596" Type="http://schemas.openxmlformats.org/officeDocument/2006/relationships/hyperlink" Target="https://techcombank.com/thong-tin/blog/quy-trinh-gui-tien-tiet-kiem" TargetMode="External"/><Relationship Id="rId111" Type="http://schemas.openxmlformats.org/officeDocument/2006/relationships/hyperlink" Target="https://techcombank.com/thong-tin/blog/cach-kiem-tra-tai-khoan-ngan-hang" TargetMode="External"/><Relationship Id="rId232" Type="http://schemas.openxmlformats.org/officeDocument/2006/relationships/hyperlink" Target="https://techcombank.com/thong-tin/blog/lich-su-tin-dung" TargetMode="External"/><Relationship Id="rId353" Type="http://schemas.openxmlformats.org/officeDocument/2006/relationships/hyperlink" Target="https://techcombank.com/thong-tin/blog/1-yen-bang-bao-nhieu-tien-viet-nam" TargetMode="External"/><Relationship Id="rId474" Type="http://schemas.openxmlformats.org/officeDocument/2006/relationships/hyperlink" Target="https://techcombank.com/thong-tin/blog/ho-kinh-doanh-can-gi-o-tai-khoan-ngan-hang" TargetMode="External"/><Relationship Id="rId595" Type="http://schemas.openxmlformats.org/officeDocument/2006/relationships/hyperlink" Target="https://techcombank.com/cong-cu-tien-ich/cong-cu-tinh-toan/bang-tinh-lai-suat-tiet-kiem" TargetMode="External"/><Relationship Id="rId305" Type="http://schemas.openxmlformats.org/officeDocument/2006/relationships/hyperlink" Target="https://techcombank.com/thong-tin/blog/chung-chi-tien-gui-la-gi" TargetMode="External"/><Relationship Id="rId426" Type="http://schemas.openxmlformats.org/officeDocument/2006/relationships/hyperlink" Target="https://techcombank.com/thong-tin/blog/di-du-lich-nuoc-ngoai-can-chuan-bi-gi" TargetMode="External"/><Relationship Id="rId547" Type="http://schemas.openxmlformats.org/officeDocument/2006/relationships/hyperlink" Target="https://techcombank.com/thong-tin/blog/rut-tien-tiet-kiem-truoc-thoi-han" TargetMode="External"/><Relationship Id="rId668" Type="http://schemas.openxmlformats.org/officeDocument/2006/relationships/hyperlink" Target="https://techcombank.com/thong-tin/blog/mua-chung-chi-quy" TargetMode="External"/><Relationship Id="rId304" Type="http://schemas.openxmlformats.org/officeDocument/2006/relationships/hyperlink" Target="https://techcombank.com/thong-tin/blog/the-tin-dung-mien-lai-55-ngay" TargetMode="External"/><Relationship Id="rId425" Type="http://schemas.openxmlformats.org/officeDocument/2006/relationships/hyperlink" Target="https://techcombank.com/thong-tin/blog/doi-tien-do-o-dau" TargetMode="External"/><Relationship Id="rId546" Type="http://schemas.openxmlformats.org/officeDocument/2006/relationships/hyperlink" Target="https://techcombank.com/thong-tin/blog/mat-so-tiet-kiem" TargetMode="External"/><Relationship Id="rId667" Type="http://schemas.openxmlformats.org/officeDocument/2006/relationships/hyperlink" Target="https://techcombank.com/thong-tin/blog/phuong-phap-dau-tu-chung-chi-quy" TargetMode="External"/><Relationship Id="rId303" Type="http://schemas.openxmlformats.org/officeDocument/2006/relationships/hyperlink" Target="https://techcombank.com/thong-tin/blog/cach-thanh-toan-the-tin-dung" TargetMode="External"/><Relationship Id="rId424" Type="http://schemas.openxmlformats.org/officeDocument/2006/relationships/hyperlink" Target="https://techcombank.com/thong-tin/blog/ty-gia-cac-ngan-hang" TargetMode="External"/><Relationship Id="rId545" Type="http://schemas.openxmlformats.org/officeDocument/2006/relationships/hyperlink" Target="https://techcombank.com/thong-tin/blog/rut-tien-tiet-kiem-truoc-thoi-han" TargetMode="External"/><Relationship Id="rId666" Type="http://schemas.openxmlformats.org/officeDocument/2006/relationships/hyperlink" Target="https://techcombank.com/thong-tin/blog/chung-chi-quy" TargetMode="External"/><Relationship Id="rId302" Type="http://schemas.openxmlformats.org/officeDocument/2006/relationships/hyperlink" Target="https://techcombank.com/thong-tin/blog/no-the-tin-dung-qua-han" TargetMode="External"/><Relationship Id="rId423" Type="http://schemas.openxmlformats.org/officeDocument/2006/relationships/hyperlink" Target="https://techcombank.com/thong-tin/blog/doi-tien-do-o-dau" TargetMode="External"/><Relationship Id="rId544" Type="http://schemas.openxmlformats.org/officeDocument/2006/relationships/hyperlink" Target="https://techcombank.com/thong-tin/blog/vay-thau-chi-bang-so-tiet-kiem" TargetMode="External"/><Relationship Id="rId665" Type="http://schemas.openxmlformats.org/officeDocument/2006/relationships/hyperlink" Target="https://techcombank.com/thong-tin/blog/phuong-phap-dau-tu-chung-chi-quy"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429" Type="http://schemas.openxmlformats.org/officeDocument/2006/relationships/hyperlink" Target="https://techcombank.com/thong-tin/blog/vay-ngan-hang-1-ty-moi-thang-tra-bao-nhieu" TargetMode="External"/><Relationship Id="rId307" Type="http://schemas.openxmlformats.org/officeDocument/2006/relationships/hyperlink" Target="https://techcombank.com/thong-tin/blog/chung-chi-tien-gui-la-gi" TargetMode="External"/><Relationship Id="rId428" Type="http://schemas.openxmlformats.org/officeDocument/2006/relationships/hyperlink" Target="https://techcombank.com/thong-tin/blog/1-trieu-do-bang-bao-nhieu-tien-viet" TargetMode="External"/><Relationship Id="rId549" Type="http://schemas.openxmlformats.org/officeDocument/2006/relationships/hyperlink" Target="https://techcombank.com/thong-tin/blog/so-tiet-kiem-ngan-hang" TargetMode="External"/><Relationship Id="rId306" Type="http://schemas.openxmlformats.org/officeDocument/2006/relationships/hyperlink" Target="https://techcombank.com/thong-tin/blog/chung-chi-tien-gui-khac-gi-so-tiet-kiem" TargetMode="External"/><Relationship Id="rId427" Type="http://schemas.openxmlformats.org/officeDocument/2006/relationships/hyperlink" Target="https://techcombank.com/thong-tin/blog/doi-tien-do-o-dau" TargetMode="External"/><Relationship Id="rId548" Type="http://schemas.openxmlformats.org/officeDocument/2006/relationships/hyperlink" Target="https://techcombank.com/thong-tin/blog/gui-them-tien-vao-so-tiet-kiem"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301" Type="http://schemas.openxmlformats.org/officeDocument/2006/relationships/hyperlink" Target="https://techcombank.com/thong-tin/blog/cach-thanh-toan-the-tin-dung" TargetMode="External"/><Relationship Id="rId422" Type="http://schemas.openxmlformats.org/officeDocument/2006/relationships/hyperlink" Target="https://techcombank.com/thong-tin/blog/han-muc-mua-ngoai-te-khi-di-du-lich" TargetMode="External"/><Relationship Id="rId543" Type="http://schemas.openxmlformats.org/officeDocument/2006/relationships/hyperlink" Target="https://techcombank.com/thong-tin/blog/rut-tien-tiet-kiem-truoc-thoi-han" TargetMode="External"/><Relationship Id="rId664" Type="http://schemas.openxmlformats.org/officeDocument/2006/relationships/hyperlink" Target="https://techcombank.com/thong-tin/blog/vay-tin-chap-la-gi" TargetMode="External"/><Relationship Id="rId300" Type="http://schemas.openxmlformats.org/officeDocument/2006/relationships/hyperlink" Target="https://techcombank.com/thong-tin/blog/sao-ke-the-tin-dung-la-gi" TargetMode="External"/><Relationship Id="rId421" Type="http://schemas.openxmlformats.org/officeDocument/2006/relationships/hyperlink" Target="https://techcombank.com/thong-tin/blog/doi-tien-do-o-dau" TargetMode="External"/><Relationship Id="rId542" Type="http://schemas.openxmlformats.org/officeDocument/2006/relationships/hyperlink" Target="https://techcombank.com/thong-tin/blog/gui-tiet-kiem-online-co-rut-truoc-han-duoc-khong" TargetMode="External"/><Relationship Id="rId663" Type="http://schemas.openxmlformats.org/officeDocument/2006/relationships/hyperlink" Target="https://techcombank.com/thong-tin/blog/vay-tin-chap-khong-tra-duoc-co-sao-khong" TargetMode="External"/><Relationship Id="rId420" Type="http://schemas.openxmlformats.org/officeDocument/2006/relationships/hyperlink" Target="https://techcombank.com/thong-tin/blog/dieu-kien-mua-usd-tu-ngan-hang" TargetMode="External"/><Relationship Id="rId541" Type="http://schemas.openxmlformats.org/officeDocument/2006/relationships/hyperlink" Target="https://techcombank.com/thong-tin/blog/rut-tien-tiet-kiem-truoc-thoi-han" TargetMode="External"/><Relationship Id="rId662" Type="http://schemas.openxmlformats.org/officeDocument/2006/relationships/hyperlink" Target="https://techcombank.com/thong-tin/blog/no-the-tin-dung-qua-han" TargetMode="External"/><Relationship Id="rId540" Type="http://schemas.openxmlformats.org/officeDocument/2006/relationships/hyperlink" Target="https://techcombank.com/thong-tin/blog/tat-toan-so-tiet-kiem" TargetMode="External"/><Relationship Id="rId661" Type="http://schemas.openxmlformats.org/officeDocument/2006/relationships/hyperlink" Target="https://techcombank.com/thong-tin/blog/vay-tin-chap-khong-tra-duoc-co-sao-khong" TargetMode="External"/><Relationship Id="rId415" Type="http://schemas.openxmlformats.org/officeDocument/2006/relationships/hyperlink" Target="https://techcombank.com/thong-tin/blog/cach-nhan-tien-tu-nuoc-ngoai-ve-viet-nam" TargetMode="External"/><Relationship Id="rId536" Type="http://schemas.openxmlformats.org/officeDocument/2006/relationships/hyperlink" Target="https://techcombank.com/thong-tin/blog/tien-gui-khong-ky-han" TargetMode="External"/><Relationship Id="rId657" Type="http://schemas.openxmlformats.org/officeDocument/2006/relationships/hyperlink" Target="https://techcombank.com/thong-tin/blog/vay-tin-chap-khong-tra-duoc-co-sao-khong" TargetMode="External"/><Relationship Id="rId414" Type="http://schemas.openxmlformats.org/officeDocument/2006/relationships/hyperlink" Target="https://techcombank.com/thong-tin/blog/ma-swift-ngan-hang" TargetMode="External"/><Relationship Id="rId535" Type="http://schemas.openxmlformats.org/officeDocument/2006/relationships/hyperlink" Target="https://techcombank.com/thong-tin/blog/cach-tinh-lai-suat-tien-gui-tiet-kiem" TargetMode="External"/><Relationship Id="rId656" Type="http://schemas.openxmlformats.org/officeDocument/2006/relationships/hyperlink" Target="https://techcombank.com/thong-tin/blog/no-the-tin-dung-qua-han" TargetMode="External"/><Relationship Id="rId413" Type="http://schemas.openxmlformats.org/officeDocument/2006/relationships/hyperlink" Target="https://techcombank.com/thong-tin/blog/cach-nhan-tien-tu-nuoc-ngoai-ve-viet-nam" TargetMode="External"/><Relationship Id="rId534" Type="http://schemas.openxmlformats.org/officeDocument/2006/relationships/hyperlink" Target="https://techcombank.com/thong-tin/blog/gui-tiet-kiem-hang-thang" TargetMode="External"/><Relationship Id="rId655" Type="http://schemas.openxmlformats.org/officeDocument/2006/relationships/hyperlink" Target="https://techcombank.com/thong-tin/blog/no-xau-la-gi" TargetMode="External"/><Relationship Id="rId412" Type="http://schemas.openxmlformats.org/officeDocument/2006/relationships/hyperlink" Target="https://techcombank.com/thong-tin/blog/nhan-tien-western-union" TargetMode="External"/><Relationship Id="rId533" Type="http://schemas.openxmlformats.org/officeDocument/2006/relationships/hyperlink" Target="https://techcombank.com/thong-tin/blog/cach-tinh-lai-suat-tien-gui-tiet-kiem" TargetMode="External"/><Relationship Id="rId654" Type="http://schemas.openxmlformats.org/officeDocument/2006/relationships/hyperlink" Target="https://techcombank.com/thong-tin/blog/du-no-tin-dung-la-gi"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539" Type="http://schemas.openxmlformats.org/officeDocument/2006/relationships/hyperlink" Target="https://techcombank.com/thong-tin/blog/rut-tien-tiet-kiem-truoc-thoi-han" TargetMode="External"/><Relationship Id="rId417" Type="http://schemas.openxmlformats.org/officeDocument/2006/relationships/hyperlink" Target="https://techcombank.com/thong-tin/blog/cach-nhan-tien-tu-nuoc-ngoai-ve-viet-nam" TargetMode="External"/><Relationship Id="rId538" Type="http://schemas.openxmlformats.org/officeDocument/2006/relationships/hyperlink" Target="https://techcombank.com/thong-tin/blog/dao-han-la-gi" TargetMode="External"/><Relationship Id="rId659" Type="http://schemas.openxmlformats.org/officeDocument/2006/relationships/hyperlink" Target="https://techcombank.com/thong-tin/blog/vay-tin-chap-khong-tra-duoc-co-sao-khong" TargetMode="External"/><Relationship Id="rId416" Type="http://schemas.openxmlformats.org/officeDocument/2006/relationships/hyperlink" Target="https://techcombank.com/thong-tin/blog/chuyen-tien-tu-my-ve-viet-nam" TargetMode="External"/><Relationship Id="rId537" Type="http://schemas.openxmlformats.org/officeDocument/2006/relationships/hyperlink" Target="https://techcombank.com/thong-tin/blog/cach-tinh-lai-suat-tien-gui-tiet-kiem" TargetMode="External"/><Relationship Id="rId658" Type="http://schemas.openxmlformats.org/officeDocument/2006/relationships/hyperlink" Target="https://techcombank.com/thong-tin/blog/vay-the-chap-khong-tra-duoc" TargetMode="External"/><Relationship Id="rId411" Type="http://schemas.openxmlformats.org/officeDocument/2006/relationships/hyperlink" Target="https://techcombank.com/thong-tin/blog/cach-nhan-tien-tu-nuoc-ngoai-ve-viet-nam" TargetMode="External"/><Relationship Id="rId532" Type="http://schemas.openxmlformats.org/officeDocument/2006/relationships/hyperlink" Target="https://techcombank.com/thong-tin/blog/gui-tiet-kiem-lay-lai-hang-thang" TargetMode="External"/><Relationship Id="rId653" Type="http://schemas.openxmlformats.org/officeDocument/2006/relationships/hyperlink" Target="https://techcombank.com/thong-tin/blog/no-xau-la-gi" TargetMode="External"/><Relationship Id="rId410" Type="http://schemas.openxmlformats.org/officeDocument/2006/relationships/hyperlink" Target="https://techcombank.com/thong-tin/blog/kieu-hoi-la-gi" TargetMode="External"/><Relationship Id="rId531" Type="http://schemas.openxmlformats.org/officeDocument/2006/relationships/hyperlink" Target="https://techcombank.com/thong-tin/blog/cach-tinh-lai-suat-tien-gui-tiet-kiem" TargetMode="External"/><Relationship Id="rId652" Type="http://schemas.openxmlformats.org/officeDocument/2006/relationships/hyperlink" Target="https://techcombank.com/thong-tin/blog/no-nhom-3" TargetMode="External"/><Relationship Id="rId530" Type="http://schemas.openxmlformats.org/officeDocument/2006/relationships/hyperlink" Target="https://techcombank.com/thong-tin/blog/lai-kep-ngan-hang"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206" Type="http://schemas.openxmlformats.org/officeDocument/2006/relationships/hyperlink" Target="https://techcombank.com/thong-tin/blog/the-atm-khong-rut-duoc-tien" TargetMode="External"/><Relationship Id="rId327" Type="http://schemas.openxmlformats.org/officeDocument/2006/relationships/hyperlink" Target="https://techcombank.com/thong-tin/blog/1-te-bang-bao-nhieu-tien-viet-nam" TargetMode="External"/><Relationship Id="rId448" Type="http://schemas.openxmlformats.org/officeDocument/2006/relationships/hyperlink" Target="https://techcombank.com/thong-tin/blog/ho-kinh-doanh-la-gi" TargetMode="External"/><Relationship Id="rId569" Type="http://schemas.openxmlformats.org/officeDocument/2006/relationships/hyperlink" Target="https://techcombank.com/thong-tin/blog/rui-ro-khi-gui-tiet-kiem-online" TargetMode="External"/><Relationship Id="rId205" Type="http://schemas.openxmlformats.org/officeDocument/2006/relationships/hyperlink" Target="https://techcombank.com/thong-tin/blog/rut-tien-bang-ma-qr-la-gi-cach-thuc-hien-nhu-the-nao" TargetMode="External"/><Relationship Id="rId326" Type="http://schemas.openxmlformats.org/officeDocument/2006/relationships/hyperlink" Target="https://techcombank.com/thong-tin/blog/1-van-te-bang-bao-nhieu-tien-viet" TargetMode="External"/><Relationship Id="rId447" Type="http://schemas.openxmlformats.org/officeDocument/2006/relationships/hyperlink" Target="https://techcombank.com/thong-tin/blog/ho-kinh-doanh-dong-thue-nhu-nao" TargetMode="External"/><Relationship Id="rId568" Type="http://schemas.openxmlformats.org/officeDocument/2006/relationships/hyperlink" Target="https://techcombank.com/thong-tin/blog/the-nao-la-tiet-kiem" TargetMode="External"/><Relationship Id="rId204" Type="http://schemas.openxmlformats.org/officeDocument/2006/relationships/hyperlink" Target="https://techcombank.com/thong-tin/blog/cach-rut-tien-atm" TargetMode="External"/><Relationship Id="rId325" Type="http://schemas.openxmlformats.org/officeDocument/2006/relationships/hyperlink" Target="https://techcombank.com/thong-tin/blog/1-te-bang-bao-nhieu-tien-viet-nam" TargetMode="External"/><Relationship Id="rId446" Type="http://schemas.openxmlformats.org/officeDocument/2006/relationships/hyperlink" Target="https://techcombank.com/thong-tin/blog/tich-diem-doi-qua" TargetMode="External"/><Relationship Id="rId567" Type="http://schemas.openxmlformats.org/officeDocument/2006/relationships/hyperlink" Target="https://techcombank.com/thong-tin/blog/cach-tiet-kiem-tien" TargetMode="External"/><Relationship Id="rId203" Type="http://schemas.openxmlformats.org/officeDocument/2006/relationships/hyperlink" Target="https://techcombank.com/thong-tin/blog/rut-tien-bang-ma-qr-la-gi-cach-thuc-hien-nhu-the-nao" TargetMode="External"/><Relationship Id="rId324" Type="http://schemas.openxmlformats.org/officeDocument/2006/relationships/hyperlink" Target="https://techcombank.com/thong-tin/blog/tien-trung-quoc" TargetMode="External"/><Relationship Id="rId445" Type="http://schemas.openxmlformats.org/officeDocument/2006/relationships/hyperlink" Target="https://techcombank.com/thong-tin/blog/traveloka-voucher" TargetMode="External"/><Relationship Id="rId566" Type="http://schemas.openxmlformats.org/officeDocument/2006/relationships/hyperlink" Target="https://techcombank.com/thong-tin/blog/loi-ich-cua-viec-tiet-kiem-tien"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329" Type="http://schemas.openxmlformats.org/officeDocument/2006/relationships/hyperlink" Target="https://techcombank.com/thong-tin/blog/1-te-bang-bao-nhieu-tien-viet-nam" TargetMode="External"/><Relationship Id="rId207" Type="http://schemas.openxmlformats.org/officeDocument/2006/relationships/hyperlink" Target="https://techcombank.com/thong-tin/blog/rut-tien-bang-ma-qr-la-gi-cach-thuc-hien-nhu-the-nao" TargetMode="External"/><Relationship Id="rId328" Type="http://schemas.openxmlformats.org/officeDocument/2006/relationships/hyperlink" Target="https://techcombank.com/thong-tin/blog/1000-te-bang-bao-nhieu-tien-viet"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202" Type="http://schemas.openxmlformats.org/officeDocument/2006/relationships/hyperlink" Target="https://techcombank.com/thong-tin/blog/rut-tien-bang-ma-qr-khac-ngan-hang-duoc-khong" TargetMode="External"/><Relationship Id="rId323" Type="http://schemas.openxmlformats.org/officeDocument/2006/relationships/hyperlink" Target="https://techcombank.com/thong-tin/blog/1-te-bang-bao-nhieu-tien-viet-nam" TargetMode="External"/><Relationship Id="rId444" Type="http://schemas.openxmlformats.org/officeDocument/2006/relationships/hyperlink" Target="https://techcombank.com/thong-tin/blog/techcombank-oneu" TargetMode="External"/><Relationship Id="rId565" Type="http://schemas.openxmlformats.org/officeDocument/2006/relationships/hyperlink" Target="https://techcombank.com/thong-tin/blog/cach-tiet-kiem-tien" TargetMode="External"/><Relationship Id="rId201" Type="http://schemas.openxmlformats.org/officeDocument/2006/relationships/hyperlink" Target="https://techcombank.com/thong-tin/blog/rut-tien-bang-ma-qr-la-gi-cach-thuc-hien-nhu-the-nao" TargetMode="External"/><Relationship Id="rId322" Type="http://schemas.openxmlformats.org/officeDocument/2006/relationships/hyperlink" Target="https://techcombank.com/thong-tin/blog/chuyen-nhuong-chung-chi-tien-gui" TargetMode="External"/><Relationship Id="rId443" Type="http://schemas.openxmlformats.org/officeDocument/2006/relationships/hyperlink" Target="https://techcombank.com/thong-tin/blog/traveloka-voucher" TargetMode="External"/><Relationship Id="rId564" Type="http://schemas.openxmlformats.org/officeDocument/2006/relationships/hyperlink" Target="https://techcombank.com/thong-tin/blog/hoc-cach-tiet-kiem-tien-luong" TargetMode="External"/><Relationship Id="rId200" Type="http://schemas.openxmlformats.org/officeDocument/2006/relationships/hyperlink" Target="https://techcombank.com/thong-tin/blog/tra-cuu-no-thue-ca-nhan" TargetMode="External"/><Relationship Id="rId321" Type="http://schemas.openxmlformats.org/officeDocument/2006/relationships/hyperlink" Target="https://techcombank.com/thong-tin/blog/lai-suat-chung-chi-tien-gui-cac-ngan-hang" TargetMode="External"/><Relationship Id="rId442" Type="http://schemas.openxmlformats.org/officeDocument/2006/relationships/hyperlink" Target="https://techcombank.com/thong-tin/blog/mua-ve-may-bay-gia-re" TargetMode="External"/><Relationship Id="rId563" Type="http://schemas.openxmlformats.org/officeDocument/2006/relationships/hyperlink" Target="https://techcombank.com/thong-tin/blog/cach-tiet-kiem-tien" TargetMode="External"/><Relationship Id="rId320" Type="http://schemas.openxmlformats.org/officeDocument/2006/relationships/hyperlink" Target="https://techcombank.com/thong-tin/blog/chung-chi-tien-gui-co-duoc-rut-truoc-han" TargetMode="External"/><Relationship Id="rId441" Type="http://schemas.openxmlformats.org/officeDocument/2006/relationships/hyperlink" Target="https://techcombank.com/thong-tin/blog/traveloka-voucher" TargetMode="External"/><Relationship Id="rId562" Type="http://schemas.openxmlformats.org/officeDocument/2006/relationships/hyperlink" Target="https://techcombank.com/thong-tin/blog/tiet-kiem-tien-moi-ngay" TargetMode="External"/><Relationship Id="rId316" Type="http://schemas.openxmlformats.org/officeDocument/2006/relationships/hyperlink" Target="https://techcombank.com/thong-tin/blog/cach-tinh-loi-nhuan-chung-chi-tien-gui" TargetMode="External"/><Relationship Id="rId437" Type="http://schemas.openxmlformats.org/officeDocument/2006/relationships/hyperlink" Target="https://techcombank.com/thong-tin/blog/vay-ngan-hang-1-ty-moi-thang-tra-bao-nhieu" TargetMode="External"/><Relationship Id="rId558" Type="http://schemas.openxmlformats.org/officeDocument/2006/relationships/hyperlink" Target="https://techcombank.com/thong-tin/blog/quy-trinh-gui-tien-tiet-kiem" TargetMode="External"/><Relationship Id="rId315" Type="http://schemas.openxmlformats.org/officeDocument/2006/relationships/hyperlink" Target="https://techcombank.com/thong-tin/blog/lai-suat-chung-chi-tien-gui-cac-ngan-hang" TargetMode="External"/><Relationship Id="rId436" Type="http://schemas.openxmlformats.org/officeDocument/2006/relationships/hyperlink" Target="https://techcombank.com/thong-tin/blog/vay-mua-chung-cu" TargetMode="External"/><Relationship Id="rId557" Type="http://schemas.openxmlformats.org/officeDocument/2006/relationships/hyperlink" Target="https://techcombank.com/thong-tin/blog/so-tiet-kiem-ngan-hang" TargetMode="External"/><Relationship Id="rId314" Type="http://schemas.openxmlformats.org/officeDocument/2006/relationships/hyperlink" Target="https://techcombank.com/thong-tin/blog/tien-nhan-roi-nen-lam-gi" TargetMode="External"/><Relationship Id="rId435" Type="http://schemas.openxmlformats.org/officeDocument/2006/relationships/hyperlink" Target="https://techcombank.com/thong-tin/blog/vay-ngan-hang-1-ty-moi-thang-tra-bao-nhieu" TargetMode="External"/><Relationship Id="rId556" Type="http://schemas.openxmlformats.org/officeDocument/2006/relationships/hyperlink" Target="https://techcombank.com/thong-tin/blog/gui-them-tien-vao-so-tiet-kiem" TargetMode="External"/><Relationship Id="rId313" Type="http://schemas.openxmlformats.org/officeDocument/2006/relationships/hyperlink" Target="https://techcombank.com/thong-tin/blog/chung-chi-tien-gui-la-gi" TargetMode="External"/><Relationship Id="rId434" Type="http://schemas.openxmlformats.org/officeDocument/2006/relationships/hyperlink" Target="https://techcombank.com/thong-tin/blog/kinh-nghiem-vay-tien-mua-nha" TargetMode="External"/><Relationship Id="rId555" Type="http://schemas.openxmlformats.org/officeDocument/2006/relationships/hyperlink" Target="https://techcombank.com/thong-tin/blog/so-tiet-kiem-ngan-hang"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439" Type="http://schemas.openxmlformats.org/officeDocument/2006/relationships/hyperlink" Target="https://techcombank.com/thong-tin/blog/traveloka-voucher" TargetMode="External"/><Relationship Id="rId317" Type="http://schemas.openxmlformats.org/officeDocument/2006/relationships/hyperlink" Target="https://techcombank.com/thong-tin/blog/lai-suat-chung-chi-tien-gui-cac-ngan-hang" TargetMode="External"/><Relationship Id="rId438" Type="http://schemas.openxmlformats.org/officeDocument/2006/relationships/hyperlink" Target="https://techcombank.com/thong-tin/blog/lai-suat-vay-the-chap"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312" Type="http://schemas.openxmlformats.org/officeDocument/2006/relationships/hyperlink" Target="https://techcombank.com/thong-tin/blog/chung-chi-tien-gui-co-an-toan-khong" TargetMode="External"/><Relationship Id="rId433" Type="http://schemas.openxmlformats.org/officeDocument/2006/relationships/hyperlink" Target="https://techcombank.com/thong-tin/blog/vay-ngan-hang-1-ty-moi-thang-tra-bao-nhieu" TargetMode="External"/><Relationship Id="rId554" Type="http://schemas.openxmlformats.org/officeDocument/2006/relationships/hyperlink" Target="https://techcombank.com/thong-tin/blog/mat-so-tiet-kiem" TargetMode="External"/><Relationship Id="rId675" Type="http://schemas.openxmlformats.org/officeDocument/2006/relationships/drawing" Target="../drawings/drawing8.xml"/><Relationship Id="rId311" Type="http://schemas.openxmlformats.org/officeDocument/2006/relationships/hyperlink" Target="https://techcombank.com/thong-tin/blog/chung-chi-tien-gui-la-gi" TargetMode="External"/><Relationship Id="rId432" Type="http://schemas.openxmlformats.org/officeDocument/2006/relationships/hyperlink" Target="https://techcombank.com/thong-tin/blog/thu-tuc-vay-ngan-hang-mua-nha" TargetMode="External"/><Relationship Id="rId553" Type="http://schemas.openxmlformats.org/officeDocument/2006/relationships/hyperlink" Target="https://techcombank.com/thong-tin/blog/so-tiet-kiem-ngan-hang" TargetMode="External"/><Relationship Id="rId674" Type="http://schemas.openxmlformats.org/officeDocument/2006/relationships/hyperlink" Target="https://techcombank.com/thong-tin/blog/chung-chi-quy-va-co-phieu" TargetMode="External"/><Relationship Id="rId310" Type="http://schemas.openxmlformats.org/officeDocument/2006/relationships/hyperlink" Target="https://techcombank.com/thong-tin/blog/co-nen-gui-chung-chi-tien-gui" TargetMode="External"/><Relationship Id="rId431" Type="http://schemas.openxmlformats.org/officeDocument/2006/relationships/hyperlink" Target="https://techcombank.com/thong-tin/blog/vay-ngan-hang-1-ty-moi-thang-tra-bao-nhieu" TargetMode="External"/><Relationship Id="rId552" Type="http://schemas.openxmlformats.org/officeDocument/2006/relationships/hyperlink" Target="https://techcombank.com/thong-tin/blog/tai-khoan-tiet-kiem" TargetMode="External"/><Relationship Id="rId673" Type="http://schemas.openxmlformats.org/officeDocument/2006/relationships/hyperlink" Target="https://techcombank.com/thong-tin/blog/phuong-phap-dau-tu-chung-chi-quy" TargetMode="External"/><Relationship Id="rId430" Type="http://schemas.openxmlformats.org/officeDocument/2006/relationships/hyperlink" Target="https://techcombank.com/thong-tin/blog/co-nen-vay-ngan-hang-mua-nha" TargetMode="External"/><Relationship Id="rId551" Type="http://schemas.openxmlformats.org/officeDocument/2006/relationships/hyperlink" Target="https://techcombank.com/thong-tin/blog/so-tiet-kiem-ngan-hang" TargetMode="External"/><Relationship Id="rId672" Type="http://schemas.openxmlformats.org/officeDocument/2006/relationships/hyperlink" Target="https://techcombank.com/thong-tin/blog/app-theo-doi-chung-chi-quy"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95.13"/>
  </cols>
  <sheetData>
    <row r="1">
      <c r="A1" s="5" t="s">
        <v>0</v>
      </c>
    </row>
    <row r="2">
      <c r="A2" s="10" t="s">
        <v>26</v>
      </c>
      <c r="B2" s="10" t="s">
        <v>31</v>
      </c>
    </row>
    <row r="3">
      <c r="A3" s="11" t="s">
        <v>34</v>
      </c>
      <c r="B3" s="12" t="s">
        <v>37</v>
      </c>
    </row>
    <row r="4">
      <c r="A4" s="11" t="s">
        <v>38</v>
      </c>
      <c r="B4" s="12" t="s">
        <v>40</v>
      </c>
    </row>
    <row r="5">
      <c r="A5" s="11" t="s">
        <v>41</v>
      </c>
      <c r="B5" s="12" t="s">
        <v>43</v>
      </c>
    </row>
    <row r="6">
      <c r="A6" s="11" t="s">
        <v>44</v>
      </c>
      <c r="B6" s="12" t="s">
        <v>46</v>
      </c>
    </row>
    <row r="7">
      <c r="A7" s="11" t="s">
        <v>47</v>
      </c>
      <c r="B7" s="12" t="s">
        <v>48</v>
      </c>
    </row>
    <row r="8">
      <c r="A8" s="11" t="s">
        <v>49</v>
      </c>
      <c r="B8" s="12" t="s">
        <v>50</v>
      </c>
    </row>
    <row r="9" ht="25.5" customHeight="1">
      <c r="A9" s="11" t="s">
        <v>51</v>
      </c>
      <c r="B9" s="12" t="s">
        <v>52</v>
      </c>
    </row>
    <row r="10">
      <c r="A10" s="17" t="s">
        <v>54</v>
      </c>
      <c r="B10" s="17" t="s">
        <v>56</v>
      </c>
    </row>
    <row r="11">
      <c r="A11" s="17" t="s">
        <v>57</v>
      </c>
      <c r="B11" s="17" t="s">
        <v>58</v>
      </c>
    </row>
    <row r="12">
      <c r="A12" s="17" t="s">
        <v>59</v>
      </c>
      <c r="B12" s="17" t="s">
        <v>60</v>
      </c>
    </row>
    <row r="13">
      <c r="A13" s="17" t="s">
        <v>61</v>
      </c>
      <c r="B13" s="17" t="s">
        <v>63</v>
      </c>
    </row>
    <row r="14">
      <c r="A14" s="17" t="s">
        <v>65</v>
      </c>
      <c r="B14" s="17" t="s">
        <v>67</v>
      </c>
    </row>
    <row r="15">
      <c r="A15" s="19"/>
      <c r="B15" s="19"/>
    </row>
    <row r="16">
      <c r="A16" s="19"/>
      <c r="B16" s="19"/>
    </row>
    <row r="17">
      <c r="A17" s="19"/>
      <c r="B17" s="19"/>
    </row>
    <row r="18">
      <c r="A18" s="19"/>
      <c r="B18" s="19"/>
    </row>
    <row r="19">
      <c r="A19" s="19"/>
      <c r="B19" s="19"/>
    </row>
    <row r="20">
      <c r="A20" s="19"/>
      <c r="B20" s="19"/>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6EE9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0"/>
    <col customWidth="1" min="2" max="2" width="50.13"/>
    <col customWidth="1" min="3" max="3" width="10.13"/>
    <col customWidth="1" min="4" max="4" width="16.38"/>
    <col customWidth="1" min="5" max="5" width="10.75"/>
    <col customWidth="1" min="6" max="6" width="20.13"/>
    <col customWidth="1" min="7" max="16" width="25.13"/>
  </cols>
  <sheetData>
    <row r="1" ht="33.0" customHeight="1">
      <c r="A1" s="1" t="s">
        <v>1</v>
      </c>
      <c r="B1" s="1" t="s">
        <v>3</v>
      </c>
      <c r="C1" s="1" t="s">
        <v>4</v>
      </c>
      <c r="D1" s="1" t="s">
        <v>5</v>
      </c>
      <c r="E1" s="1" t="s">
        <v>6</v>
      </c>
      <c r="F1" s="1" t="s">
        <v>7</v>
      </c>
      <c r="G1" s="1" t="s">
        <v>8</v>
      </c>
      <c r="H1" s="1" t="s">
        <v>9</v>
      </c>
      <c r="I1" s="1" t="s">
        <v>10</v>
      </c>
      <c r="J1" s="1" t="s">
        <v>11</v>
      </c>
      <c r="K1" s="1" t="s">
        <v>13</v>
      </c>
      <c r="L1" s="1" t="s">
        <v>15</v>
      </c>
      <c r="M1" s="1" t="s">
        <v>17</v>
      </c>
      <c r="N1" s="1" t="s">
        <v>19</v>
      </c>
      <c r="O1" s="1" t="s">
        <v>21</v>
      </c>
      <c r="P1" s="1" t="s">
        <v>23</v>
      </c>
    </row>
    <row r="2">
      <c r="A2" s="6">
        <f t="shared" ref="A2:A735" si="1">ROW()-1</f>
        <v>1</v>
      </c>
      <c r="B2" s="8" t="s">
        <v>27</v>
      </c>
      <c r="C2" s="6">
        <f>COUNTIF('Kế hoạch chèn link (mới)'!$D$3:$D$2213,$B2)</f>
        <v>5</v>
      </c>
      <c r="D2" s="8" t="str">
        <f>IF(COUNTIFS('Kế hoạch chèn link (mới)'!$D$3:$D$2213,$B2,'Kế hoạch chèn link (mới)'!$I$3:$I$2213,"Đã chèn")&gt;=$C2,"Đã hoàn thành",IF(COUNTIFS('Kế hoạch chèn link (mới)'!$D$3:$D$2213,$B2,'Kế hoạch chèn link (mới)'!$I$3:$I$2213,"Đã chèn")&gt;0,"Đang làm","Chưa hoàn thành"))</f>
        <v>Chưa hoàn thành</v>
      </c>
      <c r="E2" s="8" t="b">
        <f t="shared" ref="E2:E735" si="2">$D2="Đã hoàn thành"</f>
        <v>0</v>
      </c>
      <c r="F2" s="25"/>
      <c r="G2" s="25" t="str">
        <f>IFERROR(__xludf.DUMMYFUNCTION("IFERROR(INDEX(FILTER('Kế hoạch chèn link (mới)'!$C$3:$C$2213,'Kế hoạch chèn link (mới)'!$D$3:$D$2213=$B2),1),"""")"),"1 Tệ bằng bao nhiêu tiền Việt")</f>
        <v>1 Tệ bằng bao nhiêu tiền Việt</v>
      </c>
      <c r="H2" s="25" t="str">
        <f>IFERROR(__xludf.DUMMYFUNCTION("IFERROR(INDEX(FILTER('Kế hoạch chèn link (mới)'!$B$3:$B$2213,'Kế hoạch chèn link (mới)'!$D$3:$D$2213=$B2),1),"""")"),"https://techcombank.com/thong-tin/blog/1-te-bang-bao-nhieu-tien-viet-nam")</f>
        <v>https://techcombank.com/thong-tin/blog/1-te-bang-bao-nhieu-tien-viet-nam</v>
      </c>
      <c r="I2" s="25" t="str">
        <f>IFERROR(__xludf.DUMMYFUNCTION("IFERROR(INDEX(FILTER('Kế hoạch chèn link (mới)'!$C$3:$C$2213,'Kế hoạch chèn link (mới)'!$D$3:$D$2213=$B2),2),"""")"),"tỷ giá USD/VND")</f>
        <v>tỷ giá USD/VND</v>
      </c>
      <c r="J2" s="25" t="str">
        <f>IFERROR(__xludf.DUMMYFUNCTION("IFERROR(INDEX(FILTER('Kế hoạch chèn link (mới)'!$B$3:$B$2213,'Kế hoạch chèn link (mới)'!$D$3:$D$2213=$B2),2),"""")"),"https://techcombank.com/thong-tin/blog/1-dong-do-la-my-bang-bao-nhieu-tien-viet-nam")</f>
        <v>https://techcombank.com/thong-tin/blog/1-dong-do-la-my-bang-bao-nhieu-tien-viet-nam</v>
      </c>
      <c r="K2" s="25" t="str">
        <f>IFERROR(__xludf.DUMMYFUNCTION("IFERROR(INDEX(FILTER('Kế hoạch chèn link (mới)'!$C$3:$C$2213,'Kế hoạch chèn link (mới)'!$D$3:$D$2213=$B2),3),"""")"),"1 Yên bằng bao nhiêu tiền Việt")</f>
        <v>1 Yên bằng bao nhiêu tiền Việt</v>
      </c>
      <c r="L2" s="25" t="str">
        <f>IFERROR(__xludf.DUMMYFUNCTION("IFERROR(INDEX(FILTER('Kế hoạch chèn link (mới)'!$B$3:$B$2213,'Kế hoạch chèn link (mới)'!$D$3:$D$2213=$B2),3),"""")"),"https://techcombank.com/thong-tin/blog/1-yen-bang-bao-nhieu-tien-viet-nam")</f>
        <v>https://techcombank.com/thong-tin/blog/1-yen-bang-bao-nhieu-tien-viet-nam</v>
      </c>
      <c r="M2" s="25" t="str">
        <f>IFERROR(__xludf.DUMMYFUNCTION("IFERROR(INDEX(FILTER('Kế hoạch chèn link (mới)'!$C$3:$C$2213,'Kế hoạch chèn link (mới)'!$D$3:$D$2213=$B2),4),"""")"),"1 Won bằng bao nhiêu tiền Việt")</f>
        <v>1 Won bằng bao nhiêu tiền Việt</v>
      </c>
      <c r="N2" s="25" t="str">
        <f>IFERROR(__xludf.DUMMYFUNCTION("IFERROR(INDEX(FILTER('Kế hoạch chèn link (mới)'!$B$3:$B$2213,'Kế hoạch chèn link (mới)'!$D$3:$D$2213=$B2),4),"""")"),"https://techcombank.com/thong-tin/blog/1-won-bang-bao-nhieu-tien-viet")</f>
        <v>https://techcombank.com/thong-tin/blog/1-won-bang-bao-nhieu-tien-viet</v>
      </c>
      <c r="O2" s="25" t="str">
        <f>IFERROR(__xludf.DUMMYFUNCTION("IFERROR(INDEX(FILTER('Kế hoạch chèn link (mới)'!$C$3:$C$2213,'Kế hoạch chèn link (mới)'!$D$3:$D$2213=$B2),5),"""")"),"1 Man bằng bao nhiêu tiền Việt")</f>
        <v>1 Man bằng bao nhiêu tiền Việt</v>
      </c>
      <c r="P2" s="25" t="str">
        <f>IFERROR(__xludf.DUMMYFUNCTION("IFERROR(INDEX(FILTER('Kế hoạch chèn link (mới)'!$B$3:$B$2213,'Kế hoạch chèn link (mới)'!$D$3:$D$2213=$B2),5),"""")"),"https://techcombank.com/thong-tin/blog/1-man-bang-bao-nhieu-tien-viet")</f>
        <v>https://techcombank.com/thong-tin/blog/1-man-bang-bao-nhieu-tien-viet</v>
      </c>
    </row>
    <row r="3">
      <c r="A3" s="6">
        <f t="shared" si="1"/>
        <v>2</v>
      </c>
      <c r="B3" s="8" t="s">
        <v>190</v>
      </c>
      <c r="C3" s="6">
        <f>COUNTIF('Kế hoạch chèn link (mới)'!$D$3:$D$2213,$B3)</f>
        <v>1</v>
      </c>
      <c r="D3" s="8" t="str">
        <f>IF(COUNTIFS('Kế hoạch chèn link (mới)'!$D$3:$D$2213,$B3,'Kế hoạch chèn link (mới)'!$I$3:$I$2213,"Đã chèn")&gt;=$C3,"Đã hoàn thành",IF(COUNTIFS('Kế hoạch chèn link (mới)'!$D$3:$D$2213,$B3,'Kế hoạch chèn link (mới)'!$I$3:$I$2213,"Đã chèn")&gt;0,"Đang làm","Chưa hoàn thành"))</f>
        <v>Chưa hoàn thành</v>
      </c>
      <c r="E3" s="8" t="b">
        <f t="shared" si="2"/>
        <v>0</v>
      </c>
      <c r="F3" s="25"/>
      <c r="G3" s="25" t="str">
        <f>IFERROR(__xludf.DUMMYFUNCTION("IFERROR(INDEX(FILTER('Kế hoạch chèn link (mới)'!$C$3:$C$2213,'Kế hoạch chèn link (mới)'!$D$3:$D$2213=$B3),1),"""")"),"tỷ giá USD/VND")</f>
        <v>tỷ giá USD/VND</v>
      </c>
      <c r="H3" s="25" t="str">
        <f>IFERROR(__xludf.DUMMYFUNCTION("IFERROR(INDEX(FILTER('Kế hoạch chèn link (mới)'!$B$3:$B$2213,'Kế hoạch chèn link (mới)'!$D$3:$D$2213=$B3),1),"""")"),"https://techcombank.com/thong-tin/blog/1-dong-do-la-my-bang-bao-nhieu-tien-viet-nam")</f>
        <v>https://techcombank.com/thong-tin/blog/1-dong-do-la-my-bang-bao-nhieu-tien-viet-nam</v>
      </c>
      <c r="I3" s="25" t="str">
        <f>IFERROR(__xludf.DUMMYFUNCTION("IFERROR(INDEX(FILTER('Kế hoạch chèn link (mới)'!$C$3:$C$2213,'Kế hoạch chèn link (mới)'!$D$3:$D$2213=$B3),2),"""")"),"")</f>
        <v/>
      </c>
      <c r="J3" s="25" t="str">
        <f>IFERROR(__xludf.DUMMYFUNCTION("IFERROR(INDEX(FILTER('Kế hoạch chèn link (mới)'!$B$3:$B$2213,'Kế hoạch chèn link (mới)'!$D$3:$D$2213=$B3),2),"""")"),"")</f>
        <v/>
      </c>
      <c r="K3" s="25" t="str">
        <f>IFERROR(__xludf.DUMMYFUNCTION("IFERROR(INDEX(FILTER('Kế hoạch chèn link (mới)'!$C$3:$C$2213,'Kế hoạch chèn link (mới)'!$D$3:$D$2213=$B3),3),"""")"),"")</f>
        <v/>
      </c>
      <c r="L3" s="25" t="str">
        <f>IFERROR(__xludf.DUMMYFUNCTION("IFERROR(INDEX(FILTER('Kế hoạch chèn link (mới)'!$B$3:$B$2213,'Kế hoạch chèn link (mới)'!$D$3:$D$2213=$B3),3),"""")"),"")</f>
        <v/>
      </c>
      <c r="M3" s="25" t="str">
        <f>IFERROR(__xludf.DUMMYFUNCTION("IFERROR(INDEX(FILTER('Kế hoạch chèn link (mới)'!$C$3:$C$2213,'Kế hoạch chèn link (mới)'!$D$3:$D$2213=$B3),4),"""")"),"")</f>
        <v/>
      </c>
      <c r="N3" s="25" t="str">
        <f>IFERROR(__xludf.DUMMYFUNCTION("IFERROR(INDEX(FILTER('Kế hoạch chèn link (mới)'!$B$3:$B$2213,'Kế hoạch chèn link (mới)'!$D$3:$D$2213=$B3),4),"""")"),"")</f>
        <v/>
      </c>
      <c r="O3" s="25" t="str">
        <f>IFERROR(__xludf.DUMMYFUNCTION("IFERROR(INDEX(FILTER('Kế hoạch chèn link (mới)'!$C$3:$C$2213,'Kế hoạch chèn link (mới)'!$D$3:$D$2213=$B3),5),"""")"),"")</f>
        <v/>
      </c>
      <c r="P3" s="25" t="str">
        <f>IFERROR(__xludf.DUMMYFUNCTION("IFERROR(INDEX(FILTER('Kế hoạch chèn link (mới)'!$B$3:$B$2213,'Kế hoạch chèn link (mới)'!$D$3:$D$2213=$B3),5),"""")"),"")</f>
        <v/>
      </c>
    </row>
    <row r="4">
      <c r="A4" s="6">
        <f t="shared" si="1"/>
        <v>3</v>
      </c>
      <c r="B4" s="8" t="s">
        <v>349</v>
      </c>
      <c r="C4" s="6">
        <f>COUNTIF('Kế hoạch chèn link (mới)'!$D$3:$D$2213,$B4)</f>
        <v>5</v>
      </c>
      <c r="D4" s="8" t="str">
        <f>IF(COUNTIFS('Kế hoạch chèn link (mới)'!$D$3:$D$2213,$B4,'Kế hoạch chèn link (mới)'!$I$3:$I$2213,"Đã chèn")&gt;=$C4,"Đã hoàn thành",IF(COUNTIFS('Kế hoạch chèn link (mới)'!$D$3:$D$2213,$B4,'Kế hoạch chèn link (mới)'!$I$3:$I$2213,"Đã chèn")&gt;0,"Đang làm","Chưa hoàn thành"))</f>
        <v>Chưa hoàn thành</v>
      </c>
      <c r="E4" s="8" t="b">
        <f t="shared" si="2"/>
        <v>0</v>
      </c>
      <c r="F4" s="25"/>
      <c r="G4" s="25" t="str">
        <f>IFERROR(__xludf.DUMMYFUNCTION("IFERROR(INDEX(FILTER('Kế hoạch chèn link (mới)'!$C$3:$C$2213,'Kế hoạch chèn link (mới)'!$D$3:$D$2213=$B4),1),"""")"),"tra số tài khoản ngân hàng")</f>
        <v>tra số tài khoản ngân hàng</v>
      </c>
      <c r="H4" s="25" t="str">
        <f>IFERROR(__xludf.DUMMYFUNCTION("IFERROR(INDEX(FILTER('Kế hoạch chèn link (mới)'!$B$3:$B$2213,'Kế hoạch chèn link (mới)'!$D$3:$D$2213=$B4),1),"""")"),"https://techcombank.com/thong-tin/blog/cach-kiem-tra-tai-khoan-ngan-hang")</f>
        <v>https://techcombank.com/thong-tin/blog/cach-kiem-tra-tai-khoan-ngan-hang</v>
      </c>
      <c r="I4" s="25" t="str">
        <f>IFERROR(__xludf.DUMMYFUNCTION("IFERROR(INDEX(FILTER('Kế hoạch chèn link (mới)'!$C$3:$C$2213,'Kế hoạch chèn link (mới)'!$D$3:$D$2213=$B4),2),"""")"),"mở tài khoản ngân hàng online")</f>
        <v>mở tài khoản ngân hàng online</v>
      </c>
      <c r="J4" s="25" t="str">
        <f>IFERROR(__xludf.DUMMYFUNCTION("IFERROR(INDEX(FILTER('Kế hoạch chèn link (mới)'!$B$3:$B$2213,'Kế hoạch chèn link (mới)'!$D$3:$D$2213=$B4),2),"""")"),"https://techcombank.com/thong-tin/blog/cach-mo-tai-khoan")</f>
        <v>https://techcombank.com/thong-tin/blog/cach-mo-tai-khoan</v>
      </c>
      <c r="K4" s="25" t="str">
        <f>IFERROR(__xludf.DUMMYFUNCTION("IFERROR(INDEX(FILTER('Kế hoạch chèn link (mới)'!$C$3:$C$2213,'Kế hoạch chèn link (mới)'!$D$3:$D$2213=$B4),3),"""")"),"nạp tiền vào tài khoản ngân hàng")</f>
        <v>nạp tiền vào tài khoản ngân hàng</v>
      </c>
      <c r="L4" s="25" t="str">
        <f>IFERROR(__xludf.DUMMYFUNCTION("IFERROR(INDEX(FILTER('Kế hoạch chèn link (mới)'!$B$3:$B$2213,'Kế hoạch chèn link (mới)'!$D$3:$D$2213=$B4),3),"""")"),"https://techcombank.com/thong-tin/blog/nap-tien-vao-tai-khoan-ngan-hang")</f>
        <v>https://techcombank.com/thong-tin/blog/nap-tien-vao-tai-khoan-ngan-hang</v>
      </c>
      <c r="M4" s="25" t="str">
        <f>IFERROR(__xludf.DUMMYFUNCTION("IFERROR(INDEX(FILTER('Kế hoạch chèn link (mới)'!$C$3:$C$2213,'Kế hoạch chèn link (mới)'!$D$3:$D$2213=$B4),4),"""")"),"lãi suất ngân hàng")</f>
        <v>lãi suất ngân hàng</v>
      </c>
      <c r="N4" s="25" t="str">
        <f>IFERROR(__xludf.DUMMYFUNCTION("IFERROR(INDEX(FILTER('Kế hoạch chèn link (mới)'!$B$3:$B$2213,'Kế hoạch chèn link (mới)'!$D$3:$D$2213=$B4),4),"""")"),"https://techcombank.com/thong-tin/blog/lai-suat-tiet-kiem")</f>
        <v>https://techcombank.com/thong-tin/blog/lai-suat-tiet-kiem</v>
      </c>
      <c r="O4" s="25" t="str">
        <f>IFERROR(__xludf.DUMMYFUNCTION("IFERROR(INDEX(FILTER('Kế hoạch chèn link (mới)'!$C$3:$C$2213,'Kế hoạch chèn link (mới)'!$D$3:$D$2213=$B4),5),"""")"),"cách tiết kiệm tiền")</f>
        <v>cách tiết kiệm tiền</v>
      </c>
      <c r="P4" s="25" t="str">
        <f>IFERROR(__xludf.DUMMYFUNCTION("IFERROR(INDEX(FILTER('Kế hoạch chèn link (mới)'!$B$3:$B$2213,'Kế hoạch chèn link (mới)'!$D$3:$D$2213=$B4),5),"""")"),"https://techcombank.com/thong-tin/blog/cach-tiet-kiem-tien")</f>
        <v>https://techcombank.com/thong-tin/blog/cach-tiet-kiem-tien</v>
      </c>
    </row>
    <row r="5">
      <c r="A5" s="6">
        <f t="shared" si="1"/>
        <v>4</v>
      </c>
      <c r="B5" s="8" t="s">
        <v>477</v>
      </c>
      <c r="C5" s="6">
        <f>COUNTIF('Kế hoạch chèn link (mới)'!$D$3:$D$2213,$B5)</f>
        <v>5</v>
      </c>
      <c r="D5" s="8" t="str">
        <f>IF(COUNTIFS('Kế hoạch chèn link (mới)'!$D$3:$D$2213,$B5,'Kế hoạch chèn link (mới)'!$I$3:$I$2213,"Đã chèn")&gt;=$C5,"Đã hoàn thành",IF(COUNTIFS('Kế hoạch chèn link (mới)'!$D$3:$D$2213,$B5,'Kế hoạch chèn link (mới)'!$I$3:$I$2213,"Đã chèn")&gt;0,"Đang làm","Chưa hoàn thành"))</f>
        <v>Chưa hoàn thành</v>
      </c>
      <c r="E5" s="8" t="b">
        <f t="shared" si="2"/>
        <v>0</v>
      </c>
      <c r="F5" s="25"/>
      <c r="G5" s="25" t="str">
        <f>IFERROR(__xludf.DUMMYFUNCTION("IFERROR(INDEX(FILTER('Kế hoạch chèn link (mới)'!$C$3:$C$2213,'Kế hoạch chèn link (mới)'!$D$3:$D$2213=$B5),1),"""")"),"1 Tệ bằng bao nhiêu tiền Việt")</f>
        <v>1 Tệ bằng bao nhiêu tiền Việt</v>
      </c>
      <c r="H5" s="25" t="str">
        <f>IFERROR(__xludf.DUMMYFUNCTION("IFERROR(INDEX(FILTER('Kế hoạch chèn link (mới)'!$B$3:$B$2213,'Kế hoạch chèn link (mới)'!$D$3:$D$2213=$B5),1),"""")"),"https://techcombank.com/thong-tin/blog/1-te-bang-bao-nhieu-tien-viet-nam")</f>
        <v>https://techcombank.com/thong-tin/blog/1-te-bang-bao-nhieu-tien-viet-nam</v>
      </c>
      <c r="I5" s="25" t="str">
        <f>IFERROR(__xludf.DUMMYFUNCTION("IFERROR(INDEX(FILTER('Kế hoạch chèn link (mới)'!$C$3:$C$2213,'Kế hoạch chèn link (mới)'!$D$3:$D$2213=$B5),2),"""")"),"tiền Nhật")</f>
        <v>tiền Nhật</v>
      </c>
      <c r="J5" s="25" t="str">
        <f>IFERROR(__xludf.DUMMYFUNCTION("IFERROR(INDEX(FILTER('Kế hoạch chèn link (mới)'!$B$3:$B$2213,'Kế hoạch chèn link (mới)'!$D$3:$D$2213=$B5),2),"""")"),"https://techcombank.com/thong-tin/blog/tien-nhat")</f>
        <v>https://techcombank.com/thong-tin/blog/tien-nhat</v>
      </c>
      <c r="K5" s="25" t="str">
        <f>IFERROR(__xludf.DUMMYFUNCTION("IFERROR(INDEX(FILTER('Kế hoạch chèn link (mới)'!$C$3:$C$2213,'Kế hoạch chèn link (mới)'!$D$3:$D$2213=$B5),3),"""")"),"1 Yên bằng bao nhiêu tiền Việt")</f>
        <v>1 Yên bằng bao nhiêu tiền Việt</v>
      </c>
      <c r="L5" s="25" t="str">
        <f>IFERROR(__xludf.DUMMYFUNCTION("IFERROR(INDEX(FILTER('Kế hoạch chèn link (mới)'!$B$3:$B$2213,'Kế hoạch chèn link (mới)'!$D$3:$D$2213=$B5),3),"""")"),"https://techcombank.com/thong-tin/blog/1-yen-bang-bao-nhieu-tien-viet-nam")</f>
        <v>https://techcombank.com/thong-tin/blog/1-yen-bang-bao-nhieu-tien-viet-nam</v>
      </c>
      <c r="M5" s="25" t="str">
        <f>IFERROR(__xludf.DUMMYFUNCTION("IFERROR(INDEX(FILTER('Kế hoạch chèn link (mới)'!$C$3:$C$2213,'Kế hoạch chèn link (mới)'!$D$3:$D$2213=$B5),4),"""")"),"1 triệu đô bằng bao nhiêu tiền Việt")</f>
        <v>1 triệu đô bằng bao nhiêu tiền Việt</v>
      </c>
      <c r="N5" s="25" t="str">
        <f>IFERROR(__xludf.DUMMYFUNCTION("IFERROR(INDEX(FILTER('Kế hoạch chèn link (mới)'!$B$3:$B$2213,'Kế hoạch chèn link (mới)'!$D$3:$D$2213=$B5),4),"""")"),"https://techcombank.com/thong-tin/blog/1-trieu-do-bang-bao-nhieu-tien-viet")</f>
        <v>https://techcombank.com/thong-tin/blog/1-trieu-do-bang-bao-nhieu-tien-viet</v>
      </c>
      <c r="O5" s="25" t="str">
        <f>IFERROR(__xludf.DUMMYFUNCTION("IFERROR(INDEX(FILTER('Kế hoạch chèn link (mới)'!$C$3:$C$2213,'Kế hoạch chèn link (mới)'!$D$3:$D$2213=$B5),5),"""")"),"nhận kiều hối")</f>
        <v>nhận kiều hối</v>
      </c>
      <c r="P5" s="25" t="str">
        <f>IFERROR(__xludf.DUMMYFUNCTION("IFERROR(INDEX(FILTER('Kế hoạch chèn link (mới)'!$B$3:$B$2213,'Kế hoạch chèn link (mới)'!$D$3:$D$2213=$B5),5),"""")"),"https://techcombank.com/thong-tin/blog/cach-nhan-tien-tu-nuoc-ngoai-ve-viet-nam")</f>
        <v>https://techcombank.com/thong-tin/blog/cach-nhan-tien-tu-nuoc-ngoai-ve-viet-nam</v>
      </c>
    </row>
    <row r="6">
      <c r="A6" s="6">
        <f t="shared" si="1"/>
        <v>5</v>
      </c>
      <c r="B6" s="8" t="s">
        <v>597</v>
      </c>
      <c r="C6" s="6">
        <f>COUNTIF('Kế hoạch chèn link (mới)'!$D$3:$D$2213,$B6)</f>
        <v>5</v>
      </c>
      <c r="D6" s="8" t="str">
        <f>IF(COUNTIFS('Kế hoạch chèn link (mới)'!$D$3:$D$2213,$B6,'Kế hoạch chèn link (mới)'!$I$3:$I$2213,"Đã chèn")&gt;=$C6,"Đã hoàn thành",IF(COUNTIFS('Kế hoạch chèn link (mới)'!$D$3:$D$2213,$B6,'Kế hoạch chèn link (mới)'!$I$3:$I$2213,"Đã chèn")&gt;0,"Đang làm","Chưa hoàn thành"))</f>
        <v>Chưa hoàn thành</v>
      </c>
      <c r="E6" s="8" t="b">
        <f t="shared" si="2"/>
        <v>0</v>
      </c>
      <c r="F6" s="25"/>
      <c r="G6" s="25" t="str">
        <f>IFERROR(__xludf.DUMMYFUNCTION("IFERROR(INDEX(FILTER('Kế hoạch chèn link (mới)'!$C$3:$C$2213,'Kế hoạch chèn link (mới)'!$D$3:$D$2213=$B6),1),"""")"),"1 Tệ bằng bao nhiêu tiền Việt")</f>
        <v>1 Tệ bằng bao nhiêu tiền Việt</v>
      </c>
      <c r="H6" s="25" t="str">
        <f>IFERROR(__xludf.DUMMYFUNCTION("IFERROR(INDEX(FILTER('Kế hoạch chèn link (mới)'!$B$3:$B$2213,'Kế hoạch chèn link (mới)'!$D$3:$D$2213=$B6),1),"""")"),"https://techcombank.com/thong-tin/blog/1-te-bang-bao-nhieu-tien-viet-nam")</f>
        <v>https://techcombank.com/thong-tin/blog/1-te-bang-bao-nhieu-tien-viet-nam</v>
      </c>
      <c r="I6" s="25" t="str">
        <f>IFERROR(__xludf.DUMMYFUNCTION("IFERROR(INDEX(FILTER('Kế hoạch chèn link (mới)'!$C$3:$C$2213,'Kế hoạch chèn link (mới)'!$D$3:$D$2213=$B6),2),"""")"),"tiền Nhật")</f>
        <v>tiền Nhật</v>
      </c>
      <c r="J6" s="25" t="str">
        <f>IFERROR(__xludf.DUMMYFUNCTION("IFERROR(INDEX(FILTER('Kế hoạch chèn link (mới)'!$B$3:$B$2213,'Kế hoạch chèn link (mới)'!$D$3:$D$2213=$B6),2),"""")"),"https://techcombank.com/thong-tin/blog/tien-nhat")</f>
        <v>https://techcombank.com/thong-tin/blog/tien-nhat</v>
      </c>
      <c r="K6" s="25" t="str">
        <f>IFERROR(__xludf.DUMMYFUNCTION("IFERROR(INDEX(FILTER('Kế hoạch chèn link (mới)'!$C$3:$C$2213,'Kế hoạch chèn link (mới)'!$D$3:$D$2213=$B6),3),"""")"),"1 Yên bằng bao nhiêu tiền Việt")</f>
        <v>1 Yên bằng bao nhiêu tiền Việt</v>
      </c>
      <c r="L6" s="25" t="str">
        <f>IFERROR(__xludf.DUMMYFUNCTION("IFERROR(INDEX(FILTER('Kế hoạch chèn link (mới)'!$B$3:$B$2213,'Kế hoạch chèn link (mới)'!$D$3:$D$2213=$B6),3),"""")"),"https://techcombank.com/thong-tin/blog/1-yen-bang-bao-nhieu-tien-viet-nam")</f>
        <v>https://techcombank.com/thong-tin/blog/1-yen-bang-bao-nhieu-tien-viet-nam</v>
      </c>
      <c r="M6" s="25" t="str">
        <f>IFERROR(__xludf.DUMMYFUNCTION("IFERROR(INDEX(FILTER('Kế hoạch chèn link (mới)'!$C$3:$C$2213,'Kế hoạch chèn link (mới)'!$D$3:$D$2213=$B6),4),"""")"),"1 Won bằng bao nhiêu tiền Việt")</f>
        <v>1 Won bằng bao nhiêu tiền Việt</v>
      </c>
      <c r="N6" s="25" t="str">
        <f>IFERROR(__xludf.DUMMYFUNCTION("IFERROR(INDEX(FILTER('Kế hoạch chèn link (mới)'!$B$3:$B$2213,'Kế hoạch chèn link (mới)'!$D$3:$D$2213=$B6),4),"""")"),"https://techcombank.com/thong-tin/blog/1-won-bang-bao-nhieu-tien-viet")</f>
        <v>https://techcombank.com/thong-tin/blog/1-won-bang-bao-nhieu-tien-viet</v>
      </c>
      <c r="O6" s="25" t="str">
        <f>IFERROR(__xludf.DUMMYFUNCTION("IFERROR(INDEX(FILTER('Kế hoạch chèn link (mới)'!$C$3:$C$2213,'Kế hoạch chèn link (mới)'!$D$3:$D$2213=$B6),5),"""")"),"1 triệu đô bằng bao nhiêu tiền Việt")</f>
        <v>1 triệu đô bằng bao nhiêu tiền Việt</v>
      </c>
      <c r="P6" s="25" t="str">
        <f>IFERROR(__xludf.DUMMYFUNCTION("IFERROR(INDEX(FILTER('Kế hoạch chèn link (mới)'!$B$3:$B$2213,'Kế hoạch chèn link (mới)'!$D$3:$D$2213=$B6),5),"""")"),"https://techcombank.com/thong-tin/blog/1-trieu-do-bang-bao-nhieu-tien-viet")</f>
        <v>https://techcombank.com/thong-tin/blog/1-trieu-do-bang-bao-nhieu-tien-viet</v>
      </c>
    </row>
    <row r="7">
      <c r="A7" s="6">
        <f t="shared" si="1"/>
        <v>6</v>
      </c>
      <c r="B7" s="8" t="s">
        <v>626</v>
      </c>
      <c r="C7" s="6">
        <f>COUNTIF('Kế hoạch chèn link (mới)'!$D$3:$D$2213,$B7)</f>
        <v>4</v>
      </c>
      <c r="D7" s="8" t="str">
        <f>IF(COUNTIFS('Kế hoạch chèn link (mới)'!$D$3:$D$2213,$B7,'Kế hoạch chèn link (mới)'!$I$3:$I$2213,"Đã chèn")&gt;=$C7,"Đã hoàn thành",IF(COUNTIFS('Kế hoạch chèn link (mới)'!$D$3:$D$2213,$B7,'Kế hoạch chèn link (mới)'!$I$3:$I$2213,"Đã chèn")&gt;0,"Đang làm","Chưa hoàn thành"))</f>
        <v>Chưa hoàn thành</v>
      </c>
      <c r="E7" s="8" t="b">
        <f t="shared" si="2"/>
        <v>0</v>
      </c>
      <c r="F7" s="25"/>
      <c r="G7" s="25" t="str">
        <f>IFERROR(__xludf.DUMMYFUNCTION("IFERROR(INDEX(FILTER('Kế hoạch chèn link (mới)'!$C$3:$C$2213,'Kế hoạch chèn link (mới)'!$D$3:$D$2213=$B7),1),"""")"),"1 Tệ bằng bao nhiêu tiền Việt")</f>
        <v>1 Tệ bằng bao nhiêu tiền Việt</v>
      </c>
      <c r="H7" s="25" t="str">
        <f>IFERROR(__xludf.DUMMYFUNCTION("IFERROR(INDEX(FILTER('Kế hoạch chèn link (mới)'!$B$3:$B$2213,'Kế hoạch chèn link (mới)'!$D$3:$D$2213=$B7),1),"""")"),"https://techcombank.com/thong-tin/blog/1-te-bang-bao-nhieu-tien-viet-nam")</f>
        <v>https://techcombank.com/thong-tin/blog/1-te-bang-bao-nhieu-tien-viet-nam</v>
      </c>
      <c r="I7" s="25" t="str">
        <f>IFERROR(__xludf.DUMMYFUNCTION("IFERROR(INDEX(FILTER('Kế hoạch chèn link (mới)'!$C$3:$C$2213,'Kế hoạch chèn link (mới)'!$D$3:$D$2213=$B7),2),"""")"),"1 Man bằng bao nhiêu tiền Việt")</f>
        <v>1 Man bằng bao nhiêu tiền Việt</v>
      </c>
      <c r="J7" s="25" t="str">
        <f>IFERROR(__xludf.DUMMYFUNCTION("IFERROR(INDEX(FILTER('Kế hoạch chèn link (mới)'!$B$3:$B$2213,'Kế hoạch chèn link (mới)'!$D$3:$D$2213=$B7),2),"""")"),"https://techcombank.com/thong-tin/blog/1-man-bang-bao-nhieu-tien-viet")</f>
        <v>https://techcombank.com/thong-tin/blog/1-man-bang-bao-nhieu-tien-viet</v>
      </c>
      <c r="K7" s="25" t="str">
        <f>IFERROR(__xludf.DUMMYFUNCTION("IFERROR(INDEX(FILTER('Kế hoạch chèn link (mới)'!$C$3:$C$2213,'Kế hoạch chèn link (mới)'!$D$3:$D$2213=$B7),3),"""")"),"1 triệu đô bằng bao nhiêu tiền Việt")</f>
        <v>1 triệu đô bằng bao nhiêu tiền Việt</v>
      </c>
      <c r="L7" s="25" t="str">
        <f>IFERROR(__xludf.DUMMYFUNCTION("IFERROR(INDEX(FILTER('Kế hoạch chèn link (mới)'!$B$3:$B$2213,'Kế hoạch chèn link (mới)'!$D$3:$D$2213=$B7),3),"""")"),"https://techcombank.com/thong-tin/blog/1-trieu-do-bang-bao-nhieu-tien-viet")</f>
        <v>https://techcombank.com/thong-tin/blog/1-trieu-do-bang-bao-nhieu-tien-viet</v>
      </c>
      <c r="M7" s="25" t="str">
        <f>IFERROR(__xludf.DUMMYFUNCTION("IFERROR(INDEX(FILTER('Kế hoạch chèn link (mới)'!$C$3:$C$2213,'Kế hoạch chèn link (mới)'!$D$3:$D$2213=$B7),4),"""")"),"nhận kiều hối")</f>
        <v>nhận kiều hối</v>
      </c>
      <c r="N7" s="25" t="str">
        <f>IFERROR(__xludf.DUMMYFUNCTION("IFERROR(INDEX(FILTER('Kế hoạch chèn link (mới)'!$B$3:$B$2213,'Kế hoạch chèn link (mới)'!$D$3:$D$2213=$B7),4),"""")"),"https://techcombank.com/thong-tin/blog/cach-nhan-tien-tu-nuoc-ngoai-ve-viet-nam")</f>
        <v>https://techcombank.com/thong-tin/blog/cach-nhan-tien-tu-nuoc-ngoai-ve-viet-nam</v>
      </c>
      <c r="O7" s="25" t="str">
        <f>IFERROR(__xludf.DUMMYFUNCTION("IFERROR(INDEX(FILTER('Kế hoạch chèn link (mới)'!$C$3:$C$2213,'Kế hoạch chèn link (mới)'!$D$3:$D$2213=$B7),5),"""")"),"")</f>
        <v/>
      </c>
      <c r="P7" s="25" t="str">
        <f>IFERROR(__xludf.DUMMYFUNCTION("IFERROR(INDEX(FILTER('Kế hoạch chèn link (mới)'!$B$3:$B$2213,'Kế hoạch chèn link (mới)'!$D$3:$D$2213=$B7),5),"""")"),"")</f>
        <v/>
      </c>
    </row>
    <row r="8">
      <c r="A8" s="6">
        <f t="shared" si="1"/>
        <v>7</v>
      </c>
      <c r="B8" s="8" t="s">
        <v>641</v>
      </c>
      <c r="C8" s="6">
        <f>COUNTIF('Kế hoạch chèn link (mới)'!$D$3:$D$2213,$B8)</f>
        <v>5</v>
      </c>
      <c r="D8" s="8" t="str">
        <f>IF(COUNTIFS('Kế hoạch chèn link (mới)'!$D$3:$D$2213,$B8,'Kế hoạch chèn link (mới)'!$I$3:$I$2213,"Đã chèn")&gt;=$C8,"Đã hoàn thành",IF(COUNTIFS('Kế hoạch chèn link (mới)'!$D$3:$D$2213,$B8,'Kế hoạch chèn link (mới)'!$I$3:$I$2213,"Đã chèn")&gt;0,"Đang làm","Chưa hoàn thành"))</f>
        <v>Chưa hoàn thành</v>
      </c>
      <c r="E8" s="8" t="b">
        <f t="shared" si="2"/>
        <v>0</v>
      </c>
      <c r="F8" s="25"/>
      <c r="G8" s="25" t="str">
        <f>IFERROR(__xludf.DUMMYFUNCTION("IFERROR(INDEX(FILTER('Kế hoạch chèn link (mới)'!$C$3:$C$2213,'Kế hoạch chèn link (mới)'!$D$3:$D$2213=$B8),1),"""")"),"1 Tệ bằng bao nhiêu tiền Việt")</f>
        <v>1 Tệ bằng bao nhiêu tiền Việt</v>
      </c>
      <c r="H8" s="25" t="str">
        <f>IFERROR(__xludf.DUMMYFUNCTION("IFERROR(INDEX(FILTER('Kế hoạch chèn link (mới)'!$B$3:$B$2213,'Kế hoạch chèn link (mới)'!$D$3:$D$2213=$B8),1),"""")"),"https://techcombank.com/thong-tin/blog/1-te-bang-bao-nhieu-tien-viet-nam")</f>
        <v>https://techcombank.com/thong-tin/blog/1-te-bang-bao-nhieu-tien-viet-nam</v>
      </c>
      <c r="I8" s="25" t="str">
        <f>IFERROR(__xludf.DUMMYFUNCTION("IFERROR(INDEX(FILTER('Kế hoạch chèn link (mới)'!$C$3:$C$2213,'Kế hoạch chèn link (mới)'!$D$3:$D$2213=$B8),2),"""")"),"tiền Nhật")</f>
        <v>tiền Nhật</v>
      </c>
      <c r="J8" s="25" t="str">
        <f>IFERROR(__xludf.DUMMYFUNCTION("IFERROR(INDEX(FILTER('Kế hoạch chèn link (mới)'!$B$3:$B$2213,'Kế hoạch chèn link (mới)'!$D$3:$D$2213=$B8),2),"""")"),"https://techcombank.com/thong-tin/blog/tien-nhat")</f>
        <v>https://techcombank.com/thong-tin/blog/tien-nhat</v>
      </c>
      <c r="K8" s="25" t="str">
        <f>IFERROR(__xludf.DUMMYFUNCTION("IFERROR(INDEX(FILTER('Kế hoạch chèn link (mới)'!$C$3:$C$2213,'Kế hoạch chèn link (mới)'!$D$3:$D$2213=$B8),3),"""")"),"1 Yên bằng bao nhiêu tiền Việt")</f>
        <v>1 Yên bằng bao nhiêu tiền Việt</v>
      </c>
      <c r="L8" s="25" t="str">
        <f>IFERROR(__xludf.DUMMYFUNCTION("IFERROR(INDEX(FILTER('Kế hoạch chèn link (mới)'!$B$3:$B$2213,'Kế hoạch chèn link (mới)'!$D$3:$D$2213=$B8),3),"""")"),"https://techcombank.com/thong-tin/blog/1-yen-bang-bao-nhieu-tien-viet-nam")</f>
        <v>https://techcombank.com/thong-tin/blog/1-yen-bang-bao-nhieu-tien-viet-nam</v>
      </c>
      <c r="M8" s="25" t="str">
        <f>IFERROR(__xludf.DUMMYFUNCTION("IFERROR(INDEX(FILTER('Kế hoạch chèn link (mới)'!$C$3:$C$2213,'Kế hoạch chèn link (mới)'!$D$3:$D$2213=$B8),4),"""")"),"1 Won bằng bao nhiêu tiền Việt")</f>
        <v>1 Won bằng bao nhiêu tiền Việt</v>
      </c>
      <c r="N8" s="25" t="str">
        <f>IFERROR(__xludf.DUMMYFUNCTION("IFERROR(INDEX(FILTER('Kế hoạch chèn link (mới)'!$B$3:$B$2213,'Kế hoạch chèn link (mới)'!$D$3:$D$2213=$B8),4),"""")"),"https://techcombank.com/thong-tin/blog/1-won-bang-bao-nhieu-tien-viet")</f>
        <v>https://techcombank.com/thong-tin/blog/1-won-bang-bao-nhieu-tien-viet</v>
      </c>
      <c r="O8" s="25" t="str">
        <f>IFERROR(__xludf.DUMMYFUNCTION("IFERROR(INDEX(FILTER('Kế hoạch chèn link (mới)'!$C$3:$C$2213,'Kế hoạch chèn link (mới)'!$D$3:$D$2213=$B8),5),"""")"),"nhận tiền từ nước ngoài")</f>
        <v>nhận tiền từ nước ngoài</v>
      </c>
      <c r="P8" s="25" t="str">
        <f>IFERROR(__xludf.DUMMYFUNCTION("IFERROR(INDEX(FILTER('Kế hoạch chèn link (mới)'!$B$3:$B$2213,'Kế hoạch chèn link (mới)'!$D$3:$D$2213=$B8),5),"""")"),"https://techcombank.com/thong-tin/blog/cach-nhan-tien-tu-nuoc-ngoai-ve-viet-nam")</f>
        <v>https://techcombank.com/thong-tin/blog/cach-nhan-tien-tu-nuoc-ngoai-ve-viet-nam</v>
      </c>
    </row>
    <row r="9">
      <c r="A9" s="6">
        <f t="shared" si="1"/>
        <v>8</v>
      </c>
      <c r="B9" s="8" t="s">
        <v>683</v>
      </c>
      <c r="C9" s="6">
        <f>COUNTIF('Kế hoạch chèn link (mới)'!$D$3:$D$2213,$B9)</f>
        <v>3</v>
      </c>
      <c r="D9" s="8" t="str">
        <f>IF(COUNTIFS('Kế hoạch chèn link (mới)'!$D$3:$D$2213,$B9,'Kế hoạch chèn link (mới)'!$I$3:$I$2213,"Đã chèn")&gt;=$C9,"Đã hoàn thành",IF(COUNTIFS('Kế hoạch chèn link (mới)'!$D$3:$D$2213,$B9,'Kế hoạch chèn link (mới)'!$I$3:$I$2213,"Đã chèn")&gt;0,"Đang làm","Chưa hoàn thành"))</f>
        <v>Chưa hoàn thành</v>
      </c>
      <c r="E9" s="8" t="b">
        <f t="shared" si="2"/>
        <v>0</v>
      </c>
      <c r="F9" s="25"/>
      <c r="G9" s="25" t="str">
        <f>IFERROR(__xludf.DUMMYFUNCTION("IFERROR(INDEX(FILTER('Kế hoạch chèn link (mới)'!$C$3:$C$2213,'Kế hoạch chèn link (mới)'!$D$3:$D$2213=$B9),1),"""")"),"bao nhiêu tuổi được mở tài khoản ngân hàng")</f>
        <v>bao nhiêu tuổi được mở tài khoản ngân hàng</v>
      </c>
      <c r="H9" s="25" t="str">
        <f>IFERROR(__xludf.DUMMYFUNCTION("IFERROR(INDEX(FILTER('Kế hoạch chèn link (mới)'!$B$3:$B$2213,'Kế hoạch chèn link (mới)'!$D$3:$D$2213=$B9),1),"""")"),"https://techcombank.com/thong-tin/blog/bao-nhieu-tuoi-duoc-mo-tai-khoan-ngan-hang")</f>
        <v>https://techcombank.com/thong-tin/blog/bao-nhieu-tuoi-duoc-mo-tai-khoan-ngan-hang</v>
      </c>
      <c r="I9" s="25" t="str">
        <f>IFERROR(__xludf.DUMMYFUNCTION("IFERROR(INDEX(FILTER('Kế hoạch chèn link (mới)'!$C$3:$C$2213,'Kế hoạch chèn link (mới)'!$D$3:$D$2213=$B9),2),"""")"),"nộp tiền vào tài khoản")</f>
        <v>nộp tiền vào tài khoản</v>
      </c>
      <c r="J9" s="25" t="str">
        <f>IFERROR(__xludf.DUMMYFUNCTION("IFERROR(INDEX(FILTER('Kế hoạch chèn link (mới)'!$B$3:$B$2213,'Kế hoạch chèn link (mới)'!$D$3:$D$2213=$B9),2),"""")"),"https://techcombank.com/thong-tin/blog/nap-tien-vao-tai-khoan-ngan-hang")</f>
        <v>https://techcombank.com/thong-tin/blog/nap-tien-vao-tai-khoan-ngan-hang</v>
      </c>
      <c r="K9" s="25" t="str">
        <f>IFERROR(__xludf.DUMMYFUNCTION("IFERROR(INDEX(FILTER('Kế hoạch chèn link (mới)'!$C$3:$C$2213,'Kế hoạch chèn link (mới)'!$D$3:$D$2213=$B9),3),"""")"),"nên vay tín chấp ở đâu")</f>
        <v>nên vay tín chấp ở đâu</v>
      </c>
      <c r="L9" s="25" t="str">
        <f>IFERROR(__xludf.DUMMYFUNCTION("IFERROR(INDEX(FILTER('Kế hoạch chèn link (mới)'!$B$3:$B$2213,'Kế hoạch chèn link (mới)'!$D$3:$D$2213=$B9),3),"""")"),"https://techcombank.com/thong-tin/blog/nen-vay-tin-chap-o-dau")</f>
        <v>https://techcombank.com/thong-tin/blog/nen-vay-tin-chap-o-dau</v>
      </c>
      <c r="M9" s="25" t="str">
        <f>IFERROR(__xludf.DUMMYFUNCTION("IFERROR(INDEX(FILTER('Kế hoạch chèn link (mới)'!$C$3:$C$2213,'Kế hoạch chèn link (mới)'!$D$3:$D$2213=$B9),4),"""")"),"")</f>
        <v/>
      </c>
      <c r="N9" s="25" t="str">
        <f>IFERROR(__xludf.DUMMYFUNCTION("IFERROR(INDEX(FILTER('Kế hoạch chèn link (mới)'!$B$3:$B$2213,'Kế hoạch chèn link (mới)'!$D$3:$D$2213=$B9),4),"""")"),"")</f>
        <v/>
      </c>
      <c r="O9" s="25" t="str">
        <f>IFERROR(__xludf.DUMMYFUNCTION("IFERROR(INDEX(FILTER('Kế hoạch chèn link (mới)'!$C$3:$C$2213,'Kế hoạch chèn link (mới)'!$D$3:$D$2213=$B9),5),"""")"),"")</f>
        <v/>
      </c>
      <c r="P9" s="25" t="str">
        <f>IFERROR(__xludf.DUMMYFUNCTION("IFERROR(INDEX(FILTER('Kế hoạch chèn link (mới)'!$B$3:$B$2213,'Kế hoạch chèn link (mới)'!$D$3:$D$2213=$B9),5),"""")"),"")</f>
        <v/>
      </c>
    </row>
    <row r="10">
      <c r="A10" s="6">
        <f t="shared" si="1"/>
        <v>9</v>
      </c>
      <c r="B10" s="8" t="s">
        <v>732</v>
      </c>
      <c r="C10" s="6">
        <f>COUNTIF('Kế hoạch chèn link (mới)'!$D$3:$D$2213,$B10)</f>
        <v>4</v>
      </c>
      <c r="D10" s="8" t="str">
        <f>IF(COUNTIFS('Kế hoạch chèn link (mới)'!$D$3:$D$2213,$B10,'Kế hoạch chèn link (mới)'!$I$3:$I$2213,"Đã chèn")&gt;=$C10,"Đã hoàn thành",IF(COUNTIFS('Kế hoạch chèn link (mới)'!$D$3:$D$2213,$B10,'Kế hoạch chèn link (mới)'!$I$3:$I$2213,"Đã chèn")&gt;0,"Đang làm","Chưa hoàn thành"))</f>
        <v>Chưa hoàn thành</v>
      </c>
      <c r="E10" s="8" t="b">
        <f t="shared" si="2"/>
        <v>0</v>
      </c>
      <c r="F10" s="25"/>
      <c r="G10" s="25" t="str">
        <f>IFERROR(__xludf.DUMMYFUNCTION("IFERROR(INDEX(FILTER('Kế hoạch chèn link (mới)'!$C$3:$C$2213,'Kế hoạch chèn link (mới)'!$D$3:$D$2213=$B10),1),"""")"),"1 đô bằng bao nhiêu tiền Việt")</f>
        <v>1 đô bằng bao nhiêu tiền Việt</v>
      </c>
      <c r="H10" s="25" t="str">
        <f>IFERROR(__xludf.DUMMYFUNCTION("IFERROR(INDEX(FILTER('Kế hoạch chèn link (mới)'!$B$3:$B$2213,'Kế hoạch chèn link (mới)'!$D$3:$D$2213=$B10),1),"""")"),"https://techcombank.com/thong-tin/blog/1-dong-do-la-my-bang-bao-nhieu-tien-viet-nam")</f>
        <v>https://techcombank.com/thong-tin/blog/1-dong-do-la-my-bang-bao-nhieu-tien-viet-nam</v>
      </c>
      <c r="I10" s="25" t="str">
        <f>IFERROR(__xludf.DUMMYFUNCTION("IFERROR(INDEX(FILTER('Kế hoạch chèn link (mới)'!$C$3:$C$2213,'Kế hoạch chèn link (mới)'!$D$3:$D$2213=$B10),2),"""")"),"tiền Nhật")</f>
        <v>tiền Nhật</v>
      </c>
      <c r="J10" s="25" t="str">
        <f>IFERROR(__xludf.DUMMYFUNCTION("IFERROR(INDEX(FILTER('Kế hoạch chèn link (mới)'!$B$3:$B$2213,'Kế hoạch chèn link (mới)'!$D$3:$D$2213=$B10),2),"""")"),"https://techcombank.com/thong-tin/blog/tien-nhat")</f>
        <v>https://techcombank.com/thong-tin/blog/tien-nhat</v>
      </c>
      <c r="K10" s="25" t="str">
        <f>IFERROR(__xludf.DUMMYFUNCTION("IFERROR(INDEX(FILTER('Kế hoạch chèn link (mới)'!$C$3:$C$2213,'Kế hoạch chèn link (mới)'!$D$3:$D$2213=$B10),3),"""")"),"1 Yên bằng bao nhiêu tiền Việt")</f>
        <v>1 Yên bằng bao nhiêu tiền Việt</v>
      </c>
      <c r="L10" s="25" t="str">
        <f>IFERROR(__xludf.DUMMYFUNCTION("IFERROR(INDEX(FILTER('Kế hoạch chèn link (mới)'!$B$3:$B$2213,'Kế hoạch chèn link (mới)'!$D$3:$D$2213=$B10),3),"""")"),"https://techcombank.com/thong-tin/blog/1-yen-bang-bao-nhieu-tien-viet-nam")</f>
        <v>https://techcombank.com/thong-tin/blog/1-yen-bang-bao-nhieu-tien-viet-nam</v>
      </c>
      <c r="M10" s="25" t="str">
        <f>IFERROR(__xludf.DUMMYFUNCTION("IFERROR(INDEX(FILTER('Kế hoạch chèn link (mới)'!$C$3:$C$2213,'Kế hoạch chèn link (mới)'!$D$3:$D$2213=$B10),4),"""")"),"1 Won bằng bao nhiêu tiền Việt")</f>
        <v>1 Won bằng bao nhiêu tiền Việt</v>
      </c>
      <c r="N10" s="25" t="str">
        <f>IFERROR(__xludf.DUMMYFUNCTION("IFERROR(INDEX(FILTER('Kế hoạch chèn link (mới)'!$B$3:$B$2213,'Kế hoạch chèn link (mới)'!$D$3:$D$2213=$B10),4),"""")"),"https://techcombank.com/thong-tin/blog/1-won-bang-bao-nhieu-tien-viet")</f>
        <v>https://techcombank.com/thong-tin/blog/1-won-bang-bao-nhieu-tien-viet</v>
      </c>
      <c r="O10" s="25" t="str">
        <f>IFERROR(__xludf.DUMMYFUNCTION("IFERROR(INDEX(FILTER('Kế hoạch chèn link (mới)'!$C$3:$C$2213,'Kế hoạch chèn link (mới)'!$D$3:$D$2213=$B10),5),"""")"),"")</f>
        <v/>
      </c>
      <c r="P10" s="25" t="str">
        <f>IFERROR(__xludf.DUMMYFUNCTION("IFERROR(INDEX(FILTER('Kế hoạch chèn link (mới)'!$B$3:$B$2213,'Kế hoạch chèn link (mới)'!$D$3:$D$2213=$B10),5),"""")"),"")</f>
        <v/>
      </c>
    </row>
    <row r="11">
      <c r="A11" s="6">
        <f t="shared" si="1"/>
        <v>10</v>
      </c>
      <c r="B11" s="8" t="s">
        <v>757</v>
      </c>
      <c r="C11" s="6">
        <f>COUNTIF('Kế hoạch chèn link (mới)'!$D$3:$D$2213,$B11)</f>
        <v>4</v>
      </c>
      <c r="D11" s="8" t="str">
        <f>IF(COUNTIFS('Kế hoạch chèn link (mới)'!$D$3:$D$2213,$B11,'Kế hoạch chèn link (mới)'!$I$3:$I$2213,"Đã chèn")&gt;=$C11,"Đã hoàn thành",IF(COUNTIFS('Kế hoạch chèn link (mới)'!$D$3:$D$2213,$B11,'Kế hoạch chèn link (mới)'!$I$3:$I$2213,"Đã chèn")&gt;0,"Đang làm","Chưa hoàn thành"))</f>
        <v>Chưa hoàn thành</v>
      </c>
      <c r="E11" s="8" t="b">
        <f t="shared" si="2"/>
        <v>0</v>
      </c>
      <c r="F11" s="25"/>
      <c r="G11" s="25" t="str">
        <f>IFERROR(__xludf.DUMMYFUNCTION("IFERROR(INDEX(FILTER('Kế hoạch chèn link (mới)'!$C$3:$C$2213,'Kế hoạch chèn link (mới)'!$D$3:$D$2213=$B11),1),"""")"),"tỷ giá USD/VND")</f>
        <v>tỷ giá USD/VND</v>
      </c>
      <c r="H11" s="25" t="str">
        <f>IFERROR(__xludf.DUMMYFUNCTION("IFERROR(INDEX(FILTER('Kế hoạch chèn link (mới)'!$B$3:$B$2213,'Kế hoạch chèn link (mới)'!$D$3:$D$2213=$B11),1),"""")"),"https://techcombank.com/thong-tin/blog/1-dong-do-la-my-bang-bao-nhieu-tien-viet-nam")</f>
        <v>https://techcombank.com/thong-tin/blog/1-dong-do-la-my-bang-bao-nhieu-tien-viet-nam</v>
      </c>
      <c r="I11" s="25" t="str">
        <f>IFERROR(__xludf.DUMMYFUNCTION("IFERROR(INDEX(FILTER('Kế hoạch chèn link (mới)'!$C$3:$C$2213,'Kế hoạch chèn link (mới)'!$D$3:$D$2213=$B11),2),"""")"),"1 Yên bằng bao nhiêu tiền Việt")</f>
        <v>1 Yên bằng bao nhiêu tiền Việt</v>
      </c>
      <c r="J11" s="25" t="str">
        <f>IFERROR(__xludf.DUMMYFUNCTION("IFERROR(INDEX(FILTER('Kế hoạch chèn link (mới)'!$B$3:$B$2213,'Kế hoạch chèn link (mới)'!$D$3:$D$2213=$B11),2),"""")"),"https://techcombank.com/thong-tin/blog/1-yen-bang-bao-nhieu-tien-viet-nam")</f>
        <v>https://techcombank.com/thong-tin/blog/1-yen-bang-bao-nhieu-tien-viet-nam</v>
      </c>
      <c r="K11" s="25" t="str">
        <f>IFERROR(__xludf.DUMMYFUNCTION("IFERROR(INDEX(FILTER('Kế hoạch chèn link (mới)'!$C$3:$C$2213,'Kế hoạch chèn link (mới)'!$D$3:$D$2213=$B11),3),"""")"),"nhận tiền từ nước ngoài")</f>
        <v>nhận tiền từ nước ngoài</v>
      </c>
      <c r="L11" s="25" t="str">
        <f>IFERROR(__xludf.DUMMYFUNCTION("IFERROR(INDEX(FILTER('Kế hoạch chèn link (mới)'!$B$3:$B$2213,'Kế hoạch chèn link (mới)'!$D$3:$D$2213=$B11),3),"""")"),"https://techcombank.com/thong-tin/blog/cach-nhan-tien-tu-nuoc-ngoai-ve-viet-nam")</f>
        <v>https://techcombank.com/thong-tin/blog/cach-nhan-tien-tu-nuoc-ngoai-ve-viet-nam</v>
      </c>
      <c r="M11" s="25" t="str">
        <f>IFERROR(__xludf.DUMMYFUNCTION("IFERROR(INDEX(FILTER('Kế hoạch chèn link (mới)'!$C$3:$C$2213,'Kế hoạch chèn link (mới)'!$D$3:$D$2213=$B11),4),"""")"),"đổi tiền đô ở đâu")</f>
        <v>đổi tiền đô ở đâu</v>
      </c>
      <c r="N11" s="25" t="str">
        <f>IFERROR(__xludf.DUMMYFUNCTION("IFERROR(INDEX(FILTER('Kế hoạch chèn link (mới)'!$B$3:$B$2213,'Kế hoạch chèn link (mới)'!$D$3:$D$2213=$B11),4),"""")"),"https://techcombank.com/thong-tin/blog/doi-tien-do-o-dau")</f>
        <v>https://techcombank.com/thong-tin/blog/doi-tien-do-o-dau</v>
      </c>
      <c r="O11" s="25" t="str">
        <f>IFERROR(__xludf.DUMMYFUNCTION("IFERROR(INDEX(FILTER('Kế hoạch chèn link (mới)'!$C$3:$C$2213,'Kế hoạch chèn link (mới)'!$D$3:$D$2213=$B11),5),"""")"),"")</f>
        <v/>
      </c>
      <c r="P11" s="25" t="str">
        <f>IFERROR(__xludf.DUMMYFUNCTION("IFERROR(INDEX(FILTER('Kế hoạch chèn link (mới)'!$B$3:$B$2213,'Kế hoạch chèn link (mới)'!$D$3:$D$2213=$B11),5),"""")"),"")</f>
        <v/>
      </c>
    </row>
    <row r="12">
      <c r="A12" s="6">
        <f t="shared" si="1"/>
        <v>11</v>
      </c>
      <c r="B12" s="8" t="s">
        <v>772</v>
      </c>
      <c r="C12" s="6">
        <f>COUNTIF('Kế hoạch chèn link (mới)'!$D$3:$D$2213,$B12)</f>
        <v>5</v>
      </c>
      <c r="D12" s="8" t="str">
        <f>IF(COUNTIFS('Kế hoạch chèn link (mới)'!$D$3:$D$2213,$B12,'Kế hoạch chèn link (mới)'!$I$3:$I$2213,"Đã chèn")&gt;=$C12,"Đã hoàn thành",IF(COUNTIFS('Kế hoạch chèn link (mới)'!$D$3:$D$2213,$B12,'Kế hoạch chèn link (mới)'!$I$3:$I$2213,"Đã chèn")&gt;0,"Đang làm","Chưa hoàn thành"))</f>
        <v>Chưa hoàn thành</v>
      </c>
      <c r="E12" s="8" t="b">
        <f t="shared" si="2"/>
        <v>0</v>
      </c>
      <c r="F12" s="25"/>
      <c r="G12" s="25" t="str">
        <f>IFERROR(__xludf.DUMMYFUNCTION("IFERROR(INDEX(FILTER('Kế hoạch chèn link (mới)'!$C$3:$C$2213,'Kế hoạch chèn link (mới)'!$D$3:$D$2213=$B12),1),"""")"),"1 Tệ bằng bao nhiêu tiền Việt")</f>
        <v>1 Tệ bằng bao nhiêu tiền Việt</v>
      </c>
      <c r="H12" s="25" t="str">
        <f>IFERROR(__xludf.DUMMYFUNCTION("IFERROR(INDEX(FILTER('Kế hoạch chèn link (mới)'!$B$3:$B$2213,'Kế hoạch chèn link (mới)'!$D$3:$D$2213=$B12),1),"""")"),"https://techcombank.com/thong-tin/blog/1-te-bang-bao-nhieu-tien-viet-nam")</f>
        <v>https://techcombank.com/thong-tin/blog/1-te-bang-bao-nhieu-tien-viet-nam</v>
      </c>
      <c r="I12" s="25" t="str">
        <f>IFERROR(__xludf.DUMMYFUNCTION("IFERROR(INDEX(FILTER('Kế hoạch chèn link (mới)'!$C$3:$C$2213,'Kế hoạch chèn link (mới)'!$D$3:$D$2213=$B12),2),"""")"),"tỷ giá Won")</f>
        <v>tỷ giá Won</v>
      </c>
      <c r="J12" s="25" t="str">
        <f>IFERROR(__xludf.DUMMYFUNCTION("IFERROR(INDEX(FILTER('Kế hoạch chèn link (mới)'!$B$3:$B$2213,'Kế hoạch chèn link (mới)'!$D$3:$D$2213=$B12),2),"""")"),"https://techcombank.com/thong-tin/blog/1-won-bang-bao-nhieu-tien-viet")</f>
        <v>https://techcombank.com/thong-tin/blog/1-won-bang-bao-nhieu-tien-viet</v>
      </c>
      <c r="K12" s="25" t="str">
        <f>IFERROR(__xludf.DUMMYFUNCTION("IFERROR(INDEX(FILTER('Kế hoạch chèn link (mới)'!$C$3:$C$2213,'Kế hoạch chèn link (mới)'!$D$3:$D$2213=$B12),3),"""")"),"1 Man bằng bao nhiêu tiền Việt")</f>
        <v>1 Man bằng bao nhiêu tiền Việt</v>
      </c>
      <c r="L12" s="25" t="str">
        <f>IFERROR(__xludf.DUMMYFUNCTION("IFERROR(INDEX(FILTER('Kế hoạch chèn link (mới)'!$B$3:$B$2213,'Kế hoạch chèn link (mới)'!$D$3:$D$2213=$B12),3),"""")"),"https://techcombank.com/thong-tin/blog/1-man-bang-bao-nhieu-tien-viet")</f>
        <v>https://techcombank.com/thong-tin/blog/1-man-bang-bao-nhieu-tien-viet</v>
      </c>
      <c r="M12" s="25" t="str">
        <f>IFERROR(__xludf.DUMMYFUNCTION("IFERROR(INDEX(FILTER('Kế hoạch chèn link (mới)'!$C$3:$C$2213,'Kế hoạch chèn link (mới)'!$D$3:$D$2213=$B12),4),"""")"),"1 triệu đô bằng bao nhiêu tiền Việt")</f>
        <v>1 triệu đô bằng bao nhiêu tiền Việt</v>
      </c>
      <c r="N12" s="25" t="str">
        <f>IFERROR(__xludf.DUMMYFUNCTION("IFERROR(INDEX(FILTER('Kế hoạch chèn link (mới)'!$B$3:$B$2213,'Kế hoạch chèn link (mới)'!$D$3:$D$2213=$B12),4),"""")"),"https://techcombank.com/thong-tin/blog/1-trieu-do-bang-bao-nhieu-tien-viet")</f>
        <v>https://techcombank.com/thong-tin/blog/1-trieu-do-bang-bao-nhieu-tien-viet</v>
      </c>
      <c r="O12" s="25" t="str">
        <f>IFERROR(__xludf.DUMMYFUNCTION("IFERROR(INDEX(FILTER('Kế hoạch chèn link (mới)'!$C$3:$C$2213,'Kế hoạch chèn link (mới)'!$D$3:$D$2213=$B12),5),"""")"),"1000 Won bằng bao nhiêu tiền Việt")</f>
        <v>1000 Won bằng bao nhiêu tiền Việt</v>
      </c>
      <c r="P12" s="25" t="str">
        <f>IFERROR(__xludf.DUMMYFUNCTION("IFERROR(INDEX(FILTER('Kế hoạch chèn link (mới)'!$B$3:$B$2213,'Kế hoạch chèn link (mới)'!$D$3:$D$2213=$B12),5),"""")"),"https://techcombank.com/thong-tin/blog/1000-won-bang-bao-nhieu-tien-viet")</f>
        <v>https://techcombank.com/thong-tin/blog/1000-won-bang-bao-nhieu-tien-viet</v>
      </c>
    </row>
    <row r="13">
      <c r="A13" s="6">
        <f t="shared" si="1"/>
        <v>12</v>
      </c>
      <c r="B13" s="8" t="s">
        <v>784</v>
      </c>
      <c r="C13" s="6">
        <f>COUNTIF('Kế hoạch chèn link (mới)'!$D$3:$D$2213,$B13)</f>
        <v>5</v>
      </c>
      <c r="D13" s="8" t="str">
        <f>IF(COUNTIFS('Kế hoạch chèn link (mới)'!$D$3:$D$2213,$B13,'Kế hoạch chèn link (mới)'!$I$3:$I$2213,"Đã chèn")&gt;=$C13,"Đã hoàn thành",IF(COUNTIFS('Kế hoạch chèn link (mới)'!$D$3:$D$2213,$B13,'Kế hoạch chèn link (mới)'!$I$3:$I$2213,"Đã chèn")&gt;0,"Đang làm","Chưa hoàn thành"))</f>
        <v>Chưa hoàn thành</v>
      </c>
      <c r="E13" s="8" t="b">
        <f t="shared" si="2"/>
        <v>0</v>
      </c>
      <c r="F13" s="25"/>
      <c r="G13" s="25" t="str">
        <f>IFERROR(__xludf.DUMMYFUNCTION("IFERROR(INDEX(FILTER('Kế hoạch chèn link (mới)'!$C$3:$C$2213,'Kế hoạch chèn link (mới)'!$D$3:$D$2213=$B13),1),"""")"),"1 Tệ bằng bao nhiêu tiền Việt")</f>
        <v>1 Tệ bằng bao nhiêu tiền Việt</v>
      </c>
      <c r="H13" s="25" t="str">
        <f>IFERROR(__xludf.DUMMYFUNCTION("IFERROR(INDEX(FILTER('Kế hoạch chèn link (mới)'!$B$3:$B$2213,'Kế hoạch chèn link (mới)'!$D$3:$D$2213=$B13),1),"""")"),"https://techcombank.com/thong-tin/blog/1-te-bang-bao-nhieu-tien-viet-nam")</f>
        <v>https://techcombank.com/thong-tin/blog/1-te-bang-bao-nhieu-tien-viet-nam</v>
      </c>
      <c r="I13" s="25" t="str">
        <f>IFERROR(__xludf.DUMMYFUNCTION("IFERROR(INDEX(FILTER('Kế hoạch chèn link (mới)'!$C$3:$C$2213,'Kế hoạch chèn link (mới)'!$D$3:$D$2213=$B13),2),"""")"),"1 đô bằng bao nhiêu tiền Việt")</f>
        <v>1 đô bằng bao nhiêu tiền Việt</v>
      </c>
      <c r="J13" s="25" t="str">
        <f>IFERROR(__xludf.DUMMYFUNCTION("IFERROR(INDEX(FILTER('Kế hoạch chèn link (mới)'!$B$3:$B$2213,'Kế hoạch chèn link (mới)'!$D$3:$D$2213=$B13),2),"""")"),"https://techcombank.com/thong-tin/blog/1-dong-do-la-my-bang-bao-nhieu-tien-viet-nam")</f>
        <v>https://techcombank.com/thong-tin/blog/1-dong-do-la-my-bang-bao-nhieu-tien-viet-nam</v>
      </c>
      <c r="K13" s="25" t="str">
        <f>IFERROR(__xludf.DUMMYFUNCTION("IFERROR(INDEX(FILTER('Kế hoạch chèn link (mới)'!$C$3:$C$2213,'Kế hoạch chèn link (mới)'!$D$3:$D$2213=$B13),3),"""")"),"tiền Nhật")</f>
        <v>tiền Nhật</v>
      </c>
      <c r="L13" s="25" t="str">
        <f>IFERROR(__xludf.DUMMYFUNCTION("IFERROR(INDEX(FILTER('Kế hoạch chèn link (mới)'!$B$3:$B$2213,'Kế hoạch chèn link (mới)'!$D$3:$D$2213=$B13),3),"""")"),"https://techcombank.com/thong-tin/blog/tien-nhat")</f>
        <v>https://techcombank.com/thong-tin/blog/tien-nhat</v>
      </c>
      <c r="M13" s="25" t="str">
        <f>IFERROR(__xludf.DUMMYFUNCTION("IFERROR(INDEX(FILTER('Kế hoạch chèn link (mới)'!$C$3:$C$2213,'Kế hoạch chèn link (mới)'!$D$3:$D$2213=$B13),4),"""")"),"1 Yên bằng bao nhiêu tiền Việt")</f>
        <v>1 Yên bằng bao nhiêu tiền Việt</v>
      </c>
      <c r="N13" s="25" t="str">
        <f>IFERROR(__xludf.DUMMYFUNCTION("IFERROR(INDEX(FILTER('Kế hoạch chèn link (mới)'!$B$3:$B$2213,'Kế hoạch chèn link (mới)'!$D$3:$D$2213=$B13),4),"""")"),"https://techcombank.com/thong-tin/blog/1-yen-bang-bao-nhieu-tien-viet-nam")</f>
        <v>https://techcombank.com/thong-tin/blog/1-yen-bang-bao-nhieu-tien-viet-nam</v>
      </c>
      <c r="O13" s="25" t="str">
        <f>IFERROR(__xludf.DUMMYFUNCTION("IFERROR(INDEX(FILTER('Kế hoạch chèn link (mới)'!$C$3:$C$2213,'Kế hoạch chèn link (mới)'!$D$3:$D$2213=$B13),5),"""")"),"nhận tiền từ nước ngoài")</f>
        <v>nhận tiền từ nước ngoài</v>
      </c>
      <c r="P13" s="25" t="str">
        <f>IFERROR(__xludf.DUMMYFUNCTION("IFERROR(INDEX(FILTER('Kế hoạch chèn link (mới)'!$B$3:$B$2213,'Kế hoạch chèn link (mới)'!$D$3:$D$2213=$B13),5),"""")"),"https://techcombank.com/thong-tin/blog/cach-nhan-tien-tu-nuoc-ngoai-ve-viet-nam")</f>
        <v>https://techcombank.com/thong-tin/blog/cach-nhan-tien-tu-nuoc-ngoai-ve-viet-nam</v>
      </c>
    </row>
    <row r="14">
      <c r="A14" s="6">
        <f t="shared" si="1"/>
        <v>13</v>
      </c>
      <c r="B14" s="8" t="s">
        <v>804</v>
      </c>
      <c r="C14" s="6">
        <f>COUNTIF('Kế hoạch chèn link (mới)'!$D$3:$D$2213,$B14)</f>
        <v>5</v>
      </c>
      <c r="D14" s="8" t="str">
        <f>IF(COUNTIFS('Kế hoạch chèn link (mới)'!$D$3:$D$2213,$B14,'Kế hoạch chèn link (mới)'!$I$3:$I$2213,"Đã chèn")&gt;=$C14,"Đã hoàn thành",IF(COUNTIFS('Kế hoạch chèn link (mới)'!$D$3:$D$2213,$B14,'Kế hoạch chèn link (mới)'!$I$3:$I$2213,"Đã chèn")&gt;0,"Đang làm","Chưa hoàn thành"))</f>
        <v>Chưa hoàn thành</v>
      </c>
      <c r="E14" s="8" t="b">
        <f t="shared" si="2"/>
        <v>0</v>
      </c>
      <c r="F14" s="25"/>
      <c r="G14" s="25" t="str">
        <f>IFERROR(__xludf.DUMMYFUNCTION("IFERROR(INDEX(FILTER('Kế hoạch chèn link (mới)'!$C$3:$C$2213,'Kế hoạch chèn link (mới)'!$D$3:$D$2213=$B14),1),"""")"),"1 Yên bằng bao nhiêu tiền Việt")</f>
        <v>1 Yên bằng bao nhiêu tiền Việt</v>
      </c>
      <c r="H14" s="25" t="str">
        <f>IFERROR(__xludf.DUMMYFUNCTION("IFERROR(INDEX(FILTER('Kế hoạch chèn link (mới)'!$B$3:$B$2213,'Kế hoạch chèn link (mới)'!$D$3:$D$2213=$B14),1),"""")"),"https://techcombank.com/thong-tin/blog/1-yen-bang-bao-nhieu-tien-viet-nam")</f>
        <v>https://techcombank.com/thong-tin/blog/1-yen-bang-bao-nhieu-tien-viet-nam</v>
      </c>
      <c r="I14" s="25" t="str">
        <f>IFERROR(__xludf.DUMMYFUNCTION("IFERROR(INDEX(FILTER('Kế hoạch chèn link (mới)'!$C$3:$C$2213,'Kế hoạch chèn link (mới)'!$D$3:$D$2213=$B14),2),"""")"),"1 Won bằng bao nhiêu tiền Việt")</f>
        <v>1 Won bằng bao nhiêu tiền Việt</v>
      </c>
      <c r="J14" s="25" t="str">
        <f>IFERROR(__xludf.DUMMYFUNCTION("IFERROR(INDEX(FILTER('Kế hoạch chèn link (mới)'!$B$3:$B$2213,'Kế hoạch chèn link (mới)'!$D$3:$D$2213=$B14),2),"""")"),"https://techcombank.com/thong-tin/blog/1-won-bang-bao-nhieu-tien-viet")</f>
        <v>https://techcombank.com/thong-tin/blog/1-won-bang-bao-nhieu-tien-viet</v>
      </c>
      <c r="K14" s="25" t="str">
        <f>IFERROR(__xludf.DUMMYFUNCTION("IFERROR(INDEX(FILTER('Kế hoạch chèn link (mới)'!$C$3:$C$2213,'Kế hoạch chèn link (mới)'!$D$3:$D$2213=$B14),3),"""")"),"Tân Đài tệ")</f>
        <v>Tân Đài tệ</v>
      </c>
      <c r="L14" s="25" t="str">
        <f>IFERROR(__xludf.DUMMYFUNCTION("IFERROR(INDEX(FILTER('Kế hoạch chèn link (mới)'!$B$3:$B$2213,'Kế hoạch chèn link (mới)'!$D$3:$D$2213=$B14),3),"""")"),"https://techcombank.com/thong-tin/blog/tien-dai-loan")</f>
        <v>https://techcombank.com/thong-tin/blog/tien-dai-loan</v>
      </c>
      <c r="M14" s="25" t="str">
        <f>IFERROR(__xludf.DUMMYFUNCTION("IFERROR(INDEX(FILTER('Kế hoạch chèn link (mới)'!$C$3:$C$2213,'Kế hoạch chèn link (mới)'!$D$3:$D$2213=$B14),4),"""")"),"1 Man bằng bao nhiêu tiền Việt")</f>
        <v>1 Man bằng bao nhiêu tiền Việt</v>
      </c>
      <c r="N14" s="25" t="str">
        <f>IFERROR(__xludf.DUMMYFUNCTION("IFERROR(INDEX(FILTER('Kế hoạch chèn link (mới)'!$B$3:$B$2213,'Kế hoạch chèn link (mới)'!$D$3:$D$2213=$B14),4),"""")"),"https://techcombank.com/thong-tin/blog/1-man-bang-bao-nhieu-tien-viet")</f>
        <v>https://techcombank.com/thong-tin/blog/1-man-bang-bao-nhieu-tien-viet</v>
      </c>
      <c r="O14" s="25" t="str">
        <f>IFERROR(__xludf.DUMMYFUNCTION("IFERROR(INDEX(FILTER('Kế hoạch chèn link (mới)'!$C$3:$C$2213,'Kế hoạch chèn link (mới)'!$D$3:$D$2213=$B14),5),"""")"),"1 triệu đô bằng bao nhiêu tiền Việt")</f>
        <v>1 triệu đô bằng bao nhiêu tiền Việt</v>
      </c>
      <c r="P14" s="25" t="str">
        <f>IFERROR(__xludf.DUMMYFUNCTION("IFERROR(INDEX(FILTER('Kế hoạch chèn link (mới)'!$B$3:$B$2213,'Kế hoạch chèn link (mới)'!$D$3:$D$2213=$B14),5),"""")"),"https://techcombank.com/thong-tin/blog/1-trieu-do-bang-bao-nhieu-tien-viet")</f>
        <v>https://techcombank.com/thong-tin/blog/1-trieu-do-bang-bao-nhieu-tien-viet</v>
      </c>
    </row>
    <row r="15">
      <c r="A15" s="6">
        <f t="shared" si="1"/>
        <v>14</v>
      </c>
      <c r="B15" s="8" t="s">
        <v>830</v>
      </c>
      <c r="C15" s="6">
        <f>COUNTIF('Kế hoạch chèn link (mới)'!$D$3:$D$2213,$B15)</f>
        <v>5</v>
      </c>
      <c r="D15" s="8" t="str">
        <f>IF(COUNTIFS('Kế hoạch chèn link (mới)'!$D$3:$D$2213,$B15,'Kế hoạch chèn link (mới)'!$I$3:$I$2213,"Đã chèn")&gt;=$C15,"Đã hoàn thành",IF(COUNTIFS('Kế hoạch chèn link (mới)'!$D$3:$D$2213,$B15,'Kế hoạch chèn link (mới)'!$I$3:$I$2213,"Đã chèn")&gt;0,"Đang làm","Chưa hoàn thành"))</f>
        <v>Chưa hoàn thành</v>
      </c>
      <c r="E15" s="8" t="b">
        <f t="shared" si="2"/>
        <v>0</v>
      </c>
      <c r="F15" s="25"/>
      <c r="G15" s="25" t="str">
        <f>IFERROR(__xludf.DUMMYFUNCTION("IFERROR(INDEX(FILTER('Kế hoạch chèn link (mới)'!$C$3:$C$2213,'Kế hoạch chèn link (mới)'!$D$3:$D$2213=$B15),1),"""")"),"1 Tệ bằng bao nhiêu tiền Việt")</f>
        <v>1 Tệ bằng bao nhiêu tiền Việt</v>
      </c>
      <c r="H15" s="25" t="str">
        <f>IFERROR(__xludf.DUMMYFUNCTION("IFERROR(INDEX(FILTER('Kế hoạch chèn link (mới)'!$B$3:$B$2213,'Kế hoạch chèn link (mới)'!$D$3:$D$2213=$B15),1),"""")"),"https://techcombank.com/thong-tin/blog/1-te-bang-bao-nhieu-tien-viet-nam")</f>
        <v>https://techcombank.com/thong-tin/blog/1-te-bang-bao-nhieu-tien-viet-nam</v>
      </c>
      <c r="I15" s="25" t="str">
        <f>IFERROR(__xludf.DUMMYFUNCTION("IFERROR(INDEX(FILTER('Kế hoạch chèn link (mới)'!$C$3:$C$2213,'Kế hoạch chèn link (mới)'!$D$3:$D$2213=$B15),2),"""")"),"1 đô bằng bao nhiêu tiền Việt")</f>
        <v>1 đô bằng bao nhiêu tiền Việt</v>
      </c>
      <c r="J15" s="25" t="str">
        <f>IFERROR(__xludf.DUMMYFUNCTION("IFERROR(INDEX(FILTER('Kế hoạch chèn link (mới)'!$B$3:$B$2213,'Kế hoạch chèn link (mới)'!$D$3:$D$2213=$B15),2),"""")"),"https://techcombank.com/thong-tin/blog/1-dong-do-la-my-bang-bao-nhieu-tien-viet-nam")</f>
        <v>https://techcombank.com/thong-tin/blog/1-dong-do-la-my-bang-bao-nhieu-tien-viet-nam</v>
      </c>
      <c r="K15" s="25" t="str">
        <f>IFERROR(__xludf.DUMMYFUNCTION("IFERROR(INDEX(FILTER('Kế hoạch chèn link (mới)'!$C$3:$C$2213,'Kế hoạch chèn link (mới)'!$D$3:$D$2213=$B15),3),"""")"),"tiền Nhật")</f>
        <v>tiền Nhật</v>
      </c>
      <c r="L15" s="25" t="str">
        <f>IFERROR(__xludf.DUMMYFUNCTION("IFERROR(INDEX(FILTER('Kế hoạch chèn link (mới)'!$B$3:$B$2213,'Kế hoạch chèn link (mới)'!$D$3:$D$2213=$B15),3),"""")"),"https://techcombank.com/thong-tin/blog/tien-nhat")</f>
        <v>https://techcombank.com/thong-tin/blog/tien-nhat</v>
      </c>
      <c r="M15" s="25" t="str">
        <f>IFERROR(__xludf.DUMMYFUNCTION("IFERROR(INDEX(FILTER('Kế hoạch chèn link (mới)'!$C$3:$C$2213,'Kế hoạch chèn link (mới)'!$D$3:$D$2213=$B15),4),"""")"),"1 Yên bằng bao nhiêu tiền Việt")</f>
        <v>1 Yên bằng bao nhiêu tiền Việt</v>
      </c>
      <c r="N15" s="25" t="str">
        <f>IFERROR(__xludf.DUMMYFUNCTION("IFERROR(INDEX(FILTER('Kế hoạch chèn link (mới)'!$B$3:$B$2213,'Kế hoạch chèn link (mới)'!$D$3:$D$2213=$B15),4),"""")"),"https://techcombank.com/thong-tin/blog/1-yen-bang-bao-nhieu-tien-viet-nam")</f>
        <v>https://techcombank.com/thong-tin/blog/1-yen-bang-bao-nhieu-tien-viet-nam</v>
      </c>
      <c r="O15" s="25" t="str">
        <f>IFERROR(__xludf.DUMMYFUNCTION("IFERROR(INDEX(FILTER('Kế hoạch chèn link (mới)'!$C$3:$C$2213,'Kế hoạch chèn link (mới)'!$D$3:$D$2213=$B15),5),"""")"),"1,000 won")</f>
        <v>1,000 won</v>
      </c>
      <c r="P15" s="25" t="str">
        <f>IFERROR(__xludf.DUMMYFUNCTION("IFERROR(INDEX(FILTER('Kế hoạch chèn link (mới)'!$B$3:$B$2213,'Kế hoạch chèn link (mới)'!$D$3:$D$2213=$B15),5),"""")"),"https://techcombank.com/thong-tin/blog/1000-won-bang-bao-nhieu-tien-viet")</f>
        <v>https://techcombank.com/thong-tin/blog/1000-won-bang-bao-nhieu-tien-viet</v>
      </c>
    </row>
    <row r="16">
      <c r="A16" s="6">
        <f t="shared" si="1"/>
        <v>15</v>
      </c>
      <c r="B16" s="8" t="s">
        <v>841</v>
      </c>
      <c r="C16" s="6">
        <f>COUNTIF('Kế hoạch chèn link (mới)'!$D$3:$D$2213,$B16)</f>
        <v>2</v>
      </c>
      <c r="D16" s="8" t="str">
        <f>IF(COUNTIFS('Kế hoạch chèn link (mới)'!$D$3:$D$2213,$B16,'Kế hoạch chèn link (mới)'!$I$3:$I$2213,"Đã chèn")&gt;=$C16,"Đã hoàn thành",IF(COUNTIFS('Kế hoạch chèn link (mới)'!$D$3:$D$2213,$B16,'Kế hoạch chèn link (mới)'!$I$3:$I$2213,"Đã chèn")&gt;0,"Đang làm","Chưa hoàn thành"))</f>
        <v>Chưa hoàn thành</v>
      </c>
      <c r="E16" s="8" t="b">
        <f t="shared" si="2"/>
        <v>0</v>
      </c>
      <c r="F16" s="25"/>
      <c r="G16" s="25" t="str">
        <f>IFERROR(__xludf.DUMMYFUNCTION("IFERROR(INDEX(FILTER('Kế hoạch chèn link (mới)'!$C$3:$C$2213,'Kế hoạch chèn link (mới)'!$D$3:$D$2213=$B16),1),"""")"),"1 Man Nhật")</f>
        <v>1 Man Nhật</v>
      </c>
      <c r="H16" s="25" t="str">
        <f>IFERROR(__xludf.DUMMYFUNCTION("IFERROR(INDEX(FILTER('Kế hoạch chèn link (mới)'!$B$3:$B$2213,'Kế hoạch chèn link (mới)'!$D$3:$D$2213=$B16),1),"""")"),"https://techcombank.com/thong-tin/blog/1-man-bang-bao-nhieu-tien-viet")</f>
        <v>https://techcombank.com/thong-tin/blog/1-man-bang-bao-nhieu-tien-viet</v>
      </c>
      <c r="I16" s="25" t="str">
        <f>IFERROR(__xludf.DUMMYFUNCTION("IFERROR(INDEX(FILTER('Kế hoạch chèn link (mới)'!$C$3:$C$2213,'Kế hoạch chèn link (mới)'!$D$3:$D$2213=$B16),2),"""")"),"1 triệu đô bằng bao nhiêu tiền Việt")</f>
        <v>1 triệu đô bằng bao nhiêu tiền Việt</v>
      </c>
      <c r="J16" s="25" t="str">
        <f>IFERROR(__xludf.DUMMYFUNCTION("IFERROR(INDEX(FILTER('Kế hoạch chèn link (mới)'!$B$3:$B$2213,'Kế hoạch chèn link (mới)'!$D$3:$D$2213=$B16),2),"""")"),"https://techcombank.com/thong-tin/blog/1-trieu-do-bang-bao-nhieu-tien-viet")</f>
        <v>https://techcombank.com/thong-tin/blog/1-trieu-do-bang-bao-nhieu-tien-viet</v>
      </c>
      <c r="K16" s="25" t="str">
        <f>IFERROR(__xludf.DUMMYFUNCTION("IFERROR(INDEX(FILTER('Kế hoạch chèn link (mới)'!$C$3:$C$2213,'Kế hoạch chèn link (mới)'!$D$3:$D$2213=$B16),3),"""")"),"")</f>
        <v/>
      </c>
      <c r="L16" s="25" t="str">
        <f>IFERROR(__xludf.DUMMYFUNCTION("IFERROR(INDEX(FILTER('Kế hoạch chèn link (mới)'!$B$3:$B$2213,'Kế hoạch chèn link (mới)'!$D$3:$D$2213=$B16),3),"""")"),"")</f>
        <v/>
      </c>
      <c r="M16" s="25" t="str">
        <f>IFERROR(__xludf.DUMMYFUNCTION("IFERROR(INDEX(FILTER('Kế hoạch chèn link (mới)'!$C$3:$C$2213,'Kế hoạch chèn link (mới)'!$D$3:$D$2213=$B16),4),"""")"),"")</f>
        <v/>
      </c>
      <c r="N16" s="25" t="str">
        <f>IFERROR(__xludf.DUMMYFUNCTION("IFERROR(INDEX(FILTER('Kế hoạch chèn link (mới)'!$B$3:$B$2213,'Kế hoạch chèn link (mới)'!$D$3:$D$2213=$B16),4),"""")"),"")</f>
        <v/>
      </c>
      <c r="O16" s="25" t="str">
        <f>IFERROR(__xludf.DUMMYFUNCTION("IFERROR(INDEX(FILTER('Kế hoạch chèn link (mới)'!$C$3:$C$2213,'Kế hoạch chèn link (mới)'!$D$3:$D$2213=$B16),5),"""")"),"")</f>
        <v/>
      </c>
      <c r="P16" s="25" t="str">
        <f>IFERROR(__xludf.DUMMYFUNCTION("IFERROR(INDEX(FILTER('Kế hoạch chèn link (mới)'!$B$3:$B$2213,'Kế hoạch chèn link (mới)'!$D$3:$D$2213=$B16),5),"""")"),"")</f>
        <v/>
      </c>
    </row>
    <row r="17">
      <c r="A17" s="6">
        <f t="shared" si="1"/>
        <v>16</v>
      </c>
      <c r="B17" s="8" t="s">
        <v>867</v>
      </c>
      <c r="C17" s="6">
        <f>COUNTIF('Kế hoạch chèn link (mới)'!$D$3:$D$2213,$B17)</f>
        <v>5</v>
      </c>
      <c r="D17" s="8" t="str">
        <f>IF(COUNTIFS('Kế hoạch chèn link (mới)'!$D$3:$D$2213,$B17,'Kế hoạch chèn link (mới)'!$I$3:$I$2213,"Đã chèn")&gt;=$C17,"Đã hoàn thành",IF(COUNTIFS('Kế hoạch chèn link (mới)'!$D$3:$D$2213,$B17,'Kế hoạch chèn link (mới)'!$I$3:$I$2213,"Đã chèn")&gt;0,"Đang làm","Chưa hoàn thành"))</f>
        <v>Chưa hoàn thành</v>
      </c>
      <c r="E17" s="8" t="b">
        <f t="shared" si="2"/>
        <v>0</v>
      </c>
      <c r="F17" s="25"/>
      <c r="G17" s="25" t="str">
        <f>IFERROR(__xludf.DUMMYFUNCTION("IFERROR(INDEX(FILTER('Kế hoạch chèn link (mới)'!$C$3:$C$2213,'Kế hoạch chèn link (mới)'!$D$3:$D$2213=$B17),1),"""")"),"tỷ giá USD/VND")</f>
        <v>tỷ giá USD/VND</v>
      </c>
      <c r="H17" s="25" t="str">
        <f>IFERROR(__xludf.DUMMYFUNCTION("IFERROR(INDEX(FILTER('Kế hoạch chèn link (mới)'!$B$3:$B$2213,'Kế hoạch chèn link (mới)'!$D$3:$D$2213=$B17),1),"""")"),"https://techcombank.com/thong-tin/blog/1-dong-do-la-my-bang-bao-nhieu-tien-viet-nam")</f>
        <v>https://techcombank.com/thong-tin/blog/1-dong-do-la-my-bang-bao-nhieu-tien-viet-nam</v>
      </c>
      <c r="I17" s="25" t="str">
        <f>IFERROR(__xludf.DUMMYFUNCTION("IFERROR(INDEX(FILTER('Kế hoạch chèn link (mới)'!$C$3:$C$2213,'Kế hoạch chèn link (mới)'!$D$3:$D$2213=$B17),2),"""")"),"tiền Nhật")</f>
        <v>tiền Nhật</v>
      </c>
      <c r="J17" s="25" t="str">
        <f>IFERROR(__xludf.DUMMYFUNCTION("IFERROR(INDEX(FILTER('Kế hoạch chèn link (mới)'!$B$3:$B$2213,'Kế hoạch chèn link (mới)'!$D$3:$D$2213=$B17),2),"""")"),"https://techcombank.com/thong-tin/blog/tien-nhat")</f>
        <v>https://techcombank.com/thong-tin/blog/tien-nhat</v>
      </c>
      <c r="K17" s="25" t="str">
        <f>IFERROR(__xludf.DUMMYFUNCTION("IFERROR(INDEX(FILTER('Kế hoạch chèn link (mới)'!$C$3:$C$2213,'Kế hoạch chèn link (mới)'!$D$3:$D$2213=$B17),3),"""")"),"tỷ giá Yên Nhật")</f>
        <v>tỷ giá Yên Nhật</v>
      </c>
      <c r="L17" s="25" t="str">
        <f>IFERROR(__xludf.DUMMYFUNCTION("IFERROR(INDEX(FILTER('Kế hoạch chèn link (mới)'!$B$3:$B$2213,'Kế hoạch chèn link (mới)'!$D$3:$D$2213=$B17),3),"""")"),"https://techcombank.com/thong-tin/blog/1-yen-bang-bao-nhieu-tien-viet-nam")</f>
        <v>https://techcombank.com/thong-tin/blog/1-yen-bang-bao-nhieu-tien-viet-nam</v>
      </c>
      <c r="M17" s="25" t="str">
        <f>IFERROR(__xludf.DUMMYFUNCTION("IFERROR(INDEX(FILTER('Kế hoạch chèn link (mới)'!$C$3:$C$2213,'Kế hoạch chèn link (mới)'!$D$3:$D$2213=$B17),4),"""")"),"tỷ giá Won")</f>
        <v>tỷ giá Won</v>
      </c>
      <c r="N17" s="25" t="str">
        <f>IFERROR(__xludf.DUMMYFUNCTION("IFERROR(INDEX(FILTER('Kế hoạch chèn link (mới)'!$B$3:$B$2213,'Kế hoạch chèn link (mới)'!$D$3:$D$2213=$B17),4),"""")"),"https://techcombank.com/thong-tin/blog/1-won-bang-bao-nhieu-tien-viet")</f>
        <v>https://techcombank.com/thong-tin/blog/1-won-bang-bao-nhieu-tien-viet</v>
      </c>
      <c r="O17" s="25" t="str">
        <f>IFERROR(__xludf.DUMMYFUNCTION("IFERROR(INDEX(FILTER('Kế hoạch chèn link (mới)'!$C$3:$C$2213,'Kế hoạch chèn link (mới)'!$D$3:$D$2213=$B17),5),"""")"),"tỷ giá Đài tệ")</f>
        <v>tỷ giá Đài tệ</v>
      </c>
      <c r="P17" s="25" t="str">
        <f>IFERROR(__xludf.DUMMYFUNCTION("IFERROR(INDEX(FILTER('Kế hoạch chèn link (mới)'!$B$3:$B$2213,'Kế hoạch chèn link (mới)'!$D$3:$D$2213=$B17),5),"""")"),"https://techcombank.com/thong-tin/blog/tien-dai-loan")</f>
        <v>https://techcombank.com/thong-tin/blog/tien-dai-loan</v>
      </c>
    </row>
    <row r="18">
      <c r="A18" s="6">
        <f t="shared" si="1"/>
        <v>17</v>
      </c>
      <c r="B18" s="8" t="s">
        <v>888</v>
      </c>
      <c r="C18" s="6">
        <f>COUNTIF('Kế hoạch chèn link (mới)'!$D$3:$D$2213,$B18)</f>
        <v>5</v>
      </c>
      <c r="D18" s="8" t="str">
        <f>IF(COUNTIFS('Kế hoạch chèn link (mới)'!$D$3:$D$2213,$B18,'Kế hoạch chèn link (mới)'!$I$3:$I$2213,"Đã chèn")&gt;=$C18,"Đã hoàn thành",IF(COUNTIFS('Kế hoạch chèn link (mới)'!$D$3:$D$2213,$B18,'Kế hoạch chèn link (mới)'!$I$3:$I$2213,"Đã chèn")&gt;0,"Đang làm","Chưa hoàn thành"))</f>
        <v>Chưa hoàn thành</v>
      </c>
      <c r="E18" s="8" t="b">
        <f t="shared" si="2"/>
        <v>0</v>
      </c>
      <c r="F18" s="25"/>
      <c r="G18" s="25" t="str">
        <f>IFERROR(__xludf.DUMMYFUNCTION("IFERROR(INDEX(FILTER('Kế hoạch chèn link (mới)'!$C$3:$C$2213,'Kế hoạch chèn link (mới)'!$D$3:$D$2213=$B18),1),"""")"),"tỷ giá Nhân dân tệ")</f>
        <v>tỷ giá Nhân dân tệ</v>
      </c>
      <c r="H18" s="25" t="str">
        <f>IFERROR(__xludf.DUMMYFUNCTION("IFERROR(INDEX(FILTER('Kế hoạch chèn link (mới)'!$B$3:$B$2213,'Kế hoạch chèn link (mới)'!$D$3:$D$2213=$B18),1),"""")"),"https://techcombank.com/thong-tin/blog/1-te-bang-bao-nhieu-tien-viet-nam")</f>
        <v>https://techcombank.com/thong-tin/blog/1-te-bang-bao-nhieu-tien-viet-nam</v>
      </c>
      <c r="I18" s="25" t="str">
        <f>IFERROR(__xludf.DUMMYFUNCTION("IFERROR(INDEX(FILTER('Kế hoạch chèn link (mới)'!$C$3:$C$2213,'Kế hoạch chèn link (mới)'!$D$3:$D$2213=$B18),2),"""")"),"tỷ giá USD/VND")</f>
        <v>tỷ giá USD/VND</v>
      </c>
      <c r="J18" s="25" t="str">
        <f>IFERROR(__xludf.DUMMYFUNCTION("IFERROR(INDEX(FILTER('Kế hoạch chèn link (mới)'!$B$3:$B$2213,'Kế hoạch chèn link (mới)'!$D$3:$D$2213=$B18),2),"""")"),"https://techcombank.com/thong-tin/blog/1-dong-do-la-my-bang-bao-nhieu-tien-viet-nam")</f>
        <v>https://techcombank.com/thong-tin/blog/1-dong-do-la-my-bang-bao-nhieu-tien-viet-nam</v>
      </c>
      <c r="K18" s="25" t="str">
        <f>IFERROR(__xludf.DUMMYFUNCTION("IFERROR(INDEX(FILTER('Kế hoạch chèn link (mới)'!$C$3:$C$2213,'Kế hoạch chèn link (mới)'!$D$3:$D$2213=$B18),3),"""")"),"tiền Nhật")</f>
        <v>tiền Nhật</v>
      </c>
      <c r="L18" s="25" t="str">
        <f>IFERROR(__xludf.DUMMYFUNCTION("IFERROR(INDEX(FILTER('Kế hoạch chèn link (mới)'!$B$3:$B$2213,'Kế hoạch chèn link (mới)'!$D$3:$D$2213=$B18),3),"""")"),"https://techcombank.com/thong-tin/blog/tien-nhat")</f>
        <v>https://techcombank.com/thong-tin/blog/tien-nhat</v>
      </c>
      <c r="M18" s="25" t="str">
        <f>IFERROR(__xludf.DUMMYFUNCTION("IFERROR(INDEX(FILTER('Kế hoạch chèn link (mới)'!$C$3:$C$2213,'Kế hoạch chèn link (mới)'!$D$3:$D$2213=$B18),4),"""")"),"1000 Won bằng bao nhiêu tiền Việt")</f>
        <v>1000 Won bằng bao nhiêu tiền Việt</v>
      </c>
      <c r="N18" s="25" t="str">
        <f>IFERROR(__xludf.DUMMYFUNCTION("IFERROR(INDEX(FILTER('Kế hoạch chèn link (mới)'!$B$3:$B$2213,'Kế hoạch chèn link (mới)'!$D$3:$D$2213=$B18),4),"""")"),"https://techcombank.com/thong-tin/blog/1000-won-bang-bao-nhieu-tien-viet")</f>
        <v>https://techcombank.com/thong-tin/blog/1000-won-bang-bao-nhieu-tien-viet</v>
      </c>
      <c r="O18" s="25" t="str">
        <f>IFERROR(__xludf.DUMMYFUNCTION("IFERROR(INDEX(FILTER('Kế hoạch chèn link (mới)'!$C$3:$C$2213,'Kế hoạch chèn link (mới)'!$D$3:$D$2213=$B18),5),"""")"),"nhận kiều hối")</f>
        <v>nhận kiều hối</v>
      </c>
      <c r="P18" s="25" t="str">
        <f>IFERROR(__xludf.DUMMYFUNCTION("IFERROR(INDEX(FILTER('Kế hoạch chèn link (mới)'!$B$3:$B$2213,'Kế hoạch chèn link (mới)'!$D$3:$D$2213=$B18),5),"""")"),"https://techcombank.com/thong-tin/blog/cach-nhan-tien-tu-nuoc-ngoai-ve-viet-nam")</f>
        <v>https://techcombank.com/thong-tin/blog/cach-nhan-tien-tu-nuoc-ngoai-ve-viet-nam</v>
      </c>
    </row>
    <row r="19">
      <c r="A19" s="6">
        <f t="shared" si="1"/>
        <v>18</v>
      </c>
      <c r="B19" s="8" t="s">
        <v>908</v>
      </c>
      <c r="C19" s="6">
        <f>COUNTIF('Kế hoạch chèn link (mới)'!$D$3:$D$2213,$B19)</f>
        <v>5</v>
      </c>
      <c r="D19" s="8" t="str">
        <f>IF(COUNTIFS('Kế hoạch chèn link (mới)'!$D$3:$D$2213,$B19,'Kế hoạch chèn link (mới)'!$I$3:$I$2213,"Đã chèn")&gt;=$C19,"Đã hoàn thành",IF(COUNTIFS('Kế hoạch chèn link (mới)'!$D$3:$D$2213,$B19,'Kế hoạch chèn link (mới)'!$I$3:$I$2213,"Đã chèn")&gt;0,"Đang làm","Chưa hoàn thành"))</f>
        <v>Chưa hoàn thành</v>
      </c>
      <c r="E19" s="8" t="b">
        <f t="shared" si="2"/>
        <v>0</v>
      </c>
      <c r="F19" s="25"/>
      <c r="G19" s="25" t="str">
        <f>IFERROR(__xludf.DUMMYFUNCTION("IFERROR(INDEX(FILTER('Kế hoạch chèn link (mới)'!$C$3:$C$2213,'Kế hoạch chèn link (mới)'!$D$3:$D$2213=$B19),1),"""")"),"1 Tệ bằng bao nhiêu tiền Việt")</f>
        <v>1 Tệ bằng bao nhiêu tiền Việt</v>
      </c>
      <c r="H19" s="25" t="str">
        <f>IFERROR(__xludf.DUMMYFUNCTION("IFERROR(INDEX(FILTER('Kế hoạch chèn link (mới)'!$B$3:$B$2213,'Kế hoạch chèn link (mới)'!$D$3:$D$2213=$B19),1),"""")"),"https://techcombank.com/thong-tin/blog/1-te-bang-bao-nhieu-tien-viet-nam")</f>
        <v>https://techcombank.com/thong-tin/blog/1-te-bang-bao-nhieu-tien-viet-nam</v>
      </c>
      <c r="I19" s="25" t="str">
        <f>IFERROR(__xludf.DUMMYFUNCTION("IFERROR(INDEX(FILTER('Kế hoạch chèn link (mới)'!$C$3:$C$2213,'Kế hoạch chèn link (mới)'!$D$3:$D$2213=$B19),2),"""")"),"tỷ giá USD/VND")</f>
        <v>tỷ giá USD/VND</v>
      </c>
      <c r="J19" s="25" t="str">
        <f>IFERROR(__xludf.DUMMYFUNCTION("IFERROR(INDEX(FILTER('Kế hoạch chèn link (mới)'!$B$3:$B$2213,'Kế hoạch chèn link (mới)'!$D$3:$D$2213=$B19),2),"""")"),"https://techcombank.com/thong-tin/blog/1-dong-do-la-my-bang-bao-nhieu-tien-viet-nam")</f>
        <v>https://techcombank.com/thong-tin/blog/1-dong-do-la-my-bang-bao-nhieu-tien-viet-nam</v>
      </c>
      <c r="K19" s="25" t="str">
        <f>IFERROR(__xludf.DUMMYFUNCTION("IFERROR(INDEX(FILTER('Kế hoạch chèn link (mới)'!$C$3:$C$2213,'Kế hoạch chèn link (mới)'!$D$3:$D$2213=$B19),3),"""")"),"tiền Nhật")</f>
        <v>tiền Nhật</v>
      </c>
      <c r="L19" s="25" t="str">
        <f>IFERROR(__xludf.DUMMYFUNCTION("IFERROR(INDEX(FILTER('Kế hoạch chèn link (mới)'!$B$3:$B$2213,'Kế hoạch chèn link (mới)'!$D$3:$D$2213=$B19),3),"""")"),"https://techcombank.com/thong-tin/blog/tien-nhat")</f>
        <v>https://techcombank.com/thong-tin/blog/tien-nhat</v>
      </c>
      <c r="M19" s="25" t="str">
        <f>IFERROR(__xludf.DUMMYFUNCTION("IFERROR(INDEX(FILTER('Kế hoạch chèn link (mới)'!$C$3:$C$2213,'Kế hoạch chèn link (mới)'!$D$3:$D$2213=$B19),4),"""")"),"tỷ giá Yên Nhật")</f>
        <v>tỷ giá Yên Nhật</v>
      </c>
      <c r="N19" s="25" t="str">
        <f>IFERROR(__xludf.DUMMYFUNCTION("IFERROR(INDEX(FILTER('Kế hoạch chèn link (mới)'!$B$3:$B$2213,'Kế hoạch chèn link (mới)'!$D$3:$D$2213=$B19),4),"""")"),"https://techcombank.com/thong-tin/blog/1-yen-bang-bao-nhieu-tien-viet-nam")</f>
        <v>https://techcombank.com/thong-tin/blog/1-yen-bang-bao-nhieu-tien-viet-nam</v>
      </c>
      <c r="O19" s="25" t="str">
        <f>IFERROR(__xludf.DUMMYFUNCTION("IFERROR(INDEX(FILTER('Kế hoạch chèn link (mới)'!$C$3:$C$2213,'Kế hoạch chèn link (mới)'!$D$3:$D$2213=$B19),5),"""")"),"tỷ giá Won")</f>
        <v>tỷ giá Won</v>
      </c>
      <c r="P19" s="25" t="str">
        <f>IFERROR(__xludf.DUMMYFUNCTION("IFERROR(INDEX(FILTER('Kế hoạch chèn link (mới)'!$B$3:$B$2213,'Kế hoạch chèn link (mới)'!$D$3:$D$2213=$B19),5),"""")"),"https://techcombank.com/thong-tin/blog/1-won-bang-bao-nhieu-tien-viet")</f>
        <v>https://techcombank.com/thong-tin/blog/1-won-bang-bao-nhieu-tien-viet</v>
      </c>
    </row>
    <row r="20">
      <c r="A20" s="6">
        <f t="shared" si="1"/>
        <v>19</v>
      </c>
      <c r="B20" s="8" t="s">
        <v>926</v>
      </c>
      <c r="C20" s="6">
        <f>COUNTIF('Kế hoạch chèn link (mới)'!$D$3:$D$2213,$B20)</f>
        <v>4</v>
      </c>
      <c r="D20" s="8" t="str">
        <f>IF(COUNTIFS('Kế hoạch chèn link (mới)'!$D$3:$D$2213,$B20,'Kế hoạch chèn link (mới)'!$I$3:$I$2213,"Đã chèn")&gt;=$C20,"Đã hoàn thành",IF(COUNTIFS('Kế hoạch chèn link (mới)'!$D$3:$D$2213,$B20,'Kế hoạch chèn link (mới)'!$I$3:$I$2213,"Đã chèn")&gt;0,"Đang làm","Chưa hoàn thành"))</f>
        <v>Chưa hoàn thành</v>
      </c>
      <c r="E20" s="8" t="b">
        <f t="shared" si="2"/>
        <v>0</v>
      </c>
      <c r="F20" s="25"/>
      <c r="G20" s="25" t="str">
        <f>IFERROR(__xludf.DUMMYFUNCTION("IFERROR(INDEX(FILTER('Kế hoạch chèn link (mới)'!$C$3:$C$2213,'Kế hoạch chèn link (mới)'!$D$3:$D$2213=$B20),1),"""")"),"1 Tệ bằng bao nhiêu tiền Việt")</f>
        <v>1 Tệ bằng bao nhiêu tiền Việt</v>
      </c>
      <c r="H20" s="25" t="str">
        <f>IFERROR(__xludf.DUMMYFUNCTION("IFERROR(INDEX(FILTER('Kế hoạch chèn link (mới)'!$B$3:$B$2213,'Kế hoạch chèn link (mới)'!$D$3:$D$2213=$B20),1),"""")"),"https://techcombank.com/thong-tin/blog/1-te-bang-bao-nhieu-tien-viet-nam")</f>
        <v>https://techcombank.com/thong-tin/blog/1-te-bang-bao-nhieu-tien-viet-nam</v>
      </c>
      <c r="I20" s="25" t="str">
        <f>IFERROR(__xludf.DUMMYFUNCTION("IFERROR(INDEX(FILTER('Kế hoạch chèn link (mới)'!$C$3:$C$2213,'Kế hoạch chèn link (mới)'!$D$3:$D$2213=$B20),2),"""")"),"tiền Yên Nhật")</f>
        <v>tiền Yên Nhật</v>
      </c>
      <c r="J20" s="25" t="str">
        <f>IFERROR(__xludf.DUMMYFUNCTION("IFERROR(INDEX(FILTER('Kế hoạch chèn link (mới)'!$B$3:$B$2213,'Kế hoạch chèn link (mới)'!$D$3:$D$2213=$B20),2),"""")"),"https://techcombank.com/thong-tin/blog/tien-nhat")</f>
        <v>https://techcombank.com/thong-tin/blog/tien-nhat</v>
      </c>
      <c r="K20" s="25" t="str">
        <f>IFERROR(__xludf.DUMMYFUNCTION("IFERROR(INDEX(FILTER('Kế hoạch chèn link (mới)'!$C$3:$C$2213,'Kế hoạch chèn link (mới)'!$D$3:$D$2213=$B20),3),"""")"),"tỷ giá Yên Nhật")</f>
        <v>tỷ giá Yên Nhật</v>
      </c>
      <c r="L20" s="25" t="str">
        <f>IFERROR(__xludf.DUMMYFUNCTION("IFERROR(INDEX(FILTER('Kế hoạch chèn link (mới)'!$B$3:$B$2213,'Kế hoạch chèn link (mới)'!$D$3:$D$2213=$B20),3),"""")"),"https://techcombank.com/thong-tin/blog/1-yen-bang-bao-nhieu-tien-viet-nam")</f>
        <v>https://techcombank.com/thong-tin/blog/1-yen-bang-bao-nhieu-tien-viet-nam</v>
      </c>
      <c r="M20" s="25" t="str">
        <f>IFERROR(__xludf.DUMMYFUNCTION("IFERROR(INDEX(FILTER('Kế hoạch chèn link (mới)'!$C$3:$C$2213,'Kế hoạch chèn link (mới)'!$D$3:$D$2213=$B20),4),"""")"),"1 Man bằng bao nhiêu tiền Việt")</f>
        <v>1 Man bằng bao nhiêu tiền Việt</v>
      </c>
      <c r="N20" s="25" t="str">
        <f>IFERROR(__xludf.DUMMYFUNCTION("IFERROR(INDEX(FILTER('Kế hoạch chèn link (mới)'!$B$3:$B$2213,'Kế hoạch chèn link (mới)'!$D$3:$D$2213=$B20),4),"""")"),"https://techcombank.com/thong-tin/blog/1-man-bang-bao-nhieu-tien-viet")</f>
        <v>https://techcombank.com/thong-tin/blog/1-man-bang-bao-nhieu-tien-viet</v>
      </c>
      <c r="O20" s="25" t="str">
        <f>IFERROR(__xludf.DUMMYFUNCTION("IFERROR(INDEX(FILTER('Kế hoạch chèn link (mới)'!$C$3:$C$2213,'Kế hoạch chèn link (mới)'!$D$3:$D$2213=$B20),5),"""")"),"")</f>
        <v/>
      </c>
      <c r="P20" s="25" t="str">
        <f>IFERROR(__xludf.DUMMYFUNCTION("IFERROR(INDEX(FILTER('Kế hoạch chèn link (mới)'!$B$3:$B$2213,'Kế hoạch chèn link (mới)'!$D$3:$D$2213=$B20),5),"""")"),"")</f>
        <v/>
      </c>
    </row>
    <row r="21">
      <c r="A21" s="6">
        <f t="shared" si="1"/>
        <v>20</v>
      </c>
      <c r="B21" s="8" t="s">
        <v>946</v>
      </c>
      <c r="C21" s="6">
        <f>COUNTIF('Kế hoạch chèn link (mới)'!$D$3:$D$2213,$B21)</f>
        <v>1</v>
      </c>
      <c r="D21" s="8" t="str">
        <f>IF(COUNTIFS('Kế hoạch chèn link (mới)'!$D$3:$D$2213,$B21,'Kế hoạch chèn link (mới)'!$I$3:$I$2213,"Đã chèn")&gt;=$C21,"Đã hoàn thành",IF(COUNTIFS('Kế hoạch chèn link (mới)'!$D$3:$D$2213,$B21,'Kế hoạch chèn link (mới)'!$I$3:$I$2213,"Đã chèn")&gt;0,"Đang làm","Chưa hoàn thành"))</f>
        <v>Chưa hoàn thành</v>
      </c>
      <c r="E21" s="8" t="b">
        <f t="shared" si="2"/>
        <v>0</v>
      </c>
      <c r="F21" s="25"/>
      <c r="G21" s="25" t="str">
        <f>IFERROR(__xludf.DUMMYFUNCTION("IFERROR(INDEX(FILTER('Kế hoạch chèn link (mới)'!$C$3:$C$2213,'Kế hoạch chèn link (mới)'!$D$3:$D$2213=$B21),1),"""")"),"thẻ hoàn tiền")</f>
        <v>thẻ hoàn tiền</v>
      </c>
      <c r="H21" s="25" t="str">
        <f>IFERROR(__xludf.DUMMYFUNCTION("IFERROR(INDEX(FILTER('Kế hoạch chèn link (mới)'!$B$3:$B$2213,'Kế hoạch chèn link (mới)'!$D$3:$D$2213=$B21),1),"""")"),"https://techcombank.com/thong-tin/blog/the-tin-dung-hoan-tien")</f>
        <v>https://techcombank.com/thong-tin/blog/the-tin-dung-hoan-tien</v>
      </c>
      <c r="I21" s="25" t="str">
        <f>IFERROR(__xludf.DUMMYFUNCTION("IFERROR(INDEX(FILTER('Kế hoạch chèn link (mới)'!$C$3:$C$2213,'Kế hoạch chèn link (mới)'!$D$3:$D$2213=$B21),2),"""")"),"")</f>
        <v/>
      </c>
      <c r="J21" s="25" t="str">
        <f>IFERROR(__xludf.DUMMYFUNCTION("IFERROR(INDEX(FILTER('Kế hoạch chèn link (mới)'!$B$3:$B$2213,'Kế hoạch chèn link (mới)'!$D$3:$D$2213=$B21),2),"""")"),"")</f>
        <v/>
      </c>
      <c r="K21" s="25" t="str">
        <f>IFERROR(__xludf.DUMMYFUNCTION("IFERROR(INDEX(FILTER('Kế hoạch chèn link (mới)'!$C$3:$C$2213,'Kế hoạch chèn link (mới)'!$D$3:$D$2213=$B21),3),"""")"),"")</f>
        <v/>
      </c>
      <c r="L21" s="25" t="str">
        <f>IFERROR(__xludf.DUMMYFUNCTION("IFERROR(INDEX(FILTER('Kế hoạch chèn link (mới)'!$B$3:$B$2213,'Kế hoạch chèn link (mới)'!$D$3:$D$2213=$B21),3),"""")"),"")</f>
        <v/>
      </c>
      <c r="M21" s="25" t="str">
        <f>IFERROR(__xludf.DUMMYFUNCTION("IFERROR(INDEX(FILTER('Kế hoạch chèn link (mới)'!$C$3:$C$2213,'Kế hoạch chèn link (mới)'!$D$3:$D$2213=$B21),4),"""")"),"")</f>
        <v/>
      </c>
      <c r="N21" s="25" t="str">
        <f>IFERROR(__xludf.DUMMYFUNCTION("IFERROR(INDEX(FILTER('Kế hoạch chèn link (mới)'!$B$3:$B$2213,'Kế hoạch chèn link (mới)'!$D$3:$D$2213=$B21),4),"""")"),"")</f>
        <v/>
      </c>
      <c r="O21" s="25" t="str">
        <f>IFERROR(__xludf.DUMMYFUNCTION("IFERROR(INDEX(FILTER('Kế hoạch chèn link (mới)'!$C$3:$C$2213,'Kế hoạch chèn link (mới)'!$D$3:$D$2213=$B21),5),"""")"),"")</f>
        <v/>
      </c>
      <c r="P21" s="25" t="str">
        <f>IFERROR(__xludf.DUMMYFUNCTION("IFERROR(INDEX(FILTER('Kế hoạch chèn link (mới)'!$B$3:$B$2213,'Kế hoạch chèn link (mới)'!$D$3:$D$2213=$B21),5),"""")"),"")</f>
        <v/>
      </c>
    </row>
    <row r="22">
      <c r="A22" s="6">
        <f t="shared" si="1"/>
        <v>21</v>
      </c>
      <c r="B22" s="8" t="s">
        <v>963</v>
      </c>
      <c r="C22" s="6">
        <f>COUNTIF('Kế hoạch chèn link (mới)'!$D$3:$D$2213,$B22)</f>
        <v>3</v>
      </c>
      <c r="D22" s="8" t="str">
        <f>IF(COUNTIFS('Kế hoạch chèn link (mới)'!$D$3:$D$2213,$B22,'Kế hoạch chèn link (mới)'!$I$3:$I$2213,"Đã chèn")&gt;=$C22,"Đã hoàn thành",IF(COUNTIFS('Kế hoạch chèn link (mới)'!$D$3:$D$2213,$B22,'Kế hoạch chèn link (mới)'!$I$3:$I$2213,"Đã chèn")&gt;0,"Đang làm","Chưa hoàn thành"))</f>
        <v>Chưa hoàn thành</v>
      </c>
      <c r="E22" s="8" t="b">
        <f t="shared" si="2"/>
        <v>0</v>
      </c>
      <c r="F22" s="25"/>
      <c r="G22" s="25" t="str">
        <f>IFERROR(__xludf.DUMMYFUNCTION("IFERROR(INDEX(FILTER('Kế hoạch chèn link (mới)'!$C$3:$C$2213,'Kế hoạch chèn link (mới)'!$D$3:$D$2213=$B22),1),"""")"),"lãi suất gửi tiết kiệm ngân hàng")</f>
        <v>lãi suất gửi tiết kiệm ngân hàng</v>
      </c>
      <c r="H22" s="25" t="str">
        <f>IFERROR(__xludf.DUMMYFUNCTION("IFERROR(INDEX(FILTER('Kế hoạch chèn link (mới)'!$B$3:$B$2213,'Kế hoạch chèn link (mới)'!$D$3:$D$2213=$B22),1),"""")"),"https://techcombank.com/thong-tin/blog/lai-suat-tiet-kiem")</f>
        <v>https://techcombank.com/thong-tin/blog/lai-suat-tiet-kiem</v>
      </c>
      <c r="I22" s="25" t="str">
        <f>IFERROR(__xludf.DUMMYFUNCTION("IFERROR(INDEX(FILTER('Kế hoạch chèn link (mới)'!$C$3:$C$2213,'Kế hoạch chèn link (mới)'!$D$3:$D$2213=$B22),2),"""")"),"tính lãi suất tiết kiệm")</f>
        <v>tính lãi suất tiết kiệm</v>
      </c>
      <c r="J22" s="25" t="str">
        <f>IFERROR(__xludf.DUMMYFUNCTION("IFERROR(INDEX(FILTER('Kế hoạch chèn link (mới)'!$B$3:$B$2213,'Kế hoạch chèn link (mới)'!$D$3:$D$2213=$B22),2),"""")"),"https://techcombank.com/thong-tin/blog/cach-tinh-lai-suat-tien-gui-tiet-kiem")</f>
        <v>https://techcombank.com/thong-tin/blog/cach-tinh-lai-suat-tien-gui-tiet-kiem</v>
      </c>
      <c r="K22" s="25" t="str">
        <f>IFERROR(__xludf.DUMMYFUNCTION("IFERROR(INDEX(FILTER('Kế hoạch chèn link (mới)'!$C$3:$C$2213,'Kế hoạch chèn link (mới)'!$D$3:$D$2213=$B22),3),"""")"),"gửi tiết kiệm online có an toàn không")</f>
        <v>gửi tiết kiệm online có an toàn không</v>
      </c>
      <c r="L22" s="25" t="str">
        <f>IFERROR(__xludf.DUMMYFUNCTION("IFERROR(INDEX(FILTER('Kế hoạch chèn link (mới)'!$B$3:$B$2213,'Kế hoạch chèn link (mới)'!$D$3:$D$2213=$B22),3),"""")"),"https://techcombank.com/thong-tin/blog/rui-ro-khi-gui-tiet-kiem-online")</f>
        <v>https://techcombank.com/thong-tin/blog/rui-ro-khi-gui-tiet-kiem-online</v>
      </c>
      <c r="M22" s="25" t="str">
        <f>IFERROR(__xludf.DUMMYFUNCTION("IFERROR(INDEX(FILTER('Kế hoạch chèn link (mới)'!$C$3:$C$2213,'Kế hoạch chèn link (mới)'!$D$3:$D$2213=$B22),4),"""")"),"")</f>
        <v/>
      </c>
      <c r="N22" s="25" t="str">
        <f>IFERROR(__xludf.DUMMYFUNCTION("IFERROR(INDEX(FILTER('Kế hoạch chèn link (mới)'!$B$3:$B$2213,'Kế hoạch chèn link (mới)'!$D$3:$D$2213=$B22),4),"""")"),"")</f>
        <v/>
      </c>
      <c r="O22" s="25" t="str">
        <f>IFERROR(__xludf.DUMMYFUNCTION("IFERROR(INDEX(FILTER('Kế hoạch chèn link (mới)'!$C$3:$C$2213,'Kế hoạch chèn link (mới)'!$D$3:$D$2213=$B22),5),"""")"),"")</f>
        <v/>
      </c>
      <c r="P22" s="25" t="str">
        <f>IFERROR(__xludf.DUMMYFUNCTION("IFERROR(INDEX(FILTER('Kế hoạch chèn link (mới)'!$B$3:$B$2213,'Kế hoạch chèn link (mới)'!$D$3:$D$2213=$B22),5),"""")"),"")</f>
        <v/>
      </c>
    </row>
    <row r="23">
      <c r="A23" s="6">
        <f t="shared" si="1"/>
        <v>22</v>
      </c>
      <c r="B23" s="8" t="s">
        <v>985</v>
      </c>
      <c r="C23" s="6">
        <f>COUNTIF('Kế hoạch chèn link (mới)'!$D$3:$D$2213,$B23)</f>
        <v>4</v>
      </c>
      <c r="D23" s="8" t="str">
        <f>IF(COUNTIFS('Kế hoạch chèn link (mới)'!$D$3:$D$2213,$B23,'Kế hoạch chèn link (mới)'!$I$3:$I$2213,"Đã chèn")&gt;=$C23,"Đã hoàn thành",IF(COUNTIFS('Kế hoạch chèn link (mới)'!$D$3:$D$2213,$B23,'Kế hoạch chèn link (mới)'!$I$3:$I$2213,"Đã chèn")&gt;0,"Đang làm","Chưa hoàn thành"))</f>
        <v>Chưa hoàn thành</v>
      </c>
      <c r="E23" s="8" t="b">
        <f t="shared" si="2"/>
        <v>0</v>
      </c>
      <c r="F23" s="25"/>
      <c r="G23" s="25" t="str">
        <f>IFERROR(__xludf.DUMMYFUNCTION("IFERROR(INDEX(FILTER('Kế hoạch chèn link (mới)'!$C$3:$C$2213,'Kế hoạch chèn link (mới)'!$D$3:$D$2213=$B23),1),"""")"),"kiểm tra cic")</f>
        <v>kiểm tra cic</v>
      </c>
      <c r="H23" s="25" t="str">
        <f>IFERROR(__xludf.DUMMYFUNCTION("IFERROR(INDEX(FILTER('Kế hoạch chèn link (mới)'!$B$3:$B$2213,'Kế hoạch chèn link (mới)'!$D$3:$D$2213=$B23),1),"""")"),"https://techcombank.com/thong-tin/blog/cic-la-gi")</f>
        <v>https://techcombank.com/thong-tin/blog/cic-la-gi</v>
      </c>
      <c r="I23" s="25" t="str">
        <f>IFERROR(__xludf.DUMMYFUNCTION("IFERROR(INDEX(FILTER('Kế hoạch chèn link (mới)'!$C$3:$C$2213,'Kế hoạch chèn link (mới)'!$D$3:$D$2213=$B23),2),"""")"),"chứng chỉ tiền gửi")</f>
        <v>chứng chỉ tiền gửi</v>
      </c>
      <c r="J23" s="25" t="str">
        <f>IFERROR(__xludf.DUMMYFUNCTION("IFERROR(INDEX(FILTER('Kế hoạch chèn link (mới)'!$B$3:$B$2213,'Kế hoạch chèn link (mới)'!$D$3:$D$2213=$B23),2),"""")"),"https://techcombank.com/thong-tin/blog/chung-chi-tien-gui-la-gi")</f>
        <v>https://techcombank.com/thong-tin/blog/chung-chi-tien-gui-la-gi</v>
      </c>
      <c r="K23" s="25" t="str">
        <f>IFERROR(__xludf.DUMMYFUNCTION("IFERROR(INDEX(FILTER('Kế hoạch chèn link (mới)'!$C$3:$C$2213,'Kế hoạch chèn link (mới)'!$D$3:$D$2213=$B23),3),"""")"),"lãi suất gửi tiết kiệm ngân hàng")</f>
        <v>lãi suất gửi tiết kiệm ngân hàng</v>
      </c>
      <c r="L23" s="25" t="str">
        <f>IFERROR(__xludf.DUMMYFUNCTION("IFERROR(INDEX(FILTER('Kế hoạch chèn link (mới)'!$B$3:$B$2213,'Kế hoạch chèn link (mới)'!$D$3:$D$2213=$B23),3),"""")"),"https://techcombank.com/thong-tin/blog/lai-suat-tiet-kiem")</f>
        <v>https://techcombank.com/thong-tin/blog/lai-suat-tiet-kiem</v>
      </c>
      <c r="M23" s="25" t="str">
        <f>IFERROR(__xludf.DUMMYFUNCTION("IFERROR(INDEX(FILTER('Kế hoạch chèn link (mới)'!$C$3:$C$2213,'Kế hoạch chèn link (mới)'!$D$3:$D$2213=$B23),4),"""")"),"cách đầu tư chứng chỉ quỹ")</f>
        <v>cách đầu tư chứng chỉ quỹ</v>
      </c>
      <c r="N23" s="25" t="str">
        <f>IFERROR(__xludf.DUMMYFUNCTION("IFERROR(INDEX(FILTER('Kế hoạch chèn link (mới)'!$B$3:$B$2213,'Kế hoạch chèn link (mới)'!$D$3:$D$2213=$B23),4),"""")"),"https://techcombank.com/thong-tin/blog/phuong-phap-dau-tu-chung-chi-quy")</f>
        <v>https://techcombank.com/thong-tin/blog/phuong-phap-dau-tu-chung-chi-quy</v>
      </c>
      <c r="O23" s="25" t="str">
        <f>IFERROR(__xludf.DUMMYFUNCTION("IFERROR(INDEX(FILTER('Kế hoạch chèn link (mới)'!$C$3:$C$2213,'Kế hoạch chèn link (mới)'!$D$3:$D$2213=$B23),5),"""")"),"")</f>
        <v/>
      </c>
      <c r="P23" s="25" t="str">
        <f>IFERROR(__xludf.DUMMYFUNCTION("IFERROR(INDEX(FILTER('Kế hoạch chèn link (mới)'!$B$3:$B$2213,'Kế hoạch chèn link (mới)'!$D$3:$D$2213=$B23),5),"""")"),"")</f>
        <v/>
      </c>
    </row>
    <row r="24">
      <c r="A24" s="6">
        <f t="shared" si="1"/>
        <v>23</v>
      </c>
      <c r="B24" s="8" t="s">
        <v>1008</v>
      </c>
      <c r="C24" s="6">
        <f>COUNTIF('Kế hoạch chèn link (mới)'!$D$3:$D$2213,$B24)</f>
        <v>2</v>
      </c>
      <c r="D24" s="8" t="str">
        <f>IF(COUNTIFS('Kế hoạch chèn link (mới)'!$D$3:$D$2213,$B24,'Kế hoạch chèn link (mới)'!$I$3:$I$2213,"Đã chèn")&gt;=$C24,"Đã hoàn thành",IF(COUNTIFS('Kế hoạch chèn link (mới)'!$D$3:$D$2213,$B24,'Kế hoạch chèn link (mới)'!$I$3:$I$2213,"Đã chèn")&gt;0,"Đang làm","Chưa hoàn thành"))</f>
        <v>Chưa hoàn thành</v>
      </c>
      <c r="E24" s="8" t="b">
        <f t="shared" si="2"/>
        <v>0</v>
      </c>
      <c r="F24" s="25"/>
      <c r="G24" s="25" t="str">
        <f>IFERROR(__xludf.DUMMYFUNCTION("IFERROR(INDEX(FILTER('Kế hoạch chèn link (mới)'!$C$3:$C$2213,'Kế hoạch chèn link (mới)'!$D$3:$D$2213=$B24),1),"""")"),"tra số tài khoản ngân hàng")</f>
        <v>tra số tài khoản ngân hàng</v>
      </c>
      <c r="H24" s="25" t="str">
        <f>IFERROR(__xludf.DUMMYFUNCTION("IFERROR(INDEX(FILTER('Kế hoạch chèn link (mới)'!$B$3:$B$2213,'Kế hoạch chèn link (mới)'!$D$3:$D$2213=$B24),1),"""")"),"https://techcombank.com/thong-tin/blog/cach-kiem-tra-tai-khoan-ngan-hang")</f>
        <v>https://techcombank.com/thong-tin/blog/cach-kiem-tra-tai-khoan-ngan-hang</v>
      </c>
      <c r="I24" s="25" t="str">
        <f>IFERROR(__xludf.DUMMYFUNCTION("IFERROR(INDEX(FILTER('Kế hoạch chèn link (mới)'!$C$3:$C$2213,'Kế hoạch chèn link (mới)'!$D$3:$D$2213=$B24),2),"""")"),"dãy số phát tài phát lộc")</f>
        <v>dãy số phát tài phát lộc</v>
      </c>
      <c r="J24" s="25" t="str">
        <f>IFERROR(__xludf.DUMMYFUNCTION("IFERROR(INDEX(FILTER('Kế hoạch chèn link (mới)'!$B$3:$B$2213,'Kế hoạch chèn link (mới)'!$D$3:$D$2213=$B24),2),"""")"),"https://techcombank.com/thong-tin/blog/day-so-phat-tai-phat-loc")</f>
        <v>https://techcombank.com/thong-tin/blog/day-so-phat-tai-phat-loc</v>
      </c>
      <c r="K24" s="25" t="str">
        <f>IFERROR(__xludf.DUMMYFUNCTION("IFERROR(INDEX(FILTER('Kế hoạch chèn link (mới)'!$C$3:$C$2213,'Kế hoạch chèn link (mới)'!$D$3:$D$2213=$B24),3),"""")"),"")</f>
        <v/>
      </c>
      <c r="L24" s="25" t="str">
        <f>IFERROR(__xludf.DUMMYFUNCTION("IFERROR(INDEX(FILTER('Kế hoạch chèn link (mới)'!$B$3:$B$2213,'Kế hoạch chèn link (mới)'!$D$3:$D$2213=$B24),3),"""")"),"")</f>
        <v/>
      </c>
      <c r="M24" s="25" t="str">
        <f>IFERROR(__xludf.DUMMYFUNCTION("IFERROR(INDEX(FILTER('Kế hoạch chèn link (mới)'!$C$3:$C$2213,'Kế hoạch chèn link (mới)'!$D$3:$D$2213=$B24),4),"""")"),"")</f>
        <v/>
      </c>
      <c r="N24" s="25" t="str">
        <f>IFERROR(__xludf.DUMMYFUNCTION("IFERROR(INDEX(FILTER('Kế hoạch chèn link (mới)'!$B$3:$B$2213,'Kế hoạch chèn link (mới)'!$D$3:$D$2213=$B24),4),"""")"),"")</f>
        <v/>
      </c>
      <c r="O24" s="25" t="str">
        <f>IFERROR(__xludf.DUMMYFUNCTION("IFERROR(INDEX(FILTER('Kế hoạch chèn link (mới)'!$C$3:$C$2213,'Kế hoạch chèn link (mới)'!$D$3:$D$2213=$B24),5),"""")"),"")</f>
        <v/>
      </c>
      <c r="P24" s="25" t="str">
        <f>IFERROR(__xludf.DUMMYFUNCTION("IFERROR(INDEX(FILTER('Kế hoạch chèn link (mới)'!$B$3:$B$2213,'Kế hoạch chèn link (mới)'!$D$3:$D$2213=$B24),5),"""")"),"")</f>
        <v/>
      </c>
    </row>
    <row r="25">
      <c r="A25" s="6">
        <f t="shared" si="1"/>
        <v>24</v>
      </c>
      <c r="B25" s="8" t="s">
        <v>1032</v>
      </c>
      <c r="C25" s="6">
        <f>COUNTIF('Kế hoạch chèn link (mới)'!$D$3:$D$2213,$B25)</f>
        <v>2</v>
      </c>
      <c r="D25" s="8" t="str">
        <f>IF(COUNTIFS('Kế hoạch chèn link (mới)'!$D$3:$D$2213,$B25,'Kế hoạch chèn link (mới)'!$I$3:$I$2213,"Đã chèn")&gt;=$C25,"Đã hoàn thành",IF(COUNTIFS('Kế hoạch chèn link (mới)'!$D$3:$D$2213,$B25,'Kế hoạch chèn link (mới)'!$I$3:$I$2213,"Đã chèn")&gt;0,"Đang làm","Chưa hoàn thành"))</f>
        <v>Chưa hoàn thành</v>
      </c>
      <c r="E25" s="8" t="b">
        <f t="shared" si="2"/>
        <v>0</v>
      </c>
      <c r="F25" s="25"/>
      <c r="G25" s="25" t="str">
        <f>IFERROR(__xludf.DUMMYFUNCTION("IFERROR(INDEX(FILTER('Kế hoạch chèn link (mới)'!$C$3:$C$2213,'Kế hoạch chèn link (mới)'!$D$3:$D$2213=$B25),1),"""")"),"mở tài khoản ngân hàng online")</f>
        <v>mở tài khoản ngân hàng online</v>
      </c>
      <c r="H25" s="25" t="str">
        <f>IFERROR(__xludf.DUMMYFUNCTION("IFERROR(INDEX(FILTER('Kế hoạch chèn link (mới)'!$B$3:$B$2213,'Kế hoạch chèn link (mới)'!$D$3:$D$2213=$B25),1),"""")"),"https://techcombank.com/thong-tin/blog/cach-mo-tai-khoan")</f>
        <v>https://techcombank.com/thong-tin/blog/cach-mo-tai-khoan</v>
      </c>
      <c r="I25" s="25" t="str">
        <f>IFERROR(__xludf.DUMMYFUNCTION("IFERROR(INDEX(FILTER('Kế hoạch chèn link (mới)'!$C$3:$C$2213,'Kế hoạch chèn link (mới)'!$D$3:$D$2213=$B25),2),"""")"),"số tài khoản phát tài phát lộc")</f>
        <v>số tài khoản phát tài phát lộc</v>
      </c>
      <c r="J25" s="25" t="str">
        <f>IFERROR(__xludf.DUMMYFUNCTION("IFERROR(INDEX(FILTER('Kế hoạch chèn link (mới)'!$B$3:$B$2213,'Kế hoạch chèn link (mới)'!$D$3:$D$2213=$B25),2),"""")"),"https://techcombank.com/thong-tin/blog/day-so-phat-tai-phat-loc")</f>
        <v>https://techcombank.com/thong-tin/blog/day-so-phat-tai-phat-loc</v>
      </c>
      <c r="K25" s="25" t="str">
        <f>IFERROR(__xludf.DUMMYFUNCTION("IFERROR(INDEX(FILTER('Kế hoạch chèn link (mới)'!$C$3:$C$2213,'Kế hoạch chèn link (mới)'!$D$3:$D$2213=$B25),3),"""")"),"")</f>
        <v/>
      </c>
      <c r="L25" s="25" t="str">
        <f>IFERROR(__xludf.DUMMYFUNCTION("IFERROR(INDEX(FILTER('Kế hoạch chèn link (mới)'!$B$3:$B$2213,'Kế hoạch chèn link (mới)'!$D$3:$D$2213=$B25),3),"""")"),"")</f>
        <v/>
      </c>
      <c r="M25" s="25" t="str">
        <f>IFERROR(__xludf.DUMMYFUNCTION("IFERROR(INDEX(FILTER('Kế hoạch chèn link (mới)'!$C$3:$C$2213,'Kế hoạch chèn link (mới)'!$D$3:$D$2213=$B25),4),"""")"),"")</f>
        <v/>
      </c>
      <c r="N25" s="25" t="str">
        <f>IFERROR(__xludf.DUMMYFUNCTION("IFERROR(INDEX(FILTER('Kế hoạch chèn link (mới)'!$B$3:$B$2213,'Kế hoạch chèn link (mới)'!$D$3:$D$2213=$B25),4),"""")"),"")</f>
        <v/>
      </c>
      <c r="O25" s="25" t="str">
        <f>IFERROR(__xludf.DUMMYFUNCTION("IFERROR(INDEX(FILTER('Kế hoạch chèn link (mới)'!$C$3:$C$2213,'Kế hoạch chèn link (mới)'!$D$3:$D$2213=$B25),5),"""")"),"")</f>
        <v/>
      </c>
      <c r="P25" s="25" t="str">
        <f>IFERROR(__xludf.DUMMYFUNCTION("IFERROR(INDEX(FILTER('Kế hoạch chèn link (mới)'!$B$3:$B$2213,'Kế hoạch chèn link (mới)'!$D$3:$D$2213=$B25),5),"""")"),"")</f>
        <v/>
      </c>
    </row>
    <row r="26">
      <c r="A26" s="6">
        <f t="shared" si="1"/>
        <v>25</v>
      </c>
      <c r="B26" s="8" t="s">
        <v>1053</v>
      </c>
      <c r="C26" s="6">
        <f>COUNTIF('Kế hoạch chèn link (mới)'!$D$3:$D$2213,$B26)</f>
        <v>3</v>
      </c>
      <c r="D26" s="8" t="str">
        <f>IF(COUNTIFS('Kế hoạch chèn link (mới)'!$D$3:$D$2213,$B26,'Kế hoạch chèn link (mới)'!$I$3:$I$2213,"Đã chèn")&gt;=$C26,"Đã hoàn thành",IF(COUNTIFS('Kế hoạch chèn link (mới)'!$D$3:$D$2213,$B26,'Kế hoạch chèn link (mới)'!$I$3:$I$2213,"Đã chèn")&gt;0,"Đang làm","Chưa hoàn thành"))</f>
        <v>Chưa hoàn thành</v>
      </c>
      <c r="E26" s="8" t="b">
        <f t="shared" si="2"/>
        <v>0</v>
      </c>
      <c r="F26" s="25"/>
      <c r="G26" s="25" t="str">
        <f>IFERROR(__xludf.DUMMYFUNCTION("IFERROR(INDEX(FILTER('Kế hoạch chèn link (mới)'!$C$3:$C$2213,'Kế hoạch chèn link (mới)'!$D$3:$D$2213=$B26),1),"""")"),"tra số tài khoản ngân hàng")</f>
        <v>tra số tài khoản ngân hàng</v>
      </c>
      <c r="H26" s="25" t="str">
        <f>IFERROR(__xludf.DUMMYFUNCTION("IFERROR(INDEX(FILTER('Kế hoạch chèn link (mới)'!$B$3:$B$2213,'Kế hoạch chèn link (mới)'!$D$3:$D$2213=$B26),1),"""")"),"https://techcombank.com/thong-tin/blog/cach-kiem-tra-tai-khoan-ngan-hang")</f>
        <v>https://techcombank.com/thong-tin/blog/cach-kiem-tra-tai-khoan-ngan-hang</v>
      </c>
      <c r="I26" s="25" t="str">
        <f>IFERROR(__xludf.DUMMYFUNCTION("IFERROR(INDEX(FILTER('Kế hoạch chèn link (mới)'!$C$3:$C$2213,'Kế hoạch chèn link (mới)'!$D$3:$D$2213=$B26),2),"""")"),"mở tài khoản ngân hàng cho học sinh")</f>
        <v>mở tài khoản ngân hàng cho học sinh</v>
      </c>
      <c r="J26" s="25" t="str">
        <f>IFERROR(__xludf.DUMMYFUNCTION("IFERROR(INDEX(FILTER('Kế hoạch chèn link (mới)'!$B$3:$B$2213,'Kế hoạch chèn link (mới)'!$D$3:$D$2213=$B26),2),"""")"),"https://techcombank.com/thong-tin/blog/mo-tai-khoan-ngan-hang-duoi-18-tuoi")</f>
        <v>https://techcombank.com/thong-tin/blog/mo-tai-khoan-ngan-hang-duoi-18-tuoi</v>
      </c>
      <c r="K26" s="25" t="str">
        <f>IFERROR(__xludf.DUMMYFUNCTION("IFERROR(INDEX(FILTER('Kế hoạch chèn link (mới)'!$C$3:$C$2213,'Kế hoạch chèn link (mới)'!$D$3:$D$2213=$B26),3),"""")"),"dãy số phát tài phát lộc")</f>
        <v>dãy số phát tài phát lộc</v>
      </c>
      <c r="L26" s="25" t="str">
        <f>IFERROR(__xludf.DUMMYFUNCTION("IFERROR(INDEX(FILTER('Kế hoạch chèn link (mới)'!$B$3:$B$2213,'Kế hoạch chèn link (mới)'!$D$3:$D$2213=$B26),3),"""")"),"https://techcombank.com/thong-tin/blog/day-so-phat-tai-phat-loc")</f>
        <v>https://techcombank.com/thong-tin/blog/day-so-phat-tai-phat-loc</v>
      </c>
      <c r="M26" s="25" t="str">
        <f>IFERROR(__xludf.DUMMYFUNCTION("IFERROR(INDEX(FILTER('Kế hoạch chèn link (mới)'!$C$3:$C$2213,'Kế hoạch chèn link (mới)'!$D$3:$D$2213=$B26),4),"""")"),"")</f>
        <v/>
      </c>
      <c r="N26" s="25" t="str">
        <f>IFERROR(__xludf.DUMMYFUNCTION("IFERROR(INDEX(FILTER('Kế hoạch chèn link (mới)'!$B$3:$B$2213,'Kế hoạch chèn link (mới)'!$D$3:$D$2213=$B26),4),"""")"),"")</f>
        <v/>
      </c>
      <c r="O26" s="25" t="str">
        <f>IFERROR(__xludf.DUMMYFUNCTION("IFERROR(INDEX(FILTER('Kế hoạch chèn link (mới)'!$C$3:$C$2213,'Kế hoạch chèn link (mới)'!$D$3:$D$2213=$B26),5),"""")"),"")</f>
        <v/>
      </c>
      <c r="P26" s="25" t="str">
        <f>IFERROR(__xludf.DUMMYFUNCTION("IFERROR(INDEX(FILTER('Kế hoạch chèn link (mới)'!$B$3:$B$2213,'Kế hoạch chèn link (mới)'!$D$3:$D$2213=$B26),5),"""")"),"")</f>
        <v/>
      </c>
    </row>
    <row r="27">
      <c r="A27" s="6">
        <f t="shared" si="1"/>
        <v>26</v>
      </c>
      <c r="B27" s="8" t="s">
        <v>1084</v>
      </c>
      <c r="C27" s="6">
        <f>COUNTIF('Kế hoạch chèn link (mới)'!$D$3:$D$2213,$B27)</f>
        <v>2</v>
      </c>
      <c r="D27" s="8" t="str">
        <f>IF(COUNTIFS('Kế hoạch chèn link (mới)'!$D$3:$D$2213,$B27,'Kế hoạch chèn link (mới)'!$I$3:$I$2213,"Đã chèn")&gt;=$C27,"Đã hoàn thành",IF(COUNTIFS('Kế hoạch chèn link (mới)'!$D$3:$D$2213,$B27,'Kế hoạch chèn link (mới)'!$I$3:$I$2213,"Đã chèn")&gt;0,"Đang làm","Chưa hoàn thành"))</f>
        <v>Chưa hoàn thành</v>
      </c>
      <c r="E27" s="8" t="b">
        <f t="shared" si="2"/>
        <v>0</v>
      </c>
      <c r="F27" s="25"/>
      <c r="G27" s="25" t="str">
        <f>IFERROR(__xludf.DUMMYFUNCTION("IFERROR(INDEX(FILTER('Kế hoạch chèn link (mới)'!$C$3:$C$2213,'Kế hoạch chèn link (mới)'!$D$3:$D$2213=$B27),1),"""")"),"tra số tài khoản ngân hàng")</f>
        <v>tra số tài khoản ngân hàng</v>
      </c>
      <c r="H27" s="25" t="str">
        <f>IFERROR(__xludf.DUMMYFUNCTION("IFERROR(INDEX(FILTER('Kế hoạch chèn link (mới)'!$B$3:$B$2213,'Kế hoạch chèn link (mới)'!$D$3:$D$2213=$B27),1),"""")"),"https://techcombank.com/thong-tin/blog/cach-kiem-tra-tai-khoan-ngan-hang")</f>
        <v>https://techcombank.com/thong-tin/blog/cach-kiem-tra-tai-khoan-ngan-hang</v>
      </c>
      <c r="I27" s="25" t="str">
        <f>IFERROR(__xludf.DUMMYFUNCTION("IFERROR(INDEX(FILTER('Kế hoạch chèn link (mới)'!$C$3:$C$2213,'Kế hoạch chèn link (mới)'!$D$3:$D$2213=$B27),2),"""")"),"dãy số phát tài phát lộc")</f>
        <v>dãy số phát tài phát lộc</v>
      </c>
      <c r="J27" s="25" t="str">
        <f>IFERROR(__xludf.DUMMYFUNCTION("IFERROR(INDEX(FILTER('Kế hoạch chèn link (mới)'!$B$3:$B$2213,'Kế hoạch chèn link (mới)'!$D$3:$D$2213=$B27),2),"""")"),"https://techcombank.com/thong-tin/blog/day-so-phat-tai-phat-loc")</f>
        <v>https://techcombank.com/thong-tin/blog/day-so-phat-tai-phat-loc</v>
      </c>
      <c r="K27" s="25" t="str">
        <f>IFERROR(__xludf.DUMMYFUNCTION("IFERROR(INDEX(FILTER('Kế hoạch chèn link (mới)'!$C$3:$C$2213,'Kế hoạch chèn link (mới)'!$D$3:$D$2213=$B27),3),"""")"),"")</f>
        <v/>
      </c>
      <c r="L27" s="25" t="str">
        <f>IFERROR(__xludf.DUMMYFUNCTION("IFERROR(INDEX(FILTER('Kế hoạch chèn link (mới)'!$B$3:$B$2213,'Kế hoạch chèn link (mới)'!$D$3:$D$2213=$B27),3),"""")"),"")</f>
        <v/>
      </c>
      <c r="M27" s="25" t="str">
        <f>IFERROR(__xludf.DUMMYFUNCTION("IFERROR(INDEX(FILTER('Kế hoạch chèn link (mới)'!$C$3:$C$2213,'Kế hoạch chèn link (mới)'!$D$3:$D$2213=$B27),4),"""")"),"")</f>
        <v/>
      </c>
      <c r="N27" s="25" t="str">
        <f>IFERROR(__xludf.DUMMYFUNCTION("IFERROR(INDEX(FILTER('Kế hoạch chèn link (mới)'!$B$3:$B$2213,'Kế hoạch chèn link (mới)'!$D$3:$D$2213=$B27),4),"""")"),"")</f>
        <v/>
      </c>
      <c r="O27" s="25" t="str">
        <f>IFERROR(__xludf.DUMMYFUNCTION("IFERROR(INDEX(FILTER('Kế hoạch chèn link (mới)'!$C$3:$C$2213,'Kế hoạch chèn link (mới)'!$D$3:$D$2213=$B27),5),"""")"),"")</f>
        <v/>
      </c>
      <c r="P27" s="25" t="str">
        <f>IFERROR(__xludf.DUMMYFUNCTION("IFERROR(INDEX(FILTER('Kế hoạch chèn link (mới)'!$B$3:$B$2213,'Kế hoạch chèn link (mới)'!$D$3:$D$2213=$B27),5),"""")"),"")</f>
        <v/>
      </c>
    </row>
    <row r="28">
      <c r="A28" s="6">
        <f t="shared" si="1"/>
        <v>27</v>
      </c>
      <c r="B28" s="8" t="s">
        <v>1102</v>
      </c>
      <c r="C28" s="6">
        <f>COUNTIF('Kế hoạch chèn link (mới)'!$D$3:$D$2213,$B28)</f>
        <v>3</v>
      </c>
      <c r="D28" s="8" t="str">
        <f>IF(COUNTIFS('Kế hoạch chèn link (mới)'!$D$3:$D$2213,$B28,'Kế hoạch chèn link (mới)'!$I$3:$I$2213,"Đã chèn")&gt;=$C28,"Đã hoàn thành",IF(COUNTIFS('Kế hoạch chèn link (mới)'!$D$3:$D$2213,$B28,'Kế hoạch chèn link (mới)'!$I$3:$I$2213,"Đã chèn")&gt;0,"Đang làm","Chưa hoàn thành"))</f>
        <v>Chưa hoàn thành</v>
      </c>
      <c r="E28" s="8" t="b">
        <f t="shared" si="2"/>
        <v>0</v>
      </c>
      <c r="F28" s="25"/>
      <c r="G28" s="25" t="str">
        <f>IFERROR(__xludf.DUMMYFUNCTION("IFERROR(INDEX(FILTER('Kế hoạch chèn link (mới)'!$C$3:$C$2213,'Kế hoạch chèn link (mới)'!$D$3:$D$2213=$B28),1),"""")"),"cách tính lãi suất vay ngân hàng")</f>
        <v>cách tính lãi suất vay ngân hàng</v>
      </c>
      <c r="H28" s="25" t="str">
        <f>IFERROR(__xludf.DUMMYFUNCTION("IFERROR(INDEX(FILTER('Kế hoạch chèn link (mới)'!$B$3:$B$2213,'Kế hoạch chèn link (mới)'!$D$3:$D$2213=$B28),1),"""")"),"https://techcombank.com/thong-tin/blog/cach-tinh-lai-vay-ngan-hang")</f>
        <v>https://techcombank.com/thong-tin/blog/cach-tinh-lai-vay-ngan-hang</v>
      </c>
      <c r="I28" s="25" t="str">
        <f>IFERROR(__xludf.DUMMYFUNCTION("IFERROR(INDEX(FILTER('Kế hoạch chèn link (mới)'!$C$3:$C$2213,'Kế hoạch chèn link (mới)'!$D$3:$D$2213=$B28),2),"""")"),"tính lãi suất vay ngân hàng")</f>
        <v>tính lãi suất vay ngân hàng</v>
      </c>
      <c r="J28" s="25" t="str">
        <f>IFERROR(__xludf.DUMMYFUNCTION("IFERROR(INDEX(FILTER('Kế hoạch chèn link (mới)'!$B$3:$B$2213,'Kế hoạch chèn link (mới)'!$D$3:$D$2213=$B28),2),"""")"),"https://techcombank.com/cong-cu-tien-ich/cong-cu-tinh-toan/bang-tinh-lai-suat-vay")</f>
        <v>https://techcombank.com/cong-cu-tien-ich/cong-cu-tinh-toan/bang-tinh-lai-suat-vay</v>
      </c>
      <c r="K28" s="25" t="str">
        <f>IFERROR(__xludf.DUMMYFUNCTION("IFERROR(INDEX(FILTER('Kế hoạch chèn link (mới)'!$C$3:$C$2213,'Kế hoạch chèn link (mới)'!$D$3:$D$2213=$B28),3),"""")"),"lãi suất vay ngân hàng")</f>
        <v>lãi suất vay ngân hàng</v>
      </c>
      <c r="L28" s="25" t="str">
        <f>IFERROR(__xludf.DUMMYFUNCTION("IFERROR(INDEX(FILTER('Kế hoạch chèn link (mới)'!$B$3:$B$2213,'Kế hoạch chèn link (mới)'!$D$3:$D$2213=$B28),3),"""")"),"https://techcombank.com/thong-tin/blog/lai-suat-vay-ngan-hang")</f>
        <v>https://techcombank.com/thong-tin/blog/lai-suat-vay-ngan-hang</v>
      </c>
      <c r="M28" s="25" t="str">
        <f>IFERROR(__xludf.DUMMYFUNCTION("IFERROR(INDEX(FILTER('Kế hoạch chèn link (mới)'!$C$3:$C$2213,'Kế hoạch chèn link (mới)'!$D$3:$D$2213=$B28),4),"""")"),"")</f>
        <v/>
      </c>
      <c r="N28" s="25" t="str">
        <f>IFERROR(__xludf.DUMMYFUNCTION("IFERROR(INDEX(FILTER('Kế hoạch chèn link (mới)'!$B$3:$B$2213,'Kế hoạch chèn link (mới)'!$D$3:$D$2213=$B28),4),"""")"),"")</f>
        <v/>
      </c>
      <c r="O28" s="25" t="str">
        <f>IFERROR(__xludf.DUMMYFUNCTION("IFERROR(INDEX(FILTER('Kế hoạch chèn link (mới)'!$C$3:$C$2213,'Kế hoạch chèn link (mới)'!$D$3:$D$2213=$B28),5),"""")"),"")</f>
        <v/>
      </c>
      <c r="P28" s="25" t="str">
        <f>IFERROR(__xludf.DUMMYFUNCTION("IFERROR(INDEX(FILTER('Kế hoạch chèn link (mới)'!$B$3:$B$2213,'Kế hoạch chèn link (mới)'!$D$3:$D$2213=$B28),5),"""")"),"")</f>
        <v/>
      </c>
    </row>
    <row r="29">
      <c r="A29" s="6">
        <f t="shared" si="1"/>
        <v>28</v>
      </c>
      <c r="B29" s="8" t="s">
        <v>1121</v>
      </c>
      <c r="C29" s="6">
        <f>COUNTIF('Kế hoạch chèn link (mới)'!$D$3:$D$2213,$B29)</f>
        <v>1</v>
      </c>
      <c r="D29" s="8" t="str">
        <f>IF(COUNTIFS('Kế hoạch chèn link (mới)'!$D$3:$D$2213,$B29,'Kế hoạch chèn link (mới)'!$I$3:$I$2213,"Đã chèn")&gt;=$C29,"Đã hoàn thành",IF(COUNTIFS('Kế hoạch chèn link (mới)'!$D$3:$D$2213,$B29,'Kế hoạch chèn link (mới)'!$I$3:$I$2213,"Đã chèn")&gt;0,"Đang làm","Chưa hoàn thành"))</f>
        <v>Chưa hoàn thành</v>
      </c>
      <c r="E29" s="8" t="b">
        <f t="shared" si="2"/>
        <v>0</v>
      </c>
      <c r="F29" s="25"/>
      <c r="G29" s="25" t="str">
        <f>IFERROR(__xludf.DUMMYFUNCTION("IFERROR(INDEX(FILTER('Kế hoạch chèn link (mới)'!$C$3:$C$2213,'Kế hoạch chèn link (mới)'!$D$3:$D$2213=$B29),1),"""")"),"lãi suất ngân hàng nào cao nhất")</f>
        <v>lãi suất ngân hàng nào cao nhất</v>
      </c>
      <c r="H29" s="25" t="str">
        <f>IFERROR(__xludf.DUMMYFUNCTION("IFERROR(INDEX(FILTER('Kế hoạch chèn link (mới)'!$B$3:$B$2213,'Kế hoạch chèn link (mới)'!$D$3:$D$2213=$B29),1),"""")"),"https://techcombank.com/thong-tin/blog/lai-suat-tiet-kiem")</f>
        <v>https://techcombank.com/thong-tin/blog/lai-suat-tiet-kiem</v>
      </c>
      <c r="I29" s="25" t="str">
        <f>IFERROR(__xludf.DUMMYFUNCTION("IFERROR(INDEX(FILTER('Kế hoạch chèn link (mới)'!$C$3:$C$2213,'Kế hoạch chèn link (mới)'!$D$3:$D$2213=$B29),2),"""")"),"")</f>
        <v/>
      </c>
      <c r="J29" s="25" t="str">
        <f>IFERROR(__xludf.DUMMYFUNCTION("IFERROR(INDEX(FILTER('Kế hoạch chèn link (mới)'!$B$3:$B$2213,'Kế hoạch chèn link (mới)'!$D$3:$D$2213=$B29),2),"""")"),"")</f>
        <v/>
      </c>
      <c r="K29" s="25" t="str">
        <f>IFERROR(__xludf.DUMMYFUNCTION("IFERROR(INDEX(FILTER('Kế hoạch chèn link (mới)'!$C$3:$C$2213,'Kế hoạch chèn link (mới)'!$D$3:$D$2213=$B29),3),"""")"),"")</f>
        <v/>
      </c>
      <c r="L29" s="25" t="str">
        <f>IFERROR(__xludf.DUMMYFUNCTION("IFERROR(INDEX(FILTER('Kế hoạch chèn link (mới)'!$B$3:$B$2213,'Kế hoạch chèn link (mới)'!$D$3:$D$2213=$B29),3),"""")"),"")</f>
        <v/>
      </c>
      <c r="M29" s="25" t="str">
        <f>IFERROR(__xludf.DUMMYFUNCTION("IFERROR(INDEX(FILTER('Kế hoạch chèn link (mới)'!$C$3:$C$2213,'Kế hoạch chèn link (mới)'!$D$3:$D$2213=$B29),4),"""")"),"")</f>
        <v/>
      </c>
      <c r="N29" s="25" t="str">
        <f>IFERROR(__xludf.DUMMYFUNCTION("IFERROR(INDEX(FILTER('Kế hoạch chèn link (mới)'!$B$3:$B$2213,'Kế hoạch chèn link (mới)'!$D$3:$D$2213=$B29),4),"""")"),"")</f>
        <v/>
      </c>
      <c r="O29" s="25" t="str">
        <f>IFERROR(__xludf.DUMMYFUNCTION("IFERROR(INDEX(FILTER('Kế hoạch chèn link (mới)'!$C$3:$C$2213,'Kế hoạch chèn link (mới)'!$D$3:$D$2213=$B29),5),"""")"),"")</f>
        <v/>
      </c>
      <c r="P29" s="25" t="str">
        <f>IFERROR(__xludf.DUMMYFUNCTION("IFERROR(INDEX(FILTER('Kế hoạch chèn link (mới)'!$B$3:$B$2213,'Kế hoạch chèn link (mới)'!$D$3:$D$2213=$B29),5),"""")"),"")</f>
        <v/>
      </c>
    </row>
    <row r="30">
      <c r="A30" s="6">
        <f t="shared" si="1"/>
        <v>29</v>
      </c>
      <c r="B30" s="8" t="s">
        <v>1143</v>
      </c>
      <c r="C30" s="6">
        <f>COUNTIF('Kế hoạch chèn link (mới)'!$D$3:$D$2213,$B30)</f>
        <v>1</v>
      </c>
      <c r="D30" s="8" t="str">
        <f>IF(COUNTIFS('Kế hoạch chèn link (mới)'!$D$3:$D$2213,$B30,'Kế hoạch chèn link (mới)'!$I$3:$I$2213,"Đã chèn")&gt;=$C30,"Đã hoàn thành",IF(COUNTIFS('Kế hoạch chèn link (mới)'!$D$3:$D$2213,$B30,'Kế hoạch chèn link (mới)'!$I$3:$I$2213,"Đã chèn")&gt;0,"Đang làm","Chưa hoàn thành"))</f>
        <v>Chưa hoàn thành</v>
      </c>
      <c r="E30" s="8" t="b">
        <f t="shared" si="2"/>
        <v>0</v>
      </c>
      <c r="F30" s="25"/>
      <c r="G30" s="25" t="str">
        <f>IFERROR(__xludf.DUMMYFUNCTION("IFERROR(INDEX(FILTER('Kế hoạch chèn link (mới)'!$C$3:$C$2213,'Kế hoạch chèn link (mới)'!$D$3:$D$2213=$B30),1),"""")"),"Techcombank Everyday")</f>
        <v>Techcombank Everyday</v>
      </c>
      <c r="H30" s="25" t="str">
        <f>IFERROR(__xludf.DUMMYFUNCTION("IFERROR(INDEX(FILTER('Kế hoạch chèn link (mới)'!$B$3:$B$2213,'Kế hoạch chèn link (mới)'!$D$3:$D$2213=$B30),1),"""")"),"https://techcombank.com/khach-hang-ca-nhan/chi-tieu/the/the-tin-dung/techcombank-everyday")</f>
        <v>https://techcombank.com/khach-hang-ca-nhan/chi-tieu/the/the-tin-dung/techcombank-everyday</v>
      </c>
      <c r="I30" s="25" t="str">
        <f>IFERROR(__xludf.DUMMYFUNCTION("IFERROR(INDEX(FILTER('Kế hoạch chèn link (mới)'!$C$3:$C$2213,'Kế hoạch chèn link (mới)'!$D$3:$D$2213=$B30),2),"""")"),"")</f>
        <v/>
      </c>
      <c r="J30" s="25" t="str">
        <f>IFERROR(__xludf.DUMMYFUNCTION("IFERROR(INDEX(FILTER('Kế hoạch chèn link (mới)'!$B$3:$B$2213,'Kế hoạch chèn link (mới)'!$D$3:$D$2213=$B30),2),"""")"),"")</f>
        <v/>
      </c>
      <c r="K30" s="25" t="str">
        <f>IFERROR(__xludf.DUMMYFUNCTION("IFERROR(INDEX(FILTER('Kế hoạch chèn link (mới)'!$C$3:$C$2213,'Kế hoạch chèn link (mới)'!$D$3:$D$2213=$B30),3),"""")"),"")</f>
        <v/>
      </c>
      <c r="L30" s="25" t="str">
        <f>IFERROR(__xludf.DUMMYFUNCTION("IFERROR(INDEX(FILTER('Kế hoạch chèn link (mới)'!$B$3:$B$2213,'Kế hoạch chèn link (mới)'!$D$3:$D$2213=$B30),3),"""")"),"")</f>
        <v/>
      </c>
      <c r="M30" s="25" t="str">
        <f>IFERROR(__xludf.DUMMYFUNCTION("IFERROR(INDEX(FILTER('Kế hoạch chèn link (mới)'!$C$3:$C$2213,'Kế hoạch chèn link (mới)'!$D$3:$D$2213=$B30),4),"""")"),"")</f>
        <v/>
      </c>
      <c r="N30" s="25" t="str">
        <f>IFERROR(__xludf.DUMMYFUNCTION("IFERROR(INDEX(FILTER('Kế hoạch chèn link (mới)'!$B$3:$B$2213,'Kế hoạch chèn link (mới)'!$D$3:$D$2213=$B30),4),"""")"),"")</f>
        <v/>
      </c>
      <c r="O30" s="25" t="str">
        <f>IFERROR(__xludf.DUMMYFUNCTION("IFERROR(INDEX(FILTER('Kế hoạch chèn link (mới)'!$C$3:$C$2213,'Kế hoạch chèn link (mới)'!$D$3:$D$2213=$B30),5),"""")"),"")</f>
        <v/>
      </c>
      <c r="P30" s="25" t="str">
        <f>IFERROR(__xludf.DUMMYFUNCTION("IFERROR(INDEX(FILTER('Kế hoạch chèn link (mới)'!$B$3:$B$2213,'Kế hoạch chèn link (mới)'!$D$3:$D$2213=$B30),5),"""")"),"")</f>
        <v/>
      </c>
    </row>
    <row r="31">
      <c r="A31" s="6">
        <f t="shared" si="1"/>
        <v>30</v>
      </c>
      <c r="B31" s="8" t="s">
        <v>1159</v>
      </c>
      <c r="C31" s="6">
        <f>COUNTIF('Kế hoạch chèn link (mới)'!$D$3:$D$2213,$B31)</f>
        <v>2</v>
      </c>
      <c r="D31" s="8" t="str">
        <f>IF(COUNTIFS('Kế hoạch chèn link (mới)'!$D$3:$D$2213,$B31,'Kế hoạch chèn link (mới)'!$I$3:$I$2213,"Đã chèn")&gt;=$C31,"Đã hoàn thành",IF(COUNTIFS('Kế hoạch chèn link (mới)'!$D$3:$D$2213,$B31,'Kế hoạch chèn link (mới)'!$I$3:$I$2213,"Đã chèn")&gt;0,"Đang làm","Chưa hoàn thành"))</f>
        <v>Chưa hoàn thành</v>
      </c>
      <c r="E31" s="8" t="b">
        <f t="shared" si="2"/>
        <v>0</v>
      </c>
      <c r="F31" s="25"/>
      <c r="G31" s="25" t="str">
        <f>IFERROR(__xludf.DUMMYFUNCTION("IFERROR(INDEX(FILTER('Kế hoạch chèn link (mới)'!$C$3:$C$2213,'Kế hoạch chèn link (mới)'!$D$3:$D$2213=$B31),1),"""")"),"rút tiền thẻ tín dụng")</f>
        <v>rút tiền thẻ tín dụng</v>
      </c>
      <c r="H31" s="25" t="str">
        <f>IFERROR(__xludf.DUMMYFUNCTION("IFERROR(INDEX(FILTER('Kế hoạch chèn link (mới)'!$B$3:$B$2213,'Kế hoạch chèn link (mới)'!$D$3:$D$2213=$B31),1),"""")"),"https://techcombank.com/thong-tin/blog/rut-tien-mat-tu-the-tin-dung")</f>
        <v>https://techcombank.com/thong-tin/blog/rut-tien-mat-tu-the-tin-dung</v>
      </c>
      <c r="I31" s="25" t="str">
        <f>IFERROR(__xludf.DUMMYFUNCTION("IFERROR(INDEX(FILTER('Kế hoạch chèn link (mới)'!$C$3:$C$2213,'Kế hoạch chèn link (mới)'!$D$3:$D$2213=$B31),2),"""")"),"cách gửi mã QR ngân hàng")</f>
        <v>cách gửi mã QR ngân hàng</v>
      </c>
      <c r="J31" s="25" t="str">
        <f>IFERROR(__xludf.DUMMYFUNCTION("IFERROR(INDEX(FILTER('Kế hoạch chèn link (mới)'!$B$3:$B$2213,'Kế hoạch chèn link (mới)'!$D$3:$D$2213=$B31),2),"""")"),"https://techcombank.com/thong-tin/blog/gui-ma-qr-ngan-hang")</f>
        <v>https://techcombank.com/thong-tin/blog/gui-ma-qr-ngan-hang</v>
      </c>
      <c r="K31" s="25" t="str">
        <f>IFERROR(__xludf.DUMMYFUNCTION("IFERROR(INDEX(FILTER('Kế hoạch chèn link (mới)'!$C$3:$C$2213,'Kế hoạch chèn link (mới)'!$D$3:$D$2213=$B31),3),"""")"),"")</f>
        <v/>
      </c>
      <c r="L31" s="25" t="str">
        <f>IFERROR(__xludf.DUMMYFUNCTION("IFERROR(INDEX(FILTER('Kế hoạch chèn link (mới)'!$B$3:$B$2213,'Kế hoạch chèn link (mới)'!$D$3:$D$2213=$B31),3),"""")"),"")</f>
        <v/>
      </c>
      <c r="M31" s="25" t="str">
        <f>IFERROR(__xludf.DUMMYFUNCTION("IFERROR(INDEX(FILTER('Kế hoạch chèn link (mới)'!$C$3:$C$2213,'Kế hoạch chèn link (mới)'!$D$3:$D$2213=$B31),4),"""")"),"")</f>
        <v/>
      </c>
      <c r="N31" s="25" t="str">
        <f>IFERROR(__xludf.DUMMYFUNCTION("IFERROR(INDEX(FILTER('Kế hoạch chèn link (mới)'!$B$3:$B$2213,'Kế hoạch chèn link (mới)'!$D$3:$D$2213=$B31),4),"""")"),"")</f>
        <v/>
      </c>
      <c r="O31" s="25" t="str">
        <f>IFERROR(__xludf.DUMMYFUNCTION("IFERROR(INDEX(FILTER('Kế hoạch chèn link (mới)'!$C$3:$C$2213,'Kế hoạch chèn link (mới)'!$D$3:$D$2213=$B31),5),"""")"),"")</f>
        <v/>
      </c>
      <c r="P31" s="25" t="str">
        <f>IFERROR(__xludf.DUMMYFUNCTION("IFERROR(INDEX(FILTER('Kế hoạch chèn link (mới)'!$B$3:$B$2213,'Kế hoạch chèn link (mới)'!$D$3:$D$2213=$B31),5),"""")"),"")</f>
        <v/>
      </c>
    </row>
    <row r="32">
      <c r="A32" s="6">
        <f t="shared" si="1"/>
        <v>31</v>
      </c>
      <c r="B32" s="8" t="s">
        <v>1182</v>
      </c>
      <c r="C32" s="6">
        <f>COUNTIF('Kế hoạch chèn link (mới)'!$D$3:$D$2213,$B32)</f>
        <v>2</v>
      </c>
      <c r="D32" s="8" t="str">
        <f>IF(COUNTIFS('Kế hoạch chèn link (mới)'!$D$3:$D$2213,$B32,'Kế hoạch chèn link (mới)'!$I$3:$I$2213,"Đã chèn")&gt;=$C32,"Đã hoàn thành",IF(COUNTIFS('Kế hoạch chèn link (mới)'!$D$3:$D$2213,$B32,'Kế hoạch chèn link (mới)'!$I$3:$I$2213,"Đã chèn")&gt;0,"Đang làm","Chưa hoàn thành"))</f>
        <v>Chưa hoàn thành</v>
      </c>
      <c r="E32" s="8" t="b">
        <f t="shared" si="2"/>
        <v>0</v>
      </c>
      <c r="F32" s="25"/>
      <c r="G32" s="25" t="str">
        <f>IFERROR(__xludf.DUMMYFUNCTION("IFERROR(INDEX(FILTER('Kế hoạch chèn link (mới)'!$C$3:$C$2213,'Kế hoạch chèn link (mới)'!$D$3:$D$2213=$B32),1),"""")"),"cách nạp tiền viettel")</f>
        <v>cách nạp tiền viettel</v>
      </c>
      <c r="H32" s="25" t="str">
        <f>IFERROR(__xludf.DUMMYFUNCTION("IFERROR(INDEX(FILTER('Kế hoạch chèn link (mới)'!$B$3:$B$2213,'Kế hoạch chèn link (mới)'!$D$3:$D$2213=$B32),1),"""")"),"https://techcombank.com/thong-tin/blog/cach-nap-the-viettel")</f>
        <v>https://techcombank.com/thong-tin/blog/cach-nap-the-viettel</v>
      </c>
      <c r="I32" s="25" t="str">
        <f>IFERROR(__xludf.DUMMYFUNCTION("IFERROR(INDEX(FILTER('Kế hoạch chèn link (mới)'!$C$3:$C$2213,'Kế hoạch chèn link (mới)'!$D$3:$D$2213=$B32),2),"""")"),"giá điện sinh hoạt mới nhất")</f>
        <v>giá điện sinh hoạt mới nhất</v>
      </c>
      <c r="J32" s="25" t="str">
        <f>IFERROR(__xludf.DUMMYFUNCTION("IFERROR(INDEX(FILTER('Kế hoạch chèn link (mới)'!$B$3:$B$2213,'Kế hoạch chèn link (mới)'!$D$3:$D$2213=$B32),2),"""")"),"https://techcombank.com/thong-tin/blog/cach-tinh-tien-dien-sinh-hoat")</f>
        <v>https://techcombank.com/thong-tin/blog/cach-tinh-tien-dien-sinh-hoat</v>
      </c>
      <c r="K32" s="25" t="str">
        <f>IFERROR(__xludf.DUMMYFUNCTION("IFERROR(INDEX(FILTER('Kế hoạch chèn link (mới)'!$C$3:$C$2213,'Kế hoạch chèn link (mới)'!$D$3:$D$2213=$B32),3),"""")"),"")</f>
        <v/>
      </c>
      <c r="L32" s="25" t="str">
        <f>IFERROR(__xludf.DUMMYFUNCTION("IFERROR(INDEX(FILTER('Kế hoạch chèn link (mới)'!$B$3:$B$2213,'Kế hoạch chèn link (mới)'!$D$3:$D$2213=$B32),3),"""")"),"")</f>
        <v/>
      </c>
      <c r="M32" s="25" t="str">
        <f>IFERROR(__xludf.DUMMYFUNCTION("IFERROR(INDEX(FILTER('Kế hoạch chèn link (mới)'!$C$3:$C$2213,'Kế hoạch chèn link (mới)'!$D$3:$D$2213=$B32),4),"""")"),"")</f>
        <v/>
      </c>
      <c r="N32" s="25" t="str">
        <f>IFERROR(__xludf.DUMMYFUNCTION("IFERROR(INDEX(FILTER('Kế hoạch chèn link (mới)'!$B$3:$B$2213,'Kế hoạch chèn link (mới)'!$D$3:$D$2213=$B32),4),"""")"),"")</f>
        <v/>
      </c>
      <c r="O32" s="25" t="str">
        <f>IFERROR(__xludf.DUMMYFUNCTION("IFERROR(INDEX(FILTER('Kế hoạch chèn link (mới)'!$C$3:$C$2213,'Kế hoạch chèn link (mới)'!$D$3:$D$2213=$B32),5),"""")"),"")</f>
        <v/>
      </c>
      <c r="P32" s="25" t="str">
        <f>IFERROR(__xludf.DUMMYFUNCTION("IFERROR(INDEX(FILTER('Kế hoạch chèn link (mới)'!$B$3:$B$2213,'Kế hoạch chèn link (mới)'!$D$3:$D$2213=$B32),5),"""")"),"")</f>
        <v/>
      </c>
    </row>
    <row r="33">
      <c r="A33" s="6">
        <f t="shared" si="1"/>
        <v>32</v>
      </c>
      <c r="B33" s="8" t="s">
        <v>1212</v>
      </c>
      <c r="C33" s="6">
        <f>COUNTIF('Kế hoạch chèn link (mới)'!$D$3:$D$2213,$B33)</f>
        <v>5</v>
      </c>
      <c r="D33" s="8" t="str">
        <f>IF(COUNTIFS('Kế hoạch chèn link (mới)'!$D$3:$D$2213,$B33,'Kế hoạch chèn link (mới)'!$I$3:$I$2213,"Đã chèn")&gt;=$C33,"Đã hoàn thành",IF(COUNTIFS('Kế hoạch chèn link (mới)'!$D$3:$D$2213,$B33,'Kế hoạch chèn link (mới)'!$I$3:$I$2213,"Đã chèn")&gt;0,"Đang làm","Chưa hoàn thành"))</f>
        <v>Chưa hoàn thành</v>
      </c>
      <c r="E33" s="8" t="b">
        <f t="shared" si="2"/>
        <v>0</v>
      </c>
      <c r="F33" s="25"/>
      <c r="G33" s="25" t="str">
        <f>IFERROR(__xludf.DUMMYFUNCTION("IFERROR(INDEX(FILTER('Kế hoạch chèn link (mới)'!$C$3:$C$2213,'Kế hoạch chèn link (mới)'!$D$3:$D$2213=$B33),1),"""")"),"lãi suất tiền gửi ngân hàng")</f>
        <v>lãi suất tiền gửi ngân hàng</v>
      </c>
      <c r="H33" s="25" t="str">
        <f>IFERROR(__xludf.DUMMYFUNCTION("IFERROR(INDEX(FILTER('Kế hoạch chèn link (mới)'!$B$3:$B$2213,'Kế hoạch chèn link (mới)'!$D$3:$D$2213=$B33),1),"""")"),"https://techcombank.com/thong-tin/blog/lai-suat-tiet-kiem")</f>
        <v>https://techcombank.com/thong-tin/blog/lai-suat-tiet-kiem</v>
      </c>
      <c r="I33" s="25" t="str">
        <f>IFERROR(__xludf.DUMMYFUNCTION("IFERROR(INDEX(FILTER('Kế hoạch chèn link (mới)'!$C$3:$C$2213,'Kế hoạch chèn link (mới)'!$D$3:$D$2213=$B33),2),"""")"),"tính lãi suất tiết kiệm")</f>
        <v>tính lãi suất tiết kiệm</v>
      </c>
      <c r="J33" s="25" t="str">
        <f>IFERROR(__xludf.DUMMYFUNCTION("IFERROR(INDEX(FILTER('Kế hoạch chèn link (mới)'!$B$3:$B$2213,'Kế hoạch chèn link (mới)'!$D$3:$D$2213=$B33),2),"""")"),"https://techcombank.com/thong-tin/blog/cach-tinh-lai-suat-tien-gui-tiet-kiem")</f>
        <v>https://techcombank.com/thong-tin/blog/cach-tinh-lai-suat-tien-gui-tiet-kiem</v>
      </c>
      <c r="K33" s="25" t="str">
        <f>IFERROR(__xludf.DUMMYFUNCTION("IFERROR(INDEX(FILTER('Kế hoạch chèn link (mới)'!$C$3:$C$2213,'Kế hoạch chèn link (mới)'!$D$3:$D$2213=$B33),3),"""")"),"rút tiền tiết kiệm trước thời hạn")</f>
        <v>rút tiền tiết kiệm trước thời hạn</v>
      </c>
      <c r="L33" s="25" t="str">
        <f>IFERROR(__xludf.DUMMYFUNCTION("IFERROR(INDEX(FILTER('Kế hoạch chèn link (mới)'!$B$3:$B$2213,'Kế hoạch chèn link (mới)'!$D$3:$D$2213=$B33),3),"""")"),"https://techcombank.com/thong-tin/blog/rut-tien-tiet-kiem-truoc-thoi-han")</f>
        <v>https://techcombank.com/thong-tin/blog/rut-tien-tiet-kiem-truoc-thoi-han</v>
      </c>
      <c r="M33" s="25" t="str">
        <f>IFERROR(__xludf.DUMMYFUNCTION("IFERROR(INDEX(FILTER('Kế hoạch chèn link (mới)'!$C$3:$C$2213,'Kế hoạch chèn link (mới)'!$D$3:$D$2213=$B33),4),"""")"),"bảng tính lãi suất tiết kiệm")</f>
        <v>bảng tính lãi suất tiết kiệm</v>
      </c>
      <c r="N33" s="25" t="str">
        <f>IFERROR(__xludf.DUMMYFUNCTION("IFERROR(INDEX(FILTER('Kế hoạch chèn link (mới)'!$B$3:$B$2213,'Kế hoạch chèn link (mới)'!$D$3:$D$2213=$B33),4),"""")"),"https://techcombank.com/cong-cu-tien-ich/cong-cu-tinh-toan/bang-tinh-lai-suat-tiet-kiem")</f>
        <v>https://techcombank.com/cong-cu-tien-ich/cong-cu-tinh-toan/bang-tinh-lai-suat-tiet-kiem</v>
      </c>
      <c r="O33" s="25" t="str">
        <f>IFERROR(__xludf.DUMMYFUNCTION("IFERROR(INDEX(FILTER('Kế hoạch chèn link (mới)'!$C$3:$C$2213,'Kế hoạch chèn link (mới)'!$D$3:$D$2213=$B33),5),"""")"),"phương pháp đầu tư chứng chỉ quỹ")</f>
        <v>phương pháp đầu tư chứng chỉ quỹ</v>
      </c>
      <c r="P33" s="25" t="str">
        <f>IFERROR(__xludf.DUMMYFUNCTION("IFERROR(INDEX(FILTER('Kế hoạch chèn link (mới)'!$B$3:$B$2213,'Kế hoạch chèn link (mới)'!$D$3:$D$2213=$B33),5),"""")"),"https://techcombank.com/thong-tin/blog/phuong-phap-dau-tu-chung-chi-quy")</f>
        <v>https://techcombank.com/thong-tin/blog/phuong-phap-dau-tu-chung-chi-quy</v>
      </c>
    </row>
    <row r="34">
      <c r="A34" s="6">
        <f t="shared" si="1"/>
        <v>33</v>
      </c>
      <c r="B34" s="8" t="s">
        <v>1225</v>
      </c>
      <c r="C34" s="6">
        <f>COUNTIF('Kế hoạch chèn link (mới)'!$D$3:$D$2213,$B34)</f>
        <v>3</v>
      </c>
      <c r="D34" s="8" t="str">
        <f>IF(COUNTIFS('Kế hoạch chèn link (mới)'!$D$3:$D$2213,$B34,'Kế hoạch chèn link (mới)'!$I$3:$I$2213,"Đã chèn")&gt;=$C34,"Đã hoàn thành",IF(COUNTIFS('Kế hoạch chèn link (mới)'!$D$3:$D$2213,$B34,'Kế hoạch chèn link (mới)'!$I$3:$I$2213,"Đã chèn")&gt;0,"Đang làm","Chưa hoàn thành"))</f>
        <v>Chưa hoàn thành</v>
      </c>
      <c r="E34" s="8" t="b">
        <f t="shared" si="2"/>
        <v>0</v>
      </c>
      <c r="F34" s="25"/>
      <c r="G34" s="25" t="str">
        <f>IFERROR(__xludf.DUMMYFUNCTION("IFERROR(INDEX(FILTER('Kế hoạch chèn link (mới)'!$C$3:$C$2213,'Kế hoạch chèn link (mới)'!$D$3:$D$2213=$B34),1),"""")"),"giá điện sinh hoạt mới nhất")</f>
        <v>giá điện sinh hoạt mới nhất</v>
      </c>
      <c r="H34" s="25" t="str">
        <f>IFERROR(__xludf.DUMMYFUNCTION("IFERROR(INDEX(FILTER('Kế hoạch chèn link (mới)'!$B$3:$B$2213,'Kế hoạch chèn link (mới)'!$D$3:$D$2213=$B34),1),"""")"),"https://techcombank.com/thong-tin/blog/cach-tinh-tien-dien-sinh-hoat")</f>
        <v>https://techcombank.com/thong-tin/blog/cach-tinh-tien-dien-sinh-hoat</v>
      </c>
      <c r="I34" s="25" t="str">
        <f>IFERROR(__xludf.DUMMYFUNCTION("IFERROR(INDEX(FILTER('Kế hoạch chèn link (mới)'!$C$3:$C$2213,'Kế hoạch chèn link (mới)'!$D$3:$D$2213=$B34),2),"""")"),"cic là gì")</f>
        <v>cic là gì</v>
      </c>
      <c r="J34" s="25" t="str">
        <f>IFERROR(__xludf.DUMMYFUNCTION("IFERROR(INDEX(FILTER('Kế hoạch chèn link (mới)'!$B$3:$B$2213,'Kế hoạch chèn link (mới)'!$D$3:$D$2213=$B34),2),"""")"),"https://techcombank.com/thong-tin/blog/cic-la-gi")</f>
        <v>https://techcombank.com/thong-tin/blog/cic-la-gi</v>
      </c>
      <c r="K34" s="25" t="str">
        <f>IFERROR(__xludf.DUMMYFUNCTION("IFERROR(INDEX(FILTER('Kế hoạch chèn link (mới)'!$C$3:$C$2213,'Kế hoạch chèn link (mới)'!$D$3:$D$2213=$B34),3),"""")"),"vay")</f>
        <v>vay</v>
      </c>
      <c r="L34" s="25" t="str">
        <f>IFERROR(__xludf.DUMMYFUNCTION("IFERROR(INDEX(FILTER('Kế hoạch chèn link (mới)'!$B$3:$B$2213,'Kế hoạch chèn link (mới)'!$D$3:$D$2213=$B34),3),"""")"),"https://techcombank.com/thong-tin/blog/app-vay-tien-nhanh")</f>
        <v>https://techcombank.com/thong-tin/blog/app-vay-tien-nhanh</v>
      </c>
      <c r="M34" s="25" t="str">
        <f>IFERROR(__xludf.DUMMYFUNCTION("IFERROR(INDEX(FILTER('Kế hoạch chèn link (mới)'!$C$3:$C$2213,'Kế hoạch chèn link (mới)'!$D$3:$D$2213=$B34),4),"""")"),"")</f>
        <v/>
      </c>
      <c r="N34" s="25" t="str">
        <f>IFERROR(__xludf.DUMMYFUNCTION("IFERROR(INDEX(FILTER('Kế hoạch chèn link (mới)'!$B$3:$B$2213,'Kế hoạch chèn link (mới)'!$D$3:$D$2213=$B34),4),"""")"),"")</f>
        <v/>
      </c>
      <c r="O34" s="25" t="str">
        <f>IFERROR(__xludf.DUMMYFUNCTION("IFERROR(INDEX(FILTER('Kế hoạch chèn link (mới)'!$C$3:$C$2213,'Kế hoạch chèn link (mới)'!$D$3:$D$2213=$B34),5),"""")"),"")</f>
        <v/>
      </c>
      <c r="P34" s="25" t="str">
        <f>IFERROR(__xludf.DUMMYFUNCTION("IFERROR(INDEX(FILTER('Kế hoạch chèn link (mới)'!$B$3:$B$2213,'Kế hoạch chèn link (mới)'!$D$3:$D$2213=$B34),5),"""")"),"")</f>
        <v/>
      </c>
    </row>
    <row r="35">
      <c r="A35" s="6">
        <f t="shared" si="1"/>
        <v>34</v>
      </c>
      <c r="B35" s="8" t="s">
        <v>1242</v>
      </c>
      <c r="C35" s="6">
        <f>COUNTIF('Kế hoạch chèn link (mới)'!$D$3:$D$2213,$B35)</f>
        <v>4</v>
      </c>
      <c r="D35" s="8" t="str">
        <f>IF(COUNTIFS('Kế hoạch chèn link (mới)'!$D$3:$D$2213,$B35,'Kế hoạch chèn link (mới)'!$I$3:$I$2213,"Đã chèn")&gt;=$C35,"Đã hoàn thành",IF(COUNTIFS('Kế hoạch chèn link (mới)'!$D$3:$D$2213,$B35,'Kế hoạch chèn link (mới)'!$I$3:$I$2213,"Đã chèn")&gt;0,"Đang làm","Chưa hoàn thành"))</f>
        <v>Chưa hoàn thành</v>
      </c>
      <c r="E35" s="8" t="b">
        <f t="shared" si="2"/>
        <v>0</v>
      </c>
      <c r="F35" s="25"/>
      <c r="G35" s="25" t="str">
        <f>IFERROR(__xludf.DUMMYFUNCTION("IFERROR(INDEX(FILTER('Kế hoạch chèn link (mới)'!$C$3:$C$2213,'Kế hoạch chèn link (mới)'!$D$3:$D$2213=$B35),1),"""")"),"giá điện sinh hoạt mới nhất")</f>
        <v>giá điện sinh hoạt mới nhất</v>
      </c>
      <c r="H35" s="25" t="str">
        <f>IFERROR(__xludf.DUMMYFUNCTION("IFERROR(INDEX(FILTER('Kế hoạch chèn link (mới)'!$B$3:$B$2213,'Kế hoạch chèn link (mới)'!$D$3:$D$2213=$B35),1),"""")"),"https://techcombank.com/thong-tin/blog/cach-tinh-tien-dien-sinh-hoat")</f>
        <v>https://techcombank.com/thong-tin/blog/cach-tinh-tien-dien-sinh-hoat</v>
      </c>
      <c r="I35" s="25" t="str">
        <f>IFERROR(__xludf.DUMMYFUNCTION("IFERROR(INDEX(FILTER('Kế hoạch chèn link (mới)'!$C$3:$C$2213,'Kế hoạch chèn link (mới)'!$D$3:$D$2213=$B35),2),"""")"),"ngân hàng uy tín")</f>
        <v>ngân hàng uy tín</v>
      </c>
      <c r="J35" s="25" t="str">
        <f>IFERROR(__xludf.DUMMYFUNCTION("IFERROR(INDEX(FILTER('Kế hoạch chèn link (mới)'!$B$3:$B$2213,'Kế hoạch chèn link (mới)'!$D$3:$D$2213=$B35),2),"""")"),"https://techcombank.com/thong-tin/blog/ngan-hang-uy-tin")</f>
        <v>https://techcombank.com/thong-tin/blog/ngan-hang-uy-tin</v>
      </c>
      <c r="K35" s="25" t="str">
        <f>IFERROR(__xludf.DUMMYFUNCTION("IFERROR(INDEX(FILTER('Kế hoạch chèn link (mới)'!$C$3:$C$2213,'Kế hoạch chèn link (mới)'!$D$3:$D$2213=$B35),3),"""")"),"chứng chỉ tiền gửi")</f>
        <v>chứng chỉ tiền gửi</v>
      </c>
      <c r="L35" s="25" t="str">
        <f>IFERROR(__xludf.DUMMYFUNCTION("IFERROR(INDEX(FILTER('Kế hoạch chèn link (mới)'!$B$3:$B$2213,'Kế hoạch chèn link (mới)'!$D$3:$D$2213=$B35),3),"""")"),"https://techcombank.com/thong-tin/blog/chung-chi-tien-gui-la-gi")</f>
        <v>https://techcombank.com/thong-tin/blog/chung-chi-tien-gui-la-gi</v>
      </c>
      <c r="M35" s="25" t="str">
        <f>IFERROR(__xludf.DUMMYFUNCTION("IFERROR(INDEX(FILTER('Kế hoạch chèn link (mới)'!$C$3:$C$2213,'Kế hoạch chèn link (mới)'!$D$3:$D$2213=$B35),4),"""")"),"lãi vay ngân hàng hiện nay")</f>
        <v>lãi vay ngân hàng hiện nay</v>
      </c>
      <c r="N35" s="25" t="str">
        <f>IFERROR(__xludf.DUMMYFUNCTION("IFERROR(INDEX(FILTER('Kế hoạch chèn link (mới)'!$B$3:$B$2213,'Kế hoạch chèn link (mới)'!$D$3:$D$2213=$B35),4),"""")"),"https://techcombank.com/thong-tin/blog/lai-suat-vay-ngan-hang")</f>
        <v>https://techcombank.com/thong-tin/blog/lai-suat-vay-ngan-hang</v>
      </c>
      <c r="O35" s="25" t="str">
        <f>IFERROR(__xludf.DUMMYFUNCTION("IFERROR(INDEX(FILTER('Kế hoạch chèn link (mới)'!$C$3:$C$2213,'Kế hoạch chèn link (mới)'!$D$3:$D$2213=$B35),5),"""")"),"")</f>
        <v/>
      </c>
      <c r="P35" s="25" t="str">
        <f>IFERROR(__xludf.DUMMYFUNCTION("IFERROR(INDEX(FILTER('Kế hoạch chèn link (mới)'!$B$3:$B$2213,'Kế hoạch chèn link (mới)'!$D$3:$D$2213=$B35),5),"""")"),"")</f>
        <v/>
      </c>
    </row>
    <row r="36">
      <c r="A36" s="6">
        <f t="shared" si="1"/>
        <v>35</v>
      </c>
      <c r="B36" s="8" t="s">
        <v>1256</v>
      </c>
      <c r="C36" s="6">
        <f>COUNTIF('Kế hoạch chèn link (mới)'!$D$3:$D$2213,$B36)</f>
        <v>1</v>
      </c>
      <c r="D36" s="8" t="str">
        <f>IF(COUNTIFS('Kế hoạch chèn link (mới)'!$D$3:$D$2213,$B36,'Kế hoạch chèn link (mới)'!$I$3:$I$2213,"Đã chèn")&gt;=$C36,"Đã hoàn thành",IF(COUNTIFS('Kế hoạch chèn link (mới)'!$D$3:$D$2213,$B36,'Kế hoạch chèn link (mới)'!$I$3:$I$2213,"Đã chèn")&gt;0,"Đang làm","Chưa hoàn thành"))</f>
        <v>Chưa hoàn thành</v>
      </c>
      <c r="E36" s="8" t="b">
        <f t="shared" si="2"/>
        <v>0</v>
      </c>
      <c r="F36" s="25"/>
      <c r="G36" s="25" t="str">
        <f>IFERROR(__xludf.DUMMYFUNCTION("IFERROR(INDEX(FILTER('Kế hoạch chèn link (mới)'!$C$3:$C$2213,'Kế hoạch chèn link (mới)'!$D$3:$D$2213=$B36),1),"""")"),"giá điện sinh hoạt mới nhất")</f>
        <v>giá điện sinh hoạt mới nhất</v>
      </c>
      <c r="H36" s="25" t="str">
        <f>IFERROR(__xludf.DUMMYFUNCTION("IFERROR(INDEX(FILTER('Kế hoạch chèn link (mới)'!$B$3:$B$2213,'Kế hoạch chèn link (mới)'!$D$3:$D$2213=$B36),1),"""")"),"https://techcombank.com/thong-tin/blog/cach-tinh-tien-dien-sinh-hoat")</f>
        <v>https://techcombank.com/thong-tin/blog/cach-tinh-tien-dien-sinh-hoat</v>
      </c>
      <c r="I36" s="25" t="str">
        <f>IFERROR(__xludf.DUMMYFUNCTION("IFERROR(INDEX(FILTER('Kế hoạch chèn link (mới)'!$C$3:$C$2213,'Kế hoạch chèn link (mới)'!$D$3:$D$2213=$B36),2),"""")"),"")</f>
        <v/>
      </c>
      <c r="J36" s="25" t="str">
        <f>IFERROR(__xludf.DUMMYFUNCTION("IFERROR(INDEX(FILTER('Kế hoạch chèn link (mới)'!$B$3:$B$2213,'Kế hoạch chèn link (mới)'!$D$3:$D$2213=$B36),2),"""")"),"")</f>
        <v/>
      </c>
      <c r="K36" s="25" t="str">
        <f>IFERROR(__xludf.DUMMYFUNCTION("IFERROR(INDEX(FILTER('Kế hoạch chèn link (mới)'!$C$3:$C$2213,'Kế hoạch chèn link (mới)'!$D$3:$D$2213=$B36),3),"""")"),"")</f>
        <v/>
      </c>
      <c r="L36" s="25" t="str">
        <f>IFERROR(__xludf.DUMMYFUNCTION("IFERROR(INDEX(FILTER('Kế hoạch chèn link (mới)'!$B$3:$B$2213,'Kế hoạch chèn link (mới)'!$D$3:$D$2213=$B36),3),"""")"),"")</f>
        <v/>
      </c>
      <c r="M36" s="25" t="str">
        <f>IFERROR(__xludf.DUMMYFUNCTION("IFERROR(INDEX(FILTER('Kế hoạch chèn link (mới)'!$C$3:$C$2213,'Kế hoạch chèn link (mới)'!$D$3:$D$2213=$B36),4),"""")"),"")</f>
        <v/>
      </c>
      <c r="N36" s="25" t="str">
        <f>IFERROR(__xludf.DUMMYFUNCTION("IFERROR(INDEX(FILTER('Kế hoạch chèn link (mới)'!$B$3:$B$2213,'Kế hoạch chèn link (mới)'!$D$3:$D$2213=$B36),4),"""")"),"")</f>
        <v/>
      </c>
      <c r="O36" s="25" t="str">
        <f>IFERROR(__xludf.DUMMYFUNCTION("IFERROR(INDEX(FILTER('Kế hoạch chèn link (mới)'!$C$3:$C$2213,'Kế hoạch chèn link (mới)'!$D$3:$D$2213=$B36),5),"""")"),"")</f>
        <v/>
      </c>
      <c r="P36" s="25" t="str">
        <f>IFERROR(__xludf.DUMMYFUNCTION("IFERROR(INDEX(FILTER('Kế hoạch chèn link (mới)'!$B$3:$B$2213,'Kế hoạch chèn link (mới)'!$D$3:$D$2213=$B36),5),"""")"),"")</f>
        <v/>
      </c>
    </row>
    <row r="37">
      <c r="A37" s="6">
        <f t="shared" si="1"/>
        <v>36</v>
      </c>
      <c r="B37" s="8" t="s">
        <v>1276</v>
      </c>
      <c r="C37" s="6">
        <f>COUNTIF('Kế hoạch chèn link (mới)'!$D$3:$D$2213,$B37)</f>
        <v>5</v>
      </c>
      <c r="D37" s="8" t="str">
        <f>IF(COUNTIFS('Kế hoạch chèn link (mới)'!$D$3:$D$2213,$B37,'Kế hoạch chèn link (mới)'!$I$3:$I$2213,"Đã chèn")&gt;=$C37,"Đã hoàn thành",IF(COUNTIFS('Kế hoạch chèn link (mới)'!$D$3:$D$2213,$B37,'Kế hoạch chèn link (mới)'!$I$3:$I$2213,"Đã chèn")&gt;0,"Đang làm","Chưa hoàn thành"))</f>
        <v>Chưa hoàn thành</v>
      </c>
      <c r="E37" s="8" t="b">
        <f t="shared" si="2"/>
        <v>0</v>
      </c>
      <c r="F37" s="25"/>
      <c r="G37" s="25" t="str">
        <f>IFERROR(__xludf.DUMMYFUNCTION("IFERROR(INDEX(FILTER('Kế hoạch chèn link (mới)'!$C$3:$C$2213,'Kế hoạch chèn link (mới)'!$D$3:$D$2213=$B37),1),"""")"),"chọn ngân hàng uy tín")</f>
        <v>chọn ngân hàng uy tín</v>
      </c>
      <c r="H37" s="25" t="str">
        <f>IFERROR(__xludf.DUMMYFUNCTION("IFERROR(INDEX(FILTER('Kế hoạch chèn link (mới)'!$B$3:$B$2213,'Kế hoạch chèn link (mới)'!$D$3:$D$2213=$B37),1),"""")"),"https://techcombank.com/thong-tin/blog/ngan-hang-uy-tin")</f>
        <v>https://techcombank.com/thong-tin/blog/ngan-hang-uy-tin</v>
      </c>
      <c r="I37" s="25" t="str">
        <f>IFERROR(__xludf.DUMMYFUNCTION("IFERROR(INDEX(FILTER('Kế hoạch chèn link (mới)'!$C$3:$C$2213,'Kế hoạch chèn link (mới)'!$D$3:$D$2213=$B37),2),"""")"),"rút tiền bằng mã QR")</f>
        <v>rút tiền bằng mã QR</v>
      </c>
      <c r="J37" s="25" t="str">
        <f>IFERROR(__xludf.DUMMYFUNCTION("IFERROR(INDEX(FILTER('Kế hoạch chèn link (mới)'!$B$3:$B$2213,'Kế hoạch chèn link (mới)'!$D$3:$D$2213=$B37),2),"""")"),"https://techcombank.com/thong-tin/blog/rut-tien-bang-ma-qr-la-gi-cach-thuc-hien-nhu-the-nao")</f>
        <v>https://techcombank.com/thong-tin/blog/rut-tien-bang-ma-qr-la-gi-cach-thuc-hien-nhu-the-nao</v>
      </c>
      <c r="K37" s="25" t="str">
        <f>IFERROR(__xludf.DUMMYFUNCTION("IFERROR(INDEX(FILTER('Kế hoạch chèn link (mới)'!$C$3:$C$2213,'Kế hoạch chèn link (mới)'!$D$3:$D$2213=$B37),3),"""")"),"thanh toán dư nợ thẻ tín dụng")</f>
        <v>thanh toán dư nợ thẻ tín dụng</v>
      </c>
      <c r="L37" s="25" t="str">
        <f>IFERROR(__xludf.DUMMYFUNCTION("IFERROR(INDEX(FILTER('Kế hoạch chèn link (mới)'!$B$3:$B$2213,'Kế hoạch chèn link (mới)'!$D$3:$D$2213=$B37),3),"""")"),"https://techcombank.com/thong-tin/blog/cach-thanh-toan-the-tin-dung")</f>
        <v>https://techcombank.com/thong-tin/blog/cach-thanh-toan-the-tin-dung</v>
      </c>
      <c r="M37" s="25" t="str">
        <f>IFERROR(__xludf.DUMMYFUNCTION("IFERROR(INDEX(FILTER('Kế hoạch chèn link (mới)'!$C$3:$C$2213,'Kế hoạch chèn link (mới)'!$D$3:$D$2213=$B37),4),"""")"),"chứng chỉ tiền gửi")</f>
        <v>chứng chỉ tiền gửi</v>
      </c>
      <c r="N37" s="25" t="str">
        <f>IFERROR(__xludf.DUMMYFUNCTION("IFERROR(INDEX(FILTER('Kế hoạch chèn link (mới)'!$B$3:$B$2213,'Kế hoạch chèn link (mới)'!$D$3:$D$2213=$B37),4),"""")"),"https://techcombank.com/thong-tin/blog/chung-chi-tien-gui-la-gi")</f>
        <v>https://techcombank.com/thong-tin/blog/chung-chi-tien-gui-la-gi</v>
      </c>
      <c r="O37" s="25" t="str">
        <f>IFERROR(__xludf.DUMMYFUNCTION("IFERROR(INDEX(FILTER('Kế hoạch chèn link (mới)'!$C$3:$C$2213,'Kế hoạch chèn link (mới)'!$D$3:$D$2213=$B37),5),"""")"),"app vay")</f>
        <v>app vay</v>
      </c>
      <c r="P37" s="25" t="str">
        <f>IFERROR(__xludf.DUMMYFUNCTION("IFERROR(INDEX(FILTER('Kế hoạch chèn link (mới)'!$B$3:$B$2213,'Kế hoạch chèn link (mới)'!$D$3:$D$2213=$B37),5),"""")"),"https://techcombank.com/thong-tin/blog/app-vay-tien-nhanh")</f>
        <v>https://techcombank.com/thong-tin/blog/app-vay-tien-nhanh</v>
      </c>
    </row>
    <row r="38">
      <c r="A38" s="6">
        <f t="shared" si="1"/>
        <v>37</v>
      </c>
      <c r="B38" s="8" t="s">
        <v>1288</v>
      </c>
      <c r="C38" s="6">
        <f>COUNTIF('Kế hoạch chèn link (mới)'!$D$3:$D$2213,$B38)</f>
        <v>2</v>
      </c>
      <c r="D38" s="8" t="str">
        <f>IF(COUNTIFS('Kế hoạch chèn link (mới)'!$D$3:$D$2213,$B38,'Kế hoạch chèn link (mới)'!$I$3:$I$2213,"Đã chèn")&gt;=$C38,"Đã hoàn thành",IF(COUNTIFS('Kế hoạch chèn link (mới)'!$D$3:$D$2213,$B38,'Kế hoạch chèn link (mới)'!$I$3:$I$2213,"Đã chèn")&gt;0,"Đang làm","Chưa hoàn thành"))</f>
        <v>Chưa hoàn thành</v>
      </c>
      <c r="E38" s="8" t="b">
        <f t="shared" si="2"/>
        <v>0</v>
      </c>
      <c r="F38" s="25"/>
      <c r="G38" s="25" t="str">
        <f>IFERROR(__xludf.DUMMYFUNCTION("IFERROR(INDEX(FILTER('Kế hoạch chèn link (mới)'!$C$3:$C$2213,'Kế hoạch chèn link (mới)'!$D$3:$D$2213=$B38),1),"""")"),"giá điện sinh hoạt mới nhất")</f>
        <v>giá điện sinh hoạt mới nhất</v>
      </c>
      <c r="H38" s="25" t="str">
        <f>IFERROR(__xludf.DUMMYFUNCTION("IFERROR(INDEX(FILTER('Kế hoạch chèn link (mới)'!$B$3:$B$2213,'Kế hoạch chèn link (mới)'!$D$3:$D$2213=$B38),1),"""")"),"https://techcombank.com/thong-tin/blog/cach-tinh-tien-dien-sinh-hoat")</f>
        <v>https://techcombank.com/thong-tin/blog/cach-tinh-tien-dien-sinh-hoat</v>
      </c>
      <c r="I38" s="25" t="str">
        <f>IFERROR(__xludf.DUMMYFUNCTION("IFERROR(INDEX(FILTER('Kế hoạch chèn link (mới)'!$C$3:$C$2213,'Kế hoạch chèn link (mới)'!$D$3:$D$2213=$B38),2),"""")"),"sao kê tài khoản ngân hàng")</f>
        <v>sao kê tài khoản ngân hàng</v>
      </c>
      <c r="J38" s="25" t="str">
        <f>IFERROR(__xludf.DUMMYFUNCTION("IFERROR(INDEX(FILTER('Kế hoạch chèn link (mới)'!$B$3:$B$2213,'Kế hoạch chèn link (mới)'!$D$3:$D$2213=$B38),2),"""")"),"https://techcombank.com/thong-tin/blog/cach-sao-ke-tai-khoan-ngan-hang")</f>
        <v>https://techcombank.com/thong-tin/blog/cach-sao-ke-tai-khoan-ngan-hang</v>
      </c>
      <c r="K38" s="25" t="str">
        <f>IFERROR(__xludf.DUMMYFUNCTION("IFERROR(INDEX(FILTER('Kế hoạch chèn link (mới)'!$C$3:$C$2213,'Kế hoạch chèn link (mới)'!$D$3:$D$2213=$B38),3),"""")"),"")</f>
        <v/>
      </c>
      <c r="L38" s="25" t="str">
        <f>IFERROR(__xludf.DUMMYFUNCTION("IFERROR(INDEX(FILTER('Kế hoạch chèn link (mới)'!$B$3:$B$2213,'Kế hoạch chèn link (mới)'!$D$3:$D$2213=$B38),3),"""")"),"")</f>
        <v/>
      </c>
      <c r="M38" s="25" t="str">
        <f>IFERROR(__xludf.DUMMYFUNCTION("IFERROR(INDEX(FILTER('Kế hoạch chèn link (mới)'!$C$3:$C$2213,'Kế hoạch chèn link (mới)'!$D$3:$D$2213=$B38),4),"""")"),"")</f>
        <v/>
      </c>
      <c r="N38" s="25" t="str">
        <f>IFERROR(__xludf.DUMMYFUNCTION("IFERROR(INDEX(FILTER('Kế hoạch chèn link (mới)'!$B$3:$B$2213,'Kế hoạch chèn link (mới)'!$D$3:$D$2213=$B38),4),"""")"),"")</f>
        <v/>
      </c>
      <c r="O38" s="25" t="str">
        <f>IFERROR(__xludf.DUMMYFUNCTION("IFERROR(INDEX(FILTER('Kế hoạch chèn link (mới)'!$C$3:$C$2213,'Kế hoạch chèn link (mới)'!$D$3:$D$2213=$B38),5),"""")"),"")</f>
        <v/>
      </c>
      <c r="P38" s="25" t="str">
        <f>IFERROR(__xludf.DUMMYFUNCTION("IFERROR(INDEX(FILTER('Kế hoạch chèn link (mới)'!$B$3:$B$2213,'Kế hoạch chèn link (mới)'!$D$3:$D$2213=$B38),5),"""")"),"")</f>
        <v/>
      </c>
    </row>
    <row r="39">
      <c r="A39" s="6">
        <f t="shared" si="1"/>
        <v>38</v>
      </c>
      <c r="B39" s="8" t="s">
        <v>1310</v>
      </c>
      <c r="C39" s="6">
        <f>COUNTIF('Kế hoạch chèn link (mới)'!$D$3:$D$2213,$B39)</f>
        <v>1</v>
      </c>
      <c r="D39" s="8" t="str">
        <f>IF(COUNTIFS('Kế hoạch chèn link (mới)'!$D$3:$D$2213,$B39,'Kế hoạch chèn link (mới)'!$I$3:$I$2213,"Đã chèn")&gt;=$C39,"Đã hoàn thành",IF(COUNTIFS('Kế hoạch chèn link (mới)'!$D$3:$D$2213,$B39,'Kế hoạch chèn link (mới)'!$I$3:$I$2213,"Đã chèn")&gt;0,"Đang làm","Chưa hoàn thành"))</f>
        <v>Chưa hoàn thành</v>
      </c>
      <c r="E39" s="8" t="b">
        <f t="shared" si="2"/>
        <v>0</v>
      </c>
      <c r="F39" s="25"/>
      <c r="G39" s="25" t="str">
        <f>IFERROR(__xludf.DUMMYFUNCTION("IFERROR(INDEX(FILTER('Kế hoạch chèn link (mới)'!$C$3:$C$2213,'Kế hoạch chèn link (mới)'!$D$3:$D$2213=$B39),1),"""")"),"cách đầu tư chứng chỉ quỹ")</f>
        <v>cách đầu tư chứng chỉ quỹ</v>
      </c>
      <c r="H39" s="25" t="str">
        <f>IFERROR(__xludf.DUMMYFUNCTION("IFERROR(INDEX(FILTER('Kế hoạch chèn link (mới)'!$B$3:$B$2213,'Kế hoạch chèn link (mới)'!$D$3:$D$2213=$B39),1),"""")"),"https://techcombank.com/thong-tin/blog/phuong-phap-dau-tu-chung-chi-quy")</f>
        <v>https://techcombank.com/thong-tin/blog/phuong-phap-dau-tu-chung-chi-quy</v>
      </c>
      <c r="I39" s="25" t="str">
        <f>IFERROR(__xludf.DUMMYFUNCTION("IFERROR(INDEX(FILTER('Kế hoạch chèn link (mới)'!$C$3:$C$2213,'Kế hoạch chèn link (mới)'!$D$3:$D$2213=$B39),2),"""")"),"")</f>
        <v/>
      </c>
      <c r="J39" s="25" t="str">
        <f>IFERROR(__xludf.DUMMYFUNCTION("IFERROR(INDEX(FILTER('Kế hoạch chèn link (mới)'!$B$3:$B$2213,'Kế hoạch chèn link (mới)'!$D$3:$D$2213=$B39),2),"""")"),"")</f>
        <v/>
      </c>
      <c r="K39" s="25" t="str">
        <f>IFERROR(__xludf.DUMMYFUNCTION("IFERROR(INDEX(FILTER('Kế hoạch chèn link (mới)'!$C$3:$C$2213,'Kế hoạch chèn link (mới)'!$D$3:$D$2213=$B39),3),"""")"),"")</f>
        <v/>
      </c>
      <c r="L39" s="25" t="str">
        <f>IFERROR(__xludf.DUMMYFUNCTION("IFERROR(INDEX(FILTER('Kế hoạch chèn link (mới)'!$B$3:$B$2213,'Kế hoạch chèn link (mới)'!$D$3:$D$2213=$B39),3),"""")"),"")</f>
        <v/>
      </c>
      <c r="M39" s="25" t="str">
        <f>IFERROR(__xludf.DUMMYFUNCTION("IFERROR(INDEX(FILTER('Kế hoạch chèn link (mới)'!$C$3:$C$2213,'Kế hoạch chèn link (mới)'!$D$3:$D$2213=$B39),4),"""")"),"")</f>
        <v/>
      </c>
      <c r="N39" s="25" t="str">
        <f>IFERROR(__xludf.DUMMYFUNCTION("IFERROR(INDEX(FILTER('Kế hoạch chèn link (mới)'!$B$3:$B$2213,'Kế hoạch chèn link (mới)'!$D$3:$D$2213=$B39),4),"""")"),"")</f>
        <v/>
      </c>
      <c r="O39" s="25" t="str">
        <f>IFERROR(__xludf.DUMMYFUNCTION("IFERROR(INDEX(FILTER('Kế hoạch chèn link (mới)'!$C$3:$C$2213,'Kế hoạch chèn link (mới)'!$D$3:$D$2213=$B39),5),"""")"),"")</f>
        <v/>
      </c>
      <c r="P39" s="25" t="str">
        <f>IFERROR(__xludf.DUMMYFUNCTION("IFERROR(INDEX(FILTER('Kế hoạch chèn link (mới)'!$B$3:$B$2213,'Kế hoạch chèn link (mới)'!$D$3:$D$2213=$B39),5),"""")"),"")</f>
        <v/>
      </c>
    </row>
    <row r="40">
      <c r="A40" s="6">
        <f t="shared" si="1"/>
        <v>39</v>
      </c>
      <c r="B40" s="8" t="s">
        <v>1328</v>
      </c>
      <c r="C40" s="6">
        <f>COUNTIF('Kế hoạch chèn link (mới)'!$D$3:$D$2213,$B40)</f>
        <v>2</v>
      </c>
      <c r="D40" s="8" t="str">
        <f>IF(COUNTIFS('Kế hoạch chèn link (mới)'!$D$3:$D$2213,$B40,'Kế hoạch chèn link (mới)'!$I$3:$I$2213,"Đã chèn")&gt;=$C40,"Đã hoàn thành",IF(COUNTIFS('Kế hoạch chèn link (mới)'!$D$3:$D$2213,$B40,'Kế hoạch chèn link (mới)'!$I$3:$I$2213,"Đã chèn")&gt;0,"Đang làm","Chưa hoàn thành"))</f>
        <v>Chưa hoàn thành</v>
      </c>
      <c r="E40" s="8" t="b">
        <f t="shared" si="2"/>
        <v>0</v>
      </c>
      <c r="F40" s="25"/>
      <c r="G40" s="25" t="str">
        <f>IFERROR(__xludf.DUMMYFUNCTION("IFERROR(INDEX(FILTER('Kế hoạch chèn link (mới)'!$C$3:$C$2213,'Kế hoạch chèn link (mới)'!$D$3:$D$2213=$B40),1),"""")"),"thuế thu nhập cá nhân")</f>
        <v>thuế thu nhập cá nhân</v>
      </c>
      <c r="H40" s="25" t="str">
        <f>IFERROR(__xludf.DUMMYFUNCTION("IFERROR(INDEX(FILTER('Kế hoạch chèn link (mới)'!$B$3:$B$2213,'Kế hoạch chèn link (mới)'!$D$3:$D$2213=$B40),1),"""")"),"https://techcombank.com/thong-tin/blog/cach-tinh-thue-thu-nhap-ca-nhan-2025")</f>
        <v>https://techcombank.com/thong-tin/blog/cach-tinh-thue-thu-nhap-ca-nhan-2025</v>
      </c>
      <c r="I40" s="25" t="str">
        <f>IFERROR(__xludf.DUMMYFUNCTION("IFERROR(INDEX(FILTER('Kế hoạch chèn link (mới)'!$C$3:$C$2213,'Kế hoạch chèn link (mới)'!$D$3:$D$2213=$B40),2),"""")"),"thuế TNCN")</f>
        <v>thuế TNCN</v>
      </c>
      <c r="J40" s="25" t="str">
        <f>IFERROR(__xludf.DUMMYFUNCTION("IFERROR(INDEX(FILTER('Kế hoạch chèn link (mới)'!$B$3:$B$2213,'Kế hoạch chèn link (mới)'!$D$3:$D$2213=$B40),2),"""")"),"https://techcombank.com/thong-tin/blog/thue-thu-nhap-ca-nhan")</f>
        <v>https://techcombank.com/thong-tin/blog/thue-thu-nhap-ca-nhan</v>
      </c>
      <c r="K40" s="25" t="str">
        <f>IFERROR(__xludf.DUMMYFUNCTION("IFERROR(INDEX(FILTER('Kế hoạch chèn link (mới)'!$C$3:$C$2213,'Kế hoạch chèn link (mới)'!$D$3:$D$2213=$B40),3),"""")"),"")</f>
        <v/>
      </c>
      <c r="L40" s="25" t="str">
        <f>IFERROR(__xludf.DUMMYFUNCTION("IFERROR(INDEX(FILTER('Kế hoạch chèn link (mới)'!$B$3:$B$2213,'Kế hoạch chèn link (mới)'!$D$3:$D$2213=$B40),3),"""")"),"")</f>
        <v/>
      </c>
      <c r="M40" s="25" t="str">
        <f>IFERROR(__xludf.DUMMYFUNCTION("IFERROR(INDEX(FILTER('Kế hoạch chèn link (mới)'!$C$3:$C$2213,'Kế hoạch chèn link (mới)'!$D$3:$D$2213=$B40),4),"""")"),"")</f>
        <v/>
      </c>
      <c r="N40" s="25" t="str">
        <f>IFERROR(__xludf.DUMMYFUNCTION("IFERROR(INDEX(FILTER('Kế hoạch chèn link (mới)'!$B$3:$B$2213,'Kế hoạch chèn link (mới)'!$D$3:$D$2213=$B40),4),"""")"),"")</f>
        <v/>
      </c>
      <c r="O40" s="25" t="str">
        <f>IFERROR(__xludf.DUMMYFUNCTION("IFERROR(INDEX(FILTER('Kế hoạch chèn link (mới)'!$C$3:$C$2213,'Kế hoạch chèn link (mới)'!$D$3:$D$2213=$B40),5),"""")"),"")</f>
        <v/>
      </c>
      <c r="P40" s="25" t="str">
        <f>IFERROR(__xludf.DUMMYFUNCTION("IFERROR(INDEX(FILTER('Kế hoạch chèn link (mới)'!$B$3:$B$2213,'Kế hoạch chèn link (mới)'!$D$3:$D$2213=$B40),5),"""")"),"")</f>
        <v/>
      </c>
    </row>
    <row r="41">
      <c r="A41" s="6">
        <f t="shared" si="1"/>
        <v>40</v>
      </c>
      <c r="B41" s="8" t="s">
        <v>374</v>
      </c>
      <c r="C41" s="6">
        <f>COUNTIF('Kế hoạch chèn link (mới)'!$D$3:$D$2213,$B41)</f>
        <v>3</v>
      </c>
      <c r="D41" s="8" t="str">
        <f>IF(COUNTIFS('Kế hoạch chèn link (mới)'!$D$3:$D$2213,$B41,'Kế hoạch chèn link (mới)'!$I$3:$I$2213,"Đã chèn")&gt;=$C41,"Đã hoàn thành",IF(COUNTIFS('Kế hoạch chèn link (mới)'!$D$3:$D$2213,$B41,'Kế hoạch chèn link (mới)'!$I$3:$I$2213,"Đã chèn")&gt;0,"Đang làm","Chưa hoàn thành"))</f>
        <v>Chưa hoàn thành</v>
      </c>
      <c r="E41" s="8" t="b">
        <f t="shared" si="2"/>
        <v>0</v>
      </c>
      <c r="F41" s="25"/>
      <c r="G41" s="25" t="str">
        <f>IFERROR(__xludf.DUMMYFUNCTION("IFERROR(INDEX(FILTER('Kế hoạch chèn link (mới)'!$C$3:$C$2213,'Kế hoạch chèn link (mới)'!$D$3:$D$2213=$B41),1),"""")"),"cách quét NFC căn cước")</f>
        <v>cách quét NFC căn cước</v>
      </c>
      <c r="H41" s="25" t="str">
        <f>IFERROR(__xludf.DUMMYFUNCTION("IFERROR(INDEX(FILTER('Kế hoạch chèn link (mới)'!$B$3:$B$2213,'Kế hoạch chèn link (mới)'!$D$3:$D$2213=$B41),1),"""")"),"https://techcombank.com/thong-tin/blog/cach-quet-nfc-cccd-tren-iphone")</f>
        <v>https://techcombank.com/thong-tin/blog/cach-quet-nfc-cccd-tren-iphone</v>
      </c>
      <c r="I41" s="25" t="str">
        <f>IFERROR(__xludf.DUMMYFUNCTION("IFERROR(INDEX(FILTER('Kế hoạch chèn link (mới)'!$C$3:$C$2213,'Kế hoạch chèn link (mới)'!$D$3:$D$2213=$B41),2),"""")"),"tính lãi vay ngân hàng")</f>
        <v>tính lãi vay ngân hàng</v>
      </c>
      <c r="J41" s="25" t="str">
        <f>IFERROR(__xludf.DUMMYFUNCTION("IFERROR(INDEX(FILTER('Kế hoạch chèn link (mới)'!$B$3:$B$2213,'Kế hoạch chèn link (mới)'!$D$3:$D$2213=$B41),2),"""")"),"https://techcombank.com/cong-cu-tien-ich/cong-cu-tinh-toan/bang-tinh-lai-suat-vay")</f>
        <v>https://techcombank.com/cong-cu-tien-ich/cong-cu-tinh-toan/bang-tinh-lai-suat-vay</v>
      </c>
      <c r="K41" s="25" t="str">
        <f>IFERROR(__xludf.DUMMYFUNCTION("IFERROR(INDEX(FILTER('Kế hoạch chèn link (mới)'!$C$3:$C$2213,'Kế hoạch chèn link (mới)'!$D$3:$D$2213=$B41),3),"""")"),"lãi suất vay ngân hàng")</f>
        <v>lãi suất vay ngân hàng</v>
      </c>
      <c r="L41" s="25" t="str">
        <f>IFERROR(__xludf.DUMMYFUNCTION("IFERROR(INDEX(FILTER('Kế hoạch chèn link (mới)'!$B$3:$B$2213,'Kế hoạch chèn link (mới)'!$D$3:$D$2213=$B41),3),"""")"),"https://techcombank.com/thong-tin/blog/lai-suat-vay-ngan-hang")</f>
        <v>https://techcombank.com/thong-tin/blog/lai-suat-vay-ngan-hang</v>
      </c>
      <c r="M41" s="25" t="str">
        <f>IFERROR(__xludf.DUMMYFUNCTION("IFERROR(INDEX(FILTER('Kế hoạch chèn link (mới)'!$C$3:$C$2213,'Kế hoạch chèn link (mới)'!$D$3:$D$2213=$B41),4),"""")"),"")</f>
        <v/>
      </c>
      <c r="N41" s="25" t="str">
        <f>IFERROR(__xludf.DUMMYFUNCTION("IFERROR(INDEX(FILTER('Kế hoạch chèn link (mới)'!$B$3:$B$2213,'Kế hoạch chèn link (mới)'!$D$3:$D$2213=$B41),4),"""")"),"")</f>
        <v/>
      </c>
      <c r="O41" s="25" t="str">
        <f>IFERROR(__xludf.DUMMYFUNCTION("IFERROR(INDEX(FILTER('Kế hoạch chèn link (mới)'!$C$3:$C$2213,'Kế hoạch chèn link (mới)'!$D$3:$D$2213=$B41),5),"""")"),"")</f>
        <v/>
      </c>
      <c r="P41" s="25" t="str">
        <f>IFERROR(__xludf.DUMMYFUNCTION("IFERROR(INDEX(FILTER('Kế hoạch chèn link (mới)'!$B$3:$B$2213,'Kế hoạch chèn link (mới)'!$D$3:$D$2213=$B41),5),"""")"),"")</f>
        <v/>
      </c>
    </row>
    <row r="42">
      <c r="A42" s="6">
        <f t="shared" si="1"/>
        <v>41</v>
      </c>
      <c r="B42" s="8" t="s">
        <v>1363</v>
      </c>
      <c r="C42" s="6">
        <f>COUNTIF('Kế hoạch chèn link (mới)'!$D$3:$D$2213,$B42)</f>
        <v>2</v>
      </c>
      <c r="D42" s="8" t="str">
        <f>IF(COUNTIFS('Kế hoạch chèn link (mới)'!$D$3:$D$2213,$B42,'Kế hoạch chèn link (mới)'!$I$3:$I$2213,"Đã chèn")&gt;=$C42,"Đã hoàn thành",IF(COUNTIFS('Kế hoạch chèn link (mới)'!$D$3:$D$2213,$B42,'Kế hoạch chèn link (mới)'!$I$3:$I$2213,"Đã chèn")&gt;0,"Đang làm","Chưa hoàn thành"))</f>
        <v>Chưa hoàn thành</v>
      </c>
      <c r="E42" s="8" t="b">
        <f t="shared" si="2"/>
        <v>0</v>
      </c>
      <c r="F42" s="25"/>
      <c r="G42" s="25" t="str">
        <f>IFERROR(__xludf.DUMMYFUNCTION("IFERROR(INDEX(FILTER('Kế hoạch chèn link (mới)'!$C$3:$C$2213,'Kế hoạch chèn link (mới)'!$D$3:$D$2213=$B42),1),"""")"),"nộp tiền vào tài khoản")</f>
        <v>nộp tiền vào tài khoản</v>
      </c>
      <c r="H42" s="25" t="str">
        <f>IFERROR(__xludf.DUMMYFUNCTION("IFERROR(INDEX(FILTER('Kế hoạch chèn link (mới)'!$B$3:$B$2213,'Kế hoạch chèn link (mới)'!$D$3:$D$2213=$B42),1),"""")"),"https://techcombank.com/thong-tin/blog/nap-tien-vao-tai-khoan-ngan-hang")</f>
        <v>https://techcombank.com/thong-tin/blog/nap-tien-vao-tai-khoan-ngan-hang</v>
      </c>
      <c r="I42" s="25" t="str">
        <f>IFERROR(__xludf.DUMMYFUNCTION("IFERROR(INDEX(FILTER('Kế hoạch chèn link (mới)'!$C$3:$C$2213,'Kế hoạch chèn link (mới)'!$D$3:$D$2213=$B42),2),"""")"),"tiền Thái Lan")</f>
        <v>tiền Thái Lan</v>
      </c>
      <c r="J42" s="25" t="str">
        <f>IFERROR(__xludf.DUMMYFUNCTION("IFERROR(INDEX(FILTER('Kế hoạch chèn link (mới)'!$B$3:$B$2213,'Kế hoạch chèn link (mới)'!$D$3:$D$2213=$B42),2),"""")"),"https://techcombank.com/thong-tin/blog/tien-thai-lan")</f>
        <v>https://techcombank.com/thong-tin/blog/tien-thai-lan</v>
      </c>
      <c r="K42" s="25" t="str">
        <f>IFERROR(__xludf.DUMMYFUNCTION("IFERROR(INDEX(FILTER('Kế hoạch chèn link (mới)'!$C$3:$C$2213,'Kế hoạch chèn link (mới)'!$D$3:$D$2213=$B42),3),"""")"),"")</f>
        <v/>
      </c>
      <c r="L42" s="25" t="str">
        <f>IFERROR(__xludf.DUMMYFUNCTION("IFERROR(INDEX(FILTER('Kế hoạch chèn link (mới)'!$B$3:$B$2213,'Kế hoạch chèn link (mới)'!$D$3:$D$2213=$B42),3),"""")"),"")</f>
        <v/>
      </c>
      <c r="M42" s="25" t="str">
        <f>IFERROR(__xludf.DUMMYFUNCTION("IFERROR(INDEX(FILTER('Kế hoạch chèn link (mới)'!$C$3:$C$2213,'Kế hoạch chèn link (mới)'!$D$3:$D$2213=$B42),4),"""")"),"")</f>
        <v/>
      </c>
      <c r="N42" s="25" t="str">
        <f>IFERROR(__xludf.DUMMYFUNCTION("IFERROR(INDEX(FILTER('Kế hoạch chèn link (mới)'!$B$3:$B$2213,'Kế hoạch chèn link (mới)'!$D$3:$D$2213=$B42),4),"""")"),"")</f>
        <v/>
      </c>
      <c r="O42" s="25" t="str">
        <f>IFERROR(__xludf.DUMMYFUNCTION("IFERROR(INDEX(FILTER('Kế hoạch chèn link (mới)'!$C$3:$C$2213,'Kế hoạch chèn link (mới)'!$D$3:$D$2213=$B42),5),"""")"),"")</f>
        <v/>
      </c>
      <c r="P42" s="25" t="str">
        <f>IFERROR(__xludf.DUMMYFUNCTION("IFERROR(INDEX(FILTER('Kế hoạch chèn link (mới)'!$B$3:$B$2213,'Kế hoạch chèn link (mới)'!$D$3:$D$2213=$B42),5),"""")"),"")</f>
        <v/>
      </c>
    </row>
    <row r="43">
      <c r="A43" s="6">
        <f t="shared" si="1"/>
        <v>42</v>
      </c>
      <c r="B43" s="8" t="s">
        <v>1377</v>
      </c>
      <c r="C43" s="6">
        <f>COUNTIF('Kế hoạch chèn link (mới)'!$D$3:$D$2213,$B43)</f>
        <v>1</v>
      </c>
      <c r="D43" s="8" t="str">
        <f>IF(COUNTIFS('Kế hoạch chèn link (mới)'!$D$3:$D$2213,$B43,'Kế hoạch chèn link (mới)'!$I$3:$I$2213,"Đã chèn")&gt;=$C43,"Đã hoàn thành",IF(COUNTIFS('Kế hoạch chèn link (mới)'!$D$3:$D$2213,$B43,'Kế hoạch chèn link (mới)'!$I$3:$I$2213,"Đã chèn")&gt;0,"Đang làm","Chưa hoàn thành"))</f>
        <v>Chưa hoàn thành</v>
      </c>
      <c r="E43" s="8" t="b">
        <f t="shared" si="2"/>
        <v>0</v>
      </c>
      <c r="F43" s="25"/>
      <c r="G43" s="25" t="str">
        <f>IFERROR(__xludf.DUMMYFUNCTION("IFERROR(INDEX(FILTER('Kế hoạch chèn link (mới)'!$C$3:$C$2213,'Kế hoạch chèn link (mới)'!$D$3:$D$2213=$B43),1),"""")"),"voucher Traveloka")</f>
        <v>voucher Traveloka</v>
      </c>
      <c r="H43" s="25" t="str">
        <f>IFERROR(__xludf.DUMMYFUNCTION("IFERROR(INDEX(FILTER('Kế hoạch chèn link (mới)'!$B$3:$B$2213,'Kế hoạch chèn link (mới)'!$D$3:$D$2213=$B43),1),"""")"),"https://techcombank.com/thong-tin/blog/traveloka-voucher")</f>
        <v>https://techcombank.com/thong-tin/blog/traveloka-voucher</v>
      </c>
      <c r="I43" s="25" t="str">
        <f>IFERROR(__xludf.DUMMYFUNCTION("IFERROR(INDEX(FILTER('Kế hoạch chèn link (mới)'!$C$3:$C$2213,'Kế hoạch chèn link (mới)'!$D$3:$D$2213=$B43),2),"""")"),"")</f>
        <v/>
      </c>
      <c r="J43" s="25" t="str">
        <f>IFERROR(__xludf.DUMMYFUNCTION("IFERROR(INDEX(FILTER('Kế hoạch chèn link (mới)'!$B$3:$B$2213,'Kế hoạch chèn link (mới)'!$D$3:$D$2213=$B43),2),"""")"),"")</f>
        <v/>
      </c>
      <c r="K43" s="25" t="str">
        <f>IFERROR(__xludf.DUMMYFUNCTION("IFERROR(INDEX(FILTER('Kế hoạch chèn link (mới)'!$C$3:$C$2213,'Kế hoạch chèn link (mới)'!$D$3:$D$2213=$B43),3),"""")"),"")</f>
        <v/>
      </c>
      <c r="L43" s="25" t="str">
        <f>IFERROR(__xludf.DUMMYFUNCTION("IFERROR(INDEX(FILTER('Kế hoạch chèn link (mới)'!$B$3:$B$2213,'Kế hoạch chèn link (mới)'!$D$3:$D$2213=$B43),3),"""")"),"")</f>
        <v/>
      </c>
      <c r="M43" s="25" t="str">
        <f>IFERROR(__xludf.DUMMYFUNCTION("IFERROR(INDEX(FILTER('Kế hoạch chèn link (mới)'!$C$3:$C$2213,'Kế hoạch chèn link (mới)'!$D$3:$D$2213=$B43),4),"""")"),"")</f>
        <v/>
      </c>
      <c r="N43" s="25" t="str">
        <f>IFERROR(__xludf.DUMMYFUNCTION("IFERROR(INDEX(FILTER('Kế hoạch chèn link (mới)'!$B$3:$B$2213,'Kế hoạch chèn link (mới)'!$D$3:$D$2213=$B43),4),"""")"),"")</f>
        <v/>
      </c>
      <c r="O43" s="25" t="str">
        <f>IFERROR(__xludf.DUMMYFUNCTION("IFERROR(INDEX(FILTER('Kế hoạch chèn link (mới)'!$C$3:$C$2213,'Kế hoạch chèn link (mới)'!$D$3:$D$2213=$B43),5),"""")"),"")</f>
        <v/>
      </c>
      <c r="P43" s="25" t="str">
        <f>IFERROR(__xludf.DUMMYFUNCTION("IFERROR(INDEX(FILTER('Kế hoạch chèn link (mới)'!$B$3:$B$2213,'Kế hoạch chèn link (mới)'!$D$3:$D$2213=$B43),5),"""")"),"")</f>
        <v/>
      </c>
    </row>
    <row r="44">
      <c r="A44" s="6">
        <f t="shared" si="1"/>
        <v>43</v>
      </c>
      <c r="B44" s="8" t="s">
        <v>1390</v>
      </c>
      <c r="C44" s="6">
        <f>COUNTIF('Kế hoạch chèn link (mới)'!$D$3:$D$2213,$B44)</f>
        <v>1</v>
      </c>
      <c r="D44" s="8" t="str">
        <f>IF(COUNTIFS('Kế hoạch chèn link (mới)'!$D$3:$D$2213,$B44,'Kế hoạch chèn link (mới)'!$I$3:$I$2213,"Đã chèn")&gt;=$C44,"Đã hoàn thành",IF(COUNTIFS('Kế hoạch chèn link (mới)'!$D$3:$D$2213,$B44,'Kế hoạch chèn link (mới)'!$I$3:$I$2213,"Đã chèn")&gt;0,"Đang làm","Chưa hoàn thành"))</f>
        <v>Chưa hoàn thành</v>
      </c>
      <c r="E44" s="8" t="b">
        <f t="shared" si="2"/>
        <v>0</v>
      </c>
      <c r="F44" s="25"/>
      <c r="G44" s="25" t="str">
        <f>IFERROR(__xludf.DUMMYFUNCTION("IFERROR(INDEX(FILTER('Kế hoạch chèn link (mới)'!$C$3:$C$2213,'Kế hoạch chèn link (mới)'!$D$3:$D$2213=$B44),1),"""")"),"cách tiết kiệm tiền")</f>
        <v>cách tiết kiệm tiền</v>
      </c>
      <c r="H44" s="25" t="str">
        <f>IFERROR(__xludf.DUMMYFUNCTION("IFERROR(INDEX(FILTER('Kế hoạch chèn link (mới)'!$B$3:$B$2213,'Kế hoạch chèn link (mới)'!$D$3:$D$2213=$B44),1),"""")"),"https://techcombank.com/thong-tin/blog/cach-tiet-kiem-tien")</f>
        <v>https://techcombank.com/thong-tin/blog/cach-tiet-kiem-tien</v>
      </c>
      <c r="I44" s="25" t="str">
        <f>IFERROR(__xludf.DUMMYFUNCTION("IFERROR(INDEX(FILTER('Kế hoạch chèn link (mới)'!$C$3:$C$2213,'Kế hoạch chèn link (mới)'!$D$3:$D$2213=$B44),2),"""")"),"")</f>
        <v/>
      </c>
      <c r="J44" s="25" t="str">
        <f>IFERROR(__xludf.DUMMYFUNCTION("IFERROR(INDEX(FILTER('Kế hoạch chèn link (mới)'!$B$3:$B$2213,'Kế hoạch chèn link (mới)'!$D$3:$D$2213=$B44),2),"""")"),"")</f>
        <v/>
      </c>
      <c r="K44" s="25" t="str">
        <f>IFERROR(__xludf.DUMMYFUNCTION("IFERROR(INDEX(FILTER('Kế hoạch chèn link (mới)'!$C$3:$C$2213,'Kế hoạch chèn link (mới)'!$D$3:$D$2213=$B44),3),"""")"),"")</f>
        <v/>
      </c>
      <c r="L44" s="25" t="str">
        <f>IFERROR(__xludf.DUMMYFUNCTION("IFERROR(INDEX(FILTER('Kế hoạch chèn link (mới)'!$B$3:$B$2213,'Kế hoạch chèn link (mới)'!$D$3:$D$2213=$B44),3),"""")"),"")</f>
        <v/>
      </c>
      <c r="M44" s="25" t="str">
        <f>IFERROR(__xludf.DUMMYFUNCTION("IFERROR(INDEX(FILTER('Kế hoạch chèn link (mới)'!$C$3:$C$2213,'Kế hoạch chèn link (mới)'!$D$3:$D$2213=$B44),4),"""")"),"")</f>
        <v/>
      </c>
      <c r="N44" s="25" t="str">
        <f>IFERROR(__xludf.DUMMYFUNCTION("IFERROR(INDEX(FILTER('Kế hoạch chèn link (mới)'!$B$3:$B$2213,'Kế hoạch chèn link (mới)'!$D$3:$D$2213=$B44),4),"""")"),"")</f>
        <v/>
      </c>
      <c r="O44" s="25" t="str">
        <f>IFERROR(__xludf.DUMMYFUNCTION("IFERROR(INDEX(FILTER('Kế hoạch chèn link (mới)'!$C$3:$C$2213,'Kế hoạch chèn link (mới)'!$D$3:$D$2213=$B44),5),"""")"),"")</f>
        <v/>
      </c>
      <c r="P44" s="25" t="str">
        <f>IFERROR(__xludf.DUMMYFUNCTION("IFERROR(INDEX(FILTER('Kế hoạch chèn link (mới)'!$B$3:$B$2213,'Kế hoạch chèn link (mới)'!$D$3:$D$2213=$B44),5),"""")"),"")</f>
        <v/>
      </c>
    </row>
    <row r="45">
      <c r="A45" s="6">
        <f t="shared" si="1"/>
        <v>44</v>
      </c>
      <c r="B45" s="8" t="s">
        <v>1409</v>
      </c>
      <c r="C45" s="6">
        <f>COUNTIF('Kế hoạch chèn link (mới)'!$D$3:$D$2213,$B45)</f>
        <v>1</v>
      </c>
      <c r="D45" s="8" t="str">
        <f>IF(COUNTIFS('Kế hoạch chèn link (mới)'!$D$3:$D$2213,$B45,'Kế hoạch chèn link (mới)'!$I$3:$I$2213,"Đã chèn")&gt;=$C45,"Đã hoàn thành",IF(COUNTIFS('Kế hoạch chèn link (mới)'!$D$3:$D$2213,$B45,'Kế hoạch chèn link (mới)'!$I$3:$I$2213,"Đã chèn")&gt;0,"Đang làm","Chưa hoàn thành"))</f>
        <v>Chưa hoàn thành</v>
      </c>
      <c r="E45" s="8" t="b">
        <f t="shared" si="2"/>
        <v>0</v>
      </c>
      <c r="F45" s="25"/>
      <c r="G45" s="25" t="str">
        <f>IFERROR(__xludf.DUMMYFUNCTION("IFERROR(INDEX(FILTER('Kế hoạch chèn link (mới)'!$C$3:$C$2213,'Kế hoạch chèn link (mới)'!$D$3:$D$2213=$B45),1),"""")"),"cách đầu tư chứng chỉ quỹ")</f>
        <v>cách đầu tư chứng chỉ quỹ</v>
      </c>
      <c r="H45" s="25" t="str">
        <f>IFERROR(__xludf.DUMMYFUNCTION("IFERROR(INDEX(FILTER('Kế hoạch chèn link (mới)'!$B$3:$B$2213,'Kế hoạch chèn link (mới)'!$D$3:$D$2213=$B45),1),"""")"),"https://techcombank.com/thong-tin/blog/phuong-phap-dau-tu-chung-chi-quy")</f>
        <v>https://techcombank.com/thong-tin/blog/phuong-phap-dau-tu-chung-chi-quy</v>
      </c>
      <c r="I45" s="25" t="str">
        <f>IFERROR(__xludf.DUMMYFUNCTION("IFERROR(INDEX(FILTER('Kế hoạch chèn link (mới)'!$C$3:$C$2213,'Kế hoạch chèn link (mới)'!$D$3:$D$2213=$B45),2),"""")"),"")</f>
        <v/>
      </c>
      <c r="J45" s="25" t="str">
        <f>IFERROR(__xludf.DUMMYFUNCTION("IFERROR(INDEX(FILTER('Kế hoạch chèn link (mới)'!$B$3:$B$2213,'Kế hoạch chèn link (mới)'!$D$3:$D$2213=$B45),2),"""")"),"")</f>
        <v/>
      </c>
      <c r="K45" s="25" t="str">
        <f>IFERROR(__xludf.DUMMYFUNCTION("IFERROR(INDEX(FILTER('Kế hoạch chèn link (mới)'!$C$3:$C$2213,'Kế hoạch chèn link (mới)'!$D$3:$D$2213=$B45),3),"""")"),"")</f>
        <v/>
      </c>
      <c r="L45" s="25" t="str">
        <f>IFERROR(__xludf.DUMMYFUNCTION("IFERROR(INDEX(FILTER('Kế hoạch chèn link (mới)'!$B$3:$B$2213,'Kế hoạch chèn link (mới)'!$D$3:$D$2213=$B45),3),"""")"),"")</f>
        <v/>
      </c>
      <c r="M45" s="25" t="str">
        <f>IFERROR(__xludf.DUMMYFUNCTION("IFERROR(INDEX(FILTER('Kế hoạch chèn link (mới)'!$C$3:$C$2213,'Kế hoạch chèn link (mới)'!$D$3:$D$2213=$B45),4),"""")"),"")</f>
        <v/>
      </c>
      <c r="N45" s="25" t="str">
        <f>IFERROR(__xludf.DUMMYFUNCTION("IFERROR(INDEX(FILTER('Kế hoạch chèn link (mới)'!$B$3:$B$2213,'Kế hoạch chèn link (mới)'!$D$3:$D$2213=$B45),4),"""")"),"")</f>
        <v/>
      </c>
      <c r="O45" s="25" t="str">
        <f>IFERROR(__xludf.DUMMYFUNCTION("IFERROR(INDEX(FILTER('Kế hoạch chèn link (mới)'!$C$3:$C$2213,'Kế hoạch chèn link (mới)'!$D$3:$D$2213=$B45),5),"""")"),"")</f>
        <v/>
      </c>
      <c r="P45" s="25" t="str">
        <f>IFERROR(__xludf.DUMMYFUNCTION("IFERROR(INDEX(FILTER('Kế hoạch chèn link (mới)'!$B$3:$B$2213,'Kế hoạch chèn link (mới)'!$D$3:$D$2213=$B45),5),"""")"),"")</f>
        <v/>
      </c>
    </row>
    <row r="46">
      <c r="A46" s="6">
        <f t="shared" si="1"/>
        <v>45</v>
      </c>
      <c r="B46" s="8" t="s">
        <v>1411</v>
      </c>
      <c r="C46" s="6">
        <f>COUNTIF('Kế hoạch chèn link (mới)'!$D$3:$D$2213,$B46)</f>
        <v>2</v>
      </c>
      <c r="D46" s="8" t="str">
        <f>IF(COUNTIFS('Kế hoạch chèn link (mới)'!$D$3:$D$2213,$B46,'Kế hoạch chèn link (mới)'!$I$3:$I$2213,"Đã chèn")&gt;=$C46,"Đã hoàn thành",IF(COUNTIFS('Kế hoạch chèn link (mới)'!$D$3:$D$2213,$B46,'Kế hoạch chèn link (mới)'!$I$3:$I$2213,"Đã chèn")&gt;0,"Đang làm","Chưa hoàn thành"))</f>
        <v>Chưa hoàn thành</v>
      </c>
      <c r="E46" s="8" t="b">
        <f t="shared" si="2"/>
        <v>0</v>
      </c>
      <c r="F46" s="25"/>
      <c r="G46" s="25" t="str">
        <f>IFERROR(__xludf.DUMMYFUNCTION("IFERROR(INDEX(FILTER('Kế hoạch chèn link (mới)'!$C$3:$C$2213,'Kế hoạch chèn link (mới)'!$D$3:$D$2213=$B46),1),"""")"),"lãi suất ngân hàng")</f>
        <v>lãi suất ngân hàng</v>
      </c>
      <c r="H46" s="25" t="str">
        <f>IFERROR(__xludf.DUMMYFUNCTION("IFERROR(INDEX(FILTER('Kế hoạch chèn link (mới)'!$B$3:$B$2213,'Kế hoạch chèn link (mới)'!$D$3:$D$2213=$B46),1),"""")"),"https://techcombank.com/thong-tin/blog/lai-suat-tiet-kiem")</f>
        <v>https://techcombank.com/thong-tin/blog/lai-suat-tiet-kiem</v>
      </c>
      <c r="I46" s="25" t="str">
        <f>IFERROR(__xludf.DUMMYFUNCTION("IFERROR(INDEX(FILTER('Kế hoạch chèn link (mới)'!$C$3:$C$2213,'Kế hoạch chèn link (mới)'!$D$3:$D$2213=$B46),2),"""")"),"rủi ro khi gửi tiết kiệm online")</f>
        <v>rủi ro khi gửi tiết kiệm online</v>
      </c>
      <c r="J46" s="25" t="str">
        <f>IFERROR(__xludf.DUMMYFUNCTION("IFERROR(INDEX(FILTER('Kế hoạch chèn link (mới)'!$B$3:$B$2213,'Kế hoạch chèn link (mới)'!$D$3:$D$2213=$B46),2),"""")"),"https://techcombank.com/thong-tin/blog/rui-ro-khi-gui-tiet-kiem-online")</f>
        <v>https://techcombank.com/thong-tin/blog/rui-ro-khi-gui-tiet-kiem-online</v>
      </c>
      <c r="K46" s="25" t="str">
        <f>IFERROR(__xludf.DUMMYFUNCTION("IFERROR(INDEX(FILTER('Kế hoạch chèn link (mới)'!$C$3:$C$2213,'Kế hoạch chèn link (mới)'!$D$3:$D$2213=$B46),3),"""")"),"")</f>
        <v/>
      </c>
      <c r="L46" s="25" t="str">
        <f>IFERROR(__xludf.DUMMYFUNCTION("IFERROR(INDEX(FILTER('Kế hoạch chèn link (mới)'!$B$3:$B$2213,'Kế hoạch chèn link (mới)'!$D$3:$D$2213=$B46),3),"""")"),"")</f>
        <v/>
      </c>
      <c r="M46" s="25" t="str">
        <f>IFERROR(__xludf.DUMMYFUNCTION("IFERROR(INDEX(FILTER('Kế hoạch chèn link (mới)'!$C$3:$C$2213,'Kế hoạch chèn link (mới)'!$D$3:$D$2213=$B46),4),"""")"),"")</f>
        <v/>
      </c>
      <c r="N46" s="25" t="str">
        <f>IFERROR(__xludf.DUMMYFUNCTION("IFERROR(INDEX(FILTER('Kế hoạch chèn link (mới)'!$B$3:$B$2213,'Kế hoạch chèn link (mới)'!$D$3:$D$2213=$B46),4),"""")"),"")</f>
        <v/>
      </c>
      <c r="O46" s="25" t="str">
        <f>IFERROR(__xludf.DUMMYFUNCTION("IFERROR(INDEX(FILTER('Kế hoạch chèn link (mới)'!$C$3:$C$2213,'Kế hoạch chèn link (mới)'!$D$3:$D$2213=$B46),5),"""")"),"")</f>
        <v/>
      </c>
      <c r="P46" s="25" t="str">
        <f>IFERROR(__xludf.DUMMYFUNCTION("IFERROR(INDEX(FILTER('Kế hoạch chèn link (mới)'!$B$3:$B$2213,'Kế hoạch chèn link (mới)'!$D$3:$D$2213=$B46),5),"""")"),"")</f>
        <v/>
      </c>
    </row>
    <row r="47">
      <c r="A47" s="6">
        <f t="shared" si="1"/>
        <v>46</v>
      </c>
      <c r="B47" s="8" t="s">
        <v>1415</v>
      </c>
      <c r="C47" s="6">
        <f>COUNTIF('Kế hoạch chèn link (mới)'!$D$3:$D$2213,$B47)</f>
        <v>1</v>
      </c>
      <c r="D47" s="8" t="str">
        <f>IF(COUNTIFS('Kế hoạch chèn link (mới)'!$D$3:$D$2213,$B47,'Kế hoạch chèn link (mới)'!$I$3:$I$2213,"Đã chèn")&gt;=$C47,"Đã hoàn thành",IF(COUNTIFS('Kế hoạch chèn link (mới)'!$D$3:$D$2213,$B47,'Kế hoạch chèn link (mới)'!$I$3:$I$2213,"Đã chèn")&gt;0,"Đang làm","Chưa hoàn thành"))</f>
        <v>Chưa hoàn thành</v>
      </c>
      <c r="E47" s="8" t="b">
        <f t="shared" si="2"/>
        <v>0</v>
      </c>
      <c r="F47" s="25"/>
      <c r="G47" s="25" t="str">
        <f>IFERROR(__xludf.DUMMYFUNCTION("IFERROR(INDEX(FILTER('Kế hoạch chèn link (mới)'!$C$3:$C$2213,'Kế hoạch chèn link (mới)'!$D$3:$D$2213=$B47),1),"""")"),"sổ tiết kiệm")</f>
        <v>sổ tiết kiệm</v>
      </c>
      <c r="H47" s="25" t="str">
        <f>IFERROR(__xludf.DUMMYFUNCTION("IFERROR(INDEX(FILTER('Kế hoạch chèn link (mới)'!$B$3:$B$2213,'Kế hoạch chèn link (mới)'!$D$3:$D$2213=$B47),1),"""")"),"https://techcombank.com/thong-tin/blog/so-tiet-kiem-ngan-hang")</f>
        <v>https://techcombank.com/thong-tin/blog/so-tiet-kiem-ngan-hang</v>
      </c>
      <c r="I47" s="25" t="str">
        <f>IFERROR(__xludf.DUMMYFUNCTION("IFERROR(INDEX(FILTER('Kế hoạch chèn link (mới)'!$C$3:$C$2213,'Kế hoạch chèn link (mới)'!$D$3:$D$2213=$B47),2),"""")"),"")</f>
        <v/>
      </c>
      <c r="J47" s="25" t="str">
        <f>IFERROR(__xludf.DUMMYFUNCTION("IFERROR(INDEX(FILTER('Kế hoạch chèn link (mới)'!$B$3:$B$2213,'Kế hoạch chèn link (mới)'!$D$3:$D$2213=$B47),2),"""")"),"")</f>
        <v/>
      </c>
      <c r="K47" s="25" t="str">
        <f>IFERROR(__xludf.DUMMYFUNCTION("IFERROR(INDEX(FILTER('Kế hoạch chèn link (mới)'!$C$3:$C$2213,'Kế hoạch chèn link (mới)'!$D$3:$D$2213=$B47),3),"""")"),"")</f>
        <v/>
      </c>
      <c r="L47" s="25" t="str">
        <f>IFERROR(__xludf.DUMMYFUNCTION("IFERROR(INDEX(FILTER('Kế hoạch chèn link (mới)'!$B$3:$B$2213,'Kế hoạch chèn link (mới)'!$D$3:$D$2213=$B47),3),"""")"),"")</f>
        <v/>
      </c>
      <c r="M47" s="25" t="str">
        <f>IFERROR(__xludf.DUMMYFUNCTION("IFERROR(INDEX(FILTER('Kế hoạch chèn link (mới)'!$C$3:$C$2213,'Kế hoạch chèn link (mới)'!$D$3:$D$2213=$B47),4),"""")"),"")</f>
        <v/>
      </c>
      <c r="N47" s="25" t="str">
        <f>IFERROR(__xludf.DUMMYFUNCTION("IFERROR(INDEX(FILTER('Kế hoạch chèn link (mới)'!$B$3:$B$2213,'Kế hoạch chèn link (mới)'!$D$3:$D$2213=$B47),4),"""")"),"")</f>
        <v/>
      </c>
      <c r="O47" s="25" t="str">
        <f>IFERROR(__xludf.DUMMYFUNCTION("IFERROR(INDEX(FILTER('Kế hoạch chèn link (mới)'!$C$3:$C$2213,'Kế hoạch chèn link (mới)'!$D$3:$D$2213=$B47),5),"""")"),"")</f>
        <v/>
      </c>
      <c r="P47" s="25" t="str">
        <f>IFERROR(__xludf.DUMMYFUNCTION("IFERROR(INDEX(FILTER('Kế hoạch chèn link (mới)'!$B$3:$B$2213,'Kế hoạch chèn link (mới)'!$D$3:$D$2213=$B47),5),"""")"),"")</f>
        <v/>
      </c>
    </row>
    <row r="48">
      <c r="A48" s="6">
        <f t="shared" si="1"/>
        <v>47</v>
      </c>
      <c r="B48" s="8" t="s">
        <v>1161</v>
      </c>
      <c r="C48" s="6">
        <f>COUNTIF('Kế hoạch chèn link (mới)'!$D$3:$D$2213,$B48)</f>
        <v>2</v>
      </c>
      <c r="D48" s="8" t="str">
        <f>IF(COUNTIFS('Kế hoạch chèn link (mới)'!$D$3:$D$2213,$B48,'Kế hoạch chèn link (mới)'!$I$3:$I$2213,"Đã chèn")&gt;=$C48,"Đã hoàn thành",IF(COUNTIFS('Kế hoạch chèn link (mới)'!$D$3:$D$2213,$B48,'Kế hoạch chèn link (mới)'!$I$3:$I$2213,"Đã chèn")&gt;0,"Đang làm","Chưa hoàn thành"))</f>
        <v>Chưa hoàn thành</v>
      </c>
      <c r="E48" s="8" t="b">
        <f t="shared" si="2"/>
        <v>0</v>
      </c>
      <c r="F48" s="25"/>
      <c r="G48" s="25" t="str">
        <f>IFERROR(__xludf.DUMMYFUNCTION("IFERROR(INDEX(FILTER('Kế hoạch chèn link (mới)'!$C$3:$C$2213,'Kế hoạch chèn link (mới)'!$D$3:$D$2213=$B48),1),"""")"),"thuế doanh nghiệp")</f>
        <v>thuế doanh nghiệp</v>
      </c>
      <c r="H48" s="25" t="str">
        <f>IFERROR(__xludf.DUMMYFUNCTION("IFERROR(INDEX(FILTER('Kế hoạch chèn link (mới)'!$B$3:$B$2213,'Kế hoạch chèn link (mới)'!$D$3:$D$2213=$B48),1),"""")"),"https://techcombank.com/thong-tin/blog/thue-doanh-nghiep")</f>
        <v>https://techcombank.com/thong-tin/blog/thue-doanh-nghiep</v>
      </c>
      <c r="I48" s="25" t="str">
        <f>IFERROR(__xludf.DUMMYFUNCTION("IFERROR(INDEX(FILTER('Kế hoạch chèn link (mới)'!$C$3:$C$2213,'Kế hoạch chèn link (mới)'!$D$3:$D$2213=$B48),2),"""")"),"công ty sử dụng tài khoản cá nhân")</f>
        <v>công ty sử dụng tài khoản cá nhân</v>
      </c>
      <c r="J48" s="25" t="str">
        <f>IFERROR(__xludf.DUMMYFUNCTION("IFERROR(INDEX(FILTER('Kế hoạch chèn link (mới)'!$B$3:$B$2213,'Kế hoạch chèn link (mới)'!$D$3:$D$2213=$B48),2),"""")"),"https://techcombank.com/thong-tin/blog/cong-ty-su-dung-tai-khoan-ca-nhan")</f>
        <v>https://techcombank.com/thong-tin/blog/cong-ty-su-dung-tai-khoan-ca-nhan</v>
      </c>
      <c r="K48" s="25" t="str">
        <f>IFERROR(__xludf.DUMMYFUNCTION("IFERROR(INDEX(FILTER('Kế hoạch chèn link (mới)'!$C$3:$C$2213,'Kế hoạch chèn link (mới)'!$D$3:$D$2213=$B48),3),"""")"),"")</f>
        <v/>
      </c>
      <c r="L48" s="25" t="str">
        <f>IFERROR(__xludf.DUMMYFUNCTION("IFERROR(INDEX(FILTER('Kế hoạch chèn link (mới)'!$B$3:$B$2213,'Kế hoạch chèn link (mới)'!$D$3:$D$2213=$B48),3),"""")"),"")</f>
        <v/>
      </c>
      <c r="M48" s="25" t="str">
        <f>IFERROR(__xludf.DUMMYFUNCTION("IFERROR(INDEX(FILTER('Kế hoạch chèn link (mới)'!$C$3:$C$2213,'Kế hoạch chèn link (mới)'!$D$3:$D$2213=$B48),4),"""")"),"")</f>
        <v/>
      </c>
      <c r="N48" s="25" t="str">
        <f>IFERROR(__xludf.DUMMYFUNCTION("IFERROR(INDEX(FILTER('Kế hoạch chèn link (mới)'!$B$3:$B$2213,'Kế hoạch chèn link (mới)'!$D$3:$D$2213=$B48),4),"""")"),"")</f>
        <v/>
      </c>
      <c r="O48" s="25" t="str">
        <f>IFERROR(__xludf.DUMMYFUNCTION("IFERROR(INDEX(FILTER('Kế hoạch chèn link (mới)'!$C$3:$C$2213,'Kế hoạch chèn link (mới)'!$D$3:$D$2213=$B48),5),"""")"),"")</f>
        <v/>
      </c>
      <c r="P48" s="25" t="str">
        <f>IFERROR(__xludf.DUMMYFUNCTION("IFERROR(INDEX(FILTER('Kế hoạch chèn link (mới)'!$B$3:$B$2213,'Kế hoạch chèn link (mới)'!$D$3:$D$2213=$B48),5),"""")"),"")</f>
        <v/>
      </c>
    </row>
    <row r="49">
      <c r="A49" s="6">
        <f t="shared" si="1"/>
        <v>48</v>
      </c>
      <c r="B49" s="8" t="s">
        <v>1462</v>
      </c>
      <c r="C49" s="6">
        <f>COUNTIF('Kế hoạch chèn link (mới)'!$D$3:$D$2213,$B49)</f>
        <v>2</v>
      </c>
      <c r="D49" s="8" t="str">
        <f>IF(COUNTIFS('Kế hoạch chèn link (mới)'!$D$3:$D$2213,$B49,'Kế hoạch chèn link (mới)'!$I$3:$I$2213,"Đã chèn")&gt;=$C49,"Đã hoàn thành",IF(COUNTIFS('Kế hoạch chèn link (mới)'!$D$3:$D$2213,$B49,'Kế hoạch chèn link (mới)'!$I$3:$I$2213,"Đã chèn")&gt;0,"Đang làm","Chưa hoàn thành"))</f>
        <v>Chưa hoàn thành</v>
      </c>
      <c r="E49" s="8" t="b">
        <f t="shared" si="2"/>
        <v>0</v>
      </c>
      <c r="F49" s="25"/>
      <c r="G49" s="25" t="str">
        <f>IFERROR(__xludf.DUMMYFUNCTION("IFERROR(INDEX(FILTER('Kế hoạch chèn link (mới)'!$C$3:$C$2213,'Kế hoạch chèn link (mới)'!$D$3:$D$2213=$B49),1),"""")"),"ngân hàng uy tín")</f>
        <v>ngân hàng uy tín</v>
      </c>
      <c r="H49" s="25" t="str">
        <f>IFERROR(__xludf.DUMMYFUNCTION("IFERROR(INDEX(FILTER('Kế hoạch chèn link (mới)'!$B$3:$B$2213,'Kế hoạch chèn link (mới)'!$D$3:$D$2213=$B49),1),"""")"),"https://techcombank.com/thong-tin/blog/ngan-hang-uy-tin")</f>
        <v>https://techcombank.com/thong-tin/blog/ngan-hang-uy-tin</v>
      </c>
      <c r="I49" s="25" t="str">
        <f>IFERROR(__xludf.DUMMYFUNCTION("IFERROR(INDEX(FILTER('Kế hoạch chèn link (mới)'!$C$3:$C$2213,'Kế hoạch chèn link (mới)'!$D$3:$D$2213=$B49),2),"""")"),"tính lãi vay ngân hàng")</f>
        <v>tính lãi vay ngân hàng</v>
      </c>
      <c r="J49" s="25" t="str">
        <f>IFERROR(__xludf.DUMMYFUNCTION("IFERROR(INDEX(FILTER('Kế hoạch chèn link (mới)'!$B$3:$B$2213,'Kế hoạch chèn link (mới)'!$D$3:$D$2213=$B49),2),"""")"),"https://techcombank.com/cong-cu-tien-ich/cong-cu-tinh-toan/bang-tinh-lai-suat-vay")</f>
        <v>https://techcombank.com/cong-cu-tien-ich/cong-cu-tinh-toan/bang-tinh-lai-suat-vay</v>
      </c>
      <c r="K49" s="25" t="str">
        <f>IFERROR(__xludf.DUMMYFUNCTION("IFERROR(INDEX(FILTER('Kế hoạch chèn link (mới)'!$C$3:$C$2213,'Kế hoạch chèn link (mới)'!$D$3:$D$2213=$B49),3),"""")"),"")</f>
        <v/>
      </c>
      <c r="L49" s="25" t="str">
        <f>IFERROR(__xludf.DUMMYFUNCTION("IFERROR(INDEX(FILTER('Kế hoạch chèn link (mới)'!$B$3:$B$2213,'Kế hoạch chèn link (mới)'!$D$3:$D$2213=$B49),3),"""")"),"")</f>
        <v/>
      </c>
      <c r="M49" s="25" t="str">
        <f>IFERROR(__xludf.DUMMYFUNCTION("IFERROR(INDEX(FILTER('Kế hoạch chèn link (mới)'!$C$3:$C$2213,'Kế hoạch chèn link (mới)'!$D$3:$D$2213=$B49),4),"""")"),"")</f>
        <v/>
      </c>
      <c r="N49" s="25" t="str">
        <f>IFERROR(__xludf.DUMMYFUNCTION("IFERROR(INDEX(FILTER('Kế hoạch chèn link (mới)'!$B$3:$B$2213,'Kế hoạch chèn link (mới)'!$D$3:$D$2213=$B49),4),"""")"),"")</f>
        <v/>
      </c>
      <c r="O49" s="25" t="str">
        <f>IFERROR(__xludf.DUMMYFUNCTION("IFERROR(INDEX(FILTER('Kế hoạch chèn link (mới)'!$C$3:$C$2213,'Kế hoạch chèn link (mới)'!$D$3:$D$2213=$B49),5),"""")"),"")</f>
        <v/>
      </c>
      <c r="P49" s="25" t="str">
        <f>IFERROR(__xludf.DUMMYFUNCTION("IFERROR(INDEX(FILTER('Kế hoạch chèn link (mới)'!$B$3:$B$2213,'Kế hoạch chèn link (mới)'!$D$3:$D$2213=$B49),5),"""")"),"")</f>
        <v/>
      </c>
    </row>
    <row r="50">
      <c r="A50" s="6">
        <f t="shared" si="1"/>
        <v>49</v>
      </c>
      <c r="B50" s="8" t="s">
        <v>834</v>
      </c>
      <c r="C50" s="6">
        <f>COUNTIF('Kế hoạch chèn link (mới)'!$D$3:$D$2213,$B50)</f>
        <v>3</v>
      </c>
      <c r="D50" s="8" t="str">
        <f>IF(COUNTIFS('Kế hoạch chèn link (mới)'!$D$3:$D$2213,$B50,'Kế hoạch chèn link (mới)'!$I$3:$I$2213,"Đã chèn")&gt;=$C50,"Đã hoàn thành",IF(COUNTIFS('Kế hoạch chèn link (mới)'!$D$3:$D$2213,$B50,'Kế hoạch chèn link (mới)'!$I$3:$I$2213,"Đã chèn")&gt;0,"Đang làm","Chưa hoàn thành"))</f>
        <v>Chưa hoàn thành</v>
      </c>
      <c r="E50" s="8" t="b">
        <f t="shared" si="2"/>
        <v>0</v>
      </c>
      <c r="F50" s="25"/>
      <c r="G50" s="25" t="str">
        <f>IFERROR(__xludf.DUMMYFUNCTION("IFERROR(INDEX(FILTER('Kế hoạch chèn link (mới)'!$C$3:$C$2213,'Kế hoạch chèn link (mới)'!$D$3:$D$2213=$B50),1),"""")"),"mở tài khoản ngân hàng online")</f>
        <v>mở tài khoản ngân hàng online</v>
      </c>
      <c r="H50" s="25" t="str">
        <f>IFERROR(__xludf.DUMMYFUNCTION("IFERROR(INDEX(FILTER('Kế hoạch chèn link (mới)'!$B$3:$B$2213,'Kế hoạch chèn link (mới)'!$D$3:$D$2213=$B50),1),"""")"),"https://techcombank.com/thong-tin/blog/cach-mo-tai-khoan")</f>
        <v>https://techcombank.com/thong-tin/blog/cach-mo-tai-khoan</v>
      </c>
      <c r="I50" s="25" t="str">
        <f>IFERROR(__xludf.DUMMYFUNCTION("IFERROR(INDEX(FILTER('Kế hoạch chèn link (mới)'!$C$3:$C$2213,'Kế hoạch chèn link (mới)'!$D$3:$D$2213=$B50),2),"""")"),"mở tài khoản ngân hàng dưới 18 tuổi")</f>
        <v>mở tài khoản ngân hàng dưới 18 tuổi</v>
      </c>
      <c r="J50" s="25" t="str">
        <f>IFERROR(__xludf.DUMMYFUNCTION("IFERROR(INDEX(FILTER('Kế hoạch chèn link (mới)'!$B$3:$B$2213,'Kế hoạch chèn link (mới)'!$D$3:$D$2213=$B50),2),"""")"),"https://techcombank.com/thong-tin/blog/mo-tai-khoan-ngan-hang-duoi-18-tuoi")</f>
        <v>https://techcombank.com/thong-tin/blog/mo-tai-khoan-ngan-hang-duoi-18-tuoi</v>
      </c>
      <c r="K50" s="25" t="str">
        <f>IFERROR(__xludf.DUMMYFUNCTION("IFERROR(INDEX(FILTER('Kế hoạch chèn link (mới)'!$C$3:$C$2213,'Kế hoạch chèn link (mới)'!$D$3:$D$2213=$B50),3),"""")"),"cách quét NFC căn cước")</f>
        <v>cách quét NFC căn cước</v>
      </c>
      <c r="L50" s="25" t="str">
        <f>IFERROR(__xludf.DUMMYFUNCTION("IFERROR(INDEX(FILTER('Kế hoạch chèn link (mới)'!$B$3:$B$2213,'Kế hoạch chèn link (mới)'!$D$3:$D$2213=$B50),3),"""")"),"https://techcombank.com/thong-tin/blog/cach-quet-nfc-cccd-tren-iphone")</f>
        <v>https://techcombank.com/thong-tin/blog/cach-quet-nfc-cccd-tren-iphone</v>
      </c>
      <c r="M50" s="25" t="str">
        <f>IFERROR(__xludf.DUMMYFUNCTION("IFERROR(INDEX(FILTER('Kế hoạch chèn link (mới)'!$C$3:$C$2213,'Kế hoạch chèn link (mới)'!$D$3:$D$2213=$B50),4),"""")"),"")</f>
        <v/>
      </c>
      <c r="N50" s="25" t="str">
        <f>IFERROR(__xludf.DUMMYFUNCTION("IFERROR(INDEX(FILTER('Kế hoạch chèn link (mới)'!$B$3:$B$2213,'Kế hoạch chèn link (mới)'!$D$3:$D$2213=$B50),4),"""")"),"")</f>
        <v/>
      </c>
      <c r="O50" s="25" t="str">
        <f>IFERROR(__xludf.DUMMYFUNCTION("IFERROR(INDEX(FILTER('Kế hoạch chèn link (mới)'!$C$3:$C$2213,'Kế hoạch chèn link (mới)'!$D$3:$D$2213=$B50),5),"""")"),"")</f>
        <v/>
      </c>
      <c r="P50" s="25" t="str">
        <f>IFERROR(__xludf.DUMMYFUNCTION("IFERROR(INDEX(FILTER('Kế hoạch chèn link (mới)'!$B$3:$B$2213,'Kế hoạch chèn link (mới)'!$D$3:$D$2213=$B50),5),"""")"),"")</f>
        <v/>
      </c>
    </row>
    <row r="51">
      <c r="A51" s="6">
        <f t="shared" si="1"/>
        <v>50</v>
      </c>
      <c r="B51" s="8" t="s">
        <v>1480</v>
      </c>
      <c r="C51" s="6">
        <f>COUNTIF('Kế hoạch chèn link (mới)'!$D$3:$D$2213,$B51)</f>
        <v>4</v>
      </c>
      <c r="D51" s="8" t="str">
        <f>IF(COUNTIFS('Kế hoạch chèn link (mới)'!$D$3:$D$2213,$B51,'Kế hoạch chèn link (mới)'!$I$3:$I$2213,"Đã chèn")&gt;=$C51,"Đã hoàn thành",IF(COUNTIFS('Kế hoạch chèn link (mới)'!$D$3:$D$2213,$B51,'Kế hoạch chèn link (mới)'!$I$3:$I$2213,"Đã chèn")&gt;0,"Đang làm","Chưa hoàn thành"))</f>
        <v>Chưa hoàn thành</v>
      </c>
      <c r="E51" s="8" t="b">
        <f t="shared" si="2"/>
        <v>0</v>
      </c>
      <c r="F51" s="25"/>
      <c r="G51" s="25" t="str">
        <f>IFERROR(__xludf.DUMMYFUNCTION("IFERROR(INDEX(FILTER('Kế hoạch chèn link (mới)'!$C$3:$C$2213,'Kế hoạch chèn link (mới)'!$D$3:$D$2213=$B51),1),"""")"),"mô hình kinh doanh")</f>
        <v>mô hình kinh doanh</v>
      </c>
      <c r="H51" s="25" t="str">
        <f>IFERROR(__xludf.DUMMYFUNCTION("IFERROR(INDEX(FILTER('Kế hoạch chèn link (mới)'!$B$3:$B$2213,'Kế hoạch chèn link (mới)'!$D$3:$D$2213=$B51),1),"""")"),"https://techcombank.com/thong-tin/blog/mo-hinh-kinh-doanh-la-gi")</f>
        <v>https://techcombank.com/thong-tin/blog/mo-hinh-kinh-doanh-la-gi</v>
      </c>
      <c r="I51" s="25" t="str">
        <f>IFERROR(__xludf.DUMMYFUNCTION("IFERROR(INDEX(FILTER('Kế hoạch chèn link (mới)'!$C$3:$C$2213,'Kế hoạch chèn link (mới)'!$D$3:$D$2213=$B51),2),"""")"),"tài khoản hộ kinh doanh")</f>
        <v>tài khoản hộ kinh doanh</v>
      </c>
      <c r="J51" s="25" t="str">
        <f>IFERROR(__xludf.DUMMYFUNCTION("IFERROR(INDEX(FILTER('Kế hoạch chèn link (mới)'!$B$3:$B$2213,'Kế hoạch chèn link (mới)'!$D$3:$D$2213=$B51),2),"""")"),"https://techcombank.com/thong-tin/blog/mo-tai-khoan-ho-kinh-doanh")</f>
        <v>https://techcombank.com/thong-tin/blog/mo-tai-khoan-ho-kinh-doanh</v>
      </c>
      <c r="K51" s="25" t="str">
        <f>IFERROR(__xludf.DUMMYFUNCTION("IFERROR(INDEX(FILTER('Kế hoạch chèn link (mới)'!$C$3:$C$2213,'Kế hoạch chèn link (mới)'!$D$3:$D$2213=$B51),3),"""")"),"cách tính thuế hộ kinh doanh")</f>
        <v>cách tính thuế hộ kinh doanh</v>
      </c>
      <c r="L51" s="25" t="str">
        <f>IFERROR(__xludf.DUMMYFUNCTION("IFERROR(INDEX(FILTER('Kế hoạch chèn link (mới)'!$B$3:$B$2213,'Kế hoạch chèn link (mới)'!$D$3:$D$2213=$B51),3),"""")"),"https://techcombank.com/thong-tin/blog/cach-tinh-thue-ho-kinh-doanh-nho-le")</f>
        <v>https://techcombank.com/thong-tin/blog/cach-tinh-thue-ho-kinh-doanh-nho-le</v>
      </c>
      <c r="M51" s="25" t="str">
        <f>IFERROR(__xludf.DUMMYFUNCTION("IFERROR(INDEX(FILTER('Kế hoạch chèn link (mới)'!$C$3:$C$2213,'Kế hoạch chèn link (mới)'!$D$3:$D$2213=$B51),4),"""")"),"nên vay tín chấp ở đâu")</f>
        <v>nên vay tín chấp ở đâu</v>
      </c>
      <c r="N51" s="25" t="str">
        <f>IFERROR(__xludf.DUMMYFUNCTION("IFERROR(INDEX(FILTER('Kế hoạch chèn link (mới)'!$B$3:$B$2213,'Kế hoạch chèn link (mới)'!$D$3:$D$2213=$B51),4),"""")"),"https://techcombank.com/thong-tin/blog/nen-vay-tin-chap-o-dau")</f>
        <v>https://techcombank.com/thong-tin/blog/nen-vay-tin-chap-o-dau</v>
      </c>
      <c r="O51" s="25" t="str">
        <f>IFERROR(__xludf.DUMMYFUNCTION("IFERROR(INDEX(FILTER('Kế hoạch chèn link (mới)'!$C$3:$C$2213,'Kế hoạch chèn link (mới)'!$D$3:$D$2213=$B51),5),"""")"),"")</f>
        <v/>
      </c>
      <c r="P51" s="25" t="str">
        <f>IFERROR(__xludf.DUMMYFUNCTION("IFERROR(INDEX(FILTER('Kế hoạch chèn link (mới)'!$B$3:$B$2213,'Kế hoạch chèn link (mới)'!$D$3:$D$2213=$B51),5),"""")"),"")</f>
        <v/>
      </c>
    </row>
    <row r="52">
      <c r="A52" s="6">
        <f t="shared" si="1"/>
        <v>51</v>
      </c>
      <c r="B52" s="8" t="s">
        <v>1486</v>
      </c>
      <c r="C52" s="6">
        <f>COUNTIF('Kế hoạch chèn link (mới)'!$D$3:$D$2213,$B52)</f>
        <v>1</v>
      </c>
      <c r="D52" s="8" t="str">
        <f>IF(COUNTIFS('Kế hoạch chèn link (mới)'!$D$3:$D$2213,$B52,'Kế hoạch chèn link (mới)'!$I$3:$I$2213,"Đã chèn")&gt;=$C52,"Đã hoàn thành",IF(COUNTIFS('Kế hoạch chèn link (mới)'!$D$3:$D$2213,$B52,'Kế hoạch chèn link (mới)'!$I$3:$I$2213,"Đã chèn")&gt;0,"Đang làm","Chưa hoàn thành"))</f>
        <v>Chưa hoàn thành</v>
      </c>
      <c r="E52" s="8" t="b">
        <f t="shared" si="2"/>
        <v>0</v>
      </c>
      <c r="F52" s="25"/>
      <c r="G52" s="25" t="str">
        <f>IFERROR(__xludf.DUMMYFUNCTION("IFERROR(INDEX(FILTER('Kế hoạch chèn link (mới)'!$C$3:$C$2213,'Kế hoạch chèn link (mới)'!$D$3:$D$2213=$B52),1),"""")"),"nộp tiền vào tài khoản")</f>
        <v>nộp tiền vào tài khoản</v>
      </c>
      <c r="H52" s="25" t="str">
        <f>IFERROR(__xludf.DUMMYFUNCTION("IFERROR(INDEX(FILTER('Kế hoạch chèn link (mới)'!$B$3:$B$2213,'Kế hoạch chèn link (mới)'!$D$3:$D$2213=$B52),1),"""")"),"https://techcombank.com/thong-tin/blog/nap-tien-vao-tai-khoan-ngan-hang")</f>
        <v>https://techcombank.com/thong-tin/blog/nap-tien-vao-tai-khoan-ngan-hang</v>
      </c>
      <c r="I52" s="25" t="str">
        <f>IFERROR(__xludf.DUMMYFUNCTION("IFERROR(INDEX(FILTER('Kế hoạch chèn link (mới)'!$C$3:$C$2213,'Kế hoạch chèn link (mới)'!$D$3:$D$2213=$B52),2),"""")"),"")</f>
        <v/>
      </c>
      <c r="J52" s="25" t="str">
        <f>IFERROR(__xludf.DUMMYFUNCTION("IFERROR(INDEX(FILTER('Kế hoạch chèn link (mới)'!$B$3:$B$2213,'Kế hoạch chèn link (mới)'!$D$3:$D$2213=$B52),2),"""")"),"")</f>
        <v/>
      </c>
      <c r="K52" s="25" t="str">
        <f>IFERROR(__xludf.DUMMYFUNCTION("IFERROR(INDEX(FILTER('Kế hoạch chèn link (mới)'!$C$3:$C$2213,'Kế hoạch chèn link (mới)'!$D$3:$D$2213=$B52),3),"""")"),"")</f>
        <v/>
      </c>
      <c r="L52" s="25" t="str">
        <f>IFERROR(__xludf.DUMMYFUNCTION("IFERROR(INDEX(FILTER('Kế hoạch chèn link (mới)'!$B$3:$B$2213,'Kế hoạch chèn link (mới)'!$D$3:$D$2213=$B52),3),"""")"),"")</f>
        <v/>
      </c>
      <c r="M52" s="25" t="str">
        <f>IFERROR(__xludf.DUMMYFUNCTION("IFERROR(INDEX(FILTER('Kế hoạch chèn link (mới)'!$C$3:$C$2213,'Kế hoạch chèn link (mới)'!$D$3:$D$2213=$B52),4),"""")"),"")</f>
        <v/>
      </c>
      <c r="N52" s="25" t="str">
        <f>IFERROR(__xludf.DUMMYFUNCTION("IFERROR(INDEX(FILTER('Kế hoạch chèn link (mới)'!$B$3:$B$2213,'Kế hoạch chèn link (mới)'!$D$3:$D$2213=$B52),4),"""")"),"")</f>
        <v/>
      </c>
      <c r="O52" s="25" t="str">
        <f>IFERROR(__xludf.DUMMYFUNCTION("IFERROR(INDEX(FILTER('Kế hoạch chèn link (mới)'!$C$3:$C$2213,'Kế hoạch chèn link (mới)'!$D$3:$D$2213=$B52),5),"""")"),"")</f>
        <v/>
      </c>
      <c r="P52" s="25" t="str">
        <f>IFERROR(__xludf.DUMMYFUNCTION("IFERROR(INDEX(FILTER('Kế hoạch chèn link (mới)'!$B$3:$B$2213,'Kế hoạch chèn link (mới)'!$D$3:$D$2213=$B52),5),"""")"),"")</f>
        <v/>
      </c>
    </row>
    <row r="53">
      <c r="A53" s="6">
        <f t="shared" si="1"/>
        <v>52</v>
      </c>
      <c r="B53" s="8" t="s">
        <v>1495</v>
      </c>
      <c r="C53" s="6">
        <f>COUNTIF('Kế hoạch chèn link (mới)'!$D$3:$D$2213,$B53)</f>
        <v>1</v>
      </c>
      <c r="D53" s="8" t="str">
        <f>IF(COUNTIFS('Kế hoạch chèn link (mới)'!$D$3:$D$2213,$B53,'Kế hoạch chèn link (mới)'!$I$3:$I$2213,"Đã chèn")&gt;=$C53,"Đã hoàn thành",IF(COUNTIFS('Kế hoạch chèn link (mới)'!$D$3:$D$2213,$B53,'Kế hoạch chèn link (mới)'!$I$3:$I$2213,"Đã chèn")&gt;0,"Đang làm","Chưa hoàn thành"))</f>
        <v>Chưa hoàn thành</v>
      </c>
      <c r="E53" s="8" t="b">
        <f t="shared" si="2"/>
        <v>0</v>
      </c>
      <c r="F53" s="25"/>
      <c r="G53" s="25" t="str">
        <f>IFERROR(__xludf.DUMMYFUNCTION("IFERROR(INDEX(FILTER('Kế hoạch chèn link (mới)'!$C$3:$C$2213,'Kế hoạch chèn link (mới)'!$D$3:$D$2213=$B53),1),"""")"),"xếp hạng tín dụng")</f>
        <v>xếp hạng tín dụng</v>
      </c>
      <c r="H53" s="25" t="str">
        <f>IFERROR(__xludf.DUMMYFUNCTION("IFERROR(INDEX(FILTER('Kế hoạch chèn link (mới)'!$B$3:$B$2213,'Kế hoạch chèn link (mới)'!$D$3:$D$2213=$B53),1),"""")"),"https://techcombank.com/thong-tin/blog/xep-hang-tin-dung")</f>
        <v>https://techcombank.com/thong-tin/blog/xep-hang-tin-dung</v>
      </c>
      <c r="I53" s="25" t="str">
        <f>IFERROR(__xludf.DUMMYFUNCTION("IFERROR(INDEX(FILTER('Kế hoạch chèn link (mới)'!$C$3:$C$2213,'Kế hoạch chèn link (mới)'!$D$3:$D$2213=$B53),2),"""")"),"")</f>
        <v/>
      </c>
      <c r="J53" s="25" t="str">
        <f>IFERROR(__xludf.DUMMYFUNCTION("IFERROR(INDEX(FILTER('Kế hoạch chèn link (mới)'!$B$3:$B$2213,'Kế hoạch chèn link (mới)'!$D$3:$D$2213=$B53),2),"""")"),"")</f>
        <v/>
      </c>
      <c r="K53" s="25" t="str">
        <f>IFERROR(__xludf.DUMMYFUNCTION("IFERROR(INDEX(FILTER('Kế hoạch chèn link (mới)'!$C$3:$C$2213,'Kế hoạch chèn link (mới)'!$D$3:$D$2213=$B53),3),"""")"),"")</f>
        <v/>
      </c>
      <c r="L53" s="25" t="str">
        <f>IFERROR(__xludf.DUMMYFUNCTION("IFERROR(INDEX(FILTER('Kế hoạch chèn link (mới)'!$B$3:$B$2213,'Kế hoạch chèn link (mới)'!$D$3:$D$2213=$B53),3),"""")"),"")</f>
        <v/>
      </c>
      <c r="M53" s="25" t="str">
        <f>IFERROR(__xludf.DUMMYFUNCTION("IFERROR(INDEX(FILTER('Kế hoạch chèn link (mới)'!$C$3:$C$2213,'Kế hoạch chèn link (mới)'!$D$3:$D$2213=$B53),4),"""")"),"")</f>
        <v/>
      </c>
      <c r="N53" s="25" t="str">
        <f>IFERROR(__xludf.DUMMYFUNCTION("IFERROR(INDEX(FILTER('Kế hoạch chèn link (mới)'!$B$3:$B$2213,'Kế hoạch chèn link (mới)'!$D$3:$D$2213=$B53),4),"""")"),"")</f>
        <v/>
      </c>
      <c r="O53" s="25" t="str">
        <f>IFERROR(__xludf.DUMMYFUNCTION("IFERROR(INDEX(FILTER('Kế hoạch chèn link (mới)'!$C$3:$C$2213,'Kế hoạch chèn link (mới)'!$D$3:$D$2213=$B53),5),"""")"),"")</f>
        <v/>
      </c>
      <c r="P53" s="25" t="str">
        <f>IFERROR(__xludf.DUMMYFUNCTION("IFERROR(INDEX(FILTER('Kế hoạch chèn link (mới)'!$B$3:$B$2213,'Kế hoạch chèn link (mới)'!$D$3:$D$2213=$B53),5),"""")"),"")</f>
        <v/>
      </c>
    </row>
    <row r="54">
      <c r="A54" s="6">
        <f t="shared" si="1"/>
        <v>53</v>
      </c>
      <c r="B54" s="8" t="s">
        <v>1504</v>
      </c>
      <c r="C54" s="6">
        <f>COUNTIF('Kế hoạch chèn link (mới)'!$D$3:$D$2213,$B54)</f>
        <v>3</v>
      </c>
      <c r="D54" s="8" t="str">
        <f>IF(COUNTIFS('Kế hoạch chèn link (mới)'!$D$3:$D$2213,$B54,'Kế hoạch chèn link (mới)'!$I$3:$I$2213,"Đã chèn")&gt;=$C54,"Đã hoàn thành",IF(COUNTIFS('Kế hoạch chèn link (mới)'!$D$3:$D$2213,$B54,'Kế hoạch chèn link (mới)'!$I$3:$I$2213,"Đã chèn")&gt;0,"Đang làm","Chưa hoàn thành"))</f>
        <v>Chưa hoàn thành</v>
      </c>
      <c r="E54" s="8" t="b">
        <f t="shared" si="2"/>
        <v>0</v>
      </c>
      <c r="F54" s="25"/>
      <c r="G54" s="25" t="str">
        <f>IFERROR(__xludf.DUMMYFUNCTION("IFERROR(INDEX(FILTER('Kế hoạch chèn link (mới)'!$C$3:$C$2213,'Kế hoạch chèn link (mới)'!$D$3:$D$2213=$B54),1),"""")"),"thuế thu nhập cá nhân")</f>
        <v>thuế thu nhập cá nhân</v>
      </c>
      <c r="H54" s="25" t="str">
        <f>IFERROR(__xludf.DUMMYFUNCTION("IFERROR(INDEX(FILTER('Kế hoạch chèn link (mới)'!$B$3:$B$2213,'Kế hoạch chèn link (mới)'!$D$3:$D$2213=$B54),1),"""")"),"https://techcombank.com/thong-tin/blog/cach-tinh-thue-thu-nhap-ca-nhan-2025")</f>
        <v>https://techcombank.com/thong-tin/blog/cach-tinh-thue-thu-nhap-ca-nhan-2025</v>
      </c>
      <c r="I54" s="25" t="str">
        <f>IFERROR(__xludf.DUMMYFUNCTION("IFERROR(INDEX(FILTER('Kế hoạch chèn link (mới)'!$C$3:$C$2213,'Kế hoạch chèn link (mới)'!$D$3:$D$2213=$B54),2),"""")"),"lãi suất ngân hàng hiện nay")</f>
        <v>lãi suất ngân hàng hiện nay</v>
      </c>
      <c r="J54" s="25" t="str">
        <f>IFERROR(__xludf.DUMMYFUNCTION("IFERROR(INDEX(FILTER('Kế hoạch chèn link (mới)'!$B$3:$B$2213,'Kế hoạch chèn link (mới)'!$D$3:$D$2213=$B54),2),"""")"),"https://techcombank.com/thong-tin/blog/lai-suat-tiet-kiem")</f>
        <v>https://techcombank.com/thong-tin/blog/lai-suat-tiet-kiem</v>
      </c>
      <c r="K54" s="25" t="str">
        <f>IFERROR(__xludf.DUMMYFUNCTION("IFERROR(INDEX(FILTER('Kế hoạch chèn link (mới)'!$C$3:$C$2213,'Kế hoạch chèn link (mới)'!$D$3:$D$2213=$B54),3),"""")"),"lãi vay ngân hàng hiện nay")</f>
        <v>lãi vay ngân hàng hiện nay</v>
      </c>
      <c r="L54" s="25" t="str">
        <f>IFERROR(__xludf.DUMMYFUNCTION("IFERROR(INDEX(FILTER('Kế hoạch chèn link (mới)'!$B$3:$B$2213,'Kế hoạch chèn link (mới)'!$D$3:$D$2213=$B54),3),"""")"),"https://techcombank.com/thong-tin/blog/lai-suat-vay-ngan-hang")</f>
        <v>https://techcombank.com/thong-tin/blog/lai-suat-vay-ngan-hang</v>
      </c>
      <c r="M54" s="25" t="str">
        <f>IFERROR(__xludf.DUMMYFUNCTION("IFERROR(INDEX(FILTER('Kế hoạch chèn link (mới)'!$C$3:$C$2213,'Kế hoạch chèn link (mới)'!$D$3:$D$2213=$B54),4),"""")"),"")</f>
        <v/>
      </c>
      <c r="N54" s="25" t="str">
        <f>IFERROR(__xludf.DUMMYFUNCTION("IFERROR(INDEX(FILTER('Kế hoạch chèn link (mới)'!$B$3:$B$2213,'Kế hoạch chèn link (mới)'!$D$3:$D$2213=$B54),4),"""")"),"")</f>
        <v/>
      </c>
      <c r="O54" s="25" t="str">
        <f>IFERROR(__xludf.DUMMYFUNCTION("IFERROR(INDEX(FILTER('Kế hoạch chèn link (mới)'!$C$3:$C$2213,'Kế hoạch chèn link (mới)'!$D$3:$D$2213=$B54),5),"""")"),"")</f>
        <v/>
      </c>
      <c r="P54" s="25" t="str">
        <f>IFERROR(__xludf.DUMMYFUNCTION("IFERROR(INDEX(FILTER('Kế hoạch chèn link (mới)'!$B$3:$B$2213,'Kế hoạch chèn link (mới)'!$D$3:$D$2213=$B54),5),"""")"),"")</f>
        <v/>
      </c>
    </row>
    <row r="55">
      <c r="A55" s="6">
        <f t="shared" si="1"/>
        <v>54</v>
      </c>
      <c r="B55" s="8" t="s">
        <v>1516</v>
      </c>
      <c r="C55" s="6">
        <f>COUNTIF('Kế hoạch chèn link (mới)'!$D$3:$D$2213,$B55)</f>
        <v>5</v>
      </c>
      <c r="D55" s="8" t="str">
        <f>IF(COUNTIFS('Kế hoạch chèn link (mới)'!$D$3:$D$2213,$B55,'Kế hoạch chèn link (mới)'!$I$3:$I$2213,"Đã chèn")&gt;=$C55,"Đã hoàn thành",IF(COUNTIFS('Kế hoạch chèn link (mới)'!$D$3:$D$2213,$B55,'Kế hoạch chèn link (mới)'!$I$3:$I$2213,"Đã chèn")&gt;0,"Đang làm","Chưa hoàn thành"))</f>
        <v>Chưa hoàn thành</v>
      </c>
      <c r="E55" s="8" t="b">
        <f t="shared" si="2"/>
        <v>0</v>
      </c>
      <c r="F55" s="25"/>
      <c r="G55" s="25" t="str">
        <f>IFERROR(__xludf.DUMMYFUNCTION("IFERROR(INDEX(FILTER('Kế hoạch chèn link (mới)'!$C$3:$C$2213,'Kế hoạch chèn link (mới)'!$D$3:$D$2213=$B55),1),"""")"),"thanh toán dư nợ thẻ tín dụng")</f>
        <v>thanh toán dư nợ thẻ tín dụng</v>
      </c>
      <c r="H55" s="25" t="str">
        <f>IFERROR(__xludf.DUMMYFUNCTION("IFERROR(INDEX(FILTER('Kế hoạch chèn link (mới)'!$B$3:$B$2213,'Kế hoạch chèn link (mới)'!$D$3:$D$2213=$B55),1),"""")"),"https://techcombank.com/thong-tin/blog/cach-thanh-toan-the-tin-dung")</f>
        <v>https://techcombank.com/thong-tin/blog/cach-thanh-toan-the-tin-dung</v>
      </c>
      <c r="I55" s="25" t="str">
        <f>IFERROR(__xludf.DUMMYFUNCTION("IFERROR(INDEX(FILTER('Kế hoạch chèn link (mới)'!$C$3:$C$2213,'Kế hoạch chèn link (mới)'!$D$3:$D$2213=$B55),2),"""")"),"chứng chỉ tiền gửi")</f>
        <v>chứng chỉ tiền gửi</v>
      </c>
      <c r="J55" s="25" t="str">
        <f>IFERROR(__xludf.DUMMYFUNCTION("IFERROR(INDEX(FILTER('Kế hoạch chèn link (mới)'!$B$3:$B$2213,'Kế hoạch chèn link (mới)'!$D$3:$D$2213=$B55),2),"""")"),"https://techcombank.com/thong-tin/blog/chung-chi-tien-gui-la-gi")</f>
        <v>https://techcombank.com/thong-tin/blog/chung-chi-tien-gui-la-gi</v>
      </c>
      <c r="K55" s="25" t="str">
        <f>IFERROR(__xludf.DUMMYFUNCTION("IFERROR(INDEX(FILTER('Kế hoạch chèn link (mới)'!$C$3:$C$2213,'Kế hoạch chèn link (mới)'!$D$3:$D$2213=$B55),3),"""")"),"lãi suất ngân hàng")</f>
        <v>lãi suất ngân hàng</v>
      </c>
      <c r="L55" s="25" t="str">
        <f>IFERROR(__xludf.DUMMYFUNCTION("IFERROR(INDEX(FILTER('Kế hoạch chèn link (mới)'!$B$3:$B$2213,'Kế hoạch chèn link (mới)'!$D$3:$D$2213=$B55),3),"""")"),"https://techcombank.com/thong-tin/blog/lai-suat-tiet-kiem")</f>
        <v>https://techcombank.com/thong-tin/blog/lai-suat-tiet-kiem</v>
      </c>
      <c r="M55" s="25" t="str">
        <f>IFERROR(__xludf.DUMMYFUNCTION("IFERROR(INDEX(FILTER('Kế hoạch chèn link (mới)'!$C$3:$C$2213,'Kế hoạch chèn link (mới)'!$D$3:$D$2213=$B55),4),"""")"),"tính lãi suất vay ngân hàng")</f>
        <v>tính lãi suất vay ngân hàng</v>
      </c>
      <c r="N55" s="25" t="str">
        <f>IFERROR(__xludf.DUMMYFUNCTION("IFERROR(INDEX(FILTER('Kế hoạch chèn link (mới)'!$B$3:$B$2213,'Kế hoạch chèn link (mới)'!$D$3:$D$2213=$B55),4),"""")"),"https://techcombank.com/cong-cu-tien-ich/cong-cu-tinh-toan/bang-tinh-lai-suat-vay")</f>
        <v>https://techcombank.com/cong-cu-tien-ich/cong-cu-tinh-toan/bang-tinh-lai-suat-vay</v>
      </c>
      <c r="O55" s="25" t="str">
        <f>IFERROR(__xludf.DUMMYFUNCTION("IFERROR(INDEX(FILTER('Kế hoạch chèn link (mới)'!$C$3:$C$2213,'Kế hoạch chèn link (mới)'!$D$3:$D$2213=$B55),5),"""")"),"lãi suất vay ngân hàng")</f>
        <v>lãi suất vay ngân hàng</v>
      </c>
      <c r="P55" s="25" t="str">
        <f>IFERROR(__xludf.DUMMYFUNCTION("IFERROR(INDEX(FILTER('Kế hoạch chèn link (mới)'!$B$3:$B$2213,'Kế hoạch chèn link (mới)'!$D$3:$D$2213=$B55),5),"""")"),"https://techcombank.com/thong-tin/blog/lai-suat-vay-ngan-hang")</f>
        <v>https://techcombank.com/thong-tin/blog/lai-suat-vay-ngan-hang</v>
      </c>
    </row>
    <row r="56">
      <c r="A56" s="6">
        <f t="shared" si="1"/>
        <v>55</v>
      </c>
      <c r="B56" s="8" t="s">
        <v>1529</v>
      </c>
      <c r="C56" s="6">
        <f>COUNTIF('Kế hoạch chèn link (mới)'!$D$3:$D$2213,$B56)</f>
        <v>5</v>
      </c>
      <c r="D56" s="8" t="str">
        <f>IF(COUNTIFS('Kế hoạch chèn link (mới)'!$D$3:$D$2213,$B56,'Kế hoạch chèn link (mới)'!$I$3:$I$2213,"Đã chèn")&gt;=$C56,"Đã hoàn thành",IF(COUNTIFS('Kế hoạch chèn link (mới)'!$D$3:$D$2213,$B56,'Kế hoạch chèn link (mới)'!$I$3:$I$2213,"Đã chèn")&gt;0,"Đang làm","Chưa hoàn thành"))</f>
        <v>Chưa hoàn thành</v>
      </c>
      <c r="E56" s="8" t="b">
        <f t="shared" si="2"/>
        <v>0</v>
      </c>
      <c r="F56" s="25"/>
      <c r="G56" s="25" t="str">
        <f>IFERROR(__xludf.DUMMYFUNCTION("IFERROR(INDEX(FILTER('Kế hoạch chèn link (mới)'!$C$3:$C$2213,'Kế hoạch chèn link (mới)'!$D$3:$D$2213=$B56),1),"""")"),"chứng chỉ tiền gửi")</f>
        <v>chứng chỉ tiền gửi</v>
      </c>
      <c r="H56" s="25" t="str">
        <f>IFERROR(__xludf.DUMMYFUNCTION("IFERROR(INDEX(FILTER('Kế hoạch chèn link (mới)'!$B$3:$B$2213,'Kế hoạch chèn link (mới)'!$D$3:$D$2213=$B56),1),"""")"),"https://techcombank.com/thong-tin/blog/chung-chi-tien-gui-la-gi")</f>
        <v>https://techcombank.com/thong-tin/blog/chung-chi-tien-gui-la-gi</v>
      </c>
      <c r="I56" s="25" t="str">
        <f>IFERROR(__xludf.DUMMYFUNCTION("IFERROR(INDEX(FILTER('Kế hoạch chèn link (mới)'!$C$3:$C$2213,'Kế hoạch chèn link (mới)'!$D$3:$D$2213=$B56),2),"""")"),"tính lãi suất tiết kiệm")</f>
        <v>tính lãi suất tiết kiệm</v>
      </c>
      <c r="J56" s="25" t="str">
        <f>IFERROR(__xludf.DUMMYFUNCTION("IFERROR(INDEX(FILTER('Kế hoạch chèn link (mới)'!$B$3:$B$2213,'Kế hoạch chèn link (mới)'!$D$3:$D$2213=$B56),2),"""")"),"https://techcombank.com/thong-tin/blog/cach-tinh-lai-suat-tien-gui-tiet-kiem")</f>
        <v>https://techcombank.com/thong-tin/blog/cach-tinh-lai-suat-tien-gui-tiet-kiem</v>
      </c>
      <c r="K56" s="25" t="str">
        <f>IFERROR(__xludf.DUMMYFUNCTION("IFERROR(INDEX(FILTER('Kế hoạch chèn link (mới)'!$C$3:$C$2213,'Kế hoạch chèn link (mới)'!$D$3:$D$2213=$B56),3),"""")"),"rủi ro khi gửi tiết kiệm online")</f>
        <v>rủi ro khi gửi tiết kiệm online</v>
      </c>
      <c r="L56" s="25" t="str">
        <f>IFERROR(__xludf.DUMMYFUNCTION("IFERROR(INDEX(FILTER('Kế hoạch chèn link (mới)'!$B$3:$B$2213,'Kế hoạch chèn link (mới)'!$D$3:$D$2213=$B56),3),"""")"),"https://techcombank.com/thong-tin/blog/rui-ro-khi-gui-tiet-kiem-online")</f>
        <v>https://techcombank.com/thong-tin/blog/rui-ro-khi-gui-tiet-kiem-online</v>
      </c>
      <c r="M56" s="25" t="str">
        <f>IFERROR(__xludf.DUMMYFUNCTION("IFERROR(INDEX(FILTER('Kế hoạch chèn link (mới)'!$C$3:$C$2213,'Kế hoạch chèn link (mới)'!$D$3:$D$2213=$B56),4),"""")"),"bảng tính lãi suất tiết kiệm")</f>
        <v>bảng tính lãi suất tiết kiệm</v>
      </c>
      <c r="N56" s="25" t="str">
        <f>IFERROR(__xludf.DUMMYFUNCTION("IFERROR(INDEX(FILTER('Kế hoạch chèn link (mới)'!$B$3:$B$2213,'Kế hoạch chèn link (mới)'!$D$3:$D$2213=$B56),4),"""")"),"https://techcombank.com/cong-cu-tien-ich/cong-cu-tinh-toan/bang-tinh-lai-suat-tiet-kiem")</f>
        <v>https://techcombank.com/cong-cu-tien-ich/cong-cu-tinh-toan/bang-tinh-lai-suat-tiet-kiem</v>
      </c>
      <c r="O56" s="25" t="str">
        <f>IFERROR(__xludf.DUMMYFUNCTION("IFERROR(INDEX(FILTER('Kế hoạch chèn link (mới)'!$C$3:$C$2213,'Kế hoạch chèn link (mới)'!$D$3:$D$2213=$B56),5),"""")"),"phương pháp đầu tư chứng chỉ quỹ")</f>
        <v>phương pháp đầu tư chứng chỉ quỹ</v>
      </c>
      <c r="P56" s="25" t="str">
        <f>IFERROR(__xludf.DUMMYFUNCTION("IFERROR(INDEX(FILTER('Kế hoạch chèn link (mới)'!$B$3:$B$2213,'Kế hoạch chèn link (mới)'!$D$3:$D$2213=$B56),5),"""")"),"https://techcombank.com/thong-tin/blog/phuong-phap-dau-tu-chung-chi-quy")</f>
        <v>https://techcombank.com/thong-tin/blog/phuong-phap-dau-tu-chung-chi-quy</v>
      </c>
    </row>
    <row r="57">
      <c r="A57" s="6">
        <f t="shared" si="1"/>
        <v>56</v>
      </c>
      <c r="B57" s="8" t="s">
        <v>1534</v>
      </c>
      <c r="C57" s="6">
        <f>COUNTIF('Kế hoạch chèn link (mới)'!$D$3:$D$2213,$B57)</f>
        <v>5</v>
      </c>
      <c r="D57" s="8" t="str">
        <f>IF(COUNTIFS('Kế hoạch chèn link (mới)'!$D$3:$D$2213,$B57,'Kế hoạch chèn link (mới)'!$I$3:$I$2213,"Đã chèn")&gt;=$C57,"Đã hoàn thành",IF(COUNTIFS('Kế hoạch chèn link (mới)'!$D$3:$D$2213,$B57,'Kế hoạch chèn link (mới)'!$I$3:$I$2213,"Đã chèn")&gt;0,"Đang làm","Chưa hoàn thành"))</f>
        <v>Chưa hoàn thành</v>
      </c>
      <c r="E57" s="8" t="b">
        <f t="shared" si="2"/>
        <v>0</v>
      </c>
      <c r="F57" s="25"/>
      <c r="G57" s="25" t="str">
        <f>IFERROR(__xludf.DUMMYFUNCTION("IFERROR(INDEX(FILTER('Kế hoạch chèn link (mới)'!$C$3:$C$2213,'Kế hoạch chèn link (mới)'!$D$3:$D$2213=$B57),1),"""")"),"hồ sơ thủ tục xóa thế chấp")</f>
        <v>hồ sơ thủ tục xóa thế chấp</v>
      </c>
      <c r="H57" s="25" t="str">
        <f>IFERROR(__xludf.DUMMYFUNCTION("IFERROR(INDEX(FILTER('Kế hoạch chèn link (mới)'!$B$3:$B$2213,'Kế hoạch chèn link (mới)'!$D$3:$D$2213=$B57),1),"""")"),"https://techcombank.com/thong-tin/blog/ho-so-thu-tuc-xoa-the-chap")</f>
        <v>https://techcombank.com/thong-tin/blog/ho-so-thu-tuc-xoa-the-chap</v>
      </c>
      <c r="I57" s="25" t="str">
        <f>IFERROR(__xludf.DUMMYFUNCTION("IFERROR(INDEX(FILTER('Kế hoạch chèn link (mới)'!$C$3:$C$2213,'Kế hoạch chèn link (mới)'!$D$3:$D$2213=$B57),2),"""")"),"vay tiền")</f>
        <v>vay tiền</v>
      </c>
      <c r="J57" s="25" t="str">
        <f>IFERROR(__xludf.DUMMYFUNCTION("IFERROR(INDEX(FILTER('Kế hoạch chèn link (mới)'!$B$3:$B$2213,'Kế hoạch chèn link (mới)'!$D$3:$D$2213=$B57),2),"""")"),"https://techcombank.com/thong-tin/blog/app-vay-tien-nhanh")</f>
        <v>https://techcombank.com/thong-tin/blog/app-vay-tien-nhanh</v>
      </c>
      <c r="K57" s="25" t="str">
        <f>IFERROR(__xludf.DUMMYFUNCTION("IFERROR(INDEX(FILTER('Kế hoạch chèn link (mới)'!$C$3:$C$2213,'Kế hoạch chèn link (mới)'!$D$3:$D$2213=$B57),3),"""")"),"lãi suất vay ngân hàng hiện nay")</f>
        <v>lãi suất vay ngân hàng hiện nay</v>
      </c>
      <c r="L57" s="25" t="str">
        <f>IFERROR(__xludf.DUMMYFUNCTION("IFERROR(INDEX(FILTER('Kế hoạch chèn link (mới)'!$B$3:$B$2213,'Kế hoạch chèn link (mới)'!$D$3:$D$2213=$B57),3),"""")"),"https://techcombank.com/thong-tin/blog/lai-suat-vay-ngan-hang")</f>
        <v>https://techcombank.com/thong-tin/blog/lai-suat-vay-ngan-hang</v>
      </c>
      <c r="M57" s="25" t="str">
        <f>IFERROR(__xludf.DUMMYFUNCTION("IFERROR(INDEX(FILTER('Kế hoạch chèn link (mới)'!$C$3:$C$2213,'Kế hoạch chèn link (mới)'!$D$3:$D$2213=$B57),4),"""")"),"thấu chi là gì")</f>
        <v>thấu chi là gì</v>
      </c>
      <c r="N57" s="25" t="str">
        <f>IFERROR(__xludf.DUMMYFUNCTION("IFERROR(INDEX(FILTER('Kế hoạch chèn link (mới)'!$B$3:$B$2213,'Kế hoạch chèn link (mới)'!$D$3:$D$2213=$B57),4),"""")"),"https://techcombank.com/thong-tin/blog/vay-thau-chi-la-gi")</f>
        <v>https://techcombank.com/thong-tin/blog/vay-thau-chi-la-gi</v>
      </c>
      <c r="O57" s="25" t="str">
        <f>IFERROR(__xludf.DUMMYFUNCTION("IFERROR(INDEX(FILTER('Kế hoạch chèn link (mới)'!$C$3:$C$2213,'Kế hoạch chèn link (mới)'!$D$3:$D$2213=$B57),5),"""")"),"vay tín chấp không trả được có sao không")</f>
        <v>vay tín chấp không trả được có sao không</v>
      </c>
      <c r="P57" s="25" t="str">
        <f>IFERROR(__xludf.DUMMYFUNCTION("IFERROR(INDEX(FILTER('Kế hoạch chèn link (mới)'!$B$3:$B$2213,'Kế hoạch chèn link (mới)'!$D$3:$D$2213=$B57),5),"""")"),"https://techcombank.com/thong-tin/blog/vay-tin-chap-khong-tra-duoc-co-sao-khong")</f>
        <v>https://techcombank.com/thong-tin/blog/vay-tin-chap-khong-tra-duoc-co-sao-khong</v>
      </c>
    </row>
    <row r="58">
      <c r="A58" s="6">
        <f t="shared" si="1"/>
        <v>57</v>
      </c>
      <c r="B58" s="8" t="s">
        <v>1539</v>
      </c>
      <c r="C58" s="6">
        <f>COUNTIF('Kế hoạch chèn link (mới)'!$D$3:$D$2213,$B58)</f>
        <v>4</v>
      </c>
      <c r="D58" s="8" t="str">
        <f>IF(COUNTIFS('Kế hoạch chèn link (mới)'!$D$3:$D$2213,$B58,'Kế hoạch chèn link (mới)'!$I$3:$I$2213,"Đã chèn")&gt;=$C58,"Đã hoàn thành",IF(COUNTIFS('Kế hoạch chèn link (mới)'!$D$3:$D$2213,$B58,'Kế hoạch chèn link (mới)'!$I$3:$I$2213,"Đã chèn")&gt;0,"Đang làm","Chưa hoàn thành"))</f>
        <v>Chưa hoàn thành</v>
      </c>
      <c r="E58" s="8" t="b">
        <f t="shared" si="2"/>
        <v>0</v>
      </c>
      <c r="F58" s="25"/>
      <c r="G58" s="25" t="str">
        <f>IFERROR(__xludf.DUMMYFUNCTION("IFERROR(INDEX(FILTER('Kế hoạch chèn link (mới)'!$C$3:$C$2213,'Kế hoạch chèn link (mới)'!$D$3:$D$2213=$B58),1),"""")"),"cách tính lãi suất vay")</f>
        <v>cách tính lãi suất vay</v>
      </c>
      <c r="H58" s="25" t="str">
        <f>IFERROR(__xludf.DUMMYFUNCTION("IFERROR(INDEX(FILTER('Kế hoạch chèn link (mới)'!$B$3:$B$2213,'Kế hoạch chèn link (mới)'!$D$3:$D$2213=$B58),1),"""")"),"https://techcombank.com/thong-tin/blog/cach-tinh-lai-vay-ngan-hang")</f>
        <v>https://techcombank.com/thong-tin/blog/cach-tinh-lai-vay-ngan-hang</v>
      </c>
      <c r="I58" s="25" t="str">
        <f>IFERROR(__xludf.DUMMYFUNCTION("IFERROR(INDEX(FILTER('Kế hoạch chèn link (mới)'!$C$3:$C$2213,'Kế hoạch chèn link (mới)'!$D$3:$D$2213=$B58),2),"""")"),"tính lãi vay ngân hàng")</f>
        <v>tính lãi vay ngân hàng</v>
      </c>
      <c r="J58" s="25" t="str">
        <f>IFERROR(__xludf.DUMMYFUNCTION("IFERROR(INDEX(FILTER('Kế hoạch chèn link (mới)'!$B$3:$B$2213,'Kế hoạch chèn link (mới)'!$D$3:$D$2213=$B58),2),"""")"),"https://techcombank.com/cong-cu-tien-ich/cong-cu-tinh-toan/bang-tinh-lai-suat-vay")</f>
        <v>https://techcombank.com/cong-cu-tien-ich/cong-cu-tinh-toan/bang-tinh-lai-suat-vay</v>
      </c>
      <c r="K58" s="25" t="str">
        <f>IFERROR(__xludf.DUMMYFUNCTION("IFERROR(INDEX(FILTER('Kế hoạch chèn link (mới)'!$C$3:$C$2213,'Kế hoạch chèn link (mới)'!$D$3:$D$2213=$B58),3),"""")"),"lãi suất vay ngân hàng")</f>
        <v>lãi suất vay ngân hàng</v>
      </c>
      <c r="L58" s="25" t="str">
        <f>IFERROR(__xludf.DUMMYFUNCTION("IFERROR(INDEX(FILTER('Kế hoạch chèn link (mới)'!$B$3:$B$2213,'Kế hoạch chèn link (mới)'!$D$3:$D$2213=$B58),3),"""")"),"https://techcombank.com/thong-tin/blog/lai-suat-vay-ngan-hang")</f>
        <v>https://techcombank.com/thong-tin/blog/lai-suat-vay-ngan-hang</v>
      </c>
      <c r="M58" s="25" t="str">
        <f>IFERROR(__xludf.DUMMYFUNCTION("IFERROR(INDEX(FILTER('Kế hoạch chèn link (mới)'!$C$3:$C$2213,'Kế hoạch chèn link (mới)'!$D$3:$D$2213=$B58),4),"""")"),"vay thấu chi")</f>
        <v>vay thấu chi</v>
      </c>
      <c r="N58" s="25" t="str">
        <f>IFERROR(__xludf.DUMMYFUNCTION("IFERROR(INDEX(FILTER('Kế hoạch chèn link (mới)'!$B$3:$B$2213,'Kế hoạch chèn link (mới)'!$D$3:$D$2213=$B58),4),"""")"),"https://techcombank.com/thong-tin/blog/vay-thau-chi-la-gi")</f>
        <v>https://techcombank.com/thong-tin/blog/vay-thau-chi-la-gi</v>
      </c>
      <c r="O58" s="25" t="str">
        <f>IFERROR(__xludf.DUMMYFUNCTION("IFERROR(INDEX(FILTER('Kế hoạch chèn link (mới)'!$C$3:$C$2213,'Kế hoạch chèn link (mới)'!$D$3:$D$2213=$B58),5),"""")"),"")</f>
        <v/>
      </c>
      <c r="P58" s="25" t="str">
        <f>IFERROR(__xludf.DUMMYFUNCTION("IFERROR(INDEX(FILTER('Kế hoạch chèn link (mới)'!$B$3:$B$2213,'Kế hoạch chèn link (mới)'!$D$3:$D$2213=$B58),5),"""")"),"")</f>
        <v/>
      </c>
    </row>
    <row r="59">
      <c r="A59" s="6">
        <f t="shared" si="1"/>
        <v>58</v>
      </c>
      <c r="B59" s="8" t="s">
        <v>1165</v>
      </c>
      <c r="C59" s="6">
        <f>COUNTIF('Kế hoạch chèn link (mới)'!$D$3:$D$2213,$B59)</f>
        <v>3</v>
      </c>
      <c r="D59" s="8" t="str">
        <f>IF(COUNTIFS('Kế hoạch chèn link (mới)'!$D$3:$D$2213,$B59,'Kế hoạch chèn link (mới)'!$I$3:$I$2213,"Đã chèn")&gt;=$C59,"Đã hoàn thành",IF(COUNTIFS('Kế hoạch chèn link (mới)'!$D$3:$D$2213,$B59,'Kế hoạch chèn link (mới)'!$I$3:$I$2213,"Đã chèn")&gt;0,"Đang làm","Chưa hoàn thành"))</f>
        <v>Chưa hoàn thành</v>
      </c>
      <c r="E59" s="8" t="b">
        <f t="shared" si="2"/>
        <v>0</v>
      </c>
      <c r="F59" s="25"/>
      <c r="G59" s="25" t="str">
        <f>IFERROR(__xludf.DUMMYFUNCTION("IFERROR(INDEX(FILTER('Kế hoạch chèn link (mới)'!$C$3:$C$2213,'Kế hoạch chèn link (mới)'!$D$3:$D$2213=$B59),1),"""")"),"thuế doanh nghiệp")</f>
        <v>thuế doanh nghiệp</v>
      </c>
      <c r="H59" s="25" t="str">
        <f>IFERROR(__xludf.DUMMYFUNCTION("IFERROR(INDEX(FILTER('Kế hoạch chèn link (mới)'!$B$3:$B$2213,'Kế hoạch chèn link (mới)'!$D$3:$D$2213=$B59),1),"""")"),"https://techcombank.com/thong-tin/blog/thue-doanh-nghiep")</f>
        <v>https://techcombank.com/thong-tin/blog/thue-doanh-nghiep</v>
      </c>
      <c r="I59" s="25" t="str">
        <f>IFERROR(__xludf.DUMMYFUNCTION("IFERROR(INDEX(FILTER('Kế hoạch chèn link (mới)'!$C$3:$C$2213,'Kế hoạch chèn link (mới)'!$D$3:$D$2213=$B59),2),"""")"),"công ty sử dụng tài khoản cá nhân")</f>
        <v>công ty sử dụng tài khoản cá nhân</v>
      </c>
      <c r="J59" s="25" t="str">
        <f>IFERROR(__xludf.DUMMYFUNCTION("IFERROR(INDEX(FILTER('Kế hoạch chèn link (mới)'!$B$3:$B$2213,'Kế hoạch chèn link (mới)'!$D$3:$D$2213=$B59),2),"""")"),"https://techcombank.com/thong-tin/blog/cong-ty-su-dung-tai-khoan-ca-nhan")</f>
        <v>https://techcombank.com/thong-tin/blog/cong-ty-su-dung-tai-khoan-ca-nhan</v>
      </c>
      <c r="K59" s="25" t="str">
        <f>IFERROR(__xludf.DUMMYFUNCTION("IFERROR(INDEX(FILTER('Kế hoạch chèn link (mới)'!$C$3:$C$2213,'Kế hoạch chèn link (mới)'!$D$3:$D$2213=$B59),3),"""")"),"mô hình kinh doanh là gì")</f>
        <v>mô hình kinh doanh là gì</v>
      </c>
      <c r="L59" s="25" t="str">
        <f>IFERROR(__xludf.DUMMYFUNCTION("IFERROR(INDEX(FILTER('Kế hoạch chèn link (mới)'!$B$3:$B$2213,'Kế hoạch chèn link (mới)'!$D$3:$D$2213=$B59),3),"""")"),"https://techcombank.com/thong-tin/blog/mo-hinh-kinh-doanh-la-gi")</f>
        <v>https://techcombank.com/thong-tin/blog/mo-hinh-kinh-doanh-la-gi</v>
      </c>
      <c r="M59" s="25" t="str">
        <f>IFERROR(__xludf.DUMMYFUNCTION("IFERROR(INDEX(FILTER('Kế hoạch chèn link (mới)'!$C$3:$C$2213,'Kế hoạch chèn link (mới)'!$D$3:$D$2213=$B59),4),"""")"),"")</f>
        <v/>
      </c>
      <c r="N59" s="25" t="str">
        <f>IFERROR(__xludf.DUMMYFUNCTION("IFERROR(INDEX(FILTER('Kế hoạch chèn link (mới)'!$B$3:$B$2213,'Kế hoạch chèn link (mới)'!$D$3:$D$2213=$B59),4),"""")"),"")</f>
        <v/>
      </c>
      <c r="O59" s="25" t="str">
        <f>IFERROR(__xludf.DUMMYFUNCTION("IFERROR(INDEX(FILTER('Kế hoạch chèn link (mới)'!$C$3:$C$2213,'Kế hoạch chèn link (mới)'!$D$3:$D$2213=$B59),5),"""")"),"")</f>
        <v/>
      </c>
      <c r="P59" s="25" t="str">
        <f>IFERROR(__xludf.DUMMYFUNCTION("IFERROR(INDEX(FILTER('Kế hoạch chèn link (mới)'!$B$3:$B$2213,'Kế hoạch chèn link (mới)'!$D$3:$D$2213=$B59),5),"""")"),"")</f>
        <v/>
      </c>
    </row>
    <row r="60">
      <c r="A60" s="6">
        <f t="shared" si="1"/>
        <v>59</v>
      </c>
      <c r="B60" s="8" t="s">
        <v>1557</v>
      </c>
      <c r="C60" s="6">
        <f>COUNTIF('Kế hoạch chèn link (mới)'!$D$3:$D$2213,$B60)</f>
        <v>4</v>
      </c>
      <c r="D60" s="8" t="str">
        <f>IF(COUNTIFS('Kế hoạch chèn link (mới)'!$D$3:$D$2213,$B60,'Kế hoạch chèn link (mới)'!$I$3:$I$2213,"Đã chèn")&gt;=$C60,"Đã hoàn thành",IF(COUNTIFS('Kế hoạch chèn link (mới)'!$D$3:$D$2213,$B60,'Kế hoạch chèn link (mới)'!$I$3:$I$2213,"Đã chèn")&gt;0,"Đang làm","Chưa hoàn thành"))</f>
        <v>Chưa hoàn thành</v>
      </c>
      <c r="E60" s="8" t="b">
        <f t="shared" si="2"/>
        <v>0</v>
      </c>
      <c r="F60" s="25"/>
      <c r="G60" s="25" t="str">
        <f>IFERROR(__xludf.DUMMYFUNCTION("IFERROR(INDEX(FILTER('Kế hoạch chèn link (mới)'!$C$3:$C$2213,'Kế hoạch chèn link (mới)'!$D$3:$D$2213=$B60),1),"""")"),"nạp tiền vào tài khoản ngân hàng")</f>
        <v>nạp tiền vào tài khoản ngân hàng</v>
      </c>
      <c r="H60" s="25" t="str">
        <f>IFERROR(__xludf.DUMMYFUNCTION("IFERROR(INDEX(FILTER('Kế hoạch chèn link (mới)'!$B$3:$B$2213,'Kế hoạch chèn link (mới)'!$D$3:$D$2213=$B60),1),"""")"),"https://techcombank.com/thong-tin/blog/nap-tien-vao-tai-khoan-ngan-hang")</f>
        <v>https://techcombank.com/thong-tin/blog/nap-tien-vao-tai-khoan-ngan-hang</v>
      </c>
      <c r="I60" s="25" t="str">
        <f>IFERROR(__xludf.DUMMYFUNCTION("IFERROR(INDEX(FILTER('Kế hoạch chèn link (mới)'!$C$3:$C$2213,'Kế hoạch chèn link (mới)'!$D$3:$D$2213=$B60),2),"""")"),"rút tiền không cần thẻ")</f>
        <v>rút tiền không cần thẻ</v>
      </c>
      <c r="J60" s="25" t="str">
        <f>IFERROR(__xludf.DUMMYFUNCTION("IFERROR(INDEX(FILTER('Kế hoạch chèn link (mới)'!$B$3:$B$2213,'Kế hoạch chèn link (mới)'!$D$3:$D$2213=$B60),2),"""")"),"https://techcombank.com/thong-tin/blog/rut-tien-bang-ma-qr-la-gi-cach-thuc-hien-nhu-the-nao")</f>
        <v>https://techcombank.com/thong-tin/blog/rut-tien-bang-ma-qr-la-gi-cach-thuc-hien-nhu-the-nao</v>
      </c>
      <c r="K60" s="25" t="str">
        <f>IFERROR(__xludf.DUMMYFUNCTION("IFERROR(INDEX(FILTER('Kế hoạch chèn link (mới)'!$C$3:$C$2213,'Kế hoạch chèn link (mới)'!$D$3:$D$2213=$B60),3),"""")"),"thẻ tín dụng hoàn tiền")</f>
        <v>thẻ tín dụng hoàn tiền</v>
      </c>
      <c r="L60" s="25" t="str">
        <f>IFERROR(__xludf.DUMMYFUNCTION("IFERROR(INDEX(FILTER('Kế hoạch chèn link (mới)'!$B$3:$B$2213,'Kế hoạch chèn link (mới)'!$D$3:$D$2213=$B60),3),"""")"),"https://techcombank.com/thong-tin/blog/the-tin-dung-hoan-tien")</f>
        <v>https://techcombank.com/thong-tin/blog/the-tin-dung-hoan-tien</v>
      </c>
      <c r="M60" s="25" t="str">
        <f>IFERROR(__xludf.DUMMYFUNCTION("IFERROR(INDEX(FILTER('Kế hoạch chèn link (mới)'!$C$3:$C$2213,'Kế hoạch chèn link (mới)'!$D$3:$D$2213=$B60),4),"""")"),"cách thanh toán thẻ tín dụng")</f>
        <v>cách thanh toán thẻ tín dụng</v>
      </c>
      <c r="N60" s="25" t="str">
        <f>IFERROR(__xludf.DUMMYFUNCTION("IFERROR(INDEX(FILTER('Kế hoạch chèn link (mới)'!$B$3:$B$2213,'Kế hoạch chèn link (mới)'!$D$3:$D$2213=$B60),4),"""")"),"https://techcombank.com/thong-tin/blog/cach-thanh-toan-the-tin-dung")</f>
        <v>https://techcombank.com/thong-tin/blog/cach-thanh-toan-the-tin-dung</v>
      </c>
      <c r="O60" s="25" t="str">
        <f>IFERROR(__xludf.DUMMYFUNCTION("IFERROR(INDEX(FILTER('Kế hoạch chèn link (mới)'!$C$3:$C$2213,'Kế hoạch chèn link (mới)'!$D$3:$D$2213=$B60),5),"""")"),"")</f>
        <v/>
      </c>
      <c r="P60" s="25" t="str">
        <f>IFERROR(__xludf.DUMMYFUNCTION("IFERROR(INDEX(FILTER('Kế hoạch chèn link (mới)'!$B$3:$B$2213,'Kế hoạch chèn link (mới)'!$D$3:$D$2213=$B60),5),"""")"),"")</f>
        <v/>
      </c>
    </row>
    <row r="61">
      <c r="A61" s="6">
        <f t="shared" si="1"/>
        <v>60</v>
      </c>
      <c r="B61" s="8" t="s">
        <v>1561</v>
      </c>
      <c r="C61" s="6">
        <f>COUNTIF('Kế hoạch chèn link (mới)'!$D$3:$D$2213,$B61)</f>
        <v>5</v>
      </c>
      <c r="D61" s="8" t="str">
        <f>IF(COUNTIFS('Kế hoạch chèn link (mới)'!$D$3:$D$2213,$B61,'Kế hoạch chèn link (mới)'!$I$3:$I$2213,"Đã chèn")&gt;=$C61,"Đã hoàn thành",IF(COUNTIFS('Kế hoạch chèn link (mới)'!$D$3:$D$2213,$B61,'Kế hoạch chèn link (mới)'!$I$3:$I$2213,"Đã chèn")&gt;0,"Đang làm","Chưa hoàn thành"))</f>
        <v>Chưa hoàn thành</v>
      </c>
      <c r="E61" s="8" t="b">
        <f t="shared" si="2"/>
        <v>0</v>
      </c>
      <c r="F61" s="25"/>
      <c r="G61" s="25" t="str">
        <f>IFERROR(__xludf.DUMMYFUNCTION("IFERROR(INDEX(FILTER('Kế hoạch chèn link (mới)'!$C$3:$C$2213,'Kế hoạch chèn link (mới)'!$D$3:$D$2213=$B61),1),"""")"),"Techcombank Eco")</f>
        <v>Techcombank Eco</v>
      </c>
      <c r="H61" s="25" t="str">
        <f>IFERROR(__xludf.DUMMYFUNCTION("IFERROR(INDEX(FILTER('Kế hoạch chèn link (mới)'!$B$3:$B$2213,'Kế hoạch chèn link (mới)'!$D$3:$D$2213=$B61),1),"""")"),"https://techcombank.com/thong-tin/blog/eco-card")</f>
        <v>https://techcombank.com/thong-tin/blog/eco-card</v>
      </c>
      <c r="I61" s="25" t="str">
        <f>IFERROR(__xludf.DUMMYFUNCTION("IFERROR(INDEX(FILTER('Kế hoạch chèn link (mới)'!$C$3:$C$2213,'Kế hoạch chèn link (mới)'!$D$3:$D$2213=$B61),2),"""")"),"kiểm tra cic")</f>
        <v>kiểm tra cic</v>
      </c>
      <c r="J61" s="25" t="str">
        <f>IFERROR(__xludf.DUMMYFUNCTION("IFERROR(INDEX(FILTER('Kế hoạch chèn link (mới)'!$B$3:$B$2213,'Kế hoạch chèn link (mới)'!$D$3:$D$2213=$B61),2),"""")"),"https://techcombank.com/thong-tin/blog/cic-la-gi")</f>
        <v>https://techcombank.com/thong-tin/blog/cic-la-gi</v>
      </c>
      <c r="K61" s="25" t="str">
        <f>IFERROR(__xludf.DUMMYFUNCTION("IFERROR(INDEX(FILTER('Kế hoạch chèn link (mới)'!$C$3:$C$2213,'Kế hoạch chèn link (mới)'!$D$3:$D$2213=$B61),3),"""")"),"thẻ tín dụng hoàn tiền")</f>
        <v>thẻ tín dụng hoàn tiền</v>
      </c>
      <c r="L61" s="25" t="str">
        <f>IFERROR(__xludf.DUMMYFUNCTION("IFERROR(INDEX(FILTER('Kế hoạch chèn link (mới)'!$B$3:$B$2213,'Kế hoạch chèn link (mới)'!$D$3:$D$2213=$B61),3),"""")"),"https://techcombank.com/thong-tin/blog/the-tin-dung-hoan-tien")</f>
        <v>https://techcombank.com/thong-tin/blog/the-tin-dung-hoan-tien</v>
      </c>
      <c r="M61" s="25" t="str">
        <f>IFERROR(__xludf.DUMMYFUNCTION("IFERROR(INDEX(FILTER('Kế hoạch chèn link (mới)'!$C$3:$C$2213,'Kế hoạch chèn link (mới)'!$D$3:$D$2213=$B61),4),"""")"),"cách hủy thẻ tín dụng")</f>
        <v>cách hủy thẻ tín dụng</v>
      </c>
      <c r="N61" s="25" t="str">
        <f>IFERROR(__xludf.DUMMYFUNCTION("IFERROR(INDEX(FILTER('Kế hoạch chèn link (mới)'!$B$3:$B$2213,'Kế hoạch chèn link (mới)'!$D$3:$D$2213=$B61),4),"""")"),"https://techcombank.com/thong-tin/blog/cach-huy-the-tin-dung")</f>
        <v>https://techcombank.com/thong-tin/blog/cach-huy-the-tin-dung</v>
      </c>
      <c r="O61" s="25" t="str">
        <f>IFERROR(__xludf.DUMMYFUNCTION("IFERROR(INDEX(FILTER('Kế hoạch chèn link (mới)'!$C$3:$C$2213,'Kế hoạch chèn link (mới)'!$D$3:$D$2213=$B61),5),"""")"),"cách thanh toán thẻ tín dụng")</f>
        <v>cách thanh toán thẻ tín dụng</v>
      </c>
      <c r="P61" s="25" t="str">
        <f>IFERROR(__xludf.DUMMYFUNCTION("IFERROR(INDEX(FILTER('Kế hoạch chèn link (mới)'!$B$3:$B$2213,'Kế hoạch chèn link (mới)'!$D$3:$D$2213=$B61),5),"""")"),"https://techcombank.com/thong-tin/blog/cach-thanh-toan-the-tin-dung")</f>
        <v>https://techcombank.com/thong-tin/blog/cach-thanh-toan-the-tin-dung</v>
      </c>
    </row>
    <row r="62">
      <c r="A62" s="6">
        <f t="shared" si="1"/>
        <v>61</v>
      </c>
      <c r="B62" s="8" t="s">
        <v>788</v>
      </c>
      <c r="C62" s="6">
        <f>COUNTIF('Kế hoạch chèn link (mới)'!$D$3:$D$2213,$B62)</f>
        <v>3</v>
      </c>
      <c r="D62" s="8" t="str">
        <f>IF(COUNTIFS('Kế hoạch chèn link (mới)'!$D$3:$D$2213,$B62,'Kế hoạch chèn link (mới)'!$I$3:$I$2213,"Đã chèn")&gt;=$C62,"Đã hoàn thành",IF(COUNTIFS('Kế hoạch chèn link (mới)'!$D$3:$D$2213,$B62,'Kế hoạch chèn link (mới)'!$I$3:$I$2213,"Đã chèn")&gt;0,"Đang làm","Chưa hoàn thành"))</f>
        <v>Chưa hoàn thành</v>
      </c>
      <c r="E62" s="8" t="b">
        <f t="shared" si="2"/>
        <v>0</v>
      </c>
      <c r="F62" s="25"/>
      <c r="G62" s="25" t="str">
        <f>IFERROR(__xludf.DUMMYFUNCTION("IFERROR(INDEX(FILTER('Kế hoạch chèn link (mới)'!$C$3:$C$2213,'Kế hoạch chèn link (mới)'!$D$3:$D$2213=$B62),1),"""")"),"thuế thu nhập doanh nghiệp")</f>
        <v>thuế thu nhập doanh nghiệp</v>
      </c>
      <c r="H62" s="25" t="str">
        <f>IFERROR(__xludf.DUMMYFUNCTION("IFERROR(INDEX(FILTER('Kế hoạch chèn link (mới)'!$B$3:$B$2213,'Kế hoạch chèn link (mới)'!$D$3:$D$2213=$B62),1),"""")"),"https://techcombank.com/thong-tin/blog/thue-thu-nhap-doanh-nghiep")</f>
        <v>https://techcombank.com/thong-tin/blog/thue-thu-nhap-doanh-nghiep</v>
      </c>
      <c r="I62" s="25" t="str">
        <f>IFERROR(__xludf.DUMMYFUNCTION("IFERROR(INDEX(FILTER('Kế hoạch chèn link (mới)'!$C$3:$C$2213,'Kế hoạch chèn link (mới)'!$D$3:$D$2213=$B62),2),"""")"),"thuế doanh nghiệp")</f>
        <v>thuế doanh nghiệp</v>
      </c>
      <c r="J62" s="25" t="str">
        <f>IFERROR(__xludf.DUMMYFUNCTION("IFERROR(INDEX(FILTER('Kế hoạch chèn link (mới)'!$B$3:$B$2213,'Kế hoạch chèn link (mới)'!$D$3:$D$2213=$B62),2),"""")"),"https://techcombank.com/thong-tin/blog/thue-doanh-nghiep")</f>
        <v>https://techcombank.com/thong-tin/blog/thue-doanh-nghiep</v>
      </c>
      <c r="K62" s="25" t="str">
        <f>IFERROR(__xludf.DUMMYFUNCTION("IFERROR(INDEX(FILTER('Kế hoạch chèn link (mới)'!$C$3:$C$2213,'Kế hoạch chèn link (mới)'!$D$3:$D$2213=$B62),3),"""")"),"thuế hộ kinh doanh")</f>
        <v>thuế hộ kinh doanh</v>
      </c>
      <c r="L62" s="25" t="str">
        <f>IFERROR(__xludf.DUMMYFUNCTION("IFERROR(INDEX(FILTER('Kế hoạch chèn link (mới)'!$B$3:$B$2213,'Kế hoạch chèn link (mới)'!$D$3:$D$2213=$B62),3),"""")"),"https://techcombank.com/thong-tin/blog/ho-kinh-doanh-dong-thue-nhu-nao")</f>
        <v>https://techcombank.com/thong-tin/blog/ho-kinh-doanh-dong-thue-nhu-nao</v>
      </c>
      <c r="M62" s="25" t="str">
        <f>IFERROR(__xludf.DUMMYFUNCTION("IFERROR(INDEX(FILTER('Kế hoạch chèn link (mới)'!$C$3:$C$2213,'Kế hoạch chèn link (mới)'!$D$3:$D$2213=$B62),4),"""")"),"")</f>
        <v/>
      </c>
      <c r="N62" s="25" t="str">
        <f>IFERROR(__xludf.DUMMYFUNCTION("IFERROR(INDEX(FILTER('Kế hoạch chèn link (mới)'!$B$3:$B$2213,'Kế hoạch chèn link (mới)'!$D$3:$D$2213=$B62),4),"""")"),"")</f>
        <v/>
      </c>
      <c r="O62" s="25" t="str">
        <f>IFERROR(__xludf.DUMMYFUNCTION("IFERROR(INDEX(FILTER('Kế hoạch chèn link (mới)'!$C$3:$C$2213,'Kế hoạch chèn link (mới)'!$D$3:$D$2213=$B62),5),"""")"),"")</f>
        <v/>
      </c>
      <c r="P62" s="25" t="str">
        <f>IFERROR(__xludf.DUMMYFUNCTION("IFERROR(INDEX(FILTER('Kế hoạch chèn link (mới)'!$B$3:$B$2213,'Kế hoạch chèn link (mới)'!$D$3:$D$2213=$B62),5),"""")"),"")</f>
        <v/>
      </c>
    </row>
    <row r="63">
      <c r="A63" s="6">
        <f t="shared" si="1"/>
        <v>62</v>
      </c>
      <c r="B63" s="8" t="s">
        <v>1582</v>
      </c>
      <c r="C63" s="6">
        <f>COUNTIF('Kế hoạch chèn link (mới)'!$D$3:$D$2213,$B63)</f>
        <v>3</v>
      </c>
      <c r="D63" s="8" t="str">
        <f>IF(COUNTIFS('Kế hoạch chèn link (mới)'!$D$3:$D$2213,$B63,'Kế hoạch chèn link (mới)'!$I$3:$I$2213,"Đã chèn")&gt;=$C63,"Đã hoàn thành",IF(COUNTIFS('Kế hoạch chèn link (mới)'!$D$3:$D$2213,$B63,'Kế hoạch chèn link (mới)'!$I$3:$I$2213,"Đã chèn")&gt;0,"Đang làm","Chưa hoàn thành"))</f>
        <v>Chưa hoàn thành</v>
      </c>
      <c r="E63" s="8" t="b">
        <f t="shared" si="2"/>
        <v>0</v>
      </c>
      <c r="F63" s="25"/>
      <c r="G63" s="25" t="str">
        <f>IFERROR(__xludf.DUMMYFUNCTION("IFERROR(INDEX(FILTER('Kế hoạch chèn link (mới)'!$C$3:$C$2213,'Kế hoạch chèn link (mới)'!$D$3:$D$2213=$B63),1),"""")"),"mở tài khoản ngân hàng cho học sinh")</f>
        <v>mở tài khoản ngân hàng cho học sinh</v>
      </c>
      <c r="H63" s="25" t="str">
        <f>IFERROR(__xludf.DUMMYFUNCTION("IFERROR(INDEX(FILTER('Kế hoạch chèn link (mới)'!$B$3:$B$2213,'Kế hoạch chèn link (mới)'!$D$3:$D$2213=$B63),1),"""")"),"https://techcombank.com/thong-tin/blog/mo-tai-khoan-ngan-hang-duoi-18-tuoi")</f>
        <v>https://techcombank.com/thong-tin/blog/mo-tai-khoan-ngan-hang-duoi-18-tuoi</v>
      </c>
      <c r="I63" s="25" t="str">
        <f>IFERROR(__xludf.DUMMYFUNCTION("IFERROR(INDEX(FILTER('Kế hoạch chèn link (mới)'!$C$3:$C$2213,'Kế hoạch chèn link (mới)'!$D$3:$D$2213=$B63),2),"""")"),"tên đăng nhập tài khoản ngân hàng")</f>
        <v>tên đăng nhập tài khoản ngân hàng</v>
      </c>
      <c r="J63" s="25" t="str">
        <f>IFERROR(__xludf.DUMMYFUNCTION("IFERROR(INDEX(FILTER('Kế hoạch chèn link (mới)'!$B$3:$B$2213,'Kế hoạch chèn link (mới)'!$D$3:$D$2213=$B63),2),"""")"),"https://techcombank.com/thong-tin/blog/ten-dang-nhap-tai-khoan-ngan-hang-la-gi")</f>
        <v>https://techcombank.com/thong-tin/blog/ten-dang-nhap-tai-khoan-ngan-hang-la-gi</v>
      </c>
      <c r="K63" s="25" t="str">
        <f>IFERROR(__xludf.DUMMYFUNCTION("IFERROR(INDEX(FILTER('Kế hoạch chèn link (mới)'!$C$3:$C$2213,'Kế hoạch chèn link (mới)'!$D$3:$D$2213=$B63),3),"""")"),"thấu chi là gì")</f>
        <v>thấu chi là gì</v>
      </c>
      <c r="L63" s="25" t="str">
        <f>IFERROR(__xludf.DUMMYFUNCTION("IFERROR(INDEX(FILTER('Kế hoạch chèn link (mới)'!$B$3:$B$2213,'Kế hoạch chèn link (mới)'!$D$3:$D$2213=$B63),3),"""")"),"https://techcombank.com/thong-tin/blog/vay-thau-chi-la-gi")</f>
        <v>https://techcombank.com/thong-tin/blog/vay-thau-chi-la-gi</v>
      </c>
      <c r="M63" s="25" t="str">
        <f>IFERROR(__xludf.DUMMYFUNCTION("IFERROR(INDEX(FILTER('Kế hoạch chèn link (mới)'!$C$3:$C$2213,'Kế hoạch chèn link (mới)'!$D$3:$D$2213=$B63),4),"""")"),"")</f>
        <v/>
      </c>
      <c r="N63" s="25" t="str">
        <f>IFERROR(__xludf.DUMMYFUNCTION("IFERROR(INDEX(FILTER('Kế hoạch chèn link (mới)'!$B$3:$B$2213,'Kế hoạch chèn link (mới)'!$D$3:$D$2213=$B63),4),"""")"),"")</f>
        <v/>
      </c>
      <c r="O63" s="25" t="str">
        <f>IFERROR(__xludf.DUMMYFUNCTION("IFERROR(INDEX(FILTER('Kế hoạch chèn link (mới)'!$C$3:$C$2213,'Kế hoạch chèn link (mới)'!$D$3:$D$2213=$B63),5),"""")"),"")</f>
        <v/>
      </c>
      <c r="P63" s="25" t="str">
        <f>IFERROR(__xludf.DUMMYFUNCTION("IFERROR(INDEX(FILTER('Kế hoạch chèn link (mới)'!$B$3:$B$2213,'Kế hoạch chèn link (mới)'!$D$3:$D$2213=$B63),5),"""")"),"")</f>
        <v/>
      </c>
    </row>
    <row r="64">
      <c r="A64" s="6">
        <f t="shared" si="1"/>
        <v>63</v>
      </c>
      <c r="B64" s="8" t="s">
        <v>1597</v>
      </c>
      <c r="C64" s="6">
        <f>COUNTIF('Kế hoạch chèn link (mới)'!$D$3:$D$2213,$B64)</f>
        <v>4</v>
      </c>
      <c r="D64" s="8" t="str">
        <f>IF(COUNTIFS('Kế hoạch chèn link (mới)'!$D$3:$D$2213,$B64,'Kế hoạch chèn link (mới)'!$I$3:$I$2213,"Đã chèn")&gt;=$C64,"Đã hoàn thành",IF(COUNTIFS('Kế hoạch chèn link (mới)'!$D$3:$D$2213,$B64,'Kế hoạch chèn link (mới)'!$I$3:$I$2213,"Đã chèn")&gt;0,"Đang làm","Chưa hoàn thành"))</f>
        <v>Chưa hoàn thành</v>
      </c>
      <c r="E64" s="8" t="b">
        <f t="shared" si="2"/>
        <v>0</v>
      </c>
      <c r="F64" s="25"/>
      <c r="G64" s="25" t="str">
        <f>IFERROR(__xludf.DUMMYFUNCTION("IFERROR(INDEX(FILTER('Kế hoạch chèn link (mới)'!$C$3:$C$2213,'Kế hoạch chèn link (mới)'!$D$3:$D$2213=$B64),1),"""")"),"tra tài khoản ngân hàng")</f>
        <v>tra tài khoản ngân hàng</v>
      </c>
      <c r="H64" s="25" t="str">
        <f>IFERROR(__xludf.DUMMYFUNCTION("IFERROR(INDEX(FILTER('Kế hoạch chèn link (mới)'!$B$3:$B$2213,'Kế hoạch chèn link (mới)'!$D$3:$D$2213=$B64),1),"""")"),"https://techcombank.com/thong-tin/blog/cach-kiem-tra-tai-khoan-ngan-hang")</f>
        <v>https://techcombank.com/thong-tin/blog/cach-kiem-tra-tai-khoan-ngan-hang</v>
      </c>
      <c r="I64" s="25" t="str">
        <f>IFERROR(__xludf.DUMMYFUNCTION("IFERROR(INDEX(FILTER('Kế hoạch chèn link (mới)'!$C$3:$C$2213,'Kế hoạch chèn link (mới)'!$D$3:$D$2213=$B64),2),"""")"),"bao nhiêu tuổi được mở tài khoản ngân hàng")</f>
        <v>bao nhiêu tuổi được mở tài khoản ngân hàng</v>
      </c>
      <c r="J64" s="25" t="str">
        <f>IFERROR(__xludf.DUMMYFUNCTION("IFERROR(INDEX(FILTER('Kế hoạch chèn link (mới)'!$B$3:$B$2213,'Kế hoạch chèn link (mới)'!$D$3:$D$2213=$B64),2),"""")"),"https://techcombank.com/thong-tin/blog/bao-nhieu-tuoi-duoc-mo-tai-khoan-ngan-hang")</f>
        <v>https://techcombank.com/thong-tin/blog/bao-nhieu-tuoi-duoc-mo-tai-khoan-ngan-hang</v>
      </c>
      <c r="K64" s="25" t="str">
        <f>IFERROR(__xludf.DUMMYFUNCTION("IFERROR(INDEX(FILTER('Kế hoạch chèn link (mới)'!$C$3:$C$2213,'Kế hoạch chèn link (mới)'!$D$3:$D$2213=$B64),3),"""")"),"mở tài khoản ngân hàng cho học sinh")</f>
        <v>mở tài khoản ngân hàng cho học sinh</v>
      </c>
      <c r="L64" s="25" t="str">
        <f>IFERROR(__xludf.DUMMYFUNCTION("IFERROR(INDEX(FILTER('Kế hoạch chèn link (mới)'!$B$3:$B$2213,'Kế hoạch chèn link (mới)'!$D$3:$D$2213=$B64),3),"""")"),"https://techcombank.com/thong-tin/blog/mo-tai-khoan-ngan-hang-duoi-18-tuoi")</f>
        <v>https://techcombank.com/thong-tin/blog/mo-tai-khoan-ngan-hang-duoi-18-tuoi</v>
      </c>
      <c r="M64" s="25" t="str">
        <f>IFERROR(__xludf.DUMMYFUNCTION("IFERROR(INDEX(FILTER('Kế hoạch chèn link (mới)'!$C$3:$C$2213,'Kế hoạch chèn link (mới)'!$D$3:$D$2213=$B64),4),"""")"),"số tài khoản phát tài phát lộc")</f>
        <v>số tài khoản phát tài phát lộc</v>
      </c>
      <c r="N64" s="25" t="str">
        <f>IFERROR(__xludf.DUMMYFUNCTION("IFERROR(INDEX(FILTER('Kế hoạch chèn link (mới)'!$B$3:$B$2213,'Kế hoạch chèn link (mới)'!$D$3:$D$2213=$B64),4),"""")"),"https://techcombank.com/thong-tin/blog/day-so-phat-tai-phat-loc")</f>
        <v>https://techcombank.com/thong-tin/blog/day-so-phat-tai-phat-loc</v>
      </c>
      <c r="O64" s="25" t="str">
        <f>IFERROR(__xludf.DUMMYFUNCTION("IFERROR(INDEX(FILTER('Kế hoạch chèn link (mới)'!$C$3:$C$2213,'Kế hoạch chèn link (mới)'!$D$3:$D$2213=$B64),5),"""")"),"")</f>
        <v/>
      </c>
      <c r="P64" s="25" t="str">
        <f>IFERROR(__xludf.DUMMYFUNCTION("IFERROR(INDEX(FILTER('Kế hoạch chèn link (mới)'!$B$3:$B$2213,'Kế hoạch chèn link (mới)'!$D$3:$D$2213=$B64),5),"""")"),"")</f>
        <v/>
      </c>
    </row>
    <row r="65">
      <c r="A65" s="6">
        <f t="shared" si="1"/>
        <v>64</v>
      </c>
      <c r="B65" s="8" t="s">
        <v>1369</v>
      </c>
      <c r="C65" s="6">
        <f>COUNTIF('Kế hoạch chèn link (mới)'!$D$3:$D$2213,$B65)</f>
        <v>4</v>
      </c>
      <c r="D65" s="8" t="str">
        <f>IF(COUNTIFS('Kế hoạch chèn link (mới)'!$D$3:$D$2213,$B65,'Kế hoạch chèn link (mới)'!$I$3:$I$2213,"Đã chèn")&gt;=$C65,"Đã hoàn thành",IF(COUNTIFS('Kế hoạch chèn link (mới)'!$D$3:$D$2213,$B65,'Kế hoạch chèn link (mới)'!$I$3:$I$2213,"Đã chèn")&gt;0,"Đang làm","Chưa hoàn thành"))</f>
        <v>Chưa hoàn thành</v>
      </c>
      <c r="E65" s="8" t="b">
        <f t="shared" si="2"/>
        <v>0</v>
      </c>
      <c r="F65" s="25"/>
      <c r="G65" s="25" t="str">
        <f>IFERROR(__xludf.DUMMYFUNCTION("IFERROR(INDEX(FILTER('Kế hoạch chèn link (mới)'!$C$3:$C$2213,'Kế hoạch chèn link (mới)'!$D$3:$D$2213=$B65),1),"""")"),"cách nạp tiền điện thoại viettel")</f>
        <v>cách nạp tiền điện thoại viettel</v>
      </c>
      <c r="H65" s="25" t="str">
        <f>IFERROR(__xludf.DUMMYFUNCTION("IFERROR(INDEX(FILTER('Kế hoạch chèn link (mới)'!$B$3:$B$2213,'Kế hoạch chèn link (mới)'!$D$3:$D$2213=$B65),1),"""")"),"https://techcombank.com/thong-tin/blog/cach-nap-the-viettel")</f>
        <v>https://techcombank.com/thong-tin/blog/cach-nap-the-viettel</v>
      </c>
      <c r="I65" s="25" t="str">
        <f>IFERROR(__xludf.DUMMYFUNCTION("IFERROR(INDEX(FILTER('Kế hoạch chèn link (mới)'!$C$3:$C$2213,'Kế hoạch chèn link (mới)'!$D$3:$D$2213=$B65),2),"""")"),"tra tài khoản ngân hàng")</f>
        <v>tra tài khoản ngân hàng</v>
      </c>
      <c r="J65" s="25" t="str">
        <f>IFERROR(__xludf.DUMMYFUNCTION("IFERROR(INDEX(FILTER('Kế hoạch chèn link (mới)'!$B$3:$B$2213,'Kế hoạch chèn link (mới)'!$D$3:$D$2213=$B65),2),"""")"),"https://techcombank.com/thong-tin/blog/cach-kiem-tra-tai-khoan-ngan-hang")</f>
        <v>https://techcombank.com/thong-tin/blog/cach-kiem-tra-tai-khoan-ngan-hang</v>
      </c>
      <c r="K65" s="25" t="str">
        <f>IFERROR(__xludf.DUMMYFUNCTION("IFERROR(INDEX(FILTER('Kế hoạch chèn link (mới)'!$C$3:$C$2213,'Kế hoạch chèn link (mới)'!$D$3:$D$2213=$B65),3),"""")"),"chuyển tiền thành công nhưng chưa nhận được")</f>
        <v>chuyển tiền thành công nhưng chưa nhận được</v>
      </c>
      <c r="L65" s="25" t="str">
        <f>IFERROR(__xludf.DUMMYFUNCTION("IFERROR(INDEX(FILTER('Kế hoạch chèn link (mới)'!$B$3:$B$2213,'Kế hoạch chèn link (mới)'!$D$3:$D$2213=$B65),3),"""")"),"https://techcombank.com/thong-tin/blog/chuyen-khoan-thanh-cong-nhung-khong-nhan-duoc-tien")</f>
        <v>https://techcombank.com/thong-tin/blog/chuyen-khoan-thanh-cong-nhung-khong-nhan-duoc-tien</v>
      </c>
      <c r="M65" s="25" t="str">
        <f>IFERROR(__xludf.DUMMYFUNCTION("IFERROR(INDEX(FILTER('Kế hoạch chèn link (mới)'!$C$3:$C$2213,'Kế hoạch chèn link (mới)'!$D$3:$D$2213=$B65),4),"""")"),"gửi mã QR ngân hàng")</f>
        <v>gửi mã QR ngân hàng</v>
      </c>
      <c r="N65" s="25" t="str">
        <f>IFERROR(__xludf.DUMMYFUNCTION("IFERROR(INDEX(FILTER('Kế hoạch chèn link (mới)'!$B$3:$B$2213,'Kế hoạch chèn link (mới)'!$D$3:$D$2213=$B65),4),"""")"),"https://techcombank.com/thong-tin/blog/gui-ma-qr-ngan-hang")</f>
        <v>https://techcombank.com/thong-tin/blog/gui-ma-qr-ngan-hang</v>
      </c>
      <c r="O65" s="25" t="str">
        <f>IFERROR(__xludf.DUMMYFUNCTION("IFERROR(INDEX(FILTER('Kế hoạch chèn link (mới)'!$C$3:$C$2213,'Kế hoạch chèn link (mới)'!$D$3:$D$2213=$B65),5),"""")"),"")</f>
        <v/>
      </c>
      <c r="P65" s="25" t="str">
        <f>IFERROR(__xludf.DUMMYFUNCTION("IFERROR(INDEX(FILTER('Kế hoạch chèn link (mới)'!$B$3:$B$2213,'Kế hoạch chèn link (mới)'!$D$3:$D$2213=$B65),5),"""")"),"")</f>
        <v/>
      </c>
    </row>
    <row r="66">
      <c r="A66" s="6">
        <f t="shared" si="1"/>
        <v>65</v>
      </c>
      <c r="B66" s="8" t="s">
        <v>1621</v>
      </c>
      <c r="C66" s="6">
        <f>COUNTIF('Kế hoạch chèn link (mới)'!$D$3:$D$2213,$B66)</f>
        <v>4</v>
      </c>
      <c r="D66" s="8" t="str">
        <f>IF(COUNTIFS('Kế hoạch chèn link (mới)'!$D$3:$D$2213,$B66,'Kế hoạch chèn link (mới)'!$I$3:$I$2213,"Đã chèn")&gt;=$C66,"Đã hoàn thành",IF(COUNTIFS('Kế hoạch chèn link (mới)'!$D$3:$D$2213,$B66,'Kế hoạch chèn link (mới)'!$I$3:$I$2213,"Đã chèn")&gt;0,"Đang làm","Chưa hoàn thành"))</f>
        <v>Chưa hoàn thành</v>
      </c>
      <c r="E66" s="8" t="b">
        <f t="shared" si="2"/>
        <v>0</v>
      </c>
      <c r="F66" s="25"/>
      <c r="G66" s="25" t="str">
        <f>IFERROR(__xludf.DUMMYFUNCTION("IFERROR(INDEX(FILTER('Kế hoạch chèn link (mới)'!$C$3:$C$2213,'Kế hoạch chèn link (mới)'!$D$3:$D$2213=$B66),1),"""")"),"tra số tài khoản ngân hàng")</f>
        <v>tra số tài khoản ngân hàng</v>
      </c>
      <c r="H66" s="25" t="str">
        <f>IFERROR(__xludf.DUMMYFUNCTION("IFERROR(INDEX(FILTER('Kế hoạch chèn link (mới)'!$B$3:$B$2213,'Kế hoạch chèn link (mới)'!$D$3:$D$2213=$B66),1),"""")"),"https://techcombank.com/thong-tin/blog/cach-kiem-tra-tai-khoan-ngan-hang")</f>
        <v>https://techcombank.com/thong-tin/blog/cach-kiem-tra-tai-khoan-ngan-hang</v>
      </c>
      <c r="I66" s="25" t="str">
        <f>IFERROR(__xludf.DUMMYFUNCTION("IFERROR(INDEX(FILTER('Kế hoạch chèn link (mới)'!$C$3:$C$2213,'Kế hoạch chèn link (mới)'!$D$3:$D$2213=$B66),2),"""")"),"tiền chuyển khoản bị treo")</f>
        <v>tiền chuyển khoản bị treo</v>
      </c>
      <c r="J66" s="25" t="str">
        <f>IFERROR(__xludf.DUMMYFUNCTION("IFERROR(INDEX(FILTER('Kế hoạch chèn link (mới)'!$B$3:$B$2213,'Kế hoạch chèn link (mới)'!$D$3:$D$2213=$B66),2),"""")"),"https://techcombank.com/thong-tin/blog/chuyen-khoan-thanh-cong-nhung-khong-nhan-duoc-tien")</f>
        <v>https://techcombank.com/thong-tin/blog/chuyen-khoan-thanh-cong-nhung-khong-nhan-duoc-tien</v>
      </c>
      <c r="K66" s="25" t="str">
        <f>IFERROR(__xludf.DUMMYFUNCTION("IFERROR(INDEX(FILTER('Kế hoạch chèn link (mới)'!$C$3:$C$2213,'Kế hoạch chèn link (mới)'!$D$3:$D$2213=$B66),3),"""")"),"mở tài khoản ngân hàng cho học sinh")</f>
        <v>mở tài khoản ngân hàng cho học sinh</v>
      </c>
      <c r="L66" s="25" t="str">
        <f>IFERROR(__xludf.DUMMYFUNCTION("IFERROR(INDEX(FILTER('Kế hoạch chèn link (mới)'!$B$3:$B$2213,'Kế hoạch chèn link (mới)'!$D$3:$D$2213=$B66),3),"""")"),"https://techcombank.com/thong-tin/blog/mo-tai-khoan-ngan-hang-duoi-18-tuoi")</f>
        <v>https://techcombank.com/thong-tin/blog/mo-tai-khoan-ngan-hang-duoi-18-tuoi</v>
      </c>
      <c r="M66" s="25" t="str">
        <f>IFERROR(__xludf.DUMMYFUNCTION("IFERROR(INDEX(FILTER('Kế hoạch chèn link (mới)'!$C$3:$C$2213,'Kế hoạch chèn link (mới)'!$D$3:$D$2213=$B66),4),"""")"),"cách gửi mã QR ngân hàng")</f>
        <v>cách gửi mã QR ngân hàng</v>
      </c>
      <c r="N66" s="25" t="str">
        <f>IFERROR(__xludf.DUMMYFUNCTION("IFERROR(INDEX(FILTER('Kế hoạch chèn link (mới)'!$B$3:$B$2213,'Kế hoạch chèn link (mới)'!$D$3:$D$2213=$B66),4),"""")"),"https://techcombank.com/thong-tin/blog/gui-ma-qr-ngan-hang")</f>
        <v>https://techcombank.com/thong-tin/blog/gui-ma-qr-ngan-hang</v>
      </c>
      <c r="O66" s="25" t="str">
        <f>IFERROR(__xludf.DUMMYFUNCTION("IFERROR(INDEX(FILTER('Kế hoạch chèn link (mới)'!$C$3:$C$2213,'Kế hoạch chèn link (mới)'!$D$3:$D$2213=$B66),5),"""")"),"")</f>
        <v/>
      </c>
      <c r="P66" s="25" t="str">
        <f>IFERROR(__xludf.DUMMYFUNCTION("IFERROR(INDEX(FILTER('Kế hoạch chèn link (mới)'!$B$3:$B$2213,'Kế hoạch chèn link (mới)'!$D$3:$D$2213=$B66),5),"""")"),"")</f>
        <v/>
      </c>
    </row>
    <row r="67">
      <c r="A67" s="6">
        <f t="shared" si="1"/>
        <v>66</v>
      </c>
      <c r="B67" s="8" t="s">
        <v>1639</v>
      </c>
      <c r="C67" s="6">
        <f>COUNTIF('Kế hoạch chèn link (mới)'!$D$3:$D$2213,$B67)</f>
        <v>4</v>
      </c>
      <c r="D67" s="8" t="str">
        <f>IF(COUNTIFS('Kế hoạch chèn link (mới)'!$D$3:$D$2213,$B67,'Kế hoạch chèn link (mới)'!$I$3:$I$2213,"Đã chèn")&gt;=$C67,"Đã hoàn thành",IF(COUNTIFS('Kế hoạch chèn link (mới)'!$D$3:$D$2213,$B67,'Kế hoạch chèn link (mới)'!$I$3:$I$2213,"Đã chèn")&gt;0,"Đang làm","Chưa hoàn thành"))</f>
        <v>Chưa hoàn thành</v>
      </c>
      <c r="E67" s="8" t="b">
        <f t="shared" si="2"/>
        <v>0</v>
      </c>
      <c r="F67" s="25"/>
      <c r="G67" s="25" t="str">
        <f>IFERROR(__xludf.DUMMYFUNCTION("IFERROR(INDEX(FILTER('Kế hoạch chèn link (mới)'!$C$3:$C$2213,'Kế hoạch chèn link (mới)'!$D$3:$D$2213=$B67),1),"""")"),"chuyển khoản thành công nhưng không nhận được tiền")</f>
        <v>chuyển khoản thành công nhưng không nhận được tiền</v>
      </c>
      <c r="H67" s="25" t="str">
        <f>IFERROR(__xludf.DUMMYFUNCTION("IFERROR(INDEX(FILTER('Kế hoạch chèn link (mới)'!$B$3:$B$2213,'Kế hoạch chèn link (mới)'!$D$3:$D$2213=$B67),1),"""")"),"https://techcombank.com/thong-tin/blog/chuyen-khoan-thanh-cong-nhung-khong-nhan-duoc-tien")</f>
        <v>https://techcombank.com/thong-tin/blog/chuyen-khoan-thanh-cong-nhung-khong-nhan-duoc-tien</v>
      </c>
      <c r="I67" s="25" t="str">
        <f>IFERROR(__xludf.DUMMYFUNCTION("IFERROR(INDEX(FILTER('Kế hoạch chèn link (mới)'!$C$3:$C$2213,'Kế hoạch chèn link (mới)'!$D$3:$D$2213=$B67),2),"""")"),"bao nhiêu tuổi được mở tài khoản ngân hàng")</f>
        <v>bao nhiêu tuổi được mở tài khoản ngân hàng</v>
      </c>
      <c r="J67" s="25" t="str">
        <f>IFERROR(__xludf.DUMMYFUNCTION("IFERROR(INDEX(FILTER('Kế hoạch chèn link (mới)'!$B$3:$B$2213,'Kế hoạch chèn link (mới)'!$D$3:$D$2213=$B67),2),"""")"),"https://techcombank.com/thong-tin/blog/bao-nhieu-tuoi-duoc-mo-tai-khoan-ngan-hang")</f>
        <v>https://techcombank.com/thong-tin/blog/bao-nhieu-tuoi-duoc-mo-tai-khoan-ngan-hang</v>
      </c>
      <c r="K67" s="25" t="str">
        <f>IFERROR(__xludf.DUMMYFUNCTION("IFERROR(INDEX(FILTER('Kế hoạch chèn link (mới)'!$C$3:$C$2213,'Kế hoạch chèn link (mới)'!$D$3:$D$2213=$B67),3),"""")"),"gửi mã QR ngân hàng")</f>
        <v>gửi mã QR ngân hàng</v>
      </c>
      <c r="L67" s="25" t="str">
        <f>IFERROR(__xludf.DUMMYFUNCTION("IFERROR(INDEX(FILTER('Kế hoạch chèn link (mới)'!$B$3:$B$2213,'Kế hoạch chèn link (mới)'!$D$3:$D$2213=$B67),3),"""")"),"https://techcombank.com/thong-tin/blog/gui-ma-qr-ngan-hang")</f>
        <v>https://techcombank.com/thong-tin/blog/gui-ma-qr-ngan-hang</v>
      </c>
      <c r="M67" s="25" t="str">
        <f>IFERROR(__xludf.DUMMYFUNCTION("IFERROR(INDEX(FILTER('Kế hoạch chèn link (mới)'!$C$3:$C$2213,'Kế hoạch chèn link (mới)'!$D$3:$D$2213=$B67),4),"""")"),"nên vay tín chấp ở đâu")</f>
        <v>nên vay tín chấp ở đâu</v>
      </c>
      <c r="N67" s="25" t="str">
        <f>IFERROR(__xludf.DUMMYFUNCTION("IFERROR(INDEX(FILTER('Kế hoạch chèn link (mới)'!$B$3:$B$2213,'Kế hoạch chèn link (mới)'!$D$3:$D$2213=$B67),4),"""")"),"https://techcombank.com/thong-tin/blog/nen-vay-tin-chap-o-dau")</f>
        <v>https://techcombank.com/thong-tin/blog/nen-vay-tin-chap-o-dau</v>
      </c>
      <c r="O67" s="25" t="str">
        <f>IFERROR(__xludf.DUMMYFUNCTION("IFERROR(INDEX(FILTER('Kế hoạch chèn link (mới)'!$C$3:$C$2213,'Kế hoạch chèn link (mới)'!$D$3:$D$2213=$B67),5),"""")"),"")</f>
        <v/>
      </c>
      <c r="P67" s="25" t="str">
        <f>IFERROR(__xludf.DUMMYFUNCTION("IFERROR(INDEX(FILTER('Kế hoạch chèn link (mới)'!$B$3:$B$2213,'Kế hoạch chèn link (mới)'!$D$3:$D$2213=$B67),5),"""")"),"")</f>
        <v/>
      </c>
    </row>
    <row r="68">
      <c r="A68" s="6">
        <f t="shared" si="1"/>
        <v>67</v>
      </c>
      <c r="B68" s="8" t="s">
        <v>1658</v>
      </c>
      <c r="C68" s="6">
        <f>COUNTIF('Kế hoạch chèn link (mới)'!$D$3:$D$2213,$B68)</f>
        <v>1</v>
      </c>
      <c r="D68" s="8" t="str">
        <f>IF(COUNTIFS('Kế hoạch chèn link (mới)'!$D$3:$D$2213,$B68,'Kế hoạch chèn link (mới)'!$I$3:$I$2213,"Đã chèn")&gt;=$C68,"Đã hoàn thành",IF(COUNTIFS('Kế hoạch chèn link (mới)'!$D$3:$D$2213,$B68,'Kế hoạch chèn link (mới)'!$I$3:$I$2213,"Đã chèn")&gt;0,"Đang làm","Chưa hoàn thành"))</f>
        <v>Chưa hoàn thành</v>
      </c>
      <c r="E68" s="8" t="b">
        <f t="shared" si="2"/>
        <v>0</v>
      </c>
      <c r="F68" s="25"/>
      <c r="G68" s="25" t="str">
        <f>IFERROR(__xludf.DUMMYFUNCTION("IFERROR(INDEX(FILTER('Kế hoạch chèn link (mới)'!$C$3:$C$2213,'Kế hoạch chèn link (mới)'!$D$3:$D$2213=$B68),1),"""")"),"cách quét NFC căn cước")</f>
        <v>cách quét NFC căn cước</v>
      </c>
      <c r="H68" s="25" t="str">
        <f>IFERROR(__xludf.DUMMYFUNCTION("IFERROR(INDEX(FILTER('Kế hoạch chèn link (mới)'!$B$3:$B$2213,'Kế hoạch chèn link (mới)'!$D$3:$D$2213=$B68),1),"""")"),"https://techcombank.com/thong-tin/blog/cach-quet-nfc-cccd-tren-iphone")</f>
        <v>https://techcombank.com/thong-tin/blog/cach-quet-nfc-cccd-tren-iphone</v>
      </c>
      <c r="I68" s="25" t="str">
        <f>IFERROR(__xludf.DUMMYFUNCTION("IFERROR(INDEX(FILTER('Kế hoạch chèn link (mới)'!$C$3:$C$2213,'Kế hoạch chèn link (mới)'!$D$3:$D$2213=$B68),2),"""")"),"")</f>
        <v/>
      </c>
      <c r="J68" s="25" t="str">
        <f>IFERROR(__xludf.DUMMYFUNCTION("IFERROR(INDEX(FILTER('Kế hoạch chèn link (mới)'!$B$3:$B$2213,'Kế hoạch chèn link (mới)'!$D$3:$D$2213=$B68),2),"""")"),"")</f>
        <v/>
      </c>
      <c r="K68" s="25" t="str">
        <f>IFERROR(__xludf.DUMMYFUNCTION("IFERROR(INDEX(FILTER('Kế hoạch chèn link (mới)'!$C$3:$C$2213,'Kế hoạch chèn link (mới)'!$D$3:$D$2213=$B68),3),"""")"),"")</f>
        <v/>
      </c>
      <c r="L68" s="25" t="str">
        <f>IFERROR(__xludf.DUMMYFUNCTION("IFERROR(INDEX(FILTER('Kế hoạch chèn link (mới)'!$B$3:$B$2213,'Kế hoạch chèn link (mới)'!$D$3:$D$2213=$B68),3),"""")"),"")</f>
        <v/>
      </c>
      <c r="M68" s="25" t="str">
        <f>IFERROR(__xludf.DUMMYFUNCTION("IFERROR(INDEX(FILTER('Kế hoạch chèn link (mới)'!$C$3:$C$2213,'Kế hoạch chèn link (mới)'!$D$3:$D$2213=$B68),4),"""")"),"")</f>
        <v/>
      </c>
      <c r="N68" s="25" t="str">
        <f>IFERROR(__xludf.DUMMYFUNCTION("IFERROR(INDEX(FILTER('Kế hoạch chèn link (mới)'!$B$3:$B$2213,'Kế hoạch chèn link (mới)'!$D$3:$D$2213=$B68),4),"""")"),"")</f>
        <v/>
      </c>
      <c r="O68" s="25" t="str">
        <f>IFERROR(__xludf.DUMMYFUNCTION("IFERROR(INDEX(FILTER('Kế hoạch chèn link (mới)'!$C$3:$C$2213,'Kế hoạch chèn link (mới)'!$D$3:$D$2213=$B68),5),"""")"),"")</f>
        <v/>
      </c>
      <c r="P68" s="25" t="str">
        <f>IFERROR(__xludf.DUMMYFUNCTION("IFERROR(INDEX(FILTER('Kế hoạch chèn link (mới)'!$B$3:$B$2213,'Kế hoạch chèn link (mới)'!$D$3:$D$2213=$B68),5),"""")"),"")</f>
        <v/>
      </c>
    </row>
    <row r="69">
      <c r="A69" s="6">
        <f t="shared" si="1"/>
        <v>68</v>
      </c>
      <c r="B69" s="8" t="s">
        <v>1666</v>
      </c>
      <c r="C69" s="6">
        <f>COUNTIF('Kế hoạch chèn link (mới)'!$D$3:$D$2213,$B69)</f>
        <v>4</v>
      </c>
      <c r="D69" s="8" t="str">
        <f>IF(COUNTIFS('Kế hoạch chèn link (mới)'!$D$3:$D$2213,$B69,'Kế hoạch chèn link (mới)'!$I$3:$I$2213,"Đã chèn")&gt;=$C69,"Đã hoàn thành",IF(COUNTIFS('Kế hoạch chèn link (mới)'!$D$3:$D$2213,$B69,'Kế hoạch chèn link (mới)'!$I$3:$I$2213,"Đã chèn")&gt;0,"Đang làm","Chưa hoàn thành"))</f>
        <v>Chưa hoàn thành</v>
      </c>
      <c r="E69" s="8" t="b">
        <f t="shared" si="2"/>
        <v>0</v>
      </c>
      <c r="F69" s="25"/>
      <c r="G69" s="25" t="str">
        <f>IFERROR(__xludf.DUMMYFUNCTION("IFERROR(INDEX(FILTER('Kế hoạch chèn link (mới)'!$C$3:$C$2213,'Kế hoạch chèn link (mới)'!$D$3:$D$2213=$B69),1),"""")"),"thuế hộ kinh doanh")</f>
        <v>thuế hộ kinh doanh</v>
      </c>
      <c r="H69" s="25" t="str">
        <f>IFERROR(__xludf.DUMMYFUNCTION("IFERROR(INDEX(FILTER('Kế hoạch chèn link (mới)'!$B$3:$B$2213,'Kế hoạch chèn link (mới)'!$D$3:$D$2213=$B69),1),"""")"),"https://techcombank.com/thong-tin/blog/ho-kinh-doanh-dong-thue-nhu-nao")</f>
        <v>https://techcombank.com/thong-tin/blog/ho-kinh-doanh-dong-thue-nhu-nao</v>
      </c>
      <c r="I69" s="25" t="str">
        <f>IFERROR(__xludf.DUMMYFUNCTION("IFERROR(INDEX(FILTER('Kế hoạch chèn link (mới)'!$C$3:$C$2213,'Kế hoạch chèn link (mới)'!$D$3:$D$2213=$B69),2),"""")"),"mở tài khoản hộ kinh doanh")</f>
        <v>mở tài khoản hộ kinh doanh</v>
      </c>
      <c r="J69" s="25" t="str">
        <f>IFERROR(__xludf.DUMMYFUNCTION("IFERROR(INDEX(FILTER('Kế hoạch chèn link (mới)'!$B$3:$B$2213,'Kế hoạch chèn link (mới)'!$D$3:$D$2213=$B69),2),"""")"),"https://techcombank.com/thong-tin/blog/mo-tai-khoan-ho-kinh-doanh")</f>
        <v>https://techcombank.com/thong-tin/blog/mo-tai-khoan-ho-kinh-doanh</v>
      </c>
      <c r="K69" s="25" t="str">
        <f>IFERROR(__xludf.DUMMYFUNCTION("IFERROR(INDEX(FILTER('Kế hoạch chèn link (mới)'!$C$3:$C$2213,'Kế hoạch chèn link (mới)'!$D$3:$D$2213=$B69),3),"""")"),"cách tính thuế hộ kinh doanh")</f>
        <v>cách tính thuế hộ kinh doanh</v>
      </c>
      <c r="L69" s="25" t="str">
        <f>IFERROR(__xludf.DUMMYFUNCTION("IFERROR(INDEX(FILTER('Kế hoạch chèn link (mới)'!$B$3:$B$2213,'Kế hoạch chèn link (mới)'!$D$3:$D$2213=$B69),3),"""")"),"https://techcombank.com/thong-tin/blog/cach-tinh-thue-ho-kinh-doanh-nho-le")</f>
        <v>https://techcombank.com/thong-tin/blog/cach-tinh-thue-ho-kinh-doanh-nho-le</v>
      </c>
      <c r="M69" s="25" t="str">
        <f>IFERROR(__xludf.DUMMYFUNCTION("IFERROR(INDEX(FILTER('Kế hoạch chèn link (mới)'!$C$3:$C$2213,'Kế hoạch chèn link (mới)'!$D$3:$D$2213=$B69),4),"""")"),"vay")</f>
        <v>vay</v>
      </c>
      <c r="N69" s="25" t="str">
        <f>IFERROR(__xludf.DUMMYFUNCTION("IFERROR(INDEX(FILTER('Kế hoạch chèn link (mới)'!$B$3:$B$2213,'Kế hoạch chèn link (mới)'!$D$3:$D$2213=$B69),4),"""")"),"https://techcombank.com/thong-tin/blog/app-vay-tien-nhanh")</f>
        <v>https://techcombank.com/thong-tin/blog/app-vay-tien-nhanh</v>
      </c>
      <c r="O69" s="25" t="str">
        <f>IFERROR(__xludf.DUMMYFUNCTION("IFERROR(INDEX(FILTER('Kế hoạch chèn link (mới)'!$C$3:$C$2213,'Kế hoạch chèn link (mới)'!$D$3:$D$2213=$B69),5),"""")"),"")</f>
        <v/>
      </c>
      <c r="P69" s="25" t="str">
        <f>IFERROR(__xludf.DUMMYFUNCTION("IFERROR(INDEX(FILTER('Kế hoạch chèn link (mới)'!$B$3:$B$2213,'Kế hoạch chèn link (mới)'!$D$3:$D$2213=$B69),5),"""")"),"")</f>
        <v/>
      </c>
    </row>
    <row r="70">
      <c r="A70" s="6">
        <f t="shared" si="1"/>
        <v>69</v>
      </c>
      <c r="B70" s="8" t="s">
        <v>1679</v>
      </c>
      <c r="C70" s="6">
        <f>COUNTIF('Kế hoạch chèn link (mới)'!$D$3:$D$2213,$B70)</f>
        <v>3</v>
      </c>
      <c r="D70" s="8" t="str">
        <f>IF(COUNTIFS('Kế hoạch chèn link (mới)'!$D$3:$D$2213,$B70,'Kế hoạch chèn link (mới)'!$I$3:$I$2213,"Đã chèn")&gt;=$C70,"Đã hoàn thành",IF(COUNTIFS('Kế hoạch chèn link (mới)'!$D$3:$D$2213,$B70,'Kế hoạch chèn link (mới)'!$I$3:$I$2213,"Đã chèn")&gt;0,"Đang làm","Chưa hoàn thành"))</f>
        <v>Chưa hoàn thành</v>
      </c>
      <c r="E70" s="8" t="b">
        <f t="shared" si="2"/>
        <v>0</v>
      </c>
      <c r="F70" s="25"/>
      <c r="G70" s="25" t="str">
        <f>IFERROR(__xludf.DUMMYFUNCTION("IFERROR(INDEX(FILTER('Kế hoạch chèn link (mới)'!$C$3:$C$2213,'Kế hoạch chèn link (mới)'!$D$3:$D$2213=$B70),1),"""")"),"quét NFC CCCD trên iPhone")</f>
        <v>quét NFC CCCD trên iPhone</v>
      </c>
      <c r="H70" s="25" t="str">
        <f>IFERROR(__xludf.DUMMYFUNCTION("IFERROR(INDEX(FILTER('Kế hoạch chèn link (mới)'!$B$3:$B$2213,'Kế hoạch chèn link (mới)'!$D$3:$D$2213=$B70),1),"""")"),"https://techcombank.com/thong-tin/blog/cach-quet-nfc-cccd-tren-iphone")</f>
        <v>https://techcombank.com/thong-tin/blog/cach-quet-nfc-cccd-tren-iphone</v>
      </c>
      <c r="I70" s="25" t="str">
        <f>IFERROR(__xludf.DUMMYFUNCTION("IFERROR(INDEX(FILTER('Kế hoạch chèn link (mới)'!$C$3:$C$2213,'Kế hoạch chèn link (mới)'!$D$3:$D$2213=$B70),2),"""")"),"sổ tiết kiệm")</f>
        <v>sổ tiết kiệm</v>
      </c>
      <c r="J70" s="25" t="str">
        <f>IFERROR(__xludf.DUMMYFUNCTION("IFERROR(INDEX(FILTER('Kế hoạch chèn link (mới)'!$B$3:$B$2213,'Kế hoạch chèn link (mới)'!$D$3:$D$2213=$B70),2),"""")"),"https://techcombank.com/thong-tin/blog/so-tiet-kiem-ngan-hang")</f>
        <v>https://techcombank.com/thong-tin/blog/so-tiet-kiem-ngan-hang</v>
      </c>
      <c r="K70" s="25" t="str">
        <f>IFERROR(__xludf.DUMMYFUNCTION("IFERROR(INDEX(FILTER('Kế hoạch chèn link (mới)'!$C$3:$C$2213,'Kế hoạch chèn link (mới)'!$D$3:$D$2213=$B70),3),"""")"),"nợ xấu")</f>
        <v>nợ xấu</v>
      </c>
      <c r="L70" s="25" t="str">
        <f>IFERROR(__xludf.DUMMYFUNCTION("IFERROR(INDEX(FILTER('Kế hoạch chèn link (mới)'!$B$3:$B$2213,'Kế hoạch chèn link (mới)'!$D$3:$D$2213=$B70),3),"""")"),"https://techcombank.com/thong-tin/blog/no-xau-la-gi")</f>
        <v>https://techcombank.com/thong-tin/blog/no-xau-la-gi</v>
      </c>
      <c r="M70" s="25" t="str">
        <f>IFERROR(__xludf.DUMMYFUNCTION("IFERROR(INDEX(FILTER('Kế hoạch chèn link (mới)'!$C$3:$C$2213,'Kế hoạch chèn link (mới)'!$D$3:$D$2213=$B70),4),"""")"),"")</f>
        <v/>
      </c>
      <c r="N70" s="25" t="str">
        <f>IFERROR(__xludf.DUMMYFUNCTION("IFERROR(INDEX(FILTER('Kế hoạch chèn link (mới)'!$B$3:$B$2213,'Kế hoạch chèn link (mới)'!$D$3:$D$2213=$B70),4),"""")"),"")</f>
        <v/>
      </c>
      <c r="O70" s="25" t="str">
        <f>IFERROR(__xludf.DUMMYFUNCTION("IFERROR(INDEX(FILTER('Kế hoạch chèn link (mới)'!$C$3:$C$2213,'Kế hoạch chèn link (mới)'!$D$3:$D$2213=$B70),5),"""")"),"")</f>
        <v/>
      </c>
      <c r="P70" s="25" t="str">
        <f>IFERROR(__xludf.DUMMYFUNCTION("IFERROR(INDEX(FILTER('Kế hoạch chèn link (mới)'!$B$3:$B$2213,'Kế hoạch chèn link (mới)'!$D$3:$D$2213=$B70),5),"""")"),"")</f>
        <v/>
      </c>
    </row>
    <row r="71">
      <c r="A71" s="6">
        <f t="shared" si="1"/>
        <v>70</v>
      </c>
      <c r="B71" s="8" t="s">
        <v>1686</v>
      </c>
      <c r="C71" s="6">
        <f>COUNTIF('Kế hoạch chèn link (mới)'!$D$3:$D$2213,$B71)</f>
        <v>5</v>
      </c>
      <c r="D71" s="8" t="str">
        <f>IF(COUNTIFS('Kế hoạch chèn link (mới)'!$D$3:$D$2213,$B71,'Kế hoạch chèn link (mới)'!$I$3:$I$2213,"Đã chèn")&gt;=$C71,"Đã hoàn thành",IF(COUNTIFS('Kế hoạch chèn link (mới)'!$D$3:$D$2213,$B71,'Kế hoạch chèn link (mới)'!$I$3:$I$2213,"Đã chèn")&gt;0,"Đang làm","Chưa hoàn thành"))</f>
        <v>Chưa hoàn thành</v>
      </c>
      <c r="E71" s="8" t="b">
        <f t="shared" si="2"/>
        <v>0</v>
      </c>
      <c r="F71" s="25"/>
      <c r="G71" s="25" t="str">
        <f>IFERROR(__xludf.DUMMYFUNCTION("IFERROR(INDEX(FILTER('Kế hoạch chèn link (mới)'!$C$3:$C$2213,'Kế hoạch chèn link (mới)'!$D$3:$D$2213=$B71),1),"""")"),"lãi suất gửi tiết kiệm ngân hàng")</f>
        <v>lãi suất gửi tiết kiệm ngân hàng</v>
      </c>
      <c r="H71" s="25" t="str">
        <f>IFERROR(__xludf.DUMMYFUNCTION("IFERROR(INDEX(FILTER('Kế hoạch chèn link (mới)'!$B$3:$B$2213,'Kế hoạch chèn link (mới)'!$D$3:$D$2213=$B71),1),"""")"),"https://techcombank.com/thong-tin/blog/lai-suat-tiet-kiem")</f>
        <v>https://techcombank.com/thong-tin/blog/lai-suat-tiet-kiem</v>
      </c>
      <c r="I71" s="25" t="str">
        <f>IFERROR(__xludf.DUMMYFUNCTION("IFERROR(INDEX(FILTER('Kế hoạch chèn link (mới)'!$C$3:$C$2213,'Kế hoạch chèn link (mới)'!$D$3:$D$2213=$B71),2),"""")"),"tính lãi suất tiết kiệm")</f>
        <v>tính lãi suất tiết kiệm</v>
      </c>
      <c r="J71" s="25" t="str">
        <f>IFERROR(__xludf.DUMMYFUNCTION("IFERROR(INDEX(FILTER('Kế hoạch chèn link (mới)'!$B$3:$B$2213,'Kế hoạch chèn link (mới)'!$D$3:$D$2213=$B71),2),"""")"),"https://techcombank.com/thong-tin/blog/cach-tinh-lai-suat-tien-gui-tiet-kiem")</f>
        <v>https://techcombank.com/thong-tin/blog/cach-tinh-lai-suat-tien-gui-tiet-kiem</v>
      </c>
      <c r="K71" s="25" t="str">
        <f>IFERROR(__xludf.DUMMYFUNCTION("IFERROR(INDEX(FILTER('Kế hoạch chèn link (mới)'!$C$3:$C$2213,'Kế hoạch chèn link (mới)'!$D$3:$D$2213=$B71),3),"""")"),"rút tiết kiệm trước hạn")</f>
        <v>rút tiết kiệm trước hạn</v>
      </c>
      <c r="L71" s="25" t="str">
        <f>IFERROR(__xludf.DUMMYFUNCTION("IFERROR(INDEX(FILTER('Kế hoạch chèn link (mới)'!$B$3:$B$2213,'Kế hoạch chèn link (mới)'!$D$3:$D$2213=$B71),3),"""")"),"https://techcombank.com/thong-tin/blog/rut-tien-tiet-kiem-truoc-thoi-han")</f>
        <v>https://techcombank.com/thong-tin/blog/rut-tien-tiet-kiem-truoc-thoi-han</v>
      </c>
      <c r="M71" s="25" t="str">
        <f>IFERROR(__xludf.DUMMYFUNCTION("IFERROR(INDEX(FILTER('Kế hoạch chèn link (mới)'!$C$3:$C$2213,'Kế hoạch chèn link (mới)'!$D$3:$D$2213=$B71),4),"""")"),"bảng tính lãi suất tiết kiệm")</f>
        <v>bảng tính lãi suất tiết kiệm</v>
      </c>
      <c r="N71" s="25" t="str">
        <f>IFERROR(__xludf.DUMMYFUNCTION("IFERROR(INDEX(FILTER('Kế hoạch chèn link (mới)'!$B$3:$B$2213,'Kế hoạch chèn link (mới)'!$D$3:$D$2213=$B71),4),"""")"),"https://techcombank.com/cong-cu-tien-ich/cong-cu-tinh-toan/bang-tinh-lai-suat-tiet-kiem")</f>
        <v>https://techcombank.com/cong-cu-tien-ich/cong-cu-tinh-toan/bang-tinh-lai-suat-tiet-kiem</v>
      </c>
      <c r="O71" s="25" t="str">
        <f>IFERROR(__xludf.DUMMYFUNCTION("IFERROR(INDEX(FILTER('Kế hoạch chèn link (mới)'!$C$3:$C$2213,'Kế hoạch chèn link (mới)'!$D$3:$D$2213=$B71),5),"""")"),"cách đầu tư chứng chỉ quỹ")</f>
        <v>cách đầu tư chứng chỉ quỹ</v>
      </c>
      <c r="P71" s="25" t="str">
        <f>IFERROR(__xludf.DUMMYFUNCTION("IFERROR(INDEX(FILTER('Kế hoạch chèn link (mới)'!$B$3:$B$2213,'Kế hoạch chèn link (mới)'!$D$3:$D$2213=$B71),5),"""")"),"https://techcombank.com/thong-tin/blog/phuong-phap-dau-tu-chung-chi-quy")</f>
        <v>https://techcombank.com/thong-tin/blog/phuong-phap-dau-tu-chung-chi-quy</v>
      </c>
    </row>
    <row r="72">
      <c r="A72" s="6">
        <f t="shared" si="1"/>
        <v>71</v>
      </c>
      <c r="B72" s="8" t="s">
        <v>1696</v>
      </c>
      <c r="C72" s="6">
        <f>COUNTIF('Kế hoạch chèn link (mới)'!$D$3:$D$2213,$B72)</f>
        <v>4</v>
      </c>
      <c r="D72" s="8" t="str">
        <f>IF(COUNTIFS('Kế hoạch chèn link (mới)'!$D$3:$D$2213,$B72,'Kế hoạch chèn link (mới)'!$I$3:$I$2213,"Đã chèn")&gt;=$C72,"Đã hoàn thành",IF(COUNTIFS('Kế hoạch chèn link (mới)'!$D$3:$D$2213,$B72,'Kế hoạch chèn link (mới)'!$I$3:$I$2213,"Đã chèn")&gt;0,"Đang làm","Chưa hoàn thành"))</f>
        <v>Chưa hoàn thành</v>
      </c>
      <c r="E72" s="8" t="b">
        <f t="shared" si="2"/>
        <v>0</v>
      </c>
      <c r="F72" s="25"/>
      <c r="G72" s="25" t="str">
        <f>IFERROR(__xludf.DUMMYFUNCTION("IFERROR(INDEX(FILTER('Kế hoạch chèn link (mới)'!$C$3:$C$2213,'Kế hoạch chèn link (mới)'!$D$3:$D$2213=$B72),1),"""")"),"tra số tài khoản ngân hàng")</f>
        <v>tra số tài khoản ngân hàng</v>
      </c>
      <c r="H72" s="25" t="str">
        <f>IFERROR(__xludf.DUMMYFUNCTION("IFERROR(INDEX(FILTER('Kế hoạch chèn link (mới)'!$B$3:$B$2213,'Kế hoạch chèn link (mới)'!$D$3:$D$2213=$B72),1),"""")"),"https://techcombank.com/thong-tin/blog/cach-kiem-tra-tai-khoan-ngan-hang")</f>
        <v>https://techcombank.com/thong-tin/blog/cach-kiem-tra-tai-khoan-ngan-hang</v>
      </c>
      <c r="I72" s="25" t="str">
        <f>IFERROR(__xludf.DUMMYFUNCTION("IFERROR(INDEX(FILTER('Kế hoạch chèn link (mới)'!$C$3:$C$2213,'Kế hoạch chèn link (mới)'!$D$3:$D$2213=$B72),2),"""")"),"cách tạo tài khoản ngân hàng")</f>
        <v>cách tạo tài khoản ngân hàng</v>
      </c>
      <c r="J72" s="25" t="str">
        <f>IFERROR(__xludf.DUMMYFUNCTION("IFERROR(INDEX(FILTER('Kế hoạch chèn link (mới)'!$B$3:$B$2213,'Kế hoạch chèn link (mới)'!$D$3:$D$2213=$B72),2),"""")"),"https://techcombank.com/thong-tin/blog/cach-mo-tai-khoan")</f>
        <v>https://techcombank.com/thong-tin/blog/cach-mo-tai-khoan</v>
      </c>
      <c r="K72" s="25" t="str">
        <f>IFERROR(__xludf.DUMMYFUNCTION("IFERROR(INDEX(FILTER('Kế hoạch chèn link (mới)'!$C$3:$C$2213,'Kế hoạch chèn link (mới)'!$D$3:$D$2213=$B72),3),"""")"),"tên đăng nhập tài khoản ngân hàng")</f>
        <v>tên đăng nhập tài khoản ngân hàng</v>
      </c>
      <c r="L72" s="25" t="str">
        <f>IFERROR(__xludf.DUMMYFUNCTION("IFERROR(INDEX(FILTER('Kế hoạch chèn link (mới)'!$B$3:$B$2213,'Kế hoạch chèn link (mới)'!$D$3:$D$2213=$B72),3),"""")"),"https://techcombank.com/thong-tin/blog/ten-dang-nhap-tai-khoan-ngan-hang-la-gi")</f>
        <v>https://techcombank.com/thong-tin/blog/ten-dang-nhap-tai-khoan-ngan-hang-la-gi</v>
      </c>
      <c r="M72" s="25" t="str">
        <f>IFERROR(__xludf.DUMMYFUNCTION("IFERROR(INDEX(FILTER('Kế hoạch chèn link (mới)'!$C$3:$C$2213,'Kế hoạch chèn link (mới)'!$D$3:$D$2213=$B72),4),"""")"),"cách thanh toán thẻ tín dụng")</f>
        <v>cách thanh toán thẻ tín dụng</v>
      </c>
      <c r="N72" s="25" t="str">
        <f>IFERROR(__xludf.DUMMYFUNCTION("IFERROR(INDEX(FILTER('Kế hoạch chèn link (mới)'!$B$3:$B$2213,'Kế hoạch chèn link (mới)'!$D$3:$D$2213=$B72),4),"""")"),"https://techcombank.com/thong-tin/blog/cach-thanh-toan-the-tin-dung")</f>
        <v>https://techcombank.com/thong-tin/blog/cach-thanh-toan-the-tin-dung</v>
      </c>
      <c r="O72" s="25" t="str">
        <f>IFERROR(__xludf.DUMMYFUNCTION("IFERROR(INDEX(FILTER('Kế hoạch chèn link (mới)'!$C$3:$C$2213,'Kế hoạch chèn link (mới)'!$D$3:$D$2213=$B72),5),"""")"),"")</f>
        <v/>
      </c>
      <c r="P72" s="25" t="str">
        <f>IFERROR(__xludf.DUMMYFUNCTION("IFERROR(INDEX(FILTER('Kế hoạch chèn link (mới)'!$B$3:$B$2213,'Kế hoạch chèn link (mới)'!$D$3:$D$2213=$B72),5),"""")"),"")</f>
        <v/>
      </c>
    </row>
    <row r="73">
      <c r="A73" s="6">
        <f t="shared" si="1"/>
        <v>72</v>
      </c>
      <c r="B73" s="8" t="s">
        <v>1373</v>
      </c>
      <c r="C73" s="6">
        <f>COUNTIF('Kế hoạch chèn link (mới)'!$D$3:$D$2213,$B73)</f>
        <v>5</v>
      </c>
      <c r="D73" s="8" t="str">
        <f>IF(COUNTIFS('Kế hoạch chèn link (mới)'!$D$3:$D$2213,$B73,'Kế hoạch chèn link (mới)'!$I$3:$I$2213,"Đã chèn")&gt;=$C73,"Đã hoàn thành",IF(COUNTIFS('Kế hoạch chèn link (mới)'!$D$3:$D$2213,$B73,'Kế hoạch chèn link (mới)'!$I$3:$I$2213,"Đã chèn")&gt;0,"Đang làm","Chưa hoàn thành"))</f>
        <v>Chưa hoàn thành</v>
      </c>
      <c r="E73" s="8" t="b">
        <f t="shared" si="2"/>
        <v>0</v>
      </c>
      <c r="F73" s="25"/>
      <c r="G73" s="25" t="str">
        <f>IFERROR(__xludf.DUMMYFUNCTION("IFERROR(INDEX(FILTER('Kế hoạch chèn link (mới)'!$C$3:$C$2213,'Kế hoạch chèn link (mới)'!$D$3:$D$2213=$B73),1),"""")"),"cách nạp tiền điện thoại viettel")</f>
        <v>cách nạp tiền điện thoại viettel</v>
      </c>
      <c r="H73" s="25" t="str">
        <f>IFERROR(__xludf.DUMMYFUNCTION("IFERROR(INDEX(FILTER('Kế hoạch chèn link (mới)'!$B$3:$B$2213,'Kế hoạch chèn link (mới)'!$D$3:$D$2213=$B73),1),"""")"),"https://techcombank.com/thong-tin/blog/cach-nap-the-viettel")</f>
        <v>https://techcombank.com/thong-tin/blog/cach-nap-the-viettel</v>
      </c>
      <c r="I73" s="25" t="str">
        <f>IFERROR(__xludf.DUMMYFUNCTION("IFERROR(INDEX(FILTER('Kế hoạch chèn link (mới)'!$C$3:$C$2213,'Kế hoạch chèn link (mới)'!$D$3:$D$2213=$B73),2),"""")"),"giá điện sinh hoạt mới nhất")</f>
        <v>giá điện sinh hoạt mới nhất</v>
      </c>
      <c r="J73" s="25" t="str">
        <f>IFERROR(__xludf.DUMMYFUNCTION("IFERROR(INDEX(FILTER('Kế hoạch chèn link (mới)'!$B$3:$B$2213,'Kế hoạch chèn link (mới)'!$D$3:$D$2213=$B73),2),"""")"),"https://techcombank.com/thong-tin/blog/cach-tinh-tien-dien-sinh-hoat")</f>
        <v>https://techcombank.com/thong-tin/blog/cach-tinh-tien-dien-sinh-hoat</v>
      </c>
      <c r="K73" s="25" t="str">
        <f>IFERROR(__xludf.DUMMYFUNCTION("IFERROR(INDEX(FILTER('Kế hoạch chèn link (mới)'!$C$3:$C$2213,'Kế hoạch chèn link (mới)'!$D$3:$D$2213=$B73),3),"""")"),"cách tạo tài khoản ngân hàng")</f>
        <v>cách tạo tài khoản ngân hàng</v>
      </c>
      <c r="L73" s="25" t="str">
        <f>IFERROR(__xludf.DUMMYFUNCTION("IFERROR(INDEX(FILTER('Kế hoạch chèn link (mới)'!$B$3:$B$2213,'Kế hoạch chèn link (mới)'!$D$3:$D$2213=$B73),3),"""")"),"https://techcombank.com/thong-tin/blog/cach-mo-tai-khoan")</f>
        <v>https://techcombank.com/thong-tin/blog/cach-mo-tai-khoan</v>
      </c>
      <c r="M73" s="25" t="str">
        <f>IFERROR(__xludf.DUMMYFUNCTION("IFERROR(INDEX(FILTER('Kế hoạch chèn link (mới)'!$C$3:$C$2213,'Kế hoạch chèn link (mới)'!$D$3:$D$2213=$B73),4),"""")"),"nạp tiền vào tài khoản ngân hàng")</f>
        <v>nạp tiền vào tài khoản ngân hàng</v>
      </c>
      <c r="N73" s="25" t="str">
        <f>IFERROR(__xludf.DUMMYFUNCTION("IFERROR(INDEX(FILTER('Kế hoạch chèn link (mới)'!$B$3:$B$2213,'Kế hoạch chèn link (mới)'!$D$3:$D$2213=$B73),4),"""")"),"https://techcombank.com/thong-tin/blog/nap-tien-vao-tai-khoan-ngan-hang")</f>
        <v>https://techcombank.com/thong-tin/blog/nap-tien-vao-tai-khoan-ngan-hang</v>
      </c>
      <c r="O73" s="25" t="str">
        <f>IFERROR(__xludf.DUMMYFUNCTION("IFERROR(INDEX(FILTER('Kế hoạch chèn link (mới)'!$C$3:$C$2213,'Kế hoạch chèn link (mới)'!$D$3:$D$2213=$B73),5),"""")"),"sổ tiết kiệm")</f>
        <v>sổ tiết kiệm</v>
      </c>
      <c r="P73" s="25" t="str">
        <f>IFERROR(__xludf.DUMMYFUNCTION("IFERROR(INDEX(FILTER('Kế hoạch chèn link (mới)'!$B$3:$B$2213,'Kế hoạch chèn link (mới)'!$D$3:$D$2213=$B73),5),"""")"),"https://techcombank.com/thong-tin/blog/so-tiet-kiem-ngan-hang")</f>
        <v>https://techcombank.com/thong-tin/blog/so-tiet-kiem-ngan-hang</v>
      </c>
    </row>
    <row r="74">
      <c r="A74" s="6">
        <f t="shared" si="1"/>
        <v>73</v>
      </c>
      <c r="B74" s="8" t="s">
        <v>1723</v>
      </c>
      <c r="C74" s="6">
        <f>COUNTIF('Kế hoạch chèn link (mới)'!$D$3:$D$2213,$B74)</f>
        <v>5</v>
      </c>
      <c r="D74" s="8" t="str">
        <f>IF(COUNTIFS('Kế hoạch chèn link (mới)'!$D$3:$D$2213,$B74,'Kế hoạch chèn link (mới)'!$I$3:$I$2213,"Đã chèn")&gt;=$C74,"Đã hoàn thành",IF(COUNTIFS('Kế hoạch chèn link (mới)'!$D$3:$D$2213,$B74,'Kế hoạch chèn link (mới)'!$I$3:$I$2213,"Đã chèn")&gt;0,"Đang làm","Chưa hoàn thành"))</f>
        <v>Chưa hoàn thành</v>
      </c>
      <c r="E74" s="8" t="b">
        <f t="shared" si="2"/>
        <v>0</v>
      </c>
      <c r="F74" s="25"/>
      <c r="G74" s="25" t="str">
        <f>IFERROR(__xludf.DUMMYFUNCTION("IFERROR(INDEX(FILTER('Kế hoạch chèn link (mới)'!$C$3:$C$2213,'Kế hoạch chèn link (mới)'!$D$3:$D$2213=$B74),1),"""")"),"tên đăng nhập tài khoản ngân hàng")</f>
        <v>tên đăng nhập tài khoản ngân hàng</v>
      </c>
      <c r="H74" s="25" t="str">
        <f>IFERROR(__xludf.DUMMYFUNCTION("IFERROR(INDEX(FILTER('Kế hoạch chèn link (mới)'!$B$3:$B$2213,'Kế hoạch chèn link (mới)'!$D$3:$D$2213=$B74),1),"""")"),"https://techcombank.com/thong-tin/blog/ten-dang-nhap-tai-khoan-ngan-hang-la-gi")</f>
        <v>https://techcombank.com/thong-tin/blog/ten-dang-nhap-tai-khoan-ngan-hang-la-gi</v>
      </c>
      <c r="I74" s="25" t="str">
        <f>IFERROR(__xludf.DUMMYFUNCTION("IFERROR(INDEX(FILTER('Kế hoạch chèn link (mới)'!$C$3:$C$2213,'Kế hoạch chèn link (mới)'!$D$3:$D$2213=$B74),2),"""")"),"lãi suất tiền gửi ngân hàng")</f>
        <v>lãi suất tiền gửi ngân hàng</v>
      </c>
      <c r="J74" s="25" t="str">
        <f>IFERROR(__xludf.DUMMYFUNCTION("IFERROR(INDEX(FILTER('Kế hoạch chèn link (mới)'!$B$3:$B$2213,'Kế hoạch chèn link (mới)'!$D$3:$D$2213=$B74),2),"""")"),"https://techcombank.com/thong-tin/blog/lai-suat-tiet-kiem")</f>
        <v>https://techcombank.com/thong-tin/blog/lai-suat-tiet-kiem</v>
      </c>
      <c r="K74" s="25" t="str">
        <f>IFERROR(__xludf.DUMMYFUNCTION("IFERROR(INDEX(FILTER('Kế hoạch chèn link (mới)'!$C$3:$C$2213,'Kế hoạch chèn link (mới)'!$D$3:$D$2213=$B74),3),"""")"),"tính lãi suất ngân hàng")</f>
        <v>tính lãi suất ngân hàng</v>
      </c>
      <c r="L74" s="25" t="str">
        <f>IFERROR(__xludf.DUMMYFUNCTION("IFERROR(INDEX(FILTER('Kế hoạch chèn link (mới)'!$B$3:$B$2213,'Kế hoạch chèn link (mới)'!$D$3:$D$2213=$B74),3),"""")"),"https://techcombank.com/thong-tin/blog/cach-tinh-lai-suat-tien-gui-tiet-kiem")</f>
        <v>https://techcombank.com/thong-tin/blog/cach-tinh-lai-suat-tien-gui-tiet-kiem</v>
      </c>
      <c r="M74" s="25" t="str">
        <f>IFERROR(__xludf.DUMMYFUNCTION("IFERROR(INDEX(FILTER('Kế hoạch chèn link (mới)'!$C$3:$C$2213,'Kế hoạch chèn link (mới)'!$D$3:$D$2213=$B74),4),"""")"),"gửi tiết kiệm online có an toàn không")</f>
        <v>gửi tiết kiệm online có an toàn không</v>
      </c>
      <c r="N74" s="25" t="str">
        <f>IFERROR(__xludf.DUMMYFUNCTION("IFERROR(INDEX(FILTER('Kế hoạch chèn link (mới)'!$B$3:$B$2213,'Kế hoạch chèn link (mới)'!$D$3:$D$2213=$B74),4),"""")"),"https://techcombank.com/thong-tin/blog/rui-ro-khi-gui-tiet-kiem-online")</f>
        <v>https://techcombank.com/thong-tin/blog/rui-ro-khi-gui-tiet-kiem-online</v>
      </c>
      <c r="O74" s="25" t="str">
        <f>IFERROR(__xludf.DUMMYFUNCTION("IFERROR(INDEX(FILTER('Kế hoạch chèn link (mới)'!$C$3:$C$2213,'Kế hoạch chèn link (mới)'!$D$3:$D$2213=$B74),5),"""")"),"vay thấu chi")</f>
        <v>vay thấu chi</v>
      </c>
      <c r="P74" s="25" t="str">
        <f>IFERROR(__xludf.DUMMYFUNCTION("IFERROR(INDEX(FILTER('Kế hoạch chèn link (mới)'!$B$3:$B$2213,'Kế hoạch chèn link (mới)'!$D$3:$D$2213=$B74),5),"""")"),"https://techcombank.com/thong-tin/blog/vay-thau-chi-la-gi")</f>
        <v>https://techcombank.com/thong-tin/blog/vay-thau-chi-la-gi</v>
      </c>
    </row>
    <row r="75">
      <c r="A75" s="6">
        <f t="shared" si="1"/>
        <v>74</v>
      </c>
      <c r="B75" s="8" t="s">
        <v>1472</v>
      </c>
      <c r="C75" s="6">
        <f>COUNTIF('Kế hoạch chèn link (mới)'!$D$3:$D$2213,$B75)</f>
        <v>1</v>
      </c>
      <c r="D75" s="8" t="str">
        <f>IF(COUNTIFS('Kế hoạch chèn link (mới)'!$D$3:$D$2213,$B75,'Kế hoạch chèn link (mới)'!$I$3:$I$2213,"Đã chèn")&gt;=$C75,"Đã hoàn thành",IF(COUNTIFS('Kế hoạch chèn link (mới)'!$D$3:$D$2213,$B75,'Kế hoạch chèn link (mới)'!$I$3:$I$2213,"Đã chèn")&gt;0,"Đang làm","Chưa hoàn thành"))</f>
        <v>Chưa hoàn thành</v>
      </c>
      <c r="E75" s="8" t="b">
        <f t="shared" si="2"/>
        <v>0</v>
      </c>
      <c r="F75" s="25"/>
      <c r="G75" s="25" t="str">
        <f>IFERROR(__xludf.DUMMYFUNCTION("IFERROR(INDEX(FILTER('Kế hoạch chèn link (mới)'!$C$3:$C$2213,'Kế hoạch chèn link (mới)'!$D$3:$D$2213=$B75),1),"""")"),"giá điện sinh hoạt mới nhất")</f>
        <v>giá điện sinh hoạt mới nhất</v>
      </c>
      <c r="H75" s="25" t="str">
        <f>IFERROR(__xludf.DUMMYFUNCTION("IFERROR(INDEX(FILTER('Kế hoạch chèn link (mới)'!$B$3:$B$2213,'Kế hoạch chèn link (mới)'!$D$3:$D$2213=$B75),1),"""")"),"https://techcombank.com/thong-tin/blog/cach-tinh-tien-dien-sinh-hoat")</f>
        <v>https://techcombank.com/thong-tin/blog/cach-tinh-tien-dien-sinh-hoat</v>
      </c>
      <c r="I75" s="25" t="str">
        <f>IFERROR(__xludf.DUMMYFUNCTION("IFERROR(INDEX(FILTER('Kế hoạch chèn link (mới)'!$C$3:$C$2213,'Kế hoạch chèn link (mới)'!$D$3:$D$2213=$B75),2),"""")"),"")</f>
        <v/>
      </c>
      <c r="J75" s="25" t="str">
        <f>IFERROR(__xludf.DUMMYFUNCTION("IFERROR(INDEX(FILTER('Kế hoạch chèn link (mới)'!$B$3:$B$2213,'Kế hoạch chèn link (mới)'!$D$3:$D$2213=$B75),2),"""")"),"")</f>
        <v/>
      </c>
      <c r="K75" s="25" t="str">
        <f>IFERROR(__xludf.DUMMYFUNCTION("IFERROR(INDEX(FILTER('Kế hoạch chèn link (mới)'!$C$3:$C$2213,'Kế hoạch chèn link (mới)'!$D$3:$D$2213=$B75),3),"""")"),"")</f>
        <v/>
      </c>
      <c r="L75" s="25" t="str">
        <f>IFERROR(__xludf.DUMMYFUNCTION("IFERROR(INDEX(FILTER('Kế hoạch chèn link (mới)'!$B$3:$B$2213,'Kế hoạch chèn link (mới)'!$D$3:$D$2213=$B75),3),"""")"),"")</f>
        <v/>
      </c>
      <c r="M75" s="25" t="str">
        <f>IFERROR(__xludf.DUMMYFUNCTION("IFERROR(INDEX(FILTER('Kế hoạch chèn link (mới)'!$C$3:$C$2213,'Kế hoạch chèn link (mới)'!$D$3:$D$2213=$B75),4),"""")"),"")</f>
        <v/>
      </c>
      <c r="N75" s="25" t="str">
        <f>IFERROR(__xludf.DUMMYFUNCTION("IFERROR(INDEX(FILTER('Kế hoạch chèn link (mới)'!$B$3:$B$2213,'Kế hoạch chèn link (mới)'!$D$3:$D$2213=$B75),4),"""")"),"")</f>
        <v/>
      </c>
      <c r="O75" s="25" t="str">
        <f>IFERROR(__xludf.DUMMYFUNCTION("IFERROR(INDEX(FILTER('Kế hoạch chèn link (mới)'!$C$3:$C$2213,'Kế hoạch chèn link (mới)'!$D$3:$D$2213=$B75),5),"""")"),"")</f>
        <v/>
      </c>
      <c r="P75" s="25" t="str">
        <f>IFERROR(__xludf.DUMMYFUNCTION("IFERROR(INDEX(FILTER('Kế hoạch chèn link (mới)'!$B$3:$B$2213,'Kế hoạch chèn link (mới)'!$D$3:$D$2213=$B75),5),"""")"),"")</f>
        <v/>
      </c>
    </row>
    <row r="76">
      <c r="A76" s="6">
        <f t="shared" si="1"/>
        <v>75</v>
      </c>
      <c r="B76" s="8" t="s">
        <v>700</v>
      </c>
      <c r="C76" s="6">
        <f>COUNTIF('Kế hoạch chèn link (mới)'!$D$3:$D$2213,$B76)</f>
        <v>4</v>
      </c>
      <c r="D76" s="8" t="str">
        <f>IF(COUNTIFS('Kế hoạch chèn link (mới)'!$D$3:$D$2213,$B76,'Kế hoạch chèn link (mới)'!$I$3:$I$2213,"Đã chèn")&gt;=$C76,"Đã hoàn thành",IF(COUNTIFS('Kế hoạch chèn link (mới)'!$D$3:$D$2213,$B76,'Kế hoạch chèn link (mới)'!$I$3:$I$2213,"Đã chèn")&gt;0,"Đang làm","Chưa hoàn thành"))</f>
        <v>Chưa hoàn thành</v>
      </c>
      <c r="E76" s="8" t="b">
        <f t="shared" si="2"/>
        <v>0</v>
      </c>
      <c r="F76" s="25"/>
      <c r="G76" s="25" t="str">
        <f>IFERROR(__xludf.DUMMYFUNCTION("IFERROR(INDEX(FILTER('Kế hoạch chèn link (mới)'!$C$3:$C$2213,'Kế hoạch chèn link (mới)'!$D$3:$D$2213=$B76),1),"""")"),"kiểm tra cic")</f>
        <v>kiểm tra cic</v>
      </c>
      <c r="H76" s="25" t="str">
        <f>IFERROR(__xludf.DUMMYFUNCTION("IFERROR(INDEX(FILTER('Kế hoạch chèn link (mới)'!$B$3:$B$2213,'Kế hoạch chèn link (mới)'!$D$3:$D$2213=$B76),1),"""")"),"https://techcombank.com/thong-tin/blog/cic-la-gi")</f>
        <v>https://techcombank.com/thong-tin/blog/cic-la-gi</v>
      </c>
      <c r="I76" s="25" t="str">
        <f>IFERROR(__xludf.DUMMYFUNCTION("IFERROR(INDEX(FILTER('Kế hoạch chèn link (mới)'!$C$3:$C$2213,'Kế hoạch chèn link (mới)'!$D$3:$D$2213=$B76),2),"""")"),"thẻ tín dụng Techcombank Everyday")</f>
        <v>thẻ tín dụng Techcombank Everyday</v>
      </c>
      <c r="J76" s="25" t="str">
        <f>IFERROR(__xludf.DUMMYFUNCTION("IFERROR(INDEX(FILTER('Kế hoạch chèn link (mới)'!$B$3:$B$2213,'Kế hoạch chèn link (mới)'!$D$3:$D$2213=$B76),2),"""")"),"https://techcombank.com/khach-hang-ca-nhan/chi-tieu/the/the-tin-dung/techcombank-everyday")</f>
        <v>https://techcombank.com/khach-hang-ca-nhan/chi-tieu/the/the-tin-dung/techcombank-everyday</v>
      </c>
      <c r="K76" s="25" t="str">
        <f>IFERROR(__xludf.DUMMYFUNCTION("IFERROR(INDEX(FILTER('Kế hoạch chèn link (mới)'!$C$3:$C$2213,'Kế hoạch chèn link (mới)'!$D$3:$D$2213=$B76),3),"""")"),"thanh toán dư nợ thẻ tín dụng")</f>
        <v>thanh toán dư nợ thẻ tín dụng</v>
      </c>
      <c r="L76" s="25" t="str">
        <f>IFERROR(__xludf.DUMMYFUNCTION("IFERROR(INDEX(FILTER('Kế hoạch chèn link (mới)'!$B$3:$B$2213,'Kế hoạch chèn link (mới)'!$D$3:$D$2213=$B76),3),"""")"),"https://techcombank.com/thong-tin/blog/cach-thanh-toan-the-tin-dung")</f>
        <v>https://techcombank.com/thong-tin/blog/cach-thanh-toan-the-tin-dung</v>
      </c>
      <c r="M76" s="25" t="str">
        <f>IFERROR(__xludf.DUMMYFUNCTION("IFERROR(INDEX(FILTER('Kế hoạch chèn link (mới)'!$C$3:$C$2213,'Kế hoạch chèn link (mới)'!$D$3:$D$2213=$B76),4),"""")"),"kiểm tra nợ xấu")</f>
        <v>kiểm tra nợ xấu</v>
      </c>
      <c r="N76" s="25" t="str">
        <f>IFERROR(__xludf.DUMMYFUNCTION("IFERROR(INDEX(FILTER('Kế hoạch chèn link (mới)'!$B$3:$B$2213,'Kế hoạch chèn link (mới)'!$D$3:$D$2213=$B76),4),"""")"),"https://techcombank.com/thong-tin/blog/kiem-tra-no-xau")</f>
        <v>https://techcombank.com/thong-tin/blog/kiem-tra-no-xau</v>
      </c>
      <c r="O76" s="25" t="str">
        <f>IFERROR(__xludf.DUMMYFUNCTION("IFERROR(INDEX(FILTER('Kế hoạch chèn link (mới)'!$C$3:$C$2213,'Kế hoạch chèn link (mới)'!$D$3:$D$2213=$B76),5),"""")"),"")</f>
        <v/>
      </c>
      <c r="P76" s="25" t="str">
        <f>IFERROR(__xludf.DUMMYFUNCTION("IFERROR(INDEX(FILTER('Kế hoạch chèn link (mới)'!$B$3:$B$2213,'Kế hoạch chèn link (mới)'!$D$3:$D$2213=$B76),5),"""")"),"")</f>
        <v/>
      </c>
    </row>
    <row r="77">
      <c r="A77" s="6">
        <f t="shared" si="1"/>
        <v>76</v>
      </c>
      <c r="B77" s="8" t="s">
        <v>1767</v>
      </c>
      <c r="C77" s="6">
        <f>COUNTIF('Kế hoạch chèn link (mới)'!$D$3:$D$2213,$B77)</f>
        <v>3</v>
      </c>
      <c r="D77" s="8" t="str">
        <f>IF(COUNTIFS('Kế hoạch chèn link (mới)'!$D$3:$D$2213,$B77,'Kế hoạch chèn link (mới)'!$I$3:$I$2213,"Đã chèn")&gt;=$C77,"Đã hoàn thành",IF(COUNTIFS('Kế hoạch chèn link (mới)'!$D$3:$D$2213,$B77,'Kế hoạch chèn link (mới)'!$I$3:$I$2213,"Đã chèn")&gt;0,"Đang làm","Chưa hoàn thành"))</f>
        <v>Chưa hoàn thành</v>
      </c>
      <c r="E77" s="8" t="b">
        <f t="shared" si="2"/>
        <v>0</v>
      </c>
      <c r="F77" s="25"/>
      <c r="G77" s="25" t="str">
        <f>IFERROR(__xludf.DUMMYFUNCTION("IFERROR(INDEX(FILTER('Kế hoạch chèn link (mới)'!$C$3:$C$2213,'Kế hoạch chèn link (mới)'!$D$3:$D$2213=$B77),1),"""")"),"tên đăng nhập")</f>
        <v>tên đăng nhập</v>
      </c>
      <c r="H77" s="25" t="str">
        <f>IFERROR(__xludf.DUMMYFUNCTION("IFERROR(INDEX(FILTER('Kế hoạch chèn link (mới)'!$B$3:$B$2213,'Kế hoạch chèn link (mới)'!$D$3:$D$2213=$B77),1),"""")"),"https://techcombank.com/thong-tin/blog/ten-dang-nhap-tai-khoan-ngan-hang-la-gi")</f>
        <v>https://techcombank.com/thong-tin/blog/ten-dang-nhap-tai-khoan-ngan-hang-la-gi</v>
      </c>
      <c r="I77" s="25" t="str">
        <f>IFERROR(__xludf.DUMMYFUNCTION("IFERROR(INDEX(FILTER('Kế hoạch chèn link (mới)'!$C$3:$C$2213,'Kế hoạch chèn link (mới)'!$D$3:$D$2213=$B77),2),"""")"),"hủy thẻ tín dụng")</f>
        <v>hủy thẻ tín dụng</v>
      </c>
      <c r="J77" s="25" t="str">
        <f>IFERROR(__xludf.DUMMYFUNCTION("IFERROR(INDEX(FILTER('Kế hoạch chèn link (mới)'!$B$3:$B$2213,'Kế hoạch chèn link (mới)'!$D$3:$D$2213=$B77),2),"""")"),"https://techcombank.com/thong-tin/blog/cach-huy-the-tin-dung")</f>
        <v>https://techcombank.com/thong-tin/blog/cach-huy-the-tin-dung</v>
      </c>
      <c r="K77" s="25" t="str">
        <f>IFERROR(__xludf.DUMMYFUNCTION("IFERROR(INDEX(FILTER('Kế hoạch chèn link (mới)'!$C$3:$C$2213,'Kế hoạch chèn link (mới)'!$D$3:$D$2213=$B77),3),"""")"),"vay thấu chi")</f>
        <v>vay thấu chi</v>
      </c>
      <c r="L77" s="25" t="str">
        <f>IFERROR(__xludf.DUMMYFUNCTION("IFERROR(INDEX(FILTER('Kế hoạch chèn link (mới)'!$B$3:$B$2213,'Kế hoạch chèn link (mới)'!$D$3:$D$2213=$B77),3),"""")"),"https://techcombank.com/thong-tin/blog/vay-thau-chi-la-gi")</f>
        <v>https://techcombank.com/thong-tin/blog/vay-thau-chi-la-gi</v>
      </c>
      <c r="M77" s="25" t="str">
        <f>IFERROR(__xludf.DUMMYFUNCTION("IFERROR(INDEX(FILTER('Kế hoạch chèn link (mới)'!$C$3:$C$2213,'Kế hoạch chèn link (mới)'!$D$3:$D$2213=$B77),4),"""")"),"")</f>
        <v/>
      </c>
      <c r="N77" s="25" t="str">
        <f>IFERROR(__xludf.DUMMYFUNCTION("IFERROR(INDEX(FILTER('Kế hoạch chèn link (mới)'!$B$3:$B$2213,'Kế hoạch chèn link (mới)'!$D$3:$D$2213=$B77),4),"""")"),"")</f>
        <v/>
      </c>
      <c r="O77" s="25" t="str">
        <f>IFERROR(__xludf.DUMMYFUNCTION("IFERROR(INDEX(FILTER('Kế hoạch chèn link (mới)'!$C$3:$C$2213,'Kế hoạch chèn link (mới)'!$D$3:$D$2213=$B77),5),"""")"),"")</f>
        <v/>
      </c>
      <c r="P77" s="25" t="str">
        <f>IFERROR(__xludf.DUMMYFUNCTION("IFERROR(INDEX(FILTER('Kế hoạch chèn link (mới)'!$B$3:$B$2213,'Kế hoạch chèn link (mới)'!$D$3:$D$2213=$B77),5),"""")"),"")</f>
        <v/>
      </c>
    </row>
    <row r="78">
      <c r="A78" s="6">
        <f t="shared" si="1"/>
        <v>77</v>
      </c>
      <c r="B78" s="8" t="s">
        <v>1786</v>
      </c>
      <c r="C78" s="6">
        <f>COUNTIF('Kế hoạch chèn link (mới)'!$D$3:$D$2213,$B78)</f>
        <v>3</v>
      </c>
      <c r="D78" s="8" t="str">
        <f>IF(COUNTIFS('Kế hoạch chèn link (mới)'!$D$3:$D$2213,$B78,'Kế hoạch chèn link (mới)'!$I$3:$I$2213,"Đã chèn")&gt;=$C78,"Đã hoàn thành",IF(COUNTIFS('Kế hoạch chèn link (mới)'!$D$3:$D$2213,$B78,'Kế hoạch chèn link (mới)'!$I$3:$I$2213,"Đã chèn")&gt;0,"Đang làm","Chưa hoàn thành"))</f>
        <v>Chưa hoàn thành</v>
      </c>
      <c r="E78" s="8" t="b">
        <f t="shared" si="2"/>
        <v>0</v>
      </c>
      <c r="F78" s="25"/>
      <c r="G78" s="25" t="str">
        <f>IFERROR(__xludf.DUMMYFUNCTION("IFERROR(INDEX(FILTER('Kế hoạch chèn link (mới)'!$C$3:$C$2213,'Kế hoạch chèn link (mới)'!$D$3:$D$2213=$B78),1),"""")"),"nạp tiền vào tài khoản ngân hàng")</f>
        <v>nạp tiền vào tài khoản ngân hàng</v>
      </c>
      <c r="H78" s="25" t="str">
        <f>IFERROR(__xludf.DUMMYFUNCTION("IFERROR(INDEX(FILTER('Kế hoạch chèn link (mới)'!$B$3:$B$2213,'Kế hoạch chèn link (mới)'!$D$3:$D$2213=$B78),1),"""")"),"https://techcombank.com/thong-tin/blog/nap-tien-vao-tai-khoan-ngan-hang")</f>
        <v>https://techcombank.com/thong-tin/blog/nap-tien-vao-tai-khoan-ngan-hang</v>
      </c>
      <c r="I78" s="25" t="str">
        <f>IFERROR(__xludf.DUMMYFUNCTION("IFERROR(INDEX(FILTER('Kế hoạch chèn link (mới)'!$C$3:$C$2213,'Kế hoạch chèn link (mới)'!$D$3:$D$2213=$B78),2),"""")"),"tên đăng nhập")</f>
        <v>tên đăng nhập</v>
      </c>
      <c r="J78" s="25" t="str">
        <f>IFERROR(__xludf.DUMMYFUNCTION("IFERROR(INDEX(FILTER('Kế hoạch chèn link (mới)'!$B$3:$B$2213,'Kế hoạch chèn link (mới)'!$D$3:$D$2213=$B78),2),"""")"),"https://techcombank.com/thong-tin/blog/ten-dang-nhap-tai-khoan-ngan-hang-la-gi")</f>
        <v>https://techcombank.com/thong-tin/blog/ten-dang-nhap-tai-khoan-ngan-hang-la-gi</v>
      </c>
      <c r="K78" s="25" t="str">
        <f>IFERROR(__xludf.DUMMYFUNCTION("IFERROR(INDEX(FILTER('Kế hoạch chèn link (mới)'!$C$3:$C$2213,'Kế hoạch chèn link (mới)'!$D$3:$D$2213=$B78),3),"""")"),"rút tiền không cần thẻ")</f>
        <v>rút tiền không cần thẻ</v>
      </c>
      <c r="L78" s="25" t="str">
        <f>IFERROR(__xludf.DUMMYFUNCTION("IFERROR(INDEX(FILTER('Kế hoạch chèn link (mới)'!$B$3:$B$2213,'Kế hoạch chèn link (mới)'!$D$3:$D$2213=$B78),3),"""")"),"https://techcombank.com/thong-tin/blog/rut-tien-bang-ma-qr-la-gi-cach-thuc-hien-nhu-the-nao")</f>
        <v>https://techcombank.com/thong-tin/blog/rut-tien-bang-ma-qr-la-gi-cach-thuc-hien-nhu-the-nao</v>
      </c>
      <c r="M78" s="25" t="str">
        <f>IFERROR(__xludf.DUMMYFUNCTION("IFERROR(INDEX(FILTER('Kế hoạch chèn link (mới)'!$C$3:$C$2213,'Kế hoạch chèn link (mới)'!$D$3:$D$2213=$B78),4),"""")"),"")</f>
        <v/>
      </c>
      <c r="N78" s="25" t="str">
        <f>IFERROR(__xludf.DUMMYFUNCTION("IFERROR(INDEX(FILTER('Kế hoạch chèn link (mới)'!$B$3:$B$2213,'Kế hoạch chèn link (mới)'!$D$3:$D$2213=$B78),4),"""")"),"")</f>
        <v/>
      </c>
      <c r="O78" s="25" t="str">
        <f>IFERROR(__xludf.DUMMYFUNCTION("IFERROR(INDEX(FILTER('Kế hoạch chèn link (mới)'!$C$3:$C$2213,'Kế hoạch chèn link (mới)'!$D$3:$D$2213=$B78),5),"""")"),"")</f>
        <v/>
      </c>
      <c r="P78" s="25" t="str">
        <f>IFERROR(__xludf.DUMMYFUNCTION("IFERROR(INDEX(FILTER('Kế hoạch chèn link (mới)'!$B$3:$B$2213,'Kế hoạch chèn link (mới)'!$D$3:$D$2213=$B78),5),"""")"),"")</f>
        <v/>
      </c>
    </row>
    <row r="79">
      <c r="A79" s="6">
        <f t="shared" si="1"/>
        <v>78</v>
      </c>
      <c r="B79" s="8" t="s">
        <v>1040</v>
      </c>
      <c r="C79" s="6">
        <f>COUNTIF('Kế hoạch chèn link (mới)'!$D$3:$D$2213,$B79)</f>
        <v>5</v>
      </c>
      <c r="D79" s="8" t="str">
        <f>IF(COUNTIFS('Kế hoạch chèn link (mới)'!$D$3:$D$2213,$B79,'Kế hoạch chèn link (mới)'!$I$3:$I$2213,"Đã chèn")&gt;=$C79,"Đã hoàn thành",IF(COUNTIFS('Kế hoạch chèn link (mới)'!$D$3:$D$2213,$B79,'Kế hoạch chèn link (mới)'!$I$3:$I$2213,"Đã chèn")&gt;0,"Đang làm","Chưa hoàn thành"))</f>
        <v>Chưa hoàn thành</v>
      </c>
      <c r="E79" s="8" t="b">
        <f t="shared" si="2"/>
        <v>0</v>
      </c>
      <c r="F79" s="25"/>
      <c r="G79" s="25" t="str">
        <f>IFERROR(__xludf.DUMMYFUNCTION("IFERROR(INDEX(FILTER('Kế hoạch chèn link (mới)'!$C$3:$C$2213,'Kế hoạch chèn link (mới)'!$D$3:$D$2213=$B79),1),"""")"),"tra cứu nợ thuế doanh nghiệp")</f>
        <v>tra cứu nợ thuế doanh nghiệp</v>
      </c>
      <c r="H79" s="25" t="str">
        <f>IFERROR(__xludf.DUMMYFUNCTION("IFERROR(INDEX(FILTER('Kế hoạch chèn link (mới)'!$B$3:$B$2213,'Kế hoạch chèn link (mới)'!$D$3:$D$2213=$B79),1),"""")"),"https://techcombank.com/thong-tin/blog/tra-cuu-no-thue-doanh-nghiep")</f>
        <v>https://techcombank.com/thong-tin/blog/tra-cuu-no-thue-doanh-nghiep</v>
      </c>
      <c r="I79" s="25" t="str">
        <f>IFERROR(__xludf.DUMMYFUNCTION("IFERROR(INDEX(FILTER('Kế hoạch chèn link (mới)'!$C$3:$C$2213,'Kế hoạch chèn link (mới)'!$D$3:$D$2213=$B79),2),"""")"),"công ty dùng tài khoản cá nhân có được không")</f>
        <v>công ty dùng tài khoản cá nhân có được không</v>
      </c>
      <c r="J79" s="25" t="str">
        <f>IFERROR(__xludf.DUMMYFUNCTION("IFERROR(INDEX(FILTER('Kế hoạch chèn link (mới)'!$B$3:$B$2213,'Kế hoạch chèn link (mới)'!$D$3:$D$2213=$B79),2),"""")"),"https://techcombank.com/thong-tin/blog/cong-ty-su-dung-tai-khoan-ca-nhan")</f>
        <v>https://techcombank.com/thong-tin/blog/cong-ty-su-dung-tai-khoan-ca-nhan</v>
      </c>
      <c r="K79" s="25" t="str">
        <f>IFERROR(__xludf.DUMMYFUNCTION("IFERROR(INDEX(FILTER('Kế hoạch chèn link (mới)'!$C$3:$C$2213,'Kế hoạch chèn link (mới)'!$D$3:$D$2213=$B79),3),"""")"),"tra tài khoản ngân hàng")</f>
        <v>tra tài khoản ngân hàng</v>
      </c>
      <c r="L79" s="25" t="str">
        <f>IFERROR(__xludf.DUMMYFUNCTION("IFERROR(INDEX(FILTER('Kế hoạch chèn link (mới)'!$B$3:$B$2213,'Kế hoạch chèn link (mới)'!$D$3:$D$2213=$B79),3),"""")"),"https://techcombank.com/thong-tin/blog/cach-kiem-tra-tai-khoan-ngan-hang")</f>
        <v>https://techcombank.com/thong-tin/blog/cach-kiem-tra-tai-khoan-ngan-hang</v>
      </c>
      <c r="M79" s="25" t="str">
        <f>IFERROR(__xludf.DUMMYFUNCTION("IFERROR(INDEX(FILTER('Kế hoạch chèn link (mới)'!$C$3:$C$2213,'Kế hoạch chèn link (mới)'!$D$3:$D$2213=$B79),4),"""")"),"cách tạo tài khoản ngân hàng")</f>
        <v>cách tạo tài khoản ngân hàng</v>
      </c>
      <c r="N79" s="25" t="str">
        <f>IFERROR(__xludf.DUMMYFUNCTION("IFERROR(INDEX(FILTER('Kế hoạch chèn link (mới)'!$B$3:$B$2213,'Kế hoạch chèn link (mới)'!$D$3:$D$2213=$B79),4),"""")"),"https://techcombank.com/thong-tin/blog/cach-mo-tai-khoan")</f>
        <v>https://techcombank.com/thong-tin/blog/cach-mo-tai-khoan</v>
      </c>
      <c r="O79" s="25" t="str">
        <f>IFERROR(__xludf.DUMMYFUNCTION("IFERROR(INDEX(FILTER('Kế hoạch chèn link (mới)'!$C$3:$C$2213,'Kế hoạch chèn link (mới)'!$D$3:$D$2213=$B79),5),"""")"),"tên đăng nhập")</f>
        <v>tên đăng nhập</v>
      </c>
      <c r="P79" s="25" t="str">
        <f>IFERROR(__xludf.DUMMYFUNCTION("IFERROR(INDEX(FILTER('Kế hoạch chèn link (mới)'!$B$3:$B$2213,'Kế hoạch chèn link (mới)'!$D$3:$D$2213=$B79),5),"""")"),"https://techcombank.com/thong-tin/blog/ten-dang-nhap-tai-khoan-ngan-hang-la-gi")</f>
        <v>https://techcombank.com/thong-tin/blog/ten-dang-nhap-tai-khoan-ngan-hang-la-gi</v>
      </c>
    </row>
    <row r="80">
      <c r="A80" s="6">
        <f t="shared" si="1"/>
        <v>79</v>
      </c>
      <c r="B80" s="8" t="s">
        <v>1817</v>
      </c>
      <c r="C80" s="6">
        <f>COUNTIF('Kế hoạch chèn link (mới)'!$D$3:$D$2213,$B80)</f>
        <v>5</v>
      </c>
      <c r="D80" s="8" t="str">
        <f>IF(COUNTIFS('Kế hoạch chèn link (mới)'!$D$3:$D$2213,$B80,'Kế hoạch chèn link (mới)'!$I$3:$I$2213,"Đã chèn")&gt;=$C80,"Đã hoàn thành",IF(COUNTIFS('Kế hoạch chèn link (mới)'!$D$3:$D$2213,$B80,'Kế hoạch chèn link (mới)'!$I$3:$I$2213,"Đã chèn")&gt;0,"Đang làm","Chưa hoàn thành"))</f>
        <v>Chưa hoàn thành</v>
      </c>
      <c r="E80" s="8" t="b">
        <f t="shared" si="2"/>
        <v>0</v>
      </c>
      <c r="F80" s="25"/>
      <c r="G80" s="25" t="str">
        <f>IFERROR(__xludf.DUMMYFUNCTION("IFERROR(INDEX(FILTER('Kế hoạch chèn link (mới)'!$C$3:$C$2213,'Kế hoạch chèn link (mới)'!$D$3:$D$2213=$B80),1),"""")"),"bao nhiêu tuổi được mở tài khoản ngân hàng")</f>
        <v>bao nhiêu tuổi được mở tài khoản ngân hàng</v>
      </c>
      <c r="H80" s="25" t="str">
        <f>IFERROR(__xludf.DUMMYFUNCTION("IFERROR(INDEX(FILTER('Kế hoạch chèn link (mới)'!$B$3:$B$2213,'Kế hoạch chèn link (mới)'!$D$3:$D$2213=$B80),1),"""")"),"https://techcombank.com/thong-tin/blog/bao-nhieu-tuoi-duoc-mo-tai-khoan-ngan-hang")</f>
        <v>https://techcombank.com/thong-tin/blog/bao-nhieu-tuoi-duoc-mo-tai-khoan-ngan-hang</v>
      </c>
      <c r="I80" s="25" t="str">
        <f>IFERROR(__xludf.DUMMYFUNCTION("IFERROR(INDEX(FILTER('Kế hoạch chèn link (mới)'!$C$3:$C$2213,'Kế hoạch chèn link (mới)'!$D$3:$D$2213=$B80),2),"""")"),"nộp tiền vào tài khoản")</f>
        <v>nộp tiền vào tài khoản</v>
      </c>
      <c r="J80" s="25" t="str">
        <f>IFERROR(__xludf.DUMMYFUNCTION("IFERROR(INDEX(FILTER('Kế hoạch chèn link (mới)'!$B$3:$B$2213,'Kế hoạch chèn link (mới)'!$D$3:$D$2213=$B80),2),"""")"),"https://techcombank.com/thong-tin/blog/nap-tien-vao-tai-khoan-ngan-hang")</f>
        <v>https://techcombank.com/thong-tin/blog/nap-tien-vao-tai-khoan-ngan-hang</v>
      </c>
      <c r="K80" s="25" t="str">
        <f>IFERROR(__xludf.DUMMYFUNCTION("IFERROR(INDEX(FILTER('Kế hoạch chèn link (mới)'!$C$3:$C$2213,'Kế hoạch chèn link (mới)'!$D$3:$D$2213=$B80),3),"""")"),"tên đăng nhập tài khoản ngân hàng")</f>
        <v>tên đăng nhập tài khoản ngân hàng</v>
      </c>
      <c r="L80" s="25" t="str">
        <f>IFERROR(__xludf.DUMMYFUNCTION("IFERROR(INDEX(FILTER('Kế hoạch chèn link (mới)'!$B$3:$B$2213,'Kế hoạch chèn link (mới)'!$D$3:$D$2213=$B80),3),"""")"),"https://techcombank.com/thong-tin/blog/ten-dang-nhap-tai-khoan-ngan-hang-la-gi")</f>
        <v>https://techcombank.com/thong-tin/blog/ten-dang-nhap-tai-khoan-ngan-hang-la-gi</v>
      </c>
      <c r="M80" s="25" t="str">
        <f>IFERROR(__xludf.DUMMYFUNCTION("IFERROR(INDEX(FILTER('Kế hoạch chèn link (mới)'!$C$3:$C$2213,'Kế hoạch chèn link (mới)'!$D$3:$D$2213=$B80),4),"""")"),"Techcombank Eco")</f>
        <v>Techcombank Eco</v>
      </c>
      <c r="N80" s="25" t="str">
        <f>IFERROR(__xludf.DUMMYFUNCTION("IFERROR(INDEX(FILTER('Kế hoạch chèn link (mới)'!$B$3:$B$2213,'Kế hoạch chèn link (mới)'!$D$3:$D$2213=$B80),4),"""")"),"https://techcombank.com/thong-tin/blog/eco-card")</f>
        <v>https://techcombank.com/thong-tin/blog/eco-card</v>
      </c>
      <c r="O80" s="25" t="str">
        <f>IFERROR(__xludf.DUMMYFUNCTION("IFERROR(INDEX(FILTER('Kế hoạch chèn link (mới)'!$C$3:$C$2213,'Kế hoạch chèn link (mới)'!$D$3:$D$2213=$B80),5),"""")"),"làm thẻ tín dụng")</f>
        <v>làm thẻ tín dụng</v>
      </c>
      <c r="P80" s="25" t="str">
        <f>IFERROR(__xludf.DUMMYFUNCTION("IFERROR(INDEX(FILTER('Kế hoạch chèn link (mới)'!$B$3:$B$2213,'Kế hoạch chèn link (mới)'!$D$3:$D$2213=$B80),5),"""")"),"https://techcombank.com/thong-tin/blog/lam-the-tin-dung")</f>
        <v>https://techcombank.com/thong-tin/blog/lam-the-tin-dung</v>
      </c>
    </row>
    <row r="81">
      <c r="A81" s="6">
        <f t="shared" si="1"/>
        <v>80</v>
      </c>
      <c r="B81" s="8" t="s">
        <v>1842</v>
      </c>
      <c r="C81" s="6">
        <f>COUNTIF('Kế hoạch chèn link (mới)'!$D$3:$D$2213,$B81)</f>
        <v>3</v>
      </c>
      <c r="D81" s="8" t="str">
        <f>IF(COUNTIFS('Kế hoạch chèn link (mới)'!$D$3:$D$2213,$B81,'Kế hoạch chèn link (mới)'!$I$3:$I$2213,"Đã chèn")&gt;=$C81,"Đã hoàn thành",IF(COUNTIFS('Kế hoạch chèn link (mới)'!$D$3:$D$2213,$B81,'Kế hoạch chèn link (mới)'!$I$3:$I$2213,"Đã chèn")&gt;0,"Đang làm","Chưa hoàn thành"))</f>
        <v>Chưa hoàn thành</v>
      </c>
      <c r="E81" s="8" t="b">
        <f t="shared" si="2"/>
        <v>0</v>
      </c>
      <c r="F81" s="25"/>
      <c r="G81" s="25" t="str">
        <f>IFERROR(__xludf.DUMMYFUNCTION("IFERROR(INDEX(FILTER('Kế hoạch chèn link (mới)'!$C$3:$C$2213,'Kế hoạch chèn link (mới)'!$D$3:$D$2213=$B81),1),"""")"),"làm thẻ tín dụng")</f>
        <v>làm thẻ tín dụng</v>
      </c>
      <c r="H81" s="25" t="str">
        <f>IFERROR(__xludf.DUMMYFUNCTION("IFERROR(INDEX(FILTER('Kế hoạch chèn link (mới)'!$B$3:$B$2213,'Kế hoạch chèn link (mới)'!$D$3:$D$2213=$B81),1),"""")"),"https://techcombank.com/thong-tin/blog/lam-the-tin-dung")</f>
        <v>https://techcombank.com/thong-tin/blog/lam-the-tin-dung</v>
      </c>
      <c r="I81" s="25" t="str">
        <f>IFERROR(__xludf.DUMMYFUNCTION("IFERROR(INDEX(FILTER('Kế hoạch chèn link (mới)'!$C$3:$C$2213,'Kế hoạch chèn link (mới)'!$D$3:$D$2213=$B81),2),"""")"),"thẻ hoàn tiền")</f>
        <v>thẻ hoàn tiền</v>
      </c>
      <c r="J81" s="25" t="str">
        <f>IFERROR(__xludf.DUMMYFUNCTION("IFERROR(INDEX(FILTER('Kế hoạch chèn link (mới)'!$B$3:$B$2213,'Kế hoạch chèn link (mới)'!$D$3:$D$2213=$B81),2),"""")"),"https://techcombank.com/thong-tin/blog/the-tin-dung-hoan-tien")</f>
        <v>https://techcombank.com/thong-tin/blog/the-tin-dung-hoan-tien</v>
      </c>
      <c r="K81" s="25" t="str">
        <f>IFERROR(__xludf.DUMMYFUNCTION("IFERROR(INDEX(FILTER('Kế hoạch chèn link (mới)'!$C$3:$C$2213,'Kế hoạch chèn link (mới)'!$D$3:$D$2213=$B81),3),"""")"),"cách thanh toán thẻ tín dụng")</f>
        <v>cách thanh toán thẻ tín dụng</v>
      </c>
      <c r="L81" s="25" t="str">
        <f>IFERROR(__xludf.DUMMYFUNCTION("IFERROR(INDEX(FILTER('Kế hoạch chèn link (mới)'!$B$3:$B$2213,'Kế hoạch chèn link (mới)'!$D$3:$D$2213=$B81),3),"""")"),"https://techcombank.com/thong-tin/blog/cach-thanh-toan-the-tin-dung")</f>
        <v>https://techcombank.com/thong-tin/blog/cach-thanh-toan-the-tin-dung</v>
      </c>
      <c r="M81" s="25" t="str">
        <f>IFERROR(__xludf.DUMMYFUNCTION("IFERROR(INDEX(FILTER('Kế hoạch chèn link (mới)'!$C$3:$C$2213,'Kế hoạch chèn link (mới)'!$D$3:$D$2213=$B81),4),"""")"),"")</f>
        <v/>
      </c>
      <c r="N81" s="25" t="str">
        <f>IFERROR(__xludf.DUMMYFUNCTION("IFERROR(INDEX(FILTER('Kế hoạch chèn link (mới)'!$B$3:$B$2213,'Kế hoạch chèn link (mới)'!$D$3:$D$2213=$B81),4),"""")"),"")</f>
        <v/>
      </c>
      <c r="O81" s="25" t="str">
        <f>IFERROR(__xludf.DUMMYFUNCTION("IFERROR(INDEX(FILTER('Kế hoạch chèn link (mới)'!$C$3:$C$2213,'Kế hoạch chèn link (mới)'!$D$3:$D$2213=$B81),5),"""")"),"")</f>
        <v/>
      </c>
      <c r="P81" s="25" t="str">
        <f>IFERROR(__xludf.DUMMYFUNCTION("IFERROR(INDEX(FILTER('Kế hoạch chèn link (mới)'!$B$3:$B$2213,'Kế hoạch chèn link (mới)'!$D$3:$D$2213=$B81),5),"""")"),"")</f>
        <v/>
      </c>
    </row>
    <row r="82">
      <c r="A82" s="6">
        <f t="shared" si="1"/>
        <v>81</v>
      </c>
      <c r="B82" s="8" t="s">
        <v>376</v>
      </c>
      <c r="C82" s="6">
        <f>COUNTIF('Kế hoạch chèn link (mới)'!$D$3:$D$2213,$B82)</f>
        <v>3</v>
      </c>
      <c r="D82" s="8" t="str">
        <f>IF(COUNTIFS('Kế hoạch chèn link (mới)'!$D$3:$D$2213,$B82,'Kế hoạch chèn link (mới)'!$I$3:$I$2213,"Đã chèn")&gt;=$C82,"Đã hoàn thành",IF(COUNTIFS('Kế hoạch chèn link (mới)'!$D$3:$D$2213,$B82,'Kế hoạch chèn link (mới)'!$I$3:$I$2213,"Đã chèn")&gt;0,"Đang làm","Chưa hoàn thành"))</f>
        <v>Chưa hoàn thành</v>
      </c>
      <c r="E82" s="8" t="b">
        <f t="shared" si="2"/>
        <v>0</v>
      </c>
      <c r="F82" s="25"/>
      <c r="G82" s="25" t="str">
        <f>IFERROR(__xludf.DUMMYFUNCTION("IFERROR(INDEX(FILTER('Kế hoạch chèn link (mới)'!$C$3:$C$2213,'Kế hoạch chèn link (mới)'!$D$3:$D$2213=$B82),1),"""")"),"cách nộp thuế đất online")</f>
        <v>cách nộp thuế đất online</v>
      </c>
      <c r="H82" s="25" t="str">
        <f>IFERROR(__xludf.DUMMYFUNCTION("IFERROR(INDEX(FILTER('Kế hoạch chèn link (mới)'!$B$3:$B$2213,'Kế hoạch chèn link (mới)'!$D$3:$D$2213=$B82),1),"""")"),"https://techcombank.com/thong-tin/blog/nop-thue-dat-qua-ngan-hang")</f>
        <v>https://techcombank.com/thong-tin/blog/nop-thue-dat-qua-ngan-hang</v>
      </c>
      <c r="I82" s="25" t="str">
        <f>IFERROR(__xludf.DUMMYFUNCTION("IFERROR(INDEX(FILTER('Kế hoạch chèn link (mới)'!$C$3:$C$2213,'Kế hoạch chèn link (mới)'!$D$3:$D$2213=$B82),2),"""")"),"tra tài khoản ngân hàng")</f>
        <v>tra tài khoản ngân hàng</v>
      </c>
      <c r="J82" s="25" t="str">
        <f>IFERROR(__xludf.DUMMYFUNCTION("IFERROR(INDEX(FILTER('Kế hoạch chèn link (mới)'!$B$3:$B$2213,'Kế hoạch chèn link (mới)'!$D$3:$D$2213=$B82),2),"""")"),"https://techcombank.com/thong-tin/blog/cach-kiem-tra-tai-khoan-ngan-hang")</f>
        <v>https://techcombank.com/thong-tin/blog/cach-kiem-tra-tai-khoan-ngan-hang</v>
      </c>
      <c r="K82" s="25" t="str">
        <f>IFERROR(__xludf.DUMMYFUNCTION("IFERROR(INDEX(FILTER('Kế hoạch chèn link (mới)'!$C$3:$C$2213,'Kế hoạch chèn link (mới)'!$D$3:$D$2213=$B82),3),"""")"),"tiền chuyển khoản bị treo")</f>
        <v>tiền chuyển khoản bị treo</v>
      </c>
      <c r="L82" s="25" t="str">
        <f>IFERROR(__xludf.DUMMYFUNCTION("IFERROR(INDEX(FILTER('Kế hoạch chèn link (mới)'!$B$3:$B$2213,'Kế hoạch chèn link (mới)'!$D$3:$D$2213=$B82),3),"""")"),"https://techcombank.com/thong-tin/blog/chuyen-khoan-thanh-cong-nhung-khong-nhan-duoc-tien")</f>
        <v>https://techcombank.com/thong-tin/blog/chuyen-khoan-thanh-cong-nhung-khong-nhan-duoc-tien</v>
      </c>
      <c r="M82" s="25" t="str">
        <f>IFERROR(__xludf.DUMMYFUNCTION("IFERROR(INDEX(FILTER('Kế hoạch chèn link (mới)'!$C$3:$C$2213,'Kế hoạch chèn link (mới)'!$D$3:$D$2213=$B82),4),"""")"),"")</f>
        <v/>
      </c>
      <c r="N82" s="25" t="str">
        <f>IFERROR(__xludf.DUMMYFUNCTION("IFERROR(INDEX(FILTER('Kế hoạch chèn link (mới)'!$B$3:$B$2213,'Kế hoạch chèn link (mới)'!$D$3:$D$2213=$B82),4),"""")"),"")</f>
        <v/>
      </c>
      <c r="O82" s="25" t="str">
        <f>IFERROR(__xludf.DUMMYFUNCTION("IFERROR(INDEX(FILTER('Kế hoạch chèn link (mới)'!$C$3:$C$2213,'Kế hoạch chèn link (mới)'!$D$3:$D$2213=$B82),5),"""")"),"")</f>
        <v/>
      </c>
      <c r="P82" s="25" t="str">
        <f>IFERROR(__xludf.DUMMYFUNCTION("IFERROR(INDEX(FILTER('Kế hoạch chèn link (mới)'!$B$3:$B$2213,'Kế hoạch chèn link (mới)'!$D$3:$D$2213=$B82),5),"""")"),"")</f>
        <v/>
      </c>
    </row>
    <row r="83">
      <c r="A83" s="6">
        <f t="shared" si="1"/>
        <v>82</v>
      </c>
      <c r="B83" s="8" t="s">
        <v>1768</v>
      </c>
      <c r="C83" s="6">
        <f>COUNTIF('Kế hoạch chèn link (mới)'!$D$3:$D$2213,$B83)</f>
        <v>1</v>
      </c>
      <c r="D83" s="8" t="str">
        <f>IF(COUNTIFS('Kế hoạch chèn link (mới)'!$D$3:$D$2213,$B83,'Kế hoạch chèn link (mới)'!$I$3:$I$2213,"Đã chèn")&gt;=$C83,"Đã hoàn thành",IF(COUNTIFS('Kế hoạch chèn link (mới)'!$D$3:$D$2213,$B83,'Kế hoạch chèn link (mới)'!$I$3:$I$2213,"Đã chèn")&gt;0,"Đang làm","Chưa hoàn thành"))</f>
        <v>Chưa hoàn thành</v>
      </c>
      <c r="E83" s="8" t="b">
        <f t="shared" si="2"/>
        <v>0</v>
      </c>
      <c r="F83" s="25"/>
      <c r="G83" s="25" t="str">
        <f>IFERROR(__xludf.DUMMYFUNCTION("IFERROR(INDEX(FILTER('Kế hoạch chèn link (mới)'!$C$3:$C$2213,'Kế hoạch chèn link (mới)'!$D$3:$D$2213=$B83),1),"""")"),"cách tạo tài khoản ngân hàng")</f>
        <v>cách tạo tài khoản ngân hàng</v>
      </c>
      <c r="H83" s="25" t="str">
        <f>IFERROR(__xludf.DUMMYFUNCTION("IFERROR(INDEX(FILTER('Kế hoạch chèn link (mới)'!$B$3:$B$2213,'Kế hoạch chèn link (mới)'!$D$3:$D$2213=$B83),1),"""")"),"https://techcombank.com/thong-tin/blog/cach-mo-tai-khoan")</f>
        <v>https://techcombank.com/thong-tin/blog/cach-mo-tai-khoan</v>
      </c>
      <c r="I83" s="25" t="str">
        <f>IFERROR(__xludf.DUMMYFUNCTION("IFERROR(INDEX(FILTER('Kế hoạch chèn link (mới)'!$C$3:$C$2213,'Kế hoạch chèn link (mới)'!$D$3:$D$2213=$B83),2),"""")"),"")</f>
        <v/>
      </c>
      <c r="J83" s="25" t="str">
        <f>IFERROR(__xludf.DUMMYFUNCTION("IFERROR(INDEX(FILTER('Kế hoạch chèn link (mới)'!$B$3:$B$2213,'Kế hoạch chèn link (mới)'!$D$3:$D$2213=$B83),2),"""")"),"")</f>
        <v/>
      </c>
      <c r="K83" s="25" t="str">
        <f>IFERROR(__xludf.DUMMYFUNCTION("IFERROR(INDEX(FILTER('Kế hoạch chèn link (mới)'!$C$3:$C$2213,'Kế hoạch chèn link (mới)'!$D$3:$D$2213=$B83),3),"""")"),"")</f>
        <v/>
      </c>
      <c r="L83" s="25" t="str">
        <f>IFERROR(__xludf.DUMMYFUNCTION("IFERROR(INDEX(FILTER('Kế hoạch chèn link (mới)'!$B$3:$B$2213,'Kế hoạch chèn link (mới)'!$D$3:$D$2213=$B83),3),"""")"),"")</f>
        <v/>
      </c>
      <c r="M83" s="25" t="str">
        <f>IFERROR(__xludf.DUMMYFUNCTION("IFERROR(INDEX(FILTER('Kế hoạch chèn link (mới)'!$C$3:$C$2213,'Kế hoạch chèn link (mới)'!$D$3:$D$2213=$B83),4),"""")"),"")</f>
        <v/>
      </c>
      <c r="N83" s="25" t="str">
        <f>IFERROR(__xludf.DUMMYFUNCTION("IFERROR(INDEX(FILTER('Kế hoạch chèn link (mới)'!$B$3:$B$2213,'Kế hoạch chèn link (mới)'!$D$3:$D$2213=$B83),4),"""")"),"")</f>
        <v/>
      </c>
      <c r="O83" s="25" t="str">
        <f>IFERROR(__xludf.DUMMYFUNCTION("IFERROR(INDEX(FILTER('Kế hoạch chèn link (mới)'!$C$3:$C$2213,'Kế hoạch chèn link (mới)'!$D$3:$D$2213=$B83),5),"""")"),"")</f>
        <v/>
      </c>
      <c r="P83" s="25" t="str">
        <f>IFERROR(__xludf.DUMMYFUNCTION("IFERROR(INDEX(FILTER('Kế hoạch chèn link (mới)'!$B$3:$B$2213,'Kế hoạch chèn link (mới)'!$D$3:$D$2213=$B83),5),"""")"),"")</f>
        <v/>
      </c>
    </row>
    <row r="84">
      <c r="A84" s="6">
        <f t="shared" si="1"/>
        <v>83</v>
      </c>
      <c r="B84" s="8" t="s">
        <v>1779</v>
      </c>
      <c r="C84" s="6">
        <f>COUNTIF('Kế hoạch chèn link (mới)'!$D$3:$D$2213,$B84)</f>
        <v>2</v>
      </c>
      <c r="D84" s="8" t="str">
        <f>IF(COUNTIFS('Kế hoạch chèn link (mới)'!$D$3:$D$2213,$B84,'Kế hoạch chèn link (mới)'!$I$3:$I$2213,"Đã chèn")&gt;=$C84,"Đã hoàn thành",IF(COUNTIFS('Kế hoạch chèn link (mới)'!$D$3:$D$2213,$B84,'Kế hoạch chèn link (mới)'!$I$3:$I$2213,"Đã chèn")&gt;0,"Đang làm","Chưa hoàn thành"))</f>
        <v>Chưa hoàn thành</v>
      </c>
      <c r="E84" s="8" t="b">
        <f t="shared" si="2"/>
        <v>0</v>
      </c>
      <c r="F84" s="25"/>
      <c r="G84" s="25" t="str">
        <f>IFERROR(__xludf.DUMMYFUNCTION("IFERROR(INDEX(FILTER('Kế hoạch chèn link (mới)'!$C$3:$C$2213,'Kế hoạch chèn link (mới)'!$D$3:$D$2213=$B84),1),"""")"),"cách tạo tài khoản ngân hàng")</f>
        <v>cách tạo tài khoản ngân hàng</v>
      </c>
      <c r="H84" s="25" t="str">
        <f>IFERROR(__xludf.DUMMYFUNCTION("IFERROR(INDEX(FILTER('Kế hoạch chèn link (mới)'!$B$3:$B$2213,'Kế hoạch chèn link (mới)'!$D$3:$D$2213=$B84),1),"""")"),"https://techcombank.com/thong-tin/blog/cach-mo-tai-khoan")</f>
        <v>https://techcombank.com/thong-tin/blog/cach-mo-tai-khoan</v>
      </c>
      <c r="I84" s="25" t="str">
        <f>IFERROR(__xludf.DUMMYFUNCTION("IFERROR(INDEX(FILTER('Kế hoạch chèn link (mới)'!$C$3:$C$2213,'Kế hoạch chèn link (mới)'!$D$3:$D$2213=$B84),2),"""")"),"quét NFC CCCD trên iPhone")</f>
        <v>quét NFC CCCD trên iPhone</v>
      </c>
      <c r="J84" s="25" t="str">
        <f>IFERROR(__xludf.DUMMYFUNCTION("IFERROR(INDEX(FILTER('Kế hoạch chèn link (mới)'!$B$3:$B$2213,'Kế hoạch chèn link (mới)'!$D$3:$D$2213=$B84),2),"""")"),"https://techcombank.com/thong-tin/blog/cach-quet-nfc-cccd-tren-iphone")</f>
        <v>https://techcombank.com/thong-tin/blog/cach-quet-nfc-cccd-tren-iphone</v>
      </c>
      <c r="K84" s="25" t="str">
        <f>IFERROR(__xludf.DUMMYFUNCTION("IFERROR(INDEX(FILTER('Kế hoạch chèn link (mới)'!$C$3:$C$2213,'Kế hoạch chèn link (mới)'!$D$3:$D$2213=$B84),3),"""")"),"")</f>
        <v/>
      </c>
      <c r="L84" s="25" t="str">
        <f>IFERROR(__xludf.DUMMYFUNCTION("IFERROR(INDEX(FILTER('Kế hoạch chèn link (mới)'!$B$3:$B$2213,'Kế hoạch chèn link (mới)'!$D$3:$D$2213=$B84),3),"""")"),"")</f>
        <v/>
      </c>
      <c r="M84" s="25" t="str">
        <f>IFERROR(__xludf.DUMMYFUNCTION("IFERROR(INDEX(FILTER('Kế hoạch chèn link (mới)'!$C$3:$C$2213,'Kế hoạch chèn link (mới)'!$D$3:$D$2213=$B84),4),"""")"),"")</f>
        <v/>
      </c>
      <c r="N84" s="25" t="str">
        <f>IFERROR(__xludf.DUMMYFUNCTION("IFERROR(INDEX(FILTER('Kế hoạch chèn link (mới)'!$B$3:$B$2213,'Kế hoạch chèn link (mới)'!$D$3:$D$2213=$B84),4),"""")"),"")</f>
        <v/>
      </c>
      <c r="O84" s="25" t="str">
        <f>IFERROR(__xludf.DUMMYFUNCTION("IFERROR(INDEX(FILTER('Kế hoạch chèn link (mới)'!$C$3:$C$2213,'Kế hoạch chèn link (mới)'!$D$3:$D$2213=$B84),5),"""")"),"")</f>
        <v/>
      </c>
      <c r="P84" s="25" t="str">
        <f>IFERROR(__xludf.DUMMYFUNCTION("IFERROR(INDEX(FILTER('Kế hoạch chèn link (mới)'!$B$3:$B$2213,'Kế hoạch chèn link (mới)'!$D$3:$D$2213=$B84),5),"""")"),"")</f>
        <v/>
      </c>
    </row>
    <row r="85">
      <c r="A85" s="6">
        <f t="shared" si="1"/>
        <v>84</v>
      </c>
      <c r="B85" s="8" t="s">
        <v>799</v>
      </c>
      <c r="C85" s="6">
        <f>COUNTIF('Kế hoạch chèn link (mới)'!$D$3:$D$2213,$B85)</f>
        <v>2</v>
      </c>
      <c r="D85" s="8" t="str">
        <f>IF(COUNTIFS('Kế hoạch chèn link (mới)'!$D$3:$D$2213,$B85,'Kế hoạch chèn link (mới)'!$I$3:$I$2213,"Đã chèn")&gt;=$C85,"Đã hoàn thành",IF(COUNTIFS('Kế hoạch chèn link (mới)'!$D$3:$D$2213,$B85,'Kế hoạch chèn link (mới)'!$I$3:$I$2213,"Đã chèn")&gt;0,"Đang làm","Chưa hoàn thành"))</f>
        <v>Chưa hoàn thành</v>
      </c>
      <c r="E85" s="8" t="b">
        <f t="shared" si="2"/>
        <v>0</v>
      </c>
      <c r="F85" s="25"/>
      <c r="G85" s="25" t="str">
        <f>IFERROR(__xludf.DUMMYFUNCTION("IFERROR(INDEX(FILTER('Kế hoạch chèn link (mới)'!$C$3:$C$2213,'Kế hoạch chèn link (mới)'!$D$3:$D$2213=$B85),1),"""")"),"tên đăng nhập")</f>
        <v>tên đăng nhập</v>
      </c>
      <c r="H85" s="25" t="str">
        <f>IFERROR(__xludf.DUMMYFUNCTION("IFERROR(INDEX(FILTER('Kế hoạch chèn link (mới)'!$B$3:$B$2213,'Kế hoạch chèn link (mới)'!$D$3:$D$2213=$B85),1),"""")"),"https://techcombank.com/thong-tin/blog/ten-dang-nhap-tai-khoan-ngan-hang-la-gi")</f>
        <v>https://techcombank.com/thong-tin/blog/ten-dang-nhap-tai-khoan-ngan-hang-la-gi</v>
      </c>
      <c r="I85" s="25" t="str">
        <f>IFERROR(__xludf.DUMMYFUNCTION("IFERROR(INDEX(FILTER('Kế hoạch chèn link (mới)'!$C$3:$C$2213,'Kế hoạch chèn link (mới)'!$D$3:$D$2213=$B85),2),"""")"),"quét NFC CCCD")</f>
        <v>quét NFC CCCD</v>
      </c>
      <c r="J85" s="25" t="str">
        <f>IFERROR(__xludf.DUMMYFUNCTION("IFERROR(INDEX(FILTER('Kế hoạch chèn link (mới)'!$B$3:$B$2213,'Kế hoạch chèn link (mới)'!$D$3:$D$2213=$B85),2),"""")"),"https://techcombank.com/thong-tin/blog/cach-quet-nfc-cccd-tren-iphone")</f>
        <v>https://techcombank.com/thong-tin/blog/cach-quet-nfc-cccd-tren-iphone</v>
      </c>
      <c r="K85" s="25" t="str">
        <f>IFERROR(__xludf.DUMMYFUNCTION("IFERROR(INDEX(FILTER('Kế hoạch chèn link (mới)'!$C$3:$C$2213,'Kế hoạch chèn link (mới)'!$D$3:$D$2213=$B85),3),"""")"),"")</f>
        <v/>
      </c>
      <c r="L85" s="25" t="str">
        <f>IFERROR(__xludf.DUMMYFUNCTION("IFERROR(INDEX(FILTER('Kế hoạch chèn link (mới)'!$B$3:$B$2213,'Kế hoạch chèn link (mới)'!$D$3:$D$2213=$B85),3),"""")"),"")</f>
        <v/>
      </c>
      <c r="M85" s="25" t="str">
        <f>IFERROR(__xludf.DUMMYFUNCTION("IFERROR(INDEX(FILTER('Kế hoạch chèn link (mới)'!$C$3:$C$2213,'Kế hoạch chèn link (mới)'!$D$3:$D$2213=$B85),4),"""")"),"")</f>
        <v/>
      </c>
      <c r="N85" s="25" t="str">
        <f>IFERROR(__xludf.DUMMYFUNCTION("IFERROR(INDEX(FILTER('Kế hoạch chèn link (mới)'!$B$3:$B$2213,'Kế hoạch chèn link (mới)'!$D$3:$D$2213=$B85),4),"""")"),"")</f>
        <v/>
      </c>
      <c r="O85" s="25" t="str">
        <f>IFERROR(__xludf.DUMMYFUNCTION("IFERROR(INDEX(FILTER('Kế hoạch chèn link (mới)'!$C$3:$C$2213,'Kế hoạch chèn link (mới)'!$D$3:$D$2213=$B85),5),"""")"),"")</f>
        <v/>
      </c>
      <c r="P85" s="25" t="str">
        <f>IFERROR(__xludf.DUMMYFUNCTION("IFERROR(INDEX(FILTER('Kế hoạch chèn link (mới)'!$B$3:$B$2213,'Kế hoạch chèn link (mới)'!$D$3:$D$2213=$B85),5),"""")"),"")</f>
        <v/>
      </c>
    </row>
    <row r="86">
      <c r="A86" s="6">
        <f t="shared" si="1"/>
        <v>85</v>
      </c>
      <c r="B86" s="8" t="s">
        <v>1353</v>
      </c>
      <c r="C86" s="6">
        <f>COUNTIF('Kế hoạch chèn link (mới)'!$D$3:$D$2213,$B86)</f>
        <v>2</v>
      </c>
      <c r="D86" s="8" t="str">
        <f>IF(COUNTIFS('Kế hoạch chèn link (mới)'!$D$3:$D$2213,$B86,'Kế hoạch chèn link (mới)'!$I$3:$I$2213,"Đã chèn")&gt;=$C86,"Đã hoàn thành",IF(COUNTIFS('Kế hoạch chèn link (mới)'!$D$3:$D$2213,$B86,'Kế hoạch chèn link (mới)'!$I$3:$I$2213,"Đã chèn")&gt;0,"Đang làm","Chưa hoàn thành"))</f>
        <v>Chưa hoàn thành</v>
      </c>
      <c r="E86" s="8" t="b">
        <f t="shared" si="2"/>
        <v>0</v>
      </c>
      <c r="F86" s="25"/>
      <c r="G86" s="25" t="str">
        <f>IFERROR(__xludf.DUMMYFUNCTION("IFERROR(INDEX(FILTER('Kế hoạch chèn link (mới)'!$C$3:$C$2213,'Kế hoạch chèn link (mới)'!$D$3:$D$2213=$B86),1),"""")"),"nạp thẻ viettel")</f>
        <v>nạp thẻ viettel</v>
      </c>
      <c r="H86" s="25" t="str">
        <f>IFERROR(__xludf.DUMMYFUNCTION("IFERROR(INDEX(FILTER('Kế hoạch chèn link (mới)'!$B$3:$B$2213,'Kế hoạch chèn link (mới)'!$D$3:$D$2213=$B86),1),"""")"),"https://techcombank.com/thong-tin/blog/cach-nap-the-viettel")</f>
        <v>https://techcombank.com/thong-tin/blog/cach-nap-the-viettel</v>
      </c>
      <c r="I86" s="25" t="str">
        <f>IFERROR(__xludf.DUMMYFUNCTION("IFERROR(INDEX(FILTER('Kế hoạch chèn link (mới)'!$C$3:$C$2213,'Kế hoạch chèn link (mới)'!$D$3:$D$2213=$B86),2),"""")"),"nạp tiền vào tài khoản ngân hàng")</f>
        <v>nạp tiền vào tài khoản ngân hàng</v>
      </c>
      <c r="J86" s="25" t="str">
        <f>IFERROR(__xludf.DUMMYFUNCTION("IFERROR(INDEX(FILTER('Kế hoạch chèn link (mới)'!$B$3:$B$2213,'Kế hoạch chèn link (mới)'!$D$3:$D$2213=$B86),2),"""")"),"https://techcombank.com/thong-tin/blog/nap-tien-vao-tai-khoan-ngan-hang")</f>
        <v>https://techcombank.com/thong-tin/blog/nap-tien-vao-tai-khoan-ngan-hang</v>
      </c>
      <c r="K86" s="25" t="str">
        <f>IFERROR(__xludf.DUMMYFUNCTION("IFERROR(INDEX(FILTER('Kế hoạch chèn link (mới)'!$C$3:$C$2213,'Kế hoạch chèn link (mới)'!$D$3:$D$2213=$B86),3),"""")"),"")</f>
        <v/>
      </c>
      <c r="L86" s="25" t="str">
        <f>IFERROR(__xludf.DUMMYFUNCTION("IFERROR(INDEX(FILTER('Kế hoạch chèn link (mới)'!$B$3:$B$2213,'Kế hoạch chèn link (mới)'!$D$3:$D$2213=$B86),3),"""")"),"")</f>
        <v/>
      </c>
      <c r="M86" s="25" t="str">
        <f>IFERROR(__xludf.DUMMYFUNCTION("IFERROR(INDEX(FILTER('Kế hoạch chèn link (mới)'!$C$3:$C$2213,'Kế hoạch chèn link (mới)'!$D$3:$D$2213=$B86),4),"""")"),"")</f>
        <v/>
      </c>
      <c r="N86" s="25" t="str">
        <f>IFERROR(__xludf.DUMMYFUNCTION("IFERROR(INDEX(FILTER('Kế hoạch chèn link (mới)'!$B$3:$B$2213,'Kế hoạch chèn link (mới)'!$D$3:$D$2213=$B86),4),"""")"),"")</f>
        <v/>
      </c>
      <c r="O86" s="25" t="str">
        <f>IFERROR(__xludf.DUMMYFUNCTION("IFERROR(INDEX(FILTER('Kế hoạch chèn link (mới)'!$C$3:$C$2213,'Kế hoạch chèn link (mới)'!$D$3:$D$2213=$B86),5),"""")"),"")</f>
        <v/>
      </c>
      <c r="P86" s="25" t="str">
        <f>IFERROR(__xludf.DUMMYFUNCTION("IFERROR(INDEX(FILTER('Kế hoạch chèn link (mới)'!$B$3:$B$2213,'Kế hoạch chèn link (mới)'!$D$3:$D$2213=$B86),5),"""")"),"")</f>
        <v/>
      </c>
    </row>
    <row r="87">
      <c r="A87" s="6">
        <f t="shared" si="1"/>
        <v>86</v>
      </c>
      <c r="B87" s="8" t="s">
        <v>1323</v>
      </c>
      <c r="C87" s="6">
        <f>COUNTIF('Kế hoạch chèn link (mới)'!$D$3:$D$2213,$B87)</f>
        <v>3</v>
      </c>
      <c r="D87" s="8" t="str">
        <f>IF(COUNTIFS('Kế hoạch chèn link (mới)'!$D$3:$D$2213,$B87,'Kế hoạch chèn link (mới)'!$I$3:$I$2213,"Đã chèn")&gt;=$C87,"Đã hoàn thành",IF(COUNTIFS('Kế hoạch chèn link (mới)'!$D$3:$D$2213,$B87,'Kế hoạch chèn link (mới)'!$I$3:$I$2213,"Đã chèn")&gt;0,"Đang làm","Chưa hoàn thành"))</f>
        <v>Chưa hoàn thành</v>
      </c>
      <c r="E87" s="8" t="b">
        <f t="shared" si="2"/>
        <v>0</v>
      </c>
      <c r="F87" s="25"/>
      <c r="G87" s="25" t="str">
        <f>IFERROR(__xludf.DUMMYFUNCTION("IFERROR(INDEX(FILTER('Kế hoạch chèn link (mới)'!$C$3:$C$2213,'Kế hoạch chèn link (mới)'!$D$3:$D$2213=$B87),1),"""")"),"cách nạp tiền điện thoại viettel")</f>
        <v>cách nạp tiền điện thoại viettel</v>
      </c>
      <c r="H87" s="25" t="str">
        <f>IFERROR(__xludf.DUMMYFUNCTION("IFERROR(INDEX(FILTER('Kế hoạch chèn link (mới)'!$B$3:$B$2213,'Kế hoạch chèn link (mới)'!$D$3:$D$2213=$B87),1),"""")"),"https://techcombank.com/thong-tin/blog/cach-nap-the-viettel")</f>
        <v>https://techcombank.com/thong-tin/blog/cach-nap-the-viettel</v>
      </c>
      <c r="I87" s="25" t="str">
        <f>IFERROR(__xludf.DUMMYFUNCTION("IFERROR(INDEX(FILTER('Kế hoạch chèn link (mới)'!$C$3:$C$2213,'Kế hoạch chèn link (mới)'!$D$3:$D$2213=$B87),2),"""")"),"thẻ hoàn tiền")</f>
        <v>thẻ hoàn tiền</v>
      </c>
      <c r="J87" s="25" t="str">
        <f>IFERROR(__xludf.DUMMYFUNCTION("IFERROR(INDEX(FILTER('Kế hoạch chèn link (mới)'!$B$3:$B$2213,'Kế hoạch chèn link (mới)'!$D$3:$D$2213=$B87),2),"""")"),"https://techcombank.com/thong-tin/blog/the-tin-dung-hoan-tien")</f>
        <v>https://techcombank.com/thong-tin/blog/the-tin-dung-hoan-tien</v>
      </c>
      <c r="K87" s="25" t="str">
        <f>IFERROR(__xludf.DUMMYFUNCTION("IFERROR(INDEX(FILTER('Kế hoạch chèn link (mới)'!$C$3:$C$2213,'Kế hoạch chèn link (mới)'!$D$3:$D$2213=$B87),3),"""")"),"cách tiết kiệm tiền")</f>
        <v>cách tiết kiệm tiền</v>
      </c>
      <c r="L87" s="25" t="str">
        <f>IFERROR(__xludf.DUMMYFUNCTION("IFERROR(INDEX(FILTER('Kế hoạch chèn link (mới)'!$B$3:$B$2213,'Kế hoạch chèn link (mới)'!$D$3:$D$2213=$B87),3),"""")"),"https://techcombank.com/thong-tin/blog/cach-tiet-kiem-tien")</f>
        <v>https://techcombank.com/thong-tin/blog/cach-tiet-kiem-tien</v>
      </c>
      <c r="M87" s="25" t="str">
        <f>IFERROR(__xludf.DUMMYFUNCTION("IFERROR(INDEX(FILTER('Kế hoạch chèn link (mới)'!$C$3:$C$2213,'Kế hoạch chèn link (mới)'!$D$3:$D$2213=$B87),4),"""")"),"")</f>
        <v/>
      </c>
      <c r="N87" s="25" t="str">
        <f>IFERROR(__xludf.DUMMYFUNCTION("IFERROR(INDEX(FILTER('Kế hoạch chèn link (mới)'!$B$3:$B$2213,'Kế hoạch chèn link (mới)'!$D$3:$D$2213=$B87),4),"""")"),"")</f>
        <v/>
      </c>
      <c r="O87" s="25" t="str">
        <f>IFERROR(__xludf.DUMMYFUNCTION("IFERROR(INDEX(FILTER('Kế hoạch chèn link (mới)'!$C$3:$C$2213,'Kế hoạch chèn link (mới)'!$D$3:$D$2213=$B87),5),"""")"),"")</f>
        <v/>
      </c>
      <c r="P87" s="25" t="str">
        <f>IFERROR(__xludf.DUMMYFUNCTION("IFERROR(INDEX(FILTER('Kế hoạch chèn link (mới)'!$B$3:$B$2213,'Kế hoạch chèn link (mới)'!$D$3:$D$2213=$B87),5),"""")"),"")</f>
        <v/>
      </c>
    </row>
    <row r="88">
      <c r="A88" s="6">
        <f t="shared" si="1"/>
        <v>87</v>
      </c>
      <c r="B88" s="8" t="s">
        <v>783</v>
      </c>
      <c r="C88" s="6">
        <f>COUNTIF('Kế hoạch chèn link (mới)'!$D$3:$D$2213,$B88)</f>
        <v>1</v>
      </c>
      <c r="D88" s="8" t="str">
        <f>IF(COUNTIFS('Kế hoạch chèn link (mới)'!$D$3:$D$2213,$B88,'Kế hoạch chèn link (mới)'!$I$3:$I$2213,"Đã chèn")&gt;=$C88,"Đã hoàn thành",IF(COUNTIFS('Kế hoạch chèn link (mới)'!$D$3:$D$2213,$B88,'Kế hoạch chèn link (mới)'!$I$3:$I$2213,"Đã chèn")&gt;0,"Đang làm","Chưa hoàn thành"))</f>
        <v>Chưa hoàn thành</v>
      </c>
      <c r="E88" s="8" t="b">
        <f t="shared" si="2"/>
        <v>0</v>
      </c>
      <c r="F88" s="25"/>
      <c r="G88" s="25" t="str">
        <f>IFERROR(__xludf.DUMMYFUNCTION("IFERROR(INDEX(FILTER('Kế hoạch chèn link (mới)'!$C$3:$C$2213,'Kế hoạch chèn link (mới)'!$D$3:$D$2213=$B88),1),"""")"),"giá điện sinh hoạt mới nhất")</f>
        <v>giá điện sinh hoạt mới nhất</v>
      </c>
      <c r="H88" s="25" t="str">
        <f>IFERROR(__xludf.DUMMYFUNCTION("IFERROR(INDEX(FILTER('Kế hoạch chèn link (mới)'!$B$3:$B$2213,'Kế hoạch chèn link (mới)'!$D$3:$D$2213=$B88),1),"""")"),"https://techcombank.com/thong-tin/blog/cach-tinh-tien-dien-sinh-hoat")</f>
        <v>https://techcombank.com/thong-tin/blog/cach-tinh-tien-dien-sinh-hoat</v>
      </c>
      <c r="I88" s="25" t="str">
        <f>IFERROR(__xludf.DUMMYFUNCTION("IFERROR(INDEX(FILTER('Kế hoạch chèn link (mới)'!$C$3:$C$2213,'Kế hoạch chèn link (mới)'!$D$3:$D$2213=$B88),2),"""")"),"")</f>
        <v/>
      </c>
      <c r="J88" s="25" t="str">
        <f>IFERROR(__xludf.DUMMYFUNCTION("IFERROR(INDEX(FILTER('Kế hoạch chèn link (mới)'!$B$3:$B$2213,'Kế hoạch chèn link (mới)'!$D$3:$D$2213=$B88),2),"""")"),"")</f>
        <v/>
      </c>
      <c r="K88" s="25" t="str">
        <f>IFERROR(__xludf.DUMMYFUNCTION("IFERROR(INDEX(FILTER('Kế hoạch chèn link (mới)'!$C$3:$C$2213,'Kế hoạch chèn link (mới)'!$D$3:$D$2213=$B88),3),"""")"),"")</f>
        <v/>
      </c>
      <c r="L88" s="25" t="str">
        <f>IFERROR(__xludf.DUMMYFUNCTION("IFERROR(INDEX(FILTER('Kế hoạch chèn link (mới)'!$B$3:$B$2213,'Kế hoạch chèn link (mới)'!$D$3:$D$2213=$B88),3),"""")"),"")</f>
        <v/>
      </c>
      <c r="M88" s="25" t="str">
        <f>IFERROR(__xludf.DUMMYFUNCTION("IFERROR(INDEX(FILTER('Kế hoạch chèn link (mới)'!$C$3:$C$2213,'Kế hoạch chèn link (mới)'!$D$3:$D$2213=$B88),4),"""")"),"")</f>
        <v/>
      </c>
      <c r="N88" s="25" t="str">
        <f>IFERROR(__xludf.DUMMYFUNCTION("IFERROR(INDEX(FILTER('Kế hoạch chèn link (mới)'!$B$3:$B$2213,'Kế hoạch chèn link (mới)'!$D$3:$D$2213=$B88),4),"""")"),"")</f>
        <v/>
      </c>
      <c r="O88" s="25" t="str">
        <f>IFERROR(__xludf.DUMMYFUNCTION("IFERROR(INDEX(FILTER('Kế hoạch chèn link (mới)'!$C$3:$C$2213,'Kế hoạch chèn link (mới)'!$D$3:$D$2213=$B88),5),"""")"),"")</f>
        <v/>
      </c>
      <c r="P88" s="25" t="str">
        <f>IFERROR(__xludf.DUMMYFUNCTION("IFERROR(INDEX(FILTER('Kế hoạch chèn link (mới)'!$B$3:$B$2213,'Kế hoạch chèn link (mới)'!$D$3:$D$2213=$B88),5),"""")"),"")</f>
        <v/>
      </c>
    </row>
    <row r="89">
      <c r="A89" s="6">
        <f t="shared" si="1"/>
        <v>88</v>
      </c>
      <c r="B89" s="8" t="s">
        <v>1318</v>
      </c>
      <c r="C89" s="6">
        <f>COUNTIF('Kế hoạch chèn link (mới)'!$D$3:$D$2213,$B89)</f>
        <v>3</v>
      </c>
      <c r="D89" s="8" t="str">
        <f>IF(COUNTIFS('Kế hoạch chèn link (mới)'!$D$3:$D$2213,$B89,'Kế hoạch chèn link (mới)'!$I$3:$I$2213,"Đã chèn")&gt;=$C89,"Đã hoàn thành",IF(COUNTIFS('Kế hoạch chèn link (mới)'!$D$3:$D$2213,$B89,'Kế hoạch chèn link (mới)'!$I$3:$I$2213,"Đã chèn")&gt;0,"Đang làm","Chưa hoàn thành"))</f>
        <v>Chưa hoàn thành</v>
      </c>
      <c r="E89" s="8" t="b">
        <f t="shared" si="2"/>
        <v>0</v>
      </c>
      <c r="F89" s="25"/>
      <c r="G89" s="25" t="str">
        <f>IFERROR(__xludf.DUMMYFUNCTION("IFERROR(INDEX(FILTER('Kế hoạch chèn link (mới)'!$C$3:$C$2213,'Kế hoạch chèn link (mới)'!$D$3:$D$2213=$B89),1),"""")"),"cách nạp tiền điện thoại viettel")</f>
        <v>cách nạp tiền điện thoại viettel</v>
      </c>
      <c r="H89" s="25" t="str">
        <f>IFERROR(__xludf.DUMMYFUNCTION("IFERROR(INDEX(FILTER('Kế hoạch chèn link (mới)'!$B$3:$B$2213,'Kế hoạch chèn link (mới)'!$D$3:$D$2213=$B89),1),"""")"),"https://techcombank.com/thong-tin/blog/cach-nap-the-viettel")</f>
        <v>https://techcombank.com/thong-tin/blog/cach-nap-the-viettel</v>
      </c>
      <c r="I89" s="25" t="str">
        <f>IFERROR(__xludf.DUMMYFUNCTION("IFERROR(INDEX(FILTER('Kế hoạch chèn link (mới)'!$C$3:$C$2213,'Kế hoạch chèn link (mới)'!$D$3:$D$2213=$B89),2),"""")"),"thẻ hoàn tiền")</f>
        <v>thẻ hoàn tiền</v>
      </c>
      <c r="J89" s="25" t="str">
        <f>IFERROR(__xludf.DUMMYFUNCTION("IFERROR(INDEX(FILTER('Kế hoạch chèn link (mới)'!$B$3:$B$2213,'Kế hoạch chèn link (mới)'!$D$3:$D$2213=$B89),2),"""")"),"https://techcombank.com/thong-tin/blog/the-tin-dung-hoan-tien")</f>
        <v>https://techcombank.com/thong-tin/blog/the-tin-dung-hoan-tien</v>
      </c>
      <c r="K89" s="25" t="str">
        <f>IFERROR(__xludf.DUMMYFUNCTION("IFERROR(INDEX(FILTER('Kế hoạch chèn link (mới)'!$C$3:$C$2213,'Kế hoạch chèn link (mới)'!$D$3:$D$2213=$B89),3),"""")"),"cách tiết kiệm tiền")</f>
        <v>cách tiết kiệm tiền</v>
      </c>
      <c r="L89" s="25" t="str">
        <f>IFERROR(__xludf.DUMMYFUNCTION("IFERROR(INDEX(FILTER('Kế hoạch chèn link (mới)'!$B$3:$B$2213,'Kế hoạch chèn link (mới)'!$D$3:$D$2213=$B89),3),"""")"),"https://techcombank.com/thong-tin/blog/cach-tiet-kiem-tien")</f>
        <v>https://techcombank.com/thong-tin/blog/cach-tiet-kiem-tien</v>
      </c>
      <c r="M89" s="25" t="str">
        <f>IFERROR(__xludf.DUMMYFUNCTION("IFERROR(INDEX(FILTER('Kế hoạch chèn link (mới)'!$C$3:$C$2213,'Kế hoạch chèn link (mới)'!$D$3:$D$2213=$B89),4),"""")"),"")</f>
        <v/>
      </c>
      <c r="N89" s="25" t="str">
        <f>IFERROR(__xludf.DUMMYFUNCTION("IFERROR(INDEX(FILTER('Kế hoạch chèn link (mới)'!$B$3:$B$2213,'Kế hoạch chèn link (mới)'!$D$3:$D$2213=$B89),4),"""")"),"")</f>
        <v/>
      </c>
      <c r="O89" s="25" t="str">
        <f>IFERROR(__xludf.DUMMYFUNCTION("IFERROR(INDEX(FILTER('Kế hoạch chèn link (mới)'!$C$3:$C$2213,'Kế hoạch chèn link (mới)'!$D$3:$D$2213=$B89),5),"""")"),"")</f>
        <v/>
      </c>
      <c r="P89" s="25" t="str">
        <f>IFERROR(__xludf.DUMMYFUNCTION("IFERROR(INDEX(FILTER('Kế hoạch chèn link (mới)'!$B$3:$B$2213,'Kế hoạch chèn link (mới)'!$D$3:$D$2213=$B89),5),"""")"),"")</f>
        <v/>
      </c>
    </row>
    <row r="90">
      <c r="A90" s="6">
        <f t="shared" si="1"/>
        <v>89</v>
      </c>
      <c r="B90" s="8" t="s">
        <v>1359</v>
      </c>
      <c r="C90" s="6">
        <f>COUNTIF('Kế hoạch chèn link (mới)'!$D$3:$D$2213,$B90)</f>
        <v>3</v>
      </c>
      <c r="D90" s="8" t="str">
        <f>IF(COUNTIFS('Kế hoạch chèn link (mới)'!$D$3:$D$2213,$B90,'Kế hoạch chèn link (mới)'!$I$3:$I$2213,"Đã chèn")&gt;=$C90,"Đã hoàn thành",IF(COUNTIFS('Kế hoạch chèn link (mới)'!$D$3:$D$2213,$B90,'Kế hoạch chèn link (mới)'!$I$3:$I$2213,"Đã chèn")&gt;0,"Đang làm","Chưa hoàn thành"))</f>
        <v>Chưa hoàn thành</v>
      </c>
      <c r="E90" s="8" t="b">
        <f t="shared" si="2"/>
        <v>0</v>
      </c>
      <c r="F90" s="25"/>
      <c r="G90" s="25" t="str">
        <f>IFERROR(__xludf.DUMMYFUNCTION("IFERROR(INDEX(FILTER('Kế hoạch chèn link (mới)'!$C$3:$C$2213,'Kế hoạch chèn link (mới)'!$D$3:$D$2213=$B90),1),"""")"),"cách nạp thẻ viettel")</f>
        <v>cách nạp thẻ viettel</v>
      </c>
      <c r="H90" s="25" t="str">
        <f>IFERROR(__xludf.DUMMYFUNCTION("IFERROR(INDEX(FILTER('Kế hoạch chèn link (mới)'!$B$3:$B$2213,'Kế hoạch chèn link (mới)'!$D$3:$D$2213=$B90),1),"""")"),"https://techcombank.com/thong-tin/blog/cach-nap-the-viettel")</f>
        <v>https://techcombank.com/thong-tin/blog/cach-nap-the-viettel</v>
      </c>
      <c r="I90" s="25" t="str">
        <f>IFERROR(__xludf.DUMMYFUNCTION("IFERROR(INDEX(FILTER('Kế hoạch chèn link (mới)'!$C$3:$C$2213,'Kế hoạch chèn link (mới)'!$D$3:$D$2213=$B90),2),"""")"),"chuyển khoản thành công nhưng không nhận được tiền")</f>
        <v>chuyển khoản thành công nhưng không nhận được tiền</v>
      </c>
      <c r="J90" s="25" t="str">
        <f>IFERROR(__xludf.DUMMYFUNCTION("IFERROR(INDEX(FILTER('Kế hoạch chèn link (mới)'!$B$3:$B$2213,'Kế hoạch chèn link (mới)'!$D$3:$D$2213=$B90),2),"""")"),"https://techcombank.com/thong-tin/blog/chuyen-khoan-thanh-cong-nhung-khong-nhan-duoc-tien")</f>
        <v>https://techcombank.com/thong-tin/blog/chuyen-khoan-thanh-cong-nhung-khong-nhan-duoc-tien</v>
      </c>
      <c r="K90" s="25" t="str">
        <f>IFERROR(__xludf.DUMMYFUNCTION("IFERROR(INDEX(FILTER('Kế hoạch chèn link (mới)'!$C$3:$C$2213,'Kế hoạch chèn link (mới)'!$D$3:$D$2213=$B90),3),"""")"),"nộp tiền vào tài khoản")</f>
        <v>nộp tiền vào tài khoản</v>
      </c>
      <c r="L90" s="25" t="str">
        <f>IFERROR(__xludf.DUMMYFUNCTION("IFERROR(INDEX(FILTER('Kế hoạch chèn link (mới)'!$B$3:$B$2213,'Kế hoạch chèn link (mới)'!$D$3:$D$2213=$B90),3),"""")"),"https://techcombank.com/thong-tin/blog/nap-tien-vao-tai-khoan-ngan-hang")</f>
        <v>https://techcombank.com/thong-tin/blog/nap-tien-vao-tai-khoan-ngan-hang</v>
      </c>
      <c r="M90" s="25" t="str">
        <f>IFERROR(__xludf.DUMMYFUNCTION("IFERROR(INDEX(FILTER('Kế hoạch chèn link (mới)'!$C$3:$C$2213,'Kế hoạch chèn link (mới)'!$D$3:$D$2213=$B90),4),"""")"),"")</f>
        <v/>
      </c>
      <c r="N90" s="25" t="str">
        <f>IFERROR(__xludf.DUMMYFUNCTION("IFERROR(INDEX(FILTER('Kế hoạch chèn link (mới)'!$B$3:$B$2213,'Kế hoạch chèn link (mới)'!$D$3:$D$2213=$B90),4),"""")"),"")</f>
        <v/>
      </c>
      <c r="O90" s="25" t="str">
        <f>IFERROR(__xludf.DUMMYFUNCTION("IFERROR(INDEX(FILTER('Kế hoạch chèn link (mới)'!$C$3:$C$2213,'Kế hoạch chèn link (mới)'!$D$3:$D$2213=$B90),5),"""")"),"")</f>
        <v/>
      </c>
      <c r="P90" s="25" t="str">
        <f>IFERROR(__xludf.DUMMYFUNCTION("IFERROR(INDEX(FILTER('Kế hoạch chèn link (mới)'!$B$3:$B$2213,'Kế hoạch chèn link (mới)'!$D$3:$D$2213=$B90),5),"""")"),"")</f>
        <v/>
      </c>
    </row>
    <row r="91">
      <c r="A91" s="6">
        <f t="shared" si="1"/>
        <v>90</v>
      </c>
      <c r="B91" s="8" t="s">
        <v>1038</v>
      </c>
      <c r="C91" s="6">
        <f>COUNTIF('Kế hoạch chèn link (mới)'!$D$3:$D$2213,$B91)</f>
        <v>5</v>
      </c>
      <c r="D91" s="8" t="str">
        <f>IF(COUNTIFS('Kế hoạch chèn link (mới)'!$D$3:$D$2213,$B91,'Kế hoạch chèn link (mới)'!$I$3:$I$2213,"Đã chèn")&gt;=$C91,"Đã hoàn thành",IF(COUNTIFS('Kế hoạch chèn link (mới)'!$D$3:$D$2213,$B91,'Kế hoạch chèn link (mới)'!$I$3:$I$2213,"Đã chèn")&gt;0,"Đang làm","Chưa hoàn thành"))</f>
        <v>Chưa hoàn thành</v>
      </c>
      <c r="E91" s="8" t="b">
        <f t="shared" si="2"/>
        <v>0</v>
      </c>
      <c r="F91" s="25"/>
      <c r="G91" s="25" t="str">
        <f>IFERROR(__xludf.DUMMYFUNCTION("IFERROR(INDEX(FILTER('Kế hoạch chèn link (mới)'!$C$3:$C$2213,'Kế hoạch chèn link (mới)'!$D$3:$D$2213=$B91),1),"""")"),"thuế thu nhập cá nhân")</f>
        <v>thuế thu nhập cá nhân</v>
      </c>
      <c r="H91" s="25" t="str">
        <f>IFERROR(__xludf.DUMMYFUNCTION("IFERROR(INDEX(FILTER('Kế hoạch chèn link (mới)'!$B$3:$B$2213,'Kế hoạch chèn link (mới)'!$D$3:$D$2213=$B91),1),"""")"),"https://techcombank.com/thong-tin/blog/cach-tinh-thue-thu-nhap-ca-nhan-2025")</f>
        <v>https://techcombank.com/thong-tin/blog/cach-tinh-thue-thu-nhap-ca-nhan-2025</v>
      </c>
      <c r="I91" s="25" t="str">
        <f>IFERROR(__xludf.DUMMYFUNCTION("IFERROR(INDEX(FILTER('Kế hoạch chèn link (mới)'!$C$3:$C$2213,'Kế hoạch chèn link (mới)'!$D$3:$D$2213=$B91),2),"""")"),"thuế thu nhập cá nhân")</f>
        <v>thuế thu nhập cá nhân</v>
      </c>
      <c r="J91" s="25" t="str">
        <f>IFERROR(__xludf.DUMMYFUNCTION("IFERROR(INDEX(FILTER('Kế hoạch chèn link (mới)'!$B$3:$B$2213,'Kế hoạch chèn link (mới)'!$D$3:$D$2213=$B91),2),"""")"),"https://techcombank.com/thong-tin/blog/thue-thu-nhap-ca-nhan")</f>
        <v>https://techcombank.com/thong-tin/blog/thue-thu-nhap-ca-nhan</v>
      </c>
      <c r="K91" s="25" t="str">
        <f>IFERROR(__xludf.DUMMYFUNCTION("IFERROR(INDEX(FILTER('Kế hoạch chèn link (mới)'!$C$3:$C$2213,'Kế hoạch chèn link (mới)'!$D$3:$D$2213=$B91),3),"""")"),"1 Tệ bằng bao nhiêu tiền Việt")</f>
        <v>1 Tệ bằng bao nhiêu tiền Việt</v>
      </c>
      <c r="L91" s="25" t="str">
        <f>IFERROR(__xludf.DUMMYFUNCTION("IFERROR(INDEX(FILTER('Kế hoạch chèn link (mới)'!$B$3:$B$2213,'Kế hoạch chèn link (mới)'!$D$3:$D$2213=$B91),3),"""")"),"https://techcombank.com/thong-tin/blog/1-te-bang-bao-nhieu-tien-viet-nam")</f>
        <v>https://techcombank.com/thong-tin/blog/1-te-bang-bao-nhieu-tien-viet-nam</v>
      </c>
      <c r="M91" s="25" t="str">
        <f>IFERROR(__xludf.DUMMYFUNCTION("IFERROR(INDEX(FILTER('Kế hoạch chèn link (mới)'!$C$3:$C$2213,'Kế hoạch chèn link (mới)'!$D$3:$D$2213=$B91),4),"""")"),"tiền Nhật")</f>
        <v>tiền Nhật</v>
      </c>
      <c r="N91" s="25" t="str">
        <f>IFERROR(__xludf.DUMMYFUNCTION("IFERROR(INDEX(FILTER('Kế hoạch chèn link (mới)'!$B$3:$B$2213,'Kế hoạch chèn link (mới)'!$D$3:$D$2213=$B91),4),"""")"),"https://techcombank.com/thong-tin/blog/tien-nhat")</f>
        <v>https://techcombank.com/thong-tin/blog/tien-nhat</v>
      </c>
      <c r="O91" s="25" t="str">
        <f>IFERROR(__xludf.DUMMYFUNCTION("IFERROR(INDEX(FILTER('Kế hoạch chèn link (mới)'!$C$3:$C$2213,'Kế hoạch chèn link (mới)'!$D$3:$D$2213=$B91),5),"""")"),"tỷ giá Đài tệ")</f>
        <v>tỷ giá Đài tệ</v>
      </c>
      <c r="P91" s="25" t="str">
        <f>IFERROR(__xludf.DUMMYFUNCTION("IFERROR(INDEX(FILTER('Kế hoạch chèn link (mới)'!$B$3:$B$2213,'Kế hoạch chèn link (mới)'!$D$3:$D$2213=$B91),5),"""")"),"https://techcombank.com/thong-tin/blog/tien-dai-loan")</f>
        <v>https://techcombank.com/thong-tin/blog/tien-dai-loan</v>
      </c>
    </row>
    <row r="92">
      <c r="A92" s="6">
        <f t="shared" si="1"/>
        <v>91</v>
      </c>
      <c r="B92" s="8" t="s">
        <v>316</v>
      </c>
      <c r="C92" s="6">
        <f>COUNTIF('Kế hoạch chèn link (mới)'!$D$3:$D$2213,$B92)</f>
        <v>5</v>
      </c>
      <c r="D92" s="8" t="str">
        <f>IF(COUNTIFS('Kế hoạch chèn link (mới)'!$D$3:$D$2213,$B92,'Kế hoạch chèn link (mới)'!$I$3:$I$2213,"Đã chèn")&gt;=$C92,"Đã hoàn thành",IF(COUNTIFS('Kế hoạch chèn link (mới)'!$D$3:$D$2213,$B92,'Kế hoạch chèn link (mới)'!$I$3:$I$2213,"Đã chèn")&gt;0,"Đang làm","Chưa hoàn thành"))</f>
        <v>Chưa hoàn thành</v>
      </c>
      <c r="E92" s="8" t="b">
        <f t="shared" si="2"/>
        <v>0</v>
      </c>
      <c r="F92" s="25"/>
      <c r="G92" s="25" t="str">
        <f>IFERROR(__xludf.DUMMYFUNCTION("IFERROR(INDEX(FILTER('Kế hoạch chèn link (mới)'!$C$3:$C$2213,'Kế hoạch chèn link (mới)'!$D$3:$D$2213=$B92),1),"""")"),"cách nộp thuế đất online")</f>
        <v>cách nộp thuế đất online</v>
      </c>
      <c r="H92" s="25" t="str">
        <f>IFERROR(__xludf.DUMMYFUNCTION("IFERROR(INDEX(FILTER('Kế hoạch chèn link (mới)'!$B$3:$B$2213,'Kế hoạch chèn link (mới)'!$D$3:$D$2213=$B92),1),"""")"),"https://techcombank.com/thong-tin/blog/nop-thue-dat-qua-ngan-hang")</f>
        <v>https://techcombank.com/thong-tin/blog/nop-thue-dat-qua-ngan-hang</v>
      </c>
      <c r="I92" s="25" t="str">
        <f>IFERROR(__xludf.DUMMYFUNCTION("IFERROR(INDEX(FILTER('Kế hoạch chèn link (mới)'!$C$3:$C$2213,'Kế hoạch chèn link (mới)'!$D$3:$D$2213=$B92),2),"""")"),"thuế thu nhập doanh nghiệp 2026")</f>
        <v>thuế thu nhập doanh nghiệp 2026</v>
      </c>
      <c r="J92" s="25" t="str">
        <f>IFERROR(__xludf.DUMMYFUNCTION("IFERROR(INDEX(FILTER('Kế hoạch chèn link (mới)'!$B$3:$B$2213,'Kế hoạch chèn link (mới)'!$D$3:$D$2213=$B92),2),"""")"),"https://techcombank.com/thong-tin/blog/thue-thu-nhap-doanh-nghiep")</f>
        <v>https://techcombank.com/thong-tin/blog/thue-thu-nhap-doanh-nghiep</v>
      </c>
      <c r="K92" s="25" t="str">
        <f>IFERROR(__xludf.DUMMYFUNCTION("IFERROR(INDEX(FILTER('Kế hoạch chèn link (mới)'!$C$3:$C$2213,'Kế hoạch chèn link (mới)'!$D$3:$D$2213=$B92),3),"""")"),"thuế giá trị gia tăng")</f>
        <v>thuế giá trị gia tăng</v>
      </c>
      <c r="L92" s="25" t="str">
        <f>IFERROR(__xludf.DUMMYFUNCTION("IFERROR(INDEX(FILTER('Kế hoạch chèn link (mới)'!$B$3:$B$2213,'Kế hoạch chèn link (mới)'!$D$3:$D$2213=$B92),3),"""")"),"https://techcombank.com/thong-tin/blog/thue-vat-la-gi")</f>
        <v>https://techcombank.com/thong-tin/blog/thue-vat-la-gi</v>
      </c>
      <c r="M92" s="25" t="str">
        <f>IFERROR(__xludf.DUMMYFUNCTION("IFERROR(INDEX(FILTER('Kế hoạch chèn link (mới)'!$C$3:$C$2213,'Kế hoạch chèn link (mới)'!$D$3:$D$2213=$B92),4),"""")"),"thuế thu nhập cá nhân")</f>
        <v>thuế thu nhập cá nhân</v>
      </c>
      <c r="N92" s="25" t="str">
        <f>IFERROR(__xludf.DUMMYFUNCTION("IFERROR(INDEX(FILTER('Kế hoạch chèn link (mới)'!$B$3:$B$2213,'Kế hoạch chèn link (mới)'!$D$3:$D$2213=$B92),4),"""")"),"https://techcombank.com/thong-tin/blog/thue-thu-nhap-ca-nhan")</f>
        <v>https://techcombank.com/thong-tin/blog/thue-thu-nhap-ca-nhan</v>
      </c>
      <c r="O92" s="25" t="str">
        <f>IFERROR(__xludf.DUMMYFUNCTION("IFERROR(INDEX(FILTER('Kế hoạch chèn link (mới)'!$C$3:$C$2213,'Kế hoạch chèn link (mới)'!$D$3:$D$2213=$B92),5),"""")"),"thuế hộ kinh doanh")</f>
        <v>thuế hộ kinh doanh</v>
      </c>
      <c r="P92" s="25" t="str">
        <f>IFERROR(__xludf.DUMMYFUNCTION("IFERROR(INDEX(FILTER('Kế hoạch chèn link (mới)'!$B$3:$B$2213,'Kế hoạch chèn link (mới)'!$D$3:$D$2213=$B92),5),"""")"),"https://techcombank.com/thong-tin/blog/ho-kinh-doanh-dong-thue-nhu-nao")</f>
        <v>https://techcombank.com/thong-tin/blog/ho-kinh-doanh-dong-thue-nhu-nao</v>
      </c>
    </row>
    <row r="93">
      <c r="A93" s="6">
        <f t="shared" si="1"/>
        <v>92</v>
      </c>
      <c r="B93" s="8" t="s">
        <v>887</v>
      </c>
      <c r="C93" s="6">
        <f>COUNTIF('Kế hoạch chèn link (mới)'!$D$3:$D$2213,$B93)</f>
        <v>2</v>
      </c>
      <c r="D93" s="8" t="str">
        <f>IF(COUNTIFS('Kế hoạch chèn link (mới)'!$D$3:$D$2213,$B93,'Kế hoạch chèn link (mới)'!$I$3:$I$2213,"Đã chèn")&gt;=$C93,"Đã hoàn thành",IF(COUNTIFS('Kế hoạch chèn link (mới)'!$D$3:$D$2213,$B93,'Kế hoạch chèn link (mới)'!$I$3:$I$2213,"Đã chèn")&gt;0,"Đang làm","Chưa hoàn thành"))</f>
        <v>Chưa hoàn thành</v>
      </c>
      <c r="E93" s="8" t="b">
        <f t="shared" si="2"/>
        <v>0</v>
      </c>
      <c r="F93" s="25"/>
      <c r="G93" s="25" t="str">
        <f>IFERROR(__xludf.DUMMYFUNCTION("IFERROR(INDEX(FILTER('Kế hoạch chèn link (mới)'!$C$3:$C$2213,'Kế hoạch chèn link (mới)'!$D$3:$D$2213=$B93),1),"""")"),"thuế thu nhập doanh nghiệp")</f>
        <v>thuế thu nhập doanh nghiệp</v>
      </c>
      <c r="H93" s="25" t="str">
        <f>IFERROR(__xludf.DUMMYFUNCTION("IFERROR(INDEX(FILTER('Kế hoạch chèn link (mới)'!$B$3:$B$2213,'Kế hoạch chèn link (mới)'!$D$3:$D$2213=$B93),1),"""")"),"https://techcombank.com/thong-tin/blog/thue-thu-nhap-doanh-nghiep")</f>
        <v>https://techcombank.com/thong-tin/blog/thue-thu-nhap-doanh-nghiep</v>
      </c>
      <c r="I93" s="25" t="str">
        <f>IFERROR(__xludf.DUMMYFUNCTION("IFERROR(INDEX(FILTER('Kế hoạch chèn link (mới)'!$C$3:$C$2213,'Kế hoạch chèn link (mới)'!$D$3:$D$2213=$B93),2),"""")"),"thuế doanh nghiệp")</f>
        <v>thuế doanh nghiệp</v>
      </c>
      <c r="J93" s="25" t="str">
        <f>IFERROR(__xludf.DUMMYFUNCTION("IFERROR(INDEX(FILTER('Kế hoạch chèn link (mới)'!$B$3:$B$2213,'Kế hoạch chèn link (mới)'!$D$3:$D$2213=$B93),2),"""")"),"https://techcombank.com/thong-tin/blog/thue-doanh-nghiep")</f>
        <v>https://techcombank.com/thong-tin/blog/thue-doanh-nghiep</v>
      </c>
      <c r="K93" s="25" t="str">
        <f>IFERROR(__xludf.DUMMYFUNCTION("IFERROR(INDEX(FILTER('Kế hoạch chèn link (mới)'!$C$3:$C$2213,'Kế hoạch chèn link (mới)'!$D$3:$D$2213=$B93),3),"""")"),"")</f>
        <v/>
      </c>
      <c r="L93" s="25" t="str">
        <f>IFERROR(__xludf.DUMMYFUNCTION("IFERROR(INDEX(FILTER('Kế hoạch chèn link (mới)'!$B$3:$B$2213,'Kế hoạch chèn link (mới)'!$D$3:$D$2213=$B93),3),"""")"),"")</f>
        <v/>
      </c>
      <c r="M93" s="25" t="str">
        <f>IFERROR(__xludf.DUMMYFUNCTION("IFERROR(INDEX(FILTER('Kế hoạch chèn link (mới)'!$C$3:$C$2213,'Kế hoạch chèn link (mới)'!$D$3:$D$2213=$B93),4),"""")"),"")</f>
        <v/>
      </c>
      <c r="N93" s="25" t="str">
        <f>IFERROR(__xludf.DUMMYFUNCTION("IFERROR(INDEX(FILTER('Kế hoạch chèn link (mới)'!$B$3:$B$2213,'Kế hoạch chèn link (mới)'!$D$3:$D$2213=$B93),4),"""")"),"")</f>
        <v/>
      </c>
      <c r="O93" s="25" t="str">
        <f>IFERROR(__xludf.DUMMYFUNCTION("IFERROR(INDEX(FILTER('Kế hoạch chèn link (mới)'!$C$3:$C$2213,'Kế hoạch chèn link (mới)'!$D$3:$D$2213=$B93),5),"""")"),"")</f>
        <v/>
      </c>
      <c r="P93" s="25" t="str">
        <f>IFERROR(__xludf.DUMMYFUNCTION("IFERROR(INDEX(FILTER('Kế hoạch chèn link (mới)'!$B$3:$B$2213,'Kế hoạch chèn link (mới)'!$D$3:$D$2213=$B93),5),"""")"),"")</f>
        <v/>
      </c>
    </row>
    <row r="94">
      <c r="A94" s="6">
        <f t="shared" si="1"/>
        <v>93</v>
      </c>
      <c r="B94" s="8" t="s">
        <v>2058</v>
      </c>
      <c r="C94" s="6">
        <f>COUNTIF('Kế hoạch chèn link (mới)'!$D$3:$D$2213,$B94)</f>
        <v>2</v>
      </c>
      <c r="D94" s="8" t="str">
        <f>IF(COUNTIFS('Kế hoạch chèn link (mới)'!$D$3:$D$2213,$B94,'Kế hoạch chèn link (mới)'!$I$3:$I$2213,"Đã chèn")&gt;=$C94,"Đã hoàn thành",IF(COUNTIFS('Kế hoạch chèn link (mới)'!$D$3:$D$2213,$B94,'Kế hoạch chèn link (mới)'!$I$3:$I$2213,"Đã chèn")&gt;0,"Đang làm","Chưa hoàn thành"))</f>
        <v>Chưa hoàn thành</v>
      </c>
      <c r="E94" s="8" t="b">
        <f t="shared" si="2"/>
        <v>0</v>
      </c>
      <c r="F94" s="25"/>
      <c r="G94" s="25" t="str">
        <f>IFERROR(__xludf.DUMMYFUNCTION("IFERROR(INDEX(FILTER('Kế hoạch chèn link (mới)'!$C$3:$C$2213,'Kế hoạch chèn link (mới)'!$D$3:$D$2213=$B94),1),"""")"),"lãi suất chứng chỉ tiền gửi các ngân hàng")</f>
        <v>lãi suất chứng chỉ tiền gửi các ngân hàng</v>
      </c>
      <c r="H94" s="25" t="str">
        <f>IFERROR(__xludf.DUMMYFUNCTION("IFERROR(INDEX(FILTER('Kế hoạch chèn link (mới)'!$B$3:$B$2213,'Kế hoạch chèn link (mới)'!$D$3:$D$2213=$B94),1),"""")"),"https://techcombank.com/thong-tin/blog/lai-suat-chung-chi-tien-gui-cac-ngan-hang")</f>
        <v>https://techcombank.com/thong-tin/blog/lai-suat-chung-chi-tien-gui-cac-ngan-hang</v>
      </c>
      <c r="I94" s="25" t="str">
        <f>IFERROR(__xludf.DUMMYFUNCTION("IFERROR(INDEX(FILTER('Kế hoạch chèn link (mới)'!$C$3:$C$2213,'Kế hoạch chèn link (mới)'!$D$3:$D$2213=$B94),2),"""")"),"lãi suất gửi tiết kiệm ngân hàng")</f>
        <v>lãi suất gửi tiết kiệm ngân hàng</v>
      </c>
      <c r="J94" s="25" t="str">
        <f>IFERROR(__xludf.DUMMYFUNCTION("IFERROR(INDEX(FILTER('Kế hoạch chèn link (mới)'!$B$3:$B$2213,'Kế hoạch chèn link (mới)'!$D$3:$D$2213=$B94),2),"""")"),"https://techcombank.com/thong-tin/blog/lai-suat-tiet-kiem")</f>
        <v>https://techcombank.com/thong-tin/blog/lai-suat-tiet-kiem</v>
      </c>
      <c r="K94" s="25" t="str">
        <f>IFERROR(__xludf.DUMMYFUNCTION("IFERROR(INDEX(FILTER('Kế hoạch chèn link (mới)'!$C$3:$C$2213,'Kế hoạch chèn link (mới)'!$D$3:$D$2213=$B94),3),"""")"),"")</f>
        <v/>
      </c>
      <c r="L94" s="25" t="str">
        <f>IFERROR(__xludf.DUMMYFUNCTION("IFERROR(INDEX(FILTER('Kế hoạch chèn link (mới)'!$B$3:$B$2213,'Kế hoạch chèn link (mới)'!$D$3:$D$2213=$B94),3),"""")"),"")</f>
        <v/>
      </c>
      <c r="M94" s="25" t="str">
        <f>IFERROR(__xludf.DUMMYFUNCTION("IFERROR(INDEX(FILTER('Kế hoạch chèn link (mới)'!$C$3:$C$2213,'Kế hoạch chèn link (mới)'!$D$3:$D$2213=$B94),4),"""")"),"")</f>
        <v/>
      </c>
      <c r="N94" s="25" t="str">
        <f>IFERROR(__xludf.DUMMYFUNCTION("IFERROR(INDEX(FILTER('Kế hoạch chèn link (mới)'!$B$3:$B$2213,'Kế hoạch chèn link (mới)'!$D$3:$D$2213=$B94),4),"""")"),"")</f>
        <v/>
      </c>
      <c r="O94" s="25" t="str">
        <f>IFERROR(__xludf.DUMMYFUNCTION("IFERROR(INDEX(FILTER('Kế hoạch chèn link (mới)'!$C$3:$C$2213,'Kế hoạch chèn link (mới)'!$D$3:$D$2213=$B94),5),"""")"),"")</f>
        <v/>
      </c>
      <c r="P94" s="25" t="str">
        <f>IFERROR(__xludf.DUMMYFUNCTION("IFERROR(INDEX(FILTER('Kế hoạch chèn link (mới)'!$B$3:$B$2213,'Kế hoạch chèn link (mới)'!$D$3:$D$2213=$B94),5),"""")"),"")</f>
        <v/>
      </c>
    </row>
    <row r="95">
      <c r="A95" s="6">
        <f t="shared" si="1"/>
        <v>94</v>
      </c>
      <c r="B95" s="8" t="s">
        <v>900</v>
      </c>
      <c r="C95" s="6">
        <f>COUNTIF('Kế hoạch chèn link (mới)'!$D$3:$D$2213,$B95)</f>
        <v>1</v>
      </c>
      <c r="D95" s="8" t="str">
        <f>IF(COUNTIFS('Kế hoạch chèn link (mới)'!$D$3:$D$2213,$B95,'Kế hoạch chèn link (mới)'!$I$3:$I$2213,"Đã chèn")&gt;=$C95,"Đã hoàn thành",IF(COUNTIFS('Kế hoạch chèn link (mới)'!$D$3:$D$2213,$B95,'Kế hoạch chèn link (mới)'!$I$3:$I$2213,"Đã chèn")&gt;0,"Đang làm","Chưa hoàn thành"))</f>
        <v>Chưa hoàn thành</v>
      </c>
      <c r="E95" s="8" t="b">
        <f t="shared" si="2"/>
        <v>0</v>
      </c>
      <c r="F95" s="25"/>
      <c r="G95" s="25" t="str">
        <f>IFERROR(__xludf.DUMMYFUNCTION("IFERROR(INDEX(FILTER('Kế hoạch chèn link (mới)'!$C$3:$C$2213,'Kế hoạch chèn link (mới)'!$D$3:$D$2213=$B95),1),"""")"),"mở tài khoản ngân hàng cho học sinh")</f>
        <v>mở tài khoản ngân hàng cho học sinh</v>
      </c>
      <c r="H95" s="25" t="str">
        <f>IFERROR(__xludf.DUMMYFUNCTION("IFERROR(INDEX(FILTER('Kế hoạch chèn link (mới)'!$B$3:$B$2213,'Kế hoạch chèn link (mới)'!$D$3:$D$2213=$B95),1),"""")"),"https://techcombank.com/thong-tin/blog/mo-tai-khoan-ngan-hang-duoi-18-tuoi")</f>
        <v>https://techcombank.com/thong-tin/blog/mo-tai-khoan-ngan-hang-duoi-18-tuoi</v>
      </c>
      <c r="I95" s="25" t="str">
        <f>IFERROR(__xludf.DUMMYFUNCTION("IFERROR(INDEX(FILTER('Kế hoạch chèn link (mới)'!$C$3:$C$2213,'Kế hoạch chèn link (mới)'!$D$3:$D$2213=$B95),2),"""")"),"")</f>
        <v/>
      </c>
      <c r="J95" s="25" t="str">
        <f>IFERROR(__xludf.DUMMYFUNCTION("IFERROR(INDEX(FILTER('Kế hoạch chèn link (mới)'!$B$3:$B$2213,'Kế hoạch chèn link (mới)'!$D$3:$D$2213=$B95),2),"""")"),"")</f>
        <v/>
      </c>
      <c r="K95" s="25" t="str">
        <f>IFERROR(__xludf.DUMMYFUNCTION("IFERROR(INDEX(FILTER('Kế hoạch chèn link (mới)'!$C$3:$C$2213,'Kế hoạch chèn link (mới)'!$D$3:$D$2213=$B95),3),"""")"),"")</f>
        <v/>
      </c>
      <c r="L95" s="25" t="str">
        <f>IFERROR(__xludf.DUMMYFUNCTION("IFERROR(INDEX(FILTER('Kế hoạch chèn link (mới)'!$B$3:$B$2213,'Kế hoạch chèn link (mới)'!$D$3:$D$2213=$B95),3),"""")"),"")</f>
        <v/>
      </c>
      <c r="M95" s="25" t="str">
        <f>IFERROR(__xludf.DUMMYFUNCTION("IFERROR(INDEX(FILTER('Kế hoạch chèn link (mới)'!$C$3:$C$2213,'Kế hoạch chèn link (mới)'!$D$3:$D$2213=$B95),4),"""")"),"")</f>
        <v/>
      </c>
      <c r="N95" s="25" t="str">
        <f>IFERROR(__xludf.DUMMYFUNCTION("IFERROR(INDEX(FILTER('Kế hoạch chèn link (mới)'!$B$3:$B$2213,'Kế hoạch chèn link (mới)'!$D$3:$D$2213=$B95),4),"""")"),"")</f>
        <v/>
      </c>
      <c r="O95" s="25" t="str">
        <f>IFERROR(__xludf.DUMMYFUNCTION("IFERROR(INDEX(FILTER('Kế hoạch chèn link (mới)'!$C$3:$C$2213,'Kế hoạch chèn link (mới)'!$D$3:$D$2213=$B95),5),"""")"),"")</f>
        <v/>
      </c>
      <c r="P95" s="25" t="str">
        <f>IFERROR(__xludf.DUMMYFUNCTION("IFERROR(INDEX(FILTER('Kế hoạch chèn link (mới)'!$B$3:$B$2213,'Kế hoạch chèn link (mới)'!$D$3:$D$2213=$B95),5),"""")"),"")</f>
        <v/>
      </c>
    </row>
    <row r="96">
      <c r="A96" s="6">
        <f t="shared" si="1"/>
        <v>95</v>
      </c>
      <c r="B96" s="8" t="s">
        <v>2080</v>
      </c>
      <c r="C96" s="6">
        <f>COUNTIF('Kế hoạch chèn link (mới)'!$D$3:$D$2213,$B96)</f>
        <v>3</v>
      </c>
      <c r="D96" s="8" t="str">
        <f>IF(COUNTIFS('Kế hoạch chèn link (mới)'!$D$3:$D$2213,$B96,'Kế hoạch chèn link (mới)'!$I$3:$I$2213,"Đã chèn")&gt;=$C96,"Đã hoàn thành",IF(COUNTIFS('Kế hoạch chèn link (mới)'!$D$3:$D$2213,$B96,'Kế hoạch chèn link (mới)'!$I$3:$I$2213,"Đã chèn")&gt;0,"Đang làm","Chưa hoàn thành"))</f>
        <v>Chưa hoàn thành</v>
      </c>
      <c r="E96" s="8" t="b">
        <f t="shared" si="2"/>
        <v>0</v>
      </c>
      <c r="F96" s="25"/>
      <c r="G96" s="25" t="str">
        <f>IFERROR(__xludf.DUMMYFUNCTION("IFERROR(INDEX(FILTER('Kế hoạch chèn link (mới)'!$C$3:$C$2213,'Kế hoạch chèn link (mới)'!$D$3:$D$2213=$B96),1),"""")"),"nạp tiền vào tài khoản ngân hàng")</f>
        <v>nạp tiền vào tài khoản ngân hàng</v>
      </c>
      <c r="H96" s="25" t="str">
        <f>IFERROR(__xludf.DUMMYFUNCTION("IFERROR(INDEX(FILTER('Kế hoạch chèn link (mới)'!$B$3:$B$2213,'Kế hoạch chèn link (mới)'!$D$3:$D$2213=$B96),1),"""")"),"https://techcombank.com/thong-tin/blog/nap-tien-vao-tai-khoan-ngan-hang")</f>
        <v>https://techcombank.com/thong-tin/blog/nap-tien-vao-tai-khoan-ngan-hang</v>
      </c>
      <c r="I96" s="25" t="str">
        <f>IFERROR(__xludf.DUMMYFUNCTION("IFERROR(INDEX(FILTER('Kế hoạch chèn link (mới)'!$C$3:$C$2213,'Kế hoạch chèn link (mới)'!$D$3:$D$2213=$B96),2),"""")"),"rút tiền thẻ tín dụng")</f>
        <v>rút tiền thẻ tín dụng</v>
      </c>
      <c r="J96" s="25" t="str">
        <f>IFERROR(__xludf.DUMMYFUNCTION("IFERROR(INDEX(FILTER('Kế hoạch chèn link (mới)'!$B$3:$B$2213,'Kế hoạch chèn link (mới)'!$D$3:$D$2213=$B96),2),"""")"),"https://techcombank.com/thong-tin/blog/rut-tien-mat-tu-the-tin-dung")</f>
        <v>https://techcombank.com/thong-tin/blog/rut-tien-mat-tu-the-tin-dung</v>
      </c>
      <c r="K96" s="25" t="str">
        <f>IFERROR(__xludf.DUMMYFUNCTION("IFERROR(INDEX(FILTER('Kế hoạch chèn link (mới)'!$C$3:$C$2213,'Kế hoạch chèn link (mới)'!$D$3:$D$2213=$B96),3),"""")"),"cách gửi mã QR ngân hàng")</f>
        <v>cách gửi mã QR ngân hàng</v>
      </c>
      <c r="L96" s="25" t="str">
        <f>IFERROR(__xludf.DUMMYFUNCTION("IFERROR(INDEX(FILTER('Kế hoạch chèn link (mới)'!$B$3:$B$2213,'Kế hoạch chèn link (mới)'!$D$3:$D$2213=$B96),3),"""")"),"https://techcombank.com/thong-tin/blog/gui-ma-qr-ngan-hang")</f>
        <v>https://techcombank.com/thong-tin/blog/gui-ma-qr-ngan-hang</v>
      </c>
      <c r="M96" s="25" t="str">
        <f>IFERROR(__xludf.DUMMYFUNCTION("IFERROR(INDEX(FILTER('Kế hoạch chèn link (mới)'!$C$3:$C$2213,'Kế hoạch chèn link (mới)'!$D$3:$D$2213=$B96),4),"""")"),"")</f>
        <v/>
      </c>
      <c r="N96" s="25" t="str">
        <f>IFERROR(__xludf.DUMMYFUNCTION("IFERROR(INDEX(FILTER('Kế hoạch chèn link (mới)'!$B$3:$B$2213,'Kế hoạch chèn link (mới)'!$D$3:$D$2213=$B96),4),"""")"),"")</f>
        <v/>
      </c>
      <c r="O96" s="25" t="str">
        <f>IFERROR(__xludf.DUMMYFUNCTION("IFERROR(INDEX(FILTER('Kế hoạch chèn link (mới)'!$C$3:$C$2213,'Kế hoạch chèn link (mới)'!$D$3:$D$2213=$B96),5),"""")"),"")</f>
        <v/>
      </c>
      <c r="P96" s="25" t="str">
        <f>IFERROR(__xludf.DUMMYFUNCTION("IFERROR(INDEX(FILTER('Kế hoạch chèn link (mới)'!$B$3:$B$2213,'Kế hoạch chèn link (mới)'!$D$3:$D$2213=$B96),5),"""")"),"")</f>
        <v/>
      </c>
    </row>
    <row r="97">
      <c r="A97" s="6">
        <f t="shared" si="1"/>
        <v>96</v>
      </c>
      <c r="B97" s="8" t="s">
        <v>850</v>
      </c>
      <c r="C97" s="6">
        <f>COUNTIF('Kế hoạch chèn link (mới)'!$D$3:$D$2213,$B97)</f>
        <v>2</v>
      </c>
      <c r="D97" s="8" t="str">
        <f>IF(COUNTIFS('Kế hoạch chèn link (mới)'!$D$3:$D$2213,$B97,'Kế hoạch chèn link (mới)'!$I$3:$I$2213,"Đã chèn")&gt;=$C97,"Đã hoàn thành",IF(COUNTIFS('Kế hoạch chèn link (mới)'!$D$3:$D$2213,$B97,'Kế hoạch chèn link (mới)'!$I$3:$I$2213,"Đã chèn")&gt;0,"Đang làm","Chưa hoàn thành"))</f>
        <v>Chưa hoàn thành</v>
      </c>
      <c r="E97" s="8" t="b">
        <f t="shared" si="2"/>
        <v>0</v>
      </c>
      <c r="F97" s="25"/>
      <c r="G97" s="25" t="str">
        <f>IFERROR(__xludf.DUMMYFUNCTION("IFERROR(INDEX(FILTER('Kế hoạch chèn link (mới)'!$C$3:$C$2213,'Kế hoạch chèn link (mới)'!$D$3:$D$2213=$B97),1),"""")"),"tên đăng nhập")</f>
        <v>tên đăng nhập</v>
      </c>
      <c r="H97" s="25" t="str">
        <f>IFERROR(__xludf.DUMMYFUNCTION("IFERROR(INDEX(FILTER('Kế hoạch chèn link (mới)'!$B$3:$B$2213,'Kế hoạch chèn link (mới)'!$D$3:$D$2213=$B97),1),"""")"),"https://techcombank.com/thong-tin/blog/ten-dang-nhap-tai-khoan-ngan-hang-la-gi")</f>
        <v>https://techcombank.com/thong-tin/blog/ten-dang-nhap-tai-khoan-ngan-hang-la-gi</v>
      </c>
      <c r="I97" s="25" t="str">
        <f>IFERROR(__xludf.DUMMYFUNCTION("IFERROR(INDEX(FILTER('Kế hoạch chèn link (mới)'!$C$3:$C$2213,'Kế hoạch chèn link (mới)'!$D$3:$D$2213=$B97),2),"""")"),"sổ tiết kiệm")</f>
        <v>sổ tiết kiệm</v>
      </c>
      <c r="J97" s="25" t="str">
        <f>IFERROR(__xludf.DUMMYFUNCTION("IFERROR(INDEX(FILTER('Kế hoạch chèn link (mới)'!$B$3:$B$2213,'Kế hoạch chèn link (mới)'!$D$3:$D$2213=$B97),2),"""")"),"https://techcombank.com/thong-tin/blog/so-tiet-kiem-ngan-hang")</f>
        <v>https://techcombank.com/thong-tin/blog/so-tiet-kiem-ngan-hang</v>
      </c>
      <c r="K97" s="25" t="str">
        <f>IFERROR(__xludf.DUMMYFUNCTION("IFERROR(INDEX(FILTER('Kế hoạch chèn link (mới)'!$C$3:$C$2213,'Kế hoạch chèn link (mới)'!$D$3:$D$2213=$B97),3),"""")"),"")</f>
        <v/>
      </c>
      <c r="L97" s="25" t="str">
        <f>IFERROR(__xludf.DUMMYFUNCTION("IFERROR(INDEX(FILTER('Kế hoạch chèn link (mới)'!$B$3:$B$2213,'Kế hoạch chèn link (mới)'!$D$3:$D$2213=$B97),3),"""")"),"")</f>
        <v/>
      </c>
      <c r="M97" s="25" t="str">
        <f>IFERROR(__xludf.DUMMYFUNCTION("IFERROR(INDEX(FILTER('Kế hoạch chèn link (mới)'!$C$3:$C$2213,'Kế hoạch chèn link (mới)'!$D$3:$D$2213=$B97),4),"""")"),"")</f>
        <v/>
      </c>
      <c r="N97" s="25" t="str">
        <f>IFERROR(__xludf.DUMMYFUNCTION("IFERROR(INDEX(FILTER('Kế hoạch chèn link (mới)'!$B$3:$B$2213,'Kế hoạch chèn link (mới)'!$D$3:$D$2213=$B97),4),"""")"),"")</f>
        <v/>
      </c>
      <c r="O97" s="25" t="str">
        <f>IFERROR(__xludf.DUMMYFUNCTION("IFERROR(INDEX(FILTER('Kế hoạch chèn link (mới)'!$C$3:$C$2213,'Kế hoạch chèn link (mới)'!$D$3:$D$2213=$B97),5),"""")"),"")</f>
        <v/>
      </c>
      <c r="P97" s="25" t="str">
        <f>IFERROR(__xludf.DUMMYFUNCTION("IFERROR(INDEX(FILTER('Kế hoạch chèn link (mới)'!$B$3:$B$2213,'Kế hoạch chèn link (mới)'!$D$3:$D$2213=$B97),5),"""")"),"")</f>
        <v/>
      </c>
    </row>
    <row r="98">
      <c r="A98" s="6">
        <f t="shared" si="1"/>
        <v>97</v>
      </c>
      <c r="B98" s="8" t="s">
        <v>750</v>
      </c>
      <c r="C98" s="6">
        <f>COUNTIF('Kế hoạch chèn link (mới)'!$D$3:$D$2213,$B98)</f>
        <v>5</v>
      </c>
      <c r="D98" s="8" t="str">
        <f>IF(COUNTIFS('Kế hoạch chèn link (mới)'!$D$3:$D$2213,$B98,'Kế hoạch chèn link (mới)'!$I$3:$I$2213,"Đã chèn")&gt;=$C98,"Đã hoàn thành",IF(COUNTIFS('Kế hoạch chèn link (mới)'!$D$3:$D$2213,$B98,'Kế hoạch chèn link (mới)'!$I$3:$I$2213,"Đã chèn")&gt;0,"Đang làm","Chưa hoàn thành"))</f>
        <v>Chưa hoàn thành</v>
      </c>
      <c r="E98" s="8" t="b">
        <f t="shared" si="2"/>
        <v>0</v>
      </c>
      <c r="F98" s="25"/>
      <c r="G98" s="25" t="str">
        <f>IFERROR(__xludf.DUMMYFUNCTION("IFERROR(INDEX(FILTER('Kế hoạch chèn link (mới)'!$C$3:$C$2213,'Kế hoạch chèn link (mới)'!$D$3:$D$2213=$B98),1),"""")"),"thuế thu nhập doanh nghiệp")</f>
        <v>thuế thu nhập doanh nghiệp</v>
      </c>
      <c r="H98" s="25" t="str">
        <f>IFERROR(__xludf.DUMMYFUNCTION("IFERROR(INDEX(FILTER('Kế hoạch chèn link (mới)'!$B$3:$B$2213,'Kế hoạch chèn link (mới)'!$D$3:$D$2213=$B98),1),"""")"),"https://techcombank.com/thong-tin/blog/thue-thu-nhap-doanh-nghiep")</f>
        <v>https://techcombank.com/thong-tin/blog/thue-thu-nhap-doanh-nghiep</v>
      </c>
      <c r="I98" s="25" t="str">
        <f>IFERROR(__xludf.DUMMYFUNCTION("IFERROR(INDEX(FILTER('Kế hoạch chèn link (mới)'!$C$3:$C$2213,'Kế hoạch chèn link (mới)'!$D$3:$D$2213=$B98),2),"""")"),"thuế giá trị gia tăng")</f>
        <v>thuế giá trị gia tăng</v>
      </c>
      <c r="J98" s="25" t="str">
        <f>IFERROR(__xludf.DUMMYFUNCTION("IFERROR(INDEX(FILTER('Kế hoạch chèn link (mới)'!$B$3:$B$2213,'Kế hoạch chèn link (mới)'!$D$3:$D$2213=$B98),2),"""")"),"https://techcombank.com/thong-tin/blog/thue-vat-la-gi")</f>
        <v>https://techcombank.com/thong-tin/blog/thue-vat-la-gi</v>
      </c>
      <c r="K98" s="25" t="str">
        <f>IFERROR(__xludf.DUMMYFUNCTION("IFERROR(INDEX(FILTER('Kế hoạch chèn link (mới)'!$C$3:$C$2213,'Kế hoạch chèn link (mới)'!$D$3:$D$2213=$B98),3),"""")"),"công ty sử dụng tài khoản cá nhân")</f>
        <v>công ty sử dụng tài khoản cá nhân</v>
      </c>
      <c r="L98" s="25" t="str">
        <f>IFERROR(__xludf.DUMMYFUNCTION("IFERROR(INDEX(FILTER('Kế hoạch chèn link (mới)'!$B$3:$B$2213,'Kế hoạch chèn link (mới)'!$D$3:$D$2213=$B98),3),"""")"),"https://techcombank.com/thong-tin/blog/cong-ty-su-dung-tai-khoan-ca-nhan")</f>
        <v>https://techcombank.com/thong-tin/blog/cong-ty-su-dung-tai-khoan-ca-nhan</v>
      </c>
      <c r="M98" s="25" t="str">
        <f>IFERROR(__xludf.DUMMYFUNCTION("IFERROR(INDEX(FILTER('Kế hoạch chèn link (mới)'!$C$3:$C$2213,'Kế hoạch chèn link (mới)'!$D$3:$D$2213=$B98),4),"""")"),"cách tính thuế thu nhập doanh nghiệp")</f>
        <v>cách tính thuế thu nhập doanh nghiệp</v>
      </c>
      <c r="N98" s="25" t="str">
        <f>IFERROR(__xludf.DUMMYFUNCTION("IFERROR(INDEX(FILTER('Kế hoạch chèn link (mới)'!$B$3:$B$2213,'Kế hoạch chèn link (mới)'!$D$3:$D$2213=$B98),4),"""")"),"https://techcombank.com/thong-tin/blog/cach-tinh-thue-thu-nhap-doanh-nghiep")</f>
        <v>https://techcombank.com/thong-tin/blog/cach-tinh-thue-thu-nhap-doanh-nghiep</v>
      </c>
      <c r="O98" s="25" t="str">
        <f>IFERROR(__xludf.DUMMYFUNCTION("IFERROR(INDEX(FILTER('Kế hoạch chèn link (mới)'!$C$3:$C$2213,'Kế hoạch chèn link (mới)'!$D$3:$D$2213=$B98),5),"""")"),"nộp tiền vào tài khoản")</f>
        <v>nộp tiền vào tài khoản</v>
      </c>
      <c r="P98" s="25" t="str">
        <f>IFERROR(__xludf.DUMMYFUNCTION("IFERROR(INDEX(FILTER('Kế hoạch chèn link (mới)'!$B$3:$B$2213,'Kế hoạch chèn link (mới)'!$D$3:$D$2213=$B98),5),"""")"),"https://techcombank.com/thong-tin/blog/nap-tien-vao-tai-khoan-ngan-hang")</f>
        <v>https://techcombank.com/thong-tin/blog/nap-tien-vao-tai-khoan-ngan-hang</v>
      </c>
    </row>
    <row r="99">
      <c r="A99" s="6">
        <f t="shared" si="1"/>
        <v>98</v>
      </c>
      <c r="B99" s="8" t="s">
        <v>2131</v>
      </c>
      <c r="C99" s="6">
        <f>COUNTIF('Kế hoạch chèn link (mới)'!$D$3:$D$2213,$B99)</f>
        <v>2</v>
      </c>
      <c r="D99" s="8" t="str">
        <f>IF(COUNTIFS('Kế hoạch chèn link (mới)'!$D$3:$D$2213,$B99,'Kế hoạch chèn link (mới)'!$I$3:$I$2213,"Đã chèn")&gt;=$C99,"Đã hoàn thành",IF(COUNTIFS('Kế hoạch chèn link (mới)'!$D$3:$D$2213,$B99,'Kế hoạch chèn link (mới)'!$I$3:$I$2213,"Đã chèn")&gt;0,"Đang làm","Chưa hoàn thành"))</f>
        <v>Chưa hoàn thành</v>
      </c>
      <c r="E99" s="8" t="b">
        <f t="shared" si="2"/>
        <v>0</v>
      </c>
      <c r="F99" s="25"/>
      <c r="G99" s="25" t="str">
        <f>IFERROR(__xludf.DUMMYFUNCTION("IFERROR(INDEX(FILTER('Kế hoạch chèn link (mới)'!$C$3:$C$2213,'Kế hoạch chèn link (mới)'!$D$3:$D$2213=$B99),1),"""")"),"rút tiền không cần thẻ")</f>
        <v>rút tiền không cần thẻ</v>
      </c>
      <c r="H99" s="25" t="str">
        <f>IFERROR(__xludf.DUMMYFUNCTION("IFERROR(INDEX(FILTER('Kế hoạch chèn link (mới)'!$B$3:$B$2213,'Kế hoạch chèn link (mới)'!$D$3:$D$2213=$B99),1),"""")"),"https://techcombank.com/thong-tin/blog/rut-tien-bang-ma-qr-la-gi-cach-thuc-hien-nhu-the-nao")</f>
        <v>https://techcombank.com/thong-tin/blog/rut-tien-bang-ma-qr-la-gi-cach-thuc-hien-nhu-the-nao</v>
      </c>
      <c r="I99" s="25" t="str">
        <f>IFERROR(__xludf.DUMMYFUNCTION("IFERROR(INDEX(FILTER('Kế hoạch chèn link (mới)'!$C$3:$C$2213,'Kế hoạch chèn link (mới)'!$D$3:$D$2213=$B99),2),"""")"),"rút tiền thẻ tín dụng")</f>
        <v>rút tiền thẻ tín dụng</v>
      </c>
      <c r="J99" s="25" t="str">
        <f>IFERROR(__xludf.DUMMYFUNCTION("IFERROR(INDEX(FILTER('Kế hoạch chèn link (mới)'!$B$3:$B$2213,'Kế hoạch chèn link (mới)'!$D$3:$D$2213=$B99),2),"""")"),"https://techcombank.com/thong-tin/blog/rut-tien-mat-tu-the-tin-dung")</f>
        <v>https://techcombank.com/thong-tin/blog/rut-tien-mat-tu-the-tin-dung</v>
      </c>
      <c r="K99" s="25" t="str">
        <f>IFERROR(__xludf.DUMMYFUNCTION("IFERROR(INDEX(FILTER('Kế hoạch chèn link (mới)'!$C$3:$C$2213,'Kế hoạch chèn link (mới)'!$D$3:$D$2213=$B99),3),"""")"),"")</f>
        <v/>
      </c>
      <c r="L99" s="25" t="str">
        <f>IFERROR(__xludf.DUMMYFUNCTION("IFERROR(INDEX(FILTER('Kế hoạch chèn link (mới)'!$B$3:$B$2213,'Kế hoạch chèn link (mới)'!$D$3:$D$2213=$B99),3),"""")"),"")</f>
        <v/>
      </c>
      <c r="M99" s="25" t="str">
        <f>IFERROR(__xludf.DUMMYFUNCTION("IFERROR(INDEX(FILTER('Kế hoạch chèn link (mới)'!$C$3:$C$2213,'Kế hoạch chèn link (mới)'!$D$3:$D$2213=$B99),4),"""")"),"")</f>
        <v/>
      </c>
      <c r="N99" s="25" t="str">
        <f>IFERROR(__xludf.DUMMYFUNCTION("IFERROR(INDEX(FILTER('Kế hoạch chèn link (mới)'!$B$3:$B$2213,'Kế hoạch chèn link (mới)'!$D$3:$D$2213=$B99),4),"""")"),"")</f>
        <v/>
      </c>
      <c r="O99" s="25" t="str">
        <f>IFERROR(__xludf.DUMMYFUNCTION("IFERROR(INDEX(FILTER('Kế hoạch chèn link (mới)'!$C$3:$C$2213,'Kế hoạch chèn link (mới)'!$D$3:$D$2213=$B99),5),"""")"),"")</f>
        <v/>
      </c>
      <c r="P99" s="25" t="str">
        <f>IFERROR(__xludf.DUMMYFUNCTION("IFERROR(INDEX(FILTER('Kế hoạch chèn link (mới)'!$B$3:$B$2213,'Kế hoạch chèn link (mới)'!$D$3:$D$2213=$B99),5),"""")"),"")</f>
        <v/>
      </c>
    </row>
    <row r="100">
      <c r="A100" s="6">
        <f t="shared" si="1"/>
        <v>99</v>
      </c>
      <c r="B100" s="8" t="s">
        <v>293</v>
      </c>
      <c r="C100" s="6">
        <f>COUNTIF('Kế hoạch chèn link (mới)'!$D$3:$D$2213,$B100)</f>
        <v>4</v>
      </c>
      <c r="D100" s="8" t="str">
        <f>IF(COUNTIFS('Kế hoạch chèn link (mới)'!$D$3:$D$2213,$B100,'Kế hoạch chèn link (mới)'!$I$3:$I$2213,"Đã chèn")&gt;=$C100,"Đã hoàn thành",IF(COUNTIFS('Kế hoạch chèn link (mới)'!$D$3:$D$2213,$B100,'Kế hoạch chèn link (mới)'!$I$3:$I$2213,"Đã chèn")&gt;0,"Đang làm","Chưa hoàn thành"))</f>
        <v>Chưa hoàn thành</v>
      </c>
      <c r="E100" s="8" t="b">
        <f t="shared" si="2"/>
        <v>0</v>
      </c>
      <c r="F100" s="25"/>
      <c r="G100" s="25" t="str">
        <f>IFERROR(__xludf.DUMMYFUNCTION("IFERROR(INDEX(FILTER('Kế hoạch chèn link (mới)'!$C$3:$C$2213,'Kế hoạch chèn link (mới)'!$D$3:$D$2213=$B100),1),"""")"),"mua xe trả góp lãi suất bao nhiêu")</f>
        <v>mua xe trả góp lãi suất bao nhiêu</v>
      </c>
      <c r="H100" s="25" t="str">
        <f>IFERROR(__xludf.DUMMYFUNCTION("IFERROR(INDEX(FILTER('Kế hoạch chèn link (mới)'!$B$3:$B$2213,'Kế hoạch chèn link (mới)'!$D$3:$D$2213=$B100),1),"""")"),"https://techcombank.com/thong-tin/blog/lai-suat-vay-mua-o-to")</f>
        <v>https://techcombank.com/thong-tin/blog/lai-suat-vay-mua-o-to</v>
      </c>
      <c r="I100" s="25" t="str">
        <f>IFERROR(__xludf.DUMMYFUNCTION("IFERROR(INDEX(FILTER('Kế hoạch chèn link (mới)'!$C$3:$C$2213,'Kế hoạch chèn link (mới)'!$D$3:$D$2213=$B100),2),"""")"),"rút tiền thẻ tín dụng")</f>
        <v>rút tiền thẻ tín dụng</v>
      </c>
      <c r="J100" s="25" t="str">
        <f>IFERROR(__xludf.DUMMYFUNCTION("IFERROR(INDEX(FILTER('Kế hoạch chèn link (mới)'!$B$3:$B$2213,'Kế hoạch chèn link (mới)'!$D$3:$D$2213=$B100),2),"""")"),"https://techcombank.com/thong-tin/blog/rut-tien-mat-tu-the-tin-dung")</f>
        <v>https://techcombank.com/thong-tin/blog/rut-tien-mat-tu-the-tin-dung</v>
      </c>
      <c r="K100" s="25" t="str">
        <f>IFERROR(__xludf.DUMMYFUNCTION("IFERROR(INDEX(FILTER('Kế hoạch chèn link (mới)'!$C$3:$C$2213,'Kế hoạch chèn link (mới)'!$D$3:$D$2213=$B100),3),"""")"),"thẻ tín dụng hoàn tiền")</f>
        <v>thẻ tín dụng hoàn tiền</v>
      </c>
      <c r="L100" s="25" t="str">
        <f>IFERROR(__xludf.DUMMYFUNCTION("IFERROR(INDEX(FILTER('Kế hoạch chèn link (mới)'!$B$3:$B$2213,'Kế hoạch chèn link (mới)'!$D$3:$D$2213=$B100),3),"""")"),"https://techcombank.com/thong-tin/blog/the-tin-dung-hoan-tien")</f>
        <v>https://techcombank.com/thong-tin/blog/the-tin-dung-hoan-tien</v>
      </c>
      <c r="M100" s="25" t="str">
        <f>IFERROR(__xludf.DUMMYFUNCTION("IFERROR(INDEX(FILTER('Kế hoạch chèn link (mới)'!$C$3:$C$2213,'Kế hoạch chèn link (mới)'!$D$3:$D$2213=$B100),4),"""")"),"xếp hạng tín dụng")</f>
        <v>xếp hạng tín dụng</v>
      </c>
      <c r="N100" s="25" t="str">
        <f>IFERROR(__xludf.DUMMYFUNCTION("IFERROR(INDEX(FILTER('Kế hoạch chèn link (mới)'!$B$3:$B$2213,'Kế hoạch chèn link (mới)'!$D$3:$D$2213=$B100),4),"""")"),"https://techcombank.com/thong-tin/blog/xep-hang-tin-dung")</f>
        <v>https://techcombank.com/thong-tin/blog/xep-hang-tin-dung</v>
      </c>
      <c r="O100" s="25" t="str">
        <f>IFERROR(__xludf.DUMMYFUNCTION("IFERROR(INDEX(FILTER('Kế hoạch chèn link (mới)'!$C$3:$C$2213,'Kế hoạch chèn link (mới)'!$D$3:$D$2213=$B100),5),"""")"),"")</f>
        <v/>
      </c>
      <c r="P100" s="25" t="str">
        <f>IFERROR(__xludf.DUMMYFUNCTION("IFERROR(INDEX(FILTER('Kế hoạch chèn link (mới)'!$B$3:$B$2213,'Kế hoạch chèn link (mới)'!$D$3:$D$2213=$B100),5),"""")"),"")</f>
        <v/>
      </c>
    </row>
    <row r="101">
      <c r="A101" s="6">
        <f t="shared" si="1"/>
        <v>100</v>
      </c>
      <c r="B101" s="8" t="s">
        <v>1386</v>
      </c>
      <c r="C101" s="6">
        <f>COUNTIF('Kế hoạch chèn link (mới)'!$D$3:$D$2213,$B101)</f>
        <v>3</v>
      </c>
      <c r="D101" s="8" t="str">
        <f>IF(COUNTIFS('Kế hoạch chèn link (mới)'!$D$3:$D$2213,$B101,'Kế hoạch chèn link (mới)'!$I$3:$I$2213,"Đã chèn")&gt;=$C101,"Đã hoàn thành",IF(COUNTIFS('Kế hoạch chèn link (mới)'!$D$3:$D$2213,$B101,'Kế hoạch chèn link (mới)'!$I$3:$I$2213,"Đã chèn")&gt;0,"Đang làm","Chưa hoàn thành"))</f>
        <v>Chưa hoàn thành</v>
      </c>
      <c r="E101" s="8" t="b">
        <f t="shared" si="2"/>
        <v>0</v>
      </c>
      <c r="F101" s="25"/>
      <c r="G101" s="25" t="str">
        <f>IFERROR(__xludf.DUMMYFUNCTION("IFERROR(INDEX(FILTER('Kế hoạch chèn link (mới)'!$C$3:$C$2213,'Kế hoạch chèn link (mới)'!$D$3:$D$2213=$B101),1),"""")"),"cách nạp tiền viettel")</f>
        <v>cách nạp tiền viettel</v>
      </c>
      <c r="H101" s="25" t="str">
        <f>IFERROR(__xludf.DUMMYFUNCTION("IFERROR(INDEX(FILTER('Kế hoạch chèn link (mới)'!$B$3:$B$2213,'Kế hoạch chèn link (mới)'!$D$3:$D$2213=$B101),1),"""")"),"https://techcombank.com/thong-tin/blog/cach-nap-the-viettel")</f>
        <v>https://techcombank.com/thong-tin/blog/cach-nap-the-viettel</v>
      </c>
      <c r="I101" s="25" t="str">
        <f>IFERROR(__xludf.DUMMYFUNCTION("IFERROR(INDEX(FILTER('Kế hoạch chèn link (mới)'!$C$3:$C$2213,'Kế hoạch chèn link (mới)'!$D$3:$D$2213=$B101),2),"""")"),"nạp tiền vào tài khoản ngân hàng")</f>
        <v>nạp tiền vào tài khoản ngân hàng</v>
      </c>
      <c r="J101" s="25" t="str">
        <f>IFERROR(__xludf.DUMMYFUNCTION("IFERROR(INDEX(FILTER('Kế hoạch chèn link (mới)'!$B$3:$B$2213,'Kế hoạch chèn link (mới)'!$D$3:$D$2213=$B101),2),"""")"),"https://techcombank.com/thong-tin/blog/nap-tien-vao-tai-khoan-ngan-hang")</f>
        <v>https://techcombank.com/thong-tin/blog/nap-tien-vao-tai-khoan-ngan-hang</v>
      </c>
      <c r="K101" s="25" t="str">
        <f>IFERROR(__xludf.DUMMYFUNCTION("IFERROR(INDEX(FILTER('Kế hoạch chèn link (mới)'!$C$3:$C$2213,'Kế hoạch chèn link (mới)'!$D$3:$D$2213=$B101),3),"""")"),"rút tiền thẻ tín dụng")</f>
        <v>rút tiền thẻ tín dụng</v>
      </c>
      <c r="L101" s="25" t="str">
        <f>IFERROR(__xludf.DUMMYFUNCTION("IFERROR(INDEX(FILTER('Kế hoạch chèn link (mới)'!$B$3:$B$2213,'Kế hoạch chèn link (mới)'!$D$3:$D$2213=$B101),3),"""")"),"https://techcombank.com/thong-tin/blog/rut-tien-mat-tu-the-tin-dung")</f>
        <v>https://techcombank.com/thong-tin/blog/rut-tien-mat-tu-the-tin-dung</v>
      </c>
      <c r="M101" s="25" t="str">
        <f>IFERROR(__xludf.DUMMYFUNCTION("IFERROR(INDEX(FILTER('Kế hoạch chèn link (mới)'!$C$3:$C$2213,'Kế hoạch chèn link (mới)'!$D$3:$D$2213=$B101),4),"""")"),"")</f>
        <v/>
      </c>
      <c r="N101" s="25" t="str">
        <f>IFERROR(__xludf.DUMMYFUNCTION("IFERROR(INDEX(FILTER('Kế hoạch chèn link (mới)'!$B$3:$B$2213,'Kế hoạch chèn link (mới)'!$D$3:$D$2213=$B101),4),"""")"),"")</f>
        <v/>
      </c>
      <c r="O101" s="25" t="str">
        <f>IFERROR(__xludf.DUMMYFUNCTION("IFERROR(INDEX(FILTER('Kế hoạch chèn link (mới)'!$C$3:$C$2213,'Kế hoạch chèn link (mới)'!$D$3:$D$2213=$B101),5),"""")"),"")</f>
        <v/>
      </c>
      <c r="P101" s="25" t="str">
        <f>IFERROR(__xludf.DUMMYFUNCTION("IFERROR(INDEX(FILTER('Kế hoạch chèn link (mới)'!$B$3:$B$2213,'Kế hoạch chèn link (mới)'!$D$3:$D$2213=$B101),5),"""")"),"")</f>
        <v/>
      </c>
    </row>
    <row r="102">
      <c r="A102" s="6">
        <f t="shared" si="1"/>
        <v>101</v>
      </c>
      <c r="B102" s="8" t="s">
        <v>2162</v>
      </c>
      <c r="C102" s="6">
        <f>COUNTIF('Kế hoạch chèn link (mới)'!$D$3:$D$2213,$B102)</f>
        <v>4</v>
      </c>
      <c r="D102" s="8" t="str">
        <f>IF(COUNTIFS('Kế hoạch chèn link (mới)'!$D$3:$D$2213,$B102,'Kế hoạch chèn link (mới)'!$I$3:$I$2213,"Đã chèn")&gt;=$C102,"Đã hoàn thành",IF(COUNTIFS('Kế hoạch chèn link (mới)'!$D$3:$D$2213,$B102,'Kế hoạch chèn link (mới)'!$I$3:$I$2213,"Đã chèn")&gt;0,"Đang làm","Chưa hoàn thành"))</f>
        <v>Chưa hoàn thành</v>
      </c>
      <c r="E102" s="8" t="b">
        <f t="shared" si="2"/>
        <v>0</v>
      </c>
      <c r="F102" s="25"/>
      <c r="G102" s="25" t="str">
        <f>IFERROR(__xludf.DUMMYFUNCTION("IFERROR(INDEX(FILTER('Kế hoạch chèn link (mới)'!$C$3:$C$2213,'Kế hoạch chèn link (mới)'!$D$3:$D$2213=$B102),1),"""")"),"cách rút tiền bằng mã QR")</f>
        <v>cách rút tiền bằng mã QR</v>
      </c>
      <c r="H102" s="25" t="str">
        <f>IFERROR(__xludf.DUMMYFUNCTION("IFERROR(INDEX(FILTER('Kế hoạch chèn link (mới)'!$B$3:$B$2213,'Kế hoạch chèn link (mới)'!$D$3:$D$2213=$B102),1),"""")"),"https://techcombank.com/thong-tin/blog/rut-tien-bang-ma-qr-la-gi-cach-thuc-hien-nhu-the-nao")</f>
        <v>https://techcombank.com/thong-tin/blog/rut-tien-bang-ma-qr-la-gi-cach-thuc-hien-nhu-the-nao</v>
      </c>
      <c r="I102" s="25" t="str">
        <f>IFERROR(__xludf.DUMMYFUNCTION("IFERROR(INDEX(FILTER('Kế hoạch chèn link (mới)'!$C$3:$C$2213,'Kế hoạch chèn link (mới)'!$D$3:$D$2213=$B102),2),"""")"),"thuế hộ kinh doanh")</f>
        <v>thuế hộ kinh doanh</v>
      </c>
      <c r="J102" s="25" t="str">
        <f>IFERROR(__xludf.DUMMYFUNCTION("IFERROR(INDEX(FILTER('Kế hoạch chèn link (mới)'!$B$3:$B$2213,'Kế hoạch chèn link (mới)'!$D$3:$D$2213=$B102),2),"""")"),"https://techcombank.com/thong-tin/blog/ho-kinh-doanh-dong-thue-nhu-nao")</f>
        <v>https://techcombank.com/thong-tin/blog/ho-kinh-doanh-dong-thue-nhu-nao</v>
      </c>
      <c r="K102" s="25" t="str">
        <f>IFERROR(__xludf.DUMMYFUNCTION("IFERROR(INDEX(FILTER('Kế hoạch chèn link (mới)'!$C$3:$C$2213,'Kế hoạch chèn link (mới)'!$D$3:$D$2213=$B102),3),"""")"),"cách gửi mã QR ngân hàng")</f>
        <v>cách gửi mã QR ngân hàng</v>
      </c>
      <c r="L102" s="25" t="str">
        <f>IFERROR(__xludf.DUMMYFUNCTION("IFERROR(INDEX(FILTER('Kế hoạch chèn link (mới)'!$B$3:$B$2213,'Kế hoạch chèn link (mới)'!$D$3:$D$2213=$B102),3),"""")"),"https://techcombank.com/thong-tin/blog/gui-ma-qr-ngan-hang")</f>
        <v>https://techcombank.com/thong-tin/blog/gui-ma-qr-ngan-hang</v>
      </c>
      <c r="M102" s="25" t="str">
        <f>IFERROR(__xludf.DUMMYFUNCTION("IFERROR(INDEX(FILTER('Kế hoạch chèn link (mới)'!$C$3:$C$2213,'Kế hoạch chèn link (mới)'!$D$3:$D$2213=$B102),4),"""")"),"tài khoản hộ kinh doanh")</f>
        <v>tài khoản hộ kinh doanh</v>
      </c>
      <c r="N102" s="25" t="str">
        <f>IFERROR(__xludf.DUMMYFUNCTION("IFERROR(INDEX(FILTER('Kế hoạch chèn link (mới)'!$B$3:$B$2213,'Kế hoạch chèn link (mới)'!$D$3:$D$2213=$B102),4),"""")"),"https://techcombank.com/thong-tin/blog/mo-tai-khoan-ho-kinh-doanh")</f>
        <v>https://techcombank.com/thong-tin/blog/mo-tai-khoan-ho-kinh-doanh</v>
      </c>
      <c r="O102" s="25" t="str">
        <f>IFERROR(__xludf.DUMMYFUNCTION("IFERROR(INDEX(FILTER('Kế hoạch chèn link (mới)'!$C$3:$C$2213,'Kế hoạch chèn link (mới)'!$D$3:$D$2213=$B102),5),"""")"),"")</f>
        <v/>
      </c>
      <c r="P102" s="25" t="str">
        <f>IFERROR(__xludf.DUMMYFUNCTION("IFERROR(INDEX(FILTER('Kế hoạch chèn link (mới)'!$B$3:$B$2213,'Kế hoạch chèn link (mới)'!$D$3:$D$2213=$B102),5),"""")"),"")</f>
        <v/>
      </c>
    </row>
    <row r="103">
      <c r="A103" s="6">
        <f t="shared" si="1"/>
        <v>102</v>
      </c>
      <c r="B103" s="8" t="s">
        <v>2023</v>
      </c>
      <c r="C103" s="6">
        <f>COUNTIF('Kế hoạch chèn link (mới)'!$D$3:$D$2213,$B103)</f>
        <v>2</v>
      </c>
      <c r="D103" s="8" t="str">
        <f>IF(COUNTIFS('Kế hoạch chèn link (mới)'!$D$3:$D$2213,$B103,'Kế hoạch chèn link (mới)'!$I$3:$I$2213,"Đã chèn")&gt;=$C103,"Đã hoàn thành",IF(COUNTIFS('Kế hoạch chèn link (mới)'!$D$3:$D$2213,$B103,'Kế hoạch chèn link (mới)'!$I$3:$I$2213,"Đã chèn")&gt;0,"Đang làm","Chưa hoàn thành"))</f>
        <v>Chưa hoàn thành</v>
      </c>
      <c r="E103" s="8" t="b">
        <f t="shared" si="2"/>
        <v>0</v>
      </c>
      <c r="F103" s="25"/>
      <c r="G103" s="25" t="str">
        <f>IFERROR(__xludf.DUMMYFUNCTION("IFERROR(INDEX(FILTER('Kế hoạch chèn link (mới)'!$C$3:$C$2213,'Kế hoạch chèn link (mới)'!$D$3:$D$2213=$B103),1),"""")"),"tiền chuyển khoản bị treo")</f>
        <v>tiền chuyển khoản bị treo</v>
      </c>
      <c r="H103" s="25" t="str">
        <f>IFERROR(__xludf.DUMMYFUNCTION("IFERROR(INDEX(FILTER('Kế hoạch chèn link (mới)'!$B$3:$B$2213,'Kế hoạch chèn link (mới)'!$D$3:$D$2213=$B103),1),"""")"),"https://techcombank.com/thong-tin/blog/chuyen-khoan-thanh-cong-nhung-khong-nhan-duoc-tien")</f>
        <v>https://techcombank.com/thong-tin/blog/chuyen-khoan-thanh-cong-nhung-khong-nhan-duoc-tien</v>
      </c>
      <c r="I103" s="25" t="str">
        <f>IFERROR(__xludf.DUMMYFUNCTION("IFERROR(INDEX(FILTER('Kế hoạch chèn link (mới)'!$C$3:$C$2213,'Kế hoạch chèn link (mới)'!$D$3:$D$2213=$B103),2),"""")"),"cách rút tiền bằng mã QR")</f>
        <v>cách rút tiền bằng mã QR</v>
      </c>
      <c r="J103" s="25" t="str">
        <f>IFERROR(__xludf.DUMMYFUNCTION("IFERROR(INDEX(FILTER('Kế hoạch chèn link (mới)'!$B$3:$B$2213,'Kế hoạch chèn link (mới)'!$D$3:$D$2213=$B103),2),"""")"),"https://techcombank.com/thong-tin/blog/rut-tien-bang-ma-qr-la-gi-cach-thuc-hien-nhu-the-nao")</f>
        <v>https://techcombank.com/thong-tin/blog/rut-tien-bang-ma-qr-la-gi-cach-thuc-hien-nhu-the-nao</v>
      </c>
      <c r="K103" s="25" t="str">
        <f>IFERROR(__xludf.DUMMYFUNCTION("IFERROR(INDEX(FILTER('Kế hoạch chèn link (mới)'!$C$3:$C$2213,'Kế hoạch chèn link (mới)'!$D$3:$D$2213=$B103),3),"""")"),"")</f>
        <v/>
      </c>
      <c r="L103" s="25" t="str">
        <f>IFERROR(__xludf.DUMMYFUNCTION("IFERROR(INDEX(FILTER('Kế hoạch chèn link (mới)'!$B$3:$B$2213,'Kế hoạch chèn link (mới)'!$D$3:$D$2213=$B103),3),"""")"),"")</f>
        <v/>
      </c>
      <c r="M103" s="25" t="str">
        <f>IFERROR(__xludf.DUMMYFUNCTION("IFERROR(INDEX(FILTER('Kế hoạch chèn link (mới)'!$C$3:$C$2213,'Kế hoạch chèn link (mới)'!$D$3:$D$2213=$B103),4),"""")"),"")</f>
        <v/>
      </c>
      <c r="N103" s="25" t="str">
        <f>IFERROR(__xludf.DUMMYFUNCTION("IFERROR(INDEX(FILTER('Kế hoạch chèn link (mới)'!$B$3:$B$2213,'Kế hoạch chèn link (mới)'!$D$3:$D$2213=$B103),4),"""")"),"")</f>
        <v/>
      </c>
      <c r="O103" s="25" t="str">
        <f>IFERROR(__xludf.DUMMYFUNCTION("IFERROR(INDEX(FILTER('Kế hoạch chèn link (mới)'!$C$3:$C$2213,'Kế hoạch chèn link (mới)'!$D$3:$D$2213=$B103),5),"""")"),"")</f>
        <v/>
      </c>
      <c r="P103" s="25" t="str">
        <f>IFERROR(__xludf.DUMMYFUNCTION("IFERROR(INDEX(FILTER('Kế hoạch chèn link (mới)'!$B$3:$B$2213,'Kế hoạch chèn link (mới)'!$D$3:$D$2213=$B103),5),"""")"),"")</f>
        <v/>
      </c>
    </row>
    <row r="104">
      <c r="A104" s="6">
        <f t="shared" si="1"/>
        <v>103</v>
      </c>
      <c r="B104" s="8" t="s">
        <v>2192</v>
      </c>
      <c r="C104" s="6">
        <f>COUNTIF('Kế hoạch chèn link (mới)'!$D$3:$D$2213,$B104)</f>
        <v>2</v>
      </c>
      <c r="D104" s="8" t="str">
        <f>IF(COUNTIFS('Kế hoạch chèn link (mới)'!$D$3:$D$2213,$B104,'Kế hoạch chèn link (mới)'!$I$3:$I$2213,"Đã chèn")&gt;=$C104,"Đã hoàn thành",IF(COUNTIFS('Kế hoạch chèn link (mới)'!$D$3:$D$2213,$B104,'Kế hoạch chèn link (mới)'!$I$3:$I$2213,"Đã chèn")&gt;0,"Đang làm","Chưa hoàn thành"))</f>
        <v>Chưa hoàn thành</v>
      </c>
      <c r="E104" s="8" t="b">
        <f t="shared" si="2"/>
        <v>0</v>
      </c>
      <c r="F104" s="25"/>
      <c r="G104" s="25" t="str">
        <f>IFERROR(__xludf.DUMMYFUNCTION("IFERROR(INDEX(FILTER('Kế hoạch chèn link (mới)'!$C$3:$C$2213,'Kế hoạch chèn link (mới)'!$D$3:$D$2213=$B104),1),"""")"),"tiền Thái Lan")</f>
        <v>tiền Thái Lan</v>
      </c>
      <c r="H104" s="25" t="str">
        <f>IFERROR(__xludf.DUMMYFUNCTION("IFERROR(INDEX(FILTER('Kế hoạch chèn link (mới)'!$B$3:$B$2213,'Kế hoạch chèn link (mới)'!$D$3:$D$2213=$B104),1),"""")"),"https://techcombank.com/thong-tin/blog/tien-thai-lan")</f>
        <v>https://techcombank.com/thong-tin/blog/tien-thai-lan</v>
      </c>
      <c r="I104" s="25" t="str">
        <f>IFERROR(__xludf.DUMMYFUNCTION("IFERROR(INDEX(FILTER('Kế hoạch chèn link (mới)'!$C$3:$C$2213,'Kế hoạch chèn link (mới)'!$D$3:$D$2213=$B104),2),"""")"),"voucher Traveloka")</f>
        <v>voucher Traveloka</v>
      </c>
      <c r="J104" s="25" t="str">
        <f>IFERROR(__xludf.DUMMYFUNCTION("IFERROR(INDEX(FILTER('Kế hoạch chèn link (mới)'!$B$3:$B$2213,'Kế hoạch chèn link (mới)'!$D$3:$D$2213=$B104),2),"""")"),"https://techcombank.com/thong-tin/blog/traveloka-voucher")</f>
        <v>https://techcombank.com/thong-tin/blog/traveloka-voucher</v>
      </c>
      <c r="K104" s="25" t="str">
        <f>IFERROR(__xludf.DUMMYFUNCTION("IFERROR(INDEX(FILTER('Kế hoạch chèn link (mới)'!$C$3:$C$2213,'Kế hoạch chèn link (mới)'!$D$3:$D$2213=$B104),3),"""")"),"")</f>
        <v/>
      </c>
      <c r="L104" s="25" t="str">
        <f>IFERROR(__xludf.DUMMYFUNCTION("IFERROR(INDEX(FILTER('Kế hoạch chèn link (mới)'!$B$3:$B$2213,'Kế hoạch chèn link (mới)'!$D$3:$D$2213=$B104),3),"""")"),"")</f>
        <v/>
      </c>
      <c r="M104" s="25" t="str">
        <f>IFERROR(__xludf.DUMMYFUNCTION("IFERROR(INDEX(FILTER('Kế hoạch chèn link (mới)'!$C$3:$C$2213,'Kế hoạch chèn link (mới)'!$D$3:$D$2213=$B104),4),"""")"),"")</f>
        <v/>
      </c>
      <c r="N104" s="25" t="str">
        <f>IFERROR(__xludf.DUMMYFUNCTION("IFERROR(INDEX(FILTER('Kế hoạch chèn link (mới)'!$B$3:$B$2213,'Kế hoạch chèn link (mới)'!$D$3:$D$2213=$B104),4),"""")"),"")</f>
        <v/>
      </c>
      <c r="O104" s="25" t="str">
        <f>IFERROR(__xludf.DUMMYFUNCTION("IFERROR(INDEX(FILTER('Kế hoạch chèn link (mới)'!$C$3:$C$2213,'Kế hoạch chèn link (mới)'!$D$3:$D$2213=$B104),5),"""")"),"")</f>
        <v/>
      </c>
      <c r="P104" s="25" t="str">
        <f>IFERROR(__xludf.DUMMYFUNCTION("IFERROR(INDEX(FILTER('Kế hoạch chèn link (mới)'!$B$3:$B$2213,'Kế hoạch chèn link (mới)'!$D$3:$D$2213=$B104),5),"""")"),"")</f>
        <v/>
      </c>
    </row>
    <row r="105">
      <c r="A105" s="6">
        <f t="shared" si="1"/>
        <v>104</v>
      </c>
      <c r="B105" s="8" t="s">
        <v>941</v>
      </c>
      <c r="C105" s="6">
        <f>COUNTIF('Kế hoạch chèn link (mới)'!$D$3:$D$2213,$B105)</f>
        <v>2</v>
      </c>
      <c r="D105" s="8" t="str">
        <f>IF(COUNTIFS('Kế hoạch chèn link (mới)'!$D$3:$D$2213,$B105,'Kế hoạch chèn link (mới)'!$I$3:$I$2213,"Đã chèn")&gt;=$C105,"Đã hoàn thành",IF(COUNTIFS('Kế hoạch chèn link (mới)'!$D$3:$D$2213,$B105,'Kế hoạch chèn link (mới)'!$I$3:$I$2213,"Đã chèn")&gt;0,"Đang làm","Chưa hoàn thành"))</f>
        <v>Chưa hoàn thành</v>
      </c>
      <c r="E105" s="8" t="b">
        <f t="shared" si="2"/>
        <v>0</v>
      </c>
      <c r="F105" s="25"/>
      <c r="G105" s="25" t="str">
        <f>IFERROR(__xludf.DUMMYFUNCTION("IFERROR(INDEX(FILTER('Kế hoạch chèn link (mới)'!$C$3:$C$2213,'Kế hoạch chèn link (mới)'!$D$3:$D$2213=$B105),1),"""")"),"thẻ tín dụng Techcombank Everyday")</f>
        <v>thẻ tín dụng Techcombank Everyday</v>
      </c>
      <c r="H105" s="25" t="str">
        <f>IFERROR(__xludf.DUMMYFUNCTION("IFERROR(INDEX(FILTER('Kế hoạch chèn link (mới)'!$B$3:$B$2213,'Kế hoạch chèn link (mới)'!$D$3:$D$2213=$B105),1),"""")"),"https://techcombank.com/khach-hang-ca-nhan/chi-tieu/the/the-tin-dung/techcombank-everyday")</f>
        <v>https://techcombank.com/khach-hang-ca-nhan/chi-tieu/the/the-tin-dung/techcombank-everyday</v>
      </c>
      <c r="I105" s="25" t="str">
        <f>IFERROR(__xludf.DUMMYFUNCTION("IFERROR(INDEX(FILTER('Kế hoạch chèn link (mới)'!$C$3:$C$2213,'Kế hoạch chèn link (mới)'!$D$3:$D$2213=$B105),2),"""")"),"tính lãi suất vay ngân hàng")</f>
        <v>tính lãi suất vay ngân hàng</v>
      </c>
      <c r="J105" s="25" t="str">
        <f>IFERROR(__xludf.DUMMYFUNCTION("IFERROR(INDEX(FILTER('Kế hoạch chèn link (mới)'!$B$3:$B$2213,'Kế hoạch chèn link (mới)'!$D$3:$D$2213=$B105),2),"""")"),"https://techcombank.com/cong-cu-tien-ich/cong-cu-tinh-toan/bang-tinh-lai-suat-vay")</f>
        <v>https://techcombank.com/cong-cu-tien-ich/cong-cu-tinh-toan/bang-tinh-lai-suat-vay</v>
      </c>
      <c r="K105" s="25" t="str">
        <f>IFERROR(__xludf.DUMMYFUNCTION("IFERROR(INDEX(FILTER('Kế hoạch chèn link (mới)'!$C$3:$C$2213,'Kế hoạch chèn link (mới)'!$D$3:$D$2213=$B105),3),"""")"),"")</f>
        <v/>
      </c>
      <c r="L105" s="25" t="str">
        <f>IFERROR(__xludf.DUMMYFUNCTION("IFERROR(INDEX(FILTER('Kế hoạch chèn link (mới)'!$B$3:$B$2213,'Kế hoạch chèn link (mới)'!$D$3:$D$2213=$B105),3),"""")"),"")</f>
        <v/>
      </c>
      <c r="M105" s="25" t="str">
        <f>IFERROR(__xludf.DUMMYFUNCTION("IFERROR(INDEX(FILTER('Kế hoạch chèn link (mới)'!$C$3:$C$2213,'Kế hoạch chèn link (mới)'!$D$3:$D$2213=$B105),4),"""")"),"")</f>
        <v/>
      </c>
      <c r="N105" s="25" t="str">
        <f>IFERROR(__xludf.DUMMYFUNCTION("IFERROR(INDEX(FILTER('Kế hoạch chèn link (mới)'!$B$3:$B$2213,'Kế hoạch chèn link (mới)'!$D$3:$D$2213=$B105),4),"""")"),"")</f>
        <v/>
      </c>
      <c r="O105" s="25" t="str">
        <f>IFERROR(__xludf.DUMMYFUNCTION("IFERROR(INDEX(FILTER('Kế hoạch chèn link (mới)'!$C$3:$C$2213,'Kế hoạch chèn link (mới)'!$D$3:$D$2213=$B105),5),"""")"),"")</f>
        <v/>
      </c>
      <c r="P105" s="25" t="str">
        <f>IFERROR(__xludf.DUMMYFUNCTION("IFERROR(INDEX(FILTER('Kế hoạch chèn link (mới)'!$B$3:$B$2213,'Kế hoạch chèn link (mới)'!$D$3:$D$2213=$B105),5),"""")"),"")</f>
        <v/>
      </c>
    </row>
    <row r="106">
      <c r="A106" s="6">
        <f t="shared" si="1"/>
        <v>105</v>
      </c>
      <c r="B106" s="8" t="s">
        <v>1397</v>
      </c>
      <c r="C106" s="6">
        <f>COUNTIF('Kế hoạch chèn link (mới)'!$D$3:$D$2213,$B106)</f>
        <v>5</v>
      </c>
      <c r="D106" s="8" t="str">
        <f>IF(COUNTIFS('Kế hoạch chèn link (mới)'!$D$3:$D$2213,$B106,'Kế hoạch chèn link (mới)'!$I$3:$I$2213,"Đã chèn")&gt;=$C106,"Đã hoàn thành",IF(COUNTIFS('Kế hoạch chèn link (mới)'!$D$3:$D$2213,$B106,'Kế hoạch chèn link (mới)'!$I$3:$I$2213,"Đã chèn")&gt;0,"Đang làm","Chưa hoàn thành"))</f>
        <v>Chưa hoàn thành</v>
      </c>
      <c r="E106" s="8" t="b">
        <f t="shared" si="2"/>
        <v>0</v>
      </c>
      <c r="F106" s="25"/>
      <c r="G106" s="25" t="str">
        <f>IFERROR(__xludf.DUMMYFUNCTION("IFERROR(INDEX(FILTER('Kế hoạch chèn link (mới)'!$C$3:$C$2213,'Kế hoạch chèn link (mới)'!$D$3:$D$2213=$B106),1),"""")"),"giá điện sinh hoạt")</f>
        <v>giá điện sinh hoạt</v>
      </c>
      <c r="H106" s="25" t="str">
        <f>IFERROR(__xludf.DUMMYFUNCTION("IFERROR(INDEX(FILTER('Kế hoạch chèn link (mới)'!$B$3:$B$2213,'Kế hoạch chèn link (mới)'!$D$3:$D$2213=$B106),1),"""")"),"https://techcombank.com/thong-tin/blog/cach-tinh-tien-dien-sinh-hoat")</f>
        <v>https://techcombank.com/thong-tin/blog/cach-tinh-tien-dien-sinh-hoat</v>
      </c>
      <c r="I106" s="25" t="str">
        <f>IFERROR(__xludf.DUMMYFUNCTION("IFERROR(INDEX(FILTER('Kế hoạch chèn link (mới)'!$C$3:$C$2213,'Kế hoạch chèn link (mới)'!$D$3:$D$2213=$B106),2),"""")"),"lãi suất gửi tiết kiệm ngân hàng")</f>
        <v>lãi suất gửi tiết kiệm ngân hàng</v>
      </c>
      <c r="J106" s="25" t="str">
        <f>IFERROR(__xludf.DUMMYFUNCTION("IFERROR(INDEX(FILTER('Kế hoạch chèn link (mới)'!$B$3:$B$2213,'Kế hoạch chèn link (mới)'!$D$3:$D$2213=$B106),2),"""")"),"https://techcombank.com/thong-tin/blog/lai-suat-tiet-kiem")</f>
        <v>https://techcombank.com/thong-tin/blog/lai-suat-tiet-kiem</v>
      </c>
      <c r="K106" s="25" t="str">
        <f>IFERROR(__xludf.DUMMYFUNCTION("IFERROR(INDEX(FILTER('Kế hoạch chèn link (mới)'!$C$3:$C$2213,'Kế hoạch chèn link (mới)'!$D$3:$D$2213=$B106),3),"""")"),"tính lãi suất tiết kiệm")</f>
        <v>tính lãi suất tiết kiệm</v>
      </c>
      <c r="L106" s="25" t="str">
        <f>IFERROR(__xludf.DUMMYFUNCTION("IFERROR(INDEX(FILTER('Kế hoạch chèn link (mới)'!$B$3:$B$2213,'Kế hoạch chèn link (mới)'!$D$3:$D$2213=$B106),3),"""")"),"https://techcombank.com/thong-tin/blog/cach-tinh-lai-suat-tien-gui-tiet-kiem")</f>
        <v>https://techcombank.com/thong-tin/blog/cach-tinh-lai-suat-tien-gui-tiet-kiem</v>
      </c>
      <c r="M106" s="25" t="str">
        <f>IFERROR(__xludf.DUMMYFUNCTION("IFERROR(INDEX(FILTER('Kế hoạch chèn link (mới)'!$C$3:$C$2213,'Kế hoạch chèn link (mới)'!$D$3:$D$2213=$B106),4),"""")"),"sổ tiết kiệm")</f>
        <v>sổ tiết kiệm</v>
      </c>
      <c r="N106" s="25" t="str">
        <f>IFERROR(__xludf.DUMMYFUNCTION("IFERROR(INDEX(FILTER('Kế hoạch chèn link (mới)'!$B$3:$B$2213,'Kế hoạch chèn link (mới)'!$D$3:$D$2213=$B106),4),"""")"),"https://techcombank.com/thong-tin/blog/so-tiet-kiem-ngan-hang")</f>
        <v>https://techcombank.com/thong-tin/blog/so-tiet-kiem-ngan-hang</v>
      </c>
      <c r="O106" s="25" t="str">
        <f>IFERROR(__xludf.DUMMYFUNCTION("IFERROR(INDEX(FILTER('Kế hoạch chèn link (mới)'!$C$3:$C$2213,'Kế hoạch chèn link (mới)'!$D$3:$D$2213=$B106),5),"""")"),"bảng tính lãi suất tiết kiệm")</f>
        <v>bảng tính lãi suất tiết kiệm</v>
      </c>
      <c r="P106" s="25" t="str">
        <f>IFERROR(__xludf.DUMMYFUNCTION("IFERROR(INDEX(FILTER('Kế hoạch chèn link (mới)'!$B$3:$B$2213,'Kế hoạch chèn link (mới)'!$D$3:$D$2213=$B106),5),"""")"),"https://techcombank.com/cong-cu-tien-ich/cong-cu-tinh-toan/bang-tinh-lai-suat-tiet-kiem")</f>
        <v>https://techcombank.com/cong-cu-tien-ich/cong-cu-tinh-toan/bang-tinh-lai-suat-tiet-kiem</v>
      </c>
    </row>
    <row r="107">
      <c r="A107" s="6">
        <f t="shared" si="1"/>
        <v>106</v>
      </c>
      <c r="B107" s="8" t="s">
        <v>1137</v>
      </c>
      <c r="C107" s="6">
        <f>COUNTIF('Kế hoạch chèn link (mới)'!$D$3:$D$2213,$B107)</f>
        <v>4</v>
      </c>
      <c r="D107" s="8" t="str">
        <f>IF(COUNTIFS('Kế hoạch chèn link (mới)'!$D$3:$D$2213,$B107,'Kế hoạch chèn link (mới)'!$I$3:$I$2213,"Đã chèn")&gt;=$C107,"Đã hoàn thành",IF(COUNTIFS('Kế hoạch chèn link (mới)'!$D$3:$D$2213,$B107,'Kế hoạch chèn link (mới)'!$I$3:$I$2213,"Đã chèn")&gt;0,"Đang làm","Chưa hoàn thành"))</f>
        <v>Chưa hoàn thành</v>
      </c>
      <c r="E107" s="8" t="b">
        <f t="shared" si="2"/>
        <v>0</v>
      </c>
      <c r="F107" s="25"/>
      <c r="G107" s="25" t="str">
        <f>IFERROR(__xludf.DUMMYFUNCTION("IFERROR(INDEX(FILTER('Kế hoạch chèn link (mới)'!$C$3:$C$2213,'Kế hoạch chèn link (mới)'!$D$3:$D$2213=$B107),1),"""")"),"sao kê tài khoản ngân hàng")</f>
        <v>sao kê tài khoản ngân hàng</v>
      </c>
      <c r="H107" s="25" t="str">
        <f>IFERROR(__xludf.DUMMYFUNCTION("IFERROR(INDEX(FILTER('Kế hoạch chèn link (mới)'!$B$3:$B$2213,'Kế hoạch chèn link (mới)'!$D$3:$D$2213=$B107),1),"""")"),"https://techcombank.com/thong-tin/blog/cach-sao-ke-tai-khoan-ngan-hang")</f>
        <v>https://techcombank.com/thong-tin/blog/cach-sao-ke-tai-khoan-ngan-hang</v>
      </c>
      <c r="I107" s="25" t="str">
        <f>IFERROR(__xludf.DUMMYFUNCTION("IFERROR(INDEX(FILTER('Kế hoạch chèn link (mới)'!$C$3:$C$2213,'Kế hoạch chèn link (mới)'!$D$3:$D$2213=$B107),2),"""")"),"tính lãi suất ngân hàng")</f>
        <v>tính lãi suất ngân hàng</v>
      </c>
      <c r="J107" s="25" t="str">
        <f>IFERROR(__xludf.DUMMYFUNCTION("IFERROR(INDEX(FILTER('Kế hoạch chèn link (mới)'!$B$3:$B$2213,'Kế hoạch chèn link (mới)'!$D$3:$D$2213=$B107),2),"""")"),"https://techcombank.com/thong-tin/blog/cach-tinh-lai-suat-tien-gui-tiet-kiem")</f>
        <v>https://techcombank.com/thong-tin/blog/cach-tinh-lai-suat-tien-gui-tiet-kiem</v>
      </c>
      <c r="K107" s="25" t="str">
        <f>IFERROR(__xludf.DUMMYFUNCTION("IFERROR(INDEX(FILTER('Kế hoạch chèn link (mới)'!$C$3:$C$2213,'Kế hoạch chèn link (mới)'!$D$3:$D$2213=$B107),3),"""")"),"rút tiết kiệm trước hạn")</f>
        <v>rút tiết kiệm trước hạn</v>
      </c>
      <c r="L107" s="25" t="str">
        <f>IFERROR(__xludf.DUMMYFUNCTION("IFERROR(INDEX(FILTER('Kế hoạch chèn link (mới)'!$B$3:$B$2213,'Kế hoạch chèn link (mới)'!$D$3:$D$2213=$B107),3),"""")"),"https://techcombank.com/thong-tin/blog/rut-tien-tiet-kiem-truoc-thoi-han")</f>
        <v>https://techcombank.com/thong-tin/blog/rut-tien-tiet-kiem-truoc-thoi-han</v>
      </c>
      <c r="M107" s="25" t="str">
        <f>IFERROR(__xludf.DUMMYFUNCTION("IFERROR(INDEX(FILTER('Kế hoạch chèn link (mới)'!$C$3:$C$2213,'Kế hoạch chèn link (mới)'!$D$3:$D$2213=$B107),4),"""")"),"bảng tính lãi suất tiết kiệm")</f>
        <v>bảng tính lãi suất tiết kiệm</v>
      </c>
      <c r="N107" s="25" t="str">
        <f>IFERROR(__xludf.DUMMYFUNCTION("IFERROR(INDEX(FILTER('Kế hoạch chèn link (mới)'!$B$3:$B$2213,'Kế hoạch chèn link (mới)'!$D$3:$D$2213=$B107),4),"""")"),"https://techcombank.com/cong-cu-tien-ich/cong-cu-tinh-toan/bang-tinh-lai-suat-tiet-kiem")</f>
        <v>https://techcombank.com/cong-cu-tien-ich/cong-cu-tinh-toan/bang-tinh-lai-suat-tiet-kiem</v>
      </c>
      <c r="O107" s="25" t="str">
        <f>IFERROR(__xludf.DUMMYFUNCTION("IFERROR(INDEX(FILTER('Kế hoạch chèn link (mới)'!$C$3:$C$2213,'Kế hoạch chèn link (mới)'!$D$3:$D$2213=$B107),5),"""")"),"")</f>
        <v/>
      </c>
      <c r="P107" s="25" t="str">
        <f>IFERROR(__xludf.DUMMYFUNCTION("IFERROR(INDEX(FILTER('Kế hoạch chèn link (mới)'!$B$3:$B$2213,'Kế hoạch chèn link (mới)'!$D$3:$D$2213=$B107),5),"""")"),"")</f>
        <v/>
      </c>
    </row>
    <row r="108">
      <c r="A108" s="6">
        <f t="shared" si="1"/>
        <v>107</v>
      </c>
      <c r="B108" s="8" t="s">
        <v>2268</v>
      </c>
      <c r="C108" s="6">
        <f>COUNTIF('Kế hoạch chèn link (mới)'!$D$3:$D$2213,$B108)</f>
        <v>5</v>
      </c>
      <c r="D108" s="8" t="str">
        <f>IF(COUNTIFS('Kế hoạch chèn link (mới)'!$D$3:$D$2213,$B108,'Kế hoạch chèn link (mới)'!$I$3:$I$2213,"Đã chèn")&gt;=$C108,"Đã hoàn thành",IF(COUNTIFS('Kế hoạch chèn link (mới)'!$D$3:$D$2213,$B108,'Kế hoạch chèn link (mới)'!$I$3:$I$2213,"Đã chèn")&gt;0,"Đang làm","Chưa hoàn thành"))</f>
        <v>Chưa hoàn thành</v>
      </c>
      <c r="E108" s="8" t="b">
        <f t="shared" si="2"/>
        <v>0</v>
      </c>
      <c r="F108" s="25"/>
      <c r="G108" s="25" t="str">
        <f>IFERROR(__xludf.DUMMYFUNCTION("IFERROR(INDEX(FILTER('Kế hoạch chèn link (mới)'!$C$3:$C$2213,'Kế hoạch chèn link (mới)'!$D$3:$D$2213=$B108),1),"""")"),"rút tiền thẻ tín dụng")</f>
        <v>rút tiền thẻ tín dụng</v>
      </c>
      <c r="H108" s="25" t="str">
        <f>IFERROR(__xludf.DUMMYFUNCTION("IFERROR(INDEX(FILTER('Kế hoạch chèn link (mới)'!$B$3:$B$2213,'Kế hoạch chèn link (mới)'!$D$3:$D$2213=$B108),1),"""")"),"https://techcombank.com/thong-tin/blog/rut-tien-mat-tu-the-tin-dung")</f>
        <v>https://techcombank.com/thong-tin/blog/rut-tien-mat-tu-the-tin-dung</v>
      </c>
      <c r="I108" s="25" t="str">
        <f>IFERROR(__xludf.DUMMYFUNCTION("IFERROR(INDEX(FILTER('Kế hoạch chèn link (mới)'!$C$3:$C$2213,'Kế hoạch chèn link (mới)'!$D$3:$D$2213=$B108),2),"""")"),"tiền Nhật")</f>
        <v>tiền Nhật</v>
      </c>
      <c r="J108" s="25" t="str">
        <f>IFERROR(__xludf.DUMMYFUNCTION("IFERROR(INDEX(FILTER('Kế hoạch chèn link (mới)'!$B$3:$B$2213,'Kế hoạch chèn link (mới)'!$D$3:$D$2213=$B108),2),"""")"),"https://techcombank.com/thong-tin/blog/tien-nhat")</f>
        <v>https://techcombank.com/thong-tin/blog/tien-nhat</v>
      </c>
      <c r="K108" s="25" t="str">
        <f>IFERROR(__xludf.DUMMYFUNCTION("IFERROR(INDEX(FILTER('Kế hoạch chèn link (mới)'!$C$3:$C$2213,'Kế hoạch chèn link (mới)'!$D$3:$D$2213=$B108),3),"""")"),"lãi suất ngân hàng tiền gửi")</f>
        <v>lãi suất ngân hàng tiền gửi</v>
      </c>
      <c r="L108" s="25" t="str">
        <f>IFERROR(__xludf.DUMMYFUNCTION("IFERROR(INDEX(FILTER('Kế hoạch chèn link (mới)'!$B$3:$B$2213,'Kế hoạch chèn link (mới)'!$D$3:$D$2213=$B108),3),"""")"),"https://techcombank.com/thong-tin/blog/lai-suat-tiet-kiem")</f>
        <v>https://techcombank.com/thong-tin/blog/lai-suat-tiet-kiem</v>
      </c>
      <c r="M108" s="25" t="str">
        <f>IFERROR(__xludf.DUMMYFUNCTION("IFERROR(INDEX(FILTER('Kế hoạch chèn link (mới)'!$C$3:$C$2213,'Kế hoạch chèn link (mới)'!$D$3:$D$2213=$B108),4),"""")"),"cách tính lãi suất tiết kiệm ngân hàng")</f>
        <v>cách tính lãi suất tiết kiệm ngân hàng</v>
      </c>
      <c r="N108" s="25" t="str">
        <f>IFERROR(__xludf.DUMMYFUNCTION("IFERROR(INDEX(FILTER('Kế hoạch chèn link (mới)'!$B$3:$B$2213,'Kế hoạch chèn link (mới)'!$D$3:$D$2213=$B108),4),"""")"),"https://techcombank.com/thong-tin/blog/cach-tinh-lai-suat-tien-gui-tiet-kiem")</f>
        <v>https://techcombank.com/thong-tin/blog/cach-tinh-lai-suat-tien-gui-tiet-kiem</v>
      </c>
      <c r="O108" s="25" t="str">
        <f>IFERROR(__xludf.DUMMYFUNCTION("IFERROR(INDEX(FILTER('Kế hoạch chèn link (mới)'!$C$3:$C$2213,'Kế hoạch chèn link (mới)'!$D$3:$D$2213=$B108),5),"""")"),"cách tiết kiệm tiền")</f>
        <v>cách tiết kiệm tiền</v>
      </c>
      <c r="P108" s="25" t="str">
        <f>IFERROR(__xludf.DUMMYFUNCTION("IFERROR(INDEX(FILTER('Kế hoạch chèn link (mới)'!$B$3:$B$2213,'Kế hoạch chèn link (mới)'!$D$3:$D$2213=$B108),5),"""")"),"https://techcombank.com/thong-tin/blog/cach-tiet-kiem-tien")</f>
        <v>https://techcombank.com/thong-tin/blog/cach-tiet-kiem-tien</v>
      </c>
    </row>
    <row r="109">
      <c r="A109" s="6">
        <f t="shared" si="1"/>
        <v>108</v>
      </c>
      <c r="B109" s="8" t="s">
        <v>2292</v>
      </c>
      <c r="C109" s="6">
        <f>COUNTIF('Kế hoạch chèn link (mới)'!$D$3:$D$2213,$B109)</f>
        <v>4</v>
      </c>
      <c r="D109" s="8" t="str">
        <f>IF(COUNTIFS('Kế hoạch chèn link (mới)'!$D$3:$D$2213,$B109,'Kế hoạch chèn link (mới)'!$I$3:$I$2213,"Đã chèn")&gt;=$C109,"Đã hoàn thành",IF(COUNTIFS('Kế hoạch chèn link (mới)'!$D$3:$D$2213,$B109,'Kế hoạch chèn link (mới)'!$I$3:$I$2213,"Đã chèn")&gt;0,"Đang làm","Chưa hoàn thành"))</f>
        <v>Chưa hoàn thành</v>
      </c>
      <c r="E109" s="8" t="b">
        <f t="shared" si="2"/>
        <v>0</v>
      </c>
      <c r="F109" s="25"/>
      <c r="G109" s="25" t="str">
        <f>IFERROR(__xludf.DUMMYFUNCTION("IFERROR(INDEX(FILTER('Kế hoạch chèn link (mới)'!$C$3:$C$2213,'Kế hoạch chèn link (mới)'!$D$3:$D$2213=$B109),1),"""")"),"sao kê tài khoản ngân hàng")</f>
        <v>sao kê tài khoản ngân hàng</v>
      </c>
      <c r="H109" s="25" t="str">
        <f>IFERROR(__xludf.DUMMYFUNCTION("IFERROR(INDEX(FILTER('Kế hoạch chèn link (mới)'!$B$3:$B$2213,'Kế hoạch chèn link (mới)'!$D$3:$D$2213=$B109),1),"""")"),"https://techcombank.com/thong-tin/blog/cach-sao-ke-tai-khoan-ngan-hang")</f>
        <v>https://techcombank.com/thong-tin/blog/cach-sao-ke-tai-khoan-ngan-hang</v>
      </c>
      <c r="I109" s="25" t="str">
        <f>IFERROR(__xludf.DUMMYFUNCTION("IFERROR(INDEX(FILTER('Kế hoạch chèn link (mới)'!$C$3:$C$2213,'Kế hoạch chèn link (mới)'!$D$3:$D$2213=$B109),2),"""")"),"lãi suất gửi tiết kiệm ngân hàng")</f>
        <v>lãi suất gửi tiết kiệm ngân hàng</v>
      </c>
      <c r="J109" s="25" t="str">
        <f>IFERROR(__xludf.DUMMYFUNCTION("IFERROR(INDEX(FILTER('Kế hoạch chèn link (mới)'!$B$3:$B$2213,'Kế hoạch chèn link (mới)'!$D$3:$D$2213=$B109),2),"""")"),"https://techcombank.com/thong-tin/blog/lai-suat-tiet-kiem")</f>
        <v>https://techcombank.com/thong-tin/blog/lai-suat-tiet-kiem</v>
      </c>
      <c r="K109" s="25" t="str">
        <f>IFERROR(__xludf.DUMMYFUNCTION("IFERROR(INDEX(FILTER('Kế hoạch chèn link (mới)'!$C$3:$C$2213,'Kế hoạch chèn link (mới)'!$D$3:$D$2213=$B109),3),"""")"),"cách tiết kiệm tiền hiệu quả")</f>
        <v>cách tiết kiệm tiền hiệu quả</v>
      </c>
      <c r="L109" s="25" t="str">
        <f>IFERROR(__xludf.DUMMYFUNCTION("IFERROR(INDEX(FILTER('Kế hoạch chèn link (mới)'!$B$3:$B$2213,'Kế hoạch chèn link (mới)'!$D$3:$D$2213=$B109),3),"""")"),"https://techcombank.com/thong-tin/blog/cach-tiet-kiem-tien")</f>
        <v>https://techcombank.com/thong-tin/blog/cach-tiet-kiem-tien</v>
      </c>
      <c r="M109" s="25" t="str">
        <f>IFERROR(__xludf.DUMMYFUNCTION("IFERROR(INDEX(FILTER('Kế hoạch chèn link (mới)'!$C$3:$C$2213,'Kế hoạch chèn link (mới)'!$D$3:$D$2213=$B109),4),"""")"),"bảng tính lãi suất tiết kiệm")</f>
        <v>bảng tính lãi suất tiết kiệm</v>
      </c>
      <c r="N109" s="25" t="str">
        <f>IFERROR(__xludf.DUMMYFUNCTION("IFERROR(INDEX(FILTER('Kế hoạch chèn link (mới)'!$B$3:$B$2213,'Kế hoạch chèn link (mới)'!$D$3:$D$2213=$B109),4),"""")"),"https://techcombank.com/cong-cu-tien-ich/cong-cu-tinh-toan/bang-tinh-lai-suat-tiet-kiem")</f>
        <v>https://techcombank.com/cong-cu-tien-ich/cong-cu-tinh-toan/bang-tinh-lai-suat-tiet-kiem</v>
      </c>
      <c r="O109" s="25" t="str">
        <f>IFERROR(__xludf.DUMMYFUNCTION("IFERROR(INDEX(FILTER('Kế hoạch chèn link (mới)'!$C$3:$C$2213,'Kế hoạch chèn link (mới)'!$D$3:$D$2213=$B109),5),"""")"),"")</f>
        <v/>
      </c>
      <c r="P109" s="25" t="str">
        <f>IFERROR(__xludf.DUMMYFUNCTION("IFERROR(INDEX(FILTER('Kế hoạch chèn link (mới)'!$B$3:$B$2213,'Kế hoạch chèn link (mới)'!$D$3:$D$2213=$B109),5),"""")"),"")</f>
        <v/>
      </c>
    </row>
    <row r="110">
      <c r="A110" s="6">
        <f t="shared" si="1"/>
        <v>109</v>
      </c>
      <c r="B110" s="8" t="s">
        <v>2309</v>
      </c>
      <c r="C110" s="6">
        <f>COUNTIF('Kế hoạch chèn link (mới)'!$D$3:$D$2213,$B110)</f>
        <v>5</v>
      </c>
      <c r="D110" s="8" t="str">
        <f>IF(COUNTIFS('Kế hoạch chèn link (mới)'!$D$3:$D$2213,$B110,'Kế hoạch chèn link (mới)'!$I$3:$I$2213,"Đã chèn")&gt;=$C110,"Đã hoàn thành",IF(COUNTIFS('Kế hoạch chèn link (mới)'!$D$3:$D$2213,$B110,'Kế hoạch chèn link (mới)'!$I$3:$I$2213,"Đã chèn")&gt;0,"Đang làm","Chưa hoàn thành"))</f>
        <v>Chưa hoàn thành</v>
      </c>
      <c r="E110" s="8" t="b">
        <f t="shared" si="2"/>
        <v>0</v>
      </c>
      <c r="F110" s="25"/>
      <c r="G110" s="25" t="str">
        <f>IFERROR(__xludf.DUMMYFUNCTION("IFERROR(INDEX(FILTER('Kế hoạch chèn link (mới)'!$C$3:$C$2213,'Kế hoạch chèn link (mới)'!$D$3:$D$2213=$B110),1),"""")"),"tính lãi suất ngân hàng")</f>
        <v>tính lãi suất ngân hàng</v>
      </c>
      <c r="H110" s="25" t="str">
        <f>IFERROR(__xludf.DUMMYFUNCTION("IFERROR(INDEX(FILTER('Kế hoạch chèn link (mới)'!$B$3:$B$2213,'Kế hoạch chèn link (mới)'!$D$3:$D$2213=$B110),1),"""")"),"https://techcombank.com/thong-tin/blog/cach-tinh-lai-suat-tien-gui-tiet-kiem")</f>
        <v>https://techcombank.com/thong-tin/blog/cach-tinh-lai-suat-tien-gui-tiet-kiem</v>
      </c>
      <c r="I110" s="25" t="str">
        <f>IFERROR(__xludf.DUMMYFUNCTION("IFERROR(INDEX(FILTER('Kế hoạch chèn link (mới)'!$C$3:$C$2213,'Kế hoạch chèn link (mới)'!$D$3:$D$2213=$B110),2),"""")"),"rút tiết kiệm trước hạn")</f>
        <v>rút tiết kiệm trước hạn</v>
      </c>
      <c r="J110" s="25" t="str">
        <f>IFERROR(__xludf.DUMMYFUNCTION("IFERROR(INDEX(FILTER('Kế hoạch chèn link (mới)'!$B$3:$B$2213,'Kế hoạch chèn link (mới)'!$D$3:$D$2213=$B110),2),"""")"),"https://techcombank.com/thong-tin/blog/rut-tien-tiet-kiem-truoc-thoi-han")</f>
        <v>https://techcombank.com/thong-tin/blog/rut-tien-tiet-kiem-truoc-thoi-han</v>
      </c>
      <c r="K110" s="25" t="str">
        <f>IFERROR(__xludf.DUMMYFUNCTION("IFERROR(INDEX(FILTER('Kế hoạch chèn link (mới)'!$C$3:$C$2213,'Kế hoạch chèn link (mới)'!$D$3:$D$2213=$B110),3),"""")"),"cách tiết kiệm tiền")</f>
        <v>cách tiết kiệm tiền</v>
      </c>
      <c r="L110" s="25" t="str">
        <f>IFERROR(__xludf.DUMMYFUNCTION("IFERROR(INDEX(FILTER('Kế hoạch chèn link (mới)'!$B$3:$B$2213,'Kế hoạch chèn link (mới)'!$D$3:$D$2213=$B110),3),"""")"),"https://techcombank.com/thong-tin/blog/cach-tiet-kiem-tien")</f>
        <v>https://techcombank.com/thong-tin/blog/cach-tiet-kiem-tien</v>
      </c>
      <c r="M110" s="25" t="str">
        <f>IFERROR(__xludf.DUMMYFUNCTION("IFERROR(INDEX(FILTER('Kế hoạch chèn link (mới)'!$C$3:$C$2213,'Kế hoạch chèn link (mới)'!$D$3:$D$2213=$B110),4),"""")"),"gửi tiết kiệm online có an toàn không")</f>
        <v>gửi tiết kiệm online có an toàn không</v>
      </c>
      <c r="N110" s="25" t="str">
        <f>IFERROR(__xludf.DUMMYFUNCTION("IFERROR(INDEX(FILTER('Kế hoạch chèn link (mới)'!$B$3:$B$2213,'Kế hoạch chèn link (mới)'!$D$3:$D$2213=$B110),4),"""")"),"https://techcombank.com/thong-tin/blog/rui-ro-khi-gui-tiet-kiem-online")</f>
        <v>https://techcombank.com/thong-tin/blog/rui-ro-khi-gui-tiet-kiem-online</v>
      </c>
      <c r="O110" s="25" t="str">
        <f>IFERROR(__xludf.DUMMYFUNCTION("IFERROR(INDEX(FILTER('Kế hoạch chèn link (mới)'!$C$3:$C$2213,'Kế hoạch chèn link (mới)'!$D$3:$D$2213=$B110),5),"""")"),"vay tiền")</f>
        <v>vay tiền</v>
      </c>
      <c r="P110" s="25" t="str">
        <f>IFERROR(__xludf.DUMMYFUNCTION("IFERROR(INDEX(FILTER('Kế hoạch chèn link (mới)'!$B$3:$B$2213,'Kế hoạch chèn link (mới)'!$D$3:$D$2213=$B110),5),"""")"),"https://techcombank.com/thong-tin/blog/app-vay-tien-nhanh")</f>
        <v>https://techcombank.com/thong-tin/blog/app-vay-tien-nhanh</v>
      </c>
    </row>
    <row r="111">
      <c r="A111" s="6">
        <f t="shared" si="1"/>
        <v>110</v>
      </c>
      <c r="B111" s="8" t="s">
        <v>2335</v>
      </c>
      <c r="C111" s="6">
        <f>COUNTIF('Kế hoạch chèn link (mới)'!$D$3:$D$2213,$B111)</f>
        <v>3</v>
      </c>
      <c r="D111" s="8" t="str">
        <f>IF(COUNTIFS('Kế hoạch chèn link (mới)'!$D$3:$D$2213,$B111,'Kế hoạch chèn link (mới)'!$I$3:$I$2213,"Đã chèn")&gt;=$C111,"Đã hoàn thành",IF(COUNTIFS('Kế hoạch chèn link (mới)'!$D$3:$D$2213,$B111,'Kế hoạch chèn link (mới)'!$I$3:$I$2213,"Đã chèn")&gt;0,"Đang làm","Chưa hoàn thành"))</f>
        <v>Chưa hoàn thành</v>
      </c>
      <c r="E111" s="8" t="b">
        <f t="shared" si="2"/>
        <v>0</v>
      </c>
      <c r="F111" s="25"/>
      <c r="G111" s="25" t="str">
        <f>IFERROR(__xludf.DUMMYFUNCTION("IFERROR(INDEX(FILTER('Kế hoạch chèn link (mới)'!$C$3:$C$2213,'Kế hoạch chèn link (mới)'!$D$3:$D$2213=$B111),1),"""")"),"lãi suất gửi tiết kiệm ngân hàng")</f>
        <v>lãi suất gửi tiết kiệm ngân hàng</v>
      </c>
      <c r="H111" s="25" t="str">
        <f>IFERROR(__xludf.DUMMYFUNCTION("IFERROR(INDEX(FILTER('Kế hoạch chèn link (mới)'!$B$3:$B$2213,'Kế hoạch chèn link (mới)'!$D$3:$D$2213=$B111),1),"""")"),"https://techcombank.com/thong-tin/blog/lai-suat-tiet-kiem")</f>
        <v>https://techcombank.com/thong-tin/blog/lai-suat-tiet-kiem</v>
      </c>
      <c r="I111" s="25" t="str">
        <f>IFERROR(__xludf.DUMMYFUNCTION("IFERROR(INDEX(FILTER('Kế hoạch chèn link (mới)'!$C$3:$C$2213,'Kế hoạch chèn link (mới)'!$D$3:$D$2213=$B111),2),"""")"),"tính lãi suất tiết kiệm")</f>
        <v>tính lãi suất tiết kiệm</v>
      </c>
      <c r="J111" s="25" t="str">
        <f>IFERROR(__xludf.DUMMYFUNCTION("IFERROR(INDEX(FILTER('Kế hoạch chèn link (mới)'!$B$3:$B$2213,'Kế hoạch chèn link (mới)'!$D$3:$D$2213=$B111),2),"""")"),"https://techcombank.com/thong-tin/blog/cach-tinh-lai-suat-tien-gui-tiet-kiem")</f>
        <v>https://techcombank.com/thong-tin/blog/cach-tinh-lai-suat-tien-gui-tiet-kiem</v>
      </c>
      <c r="K111" s="25" t="str">
        <f>IFERROR(__xludf.DUMMYFUNCTION("IFERROR(INDEX(FILTER('Kế hoạch chèn link (mới)'!$C$3:$C$2213,'Kế hoạch chèn link (mới)'!$D$3:$D$2213=$B111),3),"""")"),"cách tiết kiệm tiền hiệu quả")</f>
        <v>cách tiết kiệm tiền hiệu quả</v>
      </c>
      <c r="L111" s="25" t="str">
        <f>IFERROR(__xludf.DUMMYFUNCTION("IFERROR(INDEX(FILTER('Kế hoạch chèn link (mới)'!$B$3:$B$2213,'Kế hoạch chèn link (mới)'!$D$3:$D$2213=$B111),3),"""")"),"https://techcombank.com/thong-tin/blog/cach-tiet-kiem-tien")</f>
        <v>https://techcombank.com/thong-tin/blog/cach-tiet-kiem-tien</v>
      </c>
      <c r="M111" s="25" t="str">
        <f>IFERROR(__xludf.DUMMYFUNCTION("IFERROR(INDEX(FILTER('Kế hoạch chèn link (mới)'!$C$3:$C$2213,'Kế hoạch chèn link (mới)'!$D$3:$D$2213=$B111),4),"""")"),"")</f>
        <v/>
      </c>
      <c r="N111" s="25" t="str">
        <f>IFERROR(__xludf.DUMMYFUNCTION("IFERROR(INDEX(FILTER('Kế hoạch chèn link (mới)'!$B$3:$B$2213,'Kế hoạch chèn link (mới)'!$D$3:$D$2213=$B111),4),"""")"),"")</f>
        <v/>
      </c>
      <c r="O111" s="25" t="str">
        <f>IFERROR(__xludf.DUMMYFUNCTION("IFERROR(INDEX(FILTER('Kế hoạch chèn link (mới)'!$C$3:$C$2213,'Kế hoạch chèn link (mới)'!$D$3:$D$2213=$B111),5),"""")"),"")</f>
        <v/>
      </c>
      <c r="P111" s="25" t="str">
        <f>IFERROR(__xludf.DUMMYFUNCTION("IFERROR(INDEX(FILTER('Kế hoạch chèn link (mới)'!$B$3:$B$2213,'Kế hoạch chèn link (mới)'!$D$3:$D$2213=$B111),5),"""")"),"")</f>
        <v/>
      </c>
    </row>
    <row r="112">
      <c r="A112" s="6">
        <f t="shared" si="1"/>
        <v>111</v>
      </c>
      <c r="B112" s="8" t="s">
        <v>2358</v>
      </c>
      <c r="C112" s="6">
        <f>COUNTIF('Kế hoạch chèn link (mới)'!$D$3:$D$2213,$B112)</f>
        <v>4</v>
      </c>
      <c r="D112" s="8" t="str">
        <f>IF(COUNTIFS('Kế hoạch chèn link (mới)'!$D$3:$D$2213,$B112,'Kế hoạch chèn link (mới)'!$I$3:$I$2213,"Đã chèn")&gt;=$C112,"Đã hoàn thành",IF(COUNTIFS('Kế hoạch chèn link (mới)'!$D$3:$D$2213,$B112,'Kế hoạch chèn link (mới)'!$I$3:$I$2213,"Đã chèn")&gt;0,"Đang làm","Chưa hoàn thành"))</f>
        <v>Chưa hoàn thành</v>
      </c>
      <c r="E112" s="8" t="b">
        <f t="shared" si="2"/>
        <v>0</v>
      </c>
      <c r="F112" s="25"/>
      <c r="G112" s="25" t="str">
        <f>IFERROR(__xludf.DUMMYFUNCTION("IFERROR(INDEX(FILTER('Kế hoạch chèn link (mới)'!$C$3:$C$2213,'Kế hoạch chèn link (mới)'!$D$3:$D$2213=$B112),1),"""")"),"tỷ giá USD/VND")</f>
        <v>tỷ giá USD/VND</v>
      </c>
      <c r="H112" s="25" t="str">
        <f>IFERROR(__xludf.DUMMYFUNCTION("IFERROR(INDEX(FILTER('Kế hoạch chèn link (mới)'!$B$3:$B$2213,'Kế hoạch chèn link (mới)'!$D$3:$D$2213=$B112),1),"""")"),"https://techcombank.com/thong-tin/blog/1-dong-do-la-my-bang-bao-nhieu-tien-viet-nam")</f>
        <v>https://techcombank.com/thong-tin/blog/1-dong-do-la-my-bang-bao-nhieu-tien-viet-nam</v>
      </c>
      <c r="I112" s="25" t="str">
        <f>IFERROR(__xludf.DUMMYFUNCTION("IFERROR(INDEX(FILTER('Kế hoạch chèn link (mới)'!$C$3:$C$2213,'Kế hoạch chèn link (mới)'!$D$3:$D$2213=$B112),2),"""")"),"1 triệu đô bằng bao nhiêu tiền Việt")</f>
        <v>1 triệu đô bằng bao nhiêu tiền Việt</v>
      </c>
      <c r="J112" s="25" t="str">
        <f>IFERROR(__xludf.DUMMYFUNCTION("IFERROR(INDEX(FILTER('Kế hoạch chèn link (mới)'!$B$3:$B$2213,'Kế hoạch chèn link (mới)'!$D$3:$D$2213=$B112),2),"""")"),"https://techcombank.com/thong-tin/blog/1-trieu-do-bang-bao-nhieu-tien-viet")</f>
        <v>https://techcombank.com/thong-tin/blog/1-trieu-do-bang-bao-nhieu-tien-viet</v>
      </c>
      <c r="K112" s="25" t="str">
        <f>IFERROR(__xludf.DUMMYFUNCTION("IFERROR(INDEX(FILTER('Kế hoạch chèn link (mới)'!$C$3:$C$2213,'Kế hoạch chèn link (mới)'!$D$3:$D$2213=$B112),3),"""")"),"lãi suất ngân hàng")</f>
        <v>lãi suất ngân hàng</v>
      </c>
      <c r="L112" s="25" t="str">
        <f>IFERROR(__xludf.DUMMYFUNCTION("IFERROR(INDEX(FILTER('Kế hoạch chèn link (mới)'!$B$3:$B$2213,'Kế hoạch chèn link (mới)'!$D$3:$D$2213=$B112),3),"""")"),"https://techcombank.com/thong-tin/blog/lai-suat-tiet-kiem")</f>
        <v>https://techcombank.com/thong-tin/blog/lai-suat-tiet-kiem</v>
      </c>
      <c r="M112" s="25" t="str">
        <f>IFERROR(__xludf.DUMMYFUNCTION("IFERROR(INDEX(FILTER('Kế hoạch chèn link (mới)'!$C$3:$C$2213,'Kế hoạch chèn link (mới)'!$D$3:$D$2213=$B112),4),"""")"),"tính lãi suất ngân hàng")</f>
        <v>tính lãi suất ngân hàng</v>
      </c>
      <c r="N112" s="25" t="str">
        <f>IFERROR(__xludf.DUMMYFUNCTION("IFERROR(INDEX(FILTER('Kế hoạch chèn link (mới)'!$B$3:$B$2213,'Kế hoạch chèn link (mới)'!$D$3:$D$2213=$B112),4),"""")"),"https://techcombank.com/thong-tin/blog/cach-tinh-lai-suat-tien-gui-tiet-kiem")</f>
        <v>https://techcombank.com/thong-tin/blog/cach-tinh-lai-suat-tien-gui-tiet-kiem</v>
      </c>
      <c r="O112" s="25" t="str">
        <f>IFERROR(__xludf.DUMMYFUNCTION("IFERROR(INDEX(FILTER('Kế hoạch chèn link (mới)'!$C$3:$C$2213,'Kế hoạch chèn link (mới)'!$D$3:$D$2213=$B112),5),"""")"),"")</f>
        <v/>
      </c>
      <c r="P112" s="25" t="str">
        <f>IFERROR(__xludf.DUMMYFUNCTION("IFERROR(INDEX(FILTER('Kế hoạch chèn link (mới)'!$B$3:$B$2213,'Kế hoạch chèn link (mới)'!$D$3:$D$2213=$B112),5),"""")"),"")</f>
        <v/>
      </c>
    </row>
    <row r="113">
      <c r="A113" s="6">
        <f t="shared" si="1"/>
        <v>112</v>
      </c>
      <c r="B113" s="8" t="s">
        <v>464</v>
      </c>
      <c r="C113" s="6">
        <f>COUNTIF('Kế hoạch chèn link (mới)'!$D$3:$D$2213,$B113)</f>
        <v>3</v>
      </c>
      <c r="D113" s="8" t="str">
        <f>IF(COUNTIFS('Kế hoạch chèn link (mới)'!$D$3:$D$2213,$B113,'Kế hoạch chèn link (mới)'!$I$3:$I$2213,"Đã chèn")&gt;=$C113,"Đã hoàn thành",IF(COUNTIFS('Kế hoạch chèn link (mới)'!$D$3:$D$2213,$B113,'Kế hoạch chèn link (mới)'!$I$3:$I$2213,"Đã chèn")&gt;0,"Đang làm","Chưa hoàn thành"))</f>
        <v>Chưa hoàn thành</v>
      </c>
      <c r="E113" s="8" t="b">
        <f t="shared" si="2"/>
        <v>0</v>
      </c>
      <c r="F113" s="25"/>
      <c r="G113" s="25" t="str">
        <f>IFERROR(__xludf.DUMMYFUNCTION("IFERROR(INDEX(FILTER('Kế hoạch chèn link (mới)'!$C$3:$C$2213,'Kế hoạch chèn link (mới)'!$D$3:$D$2213=$B113),1),"""")"),"cách tiết kiệm tiền")</f>
        <v>cách tiết kiệm tiền</v>
      </c>
      <c r="H113" s="25" t="str">
        <f>IFERROR(__xludf.DUMMYFUNCTION("IFERROR(INDEX(FILTER('Kế hoạch chèn link (mới)'!$B$3:$B$2213,'Kế hoạch chèn link (mới)'!$D$3:$D$2213=$B113),1),"""")"),"https://techcombank.com/thong-tin/blog/cach-tiet-kiem-tien")</f>
        <v>https://techcombank.com/thong-tin/blog/cach-tiet-kiem-tien</v>
      </c>
      <c r="I113" s="25" t="str">
        <f>IFERROR(__xludf.DUMMYFUNCTION("IFERROR(INDEX(FILTER('Kế hoạch chèn link (mới)'!$C$3:$C$2213,'Kế hoạch chèn link (mới)'!$D$3:$D$2213=$B113),2),"""")"),"bảng tính lãi suất vay ngân hàng")</f>
        <v>bảng tính lãi suất vay ngân hàng</v>
      </c>
      <c r="J113" s="25" t="str">
        <f>IFERROR(__xludf.DUMMYFUNCTION("IFERROR(INDEX(FILTER('Kế hoạch chèn link (mới)'!$B$3:$B$2213,'Kế hoạch chèn link (mới)'!$D$3:$D$2213=$B113),2),"""")"),"https://techcombank.com/cong-cu-tien-ich/cong-cu-tinh-toan/bang-tinh-lai-suat-vay")</f>
        <v>https://techcombank.com/cong-cu-tien-ich/cong-cu-tinh-toan/bang-tinh-lai-suat-vay</v>
      </c>
      <c r="K113" s="25" t="str">
        <f>IFERROR(__xludf.DUMMYFUNCTION("IFERROR(INDEX(FILTER('Kế hoạch chèn link (mới)'!$C$3:$C$2213,'Kế hoạch chèn link (mới)'!$D$3:$D$2213=$B113),3),"""")"),"công cụ tính lãi tiết kiệm")</f>
        <v>công cụ tính lãi tiết kiệm</v>
      </c>
      <c r="L113" s="25" t="str">
        <f>IFERROR(__xludf.DUMMYFUNCTION("IFERROR(INDEX(FILTER('Kế hoạch chèn link (mới)'!$B$3:$B$2213,'Kế hoạch chèn link (mới)'!$D$3:$D$2213=$B113),3),"""")"),"https://techcombank.com/cong-cu-tien-ich/cong-cu-tinh-toan/bang-tinh-lai-suat-tiet-kiem")</f>
        <v>https://techcombank.com/cong-cu-tien-ich/cong-cu-tinh-toan/bang-tinh-lai-suat-tiet-kiem</v>
      </c>
      <c r="M113" s="25" t="str">
        <f>IFERROR(__xludf.DUMMYFUNCTION("IFERROR(INDEX(FILTER('Kế hoạch chèn link (mới)'!$C$3:$C$2213,'Kế hoạch chèn link (mới)'!$D$3:$D$2213=$B113),4),"""")"),"")</f>
        <v/>
      </c>
      <c r="N113" s="25" t="str">
        <f>IFERROR(__xludf.DUMMYFUNCTION("IFERROR(INDEX(FILTER('Kế hoạch chèn link (mới)'!$B$3:$B$2213,'Kế hoạch chèn link (mới)'!$D$3:$D$2213=$B113),4),"""")"),"")</f>
        <v/>
      </c>
      <c r="O113" s="25" t="str">
        <f>IFERROR(__xludf.DUMMYFUNCTION("IFERROR(INDEX(FILTER('Kế hoạch chèn link (mới)'!$C$3:$C$2213,'Kế hoạch chèn link (mới)'!$D$3:$D$2213=$B113),5),"""")"),"")</f>
        <v/>
      </c>
      <c r="P113" s="25" t="str">
        <f>IFERROR(__xludf.DUMMYFUNCTION("IFERROR(INDEX(FILTER('Kế hoạch chèn link (mới)'!$B$3:$B$2213,'Kế hoạch chèn link (mới)'!$D$3:$D$2213=$B113),5),"""")"),"")</f>
        <v/>
      </c>
    </row>
    <row r="114">
      <c r="A114" s="6">
        <f t="shared" si="1"/>
        <v>113</v>
      </c>
      <c r="B114" s="8" t="s">
        <v>723</v>
      </c>
      <c r="C114" s="6">
        <f>COUNTIF('Kế hoạch chèn link (mới)'!$D$3:$D$2213,$B114)</f>
        <v>4</v>
      </c>
      <c r="D114" s="8" t="str">
        <f>IF(COUNTIFS('Kế hoạch chèn link (mới)'!$D$3:$D$2213,$B114,'Kế hoạch chèn link (mới)'!$I$3:$I$2213,"Đã chèn")&gt;=$C114,"Đã hoàn thành",IF(COUNTIFS('Kế hoạch chèn link (mới)'!$D$3:$D$2213,$B114,'Kế hoạch chèn link (mới)'!$I$3:$I$2213,"Đã chèn")&gt;0,"Đang làm","Chưa hoàn thành"))</f>
        <v>Chưa hoàn thành</v>
      </c>
      <c r="E114" s="8" t="b">
        <f t="shared" si="2"/>
        <v>0</v>
      </c>
      <c r="F114" s="25"/>
      <c r="G114" s="25" t="str">
        <f>IFERROR(__xludf.DUMMYFUNCTION("IFERROR(INDEX(FILTER('Kế hoạch chèn link (mới)'!$C$3:$C$2213,'Kế hoạch chèn link (mới)'!$D$3:$D$2213=$B114),1),"""")"),"cách tính lãi suất ngân hàng")</f>
        <v>cách tính lãi suất ngân hàng</v>
      </c>
      <c r="H114" s="25" t="str">
        <f>IFERROR(__xludf.DUMMYFUNCTION("IFERROR(INDEX(FILTER('Kế hoạch chèn link (mới)'!$B$3:$B$2213,'Kế hoạch chèn link (mới)'!$D$3:$D$2213=$B114),1),"""")"),"https://techcombank.com/thong-tin/blog/cach-tinh-lai-suat-tien-gui-tiet-kiem")</f>
        <v>https://techcombank.com/thong-tin/blog/cach-tinh-lai-suat-tien-gui-tiet-kiem</v>
      </c>
      <c r="I114" s="25" t="str">
        <f>IFERROR(__xludf.DUMMYFUNCTION("IFERROR(INDEX(FILTER('Kế hoạch chèn link (mới)'!$C$3:$C$2213,'Kế hoạch chèn link (mới)'!$D$3:$D$2213=$B114),2),"""")"),"công cụ tính lãi tiết kiệm")</f>
        <v>công cụ tính lãi tiết kiệm</v>
      </c>
      <c r="J114" s="25" t="str">
        <f>IFERROR(__xludf.DUMMYFUNCTION("IFERROR(INDEX(FILTER('Kế hoạch chèn link (mới)'!$B$3:$B$2213,'Kế hoạch chèn link (mới)'!$D$3:$D$2213=$B114),2),"""")"),"https://techcombank.com/cong-cu-tien-ich/cong-cu-tinh-toan/bang-tinh-lai-suat-tiet-kiem")</f>
        <v>https://techcombank.com/cong-cu-tien-ich/cong-cu-tinh-toan/bang-tinh-lai-suat-tiet-kiem</v>
      </c>
      <c r="K114" s="25" t="str">
        <f>IFERROR(__xludf.DUMMYFUNCTION("IFERROR(INDEX(FILTER('Kế hoạch chèn link (mới)'!$C$3:$C$2213,'Kế hoạch chèn link (mới)'!$D$3:$D$2213=$B114),3),"""")"),"vay")</f>
        <v>vay</v>
      </c>
      <c r="L114" s="25" t="str">
        <f>IFERROR(__xludf.DUMMYFUNCTION("IFERROR(INDEX(FILTER('Kế hoạch chèn link (mới)'!$B$3:$B$2213,'Kế hoạch chèn link (mới)'!$D$3:$D$2213=$B114),3),"""")"),"https://techcombank.com/thong-tin/blog/app-vay-tien-nhanh")</f>
        <v>https://techcombank.com/thong-tin/blog/app-vay-tien-nhanh</v>
      </c>
      <c r="M114" s="25" t="str">
        <f>IFERROR(__xludf.DUMMYFUNCTION("IFERROR(INDEX(FILTER('Kế hoạch chèn link (mới)'!$C$3:$C$2213,'Kế hoạch chèn link (mới)'!$D$3:$D$2213=$B114),4),"""")"),"lãi suất vay ngân hàng")</f>
        <v>lãi suất vay ngân hàng</v>
      </c>
      <c r="N114" s="25" t="str">
        <f>IFERROR(__xludf.DUMMYFUNCTION("IFERROR(INDEX(FILTER('Kế hoạch chèn link (mới)'!$B$3:$B$2213,'Kế hoạch chèn link (mới)'!$D$3:$D$2213=$B114),4),"""")"),"https://techcombank.com/thong-tin/blog/lai-suat-vay-ngan-hang")</f>
        <v>https://techcombank.com/thong-tin/blog/lai-suat-vay-ngan-hang</v>
      </c>
      <c r="O114" s="25" t="str">
        <f>IFERROR(__xludf.DUMMYFUNCTION("IFERROR(INDEX(FILTER('Kế hoạch chèn link (mới)'!$C$3:$C$2213,'Kế hoạch chèn link (mới)'!$D$3:$D$2213=$B114),5),"""")"),"")</f>
        <v/>
      </c>
      <c r="P114" s="25" t="str">
        <f>IFERROR(__xludf.DUMMYFUNCTION("IFERROR(INDEX(FILTER('Kế hoạch chèn link (mới)'!$B$3:$B$2213,'Kế hoạch chèn link (mới)'!$D$3:$D$2213=$B114),5),"""")"),"")</f>
        <v/>
      </c>
    </row>
    <row r="115">
      <c r="A115" s="6">
        <f t="shared" si="1"/>
        <v>114</v>
      </c>
      <c r="B115" s="8" t="s">
        <v>2425</v>
      </c>
      <c r="C115" s="6">
        <f>COUNTIF('Kế hoạch chèn link (mới)'!$D$3:$D$2213,$B115)</f>
        <v>4</v>
      </c>
      <c r="D115" s="8" t="str">
        <f>IF(COUNTIFS('Kế hoạch chèn link (mới)'!$D$3:$D$2213,$B115,'Kế hoạch chèn link (mới)'!$I$3:$I$2213,"Đã chèn")&gt;=$C115,"Đã hoàn thành",IF(COUNTIFS('Kế hoạch chèn link (mới)'!$D$3:$D$2213,$B115,'Kế hoạch chèn link (mới)'!$I$3:$I$2213,"Đã chèn")&gt;0,"Đang làm","Chưa hoàn thành"))</f>
        <v>Chưa hoàn thành</v>
      </c>
      <c r="E115" s="8" t="b">
        <f t="shared" si="2"/>
        <v>0</v>
      </c>
      <c r="F115" s="25"/>
      <c r="G115" s="25" t="str">
        <f>IFERROR(__xludf.DUMMYFUNCTION("IFERROR(INDEX(FILTER('Kế hoạch chèn link (mới)'!$C$3:$C$2213,'Kế hoạch chèn link (mới)'!$D$3:$D$2213=$B115),1),"""")"),"chứng chỉ tiền gửi")</f>
        <v>chứng chỉ tiền gửi</v>
      </c>
      <c r="H115" s="25" t="str">
        <f>IFERROR(__xludf.DUMMYFUNCTION("IFERROR(INDEX(FILTER('Kế hoạch chèn link (mới)'!$B$3:$B$2213,'Kế hoạch chèn link (mới)'!$D$3:$D$2213=$B115),1),"""")"),"https://techcombank.com/thong-tin/blog/chung-chi-tien-gui-la-gi")</f>
        <v>https://techcombank.com/thong-tin/blog/chung-chi-tien-gui-la-gi</v>
      </c>
      <c r="I115" s="25" t="str">
        <f>IFERROR(__xludf.DUMMYFUNCTION("IFERROR(INDEX(FILTER('Kế hoạch chèn link (mới)'!$C$3:$C$2213,'Kế hoạch chèn link (mới)'!$D$3:$D$2213=$B115),2),"""")"),"lợi suất chứng chỉ tiền gửi")</f>
        <v>lợi suất chứng chỉ tiền gửi</v>
      </c>
      <c r="J115" s="25" t="str">
        <f>IFERROR(__xludf.DUMMYFUNCTION("IFERROR(INDEX(FILTER('Kế hoạch chèn link (mới)'!$B$3:$B$2213,'Kế hoạch chèn link (mới)'!$D$3:$D$2213=$B115),2),"""")"),"https://techcombank.com/thong-tin/blog/lai-suat-chung-chi-tien-gui-cac-ngan-hang")</f>
        <v>https://techcombank.com/thong-tin/blog/lai-suat-chung-chi-tien-gui-cac-ngan-hang</v>
      </c>
      <c r="K115" s="25" t="str">
        <f>IFERROR(__xludf.DUMMYFUNCTION("IFERROR(INDEX(FILTER('Kế hoạch chèn link (mới)'!$C$3:$C$2213,'Kế hoạch chèn link (mới)'!$D$3:$D$2213=$B115),3),"""")"),"lãi suất tiền gửi ngân hàng")</f>
        <v>lãi suất tiền gửi ngân hàng</v>
      </c>
      <c r="L115" s="25" t="str">
        <f>IFERROR(__xludf.DUMMYFUNCTION("IFERROR(INDEX(FILTER('Kế hoạch chèn link (mới)'!$B$3:$B$2213,'Kế hoạch chèn link (mới)'!$D$3:$D$2213=$B115),3),"""")"),"https://techcombank.com/thong-tin/blog/lai-suat-tiet-kiem")</f>
        <v>https://techcombank.com/thong-tin/blog/lai-suat-tiet-kiem</v>
      </c>
      <c r="M115" s="25" t="str">
        <f>IFERROR(__xludf.DUMMYFUNCTION("IFERROR(INDEX(FILTER('Kế hoạch chèn link (mới)'!$C$3:$C$2213,'Kế hoạch chèn link (mới)'!$D$3:$D$2213=$B115),4),"""")"),"tính lãi suất ngân hàng")</f>
        <v>tính lãi suất ngân hàng</v>
      </c>
      <c r="N115" s="25" t="str">
        <f>IFERROR(__xludf.DUMMYFUNCTION("IFERROR(INDEX(FILTER('Kế hoạch chèn link (mới)'!$B$3:$B$2213,'Kế hoạch chèn link (mới)'!$D$3:$D$2213=$B115),4),"""")"),"https://techcombank.com/thong-tin/blog/cach-tinh-lai-suat-tien-gui-tiet-kiem")</f>
        <v>https://techcombank.com/thong-tin/blog/cach-tinh-lai-suat-tien-gui-tiet-kiem</v>
      </c>
      <c r="O115" s="25" t="str">
        <f>IFERROR(__xludf.DUMMYFUNCTION("IFERROR(INDEX(FILTER('Kế hoạch chèn link (mới)'!$C$3:$C$2213,'Kế hoạch chèn link (mới)'!$D$3:$D$2213=$B115),5),"""")"),"")</f>
        <v/>
      </c>
      <c r="P115" s="25" t="str">
        <f>IFERROR(__xludf.DUMMYFUNCTION("IFERROR(INDEX(FILTER('Kế hoạch chèn link (mới)'!$B$3:$B$2213,'Kế hoạch chèn link (mới)'!$D$3:$D$2213=$B115),5),"""")"),"")</f>
        <v/>
      </c>
    </row>
    <row r="116">
      <c r="A116" s="6">
        <f t="shared" si="1"/>
        <v>115</v>
      </c>
      <c r="B116" s="8" t="s">
        <v>1105</v>
      </c>
      <c r="C116" s="6">
        <f>COUNTIF('Kế hoạch chèn link (mới)'!$D$3:$D$2213,$B116)</f>
        <v>5</v>
      </c>
      <c r="D116" s="8" t="str">
        <f>IF(COUNTIFS('Kế hoạch chèn link (mới)'!$D$3:$D$2213,$B116,'Kế hoạch chèn link (mới)'!$I$3:$I$2213,"Đã chèn")&gt;=$C116,"Đã hoàn thành",IF(COUNTIFS('Kế hoạch chèn link (mới)'!$D$3:$D$2213,$B116,'Kế hoạch chèn link (mới)'!$I$3:$I$2213,"Đã chèn")&gt;0,"Đang làm","Chưa hoàn thành"))</f>
        <v>Chưa hoàn thành</v>
      </c>
      <c r="E116" s="8" t="b">
        <f t="shared" si="2"/>
        <v>0</v>
      </c>
      <c r="F116" s="25"/>
      <c r="G116" s="25" t="str">
        <f>IFERROR(__xludf.DUMMYFUNCTION("IFERROR(INDEX(FILTER('Kế hoạch chèn link (mới)'!$C$3:$C$2213,'Kế hoạch chèn link (mới)'!$D$3:$D$2213=$B116),1),"""")"),"thuế thu nhập cá nhân")</f>
        <v>thuế thu nhập cá nhân</v>
      </c>
      <c r="H116" s="25" t="str">
        <f>IFERROR(__xludf.DUMMYFUNCTION("IFERROR(INDEX(FILTER('Kế hoạch chèn link (mới)'!$B$3:$B$2213,'Kế hoạch chèn link (mới)'!$D$3:$D$2213=$B116),1),"""")"),"https://techcombank.com/thong-tin/blog/cach-tinh-thue-thu-nhap-ca-nhan-2025")</f>
        <v>https://techcombank.com/thong-tin/blog/cach-tinh-thue-thu-nhap-ca-nhan-2025</v>
      </c>
      <c r="I116" s="25" t="str">
        <f>IFERROR(__xludf.DUMMYFUNCTION("IFERROR(INDEX(FILTER('Kế hoạch chèn link (mới)'!$C$3:$C$2213,'Kế hoạch chèn link (mới)'!$D$3:$D$2213=$B116),2),"""")"),"tra cứu thuế TNCN")</f>
        <v>tra cứu thuế TNCN</v>
      </c>
      <c r="J116" s="25" t="str">
        <f>IFERROR(__xludf.DUMMYFUNCTION("IFERROR(INDEX(FILTER('Kế hoạch chèn link (mới)'!$B$3:$B$2213,'Kế hoạch chèn link (mới)'!$D$3:$D$2213=$B116),2),"""")"),"https://techcombank.com/thong-tin/blog/kiem-tra-thue-thu-nhap-ca-nhan")</f>
        <v>https://techcombank.com/thong-tin/blog/kiem-tra-thue-thu-nhap-ca-nhan</v>
      </c>
      <c r="K116" s="25" t="str">
        <f>IFERROR(__xludf.DUMMYFUNCTION("IFERROR(INDEX(FILTER('Kế hoạch chèn link (mới)'!$C$3:$C$2213,'Kế hoạch chèn link (mới)'!$D$3:$D$2213=$B116),3),"""")"),"thuế TNCN")</f>
        <v>thuế TNCN</v>
      </c>
      <c r="L116" s="25" t="str">
        <f>IFERROR(__xludf.DUMMYFUNCTION("IFERROR(INDEX(FILTER('Kế hoạch chèn link (mới)'!$B$3:$B$2213,'Kế hoạch chèn link (mới)'!$D$3:$D$2213=$B116),3),"""")"),"https://techcombank.com/thong-tin/blog/thue-thu-nhap-ca-nhan")</f>
        <v>https://techcombank.com/thong-tin/blog/thue-thu-nhap-ca-nhan</v>
      </c>
      <c r="M116" s="25" t="str">
        <f>IFERROR(__xludf.DUMMYFUNCTION("IFERROR(INDEX(FILTER('Kế hoạch chèn link (mới)'!$C$3:$C$2213,'Kế hoạch chèn link (mới)'!$D$3:$D$2213=$B116),4),"""")"),"mở tài khoản hộ kinh doanh")</f>
        <v>mở tài khoản hộ kinh doanh</v>
      </c>
      <c r="N116" s="25" t="str">
        <f>IFERROR(__xludf.DUMMYFUNCTION("IFERROR(INDEX(FILTER('Kế hoạch chèn link (mới)'!$B$3:$B$2213,'Kế hoạch chèn link (mới)'!$D$3:$D$2213=$B116),4),"""")"),"https://techcombank.com/thong-tin/blog/mo-tai-khoan-ho-kinh-doanh")</f>
        <v>https://techcombank.com/thong-tin/blog/mo-tai-khoan-ho-kinh-doanh</v>
      </c>
      <c r="O116" s="25" t="str">
        <f>IFERROR(__xludf.DUMMYFUNCTION("IFERROR(INDEX(FILTER('Kế hoạch chèn link (mới)'!$C$3:$C$2213,'Kế hoạch chèn link (mới)'!$D$3:$D$2213=$B116),5),"""")"),"tra cứu nợ xấu")</f>
        <v>tra cứu nợ xấu</v>
      </c>
      <c r="P116" s="25" t="str">
        <f>IFERROR(__xludf.DUMMYFUNCTION("IFERROR(INDEX(FILTER('Kế hoạch chèn link (mới)'!$B$3:$B$2213,'Kế hoạch chèn link (mới)'!$D$3:$D$2213=$B116),5),"""")"),"https://techcombank.com/thong-tin/blog/kiem-tra-no-xau")</f>
        <v>https://techcombank.com/thong-tin/blog/kiem-tra-no-xau</v>
      </c>
    </row>
    <row r="117">
      <c r="A117" s="6">
        <f t="shared" si="1"/>
        <v>116</v>
      </c>
      <c r="B117" s="8" t="s">
        <v>474</v>
      </c>
      <c r="C117" s="6">
        <f>COUNTIF('Kế hoạch chèn link (mới)'!$D$3:$D$2213,$B117)</f>
        <v>5</v>
      </c>
      <c r="D117" s="8" t="str">
        <f>IF(COUNTIFS('Kế hoạch chèn link (mới)'!$D$3:$D$2213,$B117,'Kế hoạch chèn link (mới)'!$I$3:$I$2213,"Đã chèn")&gt;=$C117,"Đã hoàn thành",IF(COUNTIFS('Kế hoạch chèn link (mới)'!$D$3:$D$2213,$B117,'Kế hoạch chèn link (mới)'!$I$3:$I$2213,"Đã chèn")&gt;0,"Đang làm","Chưa hoàn thành"))</f>
        <v>Chưa hoàn thành</v>
      </c>
      <c r="E117" s="8" t="b">
        <f t="shared" si="2"/>
        <v>0</v>
      </c>
      <c r="F117" s="25"/>
      <c r="G117" s="25" t="str">
        <f>IFERROR(__xludf.DUMMYFUNCTION("IFERROR(INDEX(FILTER('Kế hoạch chèn link (mới)'!$C$3:$C$2213,'Kế hoạch chèn link (mới)'!$D$3:$D$2213=$B117),1),"""")"),"nộp thuế đất online")</f>
        <v>nộp thuế đất online</v>
      </c>
      <c r="H117" s="25" t="str">
        <f>IFERROR(__xludf.DUMMYFUNCTION("IFERROR(INDEX(FILTER('Kế hoạch chèn link (mới)'!$B$3:$B$2213,'Kế hoạch chèn link (mới)'!$D$3:$D$2213=$B117),1),"""")"),"https://techcombank.com/thong-tin/blog/nop-thue-dat-qua-ngan-hang")</f>
        <v>https://techcombank.com/thong-tin/blog/nop-thue-dat-qua-ngan-hang</v>
      </c>
      <c r="I117" s="25" t="str">
        <f>IFERROR(__xludf.DUMMYFUNCTION("IFERROR(INDEX(FILTER('Kế hoạch chèn link (mới)'!$C$3:$C$2213,'Kế hoạch chèn link (mới)'!$D$3:$D$2213=$B117),2),"""")"),"nộp thuế online")</f>
        <v>nộp thuế online</v>
      </c>
      <c r="J117" s="25" t="str">
        <f>IFERROR(__xludf.DUMMYFUNCTION("IFERROR(INDEX(FILTER('Kế hoạch chèn link (mới)'!$B$3:$B$2213,'Kế hoạch chèn link (mới)'!$D$3:$D$2213=$B117),2),"""")"),"https://techcombank.com/thong-tin/blog/cach-nop-thue-dien-tu")</f>
        <v>https://techcombank.com/thong-tin/blog/cach-nop-thue-dien-tu</v>
      </c>
      <c r="K117" s="25" t="str">
        <f>IFERROR(__xludf.DUMMYFUNCTION("IFERROR(INDEX(FILTER('Kế hoạch chèn link (mới)'!$C$3:$C$2213,'Kế hoạch chèn link (mới)'!$D$3:$D$2213=$B117),3),"""")"),"công thức tính thuế TNDN")</f>
        <v>công thức tính thuế TNDN</v>
      </c>
      <c r="L117" s="25" t="str">
        <f>IFERROR(__xludf.DUMMYFUNCTION("IFERROR(INDEX(FILTER('Kế hoạch chèn link (mới)'!$B$3:$B$2213,'Kế hoạch chèn link (mới)'!$D$3:$D$2213=$B117),3),"""")"),"https://techcombank.com/thong-tin/blog/cach-tinh-thue-thu-nhap-doanh-nghiep")</f>
        <v>https://techcombank.com/thong-tin/blog/cach-tinh-thue-thu-nhap-doanh-nghiep</v>
      </c>
      <c r="M117" s="25" t="str">
        <f>IFERROR(__xludf.DUMMYFUNCTION("IFERROR(INDEX(FILTER('Kế hoạch chèn link (mới)'!$C$3:$C$2213,'Kế hoạch chèn link (mới)'!$D$3:$D$2213=$B117),4),"""")"),"kiểm tra thuế thu nhập cá nhân")</f>
        <v>kiểm tra thuế thu nhập cá nhân</v>
      </c>
      <c r="N117" s="25" t="str">
        <f>IFERROR(__xludf.DUMMYFUNCTION("IFERROR(INDEX(FILTER('Kế hoạch chèn link (mới)'!$B$3:$B$2213,'Kế hoạch chèn link (mới)'!$D$3:$D$2213=$B117),4),"""")"),"https://techcombank.com/thong-tin/blog/kiem-tra-thue-thu-nhap-ca-nhan")</f>
        <v>https://techcombank.com/thong-tin/blog/kiem-tra-thue-thu-nhap-ca-nhan</v>
      </c>
      <c r="O117" s="25" t="str">
        <f>IFERROR(__xludf.DUMMYFUNCTION("IFERROR(INDEX(FILTER('Kế hoạch chèn link (mới)'!$C$3:$C$2213,'Kế hoạch chèn link (mới)'!$D$3:$D$2213=$B117),5),"""")"),"thuế thu nhập cá nhân")</f>
        <v>thuế thu nhập cá nhân</v>
      </c>
      <c r="P117" s="25" t="str">
        <f>IFERROR(__xludf.DUMMYFUNCTION("IFERROR(INDEX(FILTER('Kế hoạch chèn link (mới)'!$B$3:$B$2213,'Kế hoạch chèn link (mới)'!$D$3:$D$2213=$B117),5),"""")"),"https://techcombank.com/thong-tin/blog/thue-thu-nhap-ca-nhan")</f>
        <v>https://techcombank.com/thong-tin/blog/thue-thu-nhap-ca-nhan</v>
      </c>
    </row>
    <row r="118">
      <c r="A118" s="6">
        <f t="shared" si="1"/>
        <v>117</v>
      </c>
      <c r="B118" s="8" t="s">
        <v>758</v>
      </c>
      <c r="C118" s="6">
        <f>COUNTIF('Kế hoạch chèn link (mới)'!$D$3:$D$2213,$B118)</f>
        <v>4</v>
      </c>
      <c r="D118" s="8" t="str">
        <f>IF(COUNTIFS('Kế hoạch chèn link (mới)'!$D$3:$D$2213,$B118,'Kế hoạch chèn link (mới)'!$I$3:$I$2213,"Đã chèn")&gt;=$C118,"Đã hoàn thành",IF(COUNTIFS('Kế hoạch chèn link (mới)'!$D$3:$D$2213,$B118,'Kế hoạch chèn link (mới)'!$I$3:$I$2213,"Đã chèn")&gt;0,"Đang làm","Chưa hoàn thành"))</f>
        <v>Chưa hoàn thành</v>
      </c>
      <c r="E118" s="8" t="b">
        <f t="shared" si="2"/>
        <v>0</v>
      </c>
      <c r="F118" s="25"/>
      <c r="G118" s="25" t="str">
        <f>IFERROR(__xludf.DUMMYFUNCTION("IFERROR(INDEX(FILTER('Kế hoạch chèn link (mới)'!$C$3:$C$2213,'Kế hoạch chèn link (mới)'!$D$3:$D$2213=$B118),1),"""")"),"thuế thu nhập doanh nghiệp")</f>
        <v>thuế thu nhập doanh nghiệp</v>
      </c>
      <c r="H118" s="25" t="str">
        <f>IFERROR(__xludf.DUMMYFUNCTION("IFERROR(INDEX(FILTER('Kế hoạch chèn link (mới)'!$B$3:$B$2213,'Kế hoạch chèn link (mới)'!$D$3:$D$2213=$B118),1),"""")"),"https://techcombank.com/thong-tin/blog/thue-thu-nhap-doanh-nghiep")</f>
        <v>https://techcombank.com/thong-tin/blog/thue-thu-nhap-doanh-nghiep</v>
      </c>
      <c r="I118" s="25" t="str">
        <f>IFERROR(__xludf.DUMMYFUNCTION("IFERROR(INDEX(FILTER('Kế hoạch chèn link (mới)'!$C$3:$C$2213,'Kế hoạch chèn link (mới)'!$D$3:$D$2213=$B118),2),"""")"),"thuế doanh nghiệp")</f>
        <v>thuế doanh nghiệp</v>
      </c>
      <c r="J118" s="25" t="str">
        <f>IFERROR(__xludf.DUMMYFUNCTION("IFERROR(INDEX(FILTER('Kế hoạch chèn link (mới)'!$B$3:$B$2213,'Kế hoạch chèn link (mới)'!$D$3:$D$2213=$B118),2),"""")"),"https://techcombank.com/thong-tin/blog/thue-doanh-nghiep")</f>
        <v>https://techcombank.com/thong-tin/blog/thue-doanh-nghiep</v>
      </c>
      <c r="K118" s="25" t="str">
        <f>IFERROR(__xludf.DUMMYFUNCTION("IFERROR(INDEX(FILTER('Kế hoạch chèn link (mới)'!$C$3:$C$2213,'Kế hoạch chèn link (mới)'!$D$3:$D$2213=$B118),3),"""")"),"công ty sử dụng tài khoản cá nhân")</f>
        <v>công ty sử dụng tài khoản cá nhân</v>
      </c>
      <c r="L118" s="25" t="str">
        <f>IFERROR(__xludf.DUMMYFUNCTION("IFERROR(INDEX(FILTER('Kế hoạch chèn link (mới)'!$B$3:$B$2213,'Kế hoạch chèn link (mới)'!$D$3:$D$2213=$B118),3),"""")"),"https://techcombank.com/thong-tin/blog/cong-ty-su-dung-tai-khoan-ca-nhan")</f>
        <v>https://techcombank.com/thong-tin/blog/cong-ty-su-dung-tai-khoan-ca-nhan</v>
      </c>
      <c r="M118" s="25" t="str">
        <f>IFERROR(__xludf.DUMMYFUNCTION("IFERROR(INDEX(FILTER('Kế hoạch chèn link (mới)'!$C$3:$C$2213,'Kế hoạch chèn link (mới)'!$D$3:$D$2213=$B118),4),"""")"),"thuế thu nhập cá nhân")</f>
        <v>thuế thu nhập cá nhân</v>
      </c>
      <c r="N118" s="25" t="str">
        <f>IFERROR(__xludf.DUMMYFUNCTION("IFERROR(INDEX(FILTER('Kế hoạch chèn link (mới)'!$B$3:$B$2213,'Kế hoạch chèn link (mới)'!$D$3:$D$2213=$B118),4),"""")"),"https://techcombank.com/thong-tin/blog/cach-tinh-thue-thu-nhap-ca-nhan-2025")</f>
        <v>https://techcombank.com/thong-tin/blog/cach-tinh-thue-thu-nhap-ca-nhan-2025</v>
      </c>
      <c r="O118" s="25" t="str">
        <f>IFERROR(__xludf.DUMMYFUNCTION("IFERROR(INDEX(FILTER('Kế hoạch chèn link (mới)'!$C$3:$C$2213,'Kế hoạch chèn link (mới)'!$D$3:$D$2213=$B118),5),"""")"),"")</f>
        <v/>
      </c>
      <c r="P118" s="25" t="str">
        <f>IFERROR(__xludf.DUMMYFUNCTION("IFERROR(INDEX(FILTER('Kế hoạch chèn link (mới)'!$B$3:$B$2213,'Kế hoạch chèn link (mới)'!$D$3:$D$2213=$B118),5),"""")"),"")</f>
        <v/>
      </c>
    </row>
    <row r="119">
      <c r="A119" s="6">
        <f t="shared" si="1"/>
        <v>118</v>
      </c>
      <c r="B119" s="8" t="s">
        <v>654</v>
      </c>
      <c r="C119" s="6">
        <f>COUNTIF('Kế hoạch chèn link (mới)'!$D$3:$D$2213,$B119)</f>
        <v>1</v>
      </c>
      <c r="D119" s="8" t="str">
        <f>IF(COUNTIFS('Kế hoạch chèn link (mới)'!$D$3:$D$2213,$B119,'Kế hoạch chèn link (mới)'!$I$3:$I$2213,"Đã chèn")&gt;=$C119,"Đã hoàn thành",IF(COUNTIFS('Kế hoạch chèn link (mới)'!$D$3:$D$2213,$B119,'Kế hoạch chèn link (mới)'!$I$3:$I$2213,"Đã chèn")&gt;0,"Đang làm","Chưa hoàn thành"))</f>
        <v>Chưa hoàn thành</v>
      </c>
      <c r="E119" s="8" t="b">
        <f t="shared" si="2"/>
        <v>0</v>
      </c>
      <c r="F119" s="25"/>
      <c r="G119" s="25" t="str">
        <f>IFERROR(__xludf.DUMMYFUNCTION("IFERROR(INDEX(FILTER('Kế hoạch chèn link (mới)'!$C$3:$C$2213,'Kế hoạch chèn link (mới)'!$D$3:$D$2213=$B119),1),"""")"),"thuế VAT")</f>
        <v>thuế VAT</v>
      </c>
      <c r="H119" s="25" t="str">
        <f>IFERROR(__xludf.DUMMYFUNCTION("IFERROR(INDEX(FILTER('Kế hoạch chèn link (mới)'!$B$3:$B$2213,'Kế hoạch chèn link (mới)'!$D$3:$D$2213=$B119),1),"""")"),"https://techcombank.com/thong-tin/blog/thue-vat-la-gi")</f>
        <v>https://techcombank.com/thong-tin/blog/thue-vat-la-gi</v>
      </c>
      <c r="I119" s="25" t="str">
        <f>IFERROR(__xludf.DUMMYFUNCTION("IFERROR(INDEX(FILTER('Kế hoạch chèn link (mới)'!$C$3:$C$2213,'Kế hoạch chèn link (mới)'!$D$3:$D$2213=$B119),2),"""")"),"")</f>
        <v/>
      </c>
      <c r="J119" s="25" t="str">
        <f>IFERROR(__xludf.DUMMYFUNCTION("IFERROR(INDEX(FILTER('Kế hoạch chèn link (mới)'!$B$3:$B$2213,'Kế hoạch chèn link (mới)'!$D$3:$D$2213=$B119),2),"""")"),"")</f>
        <v/>
      </c>
      <c r="K119" s="25" t="str">
        <f>IFERROR(__xludf.DUMMYFUNCTION("IFERROR(INDEX(FILTER('Kế hoạch chèn link (mới)'!$C$3:$C$2213,'Kế hoạch chèn link (mới)'!$D$3:$D$2213=$B119),3),"""")"),"")</f>
        <v/>
      </c>
      <c r="L119" s="25" t="str">
        <f>IFERROR(__xludf.DUMMYFUNCTION("IFERROR(INDEX(FILTER('Kế hoạch chèn link (mới)'!$B$3:$B$2213,'Kế hoạch chèn link (mới)'!$D$3:$D$2213=$B119),3),"""")"),"")</f>
        <v/>
      </c>
      <c r="M119" s="25" t="str">
        <f>IFERROR(__xludf.DUMMYFUNCTION("IFERROR(INDEX(FILTER('Kế hoạch chèn link (mới)'!$C$3:$C$2213,'Kế hoạch chèn link (mới)'!$D$3:$D$2213=$B119),4),"""")"),"")</f>
        <v/>
      </c>
      <c r="N119" s="25" t="str">
        <f>IFERROR(__xludf.DUMMYFUNCTION("IFERROR(INDEX(FILTER('Kế hoạch chèn link (mới)'!$B$3:$B$2213,'Kế hoạch chèn link (mới)'!$D$3:$D$2213=$B119),4),"""")"),"")</f>
        <v/>
      </c>
      <c r="O119" s="25" t="str">
        <f>IFERROR(__xludf.DUMMYFUNCTION("IFERROR(INDEX(FILTER('Kế hoạch chèn link (mới)'!$C$3:$C$2213,'Kế hoạch chèn link (mới)'!$D$3:$D$2213=$B119),5),"""")"),"")</f>
        <v/>
      </c>
      <c r="P119" s="25" t="str">
        <f>IFERROR(__xludf.DUMMYFUNCTION("IFERROR(INDEX(FILTER('Kế hoạch chèn link (mới)'!$B$3:$B$2213,'Kế hoạch chèn link (mới)'!$D$3:$D$2213=$B119),5),"""")"),"")</f>
        <v/>
      </c>
    </row>
    <row r="120">
      <c r="A120" s="6">
        <f t="shared" si="1"/>
        <v>119</v>
      </c>
      <c r="B120" s="8" t="s">
        <v>2501</v>
      </c>
      <c r="C120" s="6">
        <f>COUNTIF('Kế hoạch chèn link (mới)'!$D$3:$D$2213,$B120)</f>
        <v>2</v>
      </c>
      <c r="D120" s="8" t="str">
        <f>IF(COUNTIFS('Kế hoạch chèn link (mới)'!$D$3:$D$2213,$B120,'Kế hoạch chèn link (mới)'!$I$3:$I$2213,"Đã chèn")&gt;=$C120,"Đã hoàn thành",IF(COUNTIFS('Kế hoạch chèn link (mới)'!$D$3:$D$2213,$B120,'Kế hoạch chèn link (mới)'!$I$3:$I$2213,"Đã chèn")&gt;0,"Đang làm","Chưa hoàn thành"))</f>
        <v>Chưa hoàn thành</v>
      </c>
      <c r="E120" s="8" t="b">
        <f t="shared" si="2"/>
        <v>0</v>
      </c>
      <c r="F120" s="25"/>
      <c r="G120" s="25" t="str">
        <f>IFERROR(__xludf.DUMMYFUNCTION("IFERROR(INDEX(FILTER('Kế hoạch chèn link (mới)'!$C$3:$C$2213,'Kế hoạch chèn link (mới)'!$D$3:$D$2213=$B120),1),"""")"),"tỷ giá Nhân dân tệ")</f>
        <v>tỷ giá Nhân dân tệ</v>
      </c>
      <c r="H120" s="25" t="str">
        <f>IFERROR(__xludf.DUMMYFUNCTION("IFERROR(INDEX(FILTER('Kế hoạch chèn link (mới)'!$B$3:$B$2213,'Kế hoạch chèn link (mới)'!$D$3:$D$2213=$B120),1),"""")"),"https://techcombank.com/thong-tin/blog/1-te-bang-bao-nhieu-tien-viet-nam")</f>
        <v>https://techcombank.com/thong-tin/blog/1-te-bang-bao-nhieu-tien-viet-nam</v>
      </c>
      <c r="I120" s="25" t="str">
        <f>IFERROR(__xludf.DUMMYFUNCTION("IFERROR(INDEX(FILTER('Kế hoạch chèn link (mới)'!$C$3:$C$2213,'Kế hoạch chèn link (mới)'!$D$3:$D$2213=$B120),2),"""")"),"lãi suất tiền gửi ngân hàng")</f>
        <v>lãi suất tiền gửi ngân hàng</v>
      </c>
      <c r="J120" s="25" t="str">
        <f>IFERROR(__xludf.DUMMYFUNCTION("IFERROR(INDEX(FILTER('Kế hoạch chèn link (mới)'!$B$3:$B$2213,'Kế hoạch chèn link (mới)'!$D$3:$D$2213=$B120),2),"""")"),"https://techcombank.com/thong-tin/blog/lai-suat-tiet-kiem")</f>
        <v>https://techcombank.com/thong-tin/blog/lai-suat-tiet-kiem</v>
      </c>
      <c r="K120" s="25" t="str">
        <f>IFERROR(__xludf.DUMMYFUNCTION("IFERROR(INDEX(FILTER('Kế hoạch chèn link (mới)'!$C$3:$C$2213,'Kế hoạch chèn link (mới)'!$D$3:$D$2213=$B120),3),"""")"),"")</f>
        <v/>
      </c>
      <c r="L120" s="25" t="str">
        <f>IFERROR(__xludf.DUMMYFUNCTION("IFERROR(INDEX(FILTER('Kế hoạch chèn link (mới)'!$B$3:$B$2213,'Kế hoạch chèn link (mới)'!$D$3:$D$2213=$B120),3),"""")"),"")</f>
        <v/>
      </c>
      <c r="M120" s="25" t="str">
        <f>IFERROR(__xludf.DUMMYFUNCTION("IFERROR(INDEX(FILTER('Kế hoạch chèn link (mới)'!$C$3:$C$2213,'Kế hoạch chèn link (mới)'!$D$3:$D$2213=$B120),4),"""")"),"")</f>
        <v/>
      </c>
      <c r="N120" s="25" t="str">
        <f>IFERROR(__xludf.DUMMYFUNCTION("IFERROR(INDEX(FILTER('Kế hoạch chèn link (mới)'!$B$3:$B$2213,'Kế hoạch chèn link (mới)'!$D$3:$D$2213=$B120),4),"""")"),"")</f>
        <v/>
      </c>
      <c r="O120" s="25" t="str">
        <f>IFERROR(__xludf.DUMMYFUNCTION("IFERROR(INDEX(FILTER('Kế hoạch chèn link (mới)'!$C$3:$C$2213,'Kế hoạch chèn link (mới)'!$D$3:$D$2213=$B120),5),"""")"),"")</f>
        <v/>
      </c>
      <c r="P120" s="25" t="str">
        <f>IFERROR(__xludf.DUMMYFUNCTION("IFERROR(INDEX(FILTER('Kế hoạch chèn link (mới)'!$B$3:$B$2213,'Kế hoạch chèn link (mới)'!$D$3:$D$2213=$B120),5),"""")"),"")</f>
        <v/>
      </c>
    </row>
    <row r="121">
      <c r="A121" s="6">
        <f t="shared" si="1"/>
        <v>120</v>
      </c>
      <c r="B121" s="8" t="s">
        <v>1021</v>
      </c>
      <c r="C121" s="6">
        <f>COUNTIF('Kế hoạch chèn link (mới)'!$D$3:$D$2213,$B121)</f>
        <v>3</v>
      </c>
      <c r="D121" s="8" t="str">
        <f>IF(COUNTIFS('Kế hoạch chèn link (mới)'!$D$3:$D$2213,$B121,'Kế hoạch chèn link (mới)'!$I$3:$I$2213,"Đã chèn")&gt;=$C121,"Đã hoàn thành",IF(COUNTIFS('Kế hoạch chèn link (mới)'!$D$3:$D$2213,$B121,'Kế hoạch chèn link (mới)'!$I$3:$I$2213,"Đã chèn")&gt;0,"Đang làm","Chưa hoàn thành"))</f>
        <v>Chưa hoàn thành</v>
      </c>
      <c r="E121" s="8" t="b">
        <f t="shared" si="2"/>
        <v>0</v>
      </c>
      <c r="F121" s="25"/>
      <c r="G121" s="25" t="str">
        <f>IFERROR(__xludf.DUMMYFUNCTION("IFERROR(INDEX(FILTER('Kế hoạch chèn link (mới)'!$C$3:$C$2213,'Kế hoạch chèn link (mới)'!$D$3:$D$2213=$B121),1),"""")"),"kiểm tra nợ thuế doanh nghiệp")</f>
        <v>kiểm tra nợ thuế doanh nghiệp</v>
      </c>
      <c r="H121" s="25" t="str">
        <f>IFERROR(__xludf.DUMMYFUNCTION("IFERROR(INDEX(FILTER('Kế hoạch chèn link (mới)'!$B$3:$B$2213,'Kế hoạch chèn link (mới)'!$D$3:$D$2213=$B121),1),"""")"),"https://techcombank.com/thong-tin/blog/tra-cuu-no-thue-doanh-nghiep")</f>
        <v>https://techcombank.com/thong-tin/blog/tra-cuu-no-thue-doanh-nghiep</v>
      </c>
      <c r="I121" s="25" t="str">
        <f>IFERROR(__xludf.DUMMYFUNCTION("IFERROR(INDEX(FILTER('Kế hoạch chèn link (mới)'!$C$3:$C$2213,'Kế hoạch chèn link (mới)'!$D$3:$D$2213=$B121),2),"""")"),"tra cứu thuế TNCN")</f>
        <v>tra cứu thuế TNCN</v>
      </c>
      <c r="J121" s="25" t="str">
        <f>IFERROR(__xludf.DUMMYFUNCTION("IFERROR(INDEX(FILTER('Kế hoạch chèn link (mới)'!$B$3:$B$2213,'Kế hoạch chèn link (mới)'!$D$3:$D$2213=$B121),2),"""")"),"https://techcombank.com/thong-tin/blog/kiem-tra-thue-thu-nhap-ca-nhan")</f>
        <v>https://techcombank.com/thong-tin/blog/kiem-tra-thue-thu-nhap-ca-nhan</v>
      </c>
      <c r="K121" s="25" t="str">
        <f>IFERROR(__xludf.DUMMYFUNCTION("IFERROR(INDEX(FILTER('Kế hoạch chèn link (mới)'!$C$3:$C$2213,'Kế hoạch chèn link (mới)'!$D$3:$D$2213=$B121),3),"""")"),"thuế hộ kinh doanh")</f>
        <v>thuế hộ kinh doanh</v>
      </c>
      <c r="L121" s="25" t="str">
        <f>IFERROR(__xludf.DUMMYFUNCTION("IFERROR(INDEX(FILTER('Kế hoạch chèn link (mới)'!$B$3:$B$2213,'Kế hoạch chèn link (mới)'!$D$3:$D$2213=$B121),3),"""")"),"https://techcombank.com/thong-tin/blog/ho-kinh-doanh-dong-thue-nhu-nao")</f>
        <v>https://techcombank.com/thong-tin/blog/ho-kinh-doanh-dong-thue-nhu-nao</v>
      </c>
      <c r="M121" s="25" t="str">
        <f>IFERROR(__xludf.DUMMYFUNCTION("IFERROR(INDEX(FILTER('Kế hoạch chèn link (mới)'!$C$3:$C$2213,'Kế hoạch chèn link (mới)'!$D$3:$D$2213=$B121),4),"""")"),"")</f>
        <v/>
      </c>
      <c r="N121" s="25" t="str">
        <f>IFERROR(__xludf.DUMMYFUNCTION("IFERROR(INDEX(FILTER('Kế hoạch chèn link (mới)'!$B$3:$B$2213,'Kế hoạch chèn link (mới)'!$D$3:$D$2213=$B121),4),"""")"),"")</f>
        <v/>
      </c>
      <c r="O121" s="25" t="str">
        <f>IFERROR(__xludf.DUMMYFUNCTION("IFERROR(INDEX(FILTER('Kế hoạch chèn link (mới)'!$C$3:$C$2213,'Kế hoạch chèn link (mới)'!$D$3:$D$2213=$B121),5),"""")"),"")</f>
        <v/>
      </c>
      <c r="P121" s="25" t="str">
        <f>IFERROR(__xludf.DUMMYFUNCTION("IFERROR(INDEX(FILTER('Kế hoạch chèn link (mới)'!$B$3:$B$2213,'Kế hoạch chèn link (mới)'!$D$3:$D$2213=$B121),5),"""")"),"")</f>
        <v/>
      </c>
    </row>
    <row r="122">
      <c r="A122" s="6">
        <f t="shared" si="1"/>
        <v>121</v>
      </c>
      <c r="B122" s="8" t="s">
        <v>2535</v>
      </c>
      <c r="C122" s="6">
        <f>COUNTIF('Kế hoạch chèn link (mới)'!$D$3:$D$2213,$B122)</f>
        <v>3</v>
      </c>
      <c r="D122" s="8" t="str">
        <f>IF(COUNTIFS('Kế hoạch chèn link (mới)'!$D$3:$D$2213,$B122,'Kế hoạch chèn link (mới)'!$I$3:$I$2213,"Đã chèn")&gt;=$C122,"Đã hoàn thành",IF(COUNTIFS('Kế hoạch chèn link (mới)'!$D$3:$D$2213,$B122,'Kế hoạch chèn link (mới)'!$I$3:$I$2213,"Đã chèn")&gt;0,"Đang làm","Chưa hoàn thành"))</f>
        <v>Chưa hoàn thành</v>
      </c>
      <c r="E122" s="8" t="b">
        <f t="shared" si="2"/>
        <v>0</v>
      </c>
      <c r="F122" s="25"/>
      <c r="G122" s="25" t="str">
        <f>IFERROR(__xludf.DUMMYFUNCTION("IFERROR(INDEX(FILTER('Kế hoạch chèn link (mới)'!$C$3:$C$2213,'Kế hoạch chèn link (mới)'!$D$3:$D$2213=$B122),1),"""")"),"cic là gì")</f>
        <v>cic là gì</v>
      </c>
      <c r="H122" s="25" t="str">
        <f>IFERROR(__xludf.DUMMYFUNCTION("IFERROR(INDEX(FILTER('Kế hoạch chèn link (mới)'!$B$3:$B$2213,'Kế hoạch chèn link (mới)'!$D$3:$D$2213=$B122),1),"""")"),"https://techcombank.com/thong-tin/blog/cic-la-gi")</f>
        <v>https://techcombank.com/thong-tin/blog/cic-la-gi</v>
      </c>
      <c r="I122" s="25" t="str">
        <f>IFERROR(__xludf.DUMMYFUNCTION("IFERROR(INDEX(FILTER('Kế hoạch chèn link (mới)'!$C$3:$C$2213,'Kế hoạch chèn link (mới)'!$D$3:$D$2213=$B122),2),"""")"),"vay thấu chi là gì")</f>
        <v>vay thấu chi là gì</v>
      </c>
      <c r="J122" s="25" t="str">
        <f>IFERROR(__xludf.DUMMYFUNCTION("IFERROR(INDEX(FILTER('Kế hoạch chèn link (mới)'!$B$3:$B$2213,'Kế hoạch chèn link (mới)'!$D$3:$D$2213=$B122),2),"""")"),"https://techcombank.com/thong-tin/blog/vay-thau-chi-la-gi")</f>
        <v>https://techcombank.com/thong-tin/blog/vay-thau-chi-la-gi</v>
      </c>
      <c r="K122" s="25" t="str">
        <f>IFERROR(__xludf.DUMMYFUNCTION("IFERROR(INDEX(FILTER('Kế hoạch chèn link (mới)'!$C$3:$C$2213,'Kế hoạch chèn link (mới)'!$D$3:$D$2213=$B122),3),"""")"),"kiểm tra nợ xấu")</f>
        <v>kiểm tra nợ xấu</v>
      </c>
      <c r="L122" s="25" t="str">
        <f>IFERROR(__xludf.DUMMYFUNCTION("IFERROR(INDEX(FILTER('Kế hoạch chèn link (mới)'!$B$3:$B$2213,'Kế hoạch chèn link (mới)'!$D$3:$D$2213=$B122),3),"""")"),"https://techcombank.com/thong-tin/blog/kiem-tra-no-xau")</f>
        <v>https://techcombank.com/thong-tin/blog/kiem-tra-no-xau</v>
      </c>
      <c r="M122" s="25" t="str">
        <f>IFERROR(__xludf.DUMMYFUNCTION("IFERROR(INDEX(FILTER('Kế hoạch chèn link (mới)'!$C$3:$C$2213,'Kế hoạch chèn link (mới)'!$D$3:$D$2213=$B122),4),"""")"),"")</f>
        <v/>
      </c>
      <c r="N122" s="25" t="str">
        <f>IFERROR(__xludf.DUMMYFUNCTION("IFERROR(INDEX(FILTER('Kế hoạch chèn link (mới)'!$B$3:$B$2213,'Kế hoạch chèn link (mới)'!$D$3:$D$2213=$B122),4),"""")"),"")</f>
        <v/>
      </c>
      <c r="O122" s="25" t="str">
        <f>IFERROR(__xludf.DUMMYFUNCTION("IFERROR(INDEX(FILTER('Kế hoạch chèn link (mới)'!$C$3:$C$2213,'Kế hoạch chèn link (mới)'!$D$3:$D$2213=$B122),5),"""")"),"")</f>
        <v/>
      </c>
      <c r="P122" s="25" t="str">
        <f>IFERROR(__xludf.DUMMYFUNCTION("IFERROR(INDEX(FILTER('Kế hoạch chèn link (mới)'!$B$3:$B$2213,'Kế hoạch chèn link (mới)'!$D$3:$D$2213=$B122),5),"""")"),"")</f>
        <v/>
      </c>
    </row>
    <row r="123">
      <c r="A123" s="6">
        <f t="shared" si="1"/>
        <v>122</v>
      </c>
      <c r="B123" s="8" t="s">
        <v>2047</v>
      </c>
      <c r="C123" s="6">
        <f>COUNTIF('Kế hoạch chèn link (mới)'!$D$3:$D$2213,$B123)</f>
        <v>3</v>
      </c>
      <c r="D123" s="8" t="str">
        <f>IF(COUNTIFS('Kế hoạch chèn link (mới)'!$D$3:$D$2213,$B123,'Kế hoạch chèn link (mới)'!$I$3:$I$2213,"Đã chèn")&gt;=$C123,"Đã hoàn thành",IF(COUNTIFS('Kế hoạch chèn link (mới)'!$D$3:$D$2213,$B123,'Kế hoạch chèn link (mới)'!$I$3:$I$2213,"Đã chèn")&gt;0,"Đang làm","Chưa hoàn thành"))</f>
        <v>Chưa hoàn thành</v>
      </c>
      <c r="E123" s="8" t="b">
        <f t="shared" si="2"/>
        <v>0</v>
      </c>
      <c r="F123" s="25"/>
      <c r="G123" s="25" t="str">
        <f>IFERROR(__xludf.DUMMYFUNCTION("IFERROR(INDEX(FILTER('Kế hoạch chèn link (mới)'!$C$3:$C$2213,'Kế hoạch chèn link (mới)'!$D$3:$D$2213=$B123),1),"""")"),"tiền chuyển khoản bị treo")</f>
        <v>tiền chuyển khoản bị treo</v>
      </c>
      <c r="H123" s="25" t="str">
        <f>IFERROR(__xludf.DUMMYFUNCTION("IFERROR(INDEX(FILTER('Kế hoạch chèn link (mới)'!$B$3:$B$2213,'Kế hoạch chèn link (mới)'!$D$3:$D$2213=$B123),1),"""")"),"https://techcombank.com/thong-tin/blog/chuyen-khoan-thanh-cong-nhung-khong-nhan-duoc-tien")</f>
        <v>https://techcombank.com/thong-tin/blog/chuyen-khoan-thanh-cong-nhung-khong-nhan-duoc-tien</v>
      </c>
      <c r="I123" s="25" t="str">
        <f>IFERROR(__xludf.DUMMYFUNCTION("IFERROR(INDEX(FILTER('Kế hoạch chèn link (mới)'!$C$3:$C$2213,'Kế hoạch chèn link (mới)'!$D$3:$D$2213=$B123),2),"""")"),"tính lãi suất tiết kiệm")</f>
        <v>tính lãi suất tiết kiệm</v>
      </c>
      <c r="J123" s="25" t="str">
        <f>IFERROR(__xludf.DUMMYFUNCTION("IFERROR(INDEX(FILTER('Kế hoạch chèn link (mới)'!$B$3:$B$2213,'Kế hoạch chèn link (mới)'!$D$3:$D$2213=$B123),2),"""")"),"https://techcombank.com/thong-tin/blog/cach-tinh-lai-suat-tien-gui-tiet-kiem")</f>
        <v>https://techcombank.com/thong-tin/blog/cach-tinh-lai-suat-tien-gui-tiet-kiem</v>
      </c>
      <c r="K123" s="25" t="str">
        <f>IFERROR(__xludf.DUMMYFUNCTION("IFERROR(INDEX(FILTER('Kế hoạch chèn link (mới)'!$C$3:$C$2213,'Kế hoạch chèn link (mới)'!$D$3:$D$2213=$B123),3),"""")"),"phương pháp đầu tư chứng chỉ quỹ")</f>
        <v>phương pháp đầu tư chứng chỉ quỹ</v>
      </c>
      <c r="L123" s="25" t="str">
        <f>IFERROR(__xludf.DUMMYFUNCTION("IFERROR(INDEX(FILTER('Kế hoạch chèn link (mới)'!$B$3:$B$2213,'Kế hoạch chèn link (mới)'!$D$3:$D$2213=$B123),3),"""")"),"https://techcombank.com/thong-tin/blog/phuong-phap-dau-tu-chung-chi-quy")</f>
        <v>https://techcombank.com/thong-tin/blog/phuong-phap-dau-tu-chung-chi-quy</v>
      </c>
      <c r="M123" s="25" t="str">
        <f>IFERROR(__xludf.DUMMYFUNCTION("IFERROR(INDEX(FILTER('Kế hoạch chèn link (mới)'!$C$3:$C$2213,'Kế hoạch chèn link (mới)'!$D$3:$D$2213=$B123),4),"""")"),"")</f>
        <v/>
      </c>
      <c r="N123" s="25" t="str">
        <f>IFERROR(__xludf.DUMMYFUNCTION("IFERROR(INDEX(FILTER('Kế hoạch chèn link (mới)'!$B$3:$B$2213,'Kế hoạch chèn link (mới)'!$D$3:$D$2213=$B123),4),"""")"),"")</f>
        <v/>
      </c>
      <c r="O123" s="25" t="str">
        <f>IFERROR(__xludf.DUMMYFUNCTION("IFERROR(INDEX(FILTER('Kế hoạch chèn link (mới)'!$C$3:$C$2213,'Kế hoạch chèn link (mới)'!$D$3:$D$2213=$B123),5),"""")"),"")</f>
        <v/>
      </c>
      <c r="P123" s="25" t="str">
        <f>IFERROR(__xludf.DUMMYFUNCTION("IFERROR(INDEX(FILTER('Kế hoạch chèn link (mới)'!$B$3:$B$2213,'Kế hoạch chèn link (mới)'!$D$3:$D$2213=$B123),5),"""")"),"")</f>
        <v/>
      </c>
    </row>
    <row r="124">
      <c r="A124" s="6">
        <f t="shared" si="1"/>
        <v>123</v>
      </c>
      <c r="B124" s="8" t="s">
        <v>2039</v>
      </c>
      <c r="C124" s="6">
        <f>COUNTIF('Kế hoạch chèn link (mới)'!$D$3:$D$2213,$B124)</f>
        <v>5</v>
      </c>
      <c r="D124" s="8" t="str">
        <f>IF(COUNTIFS('Kế hoạch chèn link (mới)'!$D$3:$D$2213,$B124,'Kế hoạch chèn link (mới)'!$I$3:$I$2213,"Đã chèn")&gt;=$C124,"Đã hoàn thành",IF(COUNTIFS('Kế hoạch chèn link (mới)'!$D$3:$D$2213,$B124,'Kế hoạch chèn link (mới)'!$I$3:$I$2213,"Đã chèn")&gt;0,"Đang làm","Chưa hoàn thành"))</f>
        <v>Chưa hoàn thành</v>
      </c>
      <c r="E124" s="8" t="b">
        <f t="shared" si="2"/>
        <v>0</v>
      </c>
      <c r="F124" s="25"/>
      <c r="G124" s="25" t="str">
        <f>IFERROR(__xludf.DUMMYFUNCTION("IFERROR(INDEX(FILTER('Kế hoạch chèn link (mới)'!$C$3:$C$2213,'Kế hoạch chèn link (mới)'!$D$3:$D$2213=$B124),1),"""")"),"tiền chuyển khoản bị treo")</f>
        <v>tiền chuyển khoản bị treo</v>
      </c>
      <c r="H124" s="25" t="str">
        <f>IFERROR(__xludf.DUMMYFUNCTION("IFERROR(INDEX(FILTER('Kế hoạch chèn link (mới)'!$B$3:$B$2213,'Kế hoạch chèn link (mới)'!$D$3:$D$2213=$B124),1),"""")"),"https://techcombank.com/thong-tin/blog/chuyen-khoan-thanh-cong-nhung-khong-nhan-duoc-tien")</f>
        <v>https://techcombank.com/thong-tin/blog/chuyen-khoan-thanh-cong-nhung-khong-nhan-duoc-tien</v>
      </c>
      <c r="I124" s="25" t="str">
        <f>IFERROR(__xludf.DUMMYFUNCTION("IFERROR(INDEX(FILTER('Kế hoạch chèn link (mới)'!$C$3:$C$2213,'Kế hoạch chèn link (mới)'!$D$3:$D$2213=$B124),2),"""")"),"lãi suất ngân hàng")</f>
        <v>lãi suất ngân hàng</v>
      </c>
      <c r="J124" s="25" t="str">
        <f>IFERROR(__xludf.DUMMYFUNCTION("IFERROR(INDEX(FILTER('Kế hoạch chèn link (mới)'!$B$3:$B$2213,'Kế hoạch chèn link (mới)'!$D$3:$D$2213=$B124),2),"""")"),"https://techcombank.com/thong-tin/blog/lai-suat-tiet-kiem")</f>
        <v>https://techcombank.com/thong-tin/blog/lai-suat-tiet-kiem</v>
      </c>
      <c r="K124" s="25" t="str">
        <f>IFERROR(__xludf.DUMMYFUNCTION("IFERROR(INDEX(FILTER('Kế hoạch chèn link (mới)'!$C$3:$C$2213,'Kế hoạch chèn link (mới)'!$D$3:$D$2213=$B124),3),"""")"),"tính lãi suất ngân hàng")</f>
        <v>tính lãi suất ngân hàng</v>
      </c>
      <c r="L124" s="25" t="str">
        <f>IFERROR(__xludf.DUMMYFUNCTION("IFERROR(INDEX(FILTER('Kế hoạch chèn link (mới)'!$B$3:$B$2213,'Kế hoạch chèn link (mới)'!$D$3:$D$2213=$B124),3),"""")"),"https://techcombank.com/thong-tin/blog/cach-tinh-lai-suat-tien-gui-tiet-kiem")</f>
        <v>https://techcombank.com/thong-tin/blog/cach-tinh-lai-suat-tien-gui-tiet-kiem</v>
      </c>
      <c r="M124" s="25" t="str">
        <f>IFERROR(__xludf.DUMMYFUNCTION("IFERROR(INDEX(FILTER('Kế hoạch chèn link (mới)'!$C$3:$C$2213,'Kế hoạch chèn link (mới)'!$D$3:$D$2213=$B124),4),"""")"),"tính lãi suất vay ngân hàng")</f>
        <v>tính lãi suất vay ngân hàng</v>
      </c>
      <c r="N124" s="25" t="str">
        <f>IFERROR(__xludf.DUMMYFUNCTION("IFERROR(INDEX(FILTER('Kế hoạch chèn link (mới)'!$B$3:$B$2213,'Kế hoạch chèn link (mới)'!$D$3:$D$2213=$B124),4),"""")"),"https://techcombank.com/cong-cu-tien-ich/cong-cu-tinh-toan/bang-tinh-lai-suat-vay")</f>
        <v>https://techcombank.com/cong-cu-tien-ich/cong-cu-tinh-toan/bang-tinh-lai-suat-vay</v>
      </c>
      <c r="O124" s="25" t="str">
        <f>IFERROR(__xludf.DUMMYFUNCTION("IFERROR(INDEX(FILTER('Kế hoạch chèn link (mới)'!$C$3:$C$2213,'Kế hoạch chèn link (mới)'!$D$3:$D$2213=$B124),5),"""")"),"lãi suất vay ngân hàng")</f>
        <v>lãi suất vay ngân hàng</v>
      </c>
      <c r="P124" s="25" t="str">
        <f>IFERROR(__xludf.DUMMYFUNCTION("IFERROR(INDEX(FILTER('Kế hoạch chèn link (mới)'!$B$3:$B$2213,'Kế hoạch chèn link (mới)'!$D$3:$D$2213=$B124),5),"""")"),"https://techcombank.com/thong-tin/blog/lai-suat-vay-ngan-hang")</f>
        <v>https://techcombank.com/thong-tin/blog/lai-suat-vay-ngan-hang</v>
      </c>
    </row>
    <row r="125">
      <c r="A125" s="6">
        <f t="shared" si="1"/>
        <v>124</v>
      </c>
      <c r="B125" s="8" t="s">
        <v>2600</v>
      </c>
      <c r="C125" s="6">
        <f>COUNTIF('Kế hoạch chèn link (mới)'!$D$3:$D$2213,$B125)</f>
        <v>1</v>
      </c>
      <c r="D125" s="8" t="str">
        <f>IF(COUNTIFS('Kế hoạch chèn link (mới)'!$D$3:$D$2213,$B125,'Kế hoạch chèn link (mới)'!$I$3:$I$2213,"Đã chèn")&gt;=$C125,"Đã hoàn thành",IF(COUNTIFS('Kế hoạch chèn link (mới)'!$D$3:$D$2213,$B125,'Kế hoạch chèn link (mới)'!$I$3:$I$2213,"Đã chèn")&gt;0,"Đang làm","Chưa hoàn thành"))</f>
        <v>Chưa hoàn thành</v>
      </c>
      <c r="E125" s="8" t="b">
        <f t="shared" si="2"/>
        <v>0</v>
      </c>
      <c r="F125" s="25"/>
      <c r="G125" s="25" t="str">
        <f>IFERROR(__xludf.DUMMYFUNCTION("IFERROR(INDEX(FILTER('Kế hoạch chèn link (mới)'!$C$3:$C$2213,'Kế hoạch chèn link (mới)'!$D$3:$D$2213=$B125),1),"""")"),"thẻ cashback")</f>
        <v>thẻ cashback</v>
      </c>
      <c r="H125" s="25" t="str">
        <f>IFERROR(__xludf.DUMMYFUNCTION("IFERROR(INDEX(FILTER('Kế hoạch chèn link (mới)'!$B$3:$B$2213,'Kế hoạch chèn link (mới)'!$D$3:$D$2213=$B125),1),"""")"),"https://techcombank.com/thong-tin/blog/the-tin-dung-hoan-tien")</f>
        <v>https://techcombank.com/thong-tin/blog/the-tin-dung-hoan-tien</v>
      </c>
      <c r="I125" s="25" t="str">
        <f>IFERROR(__xludf.DUMMYFUNCTION("IFERROR(INDEX(FILTER('Kế hoạch chèn link (mới)'!$C$3:$C$2213,'Kế hoạch chèn link (mới)'!$D$3:$D$2213=$B125),2),"""")"),"")</f>
        <v/>
      </c>
      <c r="J125" s="25" t="str">
        <f>IFERROR(__xludf.DUMMYFUNCTION("IFERROR(INDEX(FILTER('Kế hoạch chèn link (mới)'!$B$3:$B$2213,'Kế hoạch chèn link (mới)'!$D$3:$D$2213=$B125),2),"""")"),"")</f>
        <v/>
      </c>
      <c r="K125" s="25" t="str">
        <f>IFERROR(__xludf.DUMMYFUNCTION("IFERROR(INDEX(FILTER('Kế hoạch chèn link (mới)'!$C$3:$C$2213,'Kế hoạch chèn link (mới)'!$D$3:$D$2213=$B125),3),"""")"),"")</f>
        <v/>
      </c>
      <c r="L125" s="25" t="str">
        <f>IFERROR(__xludf.DUMMYFUNCTION("IFERROR(INDEX(FILTER('Kế hoạch chèn link (mới)'!$B$3:$B$2213,'Kế hoạch chèn link (mới)'!$D$3:$D$2213=$B125),3),"""")"),"")</f>
        <v/>
      </c>
      <c r="M125" s="25" t="str">
        <f>IFERROR(__xludf.DUMMYFUNCTION("IFERROR(INDEX(FILTER('Kế hoạch chèn link (mới)'!$C$3:$C$2213,'Kế hoạch chèn link (mới)'!$D$3:$D$2213=$B125),4),"""")"),"")</f>
        <v/>
      </c>
      <c r="N125" s="25" t="str">
        <f>IFERROR(__xludf.DUMMYFUNCTION("IFERROR(INDEX(FILTER('Kế hoạch chèn link (mới)'!$B$3:$B$2213,'Kế hoạch chèn link (mới)'!$D$3:$D$2213=$B125),4),"""")"),"")</f>
        <v/>
      </c>
      <c r="O125" s="25" t="str">
        <f>IFERROR(__xludf.DUMMYFUNCTION("IFERROR(INDEX(FILTER('Kế hoạch chèn link (mới)'!$C$3:$C$2213,'Kế hoạch chèn link (mới)'!$D$3:$D$2213=$B125),5),"""")"),"")</f>
        <v/>
      </c>
      <c r="P125" s="25" t="str">
        <f>IFERROR(__xludf.DUMMYFUNCTION("IFERROR(INDEX(FILTER('Kế hoạch chèn link (mới)'!$B$3:$B$2213,'Kế hoạch chèn link (mới)'!$D$3:$D$2213=$B125),5),"""")"),"")</f>
        <v/>
      </c>
    </row>
    <row r="126">
      <c r="A126" s="6">
        <f t="shared" si="1"/>
        <v>125</v>
      </c>
      <c r="B126" s="8" t="s">
        <v>2625</v>
      </c>
      <c r="C126" s="6">
        <f>COUNTIF('Kế hoạch chèn link (mới)'!$D$3:$D$2213,$B126)</f>
        <v>1</v>
      </c>
      <c r="D126" s="8" t="str">
        <f>IF(COUNTIFS('Kế hoạch chèn link (mới)'!$D$3:$D$2213,$B126,'Kế hoạch chèn link (mới)'!$I$3:$I$2213,"Đã chèn")&gt;=$C126,"Đã hoàn thành",IF(COUNTIFS('Kế hoạch chèn link (mới)'!$D$3:$D$2213,$B126,'Kế hoạch chèn link (mới)'!$I$3:$I$2213,"Đã chèn")&gt;0,"Đang làm","Chưa hoàn thành"))</f>
        <v>Chưa hoàn thành</v>
      </c>
      <c r="E126" s="8" t="b">
        <f t="shared" si="2"/>
        <v>0</v>
      </c>
      <c r="F126" s="25"/>
      <c r="G126" s="25" t="str">
        <f>IFERROR(__xludf.DUMMYFUNCTION("IFERROR(INDEX(FILTER('Kế hoạch chèn link (mới)'!$C$3:$C$2213,'Kế hoạch chèn link (mới)'!$D$3:$D$2213=$B126),1),"""")"),"rút tiền thẻ tín dụng")</f>
        <v>rút tiền thẻ tín dụng</v>
      </c>
      <c r="H126" s="25" t="str">
        <f>IFERROR(__xludf.DUMMYFUNCTION("IFERROR(INDEX(FILTER('Kế hoạch chèn link (mới)'!$B$3:$B$2213,'Kế hoạch chèn link (mới)'!$D$3:$D$2213=$B126),1),"""")"),"https://techcombank.com/thong-tin/blog/rut-tien-mat-tu-the-tin-dung")</f>
        <v>https://techcombank.com/thong-tin/blog/rut-tien-mat-tu-the-tin-dung</v>
      </c>
      <c r="I126" s="25" t="str">
        <f>IFERROR(__xludf.DUMMYFUNCTION("IFERROR(INDEX(FILTER('Kế hoạch chèn link (mới)'!$C$3:$C$2213,'Kế hoạch chèn link (mới)'!$D$3:$D$2213=$B126),2),"""")"),"")</f>
        <v/>
      </c>
      <c r="J126" s="25" t="str">
        <f>IFERROR(__xludf.DUMMYFUNCTION("IFERROR(INDEX(FILTER('Kế hoạch chèn link (mới)'!$B$3:$B$2213,'Kế hoạch chèn link (mới)'!$D$3:$D$2213=$B126),2),"""")"),"")</f>
        <v/>
      </c>
      <c r="K126" s="25" t="str">
        <f>IFERROR(__xludf.DUMMYFUNCTION("IFERROR(INDEX(FILTER('Kế hoạch chèn link (mới)'!$C$3:$C$2213,'Kế hoạch chèn link (mới)'!$D$3:$D$2213=$B126),3),"""")"),"")</f>
        <v/>
      </c>
      <c r="L126" s="25" t="str">
        <f>IFERROR(__xludf.DUMMYFUNCTION("IFERROR(INDEX(FILTER('Kế hoạch chèn link (mới)'!$B$3:$B$2213,'Kế hoạch chèn link (mới)'!$D$3:$D$2213=$B126),3),"""")"),"")</f>
        <v/>
      </c>
      <c r="M126" s="25" t="str">
        <f>IFERROR(__xludf.DUMMYFUNCTION("IFERROR(INDEX(FILTER('Kế hoạch chèn link (mới)'!$C$3:$C$2213,'Kế hoạch chèn link (mới)'!$D$3:$D$2213=$B126),4),"""")"),"")</f>
        <v/>
      </c>
      <c r="N126" s="25" t="str">
        <f>IFERROR(__xludf.DUMMYFUNCTION("IFERROR(INDEX(FILTER('Kế hoạch chèn link (mới)'!$B$3:$B$2213,'Kế hoạch chèn link (mới)'!$D$3:$D$2213=$B126),4),"""")"),"")</f>
        <v/>
      </c>
      <c r="O126" s="25" t="str">
        <f>IFERROR(__xludf.DUMMYFUNCTION("IFERROR(INDEX(FILTER('Kế hoạch chèn link (mới)'!$C$3:$C$2213,'Kế hoạch chèn link (mới)'!$D$3:$D$2213=$B126),5),"""")"),"")</f>
        <v/>
      </c>
      <c r="P126" s="25" t="str">
        <f>IFERROR(__xludf.DUMMYFUNCTION("IFERROR(INDEX(FILTER('Kế hoạch chèn link (mới)'!$B$3:$B$2213,'Kế hoạch chèn link (mới)'!$D$3:$D$2213=$B126),5),"""")"),"")</f>
        <v/>
      </c>
    </row>
    <row r="127">
      <c r="A127" s="6">
        <f t="shared" si="1"/>
        <v>126</v>
      </c>
      <c r="B127" s="8" t="s">
        <v>1633</v>
      </c>
      <c r="C127" s="6">
        <f>COUNTIF('Kế hoạch chèn link (mới)'!$D$3:$D$2213,$B127)</f>
        <v>5</v>
      </c>
      <c r="D127" s="8" t="str">
        <f>IF(COUNTIFS('Kế hoạch chèn link (mới)'!$D$3:$D$2213,$B127,'Kế hoạch chèn link (mới)'!$I$3:$I$2213,"Đã chèn")&gt;=$C127,"Đã hoàn thành",IF(COUNTIFS('Kế hoạch chèn link (mới)'!$D$3:$D$2213,$B127,'Kế hoạch chèn link (mới)'!$I$3:$I$2213,"Đã chèn")&gt;0,"Đang làm","Chưa hoàn thành"))</f>
        <v>Chưa hoàn thành</v>
      </c>
      <c r="E127" s="8" t="b">
        <f t="shared" si="2"/>
        <v>0</v>
      </c>
      <c r="F127" s="25"/>
      <c r="G127" s="25" t="str">
        <f>IFERROR(__xludf.DUMMYFUNCTION("IFERROR(INDEX(FILTER('Kế hoạch chèn link (mới)'!$C$3:$C$2213,'Kế hoạch chèn link (mới)'!$D$3:$D$2213=$B127),1),"""")"),"tra số tài khoản ngân hàng")</f>
        <v>tra số tài khoản ngân hàng</v>
      </c>
      <c r="H127" s="25" t="str">
        <f>IFERROR(__xludf.DUMMYFUNCTION("IFERROR(INDEX(FILTER('Kế hoạch chèn link (mới)'!$B$3:$B$2213,'Kế hoạch chèn link (mới)'!$D$3:$D$2213=$B127),1),"""")"),"https://techcombank.com/thong-tin/blog/cach-kiem-tra-tai-khoan-ngan-hang")</f>
        <v>https://techcombank.com/thong-tin/blog/cach-kiem-tra-tai-khoan-ngan-hang</v>
      </c>
      <c r="I127" s="25" t="str">
        <f>IFERROR(__xludf.DUMMYFUNCTION("IFERROR(INDEX(FILTER('Kế hoạch chèn link (mới)'!$C$3:$C$2213,'Kế hoạch chèn link (mới)'!$D$3:$D$2213=$B127),2),"""")"),"tiền chuyển khoản bị treo")</f>
        <v>tiền chuyển khoản bị treo</v>
      </c>
      <c r="J127" s="25" t="str">
        <f>IFERROR(__xludf.DUMMYFUNCTION("IFERROR(INDEX(FILTER('Kế hoạch chèn link (mới)'!$B$3:$B$2213,'Kế hoạch chèn link (mới)'!$D$3:$D$2213=$B127),2),"""")"),"https://techcombank.com/thong-tin/blog/chuyen-khoan-thanh-cong-nhung-khong-nhan-duoc-tien")</f>
        <v>https://techcombank.com/thong-tin/blog/chuyen-khoan-thanh-cong-nhung-khong-nhan-duoc-tien</v>
      </c>
      <c r="K127" s="25" t="str">
        <f>IFERROR(__xludf.DUMMYFUNCTION("IFERROR(INDEX(FILTER('Kế hoạch chèn link (mới)'!$C$3:$C$2213,'Kế hoạch chèn link (mới)'!$D$3:$D$2213=$B127),3),"""")"),"nộp tiền vào tài khoản")</f>
        <v>nộp tiền vào tài khoản</v>
      </c>
      <c r="L127" s="25" t="str">
        <f>IFERROR(__xludf.DUMMYFUNCTION("IFERROR(INDEX(FILTER('Kế hoạch chèn link (mới)'!$B$3:$B$2213,'Kế hoạch chèn link (mới)'!$D$3:$D$2213=$B127),3),"""")"),"https://techcombank.com/thong-tin/blog/nap-tien-vao-tai-khoan-ngan-hang")</f>
        <v>https://techcombank.com/thong-tin/blog/nap-tien-vao-tai-khoan-ngan-hang</v>
      </c>
      <c r="M127" s="25" t="str">
        <f>IFERROR(__xludf.DUMMYFUNCTION("IFERROR(INDEX(FILTER('Kế hoạch chèn link (mới)'!$C$3:$C$2213,'Kế hoạch chèn link (mới)'!$D$3:$D$2213=$B127),4),"""")"),"rút tiền không cần thẻ")</f>
        <v>rút tiền không cần thẻ</v>
      </c>
      <c r="N127" s="25" t="str">
        <f>IFERROR(__xludf.DUMMYFUNCTION("IFERROR(INDEX(FILTER('Kế hoạch chèn link (mới)'!$B$3:$B$2213,'Kế hoạch chèn link (mới)'!$D$3:$D$2213=$B127),4),"""")"),"https://techcombank.com/thong-tin/blog/rut-tien-bang-ma-qr-la-gi-cach-thuc-hien-nhu-the-nao")</f>
        <v>https://techcombank.com/thong-tin/blog/rut-tien-bang-ma-qr-la-gi-cach-thuc-hien-nhu-the-nao</v>
      </c>
      <c r="O127" s="25" t="str">
        <f>IFERROR(__xludf.DUMMYFUNCTION("IFERROR(INDEX(FILTER('Kế hoạch chèn link (mới)'!$C$3:$C$2213,'Kế hoạch chèn link (mới)'!$D$3:$D$2213=$B127),5),"""")"),"rút tiền thẻ tín dụng")</f>
        <v>rút tiền thẻ tín dụng</v>
      </c>
      <c r="P127" s="25" t="str">
        <f>IFERROR(__xludf.DUMMYFUNCTION("IFERROR(INDEX(FILTER('Kế hoạch chèn link (mới)'!$B$3:$B$2213,'Kế hoạch chèn link (mới)'!$D$3:$D$2213=$B127),5),"""")"),"https://techcombank.com/thong-tin/blog/rut-tien-mat-tu-the-tin-dung")</f>
        <v>https://techcombank.com/thong-tin/blog/rut-tien-mat-tu-the-tin-dung</v>
      </c>
    </row>
    <row r="128">
      <c r="A128" s="6">
        <f t="shared" si="1"/>
        <v>127</v>
      </c>
      <c r="B128" s="8" t="s">
        <v>880</v>
      </c>
      <c r="C128" s="6">
        <f>COUNTIF('Kế hoạch chèn link (mới)'!$D$3:$D$2213,$B128)</f>
        <v>4</v>
      </c>
      <c r="D128" s="8" t="str">
        <f>IF(COUNTIFS('Kế hoạch chèn link (mới)'!$D$3:$D$2213,$B128,'Kế hoạch chèn link (mới)'!$I$3:$I$2213,"Đã chèn")&gt;=$C128,"Đã hoàn thành",IF(COUNTIFS('Kế hoạch chèn link (mới)'!$D$3:$D$2213,$B128,'Kế hoạch chèn link (mới)'!$I$3:$I$2213,"Đã chèn")&gt;0,"Đang làm","Chưa hoàn thành"))</f>
        <v>Chưa hoàn thành</v>
      </c>
      <c r="E128" s="8" t="b">
        <f t="shared" si="2"/>
        <v>0</v>
      </c>
      <c r="F128" s="25"/>
      <c r="G128" s="25" t="str">
        <f>IFERROR(__xludf.DUMMYFUNCTION("IFERROR(INDEX(FILTER('Kế hoạch chèn link (mới)'!$C$3:$C$2213,'Kế hoạch chèn link (mới)'!$D$3:$D$2213=$B128),1),"""")"),"thuế thu nhập doanh nghiệp")</f>
        <v>thuế thu nhập doanh nghiệp</v>
      </c>
      <c r="H128" s="25" t="str">
        <f>IFERROR(__xludf.DUMMYFUNCTION("IFERROR(INDEX(FILTER('Kế hoạch chèn link (mới)'!$B$3:$B$2213,'Kế hoạch chèn link (mới)'!$D$3:$D$2213=$B128),1),"""")"),"https://techcombank.com/thong-tin/blog/thue-thu-nhap-doanh-nghiep")</f>
        <v>https://techcombank.com/thong-tin/blog/thue-thu-nhap-doanh-nghiep</v>
      </c>
      <c r="I128" s="25" t="str">
        <f>IFERROR(__xludf.DUMMYFUNCTION("IFERROR(INDEX(FILTER('Kế hoạch chèn link (mới)'!$C$3:$C$2213,'Kế hoạch chèn link (mới)'!$D$3:$D$2213=$B128),2),"""")"),"công ty sử dụng tài khoản cá nhân")</f>
        <v>công ty sử dụng tài khoản cá nhân</v>
      </c>
      <c r="J128" s="25" t="str">
        <f>IFERROR(__xludf.DUMMYFUNCTION("IFERROR(INDEX(FILTER('Kế hoạch chèn link (mới)'!$B$3:$B$2213,'Kế hoạch chèn link (mới)'!$D$3:$D$2213=$B128),2),"""")"),"https://techcombank.com/thong-tin/blog/cong-ty-su-dung-tai-khoan-ca-nhan")</f>
        <v>https://techcombank.com/thong-tin/blog/cong-ty-su-dung-tai-khoan-ca-nhan</v>
      </c>
      <c r="K128" s="25" t="str">
        <f>IFERROR(__xludf.DUMMYFUNCTION("IFERROR(INDEX(FILTER('Kế hoạch chèn link (mới)'!$C$3:$C$2213,'Kế hoạch chèn link (mới)'!$D$3:$D$2213=$B128),3),"""")"),"số tài khoản phát tài phát lộc")</f>
        <v>số tài khoản phát tài phát lộc</v>
      </c>
      <c r="L128" s="25" t="str">
        <f>IFERROR(__xludf.DUMMYFUNCTION("IFERROR(INDEX(FILTER('Kế hoạch chèn link (mới)'!$B$3:$B$2213,'Kế hoạch chèn link (mới)'!$D$3:$D$2213=$B128),3),"""")"),"https://techcombank.com/thong-tin/blog/day-so-phat-tai-phat-loc")</f>
        <v>https://techcombank.com/thong-tin/blog/day-so-phat-tai-phat-loc</v>
      </c>
      <c r="M128" s="25" t="str">
        <f>IFERROR(__xludf.DUMMYFUNCTION("IFERROR(INDEX(FILTER('Kế hoạch chèn link (mới)'!$C$3:$C$2213,'Kế hoạch chèn link (mới)'!$D$3:$D$2213=$B128),4),"""")"),"nhận tiền từ nước ngoài")</f>
        <v>nhận tiền từ nước ngoài</v>
      </c>
      <c r="N128" s="25" t="str">
        <f>IFERROR(__xludf.DUMMYFUNCTION("IFERROR(INDEX(FILTER('Kế hoạch chèn link (mới)'!$B$3:$B$2213,'Kế hoạch chèn link (mới)'!$D$3:$D$2213=$B128),4),"""")"),"https://techcombank.com/thong-tin/blog/cach-nhan-tien-tu-nuoc-ngoai-ve-viet-nam")</f>
        <v>https://techcombank.com/thong-tin/blog/cach-nhan-tien-tu-nuoc-ngoai-ve-viet-nam</v>
      </c>
      <c r="O128" s="25" t="str">
        <f>IFERROR(__xludf.DUMMYFUNCTION("IFERROR(INDEX(FILTER('Kế hoạch chèn link (mới)'!$C$3:$C$2213,'Kế hoạch chèn link (mới)'!$D$3:$D$2213=$B128),5),"""")"),"")</f>
        <v/>
      </c>
      <c r="P128" s="25" t="str">
        <f>IFERROR(__xludf.DUMMYFUNCTION("IFERROR(INDEX(FILTER('Kế hoạch chèn link (mới)'!$B$3:$B$2213,'Kế hoạch chèn link (mới)'!$D$3:$D$2213=$B128),5),"""")"),"")</f>
        <v/>
      </c>
    </row>
    <row r="129">
      <c r="A129" s="6">
        <f t="shared" si="1"/>
        <v>128</v>
      </c>
      <c r="B129" s="8" t="s">
        <v>1442</v>
      </c>
      <c r="C129" s="6">
        <f>COUNTIF('Kế hoạch chèn link (mới)'!$D$3:$D$2213,$B129)</f>
        <v>1</v>
      </c>
      <c r="D129" s="8" t="str">
        <f>IF(COUNTIFS('Kế hoạch chèn link (mới)'!$D$3:$D$2213,$B129,'Kế hoạch chèn link (mới)'!$I$3:$I$2213,"Đã chèn")&gt;=$C129,"Đã hoàn thành",IF(COUNTIFS('Kế hoạch chèn link (mới)'!$D$3:$D$2213,$B129,'Kế hoạch chèn link (mới)'!$I$3:$I$2213,"Đã chèn")&gt;0,"Đang làm","Chưa hoàn thành"))</f>
        <v>Chưa hoàn thành</v>
      </c>
      <c r="E129" s="8" t="b">
        <f t="shared" si="2"/>
        <v>0</v>
      </c>
      <c r="F129" s="25"/>
      <c r="G129" s="25" t="str">
        <f>IFERROR(__xludf.DUMMYFUNCTION("IFERROR(INDEX(FILTER('Kế hoạch chèn link (mới)'!$C$3:$C$2213,'Kế hoạch chèn link (mới)'!$D$3:$D$2213=$B129),1),"""")"),"giá điện sinh hoạt")</f>
        <v>giá điện sinh hoạt</v>
      </c>
      <c r="H129" s="25" t="str">
        <f>IFERROR(__xludf.DUMMYFUNCTION("IFERROR(INDEX(FILTER('Kế hoạch chèn link (mới)'!$B$3:$B$2213,'Kế hoạch chèn link (mới)'!$D$3:$D$2213=$B129),1),"""")"),"https://techcombank.com/thong-tin/blog/cach-tinh-tien-dien-sinh-hoat")</f>
        <v>https://techcombank.com/thong-tin/blog/cach-tinh-tien-dien-sinh-hoat</v>
      </c>
      <c r="I129" s="25" t="str">
        <f>IFERROR(__xludf.DUMMYFUNCTION("IFERROR(INDEX(FILTER('Kế hoạch chèn link (mới)'!$C$3:$C$2213,'Kế hoạch chèn link (mới)'!$D$3:$D$2213=$B129),2),"""")"),"")</f>
        <v/>
      </c>
      <c r="J129" s="25" t="str">
        <f>IFERROR(__xludf.DUMMYFUNCTION("IFERROR(INDEX(FILTER('Kế hoạch chèn link (mới)'!$B$3:$B$2213,'Kế hoạch chèn link (mới)'!$D$3:$D$2213=$B129),2),"""")"),"")</f>
        <v/>
      </c>
      <c r="K129" s="25" t="str">
        <f>IFERROR(__xludf.DUMMYFUNCTION("IFERROR(INDEX(FILTER('Kế hoạch chèn link (mới)'!$C$3:$C$2213,'Kế hoạch chèn link (mới)'!$D$3:$D$2213=$B129),3),"""")"),"")</f>
        <v/>
      </c>
      <c r="L129" s="25" t="str">
        <f>IFERROR(__xludf.DUMMYFUNCTION("IFERROR(INDEX(FILTER('Kế hoạch chèn link (mới)'!$B$3:$B$2213,'Kế hoạch chèn link (mới)'!$D$3:$D$2213=$B129),3),"""")"),"")</f>
        <v/>
      </c>
      <c r="M129" s="25" t="str">
        <f>IFERROR(__xludf.DUMMYFUNCTION("IFERROR(INDEX(FILTER('Kế hoạch chèn link (mới)'!$C$3:$C$2213,'Kế hoạch chèn link (mới)'!$D$3:$D$2213=$B129),4),"""")"),"")</f>
        <v/>
      </c>
      <c r="N129" s="25" t="str">
        <f>IFERROR(__xludf.DUMMYFUNCTION("IFERROR(INDEX(FILTER('Kế hoạch chèn link (mới)'!$B$3:$B$2213,'Kế hoạch chèn link (mới)'!$D$3:$D$2213=$B129),4),"""")"),"")</f>
        <v/>
      </c>
      <c r="O129" s="25" t="str">
        <f>IFERROR(__xludf.DUMMYFUNCTION("IFERROR(INDEX(FILTER('Kế hoạch chèn link (mới)'!$C$3:$C$2213,'Kế hoạch chèn link (mới)'!$D$3:$D$2213=$B129),5),"""")"),"")</f>
        <v/>
      </c>
      <c r="P129" s="25" t="str">
        <f>IFERROR(__xludf.DUMMYFUNCTION("IFERROR(INDEX(FILTER('Kế hoạch chèn link (mới)'!$B$3:$B$2213,'Kế hoạch chèn link (mới)'!$D$3:$D$2213=$B129),5),"""")"),"")</f>
        <v/>
      </c>
    </row>
    <row r="130">
      <c r="A130" s="6">
        <f t="shared" si="1"/>
        <v>129</v>
      </c>
      <c r="B130" s="8" t="s">
        <v>2724</v>
      </c>
      <c r="C130" s="6">
        <f>COUNTIF('Kế hoạch chèn link (mới)'!$D$3:$D$2213,$B130)</f>
        <v>2</v>
      </c>
      <c r="D130" s="8" t="str">
        <f>IF(COUNTIFS('Kế hoạch chèn link (mới)'!$D$3:$D$2213,$B130,'Kế hoạch chèn link (mới)'!$I$3:$I$2213,"Đã chèn")&gt;=$C130,"Đã hoàn thành",IF(COUNTIFS('Kế hoạch chèn link (mới)'!$D$3:$D$2213,$B130,'Kế hoạch chèn link (mới)'!$I$3:$I$2213,"Đã chèn")&gt;0,"Đang làm","Chưa hoàn thành"))</f>
        <v>Chưa hoàn thành</v>
      </c>
      <c r="E130" s="8" t="b">
        <f t="shared" si="2"/>
        <v>0</v>
      </c>
      <c r="F130" s="25"/>
      <c r="G130" s="25" t="str">
        <f>IFERROR(__xludf.DUMMYFUNCTION("IFERROR(INDEX(FILTER('Kế hoạch chèn link (mới)'!$C$3:$C$2213,'Kế hoạch chèn link (mới)'!$D$3:$D$2213=$B130),1),"""")"),"rủi ro khi gửi tiết kiệm online")</f>
        <v>rủi ro khi gửi tiết kiệm online</v>
      </c>
      <c r="H130" s="25" t="str">
        <f>IFERROR(__xludf.DUMMYFUNCTION("IFERROR(INDEX(FILTER('Kế hoạch chèn link (mới)'!$B$3:$B$2213,'Kế hoạch chèn link (mới)'!$D$3:$D$2213=$B130),1),"""")"),"https://techcombank.com/thong-tin/blog/rui-ro-khi-gui-tiet-kiem-online")</f>
        <v>https://techcombank.com/thong-tin/blog/rui-ro-khi-gui-tiet-kiem-online</v>
      </c>
      <c r="I130" s="25" t="str">
        <f>IFERROR(__xludf.DUMMYFUNCTION("IFERROR(INDEX(FILTER('Kế hoạch chèn link (mới)'!$C$3:$C$2213,'Kế hoạch chèn link (mới)'!$D$3:$D$2213=$B130),2),"""")"),"phương pháp đầu tư chứng chỉ quỹ")</f>
        <v>phương pháp đầu tư chứng chỉ quỹ</v>
      </c>
      <c r="J130" s="25" t="str">
        <f>IFERROR(__xludf.DUMMYFUNCTION("IFERROR(INDEX(FILTER('Kế hoạch chèn link (mới)'!$B$3:$B$2213,'Kế hoạch chèn link (mới)'!$D$3:$D$2213=$B130),2),"""")"),"https://techcombank.com/thong-tin/blog/phuong-phap-dau-tu-chung-chi-quy")</f>
        <v>https://techcombank.com/thong-tin/blog/phuong-phap-dau-tu-chung-chi-quy</v>
      </c>
      <c r="K130" s="25" t="str">
        <f>IFERROR(__xludf.DUMMYFUNCTION("IFERROR(INDEX(FILTER('Kế hoạch chèn link (mới)'!$C$3:$C$2213,'Kế hoạch chèn link (mới)'!$D$3:$D$2213=$B130),3),"""")"),"")</f>
        <v/>
      </c>
      <c r="L130" s="25" t="str">
        <f>IFERROR(__xludf.DUMMYFUNCTION("IFERROR(INDEX(FILTER('Kế hoạch chèn link (mới)'!$B$3:$B$2213,'Kế hoạch chèn link (mới)'!$D$3:$D$2213=$B130),3),"""")"),"")</f>
        <v/>
      </c>
      <c r="M130" s="25" t="str">
        <f>IFERROR(__xludf.DUMMYFUNCTION("IFERROR(INDEX(FILTER('Kế hoạch chèn link (mới)'!$C$3:$C$2213,'Kế hoạch chèn link (mới)'!$D$3:$D$2213=$B130),4),"""")"),"")</f>
        <v/>
      </c>
      <c r="N130" s="25" t="str">
        <f>IFERROR(__xludf.DUMMYFUNCTION("IFERROR(INDEX(FILTER('Kế hoạch chèn link (mới)'!$B$3:$B$2213,'Kế hoạch chèn link (mới)'!$D$3:$D$2213=$B130),4),"""")"),"")</f>
        <v/>
      </c>
      <c r="O130" s="25" t="str">
        <f>IFERROR(__xludf.DUMMYFUNCTION("IFERROR(INDEX(FILTER('Kế hoạch chèn link (mới)'!$C$3:$C$2213,'Kế hoạch chèn link (mới)'!$D$3:$D$2213=$B130),5),"""")"),"")</f>
        <v/>
      </c>
      <c r="P130" s="25" t="str">
        <f>IFERROR(__xludf.DUMMYFUNCTION("IFERROR(INDEX(FILTER('Kế hoạch chèn link (mới)'!$B$3:$B$2213,'Kế hoạch chèn link (mới)'!$D$3:$D$2213=$B130),5),"""")"),"")</f>
        <v/>
      </c>
    </row>
    <row r="131">
      <c r="A131" s="6">
        <f t="shared" si="1"/>
        <v>130</v>
      </c>
      <c r="B131" s="8" t="s">
        <v>1592</v>
      </c>
      <c r="C131" s="6">
        <f>COUNTIF('Kế hoạch chèn link (mới)'!$D$3:$D$2213,$B131)</f>
        <v>2</v>
      </c>
      <c r="D131" s="8" t="str">
        <f>IF(COUNTIFS('Kế hoạch chèn link (mới)'!$D$3:$D$2213,$B131,'Kế hoạch chèn link (mới)'!$I$3:$I$2213,"Đã chèn")&gt;=$C131,"Đã hoàn thành",IF(COUNTIFS('Kế hoạch chèn link (mới)'!$D$3:$D$2213,$B131,'Kế hoạch chèn link (mới)'!$I$3:$I$2213,"Đã chèn")&gt;0,"Đang làm","Chưa hoàn thành"))</f>
        <v>Chưa hoàn thành</v>
      </c>
      <c r="E131" s="8" t="b">
        <f t="shared" si="2"/>
        <v>0</v>
      </c>
      <c r="F131" s="25"/>
      <c r="G131" s="25" t="str">
        <f>IFERROR(__xludf.DUMMYFUNCTION("IFERROR(INDEX(FILTER('Kế hoạch chèn link (mới)'!$C$3:$C$2213,'Kế hoạch chèn link (mới)'!$D$3:$D$2213=$B131),1),"""")"),"thuế thu nhập cá nhân")</f>
        <v>thuế thu nhập cá nhân</v>
      </c>
      <c r="H131" s="25" t="str">
        <f>IFERROR(__xludf.DUMMYFUNCTION("IFERROR(INDEX(FILTER('Kế hoạch chèn link (mới)'!$B$3:$B$2213,'Kế hoạch chèn link (mới)'!$D$3:$D$2213=$B131),1),"""")"),"https://techcombank.com/thong-tin/blog/cach-tinh-thue-thu-nhap-ca-nhan-2025")</f>
        <v>https://techcombank.com/thong-tin/blog/cach-tinh-thue-thu-nhap-ca-nhan-2025</v>
      </c>
      <c r="I131" s="25" t="str">
        <f>IFERROR(__xludf.DUMMYFUNCTION("IFERROR(INDEX(FILTER('Kế hoạch chèn link (mới)'!$C$3:$C$2213,'Kế hoạch chèn link (mới)'!$D$3:$D$2213=$B131),2),"""")"),"cách tiết kiệm tiền")</f>
        <v>cách tiết kiệm tiền</v>
      </c>
      <c r="J131" s="25" t="str">
        <f>IFERROR(__xludf.DUMMYFUNCTION("IFERROR(INDEX(FILTER('Kế hoạch chèn link (mới)'!$B$3:$B$2213,'Kế hoạch chèn link (mới)'!$D$3:$D$2213=$B131),2),"""")"),"https://techcombank.com/thong-tin/blog/cach-tiet-kiem-tien")</f>
        <v>https://techcombank.com/thong-tin/blog/cach-tiet-kiem-tien</v>
      </c>
      <c r="K131" s="25" t="str">
        <f>IFERROR(__xludf.DUMMYFUNCTION("IFERROR(INDEX(FILTER('Kế hoạch chèn link (mới)'!$C$3:$C$2213,'Kế hoạch chèn link (mới)'!$D$3:$D$2213=$B131),3),"""")"),"")</f>
        <v/>
      </c>
      <c r="L131" s="25" t="str">
        <f>IFERROR(__xludf.DUMMYFUNCTION("IFERROR(INDEX(FILTER('Kế hoạch chèn link (mới)'!$B$3:$B$2213,'Kế hoạch chèn link (mới)'!$D$3:$D$2213=$B131),3),"""")"),"")</f>
        <v/>
      </c>
      <c r="M131" s="25" t="str">
        <f>IFERROR(__xludf.DUMMYFUNCTION("IFERROR(INDEX(FILTER('Kế hoạch chèn link (mới)'!$C$3:$C$2213,'Kế hoạch chèn link (mới)'!$D$3:$D$2213=$B131),4),"""")"),"")</f>
        <v/>
      </c>
      <c r="N131" s="25" t="str">
        <f>IFERROR(__xludf.DUMMYFUNCTION("IFERROR(INDEX(FILTER('Kế hoạch chèn link (mới)'!$B$3:$B$2213,'Kế hoạch chèn link (mới)'!$D$3:$D$2213=$B131),4),"""")"),"")</f>
        <v/>
      </c>
      <c r="O131" s="25" t="str">
        <f>IFERROR(__xludf.DUMMYFUNCTION("IFERROR(INDEX(FILTER('Kế hoạch chèn link (mới)'!$C$3:$C$2213,'Kế hoạch chèn link (mới)'!$D$3:$D$2213=$B131),5),"""")"),"")</f>
        <v/>
      </c>
      <c r="P131" s="25" t="str">
        <f>IFERROR(__xludf.DUMMYFUNCTION("IFERROR(INDEX(FILTER('Kế hoạch chèn link (mới)'!$B$3:$B$2213,'Kế hoạch chèn link (mới)'!$D$3:$D$2213=$B131),5),"""")"),"")</f>
        <v/>
      </c>
    </row>
    <row r="132">
      <c r="A132" s="6">
        <f t="shared" si="1"/>
        <v>131</v>
      </c>
      <c r="B132" s="8" t="s">
        <v>901</v>
      </c>
      <c r="C132" s="6">
        <f>COUNTIF('Kế hoạch chèn link (mới)'!$D$3:$D$2213,$B132)</f>
        <v>4</v>
      </c>
      <c r="D132" s="8" t="str">
        <f>IF(COUNTIFS('Kế hoạch chèn link (mới)'!$D$3:$D$2213,$B132,'Kế hoạch chèn link (mới)'!$I$3:$I$2213,"Đã chèn")&gt;=$C132,"Đã hoàn thành",IF(COUNTIFS('Kế hoạch chèn link (mới)'!$D$3:$D$2213,$B132,'Kế hoạch chèn link (mới)'!$I$3:$I$2213,"Đã chèn")&gt;0,"Đang làm","Chưa hoàn thành"))</f>
        <v>Chưa hoàn thành</v>
      </c>
      <c r="E132" s="8" t="b">
        <f t="shared" si="2"/>
        <v>0</v>
      </c>
      <c r="F132" s="25"/>
      <c r="G132" s="25" t="str">
        <f>IFERROR(__xludf.DUMMYFUNCTION("IFERROR(INDEX(FILTER('Kế hoạch chèn link (mới)'!$C$3:$C$2213,'Kế hoạch chèn link (mới)'!$D$3:$D$2213=$B132),1),"""")"),"thuế thu nhập doanh nghiệp 2026")</f>
        <v>thuế thu nhập doanh nghiệp 2026</v>
      </c>
      <c r="H132" s="25" t="str">
        <f>IFERROR(__xludf.DUMMYFUNCTION("IFERROR(INDEX(FILTER('Kế hoạch chèn link (mới)'!$B$3:$B$2213,'Kế hoạch chèn link (mới)'!$D$3:$D$2213=$B132),1),"""")"),"https://techcombank.com/thong-tin/blog/thue-thu-nhap-doanh-nghiep")</f>
        <v>https://techcombank.com/thong-tin/blog/thue-thu-nhap-doanh-nghiep</v>
      </c>
      <c r="I132" s="25" t="str">
        <f>IFERROR(__xludf.DUMMYFUNCTION("IFERROR(INDEX(FILTER('Kế hoạch chèn link (mới)'!$C$3:$C$2213,'Kế hoạch chèn link (mới)'!$D$3:$D$2213=$B132),2),"""")"),"thuế doanh nghiệp")</f>
        <v>thuế doanh nghiệp</v>
      </c>
      <c r="J132" s="25" t="str">
        <f>IFERROR(__xludf.DUMMYFUNCTION("IFERROR(INDEX(FILTER('Kế hoạch chèn link (mới)'!$B$3:$B$2213,'Kế hoạch chèn link (mới)'!$D$3:$D$2213=$B132),2),"""")"),"https://techcombank.com/thong-tin/blog/thue-doanh-nghiep")</f>
        <v>https://techcombank.com/thong-tin/blog/thue-doanh-nghiep</v>
      </c>
      <c r="K132" s="25" t="str">
        <f>IFERROR(__xludf.DUMMYFUNCTION("IFERROR(INDEX(FILTER('Kế hoạch chèn link (mới)'!$C$3:$C$2213,'Kế hoạch chèn link (mới)'!$D$3:$D$2213=$B132),3),"""")"),"hộ kinh doanh đóng thuế như thế nào")</f>
        <v>hộ kinh doanh đóng thuế như thế nào</v>
      </c>
      <c r="L132" s="25" t="str">
        <f>IFERROR(__xludf.DUMMYFUNCTION("IFERROR(INDEX(FILTER('Kế hoạch chèn link (mới)'!$B$3:$B$2213,'Kế hoạch chèn link (mới)'!$D$3:$D$2213=$B132),3),"""")"),"https://techcombank.com/thong-tin/blog/ho-kinh-doanh-dong-thue-nhu-nao")</f>
        <v>https://techcombank.com/thong-tin/blog/ho-kinh-doanh-dong-thue-nhu-nao</v>
      </c>
      <c r="M132" s="25" t="str">
        <f>IFERROR(__xludf.DUMMYFUNCTION("IFERROR(INDEX(FILTER('Kế hoạch chèn link (mới)'!$C$3:$C$2213,'Kế hoạch chèn link (mới)'!$D$3:$D$2213=$B132),4),"""")"),"cách tính thuế hộ kinh doanh")</f>
        <v>cách tính thuế hộ kinh doanh</v>
      </c>
      <c r="N132" s="25" t="str">
        <f>IFERROR(__xludf.DUMMYFUNCTION("IFERROR(INDEX(FILTER('Kế hoạch chèn link (mới)'!$B$3:$B$2213,'Kế hoạch chèn link (mới)'!$D$3:$D$2213=$B132),4),"""")"),"https://techcombank.com/thong-tin/blog/cach-tinh-thue-ho-kinh-doanh-nho-le")</f>
        <v>https://techcombank.com/thong-tin/blog/cach-tinh-thue-ho-kinh-doanh-nho-le</v>
      </c>
      <c r="O132" s="25" t="str">
        <f>IFERROR(__xludf.DUMMYFUNCTION("IFERROR(INDEX(FILTER('Kế hoạch chèn link (mới)'!$C$3:$C$2213,'Kế hoạch chèn link (mới)'!$D$3:$D$2213=$B132),5),"""")"),"")</f>
        <v/>
      </c>
      <c r="P132" s="25" t="str">
        <f>IFERROR(__xludf.DUMMYFUNCTION("IFERROR(INDEX(FILTER('Kế hoạch chèn link (mới)'!$B$3:$B$2213,'Kế hoạch chèn link (mới)'!$D$3:$D$2213=$B132),5),"""")"),"")</f>
        <v/>
      </c>
    </row>
    <row r="133">
      <c r="A133" s="6">
        <f t="shared" si="1"/>
        <v>132</v>
      </c>
      <c r="B133" s="8" t="s">
        <v>2748</v>
      </c>
      <c r="C133" s="6">
        <f>COUNTIF('Kế hoạch chèn link (mới)'!$D$3:$D$2213,$B133)</f>
        <v>3</v>
      </c>
      <c r="D133" s="8" t="str">
        <f>IF(COUNTIFS('Kế hoạch chèn link (mới)'!$D$3:$D$2213,$B133,'Kế hoạch chèn link (mới)'!$I$3:$I$2213,"Đã chèn")&gt;=$C133,"Đã hoàn thành",IF(COUNTIFS('Kế hoạch chèn link (mới)'!$D$3:$D$2213,$B133,'Kế hoạch chèn link (mới)'!$I$3:$I$2213,"Đã chèn")&gt;0,"Đang làm","Chưa hoàn thành"))</f>
        <v>Chưa hoàn thành</v>
      </c>
      <c r="E133" s="8" t="b">
        <f t="shared" si="2"/>
        <v>0</v>
      </c>
      <c r="F133" s="25"/>
      <c r="G133" s="25" t="str">
        <f>IFERROR(__xludf.DUMMYFUNCTION("IFERROR(INDEX(FILTER('Kế hoạch chèn link (mới)'!$C$3:$C$2213,'Kế hoạch chèn link (mới)'!$D$3:$D$2213=$B133),1),"""")"),"xếp hạng tín dụng")</f>
        <v>xếp hạng tín dụng</v>
      </c>
      <c r="H133" s="25" t="str">
        <f>IFERROR(__xludf.DUMMYFUNCTION("IFERROR(INDEX(FILTER('Kế hoạch chèn link (mới)'!$B$3:$B$2213,'Kế hoạch chèn link (mới)'!$D$3:$D$2213=$B133),1),"""")"),"https://techcombank.com/thong-tin/blog/xep-hang-tin-dung")</f>
        <v>https://techcombank.com/thong-tin/blog/xep-hang-tin-dung</v>
      </c>
      <c r="I133" s="25" t="str">
        <f>IFERROR(__xludf.DUMMYFUNCTION("IFERROR(INDEX(FILTER('Kế hoạch chèn link (mới)'!$C$3:$C$2213,'Kế hoạch chèn link (mới)'!$D$3:$D$2213=$B133),2),"""")"),"tính lãi vay ngân hàng")</f>
        <v>tính lãi vay ngân hàng</v>
      </c>
      <c r="J133" s="25" t="str">
        <f>IFERROR(__xludf.DUMMYFUNCTION("IFERROR(INDEX(FILTER('Kế hoạch chèn link (mới)'!$B$3:$B$2213,'Kế hoạch chèn link (mới)'!$D$3:$D$2213=$B133),2),"""")"),"https://techcombank.com/cong-cu-tien-ich/cong-cu-tinh-toan/bang-tinh-lai-suat-vay")</f>
        <v>https://techcombank.com/cong-cu-tien-ich/cong-cu-tinh-toan/bang-tinh-lai-suat-vay</v>
      </c>
      <c r="K133" s="25" t="str">
        <f>IFERROR(__xludf.DUMMYFUNCTION("IFERROR(INDEX(FILTER('Kế hoạch chèn link (mới)'!$C$3:$C$2213,'Kế hoạch chèn link (mới)'!$D$3:$D$2213=$B133),3),"""")"),"lãi vay ngân hàng hiện nay")</f>
        <v>lãi vay ngân hàng hiện nay</v>
      </c>
      <c r="L133" s="25" t="str">
        <f>IFERROR(__xludf.DUMMYFUNCTION("IFERROR(INDEX(FILTER('Kế hoạch chèn link (mới)'!$B$3:$B$2213,'Kế hoạch chèn link (mới)'!$D$3:$D$2213=$B133),3),"""")"),"https://techcombank.com/thong-tin/blog/lai-suat-vay-ngan-hang")</f>
        <v>https://techcombank.com/thong-tin/blog/lai-suat-vay-ngan-hang</v>
      </c>
      <c r="M133" s="25" t="str">
        <f>IFERROR(__xludf.DUMMYFUNCTION("IFERROR(INDEX(FILTER('Kế hoạch chèn link (mới)'!$C$3:$C$2213,'Kế hoạch chèn link (mới)'!$D$3:$D$2213=$B133),4),"""")"),"")</f>
        <v/>
      </c>
      <c r="N133" s="25" t="str">
        <f>IFERROR(__xludf.DUMMYFUNCTION("IFERROR(INDEX(FILTER('Kế hoạch chèn link (mới)'!$B$3:$B$2213,'Kế hoạch chèn link (mới)'!$D$3:$D$2213=$B133),4),"""")"),"")</f>
        <v/>
      </c>
      <c r="O133" s="25" t="str">
        <f>IFERROR(__xludf.DUMMYFUNCTION("IFERROR(INDEX(FILTER('Kế hoạch chèn link (mới)'!$C$3:$C$2213,'Kế hoạch chèn link (mới)'!$D$3:$D$2213=$B133),5),"""")"),"")</f>
        <v/>
      </c>
      <c r="P133" s="25" t="str">
        <f>IFERROR(__xludf.DUMMYFUNCTION("IFERROR(INDEX(FILTER('Kế hoạch chèn link (mới)'!$B$3:$B$2213,'Kế hoạch chèn link (mới)'!$D$3:$D$2213=$B133),5),"""")"),"")</f>
        <v/>
      </c>
    </row>
    <row r="134">
      <c r="A134" s="6">
        <f t="shared" si="1"/>
        <v>133</v>
      </c>
      <c r="B134" s="8" t="s">
        <v>2749</v>
      </c>
      <c r="C134" s="6">
        <f>COUNTIF('Kế hoạch chèn link (mới)'!$D$3:$D$2213,$B134)</f>
        <v>3</v>
      </c>
      <c r="D134" s="8" t="str">
        <f>IF(COUNTIFS('Kế hoạch chèn link (mới)'!$D$3:$D$2213,$B134,'Kế hoạch chèn link (mới)'!$I$3:$I$2213,"Đã chèn")&gt;=$C134,"Đã hoàn thành",IF(COUNTIFS('Kế hoạch chèn link (mới)'!$D$3:$D$2213,$B134,'Kế hoạch chèn link (mới)'!$I$3:$I$2213,"Đã chèn")&gt;0,"Đang làm","Chưa hoàn thành"))</f>
        <v>Chưa hoàn thành</v>
      </c>
      <c r="E134" s="8" t="b">
        <f t="shared" si="2"/>
        <v>0</v>
      </c>
      <c r="F134" s="25"/>
      <c r="G134" s="25" t="str">
        <f>IFERROR(__xludf.DUMMYFUNCTION("IFERROR(INDEX(FILTER('Kế hoạch chèn link (mới)'!$C$3:$C$2213,'Kế hoạch chèn link (mới)'!$D$3:$D$2213=$B134),1),"""")"),"tính lãi suất vay ngân hàng")</f>
        <v>tính lãi suất vay ngân hàng</v>
      </c>
      <c r="H134" s="25" t="str">
        <f>IFERROR(__xludf.DUMMYFUNCTION("IFERROR(INDEX(FILTER('Kế hoạch chèn link (mới)'!$B$3:$B$2213,'Kế hoạch chèn link (mới)'!$D$3:$D$2213=$B134),1),"""")"),"https://techcombank.com/cong-cu-tien-ich/cong-cu-tinh-toan/bang-tinh-lai-suat-vay")</f>
        <v>https://techcombank.com/cong-cu-tien-ich/cong-cu-tinh-toan/bang-tinh-lai-suat-vay</v>
      </c>
      <c r="I134" s="25" t="str">
        <f>IFERROR(__xludf.DUMMYFUNCTION("IFERROR(INDEX(FILTER('Kế hoạch chèn link (mới)'!$C$3:$C$2213,'Kế hoạch chèn link (mới)'!$D$3:$D$2213=$B134),2),"""")"),"vay nhanh")</f>
        <v>vay nhanh</v>
      </c>
      <c r="J134" s="25" t="str">
        <f>IFERROR(__xludf.DUMMYFUNCTION("IFERROR(INDEX(FILTER('Kế hoạch chèn link (mới)'!$B$3:$B$2213,'Kế hoạch chèn link (mới)'!$D$3:$D$2213=$B134),2),"""")"),"https://techcombank.com/thong-tin/blog/app-vay-tien-nhanh")</f>
        <v>https://techcombank.com/thong-tin/blog/app-vay-tien-nhanh</v>
      </c>
      <c r="K134" s="25" t="str">
        <f>IFERROR(__xludf.DUMMYFUNCTION("IFERROR(INDEX(FILTER('Kế hoạch chèn link (mới)'!$C$3:$C$2213,'Kế hoạch chèn link (mới)'!$D$3:$D$2213=$B134),3),"""")"),"lãi suất cho vay ngân hàng")</f>
        <v>lãi suất cho vay ngân hàng</v>
      </c>
      <c r="L134" s="25" t="str">
        <f>IFERROR(__xludf.DUMMYFUNCTION("IFERROR(INDEX(FILTER('Kế hoạch chèn link (mới)'!$B$3:$B$2213,'Kế hoạch chèn link (mới)'!$D$3:$D$2213=$B134),3),"""")"),"https://techcombank.com/thong-tin/blog/lai-suat-vay-ngan-hang")</f>
        <v>https://techcombank.com/thong-tin/blog/lai-suat-vay-ngan-hang</v>
      </c>
      <c r="M134" s="25" t="str">
        <f>IFERROR(__xludf.DUMMYFUNCTION("IFERROR(INDEX(FILTER('Kế hoạch chèn link (mới)'!$C$3:$C$2213,'Kế hoạch chèn link (mới)'!$D$3:$D$2213=$B134),4),"""")"),"")</f>
        <v/>
      </c>
      <c r="N134" s="25" t="str">
        <f>IFERROR(__xludf.DUMMYFUNCTION("IFERROR(INDEX(FILTER('Kế hoạch chèn link (mới)'!$B$3:$B$2213,'Kế hoạch chèn link (mới)'!$D$3:$D$2213=$B134),4),"""")"),"")</f>
        <v/>
      </c>
      <c r="O134" s="25" t="str">
        <f>IFERROR(__xludf.DUMMYFUNCTION("IFERROR(INDEX(FILTER('Kế hoạch chèn link (mới)'!$C$3:$C$2213,'Kế hoạch chèn link (mới)'!$D$3:$D$2213=$B134),5),"""")"),"")</f>
        <v/>
      </c>
      <c r="P134" s="25" t="str">
        <f>IFERROR(__xludf.DUMMYFUNCTION("IFERROR(INDEX(FILTER('Kế hoạch chèn link (mới)'!$B$3:$B$2213,'Kế hoạch chèn link (mới)'!$D$3:$D$2213=$B134),5),"""")"),"")</f>
        <v/>
      </c>
    </row>
    <row r="135">
      <c r="A135" s="6">
        <f t="shared" si="1"/>
        <v>134</v>
      </c>
      <c r="B135" s="8" t="s">
        <v>2750</v>
      </c>
      <c r="C135" s="6">
        <f>COUNTIF('Kế hoạch chèn link (mới)'!$D$3:$D$2213,$B135)</f>
        <v>3</v>
      </c>
      <c r="D135" s="8" t="str">
        <f>IF(COUNTIFS('Kế hoạch chèn link (mới)'!$D$3:$D$2213,$B135,'Kế hoạch chèn link (mới)'!$I$3:$I$2213,"Đã chèn")&gt;=$C135,"Đã hoàn thành",IF(COUNTIFS('Kế hoạch chèn link (mới)'!$D$3:$D$2213,$B135,'Kế hoạch chèn link (mới)'!$I$3:$I$2213,"Đã chèn")&gt;0,"Đang làm","Chưa hoàn thành"))</f>
        <v>Chưa hoàn thành</v>
      </c>
      <c r="E135" s="8" t="b">
        <f t="shared" si="2"/>
        <v>0</v>
      </c>
      <c r="F135" s="25"/>
      <c r="G135" s="25" t="str">
        <f>IFERROR(__xludf.DUMMYFUNCTION("IFERROR(INDEX(FILTER('Kế hoạch chèn link (mới)'!$C$3:$C$2213,'Kế hoạch chèn link (mới)'!$D$3:$D$2213=$B135),1),"""")"),"tính lãi suất vay ngân hàng")</f>
        <v>tính lãi suất vay ngân hàng</v>
      </c>
      <c r="H135" s="25" t="str">
        <f>IFERROR(__xludf.DUMMYFUNCTION("IFERROR(INDEX(FILTER('Kế hoạch chèn link (mới)'!$B$3:$B$2213,'Kế hoạch chèn link (mới)'!$D$3:$D$2213=$B135),1),"""")"),"https://techcombank.com/cong-cu-tien-ich/cong-cu-tinh-toan/bang-tinh-lai-suat-vay")</f>
        <v>https://techcombank.com/cong-cu-tien-ich/cong-cu-tinh-toan/bang-tinh-lai-suat-vay</v>
      </c>
      <c r="I135" s="25" t="str">
        <f>IFERROR(__xludf.DUMMYFUNCTION("IFERROR(INDEX(FILTER('Kế hoạch chèn link (mới)'!$C$3:$C$2213,'Kế hoạch chèn link (mới)'!$D$3:$D$2213=$B135),2),"""")"),"vay tiền")</f>
        <v>vay tiền</v>
      </c>
      <c r="J135" s="25" t="str">
        <f>IFERROR(__xludf.DUMMYFUNCTION("IFERROR(INDEX(FILTER('Kế hoạch chèn link (mới)'!$B$3:$B$2213,'Kế hoạch chèn link (mới)'!$D$3:$D$2213=$B135),2),"""")"),"https://techcombank.com/thong-tin/blog/app-vay-tien-nhanh")</f>
        <v>https://techcombank.com/thong-tin/blog/app-vay-tien-nhanh</v>
      </c>
      <c r="K135" s="25" t="str">
        <f>IFERROR(__xludf.DUMMYFUNCTION("IFERROR(INDEX(FILTER('Kế hoạch chèn link (mới)'!$C$3:$C$2213,'Kế hoạch chèn link (mới)'!$D$3:$D$2213=$B135),3),"""")"),"lãi suất cho vay ngân hàng")</f>
        <v>lãi suất cho vay ngân hàng</v>
      </c>
      <c r="L135" s="25" t="str">
        <f>IFERROR(__xludf.DUMMYFUNCTION("IFERROR(INDEX(FILTER('Kế hoạch chèn link (mới)'!$B$3:$B$2213,'Kế hoạch chèn link (mới)'!$D$3:$D$2213=$B135),3),"""")"),"https://techcombank.com/thong-tin/blog/lai-suat-vay-ngan-hang")</f>
        <v>https://techcombank.com/thong-tin/blog/lai-suat-vay-ngan-hang</v>
      </c>
      <c r="M135" s="25" t="str">
        <f>IFERROR(__xludf.DUMMYFUNCTION("IFERROR(INDEX(FILTER('Kế hoạch chèn link (mới)'!$C$3:$C$2213,'Kế hoạch chèn link (mới)'!$D$3:$D$2213=$B135),4),"""")"),"")</f>
        <v/>
      </c>
      <c r="N135" s="25" t="str">
        <f>IFERROR(__xludf.DUMMYFUNCTION("IFERROR(INDEX(FILTER('Kế hoạch chèn link (mới)'!$B$3:$B$2213,'Kế hoạch chèn link (mới)'!$D$3:$D$2213=$B135),4),"""")"),"")</f>
        <v/>
      </c>
      <c r="O135" s="25" t="str">
        <f>IFERROR(__xludf.DUMMYFUNCTION("IFERROR(INDEX(FILTER('Kế hoạch chèn link (mới)'!$C$3:$C$2213,'Kế hoạch chèn link (mới)'!$D$3:$D$2213=$B135),5),"""")"),"")</f>
        <v/>
      </c>
      <c r="P135" s="25" t="str">
        <f>IFERROR(__xludf.DUMMYFUNCTION("IFERROR(INDEX(FILTER('Kế hoạch chèn link (mới)'!$B$3:$B$2213,'Kế hoạch chèn link (mới)'!$D$3:$D$2213=$B135),5),"""")"),"")</f>
        <v/>
      </c>
    </row>
    <row r="136">
      <c r="A136" s="6">
        <f t="shared" si="1"/>
        <v>135</v>
      </c>
      <c r="B136" s="8" t="s">
        <v>126</v>
      </c>
      <c r="C136" s="6">
        <f>COUNTIF('Kế hoạch chèn link (mới)'!$D$3:$D$2213,$B136)</f>
        <v>3</v>
      </c>
      <c r="D136" s="8" t="str">
        <f>IF(COUNTIFS('Kế hoạch chèn link (mới)'!$D$3:$D$2213,$B136,'Kế hoạch chèn link (mới)'!$I$3:$I$2213,"Đã chèn")&gt;=$C136,"Đã hoàn thành",IF(COUNTIFS('Kế hoạch chèn link (mới)'!$D$3:$D$2213,$B136,'Kế hoạch chèn link (mới)'!$I$3:$I$2213,"Đã chèn")&gt;0,"Đang làm","Chưa hoàn thành"))</f>
        <v>Chưa hoàn thành</v>
      </c>
      <c r="E136" s="8" t="b">
        <f t="shared" si="2"/>
        <v>0</v>
      </c>
      <c r="F136" s="25"/>
      <c r="G136" s="25" t="str">
        <f>IFERROR(__xludf.DUMMYFUNCTION("IFERROR(INDEX(FILTER('Kế hoạch chèn link (mới)'!$C$3:$C$2213,'Kế hoạch chèn link (mới)'!$D$3:$D$2213=$B136),1),"""")"),"lãi suất vay mua xe ô tô")</f>
        <v>lãi suất vay mua xe ô tô</v>
      </c>
      <c r="H136" s="25" t="str">
        <f>IFERROR(__xludf.DUMMYFUNCTION("IFERROR(INDEX(FILTER('Kế hoạch chèn link (mới)'!$B$3:$B$2213,'Kế hoạch chèn link (mới)'!$D$3:$D$2213=$B136),1),"""")"),"https://techcombank.com/thong-tin/blog/lai-suat-vay-mua-o-to")</f>
        <v>https://techcombank.com/thong-tin/blog/lai-suat-vay-mua-o-to</v>
      </c>
      <c r="I136" s="25" t="str">
        <f>IFERROR(__xludf.DUMMYFUNCTION("IFERROR(INDEX(FILTER('Kế hoạch chèn link (mới)'!$C$3:$C$2213,'Kế hoạch chèn link (mới)'!$D$3:$D$2213=$B136),2),"""")"),"vay 1 tỷ mỗi tháng trả bao nhiêu")</f>
        <v>vay 1 tỷ mỗi tháng trả bao nhiêu</v>
      </c>
      <c r="J136" s="25" t="str">
        <f>IFERROR(__xludf.DUMMYFUNCTION("IFERROR(INDEX(FILTER('Kế hoạch chèn link (mới)'!$B$3:$B$2213,'Kế hoạch chèn link (mới)'!$D$3:$D$2213=$B136),2),"""")"),"https://techcombank.com/thong-tin/blog/vay-ngan-hang-1-ty-moi-thang-tra-bao-nhieu")</f>
        <v>https://techcombank.com/thong-tin/blog/vay-ngan-hang-1-ty-moi-thang-tra-bao-nhieu</v>
      </c>
      <c r="K136" s="25" t="str">
        <f>IFERROR(__xludf.DUMMYFUNCTION("IFERROR(INDEX(FILTER('Kế hoạch chèn link (mới)'!$C$3:$C$2213,'Kế hoạch chèn link (mới)'!$D$3:$D$2213=$B136),3),"""")"),"tính lãi suất vay ngân hàng")</f>
        <v>tính lãi suất vay ngân hàng</v>
      </c>
      <c r="L136" s="25" t="str">
        <f>IFERROR(__xludf.DUMMYFUNCTION("IFERROR(INDEX(FILTER('Kế hoạch chèn link (mới)'!$B$3:$B$2213,'Kế hoạch chèn link (mới)'!$D$3:$D$2213=$B136),3),"""")"),"https://techcombank.com/cong-cu-tien-ich/cong-cu-tinh-toan/bang-tinh-lai-suat-vay")</f>
        <v>https://techcombank.com/cong-cu-tien-ich/cong-cu-tinh-toan/bang-tinh-lai-suat-vay</v>
      </c>
      <c r="M136" s="25" t="str">
        <f>IFERROR(__xludf.DUMMYFUNCTION("IFERROR(INDEX(FILTER('Kế hoạch chèn link (mới)'!$C$3:$C$2213,'Kế hoạch chèn link (mới)'!$D$3:$D$2213=$B136),4),"""")"),"")</f>
        <v/>
      </c>
      <c r="N136" s="25" t="str">
        <f>IFERROR(__xludf.DUMMYFUNCTION("IFERROR(INDEX(FILTER('Kế hoạch chèn link (mới)'!$B$3:$B$2213,'Kế hoạch chèn link (mới)'!$D$3:$D$2213=$B136),4),"""")"),"")</f>
        <v/>
      </c>
      <c r="O136" s="25" t="str">
        <f>IFERROR(__xludf.DUMMYFUNCTION("IFERROR(INDEX(FILTER('Kế hoạch chèn link (mới)'!$C$3:$C$2213,'Kế hoạch chèn link (mới)'!$D$3:$D$2213=$B136),5),"""")"),"")</f>
        <v/>
      </c>
      <c r="P136" s="25" t="str">
        <f>IFERROR(__xludf.DUMMYFUNCTION("IFERROR(INDEX(FILTER('Kế hoạch chèn link (mới)'!$B$3:$B$2213,'Kế hoạch chèn link (mới)'!$D$3:$D$2213=$B136),5),"""")"),"")</f>
        <v/>
      </c>
    </row>
    <row r="137">
      <c r="A137" s="6">
        <f t="shared" si="1"/>
        <v>136</v>
      </c>
      <c r="B137" s="8" t="s">
        <v>2754</v>
      </c>
      <c r="C137" s="6">
        <f>COUNTIF('Kế hoạch chèn link (mới)'!$D$3:$D$2213,$B137)</f>
        <v>2</v>
      </c>
      <c r="D137" s="8" t="str">
        <f>IF(COUNTIFS('Kế hoạch chèn link (mới)'!$D$3:$D$2213,$B137,'Kế hoạch chèn link (mới)'!$I$3:$I$2213,"Đã chèn")&gt;=$C137,"Đã hoàn thành",IF(COUNTIFS('Kế hoạch chèn link (mới)'!$D$3:$D$2213,$B137,'Kế hoạch chèn link (mới)'!$I$3:$I$2213,"Đã chèn")&gt;0,"Đang làm","Chưa hoàn thành"))</f>
        <v>Chưa hoàn thành</v>
      </c>
      <c r="E137" s="8" t="b">
        <f t="shared" si="2"/>
        <v>0</v>
      </c>
      <c r="F137" s="25"/>
      <c r="G137" s="25" t="str">
        <f>IFERROR(__xludf.DUMMYFUNCTION("IFERROR(INDEX(FILTER('Kế hoạch chèn link (mới)'!$C$3:$C$2213,'Kế hoạch chèn link (mới)'!$D$3:$D$2213=$B137),1),"""")"),"lãi suất chứng chỉ tiền gửi các ngân hàng")</f>
        <v>lãi suất chứng chỉ tiền gửi các ngân hàng</v>
      </c>
      <c r="H137" s="25" t="str">
        <f>IFERROR(__xludf.DUMMYFUNCTION("IFERROR(INDEX(FILTER('Kế hoạch chèn link (mới)'!$B$3:$B$2213,'Kế hoạch chèn link (mới)'!$D$3:$D$2213=$B137),1),"""")"),"https://techcombank.com/thong-tin/blog/lai-suat-chung-chi-tien-gui-cac-ngan-hang")</f>
        <v>https://techcombank.com/thong-tin/blog/lai-suat-chung-chi-tien-gui-cac-ngan-hang</v>
      </c>
      <c r="I137" s="25" t="str">
        <f>IFERROR(__xludf.DUMMYFUNCTION("IFERROR(INDEX(FILTER('Kế hoạch chèn link (mới)'!$C$3:$C$2213,'Kế hoạch chèn link (mới)'!$D$3:$D$2213=$B137),2),"""")"),"lãi suất tiền gửi ngân hàng")</f>
        <v>lãi suất tiền gửi ngân hàng</v>
      </c>
      <c r="J137" s="25" t="str">
        <f>IFERROR(__xludf.DUMMYFUNCTION("IFERROR(INDEX(FILTER('Kế hoạch chèn link (mới)'!$B$3:$B$2213,'Kế hoạch chèn link (mới)'!$D$3:$D$2213=$B137),2),"""")"),"https://techcombank.com/thong-tin/blog/lai-suat-tiet-kiem")</f>
        <v>https://techcombank.com/thong-tin/blog/lai-suat-tiet-kiem</v>
      </c>
      <c r="K137" s="25" t="str">
        <f>IFERROR(__xludf.DUMMYFUNCTION("IFERROR(INDEX(FILTER('Kế hoạch chèn link (mới)'!$C$3:$C$2213,'Kế hoạch chèn link (mới)'!$D$3:$D$2213=$B137),3),"""")"),"")</f>
        <v/>
      </c>
      <c r="L137" s="25" t="str">
        <f>IFERROR(__xludf.DUMMYFUNCTION("IFERROR(INDEX(FILTER('Kế hoạch chèn link (mới)'!$B$3:$B$2213,'Kế hoạch chèn link (mới)'!$D$3:$D$2213=$B137),3),"""")"),"")</f>
        <v/>
      </c>
      <c r="M137" s="25" t="str">
        <f>IFERROR(__xludf.DUMMYFUNCTION("IFERROR(INDEX(FILTER('Kế hoạch chèn link (mới)'!$C$3:$C$2213,'Kế hoạch chèn link (mới)'!$D$3:$D$2213=$B137),4),"""")"),"")</f>
        <v/>
      </c>
      <c r="N137" s="25" t="str">
        <f>IFERROR(__xludf.DUMMYFUNCTION("IFERROR(INDEX(FILTER('Kế hoạch chèn link (mới)'!$B$3:$B$2213,'Kế hoạch chèn link (mới)'!$D$3:$D$2213=$B137),4),"""")"),"")</f>
        <v/>
      </c>
      <c r="O137" s="25" t="str">
        <f>IFERROR(__xludf.DUMMYFUNCTION("IFERROR(INDEX(FILTER('Kế hoạch chèn link (mới)'!$C$3:$C$2213,'Kế hoạch chèn link (mới)'!$D$3:$D$2213=$B137),5),"""")"),"")</f>
        <v/>
      </c>
      <c r="P137" s="25" t="str">
        <f>IFERROR(__xludf.DUMMYFUNCTION("IFERROR(INDEX(FILTER('Kế hoạch chèn link (mới)'!$B$3:$B$2213,'Kế hoạch chèn link (mới)'!$D$3:$D$2213=$B137),5),"""")"),"")</f>
        <v/>
      </c>
    </row>
    <row r="138">
      <c r="A138" s="6">
        <f t="shared" si="1"/>
        <v>137</v>
      </c>
      <c r="B138" s="8" t="s">
        <v>836</v>
      </c>
      <c r="C138" s="6">
        <f>COUNTIF('Kế hoạch chèn link (mới)'!$D$3:$D$2213,$B138)</f>
        <v>3</v>
      </c>
      <c r="D138" s="8" t="str">
        <f>IF(COUNTIFS('Kế hoạch chèn link (mới)'!$D$3:$D$2213,$B138,'Kế hoạch chèn link (mới)'!$I$3:$I$2213,"Đã chèn")&gt;=$C138,"Đã hoàn thành",IF(COUNTIFS('Kế hoạch chèn link (mới)'!$D$3:$D$2213,$B138,'Kế hoạch chèn link (mới)'!$I$3:$I$2213,"Đã chèn")&gt;0,"Đang làm","Chưa hoàn thành"))</f>
        <v>Chưa hoàn thành</v>
      </c>
      <c r="E138" s="8" t="b">
        <f t="shared" si="2"/>
        <v>0</v>
      </c>
      <c r="F138" s="25"/>
      <c r="G138" s="25" t="str">
        <f>IFERROR(__xludf.DUMMYFUNCTION("IFERROR(INDEX(FILTER('Kế hoạch chèn link (mới)'!$C$3:$C$2213,'Kế hoạch chèn link (mới)'!$D$3:$D$2213=$B138),1),"""")"),"thuế thu nhập doanh nghiệp")</f>
        <v>thuế thu nhập doanh nghiệp</v>
      </c>
      <c r="H138" s="25" t="str">
        <f>IFERROR(__xludf.DUMMYFUNCTION("IFERROR(INDEX(FILTER('Kế hoạch chèn link (mới)'!$B$3:$B$2213,'Kế hoạch chèn link (mới)'!$D$3:$D$2213=$B138),1),"""")"),"https://techcombank.com/thong-tin/blog/thue-thu-nhap-doanh-nghiep")</f>
        <v>https://techcombank.com/thong-tin/blog/thue-thu-nhap-doanh-nghiep</v>
      </c>
      <c r="I138" s="25" t="str">
        <f>IFERROR(__xludf.DUMMYFUNCTION("IFERROR(INDEX(FILTER('Kế hoạch chèn link (mới)'!$C$3:$C$2213,'Kế hoạch chèn link (mới)'!$D$3:$D$2213=$B138),2),"""")"),"thuế doanh nghiệp")</f>
        <v>thuế doanh nghiệp</v>
      </c>
      <c r="J138" s="25" t="str">
        <f>IFERROR(__xludf.DUMMYFUNCTION("IFERROR(INDEX(FILTER('Kế hoạch chèn link (mới)'!$B$3:$B$2213,'Kế hoạch chèn link (mới)'!$D$3:$D$2213=$B138),2),"""")"),"https://techcombank.com/thong-tin/blog/thue-doanh-nghiep")</f>
        <v>https://techcombank.com/thong-tin/blog/thue-doanh-nghiep</v>
      </c>
      <c r="K138" s="25" t="str">
        <f>IFERROR(__xludf.DUMMYFUNCTION("IFERROR(INDEX(FILTER('Kế hoạch chèn link (mới)'!$C$3:$C$2213,'Kế hoạch chèn link (mới)'!$D$3:$D$2213=$B138),3),"""")"),"cách tính thuế TNDN")</f>
        <v>cách tính thuế TNDN</v>
      </c>
      <c r="L138" s="25" t="str">
        <f>IFERROR(__xludf.DUMMYFUNCTION("IFERROR(INDEX(FILTER('Kế hoạch chèn link (mới)'!$B$3:$B$2213,'Kế hoạch chèn link (mới)'!$D$3:$D$2213=$B138),3),"""")"),"https://techcombank.com/thong-tin/blog/cach-tinh-thue-thu-nhap-doanh-nghiep")</f>
        <v>https://techcombank.com/thong-tin/blog/cach-tinh-thue-thu-nhap-doanh-nghiep</v>
      </c>
      <c r="M138" s="25" t="str">
        <f>IFERROR(__xludf.DUMMYFUNCTION("IFERROR(INDEX(FILTER('Kế hoạch chèn link (mới)'!$C$3:$C$2213,'Kế hoạch chèn link (mới)'!$D$3:$D$2213=$B138),4),"""")"),"")</f>
        <v/>
      </c>
      <c r="N138" s="25" t="str">
        <f>IFERROR(__xludf.DUMMYFUNCTION("IFERROR(INDEX(FILTER('Kế hoạch chèn link (mới)'!$B$3:$B$2213,'Kế hoạch chèn link (mới)'!$D$3:$D$2213=$B138),4),"""")"),"")</f>
        <v/>
      </c>
      <c r="O138" s="25" t="str">
        <f>IFERROR(__xludf.DUMMYFUNCTION("IFERROR(INDEX(FILTER('Kế hoạch chèn link (mới)'!$C$3:$C$2213,'Kế hoạch chèn link (mới)'!$D$3:$D$2213=$B138),5),"""")"),"")</f>
        <v/>
      </c>
      <c r="P138" s="25" t="str">
        <f>IFERROR(__xludf.DUMMYFUNCTION("IFERROR(INDEX(FILTER('Kế hoạch chèn link (mới)'!$B$3:$B$2213,'Kế hoạch chèn link (mới)'!$D$3:$D$2213=$B138),5),"""")"),"")</f>
        <v/>
      </c>
    </row>
    <row r="139">
      <c r="A139" s="6">
        <f t="shared" si="1"/>
        <v>138</v>
      </c>
      <c r="B139" s="8" t="s">
        <v>2755</v>
      </c>
      <c r="C139" s="6">
        <f>COUNTIF('Kế hoạch chèn link (mới)'!$D$3:$D$2213,$B139)</f>
        <v>3</v>
      </c>
      <c r="D139" s="8" t="str">
        <f>IF(COUNTIFS('Kế hoạch chèn link (mới)'!$D$3:$D$2213,$B139,'Kế hoạch chèn link (mới)'!$I$3:$I$2213,"Đã chèn")&gt;=$C139,"Đã hoàn thành",IF(COUNTIFS('Kế hoạch chèn link (mới)'!$D$3:$D$2213,$B139,'Kế hoạch chèn link (mới)'!$I$3:$I$2213,"Đã chèn")&gt;0,"Đang làm","Chưa hoàn thành"))</f>
        <v>Chưa hoàn thành</v>
      </c>
      <c r="E139" s="8" t="b">
        <f t="shared" si="2"/>
        <v>0</v>
      </c>
      <c r="F139" s="25"/>
      <c r="G139" s="25" t="str">
        <f>IFERROR(__xludf.DUMMYFUNCTION("IFERROR(INDEX(FILTER('Kế hoạch chèn link (mới)'!$C$3:$C$2213,'Kế hoạch chèn link (mới)'!$D$3:$D$2213=$B139),1),"""")"),"tính lãi suất tiết kiệm")</f>
        <v>tính lãi suất tiết kiệm</v>
      </c>
      <c r="H139" s="25" t="str">
        <f>IFERROR(__xludf.DUMMYFUNCTION("IFERROR(INDEX(FILTER('Kế hoạch chèn link (mới)'!$B$3:$B$2213,'Kế hoạch chèn link (mới)'!$D$3:$D$2213=$B139),1),"""")"),"https://techcombank.com/thong-tin/blog/cach-tinh-lai-suat-tien-gui-tiet-kiem")</f>
        <v>https://techcombank.com/thong-tin/blog/cach-tinh-lai-suat-tien-gui-tiet-kiem</v>
      </c>
      <c r="I139" s="25" t="str">
        <f>IFERROR(__xludf.DUMMYFUNCTION("IFERROR(INDEX(FILTER('Kế hoạch chèn link (mới)'!$C$3:$C$2213,'Kế hoạch chèn link (mới)'!$D$3:$D$2213=$B139),2),"""")"),"bảng tính lãi suất tiết kiệm")</f>
        <v>bảng tính lãi suất tiết kiệm</v>
      </c>
      <c r="J139" s="25" t="str">
        <f>IFERROR(__xludf.DUMMYFUNCTION("IFERROR(INDEX(FILTER('Kế hoạch chèn link (mới)'!$B$3:$B$2213,'Kế hoạch chèn link (mới)'!$D$3:$D$2213=$B139),2),"""")"),"https://techcombank.com/cong-cu-tien-ich/cong-cu-tinh-toan/bang-tinh-lai-suat-tiet-kiem")</f>
        <v>https://techcombank.com/cong-cu-tien-ich/cong-cu-tinh-toan/bang-tinh-lai-suat-tiet-kiem</v>
      </c>
      <c r="K139" s="25" t="str">
        <f>IFERROR(__xludf.DUMMYFUNCTION("IFERROR(INDEX(FILTER('Kế hoạch chèn link (mới)'!$C$3:$C$2213,'Kế hoạch chèn link (mới)'!$D$3:$D$2213=$B139),3),"""")"),"cách đầu tư chứng chỉ quỹ")</f>
        <v>cách đầu tư chứng chỉ quỹ</v>
      </c>
      <c r="L139" s="25" t="str">
        <f>IFERROR(__xludf.DUMMYFUNCTION("IFERROR(INDEX(FILTER('Kế hoạch chèn link (mới)'!$B$3:$B$2213,'Kế hoạch chèn link (mới)'!$D$3:$D$2213=$B139),3),"""")"),"https://techcombank.com/thong-tin/blog/phuong-phap-dau-tu-chung-chi-quy")</f>
        <v>https://techcombank.com/thong-tin/blog/phuong-phap-dau-tu-chung-chi-quy</v>
      </c>
      <c r="M139" s="25" t="str">
        <f>IFERROR(__xludf.DUMMYFUNCTION("IFERROR(INDEX(FILTER('Kế hoạch chèn link (mới)'!$C$3:$C$2213,'Kế hoạch chèn link (mới)'!$D$3:$D$2213=$B139),4),"""")"),"")</f>
        <v/>
      </c>
      <c r="N139" s="25" t="str">
        <f>IFERROR(__xludf.DUMMYFUNCTION("IFERROR(INDEX(FILTER('Kế hoạch chèn link (mới)'!$B$3:$B$2213,'Kế hoạch chèn link (mới)'!$D$3:$D$2213=$B139),4),"""")"),"")</f>
        <v/>
      </c>
      <c r="O139" s="25" t="str">
        <f>IFERROR(__xludf.DUMMYFUNCTION("IFERROR(INDEX(FILTER('Kế hoạch chèn link (mới)'!$C$3:$C$2213,'Kế hoạch chèn link (mới)'!$D$3:$D$2213=$B139),5),"""")"),"")</f>
        <v/>
      </c>
      <c r="P139" s="25" t="str">
        <f>IFERROR(__xludf.DUMMYFUNCTION("IFERROR(INDEX(FILTER('Kế hoạch chèn link (mới)'!$B$3:$B$2213,'Kế hoạch chèn link (mới)'!$D$3:$D$2213=$B139),5),"""")"),"")</f>
        <v/>
      </c>
    </row>
    <row r="140">
      <c r="A140" s="6">
        <f t="shared" si="1"/>
        <v>139</v>
      </c>
      <c r="B140" s="8" t="s">
        <v>2756</v>
      </c>
      <c r="C140" s="6">
        <f>COUNTIF('Kế hoạch chèn link (mới)'!$D$3:$D$2213,$B140)</f>
        <v>1</v>
      </c>
      <c r="D140" s="8" t="str">
        <f>IF(COUNTIFS('Kế hoạch chèn link (mới)'!$D$3:$D$2213,$B140,'Kế hoạch chèn link (mới)'!$I$3:$I$2213,"Đã chèn")&gt;=$C140,"Đã hoàn thành",IF(COUNTIFS('Kế hoạch chèn link (mới)'!$D$3:$D$2213,$B140,'Kế hoạch chèn link (mới)'!$I$3:$I$2213,"Đã chèn")&gt;0,"Đang làm","Chưa hoàn thành"))</f>
        <v>Chưa hoàn thành</v>
      </c>
      <c r="E140" s="8" t="b">
        <f t="shared" si="2"/>
        <v>0</v>
      </c>
      <c r="F140" s="25"/>
      <c r="G140" s="25" t="str">
        <f>IFERROR(__xludf.DUMMYFUNCTION("IFERROR(INDEX(FILTER('Kế hoạch chèn link (mới)'!$C$3:$C$2213,'Kế hoạch chèn link (mới)'!$D$3:$D$2213=$B140),1),"""")"),"lãi suất ngân hàng tiền gửi")</f>
        <v>lãi suất ngân hàng tiền gửi</v>
      </c>
      <c r="H140" s="25" t="str">
        <f>IFERROR(__xludf.DUMMYFUNCTION("IFERROR(INDEX(FILTER('Kế hoạch chèn link (mới)'!$B$3:$B$2213,'Kế hoạch chèn link (mới)'!$D$3:$D$2213=$B140),1),"""")"),"https://techcombank.com/thong-tin/blog/lai-suat-tiet-kiem")</f>
        <v>https://techcombank.com/thong-tin/blog/lai-suat-tiet-kiem</v>
      </c>
      <c r="I140" s="25" t="str">
        <f>IFERROR(__xludf.DUMMYFUNCTION("IFERROR(INDEX(FILTER('Kế hoạch chèn link (mới)'!$C$3:$C$2213,'Kế hoạch chèn link (mới)'!$D$3:$D$2213=$B140),2),"""")"),"")</f>
        <v/>
      </c>
      <c r="J140" s="25" t="str">
        <f>IFERROR(__xludf.DUMMYFUNCTION("IFERROR(INDEX(FILTER('Kế hoạch chèn link (mới)'!$B$3:$B$2213,'Kế hoạch chèn link (mới)'!$D$3:$D$2213=$B140),2),"""")"),"")</f>
        <v/>
      </c>
      <c r="K140" s="25" t="str">
        <f>IFERROR(__xludf.DUMMYFUNCTION("IFERROR(INDEX(FILTER('Kế hoạch chèn link (mới)'!$C$3:$C$2213,'Kế hoạch chèn link (mới)'!$D$3:$D$2213=$B140),3),"""")"),"")</f>
        <v/>
      </c>
      <c r="L140" s="25" t="str">
        <f>IFERROR(__xludf.DUMMYFUNCTION("IFERROR(INDEX(FILTER('Kế hoạch chèn link (mới)'!$B$3:$B$2213,'Kế hoạch chèn link (mới)'!$D$3:$D$2213=$B140),3),"""")"),"")</f>
        <v/>
      </c>
      <c r="M140" s="25" t="str">
        <f>IFERROR(__xludf.DUMMYFUNCTION("IFERROR(INDEX(FILTER('Kế hoạch chèn link (mới)'!$C$3:$C$2213,'Kế hoạch chèn link (mới)'!$D$3:$D$2213=$B140),4),"""")"),"")</f>
        <v/>
      </c>
      <c r="N140" s="25" t="str">
        <f>IFERROR(__xludf.DUMMYFUNCTION("IFERROR(INDEX(FILTER('Kế hoạch chèn link (mới)'!$B$3:$B$2213,'Kế hoạch chèn link (mới)'!$D$3:$D$2213=$B140),4),"""")"),"")</f>
        <v/>
      </c>
      <c r="O140" s="25" t="str">
        <f>IFERROR(__xludf.DUMMYFUNCTION("IFERROR(INDEX(FILTER('Kế hoạch chèn link (mới)'!$C$3:$C$2213,'Kế hoạch chèn link (mới)'!$D$3:$D$2213=$B140),5),"""")"),"")</f>
        <v/>
      </c>
      <c r="P140" s="25" t="str">
        <f>IFERROR(__xludf.DUMMYFUNCTION("IFERROR(INDEX(FILTER('Kế hoạch chèn link (mới)'!$B$3:$B$2213,'Kế hoạch chèn link (mới)'!$D$3:$D$2213=$B140),5),"""")"),"")</f>
        <v/>
      </c>
    </row>
    <row r="141">
      <c r="A141" s="6">
        <f t="shared" si="1"/>
        <v>140</v>
      </c>
      <c r="B141" s="8" t="s">
        <v>2759</v>
      </c>
      <c r="C141" s="6">
        <f>COUNTIF('Kế hoạch chèn link (mới)'!$D$3:$D$2213,$B141)</f>
        <v>1</v>
      </c>
      <c r="D141" s="8" t="str">
        <f>IF(COUNTIFS('Kế hoạch chèn link (mới)'!$D$3:$D$2213,$B141,'Kế hoạch chèn link (mới)'!$I$3:$I$2213,"Đã chèn")&gt;=$C141,"Đã hoàn thành",IF(COUNTIFS('Kế hoạch chèn link (mới)'!$D$3:$D$2213,$B141,'Kế hoạch chèn link (mới)'!$I$3:$I$2213,"Đã chèn")&gt;0,"Đang làm","Chưa hoàn thành"))</f>
        <v>Chưa hoàn thành</v>
      </c>
      <c r="E141" s="8" t="b">
        <f t="shared" si="2"/>
        <v>0</v>
      </c>
      <c r="F141" s="25"/>
      <c r="G141" s="25" t="str">
        <f>IFERROR(__xludf.DUMMYFUNCTION("IFERROR(INDEX(FILTER('Kế hoạch chèn link (mới)'!$C$3:$C$2213,'Kế hoạch chèn link (mới)'!$D$3:$D$2213=$B141),1),"""")"),"lãi suất ngân hàng hôm nay")</f>
        <v>lãi suất ngân hàng hôm nay</v>
      </c>
      <c r="H141" s="25" t="str">
        <f>IFERROR(__xludf.DUMMYFUNCTION("IFERROR(INDEX(FILTER('Kế hoạch chèn link (mới)'!$B$3:$B$2213,'Kế hoạch chèn link (mới)'!$D$3:$D$2213=$B141),1),"""")"),"https://techcombank.com/thong-tin/blog/lai-suat-tiet-kiem")</f>
        <v>https://techcombank.com/thong-tin/blog/lai-suat-tiet-kiem</v>
      </c>
      <c r="I141" s="25" t="str">
        <f>IFERROR(__xludf.DUMMYFUNCTION("IFERROR(INDEX(FILTER('Kế hoạch chèn link (mới)'!$C$3:$C$2213,'Kế hoạch chèn link (mới)'!$D$3:$D$2213=$B141),2),"""")"),"")</f>
        <v/>
      </c>
      <c r="J141" s="25" t="str">
        <f>IFERROR(__xludf.DUMMYFUNCTION("IFERROR(INDEX(FILTER('Kế hoạch chèn link (mới)'!$B$3:$B$2213,'Kế hoạch chèn link (mới)'!$D$3:$D$2213=$B141),2),"""")"),"")</f>
        <v/>
      </c>
      <c r="K141" s="25" t="str">
        <f>IFERROR(__xludf.DUMMYFUNCTION("IFERROR(INDEX(FILTER('Kế hoạch chèn link (mới)'!$C$3:$C$2213,'Kế hoạch chèn link (mới)'!$D$3:$D$2213=$B141),3),"""")"),"")</f>
        <v/>
      </c>
      <c r="L141" s="25" t="str">
        <f>IFERROR(__xludf.DUMMYFUNCTION("IFERROR(INDEX(FILTER('Kế hoạch chèn link (mới)'!$B$3:$B$2213,'Kế hoạch chèn link (mới)'!$D$3:$D$2213=$B141),3),"""")"),"")</f>
        <v/>
      </c>
      <c r="M141" s="25" t="str">
        <f>IFERROR(__xludf.DUMMYFUNCTION("IFERROR(INDEX(FILTER('Kế hoạch chèn link (mới)'!$C$3:$C$2213,'Kế hoạch chèn link (mới)'!$D$3:$D$2213=$B141),4),"""")"),"")</f>
        <v/>
      </c>
      <c r="N141" s="25" t="str">
        <f>IFERROR(__xludf.DUMMYFUNCTION("IFERROR(INDEX(FILTER('Kế hoạch chèn link (mới)'!$B$3:$B$2213,'Kế hoạch chèn link (mới)'!$D$3:$D$2213=$B141),4),"""")"),"")</f>
        <v/>
      </c>
      <c r="O141" s="25" t="str">
        <f>IFERROR(__xludf.DUMMYFUNCTION("IFERROR(INDEX(FILTER('Kế hoạch chèn link (mới)'!$C$3:$C$2213,'Kế hoạch chèn link (mới)'!$D$3:$D$2213=$B141),5),"""")"),"")</f>
        <v/>
      </c>
      <c r="P141" s="25" t="str">
        <f>IFERROR(__xludf.DUMMYFUNCTION("IFERROR(INDEX(FILTER('Kế hoạch chèn link (mới)'!$B$3:$B$2213,'Kế hoạch chèn link (mới)'!$D$3:$D$2213=$B141),5),"""")"),"")</f>
        <v/>
      </c>
    </row>
    <row r="142">
      <c r="A142" s="6">
        <f t="shared" si="1"/>
        <v>141</v>
      </c>
      <c r="B142" s="8" t="s">
        <v>2761</v>
      </c>
      <c r="C142" s="6">
        <f>COUNTIF('Kế hoạch chèn link (mới)'!$D$3:$D$2213,$B142)</f>
        <v>1</v>
      </c>
      <c r="D142" s="8" t="str">
        <f>IF(COUNTIFS('Kế hoạch chèn link (mới)'!$D$3:$D$2213,$B142,'Kế hoạch chèn link (mới)'!$I$3:$I$2213,"Đã chèn")&gt;=$C142,"Đã hoàn thành",IF(COUNTIFS('Kế hoạch chèn link (mới)'!$D$3:$D$2213,$B142,'Kế hoạch chèn link (mới)'!$I$3:$I$2213,"Đã chèn")&gt;0,"Đang làm","Chưa hoàn thành"))</f>
        <v>Chưa hoàn thành</v>
      </c>
      <c r="E142" s="8" t="b">
        <f t="shared" si="2"/>
        <v>0</v>
      </c>
      <c r="F142" s="25"/>
      <c r="G142" s="25" t="str">
        <f>IFERROR(__xludf.DUMMYFUNCTION("IFERROR(INDEX(FILTER('Kế hoạch chèn link (mới)'!$C$3:$C$2213,'Kế hoạch chèn link (mới)'!$D$3:$D$2213=$B142),1),"""")"),"đầu tư chứng chỉ quỹ cho người mới")</f>
        <v>đầu tư chứng chỉ quỹ cho người mới</v>
      </c>
      <c r="H142" s="25" t="str">
        <f>IFERROR(__xludf.DUMMYFUNCTION("IFERROR(INDEX(FILTER('Kế hoạch chèn link (mới)'!$B$3:$B$2213,'Kế hoạch chèn link (mới)'!$D$3:$D$2213=$B142),1),"""")"),"https://techcombank.com/thong-tin/blog/phuong-phap-dau-tu-chung-chi-quy")</f>
        <v>https://techcombank.com/thong-tin/blog/phuong-phap-dau-tu-chung-chi-quy</v>
      </c>
      <c r="I142" s="25" t="str">
        <f>IFERROR(__xludf.DUMMYFUNCTION("IFERROR(INDEX(FILTER('Kế hoạch chèn link (mới)'!$C$3:$C$2213,'Kế hoạch chèn link (mới)'!$D$3:$D$2213=$B142),2),"""")"),"")</f>
        <v/>
      </c>
      <c r="J142" s="25" t="str">
        <f>IFERROR(__xludf.DUMMYFUNCTION("IFERROR(INDEX(FILTER('Kế hoạch chèn link (mới)'!$B$3:$B$2213,'Kế hoạch chèn link (mới)'!$D$3:$D$2213=$B142),2),"""")"),"")</f>
        <v/>
      </c>
      <c r="K142" s="25" t="str">
        <f>IFERROR(__xludf.DUMMYFUNCTION("IFERROR(INDEX(FILTER('Kế hoạch chèn link (mới)'!$C$3:$C$2213,'Kế hoạch chèn link (mới)'!$D$3:$D$2213=$B142),3),"""")"),"")</f>
        <v/>
      </c>
      <c r="L142" s="25" t="str">
        <f>IFERROR(__xludf.DUMMYFUNCTION("IFERROR(INDEX(FILTER('Kế hoạch chèn link (mới)'!$B$3:$B$2213,'Kế hoạch chèn link (mới)'!$D$3:$D$2213=$B142),3),"""")"),"")</f>
        <v/>
      </c>
      <c r="M142" s="25" t="str">
        <f>IFERROR(__xludf.DUMMYFUNCTION("IFERROR(INDEX(FILTER('Kế hoạch chèn link (mới)'!$C$3:$C$2213,'Kế hoạch chèn link (mới)'!$D$3:$D$2213=$B142),4),"""")"),"")</f>
        <v/>
      </c>
      <c r="N142" s="25" t="str">
        <f>IFERROR(__xludf.DUMMYFUNCTION("IFERROR(INDEX(FILTER('Kế hoạch chèn link (mới)'!$B$3:$B$2213,'Kế hoạch chèn link (mới)'!$D$3:$D$2213=$B142),4),"""")"),"")</f>
        <v/>
      </c>
      <c r="O142" s="25" t="str">
        <f>IFERROR(__xludf.DUMMYFUNCTION("IFERROR(INDEX(FILTER('Kế hoạch chèn link (mới)'!$C$3:$C$2213,'Kế hoạch chèn link (mới)'!$D$3:$D$2213=$B142),5),"""")"),"")</f>
        <v/>
      </c>
      <c r="P142" s="25" t="str">
        <f>IFERROR(__xludf.DUMMYFUNCTION("IFERROR(INDEX(FILTER('Kế hoạch chèn link (mới)'!$B$3:$B$2213,'Kế hoạch chèn link (mới)'!$D$3:$D$2213=$B142),5),"""")"),"")</f>
        <v/>
      </c>
    </row>
    <row r="143">
      <c r="A143" s="6">
        <f t="shared" si="1"/>
        <v>142</v>
      </c>
      <c r="B143" s="8" t="s">
        <v>2762</v>
      </c>
      <c r="C143" s="6">
        <f>COUNTIF('Kế hoạch chèn link (mới)'!$D$3:$D$2213,$B143)</f>
        <v>1</v>
      </c>
      <c r="D143" s="8" t="str">
        <f>IF(COUNTIFS('Kế hoạch chèn link (mới)'!$D$3:$D$2213,$B143,'Kế hoạch chèn link (mới)'!$I$3:$I$2213,"Đã chèn")&gt;=$C143,"Đã hoàn thành",IF(COUNTIFS('Kế hoạch chèn link (mới)'!$D$3:$D$2213,$B143,'Kế hoạch chèn link (mới)'!$I$3:$I$2213,"Đã chèn")&gt;0,"Đang làm","Chưa hoàn thành"))</f>
        <v>Chưa hoàn thành</v>
      </c>
      <c r="E143" s="8" t="b">
        <f t="shared" si="2"/>
        <v>0</v>
      </c>
      <c r="F143" s="25"/>
      <c r="G143" s="25" t="str">
        <f>IFERROR(__xludf.DUMMYFUNCTION("IFERROR(INDEX(FILTER('Kế hoạch chèn link (mới)'!$C$3:$C$2213,'Kế hoạch chèn link (mới)'!$D$3:$D$2213=$B143),1),"""")"),"đầu tư chứng chỉ quỹ cho người mới")</f>
        <v>đầu tư chứng chỉ quỹ cho người mới</v>
      </c>
      <c r="H143" s="25" t="str">
        <f>IFERROR(__xludf.DUMMYFUNCTION("IFERROR(INDEX(FILTER('Kế hoạch chèn link (mới)'!$B$3:$B$2213,'Kế hoạch chèn link (mới)'!$D$3:$D$2213=$B143),1),"""")"),"https://techcombank.com/thong-tin/blog/phuong-phap-dau-tu-chung-chi-quy")</f>
        <v>https://techcombank.com/thong-tin/blog/phuong-phap-dau-tu-chung-chi-quy</v>
      </c>
      <c r="I143" s="25" t="str">
        <f>IFERROR(__xludf.DUMMYFUNCTION("IFERROR(INDEX(FILTER('Kế hoạch chèn link (mới)'!$C$3:$C$2213,'Kế hoạch chèn link (mới)'!$D$3:$D$2213=$B143),2),"""")"),"")</f>
        <v/>
      </c>
      <c r="J143" s="25" t="str">
        <f>IFERROR(__xludf.DUMMYFUNCTION("IFERROR(INDEX(FILTER('Kế hoạch chèn link (mới)'!$B$3:$B$2213,'Kế hoạch chèn link (mới)'!$D$3:$D$2213=$B143),2),"""")"),"")</f>
        <v/>
      </c>
      <c r="K143" s="25" t="str">
        <f>IFERROR(__xludf.DUMMYFUNCTION("IFERROR(INDEX(FILTER('Kế hoạch chèn link (mới)'!$C$3:$C$2213,'Kế hoạch chèn link (mới)'!$D$3:$D$2213=$B143),3),"""")"),"")</f>
        <v/>
      </c>
      <c r="L143" s="25" t="str">
        <f>IFERROR(__xludf.DUMMYFUNCTION("IFERROR(INDEX(FILTER('Kế hoạch chèn link (mới)'!$B$3:$B$2213,'Kế hoạch chèn link (mới)'!$D$3:$D$2213=$B143),3),"""")"),"")</f>
        <v/>
      </c>
      <c r="M143" s="25" t="str">
        <f>IFERROR(__xludf.DUMMYFUNCTION("IFERROR(INDEX(FILTER('Kế hoạch chèn link (mới)'!$C$3:$C$2213,'Kế hoạch chèn link (mới)'!$D$3:$D$2213=$B143),4),"""")"),"")</f>
        <v/>
      </c>
      <c r="N143" s="25" t="str">
        <f>IFERROR(__xludf.DUMMYFUNCTION("IFERROR(INDEX(FILTER('Kế hoạch chèn link (mới)'!$B$3:$B$2213,'Kế hoạch chèn link (mới)'!$D$3:$D$2213=$B143),4),"""")"),"")</f>
        <v/>
      </c>
      <c r="O143" s="25" t="str">
        <f>IFERROR(__xludf.DUMMYFUNCTION("IFERROR(INDEX(FILTER('Kế hoạch chèn link (mới)'!$C$3:$C$2213,'Kế hoạch chèn link (mới)'!$D$3:$D$2213=$B143),5),"""")"),"")</f>
        <v/>
      </c>
      <c r="P143" s="25" t="str">
        <f>IFERROR(__xludf.DUMMYFUNCTION("IFERROR(INDEX(FILTER('Kế hoạch chèn link (mới)'!$B$3:$B$2213,'Kế hoạch chèn link (mới)'!$D$3:$D$2213=$B143),5),"""")"),"")</f>
        <v/>
      </c>
    </row>
    <row r="144">
      <c r="A144" s="6">
        <f t="shared" si="1"/>
        <v>143</v>
      </c>
      <c r="B144" s="8" t="s">
        <v>2763</v>
      </c>
      <c r="C144" s="6">
        <f>COUNTIF('Kế hoạch chèn link (mới)'!$D$3:$D$2213,$B144)</f>
        <v>3</v>
      </c>
      <c r="D144" s="8" t="str">
        <f>IF(COUNTIFS('Kế hoạch chèn link (mới)'!$D$3:$D$2213,$B144,'Kế hoạch chèn link (mới)'!$I$3:$I$2213,"Đã chèn")&gt;=$C144,"Đã hoàn thành",IF(COUNTIFS('Kế hoạch chèn link (mới)'!$D$3:$D$2213,$B144,'Kế hoạch chèn link (mới)'!$I$3:$I$2213,"Đã chèn")&gt;0,"Đang làm","Chưa hoàn thành"))</f>
        <v>Chưa hoàn thành</v>
      </c>
      <c r="E144" s="8" t="b">
        <f t="shared" si="2"/>
        <v>0</v>
      </c>
      <c r="F144" s="25"/>
      <c r="G144" s="25" t="str">
        <f>IFERROR(__xludf.DUMMYFUNCTION("IFERROR(INDEX(FILTER('Kế hoạch chèn link (mới)'!$C$3:$C$2213,'Kế hoạch chèn link (mới)'!$D$3:$D$2213=$B144),1),"""")"),"lãi suất gửi tiết kiệm ngân hàng")</f>
        <v>lãi suất gửi tiết kiệm ngân hàng</v>
      </c>
      <c r="H144" s="25" t="str">
        <f>IFERROR(__xludf.DUMMYFUNCTION("IFERROR(INDEX(FILTER('Kế hoạch chèn link (mới)'!$B$3:$B$2213,'Kế hoạch chèn link (mới)'!$D$3:$D$2213=$B144),1),"""")"),"https://techcombank.com/thong-tin/blog/lai-suat-tiet-kiem")</f>
        <v>https://techcombank.com/thong-tin/blog/lai-suat-tiet-kiem</v>
      </c>
      <c r="I144" s="25" t="str">
        <f>IFERROR(__xludf.DUMMYFUNCTION("IFERROR(INDEX(FILTER('Kế hoạch chèn link (mới)'!$C$3:$C$2213,'Kế hoạch chèn link (mới)'!$D$3:$D$2213=$B144),2),"""")"),"tính lãi suất tiết kiệm")</f>
        <v>tính lãi suất tiết kiệm</v>
      </c>
      <c r="J144" s="25" t="str">
        <f>IFERROR(__xludf.DUMMYFUNCTION("IFERROR(INDEX(FILTER('Kế hoạch chèn link (mới)'!$B$3:$B$2213,'Kế hoạch chèn link (mới)'!$D$3:$D$2213=$B144),2),"""")"),"https://techcombank.com/thong-tin/blog/cach-tinh-lai-suat-tien-gui-tiet-kiem")</f>
        <v>https://techcombank.com/thong-tin/blog/cach-tinh-lai-suat-tien-gui-tiet-kiem</v>
      </c>
      <c r="K144" s="25" t="str">
        <f>IFERROR(__xludf.DUMMYFUNCTION("IFERROR(INDEX(FILTER('Kế hoạch chèn link (mới)'!$C$3:$C$2213,'Kế hoạch chèn link (mới)'!$D$3:$D$2213=$B144),3),"""")"),"bảng tính lãi suất tiết kiệm")</f>
        <v>bảng tính lãi suất tiết kiệm</v>
      </c>
      <c r="L144" s="25" t="str">
        <f>IFERROR(__xludf.DUMMYFUNCTION("IFERROR(INDEX(FILTER('Kế hoạch chèn link (mới)'!$B$3:$B$2213,'Kế hoạch chèn link (mới)'!$D$3:$D$2213=$B144),3),"""")"),"https://techcombank.com/cong-cu-tien-ich/cong-cu-tinh-toan/bang-tinh-lai-suat-tiet-kiem")</f>
        <v>https://techcombank.com/cong-cu-tien-ich/cong-cu-tinh-toan/bang-tinh-lai-suat-tiet-kiem</v>
      </c>
      <c r="M144" s="25" t="str">
        <f>IFERROR(__xludf.DUMMYFUNCTION("IFERROR(INDEX(FILTER('Kế hoạch chèn link (mới)'!$C$3:$C$2213,'Kế hoạch chèn link (mới)'!$D$3:$D$2213=$B144),4),"""")"),"")</f>
        <v/>
      </c>
      <c r="N144" s="25" t="str">
        <f>IFERROR(__xludf.DUMMYFUNCTION("IFERROR(INDEX(FILTER('Kế hoạch chèn link (mới)'!$B$3:$B$2213,'Kế hoạch chèn link (mới)'!$D$3:$D$2213=$B144),4),"""")"),"")</f>
        <v/>
      </c>
      <c r="O144" s="25" t="str">
        <f>IFERROR(__xludf.DUMMYFUNCTION("IFERROR(INDEX(FILTER('Kế hoạch chèn link (mới)'!$C$3:$C$2213,'Kế hoạch chèn link (mới)'!$D$3:$D$2213=$B144),5),"""")"),"")</f>
        <v/>
      </c>
      <c r="P144" s="25" t="str">
        <f>IFERROR(__xludf.DUMMYFUNCTION("IFERROR(INDEX(FILTER('Kế hoạch chèn link (mới)'!$B$3:$B$2213,'Kế hoạch chèn link (mới)'!$D$3:$D$2213=$B144),5),"""")"),"")</f>
        <v/>
      </c>
    </row>
    <row r="145">
      <c r="A145" s="6">
        <f t="shared" si="1"/>
        <v>144</v>
      </c>
      <c r="B145" s="8" t="s">
        <v>2764</v>
      </c>
      <c r="C145" s="6">
        <f>COUNTIF('Kế hoạch chèn link (mới)'!$D$3:$D$2213,$B145)</f>
        <v>5</v>
      </c>
      <c r="D145" s="8" t="str">
        <f>IF(COUNTIFS('Kế hoạch chèn link (mới)'!$D$3:$D$2213,$B145,'Kế hoạch chèn link (mới)'!$I$3:$I$2213,"Đã chèn")&gt;=$C145,"Đã hoàn thành",IF(COUNTIFS('Kế hoạch chèn link (mới)'!$D$3:$D$2213,$B145,'Kế hoạch chèn link (mới)'!$I$3:$I$2213,"Đã chèn")&gt;0,"Đang làm","Chưa hoàn thành"))</f>
        <v>Chưa hoàn thành</v>
      </c>
      <c r="E145" s="8" t="b">
        <f t="shared" si="2"/>
        <v>0</v>
      </c>
      <c r="F145" s="25"/>
      <c r="G145" s="25" t="str">
        <f>IFERROR(__xludf.DUMMYFUNCTION("IFERROR(INDEX(FILTER('Kế hoạch chèn link (mới)'!$C$3:$C$2213,'Kế hoạch chèn link (mới)'!$D$3:$D$2213=$B145),1),"""")"),"chứng chỉ tiền gửi")</f>
        <v>chứng chỉ tiền gửi</v>
      </c>
      <c r="H145" s="25" t="str">
        <f>IFERROR(__xludf.DUMMYFUNCTION("IFERROR(INDEX(FILTER('Kế hoạch chèn link (mới)'!$B$3:$B$2213,'Kế hoạch chèn link (mới)'!$D$3:$D$2213=$B145),1),"""")"),"https://techcombank.com/thong-tin/blog/chung-chi-tien-gui-la-gi")</f>
        <v>https://techcombank.com/thong-tin/blog/chung-chi-tien-gui-la-gi</v>
      </c>
      <c r="I145" s="25" t="str">
        <f>IFERROR(__xludf.DUMMYFUNCTION("IFERROR(INDEX(FILTER('Kế hoạch chèn link (mới)'!$C$3:$C$2213,'Kế hoạch chèn link (mới)'!$D$3:$D$2213=$B145),2),"""")"),"lợi suất chứng chỉ tiền gửi")</f>
        <v>lợi suất chứng chỉ tiền gửi</v>
      </c>
      <c r="J145" s="25" t="str">
        <f>IFERROR(__xludf.DUMMYFUNCTION("IFERROR(INDEX(FILTER('Kế hoạch chèn link (mới)'!$B$3:$B$2213,'Kế hoạch chèn link (mới)'!$D$3:$D$2213=$B145),2),"""")"),"https://techcombank.com/thong-tin/blog/lai-suat-chung-chi-tien-gui-cac-ngan-hang")</f>
        <v>https://techcombank.com/thong-tin/blog/lai-suat-chung-chi-tien-gui-cac-ngan-hang</v>
      </c>
      <c r="K145" s="25" t="str">
        <f>IFERROR(__xludf.DUMMYFUNCTION("IFERROR(INDEX(FILTER('Kế hoạch chèn link (mới)'!$C$3:$C$2213,'Kế hoạch chèn link (mới)'!$D$3:$D$2213=$B145),3),"""")"),"lãi suất ngân hàng tiền gửi")</f>
        <v>lãi suất ngân hàng tiền gửi</v>
      </c>
      <c r="L145" s="25" t="str">
        <f>IFERROR(__xludf.DUMMYFUNCTION("IFERROR(INDEX(FILTER('Kế hoạch chèn link (mới)'!$B$3:$B$2213,'Kế hoạch chèn link (mới)'!$D$3:$D$2213=$B145),3),"""")"),"https://techcombank.com/thong-tin/blog/lai-suat-tiet-kiem")</f>
        <v>https://techcombank.com/thong-tin/blog/lai-suat-tiet-kiem</v>
      </c>
      <c r="M145" s="25" t="str">
        <f>IFERROR(__xludf.DUMMYFUNCTION("IFERROR(INDEX(FILTER('Kế hoạch chèn link (mới)'!$C$3:$C$2213,'Kế hoạch chèn link (mới)'!$D$3:$D$2213=$B145),4),"""")"),"sổ tiết kiệm")</f>
        <v>sổ tiết kiệm</v>
      </c>
      <c r="N145" s="25" t="str">
        <f>IFERROR(__xludf.DUMMYFUNCTION("IFERROR(INDEX(FILTER('Kế hoạch chèn link (mới)'!$B$3:$B$2213,'Kế hoạch chèn link (mới)'!$D$3:$D$2213=$B145),4),"""")"),"https://techcombank.com/thong-tin/blog/so-tiet-kiem-ngan-hang")</f>
        <v>https://techcombank.com/thong-tin/blog/so-tiet-kiem-ngan-hang</v>
      </c>
      <c r="O145" s="25" t="str">
        <f>IFERROR(__xludf.DUMMYFUNCTION("IFERROR(INDEX(FILTER('Kế hoạch chèn link (mới)'!$C$3:$C$2213,'Kế hoạch chèn link (mới)'!$D$3:$D$2213=$B145),5),"""")"),"gửi tiết kiệm online có an toàn không")</f>
        <v>gửi tiết kiệm online có an toàn không</v>
      </c>
      <c r="P145" s="25" t="str">
        <f>IFERROR(__xludf.DUMMYFUNCTION("IFERROR(INDEX(FILTER('Kế hoạch chèn link (mới)'!$B$3:$B$2213,'Kế hoạch chèn link (mới)'!$D$3:$D$2213=$B145),5),"""")"),"https://techcombank.com/thong-tin/blog/rui-ro-khi-gui-tiet-kiem-online")</f>
        <v>https://techcombank.com/thong-tin/blog/rui-ro-khi-gui-tiet-kiem-online</v>
      </c>
    </row>
    <row r="146">
      <c r="A146" s="6">
        <f t="shared" si="1"/>
        <v>145</v>
      </c>
      <c r="B146" s="8" t="s">
        <v>2768</v>
      </c>
      <c r="C146" s="6">
        <f>COUNTIF('Kế hoạch chèn link (mới)'!$D$3:$D$2213,$B146)</f>
        <v>4</v>
      </c>
      <c r="D146" s="8" t="str">
        <f>IF(COUNTIFS('Kế hoạch chèn link (mới)'!$D$3:$D$2213,$B146,'Kế hoạch chèn link (mới)'!$I$3:$I$2213,"Đã chèn")&gt;=$C146,"Đã hoàn thành",IF(COUNTIFS('Kế hoạch chèn link (mới)'!$D$3:$D$2213,$B146,'Kế hoạch chèn link (mới)'!$I$3:$I$2213,"Đã chèn")&gt;0,"Đang làm","Chưa hoàn thành"))</f>
        <v>Chưa hoàn thành</v>
      </c>
      <c r="E146" s="8" t="b">
        <f t="shared" si="2"/>
        <v>0</v>
      </c>
      <c r="F146" s="25"/>
      <c r="G146" s="25" t="str">
        <f>IFERROR(__xludf.DUMMYFUNCTION("IFERROR(INDEX(FILTER('Kế hoạch chèn link (mới)'!$C$3:$C$2213,'Kế hoạch chèn link (mới)'!$D$3:$D$2213=$B146),1),"""")"),"lãi suất chứng chỉ tiền gửi")</f>
        <v>lãi suất chứng chỉ tiền gửi</v>
      </c>
      <c r="H146" s="25" t="str">
        <f>IFERROR(__xludf.DUMMYFUNCTION("IFERROR(INDEX(FILTER('Kế hoạch chèn link (mới)'!$B$3:$B$2213,'Kế hoạch chèn link (mới)'!$D$3:$D$2213=$B146),1),"""")"),"https://techcombank.com/thong-tin/blog/lai-suat-chung-chi-tien-gui-cac-ngan-hang")</f>
        <v>https://techcombank.com/thong-tin/blog/lai-suat-chung-chi-tien-gui-cac-ngan-hang</v>
      </c>
      <c r="I146" s="25" t="str">
        <f>IFERROR(__xludf.DUMMYFUNCTION("IFERROR(INDEX(FILTER('Kế hoạch chèn link (mới)'!$C$3:$C$2213,'Kế hoạch chèn link (mới)'!$D$3:$D$2213=$B146),2),"""")"),"lãi suất ngân hàng tiền gửi")</f>
        <v>lãi suất ngân hàng tiền gửi</v>
      </c>
      <c r="J146" s="25" t="str">
        <f>IFERROR(__xludf.DUMMYFUNCTION("IFERROR(INDEX(FILTER('Kế hoạch chèn link (mới)'!$B$3:$B$2213,'Kế hoạch chèn link (mới)'!$D$3:$D$2213=$B146),2),"""")"),"https://techcombank.com/thong-tin/blog/lai-suat-tiet-kiem")</f>
        <v>https://techcombank.com/thong-tin/blog/lai-suat-tiet-kiem</v>
      </c>
      <c r="K146" s="25" t="str">
        <f>IFERROR(__xludf.DUMMYFUNCTION("IFERROR(INDEX(FILTER('Kế hoạch chèn link (mới)'!$C$3:$C$2213,'Kế hoạch chèn link (mới)'!$D$3:$D$2213=$B146),3),"""")"),"tính lãi suất ngân hàng")</f>
        <v>tính lãi suất ngân hàng</v>
      </c>
      <c r="L146" s="25" t="str">
        <f>IFERROR(__xludf.DUMMYFUNCTION("IFERROR(INDEX(FILTER('Kế hoạch chèn link (mới)'!$B$3:$B$2213,'Kế hoạch chèn link (mới)'!$D$3:$D$2213=$B146),3),"""")"),"https://techcombank.com/thong-tin/blog/cach-tinh-lai-suat-tien-gui-tiet-kiem")</f>
        <v>https://techcombank.com/thong-tin/blog/cach-tinh-lai-suat-tien-gui-tiet-kiem</v>
      </c>
      <c r="M146" s="25" t="str">
        <f>IFERROR(__xludf.DUMMYFUNCTION("IFERROR(INDEX(FILTER('Kế hoạch chèn link (mới)'!$C$3:$C$2213,'Kế hoạch chèn link (mới)'!$D$3:$D$2213=$B146),4),"""")"),"rút tiết kiệm trước hạn")</f>
        <v>rút tiết kiệm trước hạn</v>
      </c>
      <c r="N146" s="25" t="str">
        <f>IFERROR(__xludf.DUMMYFUNCTION("IFERROR(INDEX(FILTER('Kế hoạch chèn link (mới)'!$B$3:$B$2213,'Kế hoạch chèn link (mới)'!$D$3:$D$2213=$B146),4),"""")"),"https://techcombank.com/thong-tin/blog/rut-tien-tiet-kiem-truoc-thoi-han")</f>
        <v>https://techcombank.com/thong-tin/blog/rut-tien-tiet-kiem-truoc-thoi-han</v>
      </c>
      <c r="O146" s="25" t="str">
        <f>IFERROR(__xludf.DUMMYFUNCTION("IFERROR(INDEX(FILTER('Kế hoạch chèn link (mới)'!$C$3:$C$2213,'Kế hoạch chèn link (mới)'!$D$3:$D$2213=$B146),5),"""")"),"")</f>
        <v/>
      </c>
      <c r="P146" s="25" t="str">
        <f>IFERROR(__xludf.DUMMYFUNCTION("IFERROR(INDEX(FILTER('Kế hoạch chèn link (mới)'!$B$3:$B$2213,'Kế hoạch chèn link (mới)'!$D$3:$D$2213=$B146),5),"""")"),"")</f>
        <v/>
      </c>
    </row>
    <row r="147">
      <c r="A147" s="6">
        <f t="shared" si="1"/>
        <v>146</v>
      </c>
      <c r="B147" s="8" t="s">
        <v>2770</v>
      </c>
      <c r="C147" s="6">
        <f>COUNTIF('Kế hoạch chèn link (mới)'!$D$3:$D$2213,$B147)</f>
        <v>4</v>
      </c>
      <c r="D147" s="8" t="str">
        <f>IF(COUNTIFS('Kế hoạch chèn link (mới)'!$D$3:$D$2213,$B147,'Kế hoạch chèn link (mới)'!$I$3:$I$2213,"Đã chèn")&gt;=$C147,"Đã hoàn thành",IF(COUNTIFS('Kế hoạch chèn link (mới)'!$D$3:$D$2213,$B147,'Kế hoạch chèn link (mới)'!$I$3:$I$2213,"Đã chèn")&gt;0,"Đang làm","Chưa hoàn thành"))</f>
        <v>Chưa hoàn thành</v>
      </c>
      <c r="E147" s="8" t="b">
        <f t="shared" si="2"/>
        <v>0</v>
      </c>
      <c r="F147" s="25"/>
      <c r="G147" s="25" t="str">
        <f>IFERROR(__xludf.DUMMYFUNCTION("IFERROR(INDEX(FILTER('Kế hoạch chèn link (mới)'!$C$3:$C$2213,'Kế hoạch chèn link (mới)'!$D$3:$D$2213=$B147),1),"""")"),"lãi suất chứng chỉ tiền gửi các ngân hàng")</f>
        <v>lãi suất chứng chỉ tiền gửi các ngân hàng</v>
      </c>
      <c r="H147" s="25" t="str">
        <f>IFERROR(__xludf.DUMMYFUNCTION("IFERROR(INDEX(FILTER('Kế hoạch chèn link (mới)'!$B$3:$B$2213,'Kế hoạch chèn link (mới)'!$D$3:$D$2213=$B147),1),"""")"),"https://techcombank.com/thong-tin/blog/lai-suat-chung-chi-tien-gui-cac-ngan-hang")</f>
        <v>https://techcombank.com/thong-tin/blog/lai-suat-chung-chi-tien-gui-cac-ngan-hang</v>
      </c>
      <c r="I147" s="25" t="str">
        <f>IFERROR(__xludf.DUMMYFUNCTION("IFERROR(INDEX(FILTER('Kế hoạch chèn link (mới)'!$C$3:$C$2213,'Kế hoạch chèn link (mới)'!$D$3:$D$2213=$B147),2),"""")"),"lãi suất ngân hàng")</f>
        <v>lãi suất ngân hàng</v>
      </c>
      <c r="J147" s="25" t="str">
        <f>IFERROR(__xludf.DUMMYFUNCTION("IFERROR(INDEX(FILTER('Kế hoạch chèn link (mới)'!$B$3:$B$2213,'Kế hoạch chèn link (mới)'!$D$3:$D$2213=$B147),2),"""")"),"https://techcombank.com/thong-tin/blog/lai-suat-tiet-kiem")</f>
        <v>https://techcombank.com/thong-tin/blog/lai-suat-tiet-kiem</v>
      </c>
      <c r="K147" s="25" t="str">
        <f>IFERROR(__xludf.DUMMYFUNCTION("IFERROR(INDEX(FILTER('Kế hoạch chèn link (mới)'!$C$3:$C$2213,'Kế hoạch chèn link (mới)'!$D$3:$D$2213=$B147),3),"""")"),"gửi tiết kiệm online có an toàn không")</f>
        <v>gửi tiết kiệm online có an toàn không</v>
      </c>
      <c r="L147" s="25" t="str">
        <f>IFERROR(__xludf.DUMMYFUNCTION("IFERROR(INDEX(FILTER('Kế hoạch chèn link (mới)'!$B$3:$B$2213,'Kế hoạch chèn link (mới)'!$D$3:$D$2213=$B147),3),"""")"),"https://techcombank.com/thong-tin/blog/rui-ro-khi-gui-tiet-kiem-online")</f>
        <v>https://techcombank.com/thong-tin/blog/rui-ro-khi-gui-tiet-kiem-online</v>
      </c>
      <c r="M147" s="25" t="str">
        <f>IFERROR(__xludf.DUMMYFUNCTION("IFERROR(INDEX(FILTER('Kế hoạch chèn link (mới)'!$C$3:$C$2213,'Kế hoạch chèn link (mới)'!$D$3:$D$2213=$B147),4),"""")"),"bảng tính lãi suất tiết kiệm")</f>
        <v>bảng tính lãi suất tiết kiệm</v>
      </c>
      <c r="N147" s="25" t="str">
        <f>IFERROR(__xludf.DUMMYFUNCTION("IFERROR(INDEX(FILTER('Kế hoạch chèn link (mới)'!$B$3:$B$2213,'Kế hoạch chèn link (mới)'!$D$3:$D$2213=$B147),4),"""")"),"https://techcombank.com/cong-cu-tien-ich/cong-cu-tinh-toan/bang-tinh-lai-suat-tiet-kiem")</f>
        <v>https://techcombank.com/cong-cu-tien-ich/cong-cu-tinh-toan/bang-tinh-lai-suat-tiet-kiem</v>
      </c>
      <c r="O147" s="25" t="str">
        <f>IFERROR(__xludf.DUMMYFUNCTION("IFERROR(INDEX(FILTER('Kế hoạch chèn link (mới)'!$C$3:$C$2213,'Kế hoạch chèn link (mới)'!$D$3:$D$2213=$B147),5),"""")"),"")</f>
        <v/>
      </c>
      <c r="P147" s="25" t="str">
        <f>IFERROR(__xludf.DUMMYFUNCTION("IFERROR(INDEX(FILTER('Kế hoạch chèn link (mới)'!$B$3:$B$2213,'Kế hoạch chèn link (mới)'!$D$3:$D$2213=$B147),5),"""")"),"")</f>
        <v/>
      </c>
    </row>
    <row r="148">
      <c r="A148" s="6">
        <f t="shared" si="1"/>
        <v>147</v>
      </c>
      <c r="B148" s="8" t="s">
        <v>2771</v>
      </c>
      <c r="C148" s="6">
        <f>COUNTIF('Kế hoạch chèn link (mới)'!$D$3:$D$2213,$B148)</f>
        <v>4</v>
      </c>
      <c r="D148" s="8" t="str">
        <f>IF(COUNTIFS('Kế hoạch chèn link (mới)'!$D$3:$D$2213,$B148,'Kế hoạch chèn link (mới)'!$I$3:$I$2213,"Đã chèn")&gt;=$C148,"Đã hoàn thành",IF(COUNTIFS('Kế hoạch chèn link (mới)'!$D$3:$D$2213,$B148,'Kế hoạch chèn link (mới)'!$I$3:$I$2213,"Đã chèn")&gt;0,"Đang làm","Chưa hoàn thành"))</f>
        <v>Chưa hoàn thành</v>
      </c>
      <c r="E148" s="8" t="b">
        <f t="shared" si="2"/>
        <v>0</v>
      </c>
      <c r="F148" s="25"/>
      <c r="G148" s="25" t="str">
        <f>IFERROR(__xludf.DUMMYFUNCTION("IFERROR(INDEX(FILTER('Kế hoạch chèn link (mới)'!$C$3:$C$2213,'Kế hoạch chèn link (mới)'!$D$3:$D$2213=$B148),1),"""")"),"chứng chỉ tiền gửi")</f>
        <v>chứng chỉ tiền gửi</v>
      </c>
      <c r="H148" s="25" t="str">
        <f>IFERROR(__xludf.DUMMYFUNCTION("IFERROR(INDEX(FILTER('Kế hoạch chèn link (mới)'!$B$3:$B$2213,'Kế hoạch chèn link (mới)'!$D$3:$D$2213=$B148),1),"""")"),"https://techcombank.com/thong-tin/blog/chung-chi-tien-gui-la-gi")</f>
        <v>https://techcombank.com/thong-tin/blog/chung-chi-tien-gui-la-gi</v>
      </c>
      <c r="I148" s="25" t="str">
        <f>IFERROR(__xludf.DUMMYFUNCTION("IFERROR(INDEX(FILTER('Kế hoạch chèn link (mới)'!$C$3:$C$2213,'Kế hoạch chèn link (mới)'!$D$3:$D$2213=$B148),2),"""")"),"tính lãi suất tiết kiệm")</f>
        <v>tính lãi suất tiết kiệm</v>
      </c>
      <c r="J148" s="25" t="str">
        <f>IFERROR(__xludf.DUMMYFUNCTION("IFERROR(INDEX(FILTER('Kế hoạch chèn link (mới)'!$B$3:$B$2213,'Kế hoạch chèn link (mới)'!$D$3:$D$2213=$B148),2),"""")"),"https://techcombank.com/thong-tin/blog/cach-tinh-lai-suat-tien-gui-tiet-kiem")</f>
        <v>https://techcombank.com/thong-tin/blog/cach-tinh-lai-suat-tien-gui-tiet-kiem</v>
      </c>
      <c r="K148" s="25" t="str">
        <f>IFERROR(__xludf.DUMMYFUNCTION("IFERROR(INDEX(FILTER('Kế hoạch chèn link (mới)'!$C$3:$C$2213,'Kế hoạch chèn link (mới)'!$D$3:$D$2213=$B148),3),"""")"),"rút tiết kiệm trước hạn")</f>
        <v>rút tiết kiệm trước hạn</v>
      </c>
      <c r="L148" s="25" t="str">
        <f>IFERROR(__xludf.DUMMYFUNCTION("IFERROR(INDEX(FILTER('Kế hoạch chèn link (mới)'!$B$3:$B$2213,'Kế hoạch chèn link (mới)'!$D$3:$D$2213=$B148),3),"""")"),"https://techcombank.com/thong-tin/blog/rut-tien-tiet-kiem-truoc-thoi-han")</f>
        <v>https://techcombank.com/thong-tin/blog/rut-tien-tiet-kiem-truoc-thoi-han</v>
      </c>
      <c r="M148" s="25" t="str">
        <f>IFERROR(__xludf.DUMMYFUNCTION("IFERROR(INDEX(FILTER('Kế hoạch chèn link (mới)'!$C$3:$C$2213,'Kế hoạch chèn link (mới)'!$D$3:$D$2213=$B148),4),"""")"),"bảng tính lãi suất tiết kiệm")</f>
        <v>bảng tính lãi suất tiết kiệm</v>
      </c>
      <c r="N148" s="25" t="str">
        <f>IFERROR(__xludf.DUMMYFUNCTION("IFERROR(INDEX(FILTER('Kế hoạch chèn link (mới)'!$B$3:$B$2213,'Kế hoạch chèn link (mới)'!$D$3:$D$2213=$B148),4),"""")"),"https://techcombank.com/cong-cu-tien-ich/cong-cu-tinh-toan/bang-tinh-lai-suat-tiet-kiem")</f>
        <v>https://techcombank.com/cong-cu-tien-ich/cong-cu-tinh-toan/bang-tinh-lai-suat-tiet-kiem</v>
      </c>
      <c r="O148" s="25" t="str">
        <f>IFERROR(__xludf.DUMMYFUNCTION("IFERROR(INDEX(FILTER('Kế hoạch chèn link (mới)'!$C$3:$C$2213,'Kế hoạch chèn link (mới)'!$D$3:$D$2213=$B148),5),"""")"),"")</f>
        <v/>
      </c>
      <c r="P148" s="25" t="str">
        <f>IFERROR(__xludf.DUMMYFUNCTION("IFERROR(INDEX(FILTER('Kế hoạch chèn link (mới)'!$B$3:$B$2213,'Kế hoạch chèn link (mới)'!$D$3:$D$2213=$B148),5),"""")"),"")</f>
        <v/>
      </c>
    </row>
    <row r="149">
      <c r="A149" s="6">
        <f t="shared" si="1"/>
        <v>148</v>
      </c>
      <c r="B149" s="8" t="s">
        <v>949</v>
      </c>
      <c r="C149" s="6">
        <f>COUNTIF('Kế hoạch chèn link (mới)'!$D$3:$D$2213,$B149)</f>
        <v>4</v>
      </c>
      <c r="D149" s="8" t="str">
        <f>IF(COUNTIFS('Kế hoạch chèn link (mới)'!$D$3:$D$2213,$B149,'Kế hoạch chèn link (mới)'!$I$3:$I$2213,"Đã chèn")&gt;=$C149,"Đã hoàn thành",IF(COUNTIFS('Kế hoạch chèn link (mới)'!$D$3:$D$2213,$B149,'Kế hoạch chèn link (mới)'!$I$3:$I$2213,"Đã chèn")&gt;0,"Đang làm","Chưa hoàn thành"))</f>
        <v>Chưa hoàn thành</v>
      </c>
      <c r="E149" s="8" t="b">
        <f t="shared" si="2"/>
        <v>0</v>
      </c>
      <c r="F149" s="25"/>
      <c r="G149" s="25" t="str">
        <f>IFERROR(__xludf.DUMMYFUNCTION("IFERROR(INDEX(FILTER('Kế hoạch chèn link (mới)'!$C$3:$C$2213,'Kế hoạch chèn link (mới)'!$D$3:$D$2213=$B149),1),"""")"),"lãi suất chứng chỉ tiền gửi các ngân hàng")</f>
        <v>lãi suất chứng chỉ tiền gửi các ngân hàng</v>
      </c>
      <c r="H149" s="25" t="str">
        <f>IFERROR(__xludf.DUMMYFUNCTION("IFERROR(INDEX(FILTER('Kế hoạch chèn link (mới)'!$B$3:$B$2213,'Kế hoạch chèn link (mới)'!$D$3:$D$2213=$B149),1),"""")"),"https://techcombank.com/thong-tin/blog/lai-suat-chung-chi-tien-gui-cac-ngan-hang")</f>
        <v>https://techcombank.com/thong-tin/blog/lai-suat-chung-chi-tien-gui-cac-ngan-hang</v>
      </c>
      <c r="I149" s="25" t="str">
        <f>IFERROR(__xludf.DUMMYFUNCTION("IFERROR(INDEX(FILTER('Kế hoạch chèn link (mới)'!$C$3:$C$2213,'Kế hoạch chèn link (mới)'!$D$3:$D$2213=$B149),2),"""")"),"lãi suất tiền gửi ngân hàng")</f>
        <v>lãi suất tiền gửi ngân hàng</v>
      </c>
      <c r="J149" s="25" t="str">
        <f>IFERROR(__xludf.DUMMYFUNCTION("IFERROR(INDEX(FILTER('Kế hoạch chèn link (mới)'!$B$3:$B$2213,'Kế hoạch chèn link (mới)'!$D$3:$D$2213=$B149),2),"""")"),"https://techcombank.com/thong-tin/blog/lai-suat-tiet-kiem")</f>
        <v>https://techcombank.com/thong-tin/blog/lai-suat-tiet-kiem</v>
      </c>
      <c r="K149" s="25" t="str">
        <f>IFERROR(__xludf.DUMMYFUNCTION("IFERROR(INDEX(FILTER('Kế hoạch chèn link (mới)'!$C$3:$C$2213,'Kế hoạch chèn link (mới)'!$D$3:$D$2213=$B149),3),"""")"),"tính lãi suất ngân hàng")</f>
        <v>tính lãi suất ngân hàng</v>
      </c>
      <c r="L149" s="25" t="str">
        <f>IFERROR(__xludf.DUMMYFUNCTION("IFERROR(INDEX(FILTER('Kế hoạch chèn link (mới)'!$B$3:$B$2213,'Kế hoạch chèn link (mới)'!$D$3:$D$2213=$B149),3),"""")"),"https://techcombank.com/thong-tin/blog/cach-tinh-lai-suat-tien-gui-tiet-kiem")</f>
        <v>https://techcombank.com/thong-tin/blog/cach-tinh-lai-suat-tien-gui-tiet-kiem</v>
      </c>
      <c r="M149" s="25" t="str">
        <f>IFERROR(__xludf.DUMMYFUNCTION("IFERROR(INDEX(FILTER('Kế hoạch chèn link (mới)'!$C$3:$C$2213,'Kế hoạch chèn link (mới)'!$D$3:$D$2213=$B149),4),"""")"),"sổ tiết kiệm")</f>
        <v>sổ tiết kiệm</v>
      </c>
      <c r="N149" s="25" t="str">
        <f>IFERROR(__xludf.DUMMYFUNCTION("IFERROR(INDEX(FILTER('Kế hoạch chèn link (mới)'!$B$3:$B$2213,'Kế hoạch chèn link (mới)'!$D$3:$D$2213=$B149),4),"""")"),"https://techcombank.com/thong-tin/blog/so-tiet-kiem-ngan-hang")</f>
        <v>https://techcombank.com/thong-tin/blog/so-tiet-kiem-ngan-hang</v>
      </c>
      <c r="O149" s="25" t="str">
        <f>IFERROR(__xludf.DUMMYFUNCTION("IFERROR(INDEX(FILTER('Kế hoạch chèn link (mới)'!$C$3:$C$2213,'Kế hoạch chèn link (mới)'!$D$3:$D$2213=$B149),5),"""")"),"")</f>
        <v/>
      </c>
      <c r="P149" s="25" t="str">
        <f>IFERROR(__xludf.DUMMYFUNCTION("IFERROR(INDEX(FILTER('Kế hoạch chèn link (mới)'!$B$3:$B$2213,'Kế hoạch chèn link (mới)'!$D$3:$D$2213=$B149),5),"""")"),"")</f>
        <v/>
      </c>
    </row>
    <row r="150">
      <c r="A150" s="6">
        <f t="shared" si="1"/>
        <v>149</v>
      </c>
      <c r="B150" s="8" t="s">
        <v>2772</v>
      </c>
      <c r="C150" s="6">
        <f>COUNTIF('Kế hoạch chèn link (mới)'!$D$3:$D$2213,$B150)</f>
        <v>2</v>
      </c>
      <c r="D150" s="8" t="str">
        <f>IF(COUNTIFS('Kế hoạch chèn link (mới)'!$D$3:$D$2213,$B150,'Kế hoạch chèn link (mới)'!$I$3:$I$2213,"Đã chèn")&gt;=$C150,"Đã hoàn thành",IF(COUNTIFS('Kế hoạch chèn link (mới)'!$D$3:$D$2213,$B150,'Kế hoạch chèn link (mới)'!$I$3:$I$2213,"Đã chèn")&gt;0,"Đang làm","Chưa hoàn thành"))</f>
        <v>Chưa hoàn thành</v>
      </c>
      <c r="E150" s="8" t="b">
        <f t="shared" si="2"/>
        <v>0</v>
      </c>
      <c r="F150" s="25"/>
      <c r="G150" s="25" t="str">
        <f>IFERROR(__xludf.DUMMYFUNCTION("IFERROR(INDEX(FILTER('Kế hoạch chèn link (mới)'!$C$3:$C$2213,'Kế hoạch chèn link (mới)'!$D$3:$D$2213=$B150),1),"""")"),"voucher Traveloka")</f>
        <v>voucher Traveloka</v>
      </c>
      <c r="H150" s="25" t="str">
        <f>IFERROR(__xludf.DUMMYFUNCTION("IFERROR(INDEX(FILTER('Kế hoạch chèn link (mới)'!$B$3:$B$2213,'Kế hoạch chèn link (mới)'!$D$3:$D$2213=$B150),1),"""")"),"https://techcombank.com/thong-tin/blog/traveloka-voucher")</f>
        <v>https://techcombank.com/thong-tin/blog/traveloka-voucher</v>
      </c>
      <c r="I150" s="25" t="str">
        <f>IFERROR(__xludf.DUMMYFUNCTION("IFERROR(INDEX(FILTER('Kế hoạch chèn link (mới)'!$C$3:$C$2213,'Kế hoạch chèn link (mới)'!$D$3:$D$2213=$B150),2),"""")"),"nên vay tín chấp ở đâu")</f>
        <v>nên vay tín chấp ở đâu</v>
      </c>
      <c r="J150" s="25" t="str">
        <f>IFERROR(__xludf.DUMMYFUNCTION("IFERROR(INDEX(FILTER('Kế hoạch chèn link (mới)'!$B$3:$B$2213,'Kế hoạch chèn link (mới)'!$D$3:$D$2213=$B150),2),"""")"),"https://techcombank.com/thong-tin/blog/nen-vay-tin-chap-o-dau")</f>
        <v>https://techcombank.com/thong-tin/blog/nen-vay-tin-chap-o-dau</v>
      </c>
      <c r="K150" s="25" t="str">
        <f>IFERROR(__xludf.DUMMYFUNCTION("IFERROR(INDEX(FILTER('Kế hoạch chèn link (mới)'!$C$3:$C$2213,'Kế hoạch chèn link (mới)'!$D$3:$D$2213=$B150),3),"""")"),"")</f>
        <v/>
      </c>
      <c r="L150" s="25" t="str">
        <f>IFERROR(__xludf.DUMMYFUNCTION("IFERROR(INDEX(FILTER('Kế hoạch chèn link (mới)'!$B$3:$B$2213,'Kế hoạch chèn link (mới)'!$D$3:$D$2213=$B150),3),"""")"),"")</f>
        <v/>
      </c>
      <c r="M150" s="25" t="str">
        <f>IFERROR(__xludf.DUMMYFUNCTION("IFERROR(INDEX(FILTER('Kế hoạch chèn link (mới)'!$C$3:$C$2213,'Kế hoạch chèn link (mới)'!$D$3:$D$2213=$B150),4),"""")"),"")</f>
        <v/>
      </c>
      <c r="N150" s="25" t="str">
        <f>IFERROR(__xludf.DUMMYFUNCTION("IFERROR(INDEX(FILTER('Kế hoạch chèn link (mới)'!$B$3:$B$2213,'Kế hoạch chèn link (mới)'!$D$3:$D$2213=$B150),4),"""")"),"")</f>
        <v/>
      </c>
      <c r="O150" s="25" t="str">
        <f>IFERROR(__xludf.DUMMYFUNCTION("IFERROR(INDEX(FILTER('Kế hoạch chèn link (mới)'!$C$3:$C$2213,'Kế hoạch chèn link (mới)'!$D$3:$D$2213=$B150),5),"""")"),"")</f>
        <v/>
      </c>
      <c r="P150" s="25" t="str">
        <f>IFERROR(__xludf.DUMMYFUNCTION("IFERROR(INDEX(FILTER('Kế hoạch chèn link (mới)'!$B$3:$B$2213,'Kế hoạch chèn link (mới)'!$D$3:$D$2213=$B150),5),"""")"),"")</f>
        <v/>
      </c>
    </row>
    <row r="151">
      <c r="A151" s="6">
        <f t="shared" si="1"/>
        <v>150</v>
      </c>
      <c r="B151" s="8" t="s">
        <v>800</v>
      </c>
      <c r="C151" s="6">
        <f>COUNTIF('Kế hoạch chèn link (mới)'!$D$3:$D$2213,$B151)</f>
        <v>4</v>
      </c>
      <c r="D151" s="8" t="str">
        <f>IF(COUNTIFS('Kế hoạch chèn link (mới)'!$D$3:$D$2213,$B151,'Kế hoạch chèn link (mới)'!$I$3:$I$2213,"Đã chèn")&gt;=$C151,"Đã hoàn thành",IF(COUNTIFS('Kế hoạch chèn link (mới)'!$D$3:$D$2213,$B151,'Kế hoạch chèn link (mới)'!$I$3:$I$2213,"Đã chèn")&gt;0,"Đang làm","Chưa hoàn thành"))</f>
        <v>Chưa hoàn thành</v>
      </c>
      <c r="E151" s="8" t="b">
        <f t="shared" si="2"/>
        <v>0</v>
      </c>
      <c r="F151" s="25"/>
      <c r="G151" s="25" t="str">
        <f>IFERROR(__xludf.DUMMYFUNCTION("IFERROR(INDEX(FILTER('Kế hoạch chèn link (mới)'!$C$3:$C$2213,'Kế hoạch chèn link (mới)'!$D$3:$D$2213=$B151),1),"""")"),"thuế thu nhập doanh nghiệp")</f>
        <v>thuế thu nhập doanh nghiệp</v>
      </c>
      <c r="H151" s="25" t="str">
        <f>IFERROR(__xludf.DUMMYFUNCTION("IFERROR(INDEX(FILTER('Kế hoạch chèn link (mới)'!$B$3:$B$2213,'Kế hoạch chèn link (mới)'!$D$3:$D$2213=$B151),1),"""")"),"https://techcombank.com/thong-tin/blog/thue-thu-nhap-doanh-nghiep")</f>
        <v>https://techcombank.com/thong-tin/blog/thue-thu-nhap-doanh-nghiep</v>
      </c>
      <c r="I151" s="25" t="str">
        <f>IFERROR(__xludf.DUMMYFUNCTION("IFERROR(INDEX(FILTER('Kế hoạch chèn link (mới)'!$C$3:$C$2213,'Kế hoạch chèn link (mới)'!$D$3:$D$2213=$B151),2),"""")"),"thuế giá trị gia tăng")</f>
        <v>thuế giá trị gia tăng</v>
      </c>
      <c r="J151" s="25" t="str">
        <f>IFERROR(__xludf.DUMMYFUNCTION("IFERROR(INDEX(FILTER('Kế hoạch chèn link (mới)'!$B$3:$B$2213,'Kế hoạch chèn link (mới)'!$D$3:$D$2213=$B151),2),"""")"),"https://techcombank.com/thong-tin/blog/thue-vat-la-gi")</f>
        <v>https://techcombank.com/thong-tin/blog/thue-vat-la-gi</v>
      </c>
      <c r="K151" s="25" t="str">
        <f>IFERROR(__xludf.DUMMYFUNCTION("IFERROR(INDEX(FILTER('Kế hoạch chèn link (mới)'!$C$3:$C$2213,'Kế hoạch chèn link (mới)'!$D$3:$D$2213=$B151),3),"""")"),"thuế doanh nghiệp")</f>
        <v>thuế doanh nghiệp</v>
      </c>
      <c r="L151" s="25" t="str">
        <f>IFERROR(__xludf.DUMMYFUNCTION("IFERROR(INDEX(FILTER('Kế hoạch chèn link (mới)'!$B$3:$B$2213,'Kế hoạch chèn link (mới)'!$D$3:$D$2213=$B151),3),"""")"),"https://techcombank.com/thong-tin/blog/thue-doanh-nghiep")</f>
        <v>https://techcombank.com/thong-tin/blog/thue-doanh-nghiep</v>
      </c>
      <c r="M151" s="25" t="str">
        <f>IFERROR(__xludf.DUMMYFUNCTION("IFERROR(INDEX(FILTER('Kế hoạch chèn link (mới)'!$C$3:$C$2213,'Kế hoạch chèn link (mới)'!$D$3:$D$2213=$B151),4),"""")"),"thuế thu nhập cá nhân")</f>
        <v>thuế thu nhập cá nhân</v>
      </c>
      <c r="N151" s="25" t="str">
        <f>IFERROR(__xludf.DUMMYFUNCTION("IFERROR(INDEX(FILTER('Kế hoạch chèn link (mới)'!$B$3:$B$2213,'Kế hoạch chèn link (mới)'!$D$3:$D$2213=$B151),4),"""")"),"https://techcombank.com/thong-tin/blog/cach-tinh-thue-thu-nhap-ca-nhan-2025")</f>
        <v>https://techcombank.com/thong-tin/blog/cach-tinh-thue-thu-nhap-ca-nhan-2025</v>
      </c>
      <c r="O151" s="25" t="str">
        <f>IFERROR(__xludf.DUMMYFUNCTION("IFERROR(INDEX(FILTER('Kế hoạch chèn link (mới)'!$C$3:$C$2213,'Kế hoạch chèn link (mới)'!$D$3:$D$2213=$B151),5),"""")"),"")</f>
        <v/>
      </c>
      <c r="P151" s="25" t="str">
        <f>IFERROR(__xludf.DUMMYFUNCTION("IFERROR(INDEX(FILTER('Kế hoạch chèn link (mới)'!$B$3:$B$2213,'Kế hoạch chèn link (mới)'!$D$3:$D$2213=$B151),5),"""")"),"")</f>
        <v/>
      </c>
    </row>
    <row r="152">
      <c r="A152" s="6">
        <f t="shared" si="1"/>
        <v>151</v>
      </c>
      <c r="B152" s="8" t="s">
        <v>2373</v>
      </c>
      <c r="C152" s="6">
        <f>COUNTIF('Kế hoạch chèn link (mới)'!$D$3:$D$2213,$B152)</f>
        <v>3</v>
      </c>
      <c r="D152" s="8" t="str">
        <f>IF(COUNTIFS('Kế hoạch chèn link (mới)'!$D$3:$D$2213,$B152,'Kế hoạch chèn link (mới)'!$I$3:$I$2213,"Đã chèn")&gt;=$C152,"Đã hoàn thành",IF(COUNTIFS('Kế hoạch chèn link (mới)'!$D$3:$D$2213,$B152,'Kế hoạch chèn link (mới)'!$I$3:$I$2213,"Đã chèn")&gt;0,"Đang làm","Chưa hoàn thành"))</f>
        <v>Chưa hoàn thành</v>
      </c>
      <c r="E152" s="8" t="b">
        <f t="shared" si="2"/>
        <v>0</v>
      </c>
      <c r="F152" s="25"/>
      <c r="G152" s="25" t="str">
        <f>IFERROR(__xludf.DUMMYFUNCTION("IFERROR(INDEX(FILTER('Kế hoạch chèn link (mới)'!$C$3:$C$2213,'Kế hoạch chèn link (mới)'!$D$3:$D$2213=$B152),1),"""")"),"thuế hộ kinh doanh")</f>
        <v>thuế hộ kinh doanh</v>
      </c>
      <c r="H152" s="25" t="str">
        <f>IFERROR(__xludf.DUMMYFUNCTION("IFERROR(INDEX(FILTER('Kế hoạch chèn link (mới)'!$B$3:$B$2213,'Kế hoạch chèn link (mới)'!$D$3:$D$2213=$B152),1),"""")"),"https://techcombank.com/thong-tin/blog/ho-kinh-doanh-dong-thue-nhu-nao")</f>
        <v>https://techcombank.com/thong-tin/blog/ho-kinh-doanh-dong-thue-nhu-nao</v>
      </c>
      <c r="I152" s="25" t="str">
        <f>IFERROR(__xludf.DUMMYFUNCTION("IFERROR(INDEX(FILTER('Kế hoạch chèn link (mới)'!$C$3:$C$2213,'Kế hoạch chèn link (mới)'!$D$3:$D$2213=$B152),2),"""")"),"tài khoản hộ kinh doanh")</f>
        <v>tài khoản hộ kinh doanh</v>
      </c>
      <c r="J152" s="25" t="str">
        <f>IFERROR(__xludf.DUMMYFUNCTION("IFERROR(INDEX(FILTER('Kế hoạch chèn link (mới)'!$B$3:$B$2213,'Kế hoạch chèn link (mới)'!$D$3:$D$2213=$B152),2),"""")"),"https://techcombank.com/thong-tin/blog/mo-tai-khoan-ho-kinh-doanh")</f>
        <v>https://techcombank.com/thong-tin/blog/mo-tai-khoan-ho-kinh-doanh</v>
      </c>
      <c r="K152" s="25" t="str">
        <f>IFERROR(__xludf.DUMMYFUNCTION("IFERROR(INDEX(FILTER('Kế hoạch chèn link (mới)'!$C$3:$C$2213,'Kế hoạch chèn link (mới)'!$D$3:$D$2213=$B152),3),"""")"),"cách tính thuế hộ kinh doanh")</f>
        <v>cách tính thuế hộ kinh doanh</v>
      </c>
      <c r="L152" s="25" t="str">
        <f>IFERROR(__xludf.DUMMYFUNCTION("IFERROR(INDEX(FILTER('Kế hoạch chèn link (mới)'!$B$3:$B$2213,'Kế hoạch chèn link (mới)'!$D$3:$D$2213=$B152),3),"""")"),"https://techcombank.com/thong-tin/blog/cach-tinh-thue-ho-kinh-doanh-nho-le")</f>
        <v>https://techcombank.com/thong-tin/blog/cach-tinh-thue-ho-kinh-doanh-nho-le</v>
      </c>
      <c r="M152" s="25" t="str">
        <f>IFERROR(__xludf.DUMMYFUNCTION("IFERROR(INDEX(FILTER('Kế hoạch chèn link (mới)'!$C$3:$C$2213,'Kế hoạch chèn link (mới)'!$D$3:$D$2213=$B152),4),"""")"),"")</f>
        <v/>
      </c>
      <c r="N152" s="25" t="str">
        <f>IFERROR(__xludf.DUMMYFUNCTION("IFERROR(INDEX(FILTER('Kế hoạch chèn link (mới)'!$B$3:$B$2213,'Kế hoạch chèn link (mới)'!$D$3:$D$2213=$B152),4),"""")"),"")</f>
        <v/>
      </c>
      <c r="O152" s="25" t="str">
        <f>IFERROR(__xludf.DUMMYFUNCTION("IFERROR(INDEX(FILTER('Kế hoạch chèn link (mới)'!$C$3:$C$2213,'Kế hoạch chèn link (mới)'!$D$3:$D$2213=$B152),5),"""")"),"")</f>
        <v/>
      </c>
      <c r="P152" s="25" t="str">
        <f>IFERROR(__xludf.DUMMYFUNCTION("IFERROR(INDEX(FILTER('Kế hoạch chèn link (mới)'!$B$3:$B$2213,'Kế hoạch chèn link (mới)'!$D$3:$D$2213=$B152),5),"""")"),"")</f>
        <v/>
      </c>
    </row>
    <row r="153">
      <c r="A153" s="6">
        <f t="shared" si="1"/>
        <v>152</v>
      </c>
      <c r="B153" s="8" t="s">
        <v>2775</v>
      </c>
      <c r="C153" s="6">
        <f>COUNTIF('Kế hoạch chèn link (mới)'!$D$3:$D$2213,$B153)</f>
        <v>3</v>
      </c>
      <c r="D153" s="8" t="str">
        <f>IF(COUNTIFS('Kế hoạch chèn link (mới)'!$D$3:$D$2213,$B153,'Kế hoạch chèn link (mới)'!$I$3:$I$2213,"Đã chèn")&gt;=$C153,"Đã hoàn thành",IF(COUNTIFS('Kế hoạch chèn link (mới)'!$D$3:$D$2213,$B153,'Kế hoạch chèn link (mới)'!$I$3:$I$2213,"Đã chèn")&gt;0,"Đang làm","Chưa hoàn thành"))</f>
        <v>Chưa hoàn thành</v>
      </c>
      <c r="E153" s="8" t="b">
        <f t="shared" si="2"/>
        <v>0</v>
      </c>
      <c r="F153" s="25"/>
      <c r="G153" s="25" t="str">
        <f>IFERROR(__xludf.DUMMYFUNCTION("IFERROR(INDEX(FILTER('Kế hoạch chèn link (mới)'!$C$3:$C$2213,'Kế hoạch chèn link (mới)'!$D$3:$D$2213=$B153),1),"""")"),"quét NFC CCCD trên iPhone")</f>
        <v>quét NFC CCCD trên iPhone</v>
      </c>
      <c r="H153" s="25" t="str">
        <f>IFERROR(__xludf.DUMMYFUNCTION("IFERROR(INDEX(FILTER('Kế hoạch chèn link (mới)'!$B$3:$B$2213,'Kế hoạch chèn link (mới)'!$D$3:$D$2213=$B153),1),"""")"),"https://techcombank.com/thong-tin/blog/cach-quet-nfc-cccd-tren-iphone")</f>
        <v>https://techcombank.com/thong-tin/blog/cach-quet-nfc-cccd-tren-iphone</v>
      </c>
      <c r="I153" s="25" t="str">
        <f>IFERROR(__xludf.DUMMYFUNCTION("IFERROR(INDEX(FILTER('Kế hoạch chèn link (mới)'!$C$3:$C$2213,'Kế hoạch chèn link (mới)'!$D$3:$D$2213=$B153),2),"""")"),"thuế hộ kinh doanh")</f>
        <v>thuế hộ kinh doanh</v>
      </c>
      <c r="J153" s="25" t="str">
        <f>IFERROR(__xludf.DUMMYFUNCTION("IFERROR(INDEX(FILTER('Kế hoạch chèn link (mới)'!$B$3:$B$2213,'Kế hoạch chèn link (mới)'!$D$3:$D$2213=$B153),2),"""")"),"https://techcombank.com/thong-tin/blog/ho-kinh-doanh-dong-thue-nhu-nao")</f>
        <v>https://techcombank.com/thong-tin/blog/ho-kinh-doanh-dong-thue-nhu-nao</v>
      </c>
      <c r="K153" s="25" t="str">
        <f>IFERROR(__xludf.DUMMYFUNCTION("IFERROR(INDEX(FILTER('Kế hoạch chèn link (mới)'!$C$3:$C$2213,'Kế hoạch chèn link (mới)'!$D$3:$D$2213=$B153),3),"""")"),"cách gửi mã QR ngân hàng")</f>
        <v>cách gửi mã QR ngân hàng</v>
      </c>
      <c r="L153" s="25" t="str">
        <f>IFERROR(__xludf.DUMMYFUNCTION("IFERROR(INDEX(FILTER('Kế hoạch chèn link (mới)'!$B$3:$B$2213,'Kế hoạch chèn link (mới)'!$D$3:$D$2213=$B153),3),"""")"),"https://techcombank.com/thong-tin/blog/gui-ma-qr-ngan-hang")</f>
        <v>https://techcombank.com/thong-tin/blog/gui-ma-qr-ngan-hang</v>
      </c>
      <c r="M153" s="25" t="str">
        <f>IFERROR(__xludf.DUMMYFUNCTION("IFERROR(INDEX(FILTER('Kế hoạch chèn link (mới)'!$C$3:$C$2213,'Kế hoạch chèn link (mới)'!$D$3:$D$2213=$B153),4),"""")"),"")</f>
        <v/>
      </c>
      <c r="N153" s="25" t="str">
        <f>IFERROR(__xludf.DUMMYFUNCTION("IFERROR(INDEX(FILTER('Kế hoạch chèn link (mới)'!$B$3:$B$2213,'Kế hoạch chèn link (mới)'!$D$3:$D$2213=$B153),4),"""")"),"")</f>
        <v/>
      </c>
      <c r="O153" s="25" t="str">
        <f>IFERROR(__xludf.DUMMYFUNCTION("IFERROR(INDEX(FILTER('Kế hoạch chèn link (mới)'!$C$3:$C$2213,'Kế hoạch chèn link (mới)'!$D$3:$D$2213=$B153),5),"""")"),"")</f>
        <v/>
      </c>
      <c r="P153" s="25" t="str">
        <f>IFERROR(__xludf.DUMMYFUNCTION("IFERROR(INDEX(FILTER('Kế hoạch chèn link (mới)'!$B$3:$B$2213,'Kế hoạch chèn link (mới)'!$D$3:$D$2213=$B153),5),"""")"),"")</f>
        <v/>
      </c>
    </row>
    <row r="154">
      <c r="A154" s="6">
        <f t="shared" si="1"/>
        <v>153</v>
      </c>
      <c r="B154" s="8" t="s">
        <v>2776</v>
      </c>
      <c r="C154" s="6">
        <f>COUNTIF('Kế hoạch chèn link (mới)'!$D$3:$D$2213,$B154)</f>
        <v>2</v>
      </c>
      <c r="D154" s="8" t="str">
        <f>IF(COUNTIFS('Kế hoạch chèn link (mới)'!$D$3:$D$2213,$B154,'Kế hoạch chèn link (mới)'!$I$3:$I$2213,"Đã chèn")&gt;=$C154,"Đã hoàn thành",IF(COUNTIFS('Kế hoạch chèn link (mới)'!$D$3:$D$2213,$B154,'Kế hoạch chèn link (mới)'!$I$3:$I$2213,"Đã chèn")&gt;0,"Đang làm","Chưa hoàn thành"))</f>
        <v>Chưa hoàn thành</v>
      </c>
      <c r="E154" s="8" t="b">
        <f t="shared" si="2"/>
        <v>0</v>
      </c>
      <c r="F154" s="25"/>
      <c r="G154" s="25" t="str">
        <f>IFERROR(__xludf.DUMMYFUNCTION("IFERROR(INDEX(FILTER('Kế hoạch chèn link (mới)'!$C$3:$C$2213,'Kế hoạch chèn link (mới)'!$D$3:$D$2213=$B154),1),"""")"),"mô hình kinh doanh")</f>
        <v>mô hình kinh doanh</v>
      </c>
      <c r="H154" s="25" t="str">
        <f>IFERROR(__xludf.DUMMYFUNCTION("IFERROR(INDEX(FILTER('Kế hoạch chèn link (mới)'!$B$3:$B$2213,'Kế hoạch chèn link (mới)'!$D$3:$D$2213=$B154),1),"""")"),"https://techcombank.com/thong-tin/blog/mo-hinh-kinh-doanh-la-gi")</f>
        <v>https://techcombank.com/thong-tin/blog/mo-hinh-kinh-doanh-la-gi</v>
      </c>
      <c r="I154" s="25" t="str">
        <f>IFERROR(__xludf.DUMMYFUNCTION("IFERROR(INDEX(FILTER('Kế hoạch chèn link (mới)'!$C$3:$C$2213,'Kế hoạch chèn link (mới)'!$D$3:$D$2213=$B154),2),"""")"),"tính lãi suất vay ngân hàng")</f>
        <v>tính lãi suất vay ngân hàng</v>
      </c>
      <c r="J154" s="25" t="str">
        <f>IFERROR(__xludf.DUMMYFUNCTION("IFERROR(INDEX(FILTER('Kế hoạch chèn link (mới)'!$B$3:$B$2213,'Kế hoạch chèn link (mới)'!$D$3:$D$2213=$B154),2),"""")"),"https://techcombank.com/cong-cu-tien-ich/cong-cu-tinh-toan/bang-tinh-lai-suat-vay")</f>
        <v>https://techcombank.com/cong-cu-tien-ich/cong-cu-tinh-toan/bang-tinh-lai-suat-vay</v>
      </c>
      <c r="K154" s="25" t="str">
        <f>IFERROR(__xludf.DUMMYFUNCTION("IFERROR(INDEX(FILTER('Kế hoạch chèn link (mới)'!$C$3:$C$2213,'Kế hoạch chèn link (mới)'!$D$3:$D$2213=$B154),3),"""")"),"")</f>
        <v/>
      </c>
      <c r="L154" s="25" t="str">
        <f>IFERROR(__xludf.DUMMYFUNCTION("IFERROR(INDEX(FILTER('Kế hoạch chèn link (mới)'!$B$3:$B$2213,'Kế hoạch chèn link (mới)'!$D$3:$D$2213=$B154),3),"""")"),"")</f>
        <v/>
      </c>
      <c r="M154" s="25" t="str">
        <f>IFERROR(__xludf.DUMMYFUNCTION("IFERROR(INDEX(FILTER('Kế hoạch chèn link (mới)'!$C$3:$C$2213,'Kế hoạch chèn link (mới)'!$D$3:$D$2213=$B154),4),"""")"),"")</f>
        <v/>
      </c>
      <c r="N154" s="25" t="str">
        <f>IFERROR(__xludf.DUMMYFUNCTION("IFERROR(INDEX(FILTER('Kế hoạch chèn link (mới)'!$B$3:$B$2213,'Kế hoạch chèn link (mới)'!$D$3:$D$2213=$B154),4),"""")"),"")</f>
        <v/>
      </c>
      <c r="O154" s="25" t="str">
        <f>IFERROR(__xludf.DUMMYFUNCTION("IFERROR(INDEX(FILTER('Kế hoạch chèn link (mới)'!$C$3:$C$2213,'Kế hoạch chèn link (mới)'!$D$3:$D$2213=$B154),5),"""")"),"")</f>
        <v/>
      </c>
      <c r="P154" s="25" t="str">
        <f>IFERROR(__xludf.DUMMYFUNCTION("IFERROR(INDEX(FILTER('Kế hoạch chèn link (mới)'!$B$3:$B$2213,'Kế hoạch chèn link (mới)'!$D$3:$D$2213=$B154),5),"""")"),"")</f>
        <v/>
      </c>
    </row>
    <row r="155">
      <c r="A155" s="6">
        <f t="shared" si="1"/>
        <v>154</v>
      </c>
      <c r="B155" s="8" t="s">
        <v>2777</v>
      </c>
      <c r="C155" s="6">
        <f>COUNTIF('Kế hoạch chèn link (mới)'!$D$3:$D$2213,$B155)</f>
        <v>1</v>
      </c>
      <c r="D155" s="8" t="str">
        <f>IF(COUNTIFS('Kế hoạch chèn link (mới)'!$D$3:$D$2213,$B155,'Kế hoạch chèn link (mới)'!$I$3:$I$2213,"Đã chèn")&gt;=$C155,"Đã hoàn thành",IF(COUNTIFS('Kế hoạch chèn link (mới)'!$D$3:$D$2213,$B155,'Kế hoạch chèn link (mới)'!$I$3:$I$2213,"Đã chèn")&gt;0,"Đang làm","Chưa hoàn thành"))</f>
        <v>Chưa hoàn thành</v>
      </c>
      <c r="E155" s="8" t="b">
        <f t="shared" si="2"/>
        <v>0</v>
      </c>
      <c r="F155" s="25"/>
      <c r="G155" s="25" t="str">
        <f>IFERROR(__xludf.DUMMYFUNCTION("IFERROR(INDEX(FILTER('Kế hoạch chèn link (mới)'!$C$3:$C$2213,'Kế hoạch chèn link (mới)'!$D$3:$D$2213=$B155),1),"""")"),"tính lãi vay ngân hàng")</f>
        <v>tính lãi vay ngân hàng</v>
      </c>
      <c r="H155" s="25" t="str">
        <f>IFERROR(__xludf.DUMMYFUNCTION("IFERROR(INDEX(FILTER('Kế hoạch chèn link (mới)'!$B$3:$B$2213,'Kế hoạch chèn link (mới)'!$D$3:$D$2213=$B155),1),"""")"),"https://techcombank.com/cong-cu-tien-ich/cong-cu-tinh-toan/bang-tinh-lai-suat-vay")</f>
        <v>https://techcombank.com/cong-cu-tien-ich/cong-cu-tinh-toan/bang-tinh-lai-suat-vay</v>
      </c>
      <c r="I155" s="25" t="str">
        <f>IFERROR(__xludf.DUMMYFUNCTION("IFERROR(INDEX(FILTER('Kế hoạch chèn link (mới)'!$C$3:$C$2213,'Kế hoạch chèn link (mới)'!$D$3:$D$2213=$B155),2),"""")"),"")</f>
        <v/>
      </c>
      <c r="J155" s="25" t="str">
        <f>IFERROR(__xludf.DUMMYFUNCTION("IFERROR(INDEX(FILTER('Kế hoạch chèn link (mới)'!$B$3:$B$2213,'Kế hoạch chèn link (mới)'!$D$3:$D$2213=$B155),2),"""")"),"")</f>
        <v/>
      </c>
      <c r="K155" s="25" t="str">
        <f>IFERROR(__xludf.DUMMYFUNCTION("IFERROR(INDEX(FILTER('Kế hoạch chèn link (mới)'!$C$3:$C$2213,'Kế hoạch chèn link (mới)'!$D$3:$D$2213=$B155),3),"""")"),"")</f>
        <v/>
      </c>
      <c r="L155" s="25" t="str">
        <f>IFERROR(__xludf.DUMMYFUNCTION("IFERROR(INDEX(FILTER('Kế hoạch chèn link (mới)'!$B$3:$B$2213,'Kế hoạch chèn link (mới)'!$D$3:$D$2213=$B155),3),"""")"),"")</f>
        <v/>
      </c>
      <c r="M155" s="25" t="str">
        <f>IFERROR(__xludf.DUMMYFUNCTION("IFERROR(INDEX(FILTER('Kế hoạch chèn link (mới)'!$C$3:$C$2213,'Kế hoạch chèn link (mới)'!$D$3:$D$2213=$B155),4),"""")"),"")</f>
        <v/>
      </c>
      <c r="N155" s="25" t="str">
        <f>IFERROR(__xludf.DUMMYFUNCTION("IFERROR(INDEX(FILTER('Kế hoạch chèn link (mới)'!$B$3:$B$2213,'Kế hoạch chèn link (mới)'!$D$3:$D$2213=$B155),4),"""")"),"")</f>
        <v/>
      </c>
      <c r="O155" s="25" t="str">
        <f>IFERROR(__xludf.DUMMYFUNCTION("IFERROR(INDEX(FILTER('Kế hoạch chèn link (mới)'!$C$3:$C$2213,'Kế hoạch chèn link (mới)'!$D$3:$D$2213=$B155),5),"""")"),"")</f>
        <v/>
      </c>
      <c r="P155" s="25" t="str">
        <f>IFERROR(__xludf.DUMMYFUNCTION("IFERROR(INDEX(FILTER('Kế hoạch chèn link (mới)'!$B$3:$B$2213,'Kế hoạch chèn link (mới)'!$D$3:$D$2213=$B155),5),"""")"),"")</f>
        <v/>
      </c>
    </row>
    <row r="156">
      <c r="A156" s="6">
        <f t="shared" si="1"/>
        <v>155</v>
      </c>
      <c r="B156" s="8" t="s">
        <v>1993</v>
      </c>
      <c r="C156" s="6">
        <f>COUNTIF('Kế hoạch chèn link (mới)'!$D$3:$D$2213,$B156)</f>
        <v>1</v>
      </c>
      <c r="D156" s="8" t="str">
        <f>IF(COUNTIFS('Kế hoạch chèn link (mới)'!$D$3:$D$2213,$B156,'Kế hoạch chèn link (mới)'!$I$3:$I$2213,"Đã chèn")&gt;=$C156,"Đã hoàn thành",IF(COUNTIFS('Kế hoạch chèn link (mới)'!$D$3:$D$2213,$B156,'Kế hoạch chèn link (mới)'!$I$3:$I$2213,"Đã chèn")&gt;0,"Đang làm","Chưa hoàn thành"))</f>
        <v>Chưa hoàn thành</v>
      </c>
      <c r="E156" s="8" t="b">
        <f t="shared" si="2"/>
        <v>0</v>
      </c>
      <c r="F156" s="25"/>
      <c r="G156" s="25" t="str">
        <f>IFERROR(__xludf.DUMMYFUNCTION("IFERROR(INDEX(FILTER('Kế hoạch chèn link (mới)'!$C$3:$C$2213,'Kế hoạch chèn link (mới)'!$D$3:$D$2213=$B156),1),"""")"),"tiền chuyển khoản bị treo")</f>
        <v>tiền chuyển khoản bị treo</v>
      </c>
      <c r="H156" s="25" t="str">
        <f>IFERROR(__xludf.DUMMYFUNCTION("IFERROR(INDEX(FILTER('Kế hoạch chèn link (mới)'!$B$3:$B$2213,'Kế hoạch chèn link (mới)'!$D$3:$D$2213=$B156),1),"""")"),"https://techcombank.com/thong-tin/blog/chuyen-khoan-thanh-cong-nhung-khong-nhan-duoc-tien")</f>
        <v>https://techcombank.com/thong-tin/blog/chuyen-khoan-thanh-cong-nhung-khong-nhan-duoc-tien</v>
      </c>
      <c r="I156" s="25" t="str">
        <f>IFERROR(__xludf.DUMMYFUNCTION("IFERROR(INDEX(FILTER('Kế hoạch chèn link (mới)'!$C$3:$C$2213,'Kế hoạch chèn link (mới)'!$D$3:$D$2213=$B156),2),"""")"),"")</f>
        <v/>
      </c>
      <c r="J156" s="25" t="str">
        <f>IFERROR(__xludf.DUMMYFUNCTION("IFERROR(INDEX(FILTER('Kế hoạch chèn link (mới)'!$B$3:$B$2213,'Kế hoạch chèn link (mới)'!$D$3:$D$2213=$B156),2),"""")"),"")</f>
        <v/>
      </c>
      <c r="K156" s="25" t="str">
        <f>IFERROR(__xludf.DUMMYFUNCTION("IFERROR(INDEX(FILTER('Kế hoạch chèn link (mới)'!$C$3:$C$2213,'Kế hoạch chèn link (mới)'!$D$3:$D$2213=$B156),3),"""")"),"")</f>
        <v/>
      </c>
      <c r="L156" s="25" t="str">
        <f>IFERROR(__xludf.DUMMYFUNCTION("IFERROR(INDEX(FILTER('Kế hoạch chèn link (mới)'!$B$3:$B$2213,'Kế hoạch chèn link (mới)'!$D$3:$D$2213=$B156),3),"""")"),"")</f>
        <v/>
      </c>
      <c r="M156" s="25" t="str">
        <f>IFERROR(__xludf.DUMMYFUNCTION("IFERROR(INDEX(FILTER('Kế hoạch chèn link (mới)'!$C$3:$C$2213,'Kế hoạch chèn link (mới)'!$D$3:$D$2213=$B156),4),"""")"),"")</f>
        <v/>
      </c>
      <c r="N156" s="25" t="str">
        <f>IFERROR(__xludf.DUMMYFUNCTION("IFERROR(INDEX(FILTER('Kế hoạch chèn link (mới)'!$B$3:$B$2213,'Kế hoạch chèn link (mới)'!$D$3:$D$2213=$B156),4),"""")"),"")</f>
        <v/>
      </c>
      <c r="O156" s="25" t="str">
        <f>IFERROR(__xludf.DUMMYFUNCTION("IFERROR(INDEX(FILTER('Kế hoạch chèn link (mới)'!$C$3:$C$2213,'Kế hoạch chèn link (mới)'!$D$3:$D$2213=$B156),5),"""")"),"")</f>
        <v/>
      </c>
      <c r="P156" s="25" t="str">
        <f>IFERROR(__xludf.DUMMYFUNCTION("IFERROR(INDEX(FILTER('Kế hoạch chèn link (mới)'!$B$3:$B$2213,'Kế hoạch chèn link (mới)'!$D$3:$D$2213=$B156),5),"""")"),"")</f>
        <v/>
      </c>
    </row>
    <row r="157">
      <c r="A157" s="6">
        <f t="shared" si="1"/>
        <v>156</v>
      </c>
      <c r="B157" s="8" t="s">
        <v>1525</v>
      </c>
      <c r="C157" s="6">
        <f>COUNTIF('Kế hoạch chèn link (mới)'!$D$3:$D$2213,$B157)</f>
        <v>3</v>
      </c>
      <c r="D157" s="8" t="str">
        <f>IF(COUNTIFS('Kế hoạch chèn link (mới)'!$D$3:$D$2213,$B157,'Kế hoạch chèn link (mới)'!$I$3:$I$2213,"Đã chèn")&gt;=$C157,"Đã hoàn thành",IF(COUNTIFS('Kế hoạch chèn link (mới)'!$D$3:$D$2213,$B157,'Kế hoạch chèn link (mới)'!$I$3:$I$2213,"Đã chèn")&gt;0,"Đang làm","Chưa hoàn thành"))</f>
        <v>Chưa hoàn thành</v>
      </c>
      <c r="E157" s="8" t="b">
        <f t="shared" si="2"/>
        <v>0</v>
      </c>
      <c r="F157" s="25"/>
      <c r="G157" s="25" t="str">
        <f>IFERROR(__xludf.DUMMYFUNCTION("IFERROR(INDEX(FILTER('Kế hoạch chèn link (mới)'!$C$3:$C$2213,'Kế hoạch chèn link (mới)'!$D$3:$D$2213=$B157),1),"""")"),"thuế thu nhập cá nhân")</f>
        <v>thuế thu nhập cá nhân</v>
      </c>
      <c r="H157" s="25" t="str">
        <f>IFERROR(__xludf.DUMMYFUNCTION("IFERROR(INDEX(FILTER('Kế hoạch chèn link (mới)'!$B$3:$B$2213,'Kế hoạch chèn link (mới)'!$D$3:$D$2213=$B157),1),"""")"),"https://techcombank.com/thong-tin/blog/cach-tinh-thue-thu-nhap-ca-nhan-2025")</f>
        <v>https://techcombank.com/thong-tin/blog/cach-tinh-thue-thu-nhap-ca-nhan-2025</v>
      </c>
      <c r="I157" s="25" t="str">
        <f>IFERROR(__xludf.DUMMYFUNCTION("IFERROR(INDEX(FILTER('Kế hoạch chèn link (mới)'!$C$3:$C$2213,'Kế hoạch chèn link (mới)'!$D$3:$D$2213=$B157),2),"""")"),"lãi suất chứng chỉ tiền gửi")</f>
        <v>lãi suất chứng chỉ tiền gửi</v>
      </c>
      <c r="J157" s="25" t="str">
        <f>IFERROR(__xludf.DUMMYFUNCTION("IFERROR(INDEX(FILTER('Kế hoạch chèn link (mới)'!$B$3:$B$2213,'Kế hoạch chèn link (mới)'!$D$3:$D$2213=$B157),2),"""")"),"https://techcombank.com/thong-tin/blog/lai-suat-chung-chi-tien-gui-cac-ngan-hang")</f>
        <v>https://techcombank.com/thong-tin/blog/lai-suat-chung-chi-tien-gui-cac-ngan-hang</v>
      </c>
      <c r="K157" s="25" t="str">
        <f>IFERROR(__xludf.DUMMYFUNCTION("IFERROR(INDEX(FILTER('Kế hoạch chèn link (mới)'!$C$3:$C$2213,'Kế hoạch chèn link (mới)'!$D$3:$D$2213=$B157),3),"""")"),"lãi suất tiền gửi ngân hàng")</f>
        <v>lãi suất tiền gửi ngân hàng</v>
      </c>
      <c r="L157" s="25" t="str">
        <f>IFERROR(__xludf.DUMMYFUNCTION("IFERROR(INDEX(FILTER('Kế hoạch chèn link (mới)'!$B$3:$B$2213,'Kế hoạch chèn link (mới)'!$D$3:$D$2213=$B157),3),"""")"),"https://techcombank.com/thong-tin/blog/lai-suat-tiet-kiem")</f>
        <v>https://techcombank.com/thong-tin/blog/lai-suat-tiet-kiem</v>
      </c>
      <c r="M157" s="25" t="str">
        <f>IFERROR(__xludf.DUMMYFUNCTION("IFERROR(INDEX(FILTER('Kế hoạch chèn link (mới)'!$C$3:$C$2213,'Kế hoạch chèn link (mới)'!$D$3:$D$2213=$B157),4),"""")"),"")</f>
        <v/>
      </c>
      <c r="N157" s="25" t="str">
        <f>IFERROR(__xludf.DUMMYFUNCTION("IFERROR(INDEX(FILTER('Kế hoạch chèn link (mới)'!$B$3:$B$2213,'Kế hoạch chèn link (mới)'!$D$3:$D$2213=$B157),4),"""")"),"")</f>
        <v/>
      </c>
      <c r="O157" s="25" t="str">
        <f>IFERROR(__xludf.DUMMYFUNCTION("IFERROR(INDEX(FILTER('Kế hoạch chèn link (mới)'!$C$3:$C$2213,'Kế hoạch chèn link (mới)'!$D$3:$D$2213=$B157),5),"""")"),"")</f>
        <v/>
      </c>
      <c r="P157" s="25" t="str">
        <f>IFERROR(__xludf.DUMMYFUNCTION("IFERROR(INDEX(FILTER('Kế hoạch chèn link (mới)'!$B$3:$B$2213,'Kế hoạch chèn link (mới)'!$D$3:$D$2213=$B157),5),"""")"),"")</f>
        <v/>
      </c>
    </row>
    <row r="158">
      <c r="A158" s="6">
        <f t="shared" si="1"/>
        <v>157</v>
      </c>
      <c r="B158" s="8" t="s">
        <v>2780</v>
      </c>
      <c r="C158" s="6">
        <f>COUNTIF('Kế hoạch chèn link (mới)'!$D$3:$D$2213,$B158)</f>
        <v>1</v>
      </c>
      <c r="D158" s="8" t="str">
        <f>IF(COUNTIFS('Kế hoạch chèn link (mới)'!$D$3:$D$2213,$B158,'Kế hoạch chèn link (mới)'!$I$3:$I$2213,"Đã chèn")&gt;=$C158,"Đã hoàn thành",IF(COUNTIFS('Kế hoạch chèn link (mới)'!$D$3:$D$2213,$B158,'Kế hoạch chèn link (mới)'!$I$3:$I$2213,"Đã chèn")&gt;0,"Đang làm","Chưa hoàn thành"))</f>
        <v>Chưa hoàn thành</v>
      </c>
      <c r="E158" s="8" t="b">
        <f t="shared" si="2"/>
        <v>0</v>
      </c>
      <c r="F158" s="25"/>
      <c r="G158" s="25" t="str">
        <f>IFERROR(__xludf.DUMMYFUNCTION("IFERROR(INDEX(FILTER('Kế hoạch chèn link (mới)'!$C$3:$C$2213,'Kế hoạch chèn link (mới)'!$D$3:$D$2213=$B158),1),"""")"),"tỷ giá USD/VND")</f>
        <v>tỷ giá USD/VND</v>
      </c>
      <c r="H158" s="25" t="str">
        <f>IFERROR(__xludf.DUMMYFUNCTION("IFERROR(INDEX(FILTER('Kế hoạch chèn link (mới)'!$B$3:$B$2213,'Kế hoạch chèn link (mới)'!$D$3:$D$2213=$B158),1),"""")"),"https://techcombank.com/thong-tin/blog/1-dong-do-la-my-bang-bao-nhieu-tien-viet-nam")</f>
        <v>https://techcombank.com/thong-tin/blog/1-dong-do-la-my-bang-bao-nhieu-tien-viet-nam</v>
      </c>
      <c r="I158" s="25" t="str">
        <f>IFERROR(__xludf.DUMMYFUNCTION("IFERROR(INDEX(FILTER('Kế hoạch chèn link (mới)'!$C$3:$C$2213,'Kế hoạch chèn link (mới)'!$D$3:$D$2213=$B158),2),"""")"),"")</f>
        <v/>
      </c>
      <c r="J158" s="25" t="str">
        <f>IFERROR(__xludf.DUMMYFUNCTION("IFERROR(INDEX(FILTER('Kế hoạch chèn link (mới)'!$B$3:$B$2213,'Kế hoạch chèn link (mới)'!$D$3:$D$2213=$B158),2),"""")"),"")</f>
        <v/>
      </c>
      <c r="K158" s="25" t="str">
        <f>IFERROR(__xludf.DUMMYFUNCTION("IFERROR(INDEX(FILTER('Kế hoạch chèn link (mới)'!$C$3:$C$2213,'Kế hoạch chèn link (mới)'!$D$3:$D$2213=$B158),3),"""")"),"")</f>
        <v/>
      </c>
      <c r="L158" s="25" t="str">
        <f>IFERROR(__xludf.DUMMYFUNCTION("IFERROR(INDEX(FILTER('Kế hoạch chèn link (mới)'!$B$3:$B$2213,'Kế hoạch chèn link (mới)'!$D$3:$D$2213=$B158),3),"""")"),"")</f>
        <v/>
      </c>
      <c r="M158" s="25" t="str">
        <f>IFERROR(__xludf.DUMMYFUNCTION("IFERROR(INDEX(FILTER('Kế hoạch chèn link (mới)'!$C$3:$C$2213,'Kế hoạch chèn link (mới)'!$D$3:$D$2213=$B158),4),"""")"),"")</f>
        <v/>
      </c>
      <c r="N158" s="25" t="str">
        <f>IFERROR(__xludf.DUMMYFUNCTION("IFERROR(INDEX(FILTER('Kế hoạch chèn link (mới)'!$B$3:$B$2213,'Kế hoạch chèn link (mới)'!$D$3:$D$2213=$B158),4),"""")"),"")</f>
        <v/>
      </c>
      <c r="O158" s="25" t="str">
        <f>IFERROR(__xludf.DUMMYFUNCTION("IFERROR(INDEX(FILTER('Kế hoạch chèn link (mới)'!$C$3:$C$2213,'Kế hoạch chèn link (mới)'!$D$3:$D$2213=$B158),5),"""")"),"")</f>
        <v/>
      </c>
      <c r="P158" s="25" t="str">
        <f>IFERROR(__xludf.DUMMYFUNCTION("IFERROR(INDEX(FILTER('Kế hoạch chèn link (mới)'!$B$3:$B$2213,'Kế hoạch chèn link (mới)'!$D$3:$D$2213=$B158),5),"""")"),"")</f>
        <v/>
      </c>
    </row>
    <row r="159">
      <c r="A159" s="6">
        <f t="shared" si="1"/>
        <v>158</v>
      </c>
      <c r="B159" s="8" t="s">
        <v>2781</v>
      </c>
      <c r="C159" s="6">
        <f>COUNTIF('Kế hoạch chèn link (mới)'!$D$3:$D$2213,$B159)</f>
        <v>2</v>
      </c>
      <c r="D159" s="8" t="str">
        <f>IF(COUNTIFS('Kế hoạch chèn link (mới)'!$D$3:$D$2213,$B159,'Kế hoạch chèn link (mới)'!$I$3:$I$2213,"Đã chèn")&gt;=$C159,"Đã hoàn thành",IF(COUNTIFS('Kế hoạch chèn link (mới)'!$D$3:$D$2213,$B159,'Kế hoạch chèn link (mới)'!$I$3:$I$2213,"Đã chèn")&gt;0,"Đang làm","Chưa hoàn thành"))</f>
        <v>Chưa hoàn thành</v>
      </c>
      <c r="E159" s="8" t="b">
        <f t="shared" si="2"/>
        <v>0</v>
      </c>
      <c r="F159" s="25"/>
      <c r="G159" s="25" t="str">
        <f>IFERROR(__xludf.DUMMYFUNCTION("IFERROR(INDEX(FILTER('Kế hoạch chèn link (mới)'!$C$3:$C$2213,'Kế hoạch chèn link (mới)'!$D$3:$D$2213=$B159),1),"""")"),"tỷ giá Won")</f>
        <v>tỷ giá Won</v>
      </c>
      <c r="H159" s="25" t="str">
        <f>IFERROR(__xludf.DUMMYFUNCTION("IFERROR(INDEX(FILTER('Kế hoạch chèn link (mới)'!$B$3:$B$2213,'Kế hoạch chèn link (mới)'!$D$3:$D$2213=$B159),1),"""")"),"https://techcombank.com/thong-tin/blog/1-won-bang-bao-nhieu-tien-viet")</f>
        <v>https://techcombank.com/thong-tin/blog/1-won-bang-bao-nhieu-tien-viet</v>
      </c>
      <c r="I159" s="25" t="str">
        <f>IFERROR(__xludf.DUMMYFUNCTION("IFERROR(INDEX(FILTER('Kế hoạch chèn link (mới)'!$C$3:$C$2213,'Kế hoạch chèn link (mới)'!$D$3:$D$2213=$B159),2),"""")"),"nhận tiền từ nước ngoài")</f>
        <v>nhận tiền từ nước ngoài</v>
      </c>
      <c r="J159" s="25" t="str">
        <f>IFERROR(__xludf.DUMMYFUNCTION("IFERROR(INDEX(FILTER('Kế hoạch chèn link (mới)'!$B$3:$B$2213,'Kế hoạch chèn link (mới)'!$D$3:$D$2213=$B159),2),"""")"),"https://techcombank.com/thong-tin/blog/cach-nhan-tien-tu-nuoc-ngoai-ve-viet-nam")</f>
        <v>https://techcombank.com/thong-tin/blog/cach-nhan-tien-tu-nuoc-ngoai-ve-viet-nam</v>
      </c>
      <c r="K159" s="25" t="str">
        <f>IFERROR(__xludf.DUMMYFUNCTION("IFERROR(INDEX(FILTER('Kế hoạch chèn link (mới)'!$C$3:$C$2213,'Kế hoạch chèn link (mới)'!$D$3:$D$2213=$B159),3),"""")"),"")</f>
        <v/>
      </c>
      <c r="L159" s="25" t="str">
        <f>IFERROR(__xludf.DUMMYFUNCTION("IFERROR(INDEX(FILTER('Kế hoạch chèn link (mới)'!$B$3:$B$2213,'Kế hoạch chèn link (mới)'!$D$3:$D$2213=$B159),3),"""")"),"")</f>
        <v/>
      </c>
      <c r="M159" s="25" t="str">
        <f>IFERROR(__xludf.DUMMYFUNCTION("IFERROR(INDEX(FILTER('Kế hoạch chèn link (mới)'!$C$3:$C$2213,'Kế hoạch chèn link (mới)'!$D$3:$D$2213=$B159),4),"""")"),"")</f>
        <v/>
      </c>
      <c r="N159" s="25" t="str">
        <f>IFERROR(__xludf.DUMMYFUNCTION("IFERROR(INDEX(FILTER('Kế hoạch chèn link (mới)'!$B$3:$B$2213,'Kế hoạch chèn link (mới)'!$D$3:$D$2213=$B159),4),"""")"),"")</f>
        <v/>
      </c>
      <c r="O159" s="25" t="str">
        <f>IFERROR(__xludf.DUMMYFUNCTION("IFERROR(INDEX(FILTER('Kế hoạch chèn link (mới)'!$C$3:$C$2213,'Kế hoạch chèn link (mới)'!$D$3:$D$2213=$B159),5),"""")"),"")</f>
        <v/>
      </c>
      <c r="P159" s="25" t="str">
        <f>IFERROR(__xludf.DUMMYFUNCTION("IFERROR(INDEX(FILTER('Kế hoạch chèn link (mới)'!$B$3:$B$2213,'Kế hoạch chèn link (mới)'!$D$3:$D$2213=$B159),5),"""")"),"")</f>
        <v/>
      </c>
    </row>
    <row r="160">
      <c r="A160" s="6">
        <f t="shared" si="1"/>
        <v>159</v>
      </c>
      <c r="B160" s="8" t="s">
        <v>1866</v>
      </c>
      <c r="C160" s="6">
        <f>COUNTIF('Kế hoạch chèn link (mới)'!$D$3:$D$2213,$B160)</f>
        <v>3</v>
      </c>
      <c r="D160" s="8" t="str">
        <f>IF(COUNTIFS('Kế hoạch chèn link (mới)'!$D$3:$D$2213,$B160,'Kế hoạch chèn link (mới)'!$I$3:$I$2213,"Đã chèn")&gt;=$C160,"Đã hoàn thành",IF(COUNTIFS('Kế hoạch chèn link (mới)'!$D$3:$D$2213,$B160,'Kế hoạch chèn link (mới)'!$I$3:$I$2213,"Đã chèn")&gt;0,"Đang làm","Chưa hoàn thành"))</f>
        <v>Chưa hoàn thành</v>
      </c>
      <c r="E160" s="8" t="b">
        <f t="shared" si="2"/>
        <v>0</v>
      </c>
      <c r="F160" s="25"/>
      <c r="G160" s="25" t="str">
        <f>IFERROR(__xludf.DUMMYFUNCTION("IFERROR(INDEX(FILTER('Kế hoạch chèn link (mới)'!$C$3:$C$2213,'Kế hoạch chèn link (mới)'!$D$3:$D$2213=$B160),1),"""")"),"chọn ngân hàng uy tín")</f>
        <v>chọn ngân hàng uy tín</v>
      </c>
      <c r="H160" s="25" t="str">
        <f>IFERROR(__xludf.DUMMYFUNCTION("IFERROR(INDEX(FILTER('Kế hoạch chèn link (mới)'!$B$3:$B$2213,'Kế hoạch chèn link (mới)'!$D$3:$D$2213=$B160),1),"""")"),"https://techcombank.com/thong-tin/blog/ngan-hang-uy-tin")</f>
        <v>https://techcombank.com/thong-tin/blog/ngan-hang-uy-tin</v>
      </c>
      <c r="I160" s="25" t="str">
        <f>IFERROR(__xludf.DUMMYFUNCTION("IFERROR(INDEX(FILTER('Kế hoạch chèn link (mới)'!$C$3:$C$2213,'Kế hoạch chèn link (mới)'!$D$3:$D$2213=$B160),2),"""")"),"tỷ giá Nhân dân tệ")</f>
        <v>tỷ giá Nhân dân tệ</v>
      </c>
      <c r="J160" s="25" t="str">
        <f>IFERROR(__xludf.DUMMYFUNCTION("IFERROR(INDEX(FILTER('Kế hoạch chèn link (mới)'!$B$3:$B$2213,'Kế hoạch chèn link (mới)'!$D$3:$D$2213=$B160),2),"""")"),"https://techcombank.com/thong-tin/blog/1-te-bang-bao-nhieu-tien-viet-nam")</f>
        <v>https://techcombank.com/thong-tin/blog/1-te-bang-bao-nhieu-tien-viet-nam</v>
      </c>
      <c r="K160" s="25" t="str">
        <f>IFERROR(__xludf.DUMMYFUNCTION("IFERROR(INDEX(FILTER('Kế hoạch chèn link (mới)'!$C$3:$C$2213,'Kế hoạch chèn link (mới)'!$D$3:$D$2213=$B160),3),"""")"),"đổi tiền đô ở đâu")</f>
        <v>đổi tiền đô ở đâu</v>
      </c>
      <c r="L160" s="25" t="str">
        <f>IFERROR(__xludf.DUMMYFUNCTION("IFERROR(INDEX(FILTER('Kế hoạch chèn link (mới)'!$B$3:$B$2213,'Kế hoạch chèn link (mới)'!$D$3:$D$2213=$B160),3),"""")"),"https://techcombank.com/thong-tin/blog/doi-tien-do-o-dau")</f>
        <v>https://techcombank.com/thong-tin/blog/doi-tien-do-o-dau</v>
      </c>
      <c r="M160" s="25" t="str">
        <f>IFERROR(__xludf.DUMMYFUNCTION("IFERROR(INDEX(FILTER('Kế hoạch chèn link (mới)'!$C$3:$C$2213,'Kế hoạch chèn link (mới)'!$D$3:$D$2213=$B160),4),"""")"),"")</f>
        <v/>
      </c>
      <c r="N160" s="25" t="str">
        <f>IFERROR(__xludf.DUMMYFUNCTION("IFERROR(INDEX(FILTER('Kế hoạch chèn link (mới)'!$B$3:$B$2213,'Kế hoạch chèn link (mới)'!$D$3:$D$2213=$B160),4),"""")"),"")</f>
        <v/>
      </c>
      <c r="O160" s="25" t="str">
        <f>IFERROR(__xludf.DUMMYFUNCTION("IFERROR(INDEX(FILTER('Kế hoạch chèn link (mới)'!$C$3:$C$2213,'Kế hoạch chèn link (mới)'!$D$3:$D$2213=$B160),5),"""")"),"")</f>
        <v/>
      </c>
      <c r="P160" s="25" t="str">
        <f>IFERROR(__xludf.DUMMYFUNCTION("IFERROR(INDEX(FILTER('Kế hoạch chèn link (mới)'!$B$3:$B$2213,'Kế hoạch chèn link (mới)'!$D$3:$D$2213=$B160),5),"""")"),"")</f>
        <v/>
      </c>
    </row>
    <row r="161">
      <c r="A161" s="6">
        <f t="shared" si="1"/>
        <v>160</v>
      </c>
      <c r="B161" s="8" t="s">
        <v>2786</v>
      </c>
      <c r="C161" s="6">
        <f>COUNTIF('Kế hoạch chèn link (mới)'!$D$3:$D$2213,$B161)</f>
        <v>2</v>
      </c>
      <c r="D161" s="8" t="str">
        <f>IF(COUNTIFS('Kế hoạch chèn link (mới)'!$D$3:$D$2213,$B161,'Kế hoạch chèn link (mới)'!$I$3:$I$2213,"Đã chèn")&gt;=$C161,"Đã hoàn thành",IF(COUNTIFS('Kế hoạch chèn link (mới)'!$D$3:$D$2213,$B161,'Kế hoạch chèn link (mới)'!$I$3:$I$2213,"Đã chèn")&gt;0,"Đang làm","Chưa hoàn thành"))</f>
        <v>Chưa hoàn thành</v>
      </c>
      <c r="E161" s="8" t="b">
        <f t="shared" si="2"/>
        <v>0</v>
      </c>
      <c r="F161" s="25"/>
      <c r="G161" s="25" t="str">
        <f>IFERROR(__xludf.DUMMYFUNCTION("IFERROR(INDEX(FILTER('Kế hoạch chèn link (mới)'!$C$3:$C$2213,'Kế hoạch chèn link (mới)'!$D$3:$D$2213=$B161),1),"""")"),"tỷ giá Won")</f>
        <v>tỷ giá Won</v>
      </c>
      <c r="H161" s="25" t="str">
        <f>IFERROR(__xludf.DUMMYFUNCTION("IFERROR(INDEX(FILTER('Kế hoạch chèn link (mới)'!$B$3:$B$2213,'Kế hoạch chèn link (mới)'!$D$3:$D$2213=$B161),1),"""")"),"https://techcombank.com/thong-tin/blog/1-won-bang-bao-nhieu-tien-viet")</f>
        <v>https://techcombank.com/thong-tin/blog/1-won-bang-bao-nhieu-tien-viet</v>
      </c>
      <c r="I161" s="25" t="str">
        <f>IFERROR(__xludf.DUMMYFUNCTION("IFERROR(INDEX(FILTER('Kế hoạch chèn link (mới)'!$C$3:$C$2213,'Kế hoạch chèn link (mới)'!$D$3:$D$2213=$B161),2),"""")"),"1,000 won")</f>
        <v>1,000 won</v>
      </c>
      <c r="J161" s="25" t="str">
        <f>IFERROR(__xludf.DUMMYFUNCTION("IFERROR(INDEX(FILTER('Kế hoạch chèn link (mới)'!$B$3:$B$2213,'Kế hoạch chèn link (mới)'!$D$3:$D$2213=$B161),2),"""")"),"https://techcombank.com/thong-tin/blog/1000-won-bang-bao-nhieu-tien-viet")</f>
        <v>https://techcombank.com/thong-tin/blog/1000-won-bang-bao-nhieu-tien-viet</v>
      </c>
      <c r="K161" s="25" t="str">
        <f>IFERROR(__xludf.DUMMYFUNCTION("IFERROR(INDEX(FILTER('Kế hoạch chèn link (mới)'!$C$3:$C$2213,'Kế hoạch chèn link (mới)'!$D$3:$D$2213=$B161),3),"""")"),"")</f>
        <v/>
      </c>
      <c r="L161" s="25" t="str">
        <f>IFERROR(__xludf.DUMMYFUNCTION("IFERROR(INDEX(FILTER('Kế hoạch chèn link (mới)'!$B$3:$B$2213,'Kế hoạch chèn link (mới)'!$D$3:$D$2213=$B161),3),"""")"),"")</f>
        <v/>
      </c>
      <c r="M161" s="25" t="str">
        <f>IFERROR(__xludf.DUMMYFUNCTION("IFERROR(INDEX(FILTER('Kế hoạch chèn link (mới)'!$C$3:$C$2213,'Kế hoạch chèn link (mới)'!$D$3:$D$2213=$B161),4),"""")"),"")</f>
        <v/>
      </c>
      <c r="N161" s="25" t="str">
        <f>IFERROR(__xludf.DUMMYFUNCTION("IFERROR(INDEX(FILTER('Kế hoạch chèn link (mới)'!$B$3:$B$2213,'Kế hoạch chèn link (mới)'!$D$3:$D$2213=$B161),4),"""")"),"")</f>
        <v/>
      </c>
      <c r="O161" s="25" t="str">
        <f>IFERROR(__xludf.DUMMYFUNCTION("IFERROR(INDEX(FILTER('Kế hoạch chèn link (mới)'!$C$3:$C$2213,'Kế hoạch chèn link (mới)'!$D$3:$D$2213=$B161),5),"""")"),"")</f>
        <v/>
      </c>
      <c r="P161" s="25" t="str">
        <f>IFERROR(__xludf.DUMMYFUNCTION("IFERROR(INDEX(FILTER('Kế hoạch chèn link (mới)'!$B$3:$B$2213,'Kế hoạch chèn link (mới)'!$D$3:$D$2213=$B161),5),"""")"),"")</f>
        <v/>
      </c>
    </row>
    <row r="162">
      <c r="A162" s="6">
        <f t="shared" si="1"/>
        <v>161</v>
      </c>
      <c r="B162" s="8" t="s">
        <v>2787</v>
      </c>
      <c r="C162" s="6">
        <f>COUNTIF('Kế hoạch chèn link (mới)'!$D$3:$D$2213,$B162)</f>
        <v>3</v>
      </c>
      <c r="D162" s="8" t="str">
        <f>IF(COUNTIFS('Kế hoạch chèn link (mới)'!$D$3:$D$2213,$B162,'Kế hoạch chèn link (mới)'!$I$3:$I$2213,"Đã chèn")&gt;=$C162,"Đã hoàn thành",IF(COUNTIFS('Kế hoạch chèn link (mới)'!$D$3:$D$2213,$B162,'Kế hoạch chèn link (mới)'!$I$3:$I$2213,"Đã chèn")&gt;0,"Đang làm","Chưa hoàn thành"))</f>
        <v>Chưa hoàn thành</v>
      </c>
      <c r="E162" s="8" t="b">
        <f t="shared" si="2"/>
        <v>0</v>
      </c>
      <c r="F162" s="25"/>
      <c r="G162" s="25" t="str">
        <f>IFERROR(__xludf.DUMMYFUNCTION("IFERROR(INDEX(FILTER('Kế hoạch chèn link (mới)'!$C$3:$C$2213,'Kế hoạch chèn link (mới)'!$D$3:$D$2213=$B162),1),"""")"),"tỷ giá USD/VND")</f>
        <v>tỷ giá USD/VND</v>
      </c>
      <c r="H162" s="25" t="str">
        <f>IFERROR(__xludf.DUMMYFUNCTION("IFERROR(INDEX(FILTER('Kế hoạch chèn link (mới)'!$B$3:$B$2213,'Kế hoạch chèn link (mới)'!$D$3:$D$2213=$B162),1),"""")"),"https://techcombank.com/thong-tin/blog/1-dong-do-la-my-bang-bao-nhieu-tien-viet-nam")</f>
        <v>https://techcombank.com/thong-tin/blog/1-dong-do-la-my-bang-bao-nhieu-tien-viet-nam</v>
      </c>
      <c r="I162" s="25" t="str">
        <f>IFERROR(__xludf.DUMMYFUNCTION("IFERROR(INDEX(FILTER('Kế hoạch chèn link (mới)'!$C$3:$C$2213,'Kế hoạch chèn link (mới)'!$D$3:$D$2213=$B162),2),"""")"),"1 triệu đô bằng bao nhiêu tiền Việt")</f>
        <v>1 triệu đô bằng bao nhiêu tiền Việt</v>
      </c>
      <c r="J162" s="25" t="str">
        <f>IFERROR(__xludf.DUMMYFUNCTION("IFERROR(INDEX(FILTER('Kế hoạch chèn link (mới)'!$B$3:$B$2213,'Kế hoạch chèn link (mới)'!$D$3:$D$2213=$B162),2),"""")"),"https://techcombank.com/thong-tin/blog/1-trieu-do-bang-bao-nhieu-tien-viet")</f>
        <v>https://techcombank.com/thong-tin/blog/1-trieu-do-bang-bao-nhieu-tien-viet</v>
      </c>
      <c r="K162" s="25" t="str">
        <f>IFERROR(__xludf.DUMMYFUNCTION("IFERROR(INDEX(FILTER('Kế hoạch chèn link (mới)'!$C$3:$C$2213,'Kế hoạch chèn link (mới)'!$D$3:$D$2213=$B162),3),"""")"),"đổi tiền đô ở đâu")</f>
        <v>đổi tiền đô ở đâu</v>
      </c>
      <c r="L162" s="25" t="str">
        <f>IFERROR(__xludf.DUMMYFUNCTION("IFERROR(INDEX(FILTER('Kế hoạch chèn link (mới)'!$B$3:$B$2213,'Kế hoạch chèn link (mới)'!$D$3:$D$2213=$B162),3),"""")"),"https://techcombank.com/thong-tin/blog/doi-tien-do-o-dau")</f>
        <v>https://techcombank.com/thong-tin/blog/doi-tien-do-o-dau</v>
      </c>
      <c r="M162" s="25" t="str">
        <f>IFERROR(__xludf.DUMMYFUNCTION("IFERROR(INDEX(FILTER('Kế hoạch chèn link (mới)'!$C$3:$C$2213,'Kế hoạch chèn link (mới)'!$D$3:$D$2213=$B162),4),"""")"),"")</f>
        <v/>
      </c>
      <c r="N162" s="25" t="str">
        <f>IFERROR(__xludf.DUMMYFUNCTION("IFERROR(INDEX(FILTER('Kế hoạch chèn link (mới)'!$B$3:$B$2213,'Kế hoạch chèn link (mới)'!$D$3:$D$2213=$B162),4),"""")"),"")</f>
        <v/>
      </c>
      <c r="O162" s="25" t="str">
        <f>IFERROR(__xludf.DUMMYFUNCTION("IFERROR(INDEX(FILTER('Kế hoạch chèn link (mới)'!$C$3:$C$2213,'Kế hoạch chèn link (mới)'!$D$3:$D$2213=$B162),5),"""")"),"")</f>
        <v/>
      </c>
      <c r="P162" s="25" t="str">
        <f>IFERROR(__xludf.DUMMYFUNCTION("IFERROR(INDEX(FILTER('Kế hoạch chèn link (mới)'!$B$3:$B$2213,'Kế hoạch chèn link (mới)'!$D$3:$D$2213=$B162),5),"""")"),"")</f>
        <v/>
      </c>
    </row>
    <row r="163">
      <c r="A163" s="6">
        <f t="shared" si="1"/>
        <v>162</v>
      </c>
      <c r="B163" s="8" t="s">
        <v>2788</v>
      </c>
      <c r="C163" s="6">
        <f>COUNTIF('Kế hoạch chèn link (mới)'!$D$3:$D$2213,$B163)</f>
        <v>3</v>
      </c>
      <c r="D163" s="8" t="str">
        <f>IF(COUNTIFS('Kế hoạch chèn link (mới)'!$D$3:$D$2213,$B163,'Kế hoạch chèn link (mới)'!$I$3:$I$2213,"Đã chèn")&gt;=$C163,"Đã hoàn thành",IF(COUNTIFS('Kế hoạch chèn link (mới)'!$D$3:$D$2213,$B163,'Kế hoạch chèn link (mới)'!$I$3:$I$2213,"Đã chèn")&gt;0,"Đang làm","Chưa hoàn thành"))</f>
        <v>Chưa hoàn thành</v>
      </c>
      <c r="E163" s="8" t="b">
        <f t="shared" si="2"/>
        <v>0</v>
      </c>
      <c r="F163" s="25"/>
      <c r="G163" s="25" t="str">
        <f>IFERROR(__xludf.DUMMYFUNCTION("IFERROR(INDEX(FILTER('Kế hoạch chèn link (mới)'!$C$3:$C$2213,'Kế hoạch chèn link (mới)'!$D$3:$D$2213=$B163),1),"""")"),"tiền Yên Nhật")</f>
        <v>tiền Yên Nhật</v>
      </c>
      <c r="H163" s="25" t="str">
        <f>IFERROR(__xludf.DUMMYFUNCTION("IFERROR(INDEX(FILTER('Kế hoạch chèn link (mới)'!$B$3:$B$2213,'Kế hoạch chèn link (mới)'!$D$3:$D$2213=$B163),1),"""")"),"https://techcombank.com/thong-tin/blog/tien-nhat")</f>
        <v>https://techcombank.com/thong-tin/blog/tien-nhat</v>
      </c>
      <c r="I163" s="25" t="str">
        <f>IFERROR(__xludf.DUMMYFUNCTION("IFERROR(INDEX(FILTER('Kế hoạch chèn link (mới)'!$C$3:$C$2213,'Kế hoạch chèn link (mới)'!$D$3:$D$2213=$B163),2),"""")"),"tỷ giá Yên Nhật")</f>
        <v>tỷ giá Yên Nhật</v>
      </c>
      <c r="J163" s="25" t="str">
        <f>IFERROR(__xludf.DUMMYFUNCTION("IFERROR(INDEX(FILTER('Kế hoạch chèn link (mới)'!$B$3:$B$2213,'Kế hoạch chèn link (mới)'!$D$3:$D$2213=$B163),2),"""")"),"https://techcombank.com/thong-tin/blog/1-yen-bang-bao-nhieu-tien-viet-nam")</f>
        <v>https://techcombank.com/thong-tin/blog/1-yen-bang-bao-nhieu-tien-viet-nam</v>
      </c>
      <c r="K163" s="25" t="str">
        <f>IFERROR(__xludf.DUMMYFUNCTION("IFERROR(INDEX(FILTER('Kế hoạch chèn link (mới)'!$C$3:$C$2213,'Kế hoạch chèn link (mới)'!$D$3:$D$2213=$B163),3),"""")"),"1 Man Nhật")</f>
        <v>1 Man Nhật</v>
      </c>
      <c r="L163" s="25" t="str">
        <f>IFERROR(__xludf.DUMMYFUNCTION("IFERROR(INDEX(FILTER('Kế hoạch chèn link (mới)'!$B$3:$B$2213,'Kế hoạch chèn link (mới)'!$D$3:$D$2213=$B163),3),"""")"),"https://techcombank.com/thong-tin/blog/1-man-bang-bao-nhieu-tien-viet")</f>
        <v>https://techcombank.com/thong-tin/blog/1-man-bang-bao-nhieu-tien-viet</v>
      </c>
      <c r="M163" s="25" t="str">
        <f>IFERROR(__xludf.DUMMYFUNCTION("IFERROR(INDEX(FILTER('Kế hoạch chèn link (mới)'!$C$3:$C$2213,'Kế hoạch chèn link (mới)'!$D$3:$D$2213=$B163),4),"""")"),"")</f>
        <v/>
      </c>
      <c r="N163" s="25" t="str">
        <f>IFERROR(__xludf.DUMMYFUNCTION("IFERROR(INDEX(FILTER('Kế hoạch chèn link (mới)'!$B$3:$B$2213,'Kế hoạch chèn link (mới)'!$D$3:$D$2213=$B163),4),"""")"),"")</f>
        <v/>
      </c>
      <c r="O163" s="25" t="str">
        <f>IFERROR(__xludf.DUMMYFUNCTION("IFERROR(INDEX(FILTER('Kế hoạch chèn link (mới)'!$C$3:$C$2213,'Kế hoạch chèn link (mới)'!$D$3:$D$2213=$B163),5),"""")"),"")</f>
        <v/>
      </c>
      <c r="P163" s="25" t="str">
        <f>IFERROR(__xludf.DUMMYFUNCTION("IFERROR(INDEX(FILTER('Kế hoạch chèn link (mới)'!$B$3:$B$2213,'Kế hoạch chèn link (mới)'!$D$3:$D$2213=$B163),5),"""")"),"")</f>
        <v/>
      </c>
    </row>
    <row r="164">
      <c r="A164" s="6">
        <f t="shared" si="1"/>
        <v>163</v>
      </c>
      <c r="B164" s="8" t="s">
        <v>93</v>
      </c>
      <c r="C164" s="6">
        <f>COUNTIF('Kế hoạch chèn link (mới)'!$D$3:$D$2213,$B164)</f>
        <v>4</v>
      </c>
      <c r="D164" s="8" t="str">
        <f>IF(COUNTIFS('Kế hoạch chèn link (mới)'!$D$3:$D$2213,$B164,'Kế hoạch chèn link (mới)'!$I$3:$I$2213,"Đã chèn")&gt;=$C164,"Đã hoàn thành",IF(COUNTIFS('Kế hoạch chèn link (mới)'!$D$3:$D$2213,$B164,'Kế hoạch chèn link (mới)'!$I$3:$I$2213,"Đã chèn")&gt;0,"Đang làm","Chưa hoàn thành"))</f>
        <v>Chưa hoàn thành</v>
      </c>
      <c r="E164" s="8" t="b">
        <f t="shared" si="2"/>
        <v>0</v>
      </c>
      <c r="F164" s="25"/>
      <c r="G164" s="25" t="str">
        <f>IFERROR(__xludf.DUMMYFUNCTION("IFERROR(INDEX(FILTER('Kế hoạch chèn link (mới)'!$C$3:$C$2213,'Kế hoạch chèn link (mới)'!$D$3:$D$2213=$B164),1),"""")"),"sao kê tài khoản ngân hàng")</f>
        <v>sao kê tài khoản ngân hàng</v>
      </c>
      <c r="H164" s="25" t="str">
        <f>IFERROR(__xludf.DUMMYFUNCTION("IFERROR(INDEX(FILTER('Kế hoạch chèn link (mới)'!$B$3:$B$2213,'Kế hoạch chèn link (mới)'!$D$3:$D$2213=$B164),1),"""")"),"https://techcombank.com/thong-tin/blog/cach-sao-ke-tai-khoan-ngan-hang")</f>
        <v>https://techcombank.com/thong-tin/blog/cach-sao-ke-tai-khoan-ngan-hang</v>
      </c>
      <c r="I164" s="25" t="str">
        <f>IFERROR(__xludf.DUMMYFUNCTION("IFERROR(INDEX(FILTER('Kế hoạch chèn link (mới)'!$C$3:$C$2213,'Kế hoạch chèn link (mới)'!$D$3:$D$2213=$B164),2),"""")"),"vay tiền")</f>
        <v>vay tiền</v>
      </c>
      <c r="J164" s="25" t="str">
        <f>IFERROR(__xludf.DUMMYFUNCTION("IFERROR(INDEX(FILTER('Kế hoạch chèn link (mới)'!$B$3:$B$2213,'Kế hoạch chèn link (mới)'!$D$3:$D$2213=$B164),2),"""")"),"https://techcombank.com/thong-tin/blog/app-vay-tien-nhanh")</f>
        <v>https://techcombank.com/thong-tin/blog/app-vay-tien-nhanh</v>
      </c>
      <c r="K164" s="25" t="str">
        <f>IFERROR(__xludf.DUMMYFUNCTION("IFERROR(INDEX(FILTER('Kế hoạch chèn link (mới)'!$C$3:$C$2213,'Kế hoạch chèn link (mới)'!$D$3:$D$2213=$B164),3),"""")"),"tra cứu nợ xấu")</f>
        <v>tra cứu nợ xấu</v>
      </c>
      <c r="L164" s="25" t="str">
        <f>IFERROR(__xludf.DUMMYFUNCTION("IFERROR(INDEX(FILTER('Kế hoạch chèn link (mới)'!$B$3:$B$2213,'Kế hoạch chèn link (mới)'!$D$3:$D$2213=$B164),3),"""")"),"https://techcombank.com/thong-tin/blog/kiem-tra-no-xau")</f>
        <v>https://techcombank.com/thong-tin/blog/kiem-tra-no-xau</v>
      </c>
      <c r="M164" s="25" t="str">
        <f>IFERROR(__xludf.DUMMYFUNCTION("IFERROR(INDEX(FILTER('Kế hoạch chèn link (mới)'!$C$3:$C$2213,'Kế hoạch chèn link (mới)'!$D$3:$D$2213=$B164),4),"""")"),"nợ xấu")</f>
        <v>nợ xấu</v>
      </c>
      <c r="N164" s="25" t="str">
        <f>IFERROR(__xludf.DUMMYFUNCTION("IFERROR(INDEX(FILTER('Kế hoạch chèn link (mới)'!$B$3:$B$2213,'Kế hoạch chèn link (mới)'!$D$3:$D$2213=$B164),4),"""")"),"https://techcombank.com/thong-tin/blog/no-xau-la-gi")</f>
        <v>https://techcombank.com/thong-tin/blog/no-xau-la-gi</v>
      </c>
      <c r="O164" s="25" t="str">
        <f>IFERROR(__xludf.DUMMYFUNCTION("IFERROR(INDEX(FILTER('Kế hoạch chèn link (mới)'!$C$3:$C$2213,'Kế hoạch chèn link (mới)'!$D$3:$D$2213=$B164),5),"""")"),"")</f>
        <v/>
      </c>
      <c r="P164" s="25" t="str">
        <f>IFERROR(__xludf.DUMMYFUNCTION("IFERROR(INDEX(FILTER('Kế hoạch chèn link (mới)'!$B$3:$B$2213,'Kế hoạch chèn link (mới)'!$D$3:$D$2213=$B164),5),"""")"),"")</f>
        <v/>
      </c>
    </row>
    <row r="165">
      <c r="A165" s="6">
        <f t="shared" si="1"/>
        <v>164</v>
      </c>
      <c r="B165" s="8" t="s">
        <v>149</v>
      </c>
      <c r="C165" s="6">
        <f>COUNTIF('Kế hoạch chèn link (mới)'!$D$3:$D$2213,$B165)</f>
        <v>2</v>
      </c>
      <c r="D165" s="8" t="str">
        <f>IF(COUNTIFS('Kế hoạch chèn link (mới)'!$D$3:$D$2213,$B165,'Kế hoạch chèn link (mới)'!$I$3:$I$2213,"Đã chèn")&gt;=$C165,"Đã hoàn thành",IF(COUNTIFS('Kế hoạch chèn link (mới)'!$D$3:$D$2213,$B165,'Kế hoạch chèn link (mới)'!$I$3:$I$2213,"Đã chèn")&gt;0,"Đang làm","Chưa hoàn thành"))</f>
        <v>Chưa hoàn thành</v>
      </c>
      <c r="E165" s="8" t="b">
        <f t="shared" si="2"/>
        <v>0</v>
      </c>
      <c r="F165" s="25"/>
      <c r="G165" s="25" t="str">
        <f>IFERROR(__xludf.DUMMYFUNCTION("IFERROR(INDEX(FILTER('Kế hoạch chèn link (mới)'!$C$3:$C$2213,'Kế hoạch chèn link (mới)'!$D$3:$D$2213=$B165),1),"""")"),"lãi suất vay mua ô tô")</f>
        <v>lãi suất vay mua ô tô</v>
      </c>
      <c r="H165" s="25" t="str">
        <f>IFERROR(__xludf.DUMMYFUNCTION("IFERROR(INDEX(FILTER('Kế hoạch chèn link (mới)'!$B$3:$B$2213,'Kế hoạch chèn link (mới)'!$D$3:$D$2213=$B165),1),"""")"),"https://techcombank.com/thong-tin/blog/lai-suat-vay-mua-o-to")</f>
        <v>https://techcombank.com/thong-tin/blog/lai-suat-vay-mua-o-to</v>
      </c>
      <c r="I165" s="25" t="str">
        <f>IFERROR(__xludf.DUMMYFUNCTION("IFERROR(INDEX(FILTER('Kế hoạch chèn link (mới)'!$C$3:$C$2213,'Kế hoạch chèn link (mới)'!$D$3:$D$2213=$B165),2),"""")"),"tính lãi suất vay ngân hàng")</f>
        <v>tính lãi suất vay ngân hàng</v>
      </c>
      <c r="J165" s="25" t="str">
        <f>IFERROR(__xludf.DUMMYFUNCTION("IFERROR(INDEX(FILTER('Kế hoạch chèn link (mới)'!$B$3:$B$2213,'Kế hoạch chèn link (mới)'!$D$3:$D$2213=$B165),2),"""")"),"https://techcombank.com/cong-cu-tien-ich/cong-cu-tinh-toan/bang-tinh-lai-suat-vay")</f>
        <v>https://techcombank.com/cong-cu-tien-ich/cong-cu-tinh-toan/bang-tinh-lai-suat-vay</v>
      </c>
      <c r="K165" s="25" t="str">
        <f>IFERROR(__xludf.DUMMYFUNCTION("IFERROR(INDEX(FILTER('Kế hoạch chèn link (mới)'!$C$3:$C$2213,'Kế hoạch chèn link (mới)'!$D$3:$D$2213=$B165),3),"""")"),"")</f>
        <v/>
      </c>
      <c r="L165" s="25" t="str">
        <f>IFERROR(__xludf.DUMMYFUNCTION("IFERROR(INDEX(FILTER('Kế hoạch chèn link (mới)'!$B$3:$B$2213,'Kế hoạch chèn link (mới)'!$D$3:$D$2213=$B165),3),"""")"),"")</f>
        <v/>
      </c>
      <c r="M165" s="25" t="str">
        <f>IFERROR(__xludf.DUMMYFUNCTION("IFERROR(INDEX(FILTER('Kế hoạch chèn link (mới)'!$C$3:$C$2213,'Kế hoạch chèn link (mới)'!$D$3:$D$2213=$B165),4),"""")"),"")</f>
        <v/>
      </c>
      <c r="N165" s="25" t="str">
        <f>IFERROR(__xludf.DUMMYFUNCTION("IFERROR(INDEX(FILTER('Kế hoạch chèn link (mới)'!$B$3:$B$2213,'Kế hoạch chèn link (mới)'!$D$3:$D$2213=$B165),4),"""")"),"")</f>
        <v/>
      </c>
      <c r="O165" s="25" t="str">
        <f>IFERROR(__xludf.DUMMYFUNCTION("IFERROR(INDEX(FILTER('Kế hoạch chèn link (mới)'!$C$3:$C$2213,'Kế hoạch chèn link (mới)'!$D$3:$D$2213=$B165),5),"""")"),"")</f>
        <v/>
      </c>
      <c r="P165" s="25" t="str">
        <f>IFERROR(__xludf.DUMMYFUNCTION("IFERROR(INDEX(FILTER('Kế hoạch chèn link (mới)'!$B$3:$B$2213,'Kế hoạch chèn link (mới)'!$D$3:$D$2213=$B165),5),"""")"),"")</f>
        <v/>
      </c>
    </row>
    <row r="166">
      <c r="A166" s="6">
        <f t="shared" si="1"/>
        <v>165</v>
      </c>
      <c r="B166" s="8" t="s">
        <v>2792</v>
      </c>
      <c r="C166" s="6">
        <f>COUNTIF('Kế hoạch chèn link (mới)'!$D$3:$D$2213,$B166)</f>
        <v>3</v>
      </c>
      <c r="D166" s="8" t="str">
        <f>IF(COUNTIFS('Kế hoạch chèn link (mới)'!$D$3:$D$2213,$B166,'Kế hoạch chèn link (mới)'!$I$3:$I$2213,"Đã chèn")&gt;=$C166,"Đã hoàn thành",IF(COUNTIFS('Kế hoạch chèn link (mới)'!$D$3:$D$2213,$B166,'Kế hoạch chèn link (mới)'!$I$3:$I$2213,"Đã chèn")&gt;0,"Đang làm","Chưa hoàn thành"))</f>
        <v>Chưa hoàn thành</v>
      </c>
      <c r="E166" s="8" t="b">
        <f t="shared" si="2"/>
        <v>0</v>
      </c>
      <c r="F166" s="25"/>
      <c r="G166" s="25" t="str">
        <f>IFERROR(__xludf.DUMMYFUNCTION("IFERROR(INDEX(FILTER('Kế hoạch chèn link (mới)'!$C$3:$C$2213,'Kế hoạch chèn link (mới)'!$D$3:$D$2213=$B166),1),"""")"),"tính lãi suất ngân hàng")</f>
        <v>tính lãi suất ngân hàng</v>
      </c>
      <c r="H166" s="25" t="str">
        <f>IFERROR(__xludf.DUMMYFUNCTION("IFERROR(INDEX(FILTER('Kế hoạch chèn link (mới)'!$B$3:$B$2213,'Kế hoạch chèn link (mới)'!$D$3:$D$2213=$B166),1),"""")"),"https://techcombank.com/thong-tin/blog/cach-tinh-lai-suat-tien-gui-tiet-kiem")</f>
        <v>https://techcombank.com/thong-tin/blog/cach-tinh-lai-suat-tien-gui-tiet-kiem</v>
      </c>
      <c r="I166" s="25" t="str">
        <f>IFERROR(__xludf.DUMMYFUNCTION("IFERROR(INDEX(FILTER('Kế hoạch chèn link (mới)'!$C$3:$C$2213,'Kế hoạch chèn link (mới)'!$D$3:$D$2213=$B166),2),"""")"),"rủi ro khi gửi tiết kiệm online")</f>
        <v>rủi ro khi gửi tiết kiệm online</v>
      </c>
      <c r="J166" s="25" t="str">
        <f>IFERROR(__xludf.DUMMYFUNCTION("IFERROR(INDEX(FILTER('Kế hoạch chèn link (mới)'!$B$3:$B$2213,'Kế hoạch chèn link (mới)'!$D$3:$D$2213=$B166),2),"""")"),"https://techcombank.com/thong-tin/blog/rui-ro-khi-gui-tiet-kiem-online")</f>
        <v>https://techcombank.com/thong-tin/blog/rui-ro-khi-gui-tiet-kiem-online</v>
      </c>
      <c r="K166" s="25" t="str">
        <f>IFERROR(__xludf.DUMMYFUNCTION("IFERROR(INDEX(FILTER('Kế hoạch chèn link (mới)'!$C$3:$C$2213,'Kế hoạch chèn link (mới)'!$D$3:$D$2213=$B166),3),"""")"),"công cụ tính lãi tiết kiệm")</f>
        <v>công cụ tính lãi tiết kiệm</v>
      </c>
      <c r="L166" s="25" t="str">
        <f>IFERROR(__xludf.DUMMYFUNCTION("IFERROR(INDEX(FILTER('Kế hoạch chèn link (mới)'!$B$3:$B$2213,'Kế hoạch chèn link (mới)'!$D$3:$D$2213=$B166),3),"""")"),"https://techcombank.com/cong-cu-tien-ich/cong-cu-tinh-toan/bang-tinh-lai-suat-tiet-kiem")</f>
        <v>https://techcombank.com/cong-cu-tien-ich/cong-cu-tinh-toan/bang-tinh-lai-suat-tiet-kiem</v>
      </c>
      <c r="M166" s="25" t="str">
        <f>IFERROR(__xludf.DUMMYFUNCTION("IFERROR(INDEX(FILTER('Kế hoạch chèn link (mới)'!$C$3:$C$2213,'Kế hoạch chèn link (mới)'!$D$3:$D$2213=$B166),4),"""")"),"")</f>
        <v/>
      </c>
      <c r="N166" s="25" t="str">
        <f>IFERROR(__xludf.DUMMYFUNCTION("IFERROR(INDEX(FILTER('Kế hoạch chèn link (mới)'!$B$3:$B$2213,'Kế hoạch chèn link (mới)'!$D$3:$D$2213=$B166),4),"""")"),"")</f>
        <v/>
      </c>
      <c r="O166" s="25" t="str">
        <f>IFERROR(__xludf.DUMMYFUNCTION("IFERROR(INDEX(FILTER('Kế hoạch chèn link (mới)'!$C$3:$C$2213,'Kế hoạch chèn link (mới)'!$D$3:$D$2213=$B166),5),"""")"),"")</f>
        <v/>
      </c>
      <c r="P166" s="25" t="str">
        <f>IFERROR(__xludf.DUMMYFUNCTION("IFERROR(INDEX(FILTER('Kế hoạch chèn link (mới)'!$B$3:$B$2213,'Kế hoạch chèn link (mới)'!$D$3:$D$2213=$B166),5),"""")"),"")</f>
        <v/>
      </c>
    </row>
    <row r="167">
      <c r="A167" s="6">
        <f t="shared" si="1"/>
        <v>166</v>
      </c>
      <c r="B167" s="8" t="s">
        <v>1421</v>
      </c>
      <c r="C167" s="6">
        <f>COUNTIF('Kế hoạch chèn link (mới)'!$D$3:$D$2213,$B167)</f>
        <v>1</v>
      </c>
      <c r="D167" s="8" t="str">
        <f>IF(COUNTIFS('Kế hoạch chèn link (mới)'!$D$3:$D$2213,$B167,'Kế hoạch chèn link (mới)'!$I$3:$I$2213,"Đã chèn")&gt;=$C167,"Đã hoàn thành",IF(COUNTIFS('Kế hoạch chèn link (mới)'!$D$3:$D$2213,$B167,'Kế hoạch chèn link (mới)'!$I$3:$I$2213,"Đã chèn")&gt;0,"Đang làm","Chưa hoàn thành"))</f>
        <v>Chưa hoàn thành</v>
      </c>
      <c r="E167" s="8" t="b">
        <f t="shared" si="2"/>
        <v>0</v>
      </c>
      <c r="F167" s="25"/>
      <c r="G167" s="25" t="str">
        <f>IFERROR(__xludf.DUMMYFUNCTION("IFERROR(INDEX(FILTER('Kế hoạch chèn link (mới)'!$C$3:$C$2213,'Kế hoạch chèn link (mới)'!$D$3:$D$2213=$B167),1),"""")"),"giá điện sinh hoạt")</f>
        <v>giá điện sinh hoạt</v>
      </c>
      <c r="H167" s="25" t="str">
        <f>IFERROR(__xludf.DUMMYFUNCTION("IFERROR(INDEX(FILTER('Kế hoạch chèn link (mới)'!$B$3:$B$2213,'Kế hoạch chèn link (mới)'!$D$3:$D$2213=$B167),1),"""")"),"https://techcombank.com/thong-tin/blog/cach-tinh-tien-dien-sinh-hoat")</f>
        <v>https://techcombank.com/thong-tin/blog/cach-tinh-tien-dien-sinh-hoat</v>
      </c>
      <c r="I167" s="25" t="str">
        <f>IFERROR(__xludf.DUMMYFUNCTION("IFERROR(INDEX(FILTER('Kế hoạch chèn link (mới)'!$C$3:$C$2213,'Kế hoạch chèn link (mới)'!$D$3:$D$2213=$B167),2),"""")"),"")</f>
        <v/>
      </c>
      <c r="J167" s="25" t="str">
        <f>IFERROR(__xludf.DUMMYFUNCTION("IFERROR(INDEX(FILTER('Kế hoạch chèn link (mới)'!$B$3:$B$2213,'Kế hoạch chèn link (mới)'!$D$3:$D$2213=$B167),2),"""")"),"")</f>
        <v/>
      </c>
      <c r="K167" s="25" t="str">
        <f>IFERROR(__xludf.DUMMYFUNCTION("IFERROR(INDEX(FILTER('Kế hoạch chèn link (mới)'!$C$3:$C$2213,'Kế hoạch chèn link (mới)'!$D$3:$D$2213=$B167),3),"""")"),"")</f>
        <v/>
      </c>
      <c r="L167" s="25" t="str">
        <f>IFERROR(__xludf.DUMMYFUNCTION("IFERROR(INDEX(FILTER('Kế hoạch chèn link (mới)'!$B$3:$B$2213,'Kế hoạch chèn link (mới)'!$D$3:$D$2213=$B167),3),"""")"),"")</f>
        <v/>
      </c>
      <c r="M167" s="25" t="str">
        <f>IFERROR(__xludf.DUMMYFUNCTION("IFERROR(INDEX(FILTER('Kế hoạch chèn link (mới)'!$C$3:$C$2213,'Kế hoạch chèn link (mới)'!$D$3:$D$2213=$B167),4),"""")"),"")</f>
        <v/>
      </c>
      <c r="N167" s="25" t="str">
        <f>IFERROR(__xludf.DUMMYFUNCTION("IFERROR(INDEX(FILTER('Kế hoạch chèn link (mới)'!$B$3:$B$2213,'Kế hoạch chèn link (mới)'!$D$3:$D$2213=$B167),4),"""")"),"")</f>
        <v/>
      </c>
      <c r="O167" s="25" t="str">
        <f>IFERROR(__xludf.DUMMYFUNCTION("IFERROR(INDEX(FILTER('Kế hoạch chèn link (mới)'!$C$3:$C$2213,'Kế hoạch chèn link (mới)'!$D$3:$D$2213=$B167),5),"""")"),"")</f>
        <v/>
      </c>
      <c r="P167" s="25" t="str">
        <f>IFERROR(__xludf.DUMMYFUNCTION("IFERROR(INDEX(FILTER('Kế hoạch chèn link (mới)'!$B$3:$B$2213,'Kế hoạch chèn link (mới)'!$D$3:$D$2213=$B167),5),"""")"),"")</f>
        <v/>
      </c>
    </row>
    <row r="168">
      <c r="A168" s="6">
        <f t="shared" si="1"/>
        <v>167</v>
      </c>
      <c r="B168" s="8" t="s">
        <v>2794</v>
      </c>
      <c r="C168" s="6">
        <f>COUNTIF('Kế hoạch chèn link (mới)'!$D$3:$D$2213,$B168)</f>
        <v>4</v>
      </c>
      <c r="D168" s="8" t="str">
        <f>IF(COUNTIFS('Kế hoạch chèn link (mới)'!$D$3:$D$2213,$B168,'Kế hoạch chèn link (mới)'!$I$3:$I$2213,"Đã chèn")&gt;=$C168,"Đã hoàn thành",IF(COUNTIFS('Kế hoạch chèn link (mới)'!$D$3:$D$2213,$B168,'Kế hoạch chèn link (mới)'!$I$3:$I$2213,"Đã chèn")&gt;0,"Đang làm","Chưa hoàn thành"))</f>
        <v>Chưa hoàn thành</v>
      </c>
      <c r="E168" s="8" t="b">
        <f t="shared" si="2"/>
        <v>0</v>
      </c>
      <c r="F168" s="25"/>
      <c r="G168" s="25" t="str">
        <f>IFERROR(__xludf.DUMMYFUNCTION("IFERROR(INDEX(FILTER('Kế hoạch chèn link (mới)'!$C$3:$C$2213,'Kế hoạch chèn link (mới)'!$D$3:$D$2213=$B168),1),"""")"),"mở thẻ tín dụng")</f>
        <v>mở thẻ tín dụng</v>
      </c>
      <c r="H168" s="25" t="str">
        <f>IFERROR(__xludf.DUMMYFUNCTION("IFERROR(INDEX(FILTER('Kế hoạch chèn link (mới)'!$B$3:$B$2213,'Kế hoạch chèn link (mới)'!$D$3:$D$2213=$B168),1),"""")"),"https://techcombank.com/thong-tin/blog/lam-the-tin-dung")</f>
        <v>https://techcombank.com/thong-tin/blog/lam-the-tin-dung</v>
      </c>
      <c r="I168" s="25" t="str">
        <f>IFERROR(__xludf.DUMMYFUNCTION("IFERROR(INDEX(FILTER('Kế hoạch chèn link (mới)'!$C$3:$C$2213,'Kế hoạch chèn link (mới)'!$D$3:$D$2213=$B168),2),"""")"),"thẻ hoàn tiền")</f>
        <v>thẻ hoàn tiền</v>
      </c>
      <c r="J168" s="25" t="str">
        <f>IFERROR(__xludf.DUMMYFUNCTION("IFERROR(INDEX(FILTER('Kế hoạch chèn link (mới)'!$B$3:$B$2213,'Kế hoạch chèn link (mới)'!$D$3:$D$2213=$B168),2),"""")"),"https://techcombank.com/thong-tin/blog/the-tin-dung-hoan-tien")</f>
        <v>https://techcombank.com/thong-tin/blog/the-tin-dung-hoan-tien</v>
      </c>
      <c r="K168" s="25" t="str">
        <f>IFERROR(__xludf.DUMMYFUNCTION("IFERROR(INDEX(FILTER('Kế hoạch chèn link (mới)'!$C$3:$C$2213,'Kế hoạch chèn link (mới)'!$D$3:$D$2213=$B168),3),"""")"),"trả nợ thẻ tín dụng")</f>
        <v>trả nợ thẻ tín dụng</v>
      </c>
      <c r="L168" s="25" t="str">
        <f>IFERROR(__xludf.DUMMYFUNCTION("IFERROR(INDEX(FILTER('Kế hoạch chèn link (mới)'!$B$3:$B$2213,'Kế hoạch chèn link (mới)'!$D$3:$D$2213=$B168),3),"""")"),"https://techcombank.com/thong-tin/blog/cach-thanh-toan-the-tin-dung")</f>
        <v>https://techcombank.com/thong-tin/blog/cach-thanh-toan-the-tin-dung</v>
      </c>
      <c r="M168" s="25" t="str">
        <f>IFERROR(__xludf.DUMMYFUNCTION("IFERROR(INDEX(FILTER('Kế hoạch chèn link (mới)'!$C$3:$C$2213,'Kế hoạch chèn link (mới)'!$D$3:$D$2213=$B168),4),"""")"),"nợ xấu")</f>
        <v>nợ xấu</v>
      </c>
      <c r="N168" s="25" t="str">
        <f>IFERROR(__xludf.DUMMYFUNCTION("IFERROR(INDEX(FILTER('Kế hoạch chèn link (mới)'!$B$3:$B$2213,'Kế hoạch chèn link (mới)'!$D$3:$D$2213=$B168),4),"""")"),"https://techcombank.com/thong-tin/blog/no-xau-la-gi")</f>
        <v>https://techcombank.com/thong-tin/blog/no-xau-la-gi</v>
      </c>
      <c r="O168" s="25" t="str">
        <f>IFERROR(__xludf.DUMMYFUNCTION("IFERROR(INDEX(FILTER('Kế hoạch chèn link (mới)'!$C$3:$C$2213,'Kế hoạch chèn link (mới)'!$D$3:$D$2213=$B168),5),"""")"),"")</f>
        <v/>
      </c>
      <c r="P168" s="25" t="str">
        <f>IFERROR(__xludf.DUMMYFUNCTION("IFERROR(INDEX(FILTER('Kế hoạch chèn link (mới)'!$B$3:$B$2213,'Kế hoạch chèn link (mới)'!$D$3:$D$2213=$B168),5),"""")"),"")</f>
        <v/>
      </c>
    </row>
    <row r="169">
      <c r="A169" s="6">
        <f t="shared" si="1"/>
        <v>168</v>
      </c>
      <c r="B169" s="8" t="s">
        <v>2796</v>
      </c>
      <c r="C169" s="6">
        <f>COUNTIF('Kế hoạch chèn link (mới)'!$D$3:$D$2213,$B169)</f>
        <v>4</v>
      </c>
      <c r="D169" s="8" t="str">
        <f>IF(COUNTIFS('Kế hoạch chèn link (mới)'!$D$3:$D$2213,$B169,'Kế hoạch chèn link (mới)'!$I$3:$I$2213,"Đã chèn")&gt;=$C169,"Đã hoàn thành",IF(COUNTIFS('Kế hoạch chèn link (mới)'!$D$3:$D$2213,$B169,'Kế hoạch chèn link (mới)'!$I$3:$I$2213,"Đã chèn")&gt;0,"Đang làm","Chưa hoàn thành"))</f>
        <v>Chưa hoàn thành</v>
      </c>
      <c r="E169" s="8" t="b">
        <f t="shared" si="2"/>
        <v>0</v>
      </c>
      <c r="F169" s="25"/>
      <c r="G169" s="25" t="str">
        <f>IFERROR(__xludf.DUMMYFUNCTION("IFERROR(INDEX(FILTER('Kế hoạch chèn link (mới)'!$C$3:$C$2213,'Kế hoạch chèn link (mới)'!$D$3:$D$2213=$B169),1),"""")"),"chứng chỉ tiền gửi")</f>
        <v>chứng chỉ tiền gửi</v>
      </c>
      <c r="H169" s="25" t="str">
        <f>IFERROR(__xludf.DUMMYFUNCTION("IFERROR(INDEX(FILTER('Kế hoạch chèn link (mới)'!$B$3:$B$2213,'Kế hoạch chèn link (mới)'!$D$3:$D$2213=$B169),1),"""")"),"https://techcombank.com/thong-tin/blog/chung-chi-tien-gui-la-gi")</f>
        <v>https://techcombank.com/thong-tin/blog/chung-chi-tien-gui-la-gi</v>
      </c>
      <c r="I169" s="25" t="str">
        <f>IFERROR(__xludf.DUMMYFUNCTION("IFERROR(INDEX(FILTER('Kế hoạch chèn link (mới)'!$C$3:$C$2213,'Kế hoạch chèn link (mới)'!$D$3:$D$2213=$B169),2),"""")"),"lợi suất chứng chỉ tiền gửi")</f>
        <v>lợi suất chứng chỉ tiền gửi</v>
      </c>
      <c r="J169" s="25" t="str">
        <f>IFERROR(__xludf.DUMMYFUNCTION("IFERROR(INDEX(FILTER('Kế hoạch chèn link (mới)'!$B$3:$B$2213,'Kế hoạch chèn link (mới)'!$D$3:$D$2213=$B169),2),"""")"),"https://techcombank.com/thong-tin/blog/lai-suat-chung-chi-tien-gui-cac-ngan-hang")</f>
        <v>https://techcombank.com/thong-tin/blog/lai-suat-chung-chi-tien-gui-cac-ngan-hang</v>
      </c>
      <c r="K169" s="25" t="str">
        <f>IFERROR(__xludf.DUMMYFUNCTION("IFERROR(INDEX(FILTER('Kế hoạch chèn link (mới)'!$C$3:$C$2213,'Kế hoạch chèn link (mới)'!$D$3:$D$2213=$B169),3),"""")"),"lãi suất tiền gửi ngân hàng")</f>
        <v>lãi suất tiền gửi ngân hàng</v>
      </c>
      <c r="L169" s="25" t="str">
        <f>IFERROR(__xludf.DUMMYFUNCTION("IFERROR(INDEX(FILTER('Kế hoạch chèn link (mới)'!$B$3:$B$2213,'Kế hoạch chèn link (mới)'!$D$3:$D$2213=$B169),3),"""")"),"https://techcombank.com/thong-tin/blog/lai-suat-tiet-kiem")</f>
        <v>https://techcombank.com/thong-tin/blog/lai-suat-tiet-kiem</v>
      </c>
      <c r="M169" s="25" t="str">
        <f>IFERROR(__xludf.DUMMYFUNCTION("IFERROR(INDEX(FILTER('Kế hoạch chèn link (mới)'!$C$3:$C$2213,'Kế hoạch chèn link (mới)'!$D$3:$D$2213=$B169),4),"""")"),"nên vay tín chấp ở đâu")</f>
        <v>nên vay tín chấp ở đâu</v>
      </c>
      <c r="N169" s="25" t="str">
        <f>IFERROR(__xludf.DUMMYFUNCTION("IFERROR(INDEX(FILTER('Kế hoạch chèn link (mới)'!$B$3:$B$2213,'Kế hoạch chèn link (mới)'!$D$3:$D$2213=$B169),4),"""")"),"https://techcombank.com/thong-tin/blog/nen-vay-tin-chap-o-dau")</f>
        <v>https://techcombank.com/thong-tin/blog/nen-vay-tin-chap-o-dau</v>
      </c>
      <c r="O169" s="25" t="str">
        <f>IFERROR(__xludf.DUMMYFUNCTION("IFERROR(INDEX(FILTER('Kế hoạch chèn link (mới)'!$C$3:$C$2213,'Kế hoạch chèn link (mới)'!$D$3:$D$2213=$B169),5),"""")"),"")</f>
        <v/>
      </c>
      <c r="P169" s="25" t="str">
        <f>IFERROR(__xludf.DUMMYFUNCTION("IFERROR(INDEX(FILTER('Kế hoạch chèn link (mới)'!$B$3:$B$2213,'Kế hoạch chèn link (mới)'!$D$3:$D$2213=$B169),5),"""")"),"")</f>
        <v/>
      </c>
    </row>
    <row r="170">
      <c r="A170" s="6">
        <f t="shared" si="1"/>
        <v>169</v>
      </c>
      <c r="B170" s="8" t="s">
        <v>1892</v>
      </c>
      <c r="C170" s="6">
        <f>COUNTIF('Kế hoạch chèn link (mới)'!$D$3:$D$2213,$B170)</f>
        <v>4</v>
      </c>
      <c r="D170" s="8" t="str">
        <f>IF(COUNTIFS('Kế hoạch chèn link (mới)'!$D$3:$D$2213,$B170,'Kế hoạch chèn link (mới)'!$I$3:$I$2213,"Đã chèn")&gt;=$C170,"Đã hoàn thành",IF(COUNTIFS('Kế hoạch chèn link (mới)'!$D$3:$D$2213,$B170,'Kế hoạch chèn link (mới)'!$I$3:$I$2213,"Đã chèn")&gt;0,"Đang làm","Chưa hoàn thành"))</f>
        <v>Chưa hoàn thành</v>
      </c>
      <c r="E170" s="8" t="b">
        <f t="shared" si="2"/>
        <v>0</v>
      </c>
      <c r="F170" s="25"/>
      <c r="G170" s="25" t="str">
        <f>IFERROR(__xludf.DUMMYFUNCTION("IFERROR(INDEX(FILTER('Kế hoạch chèn link (mới)'!$C$3:$C$2213,'Kế hoạch chèn link (mới)'!$D$3:$D$2213=$B170),1),"""")"),"ngân hàng uy tín")</f>
        <v>ngân hàng uy tín</v>
      </c>
      <c r="H170" s="25" t="str">
        <f>IFERROR(__xludf.DUMMYFUNCTION("IFERROR(INDEX(FILTER('Kế hoạch chèn link (mới)'!$B$3:$B$2213,'Kế hoạch chèn link (mới)'!$D$3:$D$2213=$B170),1),"""")"),"https://techcombank.com/thong-tin/blog/ngan-hang-uy-tin")</f>
        <v>https://techcombank.com/thong-tin/blog/ngan-hang-uy-tin</v>
      </c>
      <c r="I170" s="25" t="str">
        <f>IFERROR(__xludf.DUMMYFUNCTION("IFERROR(INDEX(FILTER('Kế hoạch chèn link (mới)'!$C$3:$C$2213,'Kế hoạch chèn link (mới)'!$D$3:$D$2213=$B170),2),"""")"),"tính lãi suất ngân hàng")</f>
        <v>tính lãi suất ngân hàng</v>
      </c>
      <c r="J170" s="25" t="str">
        <f>IFERROR(__xludf.DUMMYFUNCTION("IFERROR(INDEX(FILTER('Kế hoạch chèn link (mới)'!$B$3:$B$2213,'Kế hoạch chèn link (mới)'!$D$3:$D$2213=$B170),2),"""")"),"https://techcombank.com/thong-tin/blog/cach-tinh-lai-suat-tien-gui-tiet-kiem")</f>
        <v>https://techcombank.com/thong-tin/blog/cach-tinh-lai-suat-tien-gui-tiet-kiem</v>
      </c>
      <c r="K170" s="25" t="str">
        <f>IFERROR(__xludf.DUMMYFUNCTION("IFERROR(INDEX(FILTER('Kế hoạch chèn link (mới)'!$C$3:$C$2213,'Kế hoạch chèn link (mới)'!$D$3:$D$2213=$B170),3),"""")"),"sổ tiết kiệm")</f>
        <v>sổ tiết kiệm</v>
      </c>
      <c r="L170" s="25" t="str">
        <f>IFERROR(__xludf.DUMMYFUNCTION("IFERROR(INDEX(FILTER('Kế hoạch chèn link (mới)'!$B$3:$B$2213,'Kế hoạch chèn link (mới)'!$D$3:$D$2213=$B170),3),"""")"),"https://techcombank.com/thong-tin/blog/so-tiet-kiem-ngan-hang")</f>
        <v>https://techcombank.com/thong-tin/blog/so-tiet-kiem-ngan-hang</v>
      </c>
      <c r="M170" s="25" t="str">
        <f>IFERROR(__xludf.DUMMYFUNCTION("IFERROR(INDEX(FILTER('Kế hoạch chèn link (mới)'!$C$3:$C$2213,'Kế hoạch chèn link (mới)'!$D$3:$D$2213=$B170),4),"""")"),"bảng tính lãi suất tiết kiệm")</f>
        <v>bảng tính lãi suất tiết kiệm</v>
      </c>
      <c r="N170" s="25" t="str">
        <f>IFERROR(__xludf.DUMMYFUNCTION("IFERROR(INDEX(FILTER('Kế hoạch chèn link (mới)'!$B$3:$B$2213,'Kế hoạch chèn link (mới)'!$D$3:$D$2213=$B170),4),"""")"),"https://techcombank.com/cong-cu-tien-ich/cong-cu-tinh-toan/bang-tinh-lai-suat-tiet-kiem")</f>
        <v>https://techcombank.com/cong-cu-tien-ich/cong-cu-tinh-toan/bang-tinh-lai-suat-tiet-kiem</v>
      </c>
      <c r="O170" s="25" t="str">
        <f>IFERROR(__xludf.DUMMYFUNCTION("IFERROR(INDEX(FILTER('Kế hoạch chèn link (mới)'!$C$3:$C$2213,'Kế hoạch chèn link (mới)'!$D$3:$D$2213=$B170),5),"""")"),"")</f>
        <v/>
      </c>
      <c r="P170" s="25" t="str">
        <f>IFERROR(__xludf.DUMMYFUNCTION("IFERROR(INDEX(FILTER('Kế hoạch chèn link (mới)'!$B$3:$B$2213,'Kế hoạch chèn link (mới)'!$D$3:$D$2213=$B170),5),"""")"),"")</f>
        <v/>
      </c>
    </row>
    <row r="171">
      <c r="A171" s="6">
        <f t="shared" si="1"/>
        <v>170</v>
      </c>
      <c r="B171" s="8" t="s">
        <v>2797</v>
      </c>
      <c r="C171" s="6">
        <f>COUNTIF('Kế hoạch chèn link (mới)'!$D$3:$D$2213,$B171)</f>
        <v>4</v>
      </c>
      <c r="D171" s="8" t="str">
        <f>IF(COUNTIFS('Kế hoạch chèn link (mới)'!$D$3:$D$2213,$B171,'Kế hoạch chèn link (mới)'!$I$3:$I$2213,"Đã chèn")&gt;=$C171,"Đã hoàn thành",IF(COUNTIFS('Kế hoạch chèn link (mới)'!$D$3:$D$2213,$B171,'Kế hoạch chèn link (mới)'!$I$3:$I$2213,"Đã chèn")&gt;0,"Đang làm","Chưa hoàn thành"))</f>
        <v>Chưa hoàn thành</v>
      </c>
      <c r="E171" s="8" t="b">
        <f t="shared" si="2"/>
        <v>0</v>
      </c>
      <c r="F171" s="25"/>
      <c r="G171" s="25" t="str">
        <f>IFERROR(__xludf.DUMMYFUNCTION("IFERROR(INDEX(FILTER('Kế hoạch chèn link (mới)'!$C$3:$C$2213,'Kế hoạch chèn link (mới)'!$D$3:$D$2213=$B171),1),"""")"),"tính lãi suất ngân hàng")</f>
        <v>tính lãi suất ngân hàng</v>
      </c>
      <c r="H171" s="25" t="str">
        <f>IFERROR(__xludf.DUMMYFUNCTION("IFERROR(INDEX(FILTER('Kế hoạch chèn link (mới)'!$B$3:$B$2213,'Kế hoạch chèn link (mới)'!$D$3:$D$2213=$B171),1),"""")"),"https://techcombank.com/thong-tin/blog/cach-tinh-lai-suat-tien-gui-tiet-kiem")</f>
        <v>https://techcombank.com/thong-tin/blog/cach-tinh-lai-suat-tien-gui-tiet-kiem</v>
      </c>
      <c r="I171" s="25" t="str">
        <f>IFERROR(__xludf.DUMMYFUNCTION("IFERROR(INDEX(FILTER('Kế hoạch chèn link (mới)'!$C$3:$C$2213,'Kế hoạch chèn link (mới)'!$D$3:$D$2213=$B171),2),"""")"),"sổ tiết kiệm")</f>
        <v>sổ tiết kiệm</v>
      </c>
      <c r="J171" s="25" t="str">
        <f>IFERROR(__xludf.DUMMYFUNCTION("IFERROR(INDEX(FILTER('Kế hoạch chèn link (mới)'!$B$3:$B$2213,'Kế hoạch chèn link (mới)'!$D$3:$D$2213=$B171),2),"""")"),"https://techcombank.com/thong-tin/blog/so-tiet-kiem-ngan-hang")</f>
        <v>https://techcombank.com/thong-tin/blog/so-tiet-kiem-ngan-hang</v>
      </c>
      <c r="K171" s="25" t="str">
        <f>IFERROR(__xludf.DUMMYFUNCTION("IFERROR(INDEX(FILTER('Kế hoạch chèn link (mới)'!$C$3:$C$2213,'Kế hoạch chèn link (mới)'!$D$3:$D$2213=$B171),3),"""")"),"gửi tiết kiệm online có an toàn không")</f>
        <v>gửi tiết kiệm online có an toàn không</v>
      </c>
      <c r="L171" s="25" t="str">
        <f>IFERROR(__xludf.DUMMYFUNCTION("IFERROR(INDEX(FILTER('Kế hoạch chèn link (mới)'!$B$3:$B$2213,'Kế hoạch chèn link (mới)'!$D$3:$D$2213=$B171),3),"""")"),"https://techcombank.com/thong-tin/blog/rui-ro-khi-gui-tiet-kiem-online")</f>
        <v>https://techcombank.com/thong-tin/blog/rui-ro-khi-gui-tiet-kiem-online</v>
      </c>
      <c r="M171" s="25" t="str">
        <f>IFERROR(__xludf.DUMMYFUNCTION("IFERROR(INDEX(FILTER('Kế hoạch chèn link (mới)'!$C$3:$C$2213,'Kế hoạch chèn link (mới)'!$D$3:$D$2213=$B171),4),"""")"),"công cụ tính lãi tiết kiệm")</f>
        <v>công cụ tính lãi tiết kiệm</v>
      </c>
      <c r="N171" s="25" t="str">
        <f>IFERROR(__xludf.DUMMYFUNCTION("IFERROR(INDEX(FILTER('Kế hoạch chèn link (mới)'!$B$3:$B$2213,'Kế hoạch chèn link (mới)'!$D$3:$D$2213=$B171),4),"""")"),"https://techcombank.com/cong-cu-tien-ich/cong-cu-tinh-toan/bang-tinh-lai-suat-tiet-kiem")</f>
        <v>https://techcombank.com/cong-cu-tien-ich/cong-cu-tinh-toan/bang-tinh-lai-suat-tiet-kiem</v>
      </c>
      <c r="O171" s="25" t="str">
        <f>IFERROR(__xludf.DUMMYFUNCTION("IFERROR(INDEX(FILTER('Kế hoạch chèn link (mới)'!$C$3:$C$2213,'Kế hoạch chèn link (mới)'!$D$3:$D$2213=$B171),5),"""")"),"")</f>
        <v/>
      </c>
      <c r="P171" s="25" t="str">
        <f>IFERROR(__xludf.DUMMYFUNCTION("IFERROR(INDEX(FILTER('Kế hoạch chèn link (mới)'!$B$3:$B$2213,'Kế hoạch chèn link (mới)'!$D$3:$D$2213=$B171),5),"""")"),"")</f>
        <v/>
      </c>
    </row>
    <row r="172">
      <c r="A172" s="6">
        <f t="shared" si="1"/>
        <v>171</v>
      </c>
      <c r="B172" s="8" t="s">
        <v>2798</v>
      </c>
      <c r="C172" s="6">
        <f>COUNTIF('Kế hoạch chèn link (mới)'!$D$3:$D$2213,$B172)</f>
        <v>1</v>
      </c>
      <c r="D172" s="8" t="str">
        <f>IF(COUNTIFS('Kế hoạch chèn link (mới)'!$D$3:$D$2213,$B172,'Kế hoạch chèn link (mới)'!$I$3:$I$2213,"Đã chèn")&gt;=$C172,"Đã hoàn thành",IF(COUNTIFS('Kế hoạch chèn link (mới)'!$D$3:$D$2213,$B172,'Kế hoạch chèn link (mới)'!$I$3:$I$2213,"Đã chèn")&gt;0,"Đang làm","Chưa hoàn thành"))</f>
        <v>Chưa hoàn thành</v>
      </c>
      <c r="E172" s="8" t="b">
        <f t="shared" si="2"/>
        <v>0</v>
      </c>
      <c r="F172" s="25"/>
      <c r="G172" s="25" t="str">
        <f>IFERROR(__xludf.DUMMYFUNCTION("IFERROR(INDEX(FILTER('Kế hoạch chèn link (mới)'!$C$3:$C$2213,'Kế hoạch chèn link (mới)'!$D$3:$D$2213=$B172),1),"""")"),"xếp hạng tín dụng")</f>
        <v>xếp hạng tín dụng</v>
      </c>
      <c r="H172" s="25" t="str">
        <f>IFERROR(__xludf.DUMMYFUNCTION("IFERROR(INDEX(FILTER('Kế hoạch chèn link (mới)'!$B$3:$B$2213,'Kế hoạch chèn link (mới)'!$D$3:$D$2213=$B172),1),"""")"),"https://techcombank.com/thong-tin/blog/xep-hang-tin-dung")</f>
        <v>https://techcombank.com/thong-tin/blog/xep-hang-tin-dung</v>
      </c>
      <c r="I172" s="25" t="str">
        <f>IFERROR(__xludf.DUMMYFUNCTION("IFERROR(INDEX(FILTER('Kế hoạch chèn link (mới)'!$C$3:$C$2213,'Kế hoạch chèn link (mới)'!$D$3:$D$2213=$B172),2),"""")"),"")</f>
        <v/>
      </c>
      <c r="J172" s="25" t="str">
        <f>IFERROR(__xludf.DUMMYFUNCTION("IFERROR(INDEX(FILTER('Kế hoạch chèn link (mới)'!$B$3:$B$2213,'Kế hoạch chèn link (mới)'!$D$3:$D$2213=$B172),2),"""")"),"")</f>
        <v/>
      </c>
      <c r="K172" s="25" t="str">
        <f>IFERROR(__xludf.DUMMYFUNCTION("IFERROR(INDEX(FILTER('Kế hoạch chèn link (mới)'!$C$3:$C$2213,'Kế hoạch chèn link (mới)'!$D$3:$D$2213=$B172),3),"""")"),"")</f>
        <v/>
      </c>
      <c r="L172" s="25" t="str">
        <f>IFERROR(__xludf.DUMMYFUNCTION("IFERROR(INDEX(FILTER('Kế hoạch chèn link (mới)'!$B$3:$B$2213,'Kế hoạch chèn link (mới)'!$D$3:$D$2213=$B172),3),"""")"),"")</f>
        <v/>
      </c>
      <c r="M172" s="25" t="str">
        <f>IFERROR(__xludf.DUMMYFUNCTION("IFERROR(INDEX(FILTER('Kế hoạch chèn link (mới)'!$C$3:$C$2213,'Kế hoạch chèn link (mới)'!$D$3:$D$2213=$B172),4),"""")"),"")</f>
        <v/>
      </c>
      <c r="N172" s="25" t="str">
        <f>IFERROR(__xludf.DUMMYFUNCTION("IFERROR(INDEX(FILTER('Kế hoạch chèn link (mới)'!$B$3:$B$2213,'Kế hoạch chèn link (mới)'!$D$3:$D$2213=$B172),4),"""")"),"")</f>
        <v/>
      </c>
      <c r="O172" s="25" t="str">
        <f>IFERROR(__xludf.DUMMYFUNCTION("IFERROR(INDEX(FILTER('Kế hoạch chèn link (mới)'!$C$3:$C$2213,'Kế hoạch chèn link (mới)'!$D$3:$D$2213=$B172),5),"""")"),"")</f>
        <v/>
      </c>
      <c r="P172" s="25" t="str">
        <f>IFERROR(__xludf.DUMMYFUNCTION("IFERROR(INDEX(FILTER('Kế hoạch chèn link (mới)'!$B$3:$B$2213,'Kế hoạch chèn link (mới)'!$D$3:$D$2213=$B172),5),"""")"),"")</f>
        <v/>
      </c>
    </row>
    <row r="173">
      <c r="A173" s="6">
        <f t="shared" si="1"/>
        <v>172</v>
      </c>
      <c r="B173" s="8" t="s">
        <v>2239</v>
      </c>
      <c r="C173" s="6">
        <f>COUNTIF('Kế hoạch chèn link (mới)'!$D$3:$D$2213,$B173)</f>
        <v>3</v>
      </c>
      <c r="D173" s="8" t="str">
        <f>IF(COUNTIFS('Kế hoạch chèn link (mới)'!$D$3:$D$2213,$B173,'Kế hoạch chèn link (mới)'!$I$3:$I$2213,"Đã chèn")&gt;=$C173,"Đã hoàn thành",IF(COUNTIFS('Kế hoạch chèn link (mới)'!$D$3:$D$2213,$B173,'Kế hoạch chèn link (mới)'!$I$3:$I$2213,"Đã chèn")&gt;0,"Đang làm","Chưa hoàn thành"))</f>
        <v>Chưa hoàn thành</v>
      </c>
      <c r="E173" s="8" t="b">
        <f t="shared" si="2"/>
        <v>0</v>
      </c>
      <c r="F173" s="25"/>
      <c r="G173" s="25" t="str">
        <f>IFERROR(__xludf.DUMMYFUNCTION("IFERROR(INDEX(FILTER('Kế hoạch chèn link (mới)'!$C$3:$C$2213,'Kế hoạch chèn link (mới)'!$D$3:$D$2213=$B173),1),"""")"),"cách tính lãi suất vay ngân hàng")</f>
        <v>cách tính lãi suất vay ngân hàng</v>
      </c>
      <c r="H173" s="25" t="str">
        <f>IFERROR(__xludf.DUMMYFUNCTION("IFERROR(INDEX(FILTER('Kế hoạch chèn link (mới)'!$B$3:$B$2213,'Kế hoạch chèn link (mới)'!$D$3:$D$2213=$B173),1),"""")"),"https://techcombank.com/thong-tin/blog/cach-tinh-lai-vay-ngan-hang")</f>
        <v>https://techcombank.com/thong-tin/blog/cach-tinh-lai-vay-ngan-hang</v>
      </c>
      <c r="I173" s="25" t="str">
        <f>IFERROR(__xludf.DUMMYFUNCTION("IFERROR(INDEX(FILTER('Kế hoạch chèn link (mới)'!$C$3:$C$2213,'Kế hoạch chèn link (mới)'!$D$3:$D$2213=$B173),2),"""")"),"tính lãi suất vay ngân hàng")</f>
        <v>tính lãi suất vay ngân hàng</v>
      </c>
      <c r="J173" s="25" t="str">
        <f>IFERROR(__xludf.DUMMYFUNCTION("IFERROR(INDEX(FILTER('Kế hoạch chèn link (mới)'!$B$3:$B$2213,'Kế hoạch chèn link (mới)'!$D$3:$D$2213=$B173),2),"""")"),"https://techcombank.com/cong-cu-tien-ich/cong-cu-tinh-toan/bang-tinh-lai-suat-vay")</f>
        <v>https://techcombank.com/cong-cu-tien-ich/cong-cu-tinh-toan/bang-tinh-lai-suat-vay</v>
      </c>
      <c r="K173" s="25" t="str">
        <f>IFERROR(__xludf.DUMMYFUNCTION("IFERROR(INDEX(FILTER('Kế hoạch chèn link (mới)'!$C$3:$C$2213,'Kế hoạch chèn link (mới)'!$D$3:$D$2213=$B173),3),"""")"),"lãi suất vay ngân hàng hiện nay")</f>
        <v>lãi suất vay ngân hàng hiện nay</v>
      </c>
      <c r="L173" s="25" t="str">
        <f>IFERROR(__xludf.DUMMYFUNCTION("IFERROR(INDEX(FILTER('Kế hoạch chèn link (mới)'!$B$3:$B$2213,'Kế hoạch chèn link (mới)'!$D$3:$D$2213=$B173),3),"""")"),"https://techcombank.com/thong-tin/blog/lai-suat-vay-ngan-hang")</f>
        <v>https://techcombank.com/thong-tin/blog/lai-suat-vay-ngan-hang</v>
      </c>
      <c r="M173" s="25" t="str">
        <f>IFERROR(__xludf.DUMMYFUNCTION("IFERROR(INDEX(FILTER('Kế hoạch chèn link (mới)'!$C$3:$C$2213,'Kế hoạch chèn link (mới)'!$D$3:$D$2213=$B173),4),"""")"),"")</f>
        <v/>
      </c>
      <c r="N173" s="25" t="str">
        <f>IFERROR(__xludf.DUMMYFUNCTION("IFERROR(INDEX(FILTER('Kế hoạch chèn link (mới)'!$B$3:$B$2213,'Kế hoạch chèn link (mới)'!$D$3:$D$2213=$B173),4),"""")"),"")</f>
        <v/>
      </c>
      <c r="O173" s="25" t="str">
        <f>IFERROR(__xludf.DUMMYFUNCTION("IFERROR(INDEX(FILTER('Kế hoạch chèn link (mới)'!$C$3:$C$2213,'Kế hoạch chèn link (mới)'!$D$3:$D$2213=$B173),5),"""")"),"")</f>
        <v/>
      </c>
      <c r="P173" s="25" t="str">
        <f>IFERROR(__xludf.DUMMYFUNCTION("IFERROR(INDEX(FILTER('Kế hoạch chèn link (mới)'!$B$3:$B$2213,'Kế hoạch chèn link (mới)'!$D$3:$D$2213=$B173),5),"""")"),"")</f>
        <v/>
      </c>
    </row>
    <row r="174">
      <c r="A174" s="6">
        <f t="shared" si="1"/>
        <v>173</v>
      </c>
      <c r="B174" s="8" t="s">
        <v>1629</v>
      </c>
      <c r="C174" s="6">
        <f>COUNTIF('Kế hoạch chèn link (mới)'!$D$3:$D$2213,$B174)</f>
        <v>3</v>
      </c>
      <c r="D174" s="8" t="str">
        <f>IF(COUNTIFS('Kế hoạch chèn link (mới)'!$D$3:$D$2213,$B174,'Kế hoạch chèn link (mới)'!$I$3:$I$2213,"Đã chèn")&gt;=$C174,"Đã hoàn thành",IF(COUNTIFS('Kế hoạch chèn link (mới)'!$D$3:$D$2213,$B174,'Kế hoạch chèn link (mới)'!$I$3:$I$2213,"Đã chèn")&gt;0,"Đang làm","Chưa hoàn thành"))</f>
        <v>Chưa hoàn thành</v>
      </c>
      <c r="E174" s="8" t="b">
        <f t="shared" si="2"/>
        <v>0</v>
      </c>
      <c r="F174" s="25"/>
      <c r="G174" s="25" t="str">
        <f>IFERROR(__xludf.DUMMYFUNCTION("IFERROR(INDEX(FILTER('Kế hoạch chèn link (mới)'!$C$3:$C$2213,'Kế hoạch chèn link (mới)'!$D$3:$D$2213=$B174),1),"""")"),"tra số tài khoản ngân hàng")</f>
        <v>tra số tài khoản ngân hàng</v>
      </c>
      <c r="H174" s="25" t="str">
        <f>IFERROR(__xludf.DUMMYFUNCTION("IFERROR(INDEX(FILTER('Kế hoạch chèn link (mới)'!$B$3:$B$2213,'Kế hoạch chèn link (mới)'!$D$3:$D$2213=$B174),1),"""")"),"https://techcombank.com/thong-tin/blog/cach-kiem-tra-tai-khoan-ngan-hang")</f>
        <v>https://techcombank.com/thong-tin/blog/cach-kiem-tra-tai-khoan-ngan-hang</v>
      </c>
      <c r="I174" s="25" t="str">
        <f>IFERROR(__xludf.DUMMYFUNCTION("IFERROR(INDEX(FILTER('Kế hoạch chèn link (mới)'!$C$3:$C$2213,'Kế hoạch chèn link (mới)'!$D$3:$D$2213=$B174),2),"""")"),"mở tài khoản ngân hàng online")</f>
        <v>mở tài khoản ngân hàng online</v>
      </c>
      <c r="J174" s="25" t="str">
        <f>IFERROR(__xludf.DUMMYFUNCTION("IFERROR(INDEX(FILTER('Kế hoạch chèn link (mới)'!$B$3:$B$2213,'Kế hoạch chèn link (mới)'!$D$3:$D$2213=$B174),2),"""")"),"https://techcombank.com/thong-tin/blog/cach-mo-tai-khoan")</f>
        <v>https://techcombank.com/thong-tin/blog/cach-mo-tai-khoan</v>
      </c>
      <c r="K174" s="25" t="str">
        <f>IFERROR(__xludf.DUMMYFUNCTION("IFERROR(INDEX(FILTER('Kế hoạch chèn link (mới)'!$C$3:$C$2213,'Kế hoạch chèn link (mới)'!$D$3:$D$2213=$B174),3),"""")"),"số tài khoản phát tài phát lộc")</f>
        <v>số tài khoản phát tài phát lộc</v>
      </c>
      <c r="L174" s="25" t="str">
        <f>IFERROR(__xludf.DUMMYFUNCTION("IFERROR(INDEX(FILTER('Kế hoạch chèn link (mới)'!$B$3:$B$2213,'Kế hoạch chèn link (mới)'!$D$3:$D$2213=$B174),3),"""")"),"https://techcombank.com/thong-tin/blog/day-so-phat-tai-phat-loc")</f>
        <v>https://techcombank.com/thong-tin/blog/day-so-phat-tai-phat-loc</v>
      </c>
      <c r="M174" s="25" t="str">
        <f>IFERROR(__xludf.DUMMYFUNCTION("IFERROR(INDEX(FILTER('Kế hoạch chèn link (mới)'!$C$3:$C$2213,'Kế hoạch chèn link (mới)'!$D$3:$D$2213=$B174),4),"""")"),"")</f>
        <v/>
      </c>
      <c r="N174" s="25" t="str">
        <f>IFERROR(__xludf.DUMMYFUNCTION("IFERROR(INDEX(FILTER('Kế hoạch chèn link (mới)'!$B$3:$B$2213,'Kế hoạch chèn link (mới)'!$D$3:$D$2213=$B174),4),"""")"),"")</f>
        <v/>
      </c>
      <c r="O174" s="25" t="str">
        <f>IFERROR(__xludf.DUMMYFUNCTION("IFERROR(INDEX(FILTER('Kế hoạch chèn link (mới)'!$C$3:$C$2213,'Kế hoạch chèn link (mới)'!$D$3:$D$2213=$B174),5),"""")"),"")</f>
        <v/>
      </c>
      <c r="P174" s="25" t="str">
        <f>IFERROR(__xludf.DUMMYFUNCTION("IFERROR(INDEX(FILTER('Kế hoạch chèn link (mới)'!$B$3:$B$2213,'Kế hoạch chèn link (mới)'!$D$3:$D$2213=$B174),5),"""")"),"")</f>
        <v/>
      </c>
    </row>
    <row r="175">
      <c r="A175" s="6">
        <f t="shared" si="1"/>
        <v>174</v>
      </c>
      <c r="B175" s="8" t="s">
        <v>2799</v>
      </c>
      <c r="C175" s="6">
        <f>COUNTIF('Kế hoạch chèn link (mới)'!$D$3:$D$2213,$B175)</f>
        <v>3</v>
      </c>
      <c r="D175" s="8" t="str">
        <f>IF(COUNTIFS('Kế hoạch chèn link (mới)'!$D$3:$D$2213,$B175,'Kế hoạch chèn link (mới)'!$I$3:$I$2213,"Đã chèn")&gt;=$C175,"Đã hoàn thành",IF(COUNTIFS('Kế hoạch chèn link (mới)'!$D$3:$D$2213,$B175,'Kế hoạch chèn link (mới)'!$I$3:$I$2213,"Đã chèn")&gt;0,"Đang làm","Chưa hoàn thành"))</f>
        <v>Chưa hoàn thành</v>
      </c>
      <c r="E175" s="8" t="b">
        <f t="shared" si="2"/>
        <v>0</v>
      </c>
      <c r="F175" s="25"/>
      <c r="G175" s="25" t="str">
        <f>IFERROR(__xludf.DUMMYFUNCTION("IFERROR(INDEX(FILTER('Kế hoạch chèn link (mới)'!$C$3:$C$2213,'Kế hoạch chèn link (mới)'!$D$3:$D$2213=$B175),1),"""")"),"vay ngân hàng 1 tỷ mỗi tháng trả bao nhiêu")</f>
        <v>vay ngân hàng 1 tỷ mỗi tháng trả bao nhiêu</v>
      </c>
      <c r="H175" s="25" t="str">
        <f>IFERROR(__xludf.DUMMYFUNCTION("IFERROR(INDEX(FILTER('Kế hoạch chèn link (mới)'!$B$3:$B$2213,'Kế hoạch chèn link (mới)'!$D$3:$D$2213=$B175),1),"""")"),"https://techcombank.com/thong-tin/blog/vay-ngan-hang-1-ty-moi-thang-tra-bao-nhieu")</f>
        <v>https://techcombank.com/thong-tin/blog/vay-ngan-hang-1-ty-moi-thang-tra-bao-nhieu</v>
      </c>
      <c r="I175" s="25" t="str">
        <f>IFERROR(__xludf.DUMMYFUNCTION("IFERROR(INDEX(FILTER('Kế hoạch chèn link (mới)'!$C$3:$C$2213,'Kế hoạch chèn link (mới)'!$D$3:$D$2213=$B175),2),"""")"),"tính lãi suất vay ngân hàng")</f>
        <v>tính lãi suất vay ngân hàng</v>
      </c>
      <c r="J175" s="25" t="str">
        <f>IFERROR(__xludf.DUMMYFUNCTION("IFERROR(INDEX(FILTER('Kế hoạch chèn link (mới)'!$B$3:$B$2213,'Kế hoạch chèn link (mới)'!$D$3:$D$2213=$B175),2),"""")"),"https://techcombank.com/cong-cu-tien-ich/cong-cu-tinh-toan/bang-tinh-lai-suat-vay")</f>
        <v>https://techcombank.com/cong-cu-tien-ich/cong-cu-tinh-toan/bang-tinh-lai-suat-vay</v>
      </c>
      <c r="K175" s="25" t="str">
        <f>IFERROR(__xludf.DUMMYFUNCTION("IFERROR(INDEX(FILTER('Kế hoạch chèn link (mới)'!$C$3:$C$2213,'Kế hoạch chèn link (mới)'!$D$3:$D$2213=$B175),3),"""")"),"lãi suất cho vay ngân hàng")</f>
        <v>lãi suất cho vay ngân hàng</v>
      </c>
      <c r="L175" s="25" t="str">
        <f>IFERROR(__xludf.DUMMYFUNCTION("IFERROR(INDEX(FILTER('Kế hoạch chèn link (mới)'!$B$3:$B$2213,'Kế hoạch chèn link (mới)'!$D$3:$D$2213=$B175),3),"""")"),"https://techcombank.com/thong-tin/blog/lai-suat-vay-ngan-hang")</f>
        <v>https://techcombank.com/thong-tin/blog/lai-suat-vay-ngan-hang</v>
      </c>
      <c r="M175" s="25" t="str">
        <f>IFERROR(__xludf.DUMMYFUNCTION("IFERROR(INDEX(FILTER('Kế hoạch chèn link (mới)'!$C$3:$C$2213,'Kế hoạch chèn link (mới)'!$D$3:$D$2213=$B175),4),"""")"),"")</f>
        <v/>
      </c>
      <c r="N175" s="25" t="str">
        <f>IFERROR(__xludf.DUMMYFUNCTION("IFERROR(INDEX(FILTER('Kế hoạch chèn link (mới)'!$B$3:$B$2213,'Kế hoạch chèn link (mới)'!$D$3:$D$2213=$B175),4),"""")"),"")</f>
        <v/>
      </c>
      <c r="O175" s="25" t="str">
        <f>IFERROR(__xludf.DUMMYFUNCTION("IFERROR(INDEX(FILTER('Kế hoạch chèn link (mới)'!$C$3:$C$2213,'Kế hoạch chèn link (mới)'!$D$3:$D$2213=$B175),5),"""")"),"")</f>
        <v/>
      </c>
      <c r="P175" s="25" t="str">
        <f>IFERROR(__xludf.DUMMYFUNCTION("IFERROR(INDEX(FILTER('Kế hoạch chèn link (mới)'!$B$3:$B$2213,'Kế hoạch chèn link (mới)'!$D$3:$D$2213=$B175),5),"""")"),"")</f>
        <v/>
      </c>
    </row>
    <row r="176">
      <c r="A176" s="6">
        <f t="shared" si="1"/>
        <v>175</v>
      </c>
      <c r="B176" s="8" t="s">
        <v>2800</v>
      </c>
      <c r="C176" s="6">
        <f>COUNTIF('Kế hoạch chèn link (mới)'!$D$3:$D$2213,$B176)</f>
        <v>4</v>
      </c>
      <c r="D176" s="8" t="str">
        <f>IF(COUNTIFS('Kế hoạch chèn link (mới)'!$D$3:$D$2213,$B176,'Kế hoạch chèn link (mới)'!$I$3:$I$2213,"Đã chèn")&gt;=$C176,"Đã hoàn thành",IF(COUNTIFS('Kế hoạch chèn link (mới)'!$D$3:$D$2213,$B176,'Kế hoạch chèn link (mới)'!$I$3:$I$2213,"Đã chèn")&gt;0,"Đang làm","Chưa hoàn thành"))</f>
        <v>Chưa hoàn thành</v>
      </c>
      <c r="E176" s="8" t="b">
        <f t="shared" si="2"/>
        <v>0</v>
      </c>
      <c r="F176" s="25"/>
      <c r="G176" s="25" t="str">
        <f>IFERROR(__xludf.DUMMYFUNCTION("IFERROR(INDEX(FILTER('Kế hoạch chèn link (mới)'!$C$3:$C$2213,'Kế hoạch chèn link (mới)'!$D$3:$D$2213=$B176),1),"""")"),"cách tính lãi suất vay ngân hàng")</f>
        <v>cách tính lãi suất vay ngân hàng</v>
      </c>
      <c r="H176" s="25" t="str">
        <f>IFERROR(__xludf.DUMMYFUNCTION("IFERROR(INDEX(FILTER('Kế hoạch chèn link (mới)'!$B$3:$B$2213,'Kế hoạch chèn link (mới)'!$D$3:$D$2213=$B176),1),"""")"),"https://techcombank.com/thong-tin/blog/cach-tinh-lai-vay-ngan-hang")</f>
        <v>https://techcombank.com/thong-tin/blog/cach-tinh-lai-vay-ngan-hang</v>
      </c>
      <c r="I176" s="25" t="str">
        <f>IFERROR(__xludf.DUMMYFUNCTION("IFERROR(INDEX(FILTER('Kế hoạch chèn link (mới)'!$C$3:$C$2213,'Kế hoạch chèn link (mới)'!$D$3:$D$2213=$B176),2),"""")"),"lãi suất ngân hàng")</f>
        <v>lãi suất ngân hàng</v>
      </c>
      <c r="J176" s="25" t="str">
        <f>IFERROR(__xludf.DUMMYFUNCTION("IFERROR(INDEX(FILTER('Kế hoạch chèn link (mới)'!$B$3:$B$2213,'Kế hoạch chèn link (mới)'!$D$3:$D$2213=$B176),2),"""")"),"https://techcombank.com/thong-tin/blog/lai-suat-tiet-kiem")</f>
        <v>https://techcombank.com/thong-tin/blog/lai-suat-tiet-kiem</v>
      </c>
      <c r="K176" s="25" t="str">
        <f>IFERROR(__xludf.DUMMYFUNCTION("IFERROR(INDEX(FILTER('Kế hoạch chèn link (mới)'!$C$3:$C$2213,'Kế hoạch chèn link (mới)'!$D$3:$D$2213=$B176),3),"""")"),"cách tính lãi suất ngân hàng")</f>
        <v>cách tính lãi suất ngân hàng</v>
      </c>
      <c r="L176" s="25" t="str">
        <f>IFERROR(__xludf.DUMMYFUNCTION("IFERROR(INDEX(FILTER('Kế hoạch chèn link (mới)'!$B$3:$B$2213,'Kế hoạch chèn link (mới)'!$D$3:$D$2213=$B176),3),"""")"),"https://techcombank.com/thong-tin/blog/cach-tinh-lai-suat-tien-gui-tiet-kiem")</f>
        <v>https://techcombank.com/thong-tin/blog/cach-tinh-lai-suat-tien-gui-tiet-kiem</v>
      </c>
      <c r="M176" s="25" t="str">
        <f>IFERROR(__xludf.DUMMYFUNCTION("IFERROR(INDEX(FILTER('Kế hoạch chèn link (mới)'!$C$3:$C$2213,'Kế hoạch chèn link (mới)'!$D$3:$D$2213=$B176),4),"""")"),"bảng tính lãi suất vay ngân hàng")</f>
        <v>bảng tính lãi suất vay ngân hàng</v>
      </c>
      <c r="N176" s="25" t="str">
        <f>IFERROR(__xludf.DUMMYFUNCTION("IFERROR(INDEX(FILTER('Kế hoạch chèn link (mới)'!$B$3:$B$2213,'Kế hoạch chèn link (mới)'!$D$3:$D$2213=$B176),4),"""")"),"https://techcombank.com/cong-cu-tien-ich/cong-cu-tinh-toan/bang-tinh-lai-suat-vay")</f>
        <v>https://techcombank.com/cong-cu-tien-ich/cong-cu-tinh-toan/bang-tinh-lai-suat-vay</v>
      </c>
      <c r="O176" s="25" t="str">
        <f>IFERROR(__xludf.DUMMYFUNCTION("IFERROR(INDEX(FILTER('Kế hoạch chèn link (mới)'!$C$3:$C$2213,'Kế hoạch chèn link (mới)'!$D$3:$D$2213=$B176),5),"""")"),"")</f>
        <v/>
      </c>
      <c r="P176" s="25" t="str">
        <f>IFERROR(__xludf.DUMMYFUNCTION("IFERROR(INDEX(FILTER('Kế hoạch chèn link (mới)'!$B$3:$B$2213,'Kế hoạch chèn link (mới)'!$D$3:$D$2213=$B176),5),"""")"),"")</f>
        <v/>
      </c>
    </row>
    <row r="177">
      <c r="A177" s="6">
        <f t="shared" si="1"/>
        <v>176</v>
      </c>
      <c r="B177" s="8" t="s">
        <v>773</v>
      </c>
      <c r="C177" s="6">
        <f>COUNTIF('Kế hoạch chèn link (mới)'!$D$3:$D$2213,$B177)</f>
        <v>4</v>
      </c>
      <c r="D177" s="8" t="str">
        <f>IF(COUNTIFS('Kế hoạch chèn link (mới)'!$D$3:$D$2213,$B177,'Kế hoạch chèn link (mới)'!$I$3:$I$2213,"Đã chèn")&gt;=$C177,"Đã hoàn thành",IF(COUNTIFS('Kế hoạch chèn link (mới)'!$D$3:$D$2213,$B177,'Kế hoạch chèn link (mới)'!$I$3:$I$2213,"Đã chèn")&gt;0,"Đang làm","Chưa hoàn thành"))</f>
        <v>Chưa hoàn thành</v>
      </c>
      <c r="E177" s="8" t="b">
        <f t="shared" si="2"/>
        <v>0</v>
      </c>
      <c r="F177" s="25"/>
      <c r="G177" s="25" t="str">
        <f>IFERROR(__xludf.DUMMYFUNCTION("IFERROR(INDEX(FILTER('Kế hoạch chèn link (mới)'!$C$3:$C$2213,'Kế hoạch chèn link (mới)'!$D$3:$D$2213=$B177),1),"""")"),"thuế giá trị gia tăng")</f>
        <v>thuế giá trị gia tăng</v>
      </c>
      <c r="H177" s="25" t="str">
        <f>IFERROR(__xludf.DUMMYFUNCTION("IFERROR(INDEX(FILTER('Kế hoạch chèn link (mới)'!$B$3:$B$2213,'Kế hoạch chèn link (mới)'!$D$3:$D$2213=$B177),1),"""")"),"https://techcombank.com/thong-tin/blog/thue-vat-la-gi")</f>
        <v>https://techcombank.com/thong-tin/blog/thue-vat-la-gi</v>
      </c>
      <c r="I177" s="25" t="str">
        <f>IFERROR(__xludf.DUMMYFUNCTION("IFERROR(INDEX(FILTER('Kế hoạch chèn link (mới)'!$C$3:$C$2213,'Kế hoạch chèn link (mới)'!$D$3:$D$2213=$B177),2),"""")"),"thuế doanh nghiệp")</f>
        <v>thuế doanh nghiệp</v>
      </c>
      <c r="J177" s="25" t="str">
        <f>IFERROR(__xludf.DUMMYFUNCTION("IFERROR(INDEX(FILTER('Kế hoạch chèn link (mới)'!$B$3:$B$2213,'Kế hoạch chèn link (mới)'!$D$3:$D$2213=$B177),2),"""")"),"https://techcombank.com/thong-tin/blog/thue-doanh-nghiep")</f>
        <v>https://techcombank.com/thong-tin/blog/thue-doanh-nghiep</v>
      </c>
      <c r="K177" s="25" t="str">
        <f>IFERROR(__xludf.DUMMYFUNCTION("IFERROR(INDEX(FILTER('Kế hoạch chèn link (mới)'!$C$3:$C$2213,'Kế hoạch chèn link (mới)'!$D$3:$D$2213=$B177),3),"""")"),"nộp tiền vào tài khoản")</f>
        <v>nộp tiền vào tài khoản</v>
      </c>
      <c r="L177" s="25" t="str">
        <f>IFERROR(__xludf.DUMMYFUNCTION("IFERROR(INDEX(FILTER('Kế hoạch chèn link (mới)'!$B$3:$B$2213,'Kế hoạch chèn link (mới)'!$D$3:$D$2213=$B177),3),"""")"),"https://techcombank.com/thong-tin/blog/nap-tien-vao-tai-khoan-ngan-hang")</f>
        <v>https://techcombank.com/thong-tin/blog/nap-tien-vao-tai-khoan-ngan-hang</v>
      </c>
      <c r="M177" s="25" t="str">
        <f>IFERROR(__xludf.DUMMYFUNCTION("IFERROR(INDEX(FILTER('Kế hoạch chèn link (mới)'!$C$3:$C$2213,'Kế hoạch chèn link (mới)'!$D$3:$D$2213=$B177),4),"""")"),"tính lãi suất vay ngân hàng")</f>
        <v>tính lãi suất vay ngân hàng</v>
      </c>
      <c r="N177" s="25" t="str">
        <f>IFERROR(__xludf.DUMMYFUNCTION("IFERROR(INDEX(FILTER('Kế hoạch chèn link (mới)'!$B$3:$B$2213,'Kế hoạch chèn link (mới)'!$D$3:$D$2213=$B177),4),"""")"),"https://techcombank.com/cong-cu-tien-ich/cong-cu-tinh-toan/bang-tinh-lai-suat-vay")</f>
        <v>https://techcombank.com/cong-cu-tien-ich/cong-cu-tinh-toan/bang-tinh-lai-suat-vay</v>
      </c>
      <c r="O177" s="25" t="str">
        <f>IFERROR(__xludf.DUMMYFUNCTION("IFERROR(INDEX(FILTER('Kế hoạch chèn link (mới)'!$C$3:$C$2213,'Kế hoạch chèn link (mới)'!$D$3:$D$2213=$B177),5),"""")"),"")</f>
        <v/>
      </c>
      <c r="P177" s="25" t="str">
        <f>IFERROR(__xludf.DUMMYFUNCTION("IFERROR(INDEX(FILTER('Kế hoạch chèn link (mới)'!$B$3:$B$2213,'Kế hoạch chèn link (mới)'!$D$3:$D$2213=$B177),5),"""")"),"")</f>
        <v/>
      </c>
    </row>
    <row r="178">
      <c r="A178" s="6">
        <f t="shared" si="1"/>
        <v>177</v>
      </c>
      <c r="B178" s="8" t="s">
        <v>892</v>
      </c>
      <c r="C178" s="6">
        <f>COUNTIF('Kế hoạch chèn link (mới)'!$D$3:$D$2213,$B178)</f>
        <v>2</v>
      </c>
      <c r="D178" s="8" t="str">
        <f>IF(COUNTIFS('Kế hoạch chèn link (mới)'!$D$3:$D$2213,$B178,'Kế hoạch chèn link (mới)'!$I$3:$I$2213,"Đã chèn")&gt;=$C178,"Đã hoàn thành",IF(COUNTIFS('Kế hoạch chèn link (mới)'!$D$3:$D$2213,$B178,'Kế hoạch chèn link (mới)'!$I$3:$I$2213,"Đã chèn")&gt;0,"Đang làm","Chưa hoàn thành"))</f>
        <v>Chưa hoàn thành</v>
      </c>
      <c r="E178" s="8" t="b">
        <f t="shared" si="2"/>
        <v>0</v>
      </c>
      <c r="F178" s="25"/>
      <c r="G178" s="25" t="str">
        <f>IFERROR(__xludf.DUMMYFUNCTION("IFERROR(INDEX(FILTER('Kế hoạch chèn link (mới)'!$C$3:$C$2213,'Kế hoạch chèn link (mới)'!$D$3:$D$2213=$B178),1),"""")"),"thuế thu nhập doanh nghiệp")</f>
        <v>thuế thu nhập doanh nghiệp</v>
      </c>
      <c r="H178" s="25" t="str">
        <f>IFERROR(__xludf.DUMMYFUNCTION("IFERROR(INDEX(FILTER('Kế hoạch chèn link (mới)'!$B$3:$B$2213,'Kế hoạch chèn link (mới)'!$D$3:$D$2213=$B178),1),"""")"),"https://techcombank.com/thong-tin/blog/thue-thu-nhap-doanh-nghiep")</f>
        <v>https://techcombank.com/thong-tin/blog/thue-thu-nhap-doanh-nghiep</v>
      </c>
      <c r="I178" s="25" t="str">
        <f>IFERROR(__xludf.DUMMYFUNCTION("IFERROR(INDEX(FILTER('Kế hoạch chèn link (mới)'!$C$3:$C$2213,'Kế hoạch chèn link (mới)'!$D$3:$D$2213=$B178),2),"""")"),"kiểm tra nợ thuế doanh nghiệp")</f>
        <v>kiểm tra nợ thuế doanh nghiệp</v>
      </c>
      <c r="J178" s="25" t="str">
        <f>IFERROR(__xludf.DUMMYFUNCTION("IFERROR(INDEX(FILTER('Kế hoạch chèn link (mới)'!$B$3:$B$2213,'Kế hoạch chèn link (mới)'!$D$3:$D$2213=$B178),2),"""")"),"https://techcombank.com/thong-tin/blog/tra-cuu-no-thue-doanh-nghiep")</f>
        <v>https://techcombank.com/thong-tin/blog/tra-cuu-no-thue-doanh-nghiep</v>
      </c>
      <c r="K178" s="25" t="str">
        <f>IFERROR(__xludf.DUMMYFUNCTION("IFERROR(INDEX(FILTER('Kế hoạch chèn link (mới)'!$C$3:$C$2213,'Kế hoạch chèn link (mới)'!$D$3:$D$2213=$B178),3),"""")"),"")</f>
        <v/>
      </c>
      <c r="L178" s="25" t="str">
        <f>IFERROR(__xludf.DUMMYFUNCTION("IFERROR(INDEX(FILTER('Kế hoạch chèn link (mới)'!$B$3:$B$2213,'Kế hoạch chèn link (mới)'!$D$3:$D$2213=$B178),3),"""")"),"")</f>
        <v/>
      </c>
      <c r="M178" s="25" t="str">
        <f>IFERROR(__xludf.DUMMYFUNCTION("IFERROR(INDEX(FILTER('Kế hoạch chèn link (mới)'!$C$3:$C$2213,'Kế hoạch chèn link (mới)'!$D$3:$D$2213=$B178),4),"""")"),"")</f>
        <v/>
      </c>
      <c r="N178" s="25" t="str">
        <f>IFERROR(__xludf.DUMMYFUNCTION("IFERROR(INDEX(FILTER('Kế hoạch chèn link (mới)'!$B$3:$B$2213,'Kế hoạch chèn link (mới)'!$D$3:$D$2213=$B178),4),"""")"),"")</f>
        <v/>
      </c>
      <c r="O178" s="25" t="str">
        <f>IFERROR(__xludf.DUMMYFUNCTION("IFERROR(INDEX(FILTER('Kế hoạch chèn link (mới)'!$C$3:$C$2213,'Kế hoạch chèn link (mới)'!$D$3:$D$2213=$B178),5),"""")"),"")</f>
        <v/>
      </c>
      <c r="P178" s="25" t="str">
        <f>IFERROR(__xludf.DUMMYFUNCTION("IFERROR(INDEX(FILTER('Kế hoạch chèn link (mới)'!$B$3:$B$2213,'Kế hoạch chèn link (mới)'!$D$3:$D$2213=$B178),5),"""")"),"")</f>
        <v/>
      </c>
    </row>
    <row r="179">
      <c r="A179" s="6">
        <f t="shared" si="1"/>
        <v>178</v>
      </c>
      <c r="B179" s="8" t="s">
        <v>1431</v>
      </c>
      <c r="C179" s="6">
        <f>COUNTIF('Kế hoạch chèn link (mới)'!$D$3:$D$2213,$B179)</f>
        <v>2</v>
      </c>
      <c r="D179" s="8" t="str">
        <f>IF(COUNTIFS('Kế hoạch chèn link (mới)'!$D$3:$D$2213,$B179,'Kế hoạch chèn link (mới)'!$I$3:$I$2213,"Đã chèn")&gt;=$C179,"Đã hoàn thành",IF(COUNTIFS('Kế hoạch chèn link (mới)'!$D$3:$D$2213,$B179,'Kế hoạch chèn link (mới)'!$I$3:$I$2213,"Đã chèn")&gt;0,"Đang làm","Chưa hoàn thành"))</f>
        <v>Chưa hoàn thành</v>
      </c>
      <c r="E179" s="8" t="b">
        <f t="shared" si="2"/>
        <v>0</v>
      </c>
      <c r="F179" s="25"/>
      <c r="G179" s="25" t="str">
        <f>IFERROR(__xludf.DUMMYFUNCTION("IFERROR(INDEX(FILTER('Kế hoạch chèn link (mới)'!$C$3:$C$2213,'Kế hoạch chèn link (mới)'!$D$3:$D$2213=$B179),1),"""")"),"giá điện sinh hoạt")</f>
        <v>giá điện sinh hoạt</v>
      </c>
      <c r="H179" s="25" t="str">
        <f>IFERROR(__xludf.DUMMYFUNCTION("IFERROR(INDEX(FILTER('Kế hoạch chèn link (mới)'!$B$3:$B$2213,'Kế hoạch chèn link (mới)'!$D$3:$D$2213=$B179),1),"""")"),"https://techcombank.com/thong-tin/blog/cach-tinh-tien-dien-sinh-hoat")</f>
        <v>https://techcombank.com/thong-tin/blog/cach-tinh-tien-dien-sinh-hoat</v>
      </c>
      <c r="I179" s="25" t="str">
        <f>IFERROR(__xludf.DUMMYFUNCTION("IFERROR(INDEX(FILTER('Kế hoạch chèn link (mới)'!$C$3:$C$2213,'Kế hoạch chèn link (mới)'!$D$3:$D$2213=$B179),2),"""")"),"lãi suất ngân hàng")</f>
        <v>lãi suất ngân hàng</v>
      </c>
      <c r="J179" s="25" t="str">
        <f>IFERROR(__xludf.DUMMYFUNCTION("IFERROR(INDEX(FILTER('Kế hoạch chèn link (mới)'!$B$3:$B$2213,'Kế hoạch chèn link (mới)'!$D$3:$D$2213=$B179),2),"""")"),"https://techcombank.com/thong-tin/blog/lai-suat-tiet-kiem")</f>
        <v>https://techcombank.com/thong-tin/blog/lai-suat-tiet-kiem</v>
      </c>
      <c r="K179" s="25" t="str">
        <f>IFERROR(__xludf.DUMMYFUNCTION("IFERROR(INDEX(FILTER('Kế hoạch chèn link (mới)'!$C$3:$C$2213,'Kế hoạch chèn link (mới)'!$D$3:$D$2213=$B179),3),"""")"),"")</f>
        <v/>
      </c>
      <c r="L179" s="25" t="str">
        <f>IFERROR(__xludf.DUMMYFUNCTION("IFERROR(INDEX(FILTER('Kế hoạch chèn link (mới)'!$B$3:$B$2213,'Kế hoạch chèn link (mới)'!$D$3:$D$2213=$B179),3),"""")"),"")</f>
        <v/>
      </c>
      <c r="M179" s="25" t="str">
        <f>IFERROR(__xludf.DUMMYFUNCTION("IFERROR(INDEX(FILTER('Kế hoạch chèn link (mới)'!$C$3:$C$2213,'Kế hoạch chèn link (mới)'!$D$3:$D$2213=$B179),4),"""")"),"")</f>
        <v/>
      </c>
      <c r="N179" s="25" t="str">
        <f>IFERROR(__xludf.DUMMYFUNCTION("IFERROR(INDEX(FILTER('Kế hoạch chèn link (mới)'!$B$3:$B$2213,'Kế hoạch chèn link (mới)'!$D$3:$D$2213=$B179),4),"""")"),"")</f>
        <v/>
      </c>
      <c r="O179" s="25" t="str">
        <f>IFERROR(__xludf.DUMMYFUNCTION("IFERROR(INDEX(FILTER('Kế hoạch chèn link (mới)'!$C$3:$C$2213,'Kế hoạch chèn link (mới)'!$D$3:$D$2213=$B179),5),"""")"),"")</f>
        <v/>
      </c>
      <c r="P179" s="25" t="str">
        <f>IFERROR(__xludf.DUMMYFUNCTION("IFERROR(INDEX(FILTER('Kế hoạch chèn link (mới)'!$B$3:$B$2213,'Kế hoạch chèn link (mới)'!$D$3:$D$2213=$B179),5),"""")"),"")</f>
        <v/>
      </c>
    </row>
    <row r="180">
      <c r="A180" s="6">
        <f t="shared" si="1"/>
        <v>179</v>
      </c>
      <c r="B180" s="8" t="s">
        <v>2803</v>
      </c>
      <c r="C180" s="6">
        <f>COUNTIF('Kế hoạch chèn link (mới)'!$D$3:$D$2213,$B180)</f>
        <v>1</v>
      </c>
      <c r="D180" s="8" t="str">
        <f>IF(COUNTIFS('Kế hoạch chèn link (mới)'!$D$3:$D$2213,$B180,'Kế hoạch chèn link (mới)'!$I$3:$I$2213,"Đã chèn")&gt;=$C180,"Đã hoàn thành",IF(COUNTIFS('Kế hoạch chèn link (mới)'!$D$3:$D$2213,$B180,'Kế hoạch chèn link (mới)'!$I$3:$I$2213,"Đã chèn")&gt;0,"Đang làm","Chưa hoàn thành"))</f>
        <v>Chưa hoàn thành</v>
      </c>
      <c r="E180" s="8" t="b">
        <f t="shared" si="2"/>
        <v>0</v>
      </c>
      <c r="F180" s="25"/>
      <c r="G180" s="25" t="str">
        <f>IFERROR(__xludf.DUMMYFUNCTION("IFERROR(INDEX(FILTER('Kế hoạch chèn link (mới)'!$C$3:$C$2213,'Kế hoạch chèn link (mới)'!$D$3:$D$2213=$B180),1),"""")"),"cách lấy voucher Traveloka")</f>
        <v>cách lấy voucher Traveloka</v>
      </c>
      <c r="H180" s="25" t="str">
        <f>IFERROR(__xludf.DUMMYFUNCTION("IFERROR(INDEX(FILTER('Kế hoạch chèn link (mới)'!$B$3:$B$2213,'Kế hoạch chèn link (mới)'!$D$3:$D$2213=$B180),1),"""")"),"https://techcombank.com/thong-tin/blog/traveloka-voucher")</f>
        <v>https://techcombank.com/thong-tin/blog/traveloka-voucher</v>
      </c>
      <c r="I180" s="25" t="str">
        <f>IFERROR(__xludf.DUMMYFUNCTION("IFERROR(INDEX(FILTER('Kế hoạch chèn link (mới)'!$C$3:$C$2213,'Kế hoạch chèn link (mới)'!$D$3:$D$2213=$B180),2),"""")"),"")</f>
        <v/>
      </c>
      <c r="J180" s="25" t="str">
        <f>IFERROR(__xludf.DUMMYFUNCTION("IFERROR(INDEX(FILTER('Kế hoạch chèn link (mới)'!$B$3:$B$2213,'Kế hoạch chèn link (mới)'!$D$3:$D$2213=$B180),2),"""")"),"")</f>
        <v/>
      </c>
      <c r="K180" s="25" t="str">
        <f>IFERROR(__xludf.DUMMYFUNCTION("IFERROR(INDEX(FILTER('Kế hoạch chèn link (mới)'!$C$3:$C$2213,'Kế hoạch chèn link (mới)'!$D$3:$D$2213=$B180),3),"""")"),"")</f>
        <v/>
      </c>
      <c r="L180" s="25" t="str">
        <f>IFERROR(__xludf.DUMMYFUNCTION("IFERROR(INDEX(FILTER('Kế hoạch chèn link (mới)'!$B$3:$B$2213,'Kế hoạch chèn link (mới)'!$D$3:$D$2213=$B180),3),"""")"),"")</f>
        <v/>
      </c>
      <c r="M180" s="25" t="str">
        <f>IFERROR(__xludf.DUMMYFUNCTION("IFERROR(INDEX(FILTER('Kế hoạch chèn link (mới)'!$C$3:$C$2213,'Kế hoạch chèn link (mới)'!$D$3:$D$2213=$B180),4),"""")"),"")</f>
        <v/>
      </c>
      <c r="N180" s="25" t="str">
        <f>IFERROR(__xludf.DUMMYFUNCTION("IFERROR(INDEX(FILTER('Kế hoạch chèn link (mới)'!$B$3:$B$2213,'Kế hoạch chèn link (mới)'!$D$3:$D$2213=$B180),4),"""")"),"")</f>
        <v/>
      </c>
      <c r="O180" s="25" t="str">
        <f>IFERROR(__xludf.DUMMYFUNCTION("IFERROR(INDEX(FILTER('Kế hoạch chèn link (mới)'!$C$3:$C$2213,'Kế hoạch chèn link (mới)'!$D$3:$D$2213=$B180),5),"""")"),"")</f>
        <v/>
      </c>
      <c r="P180" s="25" t="str">
        <f>IFERROR(__xludf.DUMMYFUNCTION("IFERROR(INDEX(FILTER('Kế hoạch chèn link (mới)'!$B$3:$B$2213,'Kế hoạch chèn link (mới)'!$D$3:$D$2213=$B180),5),"""")"),"")</f>
        <v/>
      </c>
    </row>
    <row r="181">
      <c r="A181" s="6">
        <f t="shared" si="1"/>
        <v>180</v>
      </c>
      <c r="B181" s="8" t="s">
        <v>2804</v>
      </c>
      <c r="C181" s="6">
        <f>COUNTIF('Kế hoạch chèn link (mới)'!$D$3:$D$2213,$B181)</f>
        <v>3</v>
      </c>
      <c r="D181" s="8" t="str">
        <f>IF(COUNTIFS('Kế hoạch chèn link (mới)'!$D$3:$D$2213,$B181,'Kế hoạch chèn link (mới)'!$I$3:$I$2213,"Đã chèn")&gt;=$C181,"Đã hoàn thành",IF(COUNTIFS('Kế hoạch chèn link (mới)'!$D$3:$D$2213,$B181,'Kế hoạch chèn link (mới)'!$I$3:$I$2213,"Đã chèn")&gt;0,"Đang làm","Chưa hoàn thành"))</f>
        <v>Chưa hoàn thành</v>
      </c>
      <c r="E181" s="8" t="b">
        <f t="shared" si="2"/>
        <v>0</v>
      </c>
      <c r="F181" s="25"/>
      <c r="G181" s="25" t="str">
        <f>IFERROR(__xludf.DUMMYFUNCTION("IFERROR(INDEX(FILTER('Kế hoạch chèn link (mới)'!$C$3:$C$2213,'Kế hoạch chèn link (mới)'!$D$3:$D$2213=$B181),1),"""")"),"lãi suất ngân hàng")</f>
        <v>lãi suất ngân hàng</v>
      </c>
      <c r="H181" s="25" t="str">
        <f>IFERROR(__xludf.DUMMYFUNCTION("IFERROR(INDEX(FILTER('Kế hoạch chèn link (mới)'!$B$3:$B$2213,'Kế hoạch chèn link (mới)'!$D$3:$D$2213=$B181),1),"""")"),"https://techcombank.com/thong-tin/blog/lai-suat-tiet-kiem")</f>
        <v>https://techcombank.com/thong-tin/blog/lai-suat-tiet-kiem</v>
      </c>
      <c r="I181" s="25" t="str">
        <f>IFERROR(__xludf.DUMMYFUNCTION("IFERROR(INDEX(FILTER('Kế hoạch chèn link (mới)'!$C$3:$C$2213,'Kế hoạch chèn link (mới)'!$D$3:$D$2213=$B181),2),"""")"),"cách tính lãi suất ngân hàng")</f>
        <v>cách tính lãi suất ngân hàng</v>
      </c>
      <c r="J181" s="25" t="str">
        <f>IFERROR(__xludf.DUMMYFUNCTION("IFERROR(INDEX(FILTER('Kế hoạch chèn link (mới)'!$B$3:$B$2213,'Kế hoạch chèn link (mới)'!$D$3:$D$2213=$B181),2),"""")"),"https://techcombank.com/thong-tin/blog/cach-tinh-lai-suat-tien-gui-tiet-kiem")</f>
        <v>https://techcombank.com/thong-tin/blog/cach-tinh-lai-suat-tien-gui-tiet-kiem</v>
      </c>
      <c r="K181" s="25" t="str">
        <f>IFERROR(__xludf.DUMMYFUNCTION("IFERROR(INDEX(FILTER('Kế hoạch chèn link (mới)'!$C$3:$C$2213,'Kế hoạch chèn link (mới)'!$D$3:$D$2213=$B181),3),"""")"),"lãi suất vay ngân hàng")</f>
        <v>lãi suất vay ngân hàng</v>
      </c>
      <c r="L181" s="25" t="str">
        <f>IFERROR(__xludf.DUMMYFUNCTION("IFERROR(INDEX(FILTER('Kế hoạch chèn link (mới)'!$B$3:$B$2213,'Kế hoạch chèn link (mới)'!$D$3:$D$2213=$B181),3),"""")"),"https://techcombank.com/thong-tin/blog/lai-suat-vay-ngan-hang")</f>
        <v>https://techcombank.com/thong-tin/blog/lai-suat-vay-ngan-hang</v>
      </c>
      <c r="M181" s="25" t="str">
        <f>IFERROR(__xludf.DUMMYFUNCTION("IFERROR(INDEX(FILTER('Kế hoạch chèn link (mới)'!$C$3:$C$2213,'Kế hoạch chèn link (mới)'!$D$3:$D$2213=$B181),4),"""")"),"")</f>
        <v/>
      </c>
      <c r="N181" s="25" t="str">
        <f>IFERROR(__xludf.DUMMYFUNCTION("IFERROR(INDEX(FILTER('Kế hoạch chèn link (mới)'!$B$3:$B$2213,'Kế hoạch chèn link (mới)'!$D$3:$D$2213=$B181),4),"""")"),"")</f>
        <v/>
      </c>
      <c r="O181" s="25" t="str">
        <f>IFERROR(__xludf.DUMMYFUNCTION("IFERROR(INDEX(FILTER('Kế hoạch chèn link (mới)'!$C$3:$C$2213,'Kế hoạch chèn link (mới)'!$D$3:$D$2213=$B181),5),"""")"),"")</f>
        <v/>
      </c>
      <c r="P181" s="25" t="str">
        <f>IFERROR(__xludf.DUMMYFUNCTION("IFERROR(INDEX(FILTER('Kế hoạch chèn link (mới)'!$B$3:$B$2213,'Kế hoạch chèn link (mới)'!$D$3:$D$2213=$B181),5),"""")"),"")</f>
        <v/>
      </c>
    </row>
    <row r="182">
      <c r="A182" s="6">
        <f t="shared" si="1"/>
        <v>181</v>
      </c>
      <c r="B182" s="8" t="s">
        <v>2806</v>
      </c>
      <c r="C182" s="6">
        <f>COUNTIF('Kế hoạch chèn link (mới)'!$D$3:$D$2213,$B182)</f>
        <v>1</v>
      </c>
      <c r="D182" s="8" t="str">
        <f>IF(COUNTIFS('Kế hoạch chèn link (mới)'!$D$3:$D$2213,$B182,'Kế hoạch chèn link (mới)'!$I$3:$I$2213,"Đã chèn")&gt;=$C182,"Đã hoàn thành",IF(COUNTIFS('Kế hoạch chèn link (mới)'!$D$3:$D$2213,$B182,'Kế hoạch chèn link (mới)'!$I$3:$I$2213,"Đã chèn")&gt;0,"Đang làm","Chưa hoàn thành"))</f>
        <v>Chưa hoàn thành</v>
      </c>
      <c r="E182" s="8" t="b">
        <f t="shared" si="2"/>
        <v>0</v>
      </c>
      <c r="F182" s="25"/>
      <c r="G182" s="25" t="str">
        <f>IFERROR(__xludf.DUMMYFUNCTION("IFERROR(INDEX(FILTER('Kế hoạch chèn link (mới)'!$C$3:$C$2213,'Kế hoạch chèn link (mới)'!$D$3:$D$2213=$B182),1),"""")"),"voucher Traveloka")</f>
        <v>voucher Traveloka</v>
      </c>
      <c r="H182" s="25" t="str">
        <f>IFERROR(__xludf.DUMMYFUNCTION("IFERROR(INDEX(FILTER('Kế hoạch chèn link (mới)'!$B$3:$B$2213,'Kế hoạch chèn link (mới)'!$D$3:$D$2213=$B182),1),"""")"),"https://techcombank.com/thong-tin/blog/traveloka-voucher")</f>
        <v>https://techcombank.com/thong-tin/blog/traveloka-voucher</v>
      </c>
      <c r="I182" s="25" t="str">
        <f>IFERROR(__xludf.DUMMYFUNCTION("IFERROR(INDEX(FILTER('Kế hoạch chèn link (mới)'!$C$3:$C$2213,'Kế hoạch chèn link (mới)'!$D$3:$D$2213=$B182),2),"""")"),"")</f>
        <v/>
      </c>
      <c r="J182" s="25" t="str">
        <f>IFERROR(__xludf.DUMMYFUNCTION("IFERROR(INDEX(FILTER('Kế hoạch chèn link (mới)'!$B$3:$B$2213,'Kế hoạch chèn link (mới)'!$D$3:$D$2213=$B182),2),"""")"),"")</f>
        <v/>
      </c>
      <c r="K182" s="25" t="str">
        <f>IFERROR(__xludf.DUMMYFUNCTION("IFERROR(INDEX(FILTER('Kế hoạch chèn link (mới)'!$C$3:$C$2213,'Kế hoạch chèn link (mới)'!$D$3:$D$2213=$B182),3),"""")"),"")</f>
        <v/>
      </c>
      <c r="L182" s="25" t="str">
        <f>IFERROR(__xludf.DUMMYFUNCTION("IFERROR(INDEX(FILTER('Kế hoạch chèn link (mới)'!$B$3:$B$2213,'Kế hoạch chèn link (mới)'!$D$3:$D$2213=$B182),3),"""")"),"")</f>
        <v/>
      </c>
      <c r="M182" s="25" t="str">
        <f>IFERROR(__xludf.DUMMYFUNCTION("IFERROR(INDEX(FILTER('Kế hoạch chèn link (mới)'!$C$3:$C$2213,'Kế hoạch chèn link (mới)'!$D$3:$D$2213=$B182),4),"""")"),"")</f>
        <v/>
      </c>
      <c r="N182" s="25" t="str">
        <f>IFERROR(__xludf.DUMMYFUNCTION("IFERROR(INDEX(FILTER('Kế hoạch chèn link (mới)'!$B$3:$B$2213,'Kế hoạch chèn link (mới)'!$D$3:$D$2213=$B182),4),"""")"),"")</f>
        <v/>
      </c>
      <c r="O182" s="25" t="str">
        <f>IFERROR(__xludf.DUMMYFUNCTION("IFERROR(INDEX(FILTER('Kế hoạch chèn link (mới)'!$C$3:$C$2213,'Kế hoạch chèn link (mới)'!$D$3:$D$2213=$B182),5),"""")"),"")</f>
        <v/>
      </c>
      <c r="P182" s="25" t="str">
        <f>IFERROR(__xludf.DUMMYFUNCTION("IFERROR(INDEX(FILTER('Kế hoạch chèn link (mới)'!$B$3:$B$2213,'Kế hoạch chèn link (mới)'!$D$3:$D$2213=$B182),5),"""")"),"")</f>
        <v/>
      </c>
    </row>
    <row r="183">
      <c r="A183" s="6">
        <f t="shared" si="1"/>
        <v>182</v>
      </c>
      <c r="B183" s="8" t="s">
        <v>2807</v>
      </c>
      <c r="C183" s="6">
        <f>COUNTIF('Kế hoạch chèn link (mới)'!$D$3:$D$2213,$B183)</f>
        <v>4</v>
      </c>
      <c r="D183" s="8" t="str">
        <f>IF(COUNTIFS('Kế hoạch chèn link (mới)'!$D$3:$D$2213,$B183,'Kế hoạch chèn link (mới)'!$I$3:$I$2213,"Đã chèn")&gt;=$C183,"Đã hoàn thành",IF(COUNTIFS('Kế hoạch chèn link (mới)'!$D$3:$D$2213,$B183,'Kế hoạch chèn link (mới)'!$I$3:$I$2213,"Đã chèn")&gt;0,"Đang làm","Chưa hoàn thành"))</f>
        <v>Chưa hoàn thành</v>
      </c>
      <c r="E183" s="8" t="b">
        <f t="shared" si="2"/>
        <v>0</v>
      </c>
      <c r="F183" s="25"/>
      <c r="G183" s="25" t="str">
        <f>IFERROR(__xludf.DUMMYFUNCTION("IFERROR(INDEX(FILTER('Kế hoạch chèn link (mới)'!$C$3:$C$2213,'Kế hoạch chèn link (mới)'!$D$3:$D$2213=$B183),1),"""")"),"thuế hộ kinh doanh")</f>
        <v>thuế hộ kinh doanh</v>
      </c>
      <c r="H183" s="25" t="str">
        <f>IFERROR(__xludf.DUMMYFUNCTION("IFERROR(INDEX(FILTER('Kế hoạch chèn link (mới)'!$B$3:$B$2213,'Kế hoạch chèn link (mới)'!$D$3:$D$2213=$B183),1),"""")"),"https://techcombank.com/thong-tin/blog/ho-kinh-doanh-dong-thue-nhu-nao")</f>
        <v>https://techcombank.com/thong-tin/blog/ho-kinh-doanh-dong-thue-nhu-nao</v>
      </c>
      <c r="I183" s="25" t="str">
        <f>IFERROR(__xludf.DUMMYFUNCTION("IFERROR(INDEX(FILTER('Kế hoạch chèn link (mới)'!$C$3:$C$2213,'Kế hoạch chèn link (mới)'!$D$3:$D$2213=$B183),2),"""")"),"mô hình kinh doanh là gì")</f>
        <v>mô hình kinh doanh là gì</v>
      </c>
      <c r="J183" s="25" t="str">
        <f>IFERROR(__xludf.DUMMYFUNCTION("IFERROR(INDEX(FILTER('Kế hoạch chèn link (mới)'!$B$3:$B$2213,'Kế hoạch chèn link (mới)'!$D$3:$D$2213=$B183),2),"""")"),"https://techcombank.com/thong-tin/blog/mo-hinh-kinh-doanh-la-gi")</f>
        <v>https://techcombank.com/thong-tin/blog/mo-hinh-kinh-doanh-la-gi</v>
      </c>
      <c r="K183" s="25" t="str">
        <f>IFERROR(__xludf.DUMMYFUNCTION("IFERROR(INDEX(FILTER('Kế hoạch chèn link (mới)'!$C$3:$C$2213,'Kế hoạch chèn link (mới)'!$D$3:$D$2213=$B183),3),"""")"),"tài khoản hộ kinh doanh")</f>
        <v>tài khoản hộ kinh doanh</v>
      </c>
      <c r="L183" s="25" t="str">
        <f>IFERROR(__xludf.DUMMYFUNCTION("IFERROR(INDEX(FILTER('Kế hoạch chèn link (mới)'!$B$3:$B$2213,'Kế hoạch chèn link (mới)'!$D$3:$D$2213=$B183),3),"""")"),"https://techcombank.com/thong-tin/blog/mo-tai-khoan-ho-kinh-doanh")</f>
        <v>https://techcombank.com/thong-tin/blog/mo-tai-khoan-ho-kinh-doanh</v>
      </c>
      <c r="M183" s="25" t="str">
        <f>IFERROR(__xludf.DUMMYFUNCTION("IFERROR(INDEX(FILTER('Kế hoạch chèn link (mới)'!$C$3:$C$2213,'Kế hoạch chèn link (mới)'!$D$3:$D$2213=$B183),4),"""")"),"cách tính thuế hộ kinh doanh")</f>
        <v>cách tính thuế hộ kinh doanh</v>
      </c>
      <c r="N183" s="25" t="str">
        <f>IFERROR(__xludf.DUMMYFUNCTION("IFERROR(INDEX(FILTER('Kế hoạch chèn link (mới)'!$B$3:$B$2213,'Kế hoạch chèn link (mới)'!$D$3:$D$2213=$B183),4),"""")"),"https://techcombank.com/thong-tin/blog/cach-tinh-thue-ho-kinh-doanh-nho-le")</f>
        <v>https://techcombank.com/thong-tin/blog/cach-tinh-thue-ho-kinh-doanh-nho-le</v>
      </c>
      <c r="O183" s="25" t="str">
        <f>IFERROR(__xludf.DUMMYFUNCTION("IFERROR(INDEX(FILTER('Kế hoạch chèn link (mới)'!$C$3:$C$2213,'Kế hoạch chèn link (mới)'!$D$3:$D$2213=$B183),5),"""")"),"")</f>
        <v/>
      </c>
      <c r="P183" s="25" t="str">
        <f>IFERROR(__xludf.DUMMYFUNCTION("IFERROR(INDEX(FILTER('Kế hoạch chèn link (mới)'!$B$3:$B$2213,'Kế hoạch chèn link (mới)'!$D$3:$D$2213=$B183),5),"""")"),"")</f>
        <v/>
      </c>
    </row>
    <row r="184">
      <c r="A184" s="6">
        <f t="shared" si="1"/>
        <v>183</v>
      </c>
      <c r="B184" s="8" t="s">
        <v>695</v>
      </c>
      <c r="C184" s="6">
        <f>COUNTIF('Kế hoạch chèn link (mới)'!$D$3:$D$2213,$B184)</f>
        <v>4</v>
      </c>
      <c r="D184" s="8" t="str">
        <f>IF(COUNTIFS('Kế hoạch chèn link (mới)'!$D$3:$D$2213,$B184,'Kế hoạch chèn link (mới)'!$I$3:$I$2213,"Đã chèn")&gt;=$C184,"Đã hoàn thành",IF(COUNTIFS('Kế hoạch chèn link (mới)'!$D$3:$D$2213,$B184,'Kế hoạch chèn link (mới)'!$I$3:$I$2213,"Đã chèn")&gt;0,"Đang làm","Chưa hoàn thành"))</f>
        <v>Chưa hoàn thành</v>
      </c>
      <c r="E184" s="8" t="b">
        <f t="shared" si="2"/>
        <v>0</v>
      </c>
      <c r="F184" s="25"/>
      <c r="G184" s="25" t="str">
        <f>IFERROR(__xludf.DUMMYFUNCTION("IFERROR(INDEX(FILTER('Kế hoạch chèn link (mới)'!$C$3:$C$2213,'Kế hoạch chèn link (mới)'!$D$3:$D$2213=$B184),1),"""")"),"nộp thuế hộ trên etax")</f>
        <v>nộp thuế hộ trên etax</v>
      </c>
      <c r="H184" s="25" t="str">
        <f>IFERROR(__xludf.DUMMYFUNCTION("IFERROR(INDEX(FILTER('Kế hoạch chèn link (mới)'!$B$3:$B$2213,'Kế hoạch chèn link (mới)'!$D$3:$D$2213=$B184),1),"""")"),"https://techcombank.com/thong-tin/blog/cach-nop-thue-dien-tu")</f>
        <v>https://techcombank.com/thong-tin/blog/cach-nop-thue-dien-tu</v>
      </c>
      <c r="I184" s="25" t="str">
        <f>IFERROR(__xludf.DUMMYFUNCTION("IFERROR(INDEX(FILTER('Kế hoạch chèn link (mới)'!$C$3:$C$2213,'Kế hoạch chèn link (mới)'!$D$3:$D$2213=$B184),2),"""")"),"tra cứu nợ thuế theo mã số thuế")</f>
        <v>tra cứu nợ thuế theo mã số thuế</v>
      </c>
      <c r="J184" s="25" t="str">
        <f>IFERROR(__xludf.DUMMYFUNCTION("IFERROR(INDEX(FILTER('Kế hoạch chèn link (mới)'!$B$3:$B$2213,'Kế hoạch chèn link (mới)'!$D$3:$D$2213=$B184),2),"""")"),"https://techcombank.com/thong-tin/blog/tra-cuu-no-thue-doanh-nghiep")</f>
        <v>https://techcombank.com/thong-tin/blog/tra-cuu-no-thue-doanh-nghiep</v>
      </c>
      <c r="K184" s="25" t="str">
        <f>IFERROR(__xludf.DUMMYFUNCTION("IFERROR(INDEX(FILTER('Kế hoạch chèn link (mới)'!$C$3:$C$2213,'Kế hoạch chèn link (mới)'!$D$3:$D$2213=$B184),3),"""")"),"thuế thu nhập cá nhân")</f>
        <v>thuế thu nhập cá nhân</v>
      </c>
      <c r="L184" s="25" t="str">
        <f>IFERROR(__xludf.DUMMYFUNCTION("IFERROR(INDEX(FILTER('Kế hoạch chèn link (mới)'!$B$3:$B$2213,'Kế hoạch chèn link (mới)'!$D$3:$D$2213=$B184),3),"""")"),"https://techcombank.com/thong-tin/blog/cach-tinh-thue-thu-nhap-ca-nhan-2025")</f>
        <v>https://techcombank.com/thong-tin/blog/cach-tinh-thue-thu-nhap-ca-nhan-2025</v>
      </c>
      <c r="M184" s="25" t="str">
        <f>IFERROR(__xludf.DUMMYFUNCTION("IFERROR(INDEX(FILTER('Kế hoạch chèn link (mới)'!$C$3:$C$2213,'Kế hoạch chèn link (mới)'!$D$3:$D$2213=$B184),4),"""")"),"kiểm tra thuế thu nhập cá nhân")</f>
        <v>kiểm tra thuế thu nhập cá nhân</v>
      </c>
      <c r="N184" s="25" t="str">
        <f>IFERROR(__xludf.DUMMYFUNCTION("IFERROR(INDEX(FILTER('Kế hoạch chèn link (mới)'!$B$3:$B$2213,'Kế hoạch chèn link (mới)'!$D$3:$D$2213=$B184),4),"""")"),"https://techcombank.com/thong-tin/blog/kiem-tra-thue-thu-nhap-ca-nhan")</f>
        <v>https://techcombank.com/thong-tin/blog/kiem-tra-thue-thu-nhap-ca-nhan</v>
      </c>
      <c r="O184" s="25" t="str">
        <f>IFERROR(__xludf.DUMMYFUNCTION("IFERROR(INDEX(FILTER('Kế hoạch chèn link (mới)'!$C$3:$C$2213,'Kế hoạch chèn link (mới)'!$D$3:$D$2213=$B184),5),"""")"),"")</f>
        <v/>
      </c>
      <c r="P184" s="25" t="str">
        <f>IFERROR(__xludf.DUMMYFUNCTION("IFERROR(INDEX(FILTER('Kế hoạch chèn link (mới)'!$B$3:$B$2213,'Kế hoạch chèn link (mới)'!$D$3:$D$2213=$B184),5),"""")"),"")</f>
        <v/>
      </c>
    </row>
    <row r="185">
      <c r="A185" s="6">
        <f t="shared" si="1"/>
        <v>184</v>
      </c>
      <c r="B185" s="8" t="s">
        <v>1231</v>
      </c>
      <c r="C185" s="6">
        <f>COUNTIF('Kế hoạch chèn link (mới)'!$D$3:$D$2213,$B185)</f>
        <v>5</v>
      </c>
      <c r="D185" s="8" t="str">
        <f>IF(COUNTIFS('Kế hoạch chèn link (mới)'!$D$3:$D$2213,$B185,'Kế hoạch chèn link (mới)'!$I$3:$I$2213,"Đã chèn")&gt;=$C185,"Đã hoàn thành",IF(COUNTIFS('Kế hoạch chèn link (mới)'!$D$3:$D$2213,$B185,'Kế hoạch chèn link (mới)'!$I$3:$I$2213,"Đã chèn")&gt;0,"Đang làm","Chưa hoàn thành"))</f>
        <v>Chưa hoàn thành</v>
      </c>
      <c r="E185" s="8" t="b">
        <f t="shared" si="2"/>
        <v>0</v>
      </c>
      <c r="F185" s="25"/>
      <c r="G185" s="25" t="str">
        <f>IFERROR(__xludf.DUMMYFUNCTION("IFERROR(INDEX(FILTER('Kế hoạch chèn link (mới)'!$C$3:$C$2213,'Kế hoạch chèn link (mới)'!$D$3:$D$2213=$B185),1),"""")"),"công ty dùng tài khoản cá nhân có được không")</f>
        <v>công ty dùng tài khoản cá nhân có được không</v>
      </c>
      <c r="H185" s="25" t="str">
        <f>IFERROR(__xludf.DUMMYFUNCTION("IFERROR(INDEX(FILTER('Kế hoạch chèn link (mới)'!$B$3:$B$2213,'Kế hoạch chèn link (mới)'!$D$3:$D$2213=$B185),1),"""")"),"https://techcombank.com/thong-tin/blog/cong-ty-su-dung-tai-khoan-ca-nhan")</f>
        <v>https://techcombank.com/thong-tin/blog/cong-ty-su-dung-tai-khoan-ca-nhan</v>
      </c>
      <c r="I185" s="25" t="str">
        <f>IFERROR(__xludf.DUMMYFUNCTION("IFERROR(INDEX(FILTER('Kế hoạch chèn link (mới)'!$C$3:$C$2213,'Kế hoạch chèn link (mới)'!$D$3:$D$2213=$B185),2),"""")"),"mở tài khoản ngân hàng online")</f>
        <v>mở tài khoản ngân hàng online</v>
      </c>
      <c r="J185" s="25" t="str">
        <f>IFERROR(__xludf.DUMMYFUNCTION("IFERROR(INDEX(FILTER('Kế hoạch chèn link (mới)'!$B$3:$B$2213,'Kế hoạch chèn link (mới)'!$D$3:$D$2213=$B185),2),"""")"),"https://techcombank.com/thong-tin/blog/cach-mo-tai-khoan")</f>
        <v>https://techcombank.com/thong-tin/blog/cach-mo-tai-khoan</v>
      </c>
      <c r="K185" s="25" t="str">
        <f>IFERROR(__xludf.DUMMYFUNCTION("IFERROR(INDEX(FILTER('Kế hoạch chèn link (mới)'!$C$3:$C$2213,'Kế hoạch chèn link (mới)'!$D$3:$D$2213=$B185),3),"""")"),"mở tài khoản ngân hàng cho học sinh")</f>
        <v>mở tài khoản ngân hàng cho học sinh</v>
      </c>
      <c r="L185" s="25" t="str">
        <f>IFERROR(__xludf.DUMMYFUNCTION("IFERROR(INDEX(FILTER('Kế hoạch chèn link (mới)'!$B$3:$B$2213,'Kế hoạch chèn link (mới)'!$D$3:$D$2213=$B185),3),"""")"),"https://techcombank.com/thong-tin/blog/mo-tai-khoan-ngan-hang-duoi-18-tuoi")</f>
        <v>https://techcombank.com/thong-tin/blog/mo-tai-khoan-ngan-hang-duoi-18-tuoi</v>
      </c>
      <c r="M185" s="25" t="str">
        <f>IFERROR(__xludf.DUMMYFUNCTION("IFERROR(INDEX(FILTER('Kế hoạch chèn link (mới)'!$C$3:$C$2213,'Kế hoạch chèn link (mới)'!$D$3:$D$2213=$B185),4),"""")"),"lãi suất tiền gửi ngân hàng")</f>
        <v>lãi suất tiền gửi ngân hàng</v>
      </c>
      <c r="N185" s="25" t="str">
        <f>IFERROR(__xludf.DUMMYFUNCTION("IFERROR(INDEX(FILTER('Kế hoạch chèn link (mới)'!$B$3:$B$2213,'Kế hoạch chèn link (mới)'!$D$3:$D$2213=$B185),4),"""")"),"https://techcombank.com/thong-tin/blog/lai-suat-tiet-kiem")</f>
        <v>https://techcombank.com/thong-tin/blog/lai-suat-tiet-kiem</v>
      </c>
      <c r="O185" s="25" t="str">
        <f>IFERROR(__xludf.DUMMYFUNCTION("IFERROR(INDEX(FILTER('Kế hoạch chèn link (mới)'!$C$3:$C$2213,'Kế hoạch chèn link (mới)'!$D$3:$D$2213=$B185),5),"""")"),"cách tiết kiệm tiền")</f>
        <v>cách tiết kiệm tiền</v>
      </c>
      <c r="P185" s="25" t="str">
        <f>IFERROR(__xludf.DUMMYFUNCTION("IFERROR(INDEX(FILTER('Kế hoạch chèn link (mới)'!$B$3:$B$2213,'Kế hoạch chèn link (mới)'!$D$3:$D$2213=$B185),5),"""")"),"https://techcombank.com/thong-tin/blog/cach-tiet-kiem-tien")</f>
        <v>https://techcombank.com/thong-tin/blog/cach-tiet-kiem-tien</v>
      </c>
    </row>
    <row r="186">
      <c r="A186" s="6">
        <f t="shared" si="1"/>
        <v>185</v>
      </c>
      <c r="B186" s="8" t="s">
        <v>1136</v>
      </c>
      <c r="C186" s="6">
        <f>COUNTIF('Kế hoạch chèn link (mới)'!$D$3:$D$2213,$B186)</f>
        <v>1</v>
      </c>
      <c r="D186" s="8" t="str">
        <f>IF(COUNTIFS('Kế hoạch chèn link (mới)'!$D$3:$D$2213,$B186,'Kế hoạch chèn link (mới)'!$I$3:$I$2213,"Đã chèn")&gt;=$C186,"Đã hoàn thành",IF(COUNTIFS('Kế hoạch chèn link (mới)'!$D$3:$D$2213,$B186,'Kế hoạch chèn link (mới)'!$I$3:$I$2213,"Đã chèn")&gt;0,"Đang làm","Chưa hoàn thành"))</f>
        <v>Chưa hoàn thành</v>
      </c>
      <c r="E186" s="8" t="b">
        <f t="shared" si="2"/>
        <v>0</v>
      </c>
      <c r="F186" s="25"/>
      <c r="G186" s="25" t="str">
        <f>IFERROR(__xludf.DUMMYFUNCTION("IFERROR(INDEX(FILTER('Kế hoạch chèn link (mới)'!$C$3:$C$2213,'Kế hoạch chèn link (mới)'!$D$3:$D$2213=$B186),1),"""")"),"thuế doanh nghiệp")</f>
        <v>thuế doanh nghiệp</v>
      </c>
      <c r="H186" s="25" t="str">
        <f>IFERROR(__xludf.DUMMYFUNCTION("IFERROR(INDEX(FILTER('Kế hoạch chèn link (mới)'!$B$3:$B$2213,'Kế hoạch chèn link (mới)'!$D$3:$D$2213=$B186),1),"""")"),"https://techcombank.com/thong-tin/blog/thue-doanh-nghiep")</f>
        <v>https://techcombank.com/thong-tin/blog/thue-doanh-nghiep</v>
      </c>
      <c r="I186" s="25" t="str">
        <f>IFERROR(__xludf.DUMMYFUNCTION("IFERROR(INDEX(FILTER('Kế hoạch chèn link (mới)'!$C$3:$C$2213,'Kế hoạch chèn link (mới)'!$D$3:$D$2213=$B186),2),"""")"),"")</f>
        <v/>
      </c>
      <c r="J186" s="25" t="str">
        <f>IFERROR(__xludf.DUMMYFUNCTION("IFERROR(INDEX(FILTER('Kế hoạch chèn link (mới)'!$B$3:$B$2213,'Kế hoạch chèn link (mới)'!$D$3:$D$2213=$B186),2),"""")"),"")</f>
        <v/>
      </c>
      <c r="K186" s="25" t="str">
        <f>IFERROR(__xludf.DUMMYFUNCTION("IFERROR(INDEX(FILTER('Kế hoạch chèn link (mới)'!$C$3:$C$2213,'Kế hoạch chèn link (mới)'!$D$3:$D$2213=$B186),3),"""")"),"")</f>
        <v/>
      </c>
      <c r="L186" s="25" t="str">
        <f>IFERROR(__xludf.DUMMYFUNCTION("IFERROR(INDEX(FILTER('Kế hoạch chèn link (mới)'!$B$3:$B$2213,'Kế hoạch chèn link (mới)'!$D$3:$D$2213=$B186),3),"""")"),"")</f>
        <v/>
      </c>
      <c r="M186" s="25" t="str">
        <f>IFERROR(__xludf.DUMMYFUNCTION("IFERROR(INDEX(FILTER('Kế hoạch chèn link (mới)'!$C$3:$C$2213,'Kế hoạch chèn link (mới)'!$D$3:$D$2213=$B186),4),"""")"),"")</f>
        <v/>
      </c>
      <c r="N186" s="25" t="str">
        <f>IFERROR(__xludf.DUMMYFUNCTION("IFERROR(INDEX(FILTER('Kế hoạch chèn link (mới)'!$B$3:$B$2213,'Kế hoạch chèn link (mới)'!$D$3:$D$2213=$B186),4),"""")"),"")</f>
        <v/>
      </c>
      <c r="O186" s="25" t="str">
        <f>IFERROR(__xludf.DUMMYFUNCTION("IFERROR(INDEX(FILTER('Kế hoạch chèn link (mới)'!$C$3:$C$2213,'Kế hoạch chèn link (mới)'!$D$3:$D$2213=$B186),5),"""")"),"")</f>
        <v/>
      </c>
      <c r="P186" s="25" t="str">
        <f>IFERROR(__xludf.DUMMYFUNCTION("IFERROR(INDEX(FILTER('Kế hoạch chèn link (mới)'!$B$3:$B$2213,'Kế hoạch chèn link (mới)'!$D$3:$D$2213=$B186),5),"""")"),"")</f>
        <v/>
      </c>
    </row>
    <row r="187">
      <c r="A187" s="6">
        <f t="shared" si="1"/>
        <v>186</v>
      </c>
      <c r="B187" s="8" t="s">
        <v>514</v>
      </c>
      <c r="C187" s="6">
        <f>COUNTIF('Kế hoạch chèn link (mới)'!$D$3:$D$2213,$B187)</f>
        <v>3</v>
      </c>
      <c r="D187" s="8" t="str">
        <f>IF(COUNTIFS('Kế hoạch chèn link (mới)'!$D$3:$D$2213,$B187,'Kế hoạch chèn link (mới)'!$I$3:$I$2213,"Đã chèn")&gt;=$C187,"Đã hoàn thành",IF(COUNTIFS('Kế hoạch chèn link (mới)'!$D$3:$D$2213,$B187,'Kế hoạch chèn link (mới)'!$I$3:$I$2213,"Đã chèn")&gt;0,"Đang làm","Chưa hoàn thành"))</f>
        <v>Chưa hoàn thành</v>
      </c>
      <c r="E187" s="8" t="b">
        <f t="shared" si="2"/>
        <v>0</v>
      </c>
      <c r="F187" s="25"/>
      <c r="G187" s="25" t="str">
        <f>IFERROR(__xludf.DUMMYFUNCTION("IFERROR(INDEX(FILTER('Kế hoạch chèn link (mới)'!$C$3:$C$2213,'Kế hoạch chèn link (mới)'!$D$3:$D$2213=$B187),1),"""")"),"nộp thuế online")</f>
        <v>nộp thuế online</v>
      </c>
      <c r="H187" s="25" t="str">
        <f>IFERROR(__xludf.DUMMYFUNCTION("IFERROR(INDEX(FILTER('Kế hoạch chèn link (mới)'!$B$3:$B$2213,'Kế hoạch chèn link (mới)'!$D$3:$D$2213=$B187),1),"""")"),"https://techcombank.com/thong-tin/blog/cach-nop-thue-dien-tu")</f>
        <v>https://techcombank.com/thong-tin/blog/cach-nop-thue-dien-tu</v>
      </c>
      <c r="I187" s="25" t="str">
        <f>IFERROR(__xludf.DUMMYFUNCTION("IFERROR(INDEX(FILTER('Kế hoạch chèn link (mới)'!$C$3:$C$2213,'Kế hoạch chèn link (mới)'!$D$3:$D$2213=$B187),2),"""")"),"thuế hộ kinh doanh")</f>
        <v>thuế hộ kinh doanh</v>
      </c>
      <c r="J187" s="25" t="str">
        <f>IFERROR(__xludf.DUMMYFUNCTION("IFERROR(INDEX(FILTER('Kế hoạch chèn link (mới)'!$B$3:$B$2213,'Kế hoạch chèn link (mới)'!$D$3:$D$2213=$B187),2),"""")"),"https://techcombank.com/thong-tin/blog/ho-kinh-doanh-dong-thue-nhu-nao")</f>
        <v>https://techcombank.com/thong-tin/blog/ho-kinh-doanh-dong-thue-nhu-nao</v>
      </c>
      <c r="K187" s="25" t="str">
        <f>IFERROR(__xludf.DUMMYFUNCTION("IFERROR(INDEX(FILTER('Kế hoạch chèn link (mới)'!$C$3:$C$2213,'Kế hoạch chèn link (mới)'!$D$3:$D$2213=$B187),3),"""")"),"mô hình kinh doanh")</f>
        <v>mô hình kinh doanh</v>
      </c>
      <c r="L187" s="25" t="str">
        <f>IFERROR(__xludf.DUMMYFUNCTION("IFERROR(INDEX(FILTER('Kế hoạch chèn link (mới)'!$B$3:$B$2213,'Kế hoạch chèn link (mới)'!$D$3:$D$2213=$B187),3),"""")"),"https://techcombank.com/thong-tin/blog/mo-hinh-kinh-doanh-la-gi")</f>
        <v>https://techcombank.com/thong-tin/blog/mo-hinh-kinh-doanh-la-gi</v>
      </c>
      <c r="M187" s="25" t="str">
        <f>IFERROR(__xludf.DUMMYFUNCTION("IFERROR(INDEX(FILTER('Kế hoạch chèn link (mới)'!$C$3:$C$2213,'Kế hoạch chèn link (mới)'!$D$3:$D$2213=$B187),4),"""")"),"")</f>
        <v/>
      </c>
      <c r="N187" s="25" t="str">
        <f>IFERROR(__xludf.DUMMYFUNCTION("IFERROR(INDEX(FILTER('Kế hoạch chèn link (mới)'!$B$3:$B$2213,'Kế hoạch chèn link (mới)'!$D$3:$D$2213=$B187),4),"""")"),"")</f>
        <v/>
      </c>
      <c r="O187" s="25" t="str">
        <f>IFERROR(__xludf.DUMMYFUNCTION("IFERROR(INDEX(FILTER('Kế hoạch chèn link (mới)'!$C$3:$C$2213,'Kế hoạch chèn link (mới)'!$D$3:$D$2213=$B187),5),"""")"),"")</f>
        <v/>
      </c>
      <c r="P187" s="25" t="str">
        <f>IFERROR(__xludf.DUMMYFUNCTION("IFERROR(INDEX(FILTER('Kế hoạch chèn link (mới)'!$B$3:$B$2213,'Kế hoạch chèn link (mới)'!$D$3:$D$2213=$B187),5),"""")"),"")</f>
        <v/>
      </c>
    </row>
    <row r="188">
      <c r="A188" s="6">
        <f t="shared" si="1"/>
        <v>187</v>
      </c>
      <c r="B188" s="8" t="s">
        <v>2810</v>
      </c>
      <c r="C188" s="6">
        <f>COUNTIF('Kế hoạch chèn link (mới)'!$D$3:$D$2213,$B188)</f>
        <v>5</v>
      </c>
      <c r="D188" s="8" t="str">
        <f>IF(COUNTIFS('Kế hoạch chèn link (mới)'!$D$3:$D$2213,$B188,'Kế hoạch chèn link (mới)'!$I$3:$I$2213,"Đã chèn")&gt;=$C188,"Đã hoàn thành",IF(COUNTIFS('Kế hoạch chèn link (mới)'!$D$3:$D$2213,$B188,'Kế hoạch chèn link (mới)'!$I$3:$I$2213,"Đã chèn")&gt;0,"Đang làm","Chưa hoàn thành"))</f>
        <v>Chưa hoàn thành</v>
      </c>
      <c r="E188" s="8" t="b">
        <f t="shared" si="2"/>
        <v>0</v>
      </c>
      <c r="F188" s="25"/>
      <c r="G188" s="25" t="str">
        <f>IFERROR(__xludf.DUMMYFUNCTION("IFERROR(INDEX(FILTER('Kế hoạch chèn link (mới)'!$C$3:$C$2213,'Kế hoạch chèn link (mới)'!$D$3:$D$2213=$B188),1),"""")"),"vay ngân hàng 1 tỷ mỗi tháng trả bao nhiêu")</f>
        <v>vay ngân hàng 1 tỷ mỗi tháng trả bao nhiêu</v>
      </c>
      <c r="H188" s="25" t="str">
        <f>IFERROR(__xludf.DUMMYFUNCTION("IFERROR(INDEX(FILTER('Kế hoạch chèn link (mới)'!$B$3:$B$2213,'Kế hoạch chèn link (mới)'!$D$3:$D$2213=$B188),1),"""")"),"https://techcombank.com/thong-tin/blog/vay-ngan-hang-1-ty-moi-thang-tra-bao-nhieu")</f>
        <v>https://techcombank.com/thong-tin/blog/vay-ngan-hang-1-ty-moi-thang-tra-bao-nhieu</v>
      </c>
      <c r="I188" s="25" t="str">
        <f>IFERROR(__xludf.DUMMYFUNCTION("IFERROR(INDEX(FILTER('Kế hoạch chèn link (mới)'!$C$3:$C$2213,'Kế hoạch chèn link (mới)'!$D$3:$D$2213=$B188),2),"""")"),"tính lãi vay ngân hàng")</f>
        <v>tính lãi vay ngân hàng</v>
      </c>
      <c r="J188" s="25" t="str">
        <f>IFERROR(__xludf.DUMMYFUNCTION("IFERROR(INDEX(FILTER('Kế hoạch chèn link (mới)'!$B$3:$B$2213,'Kế hoạch chèn link (mới)'!$D$3:$D$2213=$B188),2),"""")"),"https://techcombank.com/cong-cu-tien-ich/cong-cu-tinh-toan/bang-tinh-lai-suat-vay")</f>
        <v>https://techcombank.com/cong-cu-tien-ich/cong-cu-tinh-toan/bang-tinh-lai-suat-vay</v>
      </c>
      <c r="K188" s="25" t="str">
        <f>IFERROR(__xludf.DUMMYFUNCTION("IFERROR(INDEX(FILTER('Kế hoạch chèn link (mới)'!$C$3:$C$2213,'Kế hoạch chèn link (mới)'!$D$3:$D$2213=$B188),3),"""")"),"vay tiền")</f>
        <v>vay tiền</v>
      </c>
      <c r="L188" s="25" t="str">
        <f>IFERROR(__xludf.DUMMYFUNCTION("IFERROR(INDEX(FILTER('Kế hoạch chèn link (mới)'!$B$3:$B$2213,'Kế hoạch chèn link (mới)'!$D$3:$D$2213=$B188),3),"""")"),"https://techcombank.com/thong-tin/blog/app-vay-tien-nhanh")</f>
        <v>https://techcombank.com/thong-tin/blog/app-vay-tien-nhanh</v>
      </c>
      <c r="M188" s="25" t="str">
        <f>IFERROR(__xludf.DUMMYFUNCTION("IFERROR(INDEX(FILTER('Kế hoạch chèn link (mới)'!$C$3:$C$2213,'Kế hoạch chèn link (mới)'!$D$3:$D$2213=$B188),4),"""")"),"vay thấu chi")</f>
        <v>vay thấu chi</v>
      </c>
      <c r="N188" s="25" t="str">
        <f>IFERROR(__xludf.DUMMYFUNCTION("IFERROR(INDEX(FILTER('Kế hoạch chèn link (mới)'!$B$3:$B$2213,'Kế hoạch chèn link (mới)'!$D$3:$D$2213=$B188),4),"""")"),"https://techcombank.com/thong-tin/blog/vay-thau-chi-la-gi")</f>
        <v>https://techcombank.com/thong-tin/blog/vay-thau-chi-la-gi</v>
      </c>
      <c r="O188" s="25" t="str">
        <f>IFERROR(__xludf.DUMMYFUNCTION("IFERROR(INDEX(FILTER('Kế hoạch chèn link (mới)'!$C$3:$C$2213,'Kế hoạch chèn link (mới)'!$D$3:$D$2213=$B188),5),"""")"),"nên vay tín chấp ở đâu")</f>
        <v>nên vay tín chấp ở đâu</v>
      </c>
      <c r="P188" s="25" t="str">
        <f>IFERROR(__xludf.DUMMYFUNCTION("IFERROR(INDEX(FILTER('Kế hoạch chèn link (mới)'!$B$3:$B$2213,'Kế hoạch chèn link (mới)'!$D$3:$D$2213=$B188),5),"""")"),"https://techcombank.com/thong-tin/blog/nen-vay-tin-chap-o-dau")</f>
        <v>https://techcombank.com/thong-tin/blog/nen-vay-tin-chap-o-dau</v>
      </c>
    </row>
    <row r="189">
      <c r="A189" s="6">
        <f t="shared" si="1"/>
        <v>188</v>
      </c>
      <c r="B189" s="8" t="s">
        <v>2812</v>
      </c>
      <c r="C189" s="6">
        <f>COUNTIF('Kế hoạch chèn link (mới)'!$D$3:$D$2213,$B189)</f>
        <v>1</v>
      </c>
      <c r="D189" s="8" t="str">
        <f>IF(COUNTIFS('Kế hoạch chèn link (mới)'!$D$3:$D$2213,$B189,'Kế hoạch chèn link (mới)'!$I$3:$I$2213,"Đã chèn")&gt;=$C189,"Đã hoàn thành",IF(COUNTIFS('Kế hoạch chèn link (mới)'!$D$3:$D$2213,$B189,'Kế hoạch chèn link (mới)'!$I$3:$I$2213,"Đã chèn")&gt;0,"Đang làm","Chưa hoàn thành"))</f>
        <v>Chưa hoàn thành</v>
      </c>
      <c r="E189" s="8" t="b">
        <f t="shared" si="2"/>
        <v>0</v>
      </c>
      <c r="F189" s="25"/>
      <c r="G189" s="25" t="str">
        <f>IFERROR(__xludf.DUMMYFUNCTION("IFERROR(INDEX(FILTER('Kế hoạch chèn link (mới)'!$C$3:$C$2213,'Kế hoạch chèn link (mới)'!$D$3:$D$2213=$B189),1),"""")"),"đầu tư chứng chỉ quỹ cho người mới")</f>
        <v>đầu tư chứng chỉ quỹ cho người mới</v>
      </c>
      <c r="H189" s="25" t="str">
        <f>IFERROR(__xludf.DUMMYFUNCTION("IFERROR(INDEX(FILTER('Kế hoạch chèn link (mới)'!$B$3:$B$2213,'Kế hoạch chèn link (mới)'!$D$3:$D$2213=$B189),1),"""")"),"https://techcombank.com/thong-tin/blog/phuong-phap-dau-tu-chung-chi-quy")</f>
        <v>https://techcombank.com/thong-tin/blog/phuong-phap-dau-tu-chung-chi-quy</v>
      </c>
      <c r="I189" s="25" t="str">
        <f>IFERROR(__xludf.DUMMYFUNCTION("IFERROR(INDEX(FILTER('Kế hoạch chèn link (mới)'!$C$3:$C$2213,'Kế hoạch chèn link (mới)'!$D$3:$D$2213=$B189),2),"""")"),"")</f>
        <v/>
      </c>
      <c r="J189" s="25" t="str">
        <f>IFERROR(__xludf.DUMMYFUNCTION("IFERROR(INDEX(FILTER('Kế hoạch chèn link (mới)'!$B$3:$B$2213,'Kế hoạch chèn link (mới)'!$D$3:$D$2213=$B189),2),"""")"),"")</f>
        <v/>
      </c>
      <c r="K189" s="25" t="str">
        <f>IFERROR(__xludf.DUMMYFUNCTION("IFERROR(INDEX(FILTER('Kế hoạch chèn link (mới)'!$C$3:$C$2213,'Kế hoạch chèn link (mới)'!$D$3:$D$2213=$B189),3),"""")"),"")</f>
        <v/>
      </c>
      <c r="L189" s="25" t="str">
        <f>IFERROR(__xludf.DUMMYFUNCTION("IFERROR(INDEX(FILTER('Kế hoạch chèn link (mới)'!$B$3:$B$2213,'Kế hoạch chèn link (mới)'!$D$3:$D$2213=$B189),3),"""")"),"")</f>
        <v/>
      </c>
      <c r="M189" s="25" t="str">
        <f>IFERROR(__xludf.DUMMYFUNCTION("IFERROR(INDEX(FILTER('Kế hoạch chèn link (mới)'!$C$3:$C$2213,'Kế hoạch chèn link (mới)'!$D$3:$D$2213=$B189),4),"""")"),"")</f>
        <v/>
      </c>
      <c r="N189" s="25" t="str">
        <f>IFERROR(__xludf.DUMMYFUNCTION("IFERROR(INDEX(FILTER('Kế hoạch chèn link (mới)'!$B$3:$B$2213,'Kế hoạch chèn link (mới)'!$D$3:$D$2213=$B189),4),"""")"),"")</f>
        <v/>
      </c>
      <c r="O189" s="25" t="str">
        <f>IFERROR(__xludf.DUMMYFUNCTION("IFERROR(INDEX(FILTER('Kế hoạch chèn link (mới)'!$C$3:$C$2213,'Kế hoạch chèn link (mới)'!$D$3:$D$2213=$B189),5),"""")"),"")</f>
        <v/>
      </c>
      <c r="P189" s="25" t="str">
        <f>IFERROR(__xludf.DUMMYFUNCTION("IFERROR(INDEX(FILTER('Kế hoạch chèn link (mới)'!$B$3:$B$2213,'Kế hoạch chèn link (mới)'!$D$3:$D$2213=$B189),5),"""")"),"")</f>
        <v/>
      </c>
    </row>
    <row r="190">
      <c r="A190" s="6">
        <f t="shared" si="1"/>
        <v>189</v>
      </c>
      <c r="B190" s="8" t="s">
        <v>2816</v>
      </c>
      <c r="C190" s="6">
        <f>COUNTIF('Kế hoạch chèn link (mới)'!$D$3:$D$2213,$B190)</f>
        <v>5</v>
      </c>
      <c r="D190" s="8" t="str">
        <f>IF(COUNTIFS('Kế hoạch chèn link (mới)'!$D$3:$D$2213,$B190,'Kế hoạch chèn link (mới)'!$I$3:$I$2213,"Đã chèn")&gt;=$C190,"Đã hoàn thành",IF(COUNTIFS('Kế hoạch chèn link (mới)'!$D$3:$D$2213,$B190,'Kế hoạch chèn link (mới)'!$I$3:$I$2213,"Đã chèn")&gt;0,"Đang làm","Chưa hoàn thành"))</f>
        <v>Chưa hoàn thành</v>
      </c>
      <c r="E190" s="8" t="b">
        <f t="shared" si="2"/>
        <v>0</v>
      </c>
      <c r="F190" s="25"/>
      <c r="G190" s="25" t="str">
        <f>IFERROR(__xludf.DUMMYFUNCTION("IFERROR(INDEX(FILTER('Kế hoạch chèn link (mới)'!$C$3:$C$2213,'Kế hoạch chèn link (mới)'!$D$3:$D$2213=$B190),1),"""")"),"xếp hạng tín dụng")</f>
        <v>xếp hạng tín dụng</v>
      </c>
      <c r="H190" s="25" t="str">
        <f>IFERROR(__xludf.DUMMYFUNCTION("IFERROR(INDEX(FILTER('Kế hoạch chèn link (mới)'!$B$3:$B$2213,'Kế hoạch chèn link (mới)'!$D$3:$D$2213=$B190),1),"""")"),"https://techcombank.com/thong-tin/blog/xep-hang-tin-dung")</f>
        <v>https://techcombank.com/thong-tin/blog/xep-hang-tin-dung</v>
      </c>
      <c r="I190" s="25" t="str">
        <f>IFERROR(__xludf.DUMMYFUNCTION("IFERROR(INDEX(FILTER('Kế hoạch chèn link (mới)'!$C$3:$C$2213,'Kế hoạch chèn link (mới)'!$D$3:$D$2213=$B190),2),"""")"),"thanh toán dư nợ thẻ tín dụng")</f>
        <v>thanh toán dư nợ thẻ tín dụng</v>
      </c>
      <c r="J190" s="25" t="str">
        <f>IFERROR(__xludf.DUMMYFUNCTION("IFERROR(INDEX(FILTER('Kế hoạch chèn link (mới)'!$B$3:$B$2213,'Kế hoạch chèn link (mới)'!$D$3:$D$2213=$B190),2),"""")"),"https://techcombank.com/thong-tin/blog/cach-thanh-toan-the-tin-dung")</f>
        <v>https://techcombank.com/thong-tin/blog/cach-thanh-toan-the-tin-dung</v>
      </c>
      <c r="K190" s="25" t="str">
        <f>IFERROR(__xludf.DUMMYFUNCTION("IFERROR(INDEX(FILTER('Kế hoạch chèn link (mới)'!$C$3:$C$2213,'Kế hoạch chèn link (mới)'!$D$3:$D$2213=$B190),3),"""")"),"tính lãi suất ngân hàng")</f>
        <v>tính lãi suất ngân hàng</v>
      </c>
      <c r="L190" s="25" t="str">
        <f>IFERROR(__xludf.DUMMYFUNCTION("IFERROR(INDEX(FILTER('Kế hoạch chèn link (mới)'!$B$3:$B$2213,'Kế hoạch chèn link (mới)'!$D$3:$D$2213=$B190),3),"""")"),"https://techcombank.com/thong-tin/blog/cach-tinh-lai-suat-tien-gui-tiet-kiem")</f>
        <v>https://techcombank.com/thong-tin/blog/cach-tinh-lai-suat-tien-gui-tiet-kiem</v>
      </c>
      <c r="M190" s="25" t="str">
        <f>IFERROR(__xludf.DUMMYFUNCTION("IFERROR(INDEX(FILTER('Kế hoạch chèn link (mới)'!$C$3:$C$2213,'Kế hoạch chèn link (mới)'!$D$3:$D$2213=$B190),4),"""")"),"sổ tiết kiệm")</f>
        <v>sổ tiết kiệm</v>
      </c>
      <c r="N190" s="25" t="str">
        <f>IFERROR(__xludf.DUMMYFUNCTION("IFERROR(INDEX(FILTER('Kế hoạch chèn link (mới)'!$B$3:$B$2213,'Kế hoạch chèn link (mới)'!$D$3:$D$2213=$B190),4),"""")"),"https://techcombank.com/thong-tin/blog/so-tiet-kiem-ngan-hang")</f>
        <v>https://techcombank.com/thong-tin/blog/so-tiet-kiem-ngan-hang</v>
      </c>
      <c r="O190" s="25" t="str">
        <f>IFERROR(__xludf.DUMMYFUNCTION("IFERROR(INDEX(FILTER('Kế hoạch chèn link (mới)'!$C$3:$C$2213,'Kế hoạch chèn link (mới)'!$D$3:$D$2213=$B190),5),"""")"),"vay tiền")</f>
        <v>vay tiền</v>
      </c>
      <c r="P190" s="25" t="str">
        <f>IFERROR(__xludf.DUMMYFUNCTION("IFERROR(INDEX(FILTER('Kế hoạch chèn link (mới)'!$B$3:$B$2213,'Kế hoạch chèn link (mới)'!$D$3:$D$2213=$B190),5),"""")"),"https://techcombank.com/thong-tin/blog/app-vay-tien-nhanh")</f>
        <v>https://techcombank.com/thong-tin/blog/app-vay-tien-nhanh</v>
      </c>
    </row>
    <row r="191">
      <c r="A191" s="6">
        <f t="shared" si="1"/>
        <v>190</v>
      </c>
      <c r="B191" s="8" t="s">
        <v>2818</v>
      </c>
      <c r="C191" s="6">
        <f>COUNTIF('Kế hoạch chèn link (mới)'!$D$3:$D$2213,$B191)</f>
        <v>2</v>
      </c>
      <c r="D191" s="8" t="str">
        <f>IF(COUNTIFS('Kế hoạch chèn link (mới)'!$D$3:$D$2213,$B191,'Kế hoạch chèn link (mới)'!$I$3:$I$2213,"Đã chèn")&gt;=$C191,"Đã hoàn thành",IF(COUNTIFS('Kế hoạch chèn link (mới)'!$D$3:$D$2213,$B191,'Kế hoạch chèn link (mới)'!$I$3:$I$2213,"Đã chèn")&gt;0,"Đang làm","Chưa hoàn thành"))</f>
        <v>Chưa hoàn thành</v>
      </c>
      <c r="E191" s="8" t="b">
        <f t="shared" si="2"/>
        <v>0</v>
      </c>
      <c r="F191" s="25"/>
      <c r="G191" s="25" t="str">
        <f>IFERROR(__xludf.DUMMYFUNCTION("IFERROR(INDEX(FILTER('Kế hoạch chèn link (mới)'!$C$3:$C$2213,'Kế hoạch chèn link (mới)'!$D$3:$D$2213=$B191),1),"""")"),"thẻ tín dụng Techcombank Everyday")</f>
        <v>thẻ tín dụng Techcombank Everyday</v>
      </c>
      <c r="H191" s="25" t="str">
        <f>IFERROR(__xludf.DUMMYFUNCTION("IFERROR(INDEX(FILTER('Kế hoạch chèn link (mới)'!$B$3:$B$2213,'Kế hoạch chèn link (mới)'!$D$3:$D$2213=$B191),1),"""")"),"https://techcombank.com/khach-hang-ca-nhan/chi-tieu/the/the-tin-dung/techcombank-everyday")</f>
        <v>https://techcombank.com/khach-hang-ca-nhan/chi-tieu/the/the-tin-dung/techcombank-everyday</v>
      </c>
      <c r="I191" s="25" t="str">
        <f>IFERROR(__xludf.DUMMYFUNCTION("IFERROR(INDEX(FILTER('Kế hoạch chèn link (mới)'!$C$3:$C$2213,'Kế hoạch chèn link (mới)'!$D$3:$D$2213=$B191),2),"""")"),"cách hủy thẻ tín dụng")</f>
        <v>cách hủy thẻ tín dụng</v>
      </c>
      <c r="J191" s="25" t="str">
        <f>IFERROR(__xludf.DUMMYFUNCTION("IFERROR(INDEX(FILTER('Kế hoạch chèn link (mới)'!$B$3:$B$2213,'Kế hoạch chèn link (mới)'!$D$3:$D$2213=$B191),2),"""")"),"https://techcombank.com/thong-tin/blog/cach-huy-the-tin-dung")</f>
        <v>https://techcombank.com/thong-tin/blog/cach-huy-the-tin-dung</v>
      </c>
      <c r="K191" s="25" t="str">
        <f>IFERROR(__xludf.DUMMYFUNCTION("IFERROR(INDEX(FILTER('Kế hoạch chèn link (mới)'!$C$3:$C$2213,'Kế hoạch chèn link (mới)'!$D$3:$D$2213=$B191),3),"""")"),"")</f>
        <v/>
      </c>
      <c r="L191" s="25" t="str">
        <f>IFERROR(__xludf.DUMMYFUNCTION("IFERROR(INDEX(FILTER('Kế hoạch chèn link (mới)'!$B$3:$B$2213,'Kế hoạch chèn link (mới)'!$D$3:$D$2213=$B191),3),"""")"),"")</f>
        <v/>
      </c>
      <c r="M191" s="25" t="str">
        <f>IFERROR(__xludf.DUMMYFUNCTION("IFERROR(INDEX(FILTER('Kế hoạch chèn link (mới)'!$C$3:$C$2213,'Kế hoạch chèn link (mới)'!$D$3:$D$2213=$B191),4),"""")"),"")</f>
        <v/>
      </c>
      <c r="N191" s="25" t="str">
        <f>IFERROR(__xludf.DUMMYFUNCTION("IFERROR(INDEX(FILTER('Kế hoạch chèn link (mới)'!$B$3:$B$2213,'Kế hoạch chèn link (mới)'!$D$3:$D$2213=$B191),4),"""")"),"")</f>
        <v/>
      </c>
      <c r="O191" s="25" t="str">
        <f>IFERROR(__xludf.DUMMYFUNCTION("IFERROR(INDEX(FILTER('Kế hoạch chèn link (mới)'!$C$3:$C$2213,'Kế hoạch chèn link (mới)'!$D$3:$D$2213=$B191),5),"""")"),"")</f>
        <v/>
      </c>
      <c r="P191" s="25" t="str">
        <f>IFERROR(__xludf.DUMMYFUNCTION("IFERROR(INDEX(FILTER('Kế hoạch chèn link (mới)'!$B$3:$B$2213,'Kế hoạch chèn link (mới)'!$D$3:$D$2213=$B191),5),"""")"),"")</f>
        <v/>
      </c>
    </row>
    <row r="192">
      <c r="A192" s="6">
        <f t="shared" si="1"/>
        <v>191</v>
      </c>
      <c r="B192" s="8" t="s">
        <v>2819</v>
      </c>
      <c r="C192" s="6">
        <f>COUNTIF('Kế hoạch chèn link (mới)'!$D$3:$D$2213,$B192)</f>
        <v>1</v>
      </c>
      <c r="D192" s="8" t="str">
        <f>IF(COUNTIFS('Kế hoạch chèn link (mới)'!$D$3:$D$2213,$B192,'Kế hoạch chèn link (mới)'!$I$3:$I$2213,"Đã chèn")&gt;=$C192,"Đã hoàn thành",IF(COUNTIFS('Kế hoạch chèn link (mới)'!$D$3:$D$2213,$B192,'Kế hoạch chèn link (mới)'!$I$3:$I$2213,"Đã chèn")&gt;0,"Đang làm","Chưa hoàn thành"))</f>
        <v>Chưa hoàn thành</v>
      </c>
      <c r="E192" s="8" t="b">
        <f t="shared" si="2"/>
        <v>0</v>
      </c>
      <c r="F192" s="25"/>
      <c r="G192" s="25" t="str">
        <f>IFERROR(__xludf.DUMMYFUNCTION("IFERROR(INDEX(FILTER('Kế hoạch chèn link (mới)'!$C$3:$C$2213,'Kế hoạch chèn link (mới)'!$D$3:$D$2213=$B192),1),"""")"),"mô hình kinh doanh")</f>
        <v>mô hình kinh doanh</v>
      </c>
      <c r="H192" s="25" t="str">
        <f>IFERROR(__xludf.DUMMYFUNCTION("IFERROR(INDEX(FILTER('Kế hoạch chèn link (mới)'!$B$3:$B$2213,'Kế hoạch chèn link (mới)'!$D$3:$D$2213=$B192),1),"""")"),"https://techcombank.com/thong-tin/blog/mo-hinh-kinh-doanh-la-gi")</f>
        <v>https://techcombank.com/thong-tin/blog/mo-hinh-kinh-doanh-la-gi</v>
      </c>
      <c r="I192" s="25" t="str">
        <f>IFERROR(__xludf.DUMMYFUNCTION("IFERROR(INDEX(FILTER('Kế hoạch chèn link (mới)'!$C$3:$C$2213,'Kế hoạch chèn link (mới)'!$D$3:$D$2213=$B192),2),"""")"),"")</f>
        <v/>
      </c>
      <c r="J192" s="25" t="str">
        <f>IFERROR(__xludf.DUMMYFUNCTION("IFERROR(INDEX(FILTER('Kế hoạch chèn link (mới)'!$B$3:$B$2213,'Kế hoạch chèn link (mới)'!$D$3:$D$2213=$B192),2),"""")"),"")</f>
        <v/>
      </c>
      <c r="K192" s="25" t="str">
        <f>IFERROR(__xludf.DUMMYFUNCTION("IFERROR(INDEX(FILTER('Kế hoạch chèn link (mới)'!$C$3:$C$2213,'Kế hoạch chèn link (mới)'!$D$3:$D$2213=$B192),3),"""")"),"")</f>
        <v/>
      </c>
      <c r="L192" s="25" t="str">
        <f>IFERROR(__xludf.DUMMYFUNCTION("IFERROR(INDEX(FILTER('Kế hoạch chèn link (mới)'!$B$3:$B$2213,'Kế hoạch chèn link (mới)'!$D$3:$D$2213=$B192),3),"""")"),"")</f>
        <v/>
      </c>
      <c r="M192" s="25" t="str">
        <f>IFERROR(__xludf.DUMMYFUNCTION("IFERROR(INDEX(FILTER('Kế hoạch chèn link (mới)'!$C$3:$C$2213,'Kế hoạch chèn link (mới)'!$D$3:$D$2213=$B192),4),"""")"),"")</f>
        <v/>
      </c>
      <c r="N192" s="25" t="str">
        <f>IFERROR(__xludf.DUMMYFUNCTION("IFERROR(INDEX(FILTER('Kế hoạch chèn link (mới)'!$B$3:$B$2213,'Kế hoạch chèn link (mới)'!$D$3:$D$2213=$B192),4),"""")"),"")</f>
        <v/>
      </c>
      <c r="O192" s="25" t="str">
        <f>IFERROR(__xludf.DUMMYFUNCTION("IFERROR(INDEX(FILTER('Kế hoạch chèn link (mới)'!$C$3:$C$2213,'Kế hoạch chèn link (mới)'!$D$3:$D$2213=$B192),5),"""")"),"")</f>
        <v/>
      </c>
      <c r="P192" s="25" t="str">
        <f>IFERROR(__xludf.DUMMYFUNCTION("IFERROR(INDEX(FILTER('Kế hoạch chèn link (mới)'!$B$3:$B$2213,'Kế hoạch chèn link (mới)'!$D$3:$D$2213=$B192),5),"""")"),"")</f>
        <v/>
      </c>
    </row>
    <row r="193">
      <c r="A193" s="6">
        <f t="shared" si="1"/>
        <v>192</v>
      </c>
      <c r="B193" s="8" t="s">
        <v>2820</v>
      </c>
      <c r="C193" s="6">
        <f>COUNTIF('Kế hoạch chèn link (mới)'!$D$3:$D$2213,$B193)</f>
        <v>1</v>
      </c>
      <c r="D193" s="8" t="str">
        <f>IF(COUNTIFS('Kế hoạch chèn link (mới)'!$D$3:$D$2213,$B193,'Kế hoạch chèn link (mới)'!$I$3:$I$2213,"Đã chèn")&gt;=$C193,"Đã hoàn thành",IF(COUNTIFS('Kế hoạch chèn link (mới)'!$D$3:$D$2213,$B193,'Kế hoạch chèn link (mới)'!$I$3:$I$2213,"Đã chèn")&gt;0,"Đang làm","Chưa hoàn thành"))</f>
        <v>Chưa hoàn thành</v>
      </c>
      <c r="E193" s="8" t="b">
        <f t="shared" si="2"/>
        <v>0</v>
      </c>
      <c r="F193" s="25"/>
      <c r="G193" s="25" t="str">
        <f>IFERROR(__xludf.DUMMYFUNCTION("IFERROR(INDEX(FILTER('Kế hoạch chèn link (mới)'!$C$3:$C$2213,'Kế hoạch chèn link (mới)'!$D$3:$D$2213=$B193),1),"""")"),"voucher Traveloka")</f>
        <v>voucher Traveloka</v>
      </c>
      <c r="H193" s="25" t="str">
        <f>IFERROR(__xludf.DUMMYFUNCTION("IFERROR(INDEX(FILTER('Kế hoạch chèn link (mới)'!$B$3:$B$2213,'Kế hoạch chèn link (mới)'!$D$3:$D$2213=$B193),1),"""")"),"https://techcombank.com/thong-tin/blog/traveloka-voucher")</f>
        <v>https://techcombank.com/thong-tin/blog/traveloka-voucher</v>
      </c>
      <c r="I193" s="25" t="str">
        <f>IFERROR(__xludf.DUMMYFUNCTION("IFERROR(INDEX(FILTER('Kế hoạch chèn link (mới)'!$C$3:$C$2213,'Kế hoạch chèn link (mới)'!$D$3:$D$2213=$B193),2),"""")"),"")</f>
        <v/>
      </c>
      <c r="J193" s="25" t="str">
        <f>IFERROR(__xludf.DUMMYFUNCTION("IFERROR(INDEX(FILTER('Kế hoạch chèn link (mới)'!$B$3:$B$2213,'Kế hoạch chèn link (mới)'!$D$3:$D$2213=$B193),2),"""")"),"")</f>
        <v/>
      </c>
      <c r="K193" s="25" t="str">
        <f>IFERROR(__xludf.DUMMYFUNCTION("IFERROR(INDEX(FILTER('Kế hoạch chèn link (mới)'!$C$3:$C$2213,'Kế hoạch chèn link (mới)'!$D$3:$D$2213=$B193),3),"""")"),"")</f>
        <v/>
      </c>
      <c r="L193" s="25" t="str">
        <f>IFERROR(__xludf.DUMMYFUNCTION("IFERROR(INDEX(FILTER('Kế hoạch chèn link (mới)'!$B$3:$B$2213,'Kế hoạch chèn link (mới)'!$D$3:$D$2213=$B193),3),"""")"),"")</f>
        <v/>
      </c>
      <c r="M193" s="25" t="str">
        <f>IFERROR(__xludf.DUMMYFUNCTION("IFERROR(INDEX(FILTER('Kế hoạch chèn link (mới)'!$C$3:$C$2213,'Kế hoạch chèn link (mới)'!$D$3:$D$2213=$B193),4),"""")"),"")</f>
        <v/>
      </c>
      <c r="N193" s="25" t="str">
        <f>IFERROR(__xludf.DUMMYFUNCTION("IFERROR(INDEX(FILTER('Kế hoạch chèn link (mới)'!$B$3:$B$2213,'Kế hoạch chèn link (mới)'!$D$3:$D$2213=$B193),4),"""")"),"")</f>
        <v/>
      </c>
      <c r="O193" s="25" t="str">
        <f>IFERROR(__xludf.DUMMYFUNCTION("IFERROR(INDEX(FILTER('Kế hoạch chèn link (mới)'!$C$3:$C$2213,'Kế hoạch chèn link (mới)'!$D$3:$D$2213=$B193),5),"""")"),"")</f>
        <v/>
      </c>
      <c r="P193" s="25" t="str">
        <f>IFERROR(__xludf.DUMMYFUNCTION("IFERROR(INDEX(FILTER('Kế hoạch chèn link (mới)'!$B$3:$B$2213,'Kế hoạch chèn link (mới)'!$D$3:$D$2213=$B193),5),"""")"),"")</f>
        <v/>
      </c>
    </row>
    <row r="194">
      <c r="A194" s="6">
        <f t="shared" si="1"/>
        <v>193</v>
      </c>
      <c r="B194" s="8" t="s">
        <v>2822</v>
      </c>
      <c r="C194" s="6">
        <f>COUNTIF('Kế hoạch chèn link (mới)'!$D$3:$D$2213,$B194)</f>
        <v>1</v>
      </c>
      <c r="D194" s="8" t="str">
        <f>IF(COUNTIFS('Kế hoạch chèn link (mới)'!$D$3:$D$2213,$B194,'Kế hoạch chèn link (mới)'!$I$3:$I$2213,"Đã chèn")&gt;=$C194,"Đã hoàn thành",IF(COUNTIFS('Kế hoạch chèn link (mới)'!$D$3:$D$2213,$B194,'Kế hoạch chèn link (mới)'!$I$3:$I$2213,"Đã chèn")&gt;0,"Đang làm","Chưa hoàn thành"))</f>
        <v>Chưa hoàn thành</v>
      </c>
      <c r="E194" s="8" t="b">
        <f t="shared" si="2"/>
        <v>0</v>
      </c>
      <c r="F194" s="25"/>
      <c r="G194" s="25" t="str">
        <f>IFERROR(__xludf.DUMMYFUNCTION("IFERROR(INDEX(FILTER('Kế hoạch chèn link (mới)'!$C$3:$C$2213,'Kế hoạch chèn link (mới)'!$D$3:$D$2213=$B194),1),"""")"),"cách lấy voucher Traveloka")</f>
        <v>cách lấy voucher Traveloka</v>
      </c>
      <c r="H194" s="25" t="str">
        <f>IFERROR(__xludf.DUMMYFUNCTION("IFERROR(INDEX(FILTER('Kế hoạch chèn link (mới)'!$B$3:$B$2213,'Kế hoạch chèn link (mới)'!$D$3:$D$2213=$B194),1),"""")"),"https://techcombank.com/thong-tin/blog/traveloka-voucher")</f>
        <v>https://techcombank.com/thong-tin/blog/traveloka-voucher</v>
      </c>
      <c r="I194" s="25" t="str">
        <f>IFERROR(__xludf.DUMMYFUNCTION("IFERROR(INDEX(FILTER('Kế hoạch chèn link (mới)'!$C$3:$C$2213,'Kế hoạch chèn link (mới)'!$D$3:$D$2213=$B194),2),"""")"),"")</f>
        <v/>
      </c>
      <c r="J194" s="25" t="str">
        <f>IFERROR(__xludf.DUMMYFUNCTION("IFERROR(INDEX(FILTER('Kế hoạch chèn link (mới)'!$B$3:$B$2213,'Kế hoạch chèn link (mới)'!$D$3:$D$2213=$B194),2),"""")"),"")</f>
        <v/>
      </c>
      <c r="K194" s="25" t="str">
        <f>IFERROR(__xludf.DUMMYFUNCTION("IFERROR(INDEX(FILTER('Kế hoạch chèn link (mới)'!$C$3:$C$2213,'Kế hoạch chèn link (mới)'!$D$3:$D$2213=$B194),3),"""")"),"")</f>
        <v/>
      </c>
      <c r="L194" s="25" t="str">
        <f>IFERROR(__xludf.DUMMYFUNCTION("IFERROR(INDEX(FILTER('Kế hoạch chèn link (mới)'!$B$3:$B$2213,'Kế hoạch chèn link (mới)'!$D$3:$D$2213=$B194),3),"""")"),"")</f>
        <v/>
      </c>
      <c r="M194" s="25" t="str">
        <f>IFERROR(__xludf.DUMMYFUNCTION("IFERROR(INDEX(FILTER('Kế hoạch chèn link (mới)'!$C$3:$C$2213,'Kế hoạch chèn link (mới)'!$D$3:$D$2213=$B194),4),"""")"),"")</f>
        <v/>
      </c>
      <c r="N194" s="25" t="str">
        <f>IFERROR(__xludf.DUMMYFUNCTION("IFERROR(INDEX(FILTER('Kế hoạch chèn link (mới)'!$B$3:$B$2213,'Kế hoạch chèn link (mới)'!$D$3:$D$2213=$B194),4),"""")"),"")</f>
        <v/>
      </c>
      <c r="O194" s="25" t="str">
        <f>IFERROR(__xludf.DUMMYFUNCTION("IFERROR(INDEX(FILTER('Kế hoạch chèn link (mới)'!$C$3:$C$2213,'Kế hoạch chèn link (mới)'!$D$3:$D$2213=$B194),5),"""")"),"")</f>
        <v/>
      </c>
      <c r="P194" s="25" t="str">
        <f>IFERROR(__xludf.DUMMYFUNCTION("IFERROR(INDEX(FILTER('Kế hoạch chèn link (mới)'!$B$3:$B$2213,'Kế hoạch chèn link (mới)'!$D$3:$D$2213=$B194),5),"""")"),"")</f>
        <v/>
      </c>
    </row>
    <row r="195">
      <c r="A195" s="6">
        <f t="shared" si="1"/>
        <v>194</v>
      </c>
      <c r="B195" s="8" t="s">
        <v>2825</v>
      </c>
      <c r="C195" s="6">
        <f>COUNTIF('Kế hoạch chèn link (mới)'!$D$3:$D$2213,$B195)</f>
        <v>1</v>
      </c>
      <c r="D195" s="8" t="str">
        <f>IF(COUNTIFS('Kế hoạch chèn link (mới)'!$D$3:$D$2213,$B195,'Kế hoạch chèn link (mới)'!$I$3:$I$2213,"Đã chèn")&gt;=$C195,"Đã hoàn thành",IF(COUNTIFS('Kế hoạch chèn link (mới)'!$D$3:$D$2213,$B195,'Kế hoạch chèn link (mới)'!$I$3:$I$2213,"Đã chèn")&gt;0,"Đang làm","Chưa hoàn thành"))</f>
        <v>Chưa hoàn thành</v>
      </c>
      <c r="E195" s="8" t="b">
        <f t="shared" si="2"/>
        <v>0</v>
      </c>
      <c r="F195" s="25"/>
      <c r="G195" s="25" t="str">
        <f>IFERROR(__xludf.DUMMYFUNCTION("IFERROR(INDEX(FILTER('Kế hoạch chèn link (mới)'!$C$3:$C$2213,'Kế hoạch chèn link (mới)'!$D$3:$D$2213=$B195),1),"""")"),"Techcombank Eco")</f>
        <v>Techcombank Eco</v>
      </c>
      <c r="H195" s="25" t="str">
        <f>IFERROR(__xludf.DUMMYFUNCTION("IFERROR(INDEX(FILTER('Kế hoạch chèn link (mới)'!$B$3:$B$2213,'Kế hoạch chèn link (mới)'!$D$3:$D$2213=$B195),1),"""")"),"https://techcombank.com/thong-tin/blog/eco-card")</f>
        <v>https://techcombank.com/thong-tin/blog/eco-card</v>
      </c>
      <c r="I195" s="25" t="str">
        <f>IFERROR(__xludf.DUMMYFUNCTION("IFERROR(INDEX(FILTER('Kế hoạch chèn link (mới)'!$C$3:$C$2213,'Kế hoạch chèn link (mới)'!$D$3:$D$2213=$B195),2),"""")"),"")</f>
        <v/>
      </c>
      <c r="J195" s="25" t="str">
        <f>IFERROR(__xludf.DUMMYFUNCTION("IFERROR(INDEX(FILTER('Kế hoạch chèn link (mới)'!$B$3:$B$2213,'Kế hoạch chèn link (mới)'!$D$3:$D$2213=$B195),2),"""")"),"")</f>
        <v/>
      </c>
      <c r="K195" s="25" t="str">
        <f>IFERROR(__xludf.DUMMYFUNCTION("IFERROR(INDEX(FILTER('Kế hoạch chèn link (mới)'!$C$3:$C$2213,'Kế hoạch chèn link (mới)'!$D$3:$D$2213=$B195),3),"""")"),"")</f>
        <v/>
      </c>
      <c r="L195" s="25" t="str">
        <f>IFERROR(__xludf.DUMMYFUNCTION("IFERROR(INDEX(FILTER('Kế hoạch chèn link (mới)'!$B$3:$B$2213,'Kế hoạch chèn link (mới)'!$D$3:$D$2213=$B195),3),"""")"),"")</f>
        <v/>
      </c>
      <c r="M195" s="25" t="str">
        <f>IFERROR(__xludf.DUMMYFUNCTION("IFERROR(INDEX(FILTER('Kế hoạch chèn link (mới)'!$C$3:$C$2213,'Kế hoạch chèn link (mới)'!$D$3:$D$2213=$B195),4),"""")"),"")</f>
        <v/>
      </c>
      <c r="N195" s="25" t="str">
        <f>IFERROR(__xludf.DUMMYFUNCTION("IFERROR(INDEX(FILTER('Kế hoạch chèn link (mới)'!$B$3:$B$2213,'Kế hoạch chèn link (mới)'!$D$3:$D$2213=$B195),4),"""")"),"")</f>
        <v/>
      </c>
      <c r="O195" s="25" t="str">
        <f>IFERROR(__xludf.DUMMYFUNCTION("IFERROR(INDEX(FILTER('Kế hoạch chèn link (mới)'!$C$3:$C$2213,'Kế hoạch chèn link (mới)'!$D$3:$D$2213=$B195),5),"""")"),"")</f>
        <v/>
      </c>
      <c r="P195" s="25" t="str">
        <f>IFERROR(__xludf.DUMMYFUNCTION("IFERROR(INDEX(FILTER('Kế hoạch chèn link (mới)'!$B$3:$B$2213,'Kế hoạch chèn link (mới)'!$D$3:$D$2213=$B195),5),"""")"),"")</f>
        <v/>
      </c>
    </row>
    <row r="196">
      <c r="A196" s="6">
        <f t="shared" si="1"/>
        <v>195</v>
      </c>
      <c r="B196" s="8" t="s">
        <v>2826</v>
      </c>
      <c r="C196" s="6">
        <f>COUNTIF('Kế hoạch chèn link (mới)'!$D$3:$D$2213,$B196)</f>
        <v>2</v>
      </c>
      <c r="D196" s="8" t="str">
        <f>IF(COUNTIFS('Kế hoạch chèn link (mới)'!$D$3:$D$2213,$B196,'Kế hoạch chèn link (mới)'!$I$3:$I$2213,"Đã chèn")&gt;=$C196,"Đã hoàn thành",IF(COUNTIFS('Kế hoạch chèn link (mới)'!$D$3:$D$2213,$B196,'Kế hoạch chèn link (mới)'!$I$3:$I$2213,"Đã chèn")&gt;0,"Đang làm","Chưa hoàn thành"))</f>
        <v>Chưa hoàn thành</v>
      </c>
      <c r="E196" s="8" t="b">
        <f t="shared" si="2"/>
        <v>0</v>
      </c>
      <c r="F196" s="25"/>
      <c r="G196" s="25" t="str">
        <f>IFERROR(__xludf.DUMMYFUNCTION("IFERROR(INDEX(FILTER('Kế hoạch chèn link (mới)'!$C$3:$C$2213,'Kế hoạch chèn link (mới)'!$D$3:$D$2213=$B196),1),"""")"),"tính lãi suất ngân hàng")</f>
        <v>tính lãi suất ngân hàng</v>
      </c>
      <c r="H196" s="25" t="str">
        <f>IFERROR(__xludf.DUMMYFUNCTION("IFERROR(INDEX(FILTER('Kế hoạch chèn link (mới)'!$B$3:$B$2213,'Kế hoạch chèn link (mới)'!$D$3:$D$2213=$B196),1),"""")"),"https://techcombank.com/thong-tin/blog/cach-tinh-lai-suat-tien-gui-tiet-kiem")</f>
        <v>https://techcombank.com/thong-tin/blog/cach-tinh-lai-suat-tien-gui-tiet-kiem</v>
      </c>
      <c r="I196" s="25" t="str">
        <f>IFERROR(__xludf.DUMMYFUNCTION("IFERROR(INDEX(FILTER('Kế hoạch chèn link (mới)'!$C$3:$C$2213,'Kế hoạch chèn link (mới)'!$D$3:$D$2213=$B196),2),"""")"),"đầu tư chứng chỉ quỹ cho người mới")</f>
        <v>đầu tư chứng chỉ quỹ cho người mới</v>
      </c>
      <c r="J196" s="25" t="str">
        <f>IFERROR(__xludf.DUMMYFUNCTION("IFERROR(INDEX(FILTER('Kế hoạch chèn link (mới)'!$B$3:$B$2213,'Kế hoạch chèn link (mới)'!$D$3:$D$2213=$B196),2),"""")"),"https://techcombank.com/thong-tin/blog/phuong-phap-dau-tu-chung-chi-quy")</f>
        <v>https://techcombank.com/thong-tin/blog/phuong-phap-dau-tu-chung-chi-quy</v>
      </c>
      <c r="K196" s="25" t="str">
        <f>IFERROR(__xludf.DUMMYFUNCTION("IFERROR(INDEX(FILTER('Kế hoạch chèn link (mới)'!$C$3:$C$2213,'Kế hoạch chèn link (mới)'!$D$3:$D$2213=$B196),3),"""")"),"")</f>
        <v/>
      </c>
      <c r="L196" s="25" t="str">
        <f>IFERROR(__xludf.DUMMYFUNCTION("IFERROR(INDEX(FILTER('Kế hoạch chèn link (mới)'!$B$3:$B$2213,'Kế hoạch chèn link (mới)'!$D$3:$D$2213=$B196),3),"""")"),"")</f>
        <v/>
      </c>
      <c r="M196" s="25" t="str">
        <f>IFERROR(__xludf.DUMMYFUNCTION("IFERROR(INDEX(FILTER('Kế hoạch chèn link (mới)'!$C$3:$C$2213,'Kế hoạch chèn link (mới)'!$D$3:$D$2213=$B196),4),"""")"),"")</f>
        <v/>
      </c>
      <c r="N196" s="25" t="str">
        <f>IFERROR(__xludf.DUMMYFUNCTION("IFERROR(INDEX(FILTER('Kế hoạch chèn link (mới)'!$B$3:$B$2213,'Kế hoạch chèn link (mới)'!$D$3:$D$2213=$B196),4),"""")"),"")</f>
        <v/>
      </c>
      <c r="O196" s="25" t="str">
        <f>IFERROR(__xludf.DUMMYFUNCTION("IFERROR(INDEX(FILTER('Kế hoạch chèn link (mới)'!$C$3:$C$2213,'Kế hoạch chèn link (mới)'!$D$3:$D$2213=$B196),5),"""")"),"")</f>
        <v/>
      </c>
      <c r="P196" s="25" t="str">
        <f>IFERROR(__xludf.DUMMYFUNCTION("IFERROR(INDEX(FILTER('Kế hoạch chèn link (mới)'!$B$3:$B$2213,'Kế hoạch chèn link (mới)'!$D$3:$D$2213=$B196),5),"""")"),"")</f>
        <v/>
      </c>
    </row>
    <row r="197">
      <c r="A197" s="6">
        <f t="shared" si="1"/>
        <v>196</v>
      </c>
      <c r="B197" s="8" t="s">
        <v>2827</v>
      </c>
      <c r="C197" s="6">
        <f>COUNTIF('Kế hoạch chèn link (mới)'!$D$3:$D$2213,$B197)</f>
        <v>1</v>
      </c>
      <c r="D197" s="8" t="str">
        <f>IF(COUNTIFS('Kế hoạch chèn link (mới)'!$D$3:$D$2213,$B197,'Kế hoạch chèn link (mới)'!$I$3:$I$2213,"Đã chèn")&gt;=$C197,"Đã hoàn thành",IF(COUNTIFS('Kế hoạch chèn link (mới)'!$D$3:$D$2213,$B197,'Kế hoạch chèn link (mới)'!$I$3:$I$2213,"Đã chèn")&gt;0,"Đang làm","Chưa hoàn thành"))</f>
        <v>Chưa hoàn thành</v>
      </c>
      <c r="E197" s="8" t="b">
        <f t="shared" si="2"/>
        <v>0</v>
      </c>
      <c r="F197" s="25"/>
      <c r="G197" s="25" t="str">
        <f>IFERROR(__xludf.DUMMYFUNCTION("IFERROR(INDEX(FILTER('Kế hoạch chèn link (mới)'!$C$3:$C$2213,'Kế hoạch chèn link (mới)'!$D$3:$D$2213=$B197),1),"""")"),"đầu tư chứng chỉ quỹ cho người mới")</f>
        <v>đầu tư chứng chỉ quỹ cho người mới</v>
      </c>
      <c r="H197" s="25" t="str">
        <f>IFERROR(__xludf.DUMMYFUNCTION("IFERROR(INDEX(FILTER('Kế hoạch chèn link (mới)'!$B$3:$B$2213,'Kế hoạch chèn link (mới)'!$D$3:$D$2213=$B197),1),"""")"),"https://techcombank.com/thong-tin/blog/phuong-phap-dau-tu-chung-chi-quy")</f>
        <v>https://techcombank.com/thong-tin/blog/phuong-phap-dau-tu-chung-chi-quy</v>
      </c>
      <c r="I197" s="25" t="str">
        <f>IFERROR(__xludf.DUMMYFUNCTION("IFERROR(INDEX(FILTER('Kế hoạch chèn link (mới)'!$C$3:$C$2213,'Kế hoạch chèn link (mới)'!$D$3:$D$2213=$B197),2),"""")"),"")</f>
        <v/>
      </c>
      <c r="J197" s="25" t="str">
        <f>IFERROR(__xludf.DUMMYFUNCTION("IFERROR(INDEX(FILTER('Kế hoạch chèn link (mới)'!$B$3:$B$2213,'Kế hoạch chèn link (mới)'!$D$3:$D$2213=$B197),2),"""")"),"")</f>
        <v/>
      </c>
      <c r="K197" s="25" t="str">
        <f>IFERROR(__xludf.DUMMYFUNCTION("IFERROR(INDEX(FILTER('Kế hoạch chèn link (mới)'!$C$3:$C$2213,'Kế hoạch chèn link (mới)'!$D$3:$D$2213=$B197),3),"""")"),"")</f>
        <v/>
      </c>
      <c r="L197" s="25" t="str">
        <f>IFERROR(__xludf.DUMMYFUNCTION("IFERROR(INDEX(FILTER('Kế hoạch chèn link (mới)'!$B$3:$B$2213,'Kế hoạch chèn link (mới)'!$D$3:$D$2213=$B197),3),"""")"),"")</f>
        <v/>
      </c>
      <c r="M197" s="25" t="str">
        <f>IFERROR(__xludf.DUMMYFUNCTION("IFERROR(INDEX(FILTER('Kế hoạch chèn link (mới)'!$C$3:$C$2213,'Kế hoạch chèn link (mới)'!$D$3:$D$2213=$B197),4),"""")"),"")</f>
        <v/>
      </c>
      <c r="N197" s="25" t="str">
        <f>IFERROR(__xludf.DUMMYFUNCTION("IFERROR(INDEX(FILTER('Kế hoạch chèn link (mới)'!$B$3:$B$2213,'Kế hoạch chèn link (mới)'!$D$3:$D$2213=$B197),4),"""")"),"")</f>
        <v/>
      </c>
      <c r="O197" s="25" t="str">
        <f>IFERROR(__xludf.DUMMYFUNCTION("IFERROR(INDEX(FILTER('Kế hoạch chèn link (mới)'!$C$3:$C$2213,'Kế hoạch chèn link (mới)'!$D$3:$D$2213=$B197),5),"""")"),"")</f>
        <v/>
      </c>
      <c r="P197" s="25" t="str">
        <f>IFERROR(__xludf.DUMMYFUNCTION("IFERROR(INDEX(FILTER('Kế hoạch chèn link (mới)'!$B$3:$B$2213,'Kế hoạch chèn link (mới)'!$D$3:$D$2213=$B197),5),"""")"),"")</f>
        <v/>
      </c>
    </row>
    <row r="198">
      <c r="A198" s="6">
        <f t="shared" si="1"/>
        <v>197</v>
      </c>
      <c r="B198" s="8" t="s">
        <v>2829</v>
      </c>
      <c r="C198" s="6">
        <f>COUNTIF('Kế hoạch chèn link (mới)'!$D$3:$D$2213,$B198)</f>
        <v>5</v>
      </c>
      <c r="D198" s="8" t="str">
        <f>IF(COUNTIFS('Kế hoạch chèn link (mới)'!$D$3:$D$2213,$B198,'Kế hoạch chèn link (mới)'!$I$3:$I$2213,"Đã chèn")&gt;=$C198,"Đã hoàn thành",IF(COUNTIFS('Kế hoạch chèn link (mới)'!$D$3:$D$2213,$B198,'Kế hoạch chèn link (mới)'!$I$3:$I$2213,"Đã chèn")&gt;0,"Đang làm","Chưa hoàn thành"))</f>
        <v>Chưa hoàn thành</v>
      </c>
      <c r="E198" s="8" t="b">
        <f t="shared" si="2"/>
        <v>0</v>
      </c>
      <c r="F198" s="25"/>
      <c r="G198" s="25" t="str">
        <f>IFERROR(__xludf.DUMMYFUNCTION("IFERROR(INDEX(FILTER('Kế hoạch chèn link (mới)'!$C$3:$C$2213,'Kế hoạch chèn link (mới)'!$D$3:$D$2213=$B198),1),"""")"),"lãi suất ngân hàng")</f>
        <v>lãi suất ngân hàng</v>
      </c>
      <c r="H198" s="25" t="str">
        <f>IFERROR(__xludf.DUMMYFUNCTION("IFERROR(INDEX(FILTER('Kế hoạch chèn link (mới)'!$B$3:$B$2213,'Kế hoạch chèn link (mới)'!$D$3:$D$2213=$B198),1),"""")"),"https://techcombank.com/thong-tin/blog/lai-suat-tiet-kiem")</f>
        <v>https://techcombank.com/thong-tin/blog/lai-suat-tiet-kiem</v>
      </c>
      <c r="I198" s="25" t="str">
        <f>IFERROR(__xludf.DUMMYFUNCTION("IFERROR(INDEX(FILTER('Kế hoạch chèn link (mới)'!$C$3:$C$2213,'Kế hoạch chèn link (mới)'!$D$3:$D$2213=$B198),2),"""")"),"tính lãi suất tiết kiệm")</f>
        <v>tính lãi suất tiết kiệm</v>
      </c>
      <c r="J198" s="25" t="str">
        <f>IFERROR(__xludf.DUMMYFUNCTION("IFERROR(INDEX(FILTER('Kế hoạch chèn link (mới)'!$B$3:$B$2213,'Kế hoạch chèn link (mới)'!$D$3:$D$2213=$B198),2),"""")"),"https://techcombank.com/thong-tin/blog/cach-tinh-lai-suat-tien-gui-tiet-kiem")</f>
        <v>https://techcombank.com/thong-tin/blog/cach-tinh-lai-suat-tien-gui-tiet-kiem</v>
      </c>
      <c r="K198" s="25" t="str">
        <f>IFERROR(__xludf.DUMMYFUNCTION("IFERROR(INDEX(FILTER('Kế hoạch chèn link (mới)'!$C$3:$C$2213,'Kế hoạch chèn link (mới)'!$D$3:$D$2213=$B198),3),"""")"),"rút tiết kiệm trước hạn")</f>
        <v>rút tiết kiệm trước hạn</v>
      </c>
      <c r="L198" s="25" t="str">
        <f>IFERROR(__xludf.DUMMYFUNCTION("IFERROR(INDEX(FILTER('Kế hoạch chèn link (mới)'!$B$3:$B$2213,'Kế hoạch chèn link (mới)'!$D$3:$D$2213=$B198),3),"""")"),"https://techcombank.com/thong-tin/blog/rut-tien-tiet-kiem-truoc-thoi-han")</f>
        <v>https://techcombank.com/thong-tin/blog/rut-tien-tiet-kiem-truoc-thoi-han</v>
      </c>
      <c r="M198" s="25" t="str">
        <f>IFERROR(__xludf.DUMMYFUNCTION("IFERROR(INDEX(FILTER('Kế hoạch chèn link (mới)'!$C$3:$C$2213,'Kế hoạch chèn link (mới)'!$D$3:$D$2213=$B198),4),"""")"),"bảng tính lãi suất tiết kiệm")</f>
        <v>bảng tính lãi suất tiết kiệm</v>
      </c>
      <c r="N198" s="25" t="str">
        <f>IFERROR(__xludf.DUMMYFUNCTION("IFERROR(INDEX(FILTER('Kế hoạch chèn link (mới)'!$B$3:$B$2213,'Kế hoạch chèn link (mới)'!$D$3:$D$2213=$B198),4),"""")"),"https://techcombank.com/cong-cu-tien-ich/cong-cu-tinh-toan/bang-tinh-lai-suat-tiet-kiem")</f>
        <v>https://techcombank.com/cong-cu-tien-ich/cong-cu-tinh-toan/bang-tinh-lai-suat-tiet-kiem</v>
      </c>
      <c r="O198" s="25" t="str">
        <f>IFERROR(__xludf.DUMMYFUNCTION("IFERROR(INDEX(FILTER('Kế hoạch chèn link (mới)'!$C$3:$C$2213,'Kế hoạch chèn link (mới)'!$D$3:$D$2213=$B198),5),"""")"),"phương pháp đầu tư chứng chỉ quỹ")</f>
        <v>phương pháp đầu tư chứng chỉ quỹ</v>
      </c>
      <c r="P198" s="25" t="str">
        <f>IFERROR(__xludf.DUMMYFUNCTION("IFERROR(INDEX(FILTER('Kế hoạch chèn link (mới)'!$B$3:$B$2213,'Kế hoạch chèn link (mới)'!$D$3:$D$2213=$B198),5),"""")"),"https://techcombank.com/thong-tin/blog/phuong-phap-dau-tu-chung-chi-quy")</f>
        <v>https://techcombank.com/thong-tin/blog/phuong-phap-dau-tu-chung-chi-quy</v>
      </c>
    </row>
    <row r="199">
      <c r="A199" s="6">
        <f t="shared" si="1"/>
        <v>198</v>
      </c>
      <c r="B199" s="8" t="s">
        <v>1548</v>
      </c>
      <c r="C199" s="6">
        <f>COUNTIF('Kế hoạch chèn link (mới)'!$D$3:$D$2213,$B199)</f>
        <v>3</v>
      </c>
      <c r="D199" s="8" t="str">
        <f>IF(COUNTIFS('Kế hoạch chèn link (mới)'!$D$3:$D$2213,$B199,'Kế hoạch chèn link (mới)'!$I$3:$I$2213,"Đã chèn")&gt;=$C199,"Đã hoàn thành",IF(COUNTIFS('Kế hoạch chèn link (mới)'!$D$3:$D$2213,$B199,'Kế hoạch chèn link (mới)'!$I$3:$I$2213,"Đã chèn")&gt;0,"Đang làm","Chưa hoàn thành"))</f>
        <v>Chưa hoàn thành</v>
      </c>
      <c r="E199" s="8" t="b">
        <f t="shared" si="2"/>
        <v>0</v>
      </c>
      <c r="F199" s="25"/>
      <c r="G199" s="25" t="str">
        <f>IFERROR(__xludf.DUMMYFUNCTION("IFERROR(INDEX(FILTER('Kế hoạch chèn link (mới)'!$C$3:$C$2213,'Kế hoạch chèn link (mới)'!$D$3:$D$2213=$B199),1),"""")"),"thuế thu nhập cá nhân")</f>
        <v>thuế thu nhập cá nhân</v>
      </c>
      <c r="H199" s="25" t="str">
        <f>IFERROR(__xludf.DUMMYFUNCTION("IFERROR(INDEX(FILTER('Kế hoạch chèn link (mới)'!$B$3:$B$2213,'Kế hoạch chèn link (mới)'!$D$3:$D$2213=$B199),1),"""")"),"https://techcombank.com/thong-tin/blog/cach-tinh-thue-thu-nhap-ca-nhan-2025")</f>
        <v>https://techcombank.com/thong-tin/blog/cach-tinh-thue-thu-nhap-ca-nhan-2025</v>
      </c>
      <c r="I199" s="25" t="str">
        <f>IFERROR(__xludf.DUMMYFUNCTION("IFERROR(INDEX(FILTER('Kế hoạch chèn link (mới)'!$C$3:$C$2213,'Kế hoạch chèn link (mới)'!$D$3:$D$2213=$B199),2),"""")"),"thuế thu nhập cá nhân")</f>
        <v>thuế thu nhập cá nhân</v>
      </c>
      <c r="J199" s="25" t="str">
        <f>IFERROR(__xludf.DUMMYFUNCTION("IFERROR(INDEX(FILTER('Kế hoạch chèn link (mới)'!$B$3:$B$2213,'Kế hoạch chèn link (mới)'!$D$3:$D$2213=$B199),2),"""")"),"https://techcombank.com/thong-tin/blog/thue-thu-nhap-ca-nhan")</f>
        <v>https://techcombank.com/thong-tin/blog/thue-thu-nhap-ca-nhan</v>
      </c>
      <c r="K199" s="25" t="str">
        <f>IFERROR(__xludf.DUMMYFUNCTION("IFERROR(INDEX(FILTER('Kế hoạch chèn link (mới)'!$C$3:$C$2213,'Kế hoạch chèn link (mới)'!$D$3:$D$2213=$B199),3),"""")"),"chứng chỉ tiền gửi")</f>
        <v>chứng chỉ tiền gửi</v>
      </c>
      <c r="L199" s="25" t="str">
        <f>IFERROR(__xludf.DUMMYFUNCTION("IFERROR(INDEX(FILTER('Kế hoạch chèn link (mới)'!$B$3:$B$2213,'Kế hoạch chèn link (mới)'!$D$3:$D$2213=$B199),3),"""")"),"https://techcombank.com/thong-tin/blog/chung-chi-tien-gui-la-gi")</f>
        <v>https://techcombank.com/thong-tin/blog/chung-chi-tien-gui-la-gi</v>
      </c>
      <c r="M199" s="25" t="str">
        <f>IFERROR(__xludf.DUMMYFUNCTION("IFERROR(INDEX(FILTER('Kế hoạch chèn link (mới)'!$C$3:$C$2213,'Kế hoạch chèn link (mới)'!$D$3:$D$2213=$B199),4),"""")"),"")</f>
        <v/>
      </c>
      <c r="N199" s="25" t="str">
        <f>IFERROR(__xludf.DUMMYFUNCTION("IFERROR(INDEX(FILTER('Kế hoạch chèn link (mới)'!$B$3:$B$2213,'Kế hoạch chèn link (mới)'!$D$3:$D$2213=$B199),4),"""")"),"")</f>
        <v/>
      </c>
      <c r="O199" s="25" t="str">
        <f>IFERROR(__xludf.DUMMYFUNCTION("IFERROR(INDEX(FILTER('Kế hoạch chèn link (mới)'!$C$3:$C$2213,'Kế hoạch chèn link (mới)'!$D$3:$D$2213=$B199),5),"""")"),"")</f>
        <v/>
      </c>
      <c r="P199" s="25" t="str">
        <f>IFERROR(__xludf.DUMMYFUNCTION("IFERROR(INDEX(FILTER('Kế hoạch chèn link (mới)'!$B$3:$B$2213,'Kế hoạch chèn link (mới)'!$D$3:$D$2213=$B199),5),"""")"),"")</f>
        <v/>
      </c>
    </row>
    <row r="200">
      <c r="A200" s="6">
        <f t="shared" si="1"/>
        <v>199</v>
      </c>
      <c r="B200" s="8" t="s">
        <v>1435</v>
      </c>
      <c r="C200" s="6">
        <f>COUNTIF('Kế hoạch chèn link (mới)'!$D$3:$D$2213,$B200)</f>
        <v>5</v>
      </c>
      <c r="D200" s="8" t="str">
        <f>IF(COUNTIFS('Kế hoạch chèn link (mới)'!$D$3:$D$2213,$B200,'Kế hoạch chèn link (mới)'!$I$3:$I$2213,"Đã chèn")&gt;=$C200,"Đã hoàn thành",IF(COUNTIFS('Kế hoạch chèn link (mới)'!$D$3:$D$2213,$B200,'Kế hoạch chèn link (mới)'!$I$3:$I$2213,"Đã chèn")&gt;0,"Đang làm","Chưa hoàn thành"))</f>
        <v>Chưa hoàn thành</v>
      </c>
      <c r="E200" s="8" t="b">
        <f t="shared" si="2"/>
        <v>0</v>
      </c>
      <c r="F200" s="25"/>
      <c r="G200" s="25" t="str">
        <f>IFERROR(__xludf.DUMMYFUNCTION("IFERROR(INDEX(FILTER('Kế hoạch chèn link (mới)'!$C$3:$C$2213,'Kế hoạch chèn link (mới)'!$D$3:$D$2213=$B200),1),"""")"),"giá điện sinh hoạt")</f>
        <v>giá điện sinh hoạt</v>
      </c>
      <c r="H200" s="25" t="str">
        <f>IFERROR(__xludf.DUMMYFUNCTION("IFERROR(INDEX(FILTER('Kế hoạch chèn link (mới)'!$B$3:$B$2213,'Kế hoạch chèn link (mới)'!$D$3:$D$2213=$B200),1),"""")"),"https://techcombank.com/thong-tin/blog/cach-tinh-tien-dien-sinh-hoat")</f>
        <v>https://techcombank.com/thong-tin/blog/cach-tinh-tien-dien-sinh-hoat</v>
      </c>
      <c r="I200" s="25" t="str">
        <f>IFERROR(__xludf.DUMMYFUNCTION("IFERROR(INDEX(FILTER('Kế hoạch chèn link (mới)'!$C$3:$C$2213,'Kế hoạch chèn link (mới)'!$D$3:$D$2213=$B200),2),"""")"),"chứng chỉ tiền gửi")</f>
        <v>chứng chỉ tiền gửi</v>
      </c>
      <c r="J200" s="25" t="str">
        <f>IFERROR(__xludf.DUMMYFUNCTION("IFERROR(INDEX(FILTER('Kế hoạch chèn link (mới)'!$B$3:$B$2213,'Kế hoạch chèn link (mới)'!$D$3:$D$2213=$B200),2),"""")"),"https://techcombank.com/thong-tin/blog/chung-chi-tien-gui-la-gi")</f>
        <v>https://techcombank.com/thong-tin/blog/chung-chi-tien-gui-la-gi</v>
      </c>
      <c r="K200" s="25" t="str">
        <f>IFERROR(__xludf.DUMMYFUNCTION("IFERROR(INDEX(FILTER('Kế hoạch chèn link (mới)'!$C$3:$C$2213,'Kế hoạch chèn link (mới)'!$D$3:$D$2213=$B200),3),"""")"),"tính lãi suất tiết kiệm")</f>
        <v>tính lãi suất tiết kiệm</v>
      </c>
      <c r="L200" s="25" t="str">
        <f>IFERROR(__xludf.DUMMYFUNCTION("IFERROR(INDEX(FILTER('Kế hoạch chèn link (mới)'!$B$3:$B$2213,'Kế hoạch chèn link (mới)'!$D$3:$D$2213=$B200),3),"""")"),"https://techcombank.com/thong-tin/blog/cach-tinh-lai-suat-tien-gui-tiet-kiem")</f>
        <v>https://techcombank.com/thong-tin/blog/cach-tinh-lai-suat-tien-gui-tiet-kiem</v>
      </c>
      <c r="M200" s="25" t="str">
        <f>IFERROR(__xludf.DUMMYFUNCTION("IFERROR(INDEX(FILTER('Kế hoạch chèn link (mới)'!$C$3:$C$2213,'Kế hoạch chèn link (mới)'!$D$3:$D$2213=$B200),4),"""")"),"thấu chi là gì")</f>
        <v>thấu chi là gì</v>
      </c>
      <c r="N200" s="25" t="str">
        <f>IFERROR(__xludf.DUMMYFUNCTION("IFERROR(INDEX(FILTER('Kế hoạch chèn link (mới)'!$B$3:$B$2213,'Kế hoạch chèn link (mới)'!$D$3:$D$2213=$B200),4),"""")"),"https://techcombank.com/thong-tin/blog/vay-thau-chi-la-gi")</f>
        <v>https://techcombank.com/thong-tin/blog/vay-thau-chi-la-gi</v>
      </c>
      <c r="O200" s="25" t="str">
        <f>IFERROR(__xludf.DUMMYFUNCTION("IFERROR(INDEX(FILTER('Kế hoạch chèn link (mới)'!$C$3:$C$2213,'Kế hoạch chèn link (mới)'!$D$3:$D$2213=$B200),5),"""")"),"đầu tư chứng chỉ quỹ cho người mới")</f>
        <v>đầu tư chứng chỉ quỹ cho người mới</v>
      </c>
      <c r="P200" s="25" t="str">
        <f>IFERROR(__xludf.DUMMYFUNCTION("IFERROR(INDEX(FILTER('Kế hoạch chèn link (mới)'!$B$3:$B$2213,'Kế hoạch chèn link (mới)'!$D$3:$D$2213=$B200),5),"""")"),"https://techcombank.com/thong-tin/blog/phuong-phap-dau-tu-chung-chi-quy")</f>
        <v>https://techcombank.com/thong-tin/blog/phuong-phap-dau-tu-chung-chi-quy</v>
      </c>
    </row>
    <row r="201">
      <c r="A201" s="6">
        <f t="shared" si="1"/>
        <v>200</v>
      </c>
      <c r="B201" s="8" t="s">
        <v>2833</v>
      </c>
      <c r="C201" s="6">
        <f>COUNTIF('Kế hoạch chèn link (mới)'!$D$3:$D$2213,$B201)</f>
        <v>5</v>
      </c>
      <c r="D201" s="8" t="str">
        <f>IF(COUNTIFS('Kế hoạch chèn link (mới)'!$D$3:$D$2213,$B201,'Kế hoạch chèn link (mới)'!$I$3:$I$2213,"Đã chèn")&gt;=$C201,"Đã hoàn thành",IF(COUNTIFS('Kế hoạch chèn link (mới)'!$D$3:$D$2213,$B201,'Kế hoạch chèn link (mới)'!$I$3:$I$2213,"Đã chèn")&gt;0,"Đang làm","Chưa hoàn thành"))</f>
        <v>Chưa hoàn thành</v>
      </c>
      <c r="E201" s="8" t="b">
        <f t="shared" si="2"/>
        <v>0</v>
      </c>
      <c r="F201" s="25"/>
      <c r="G201" s="25" t="str">
        <f>IFERROR(__xludf.DUMMYFUNCTION("IFERROR(INDEX(FILTER('Kế hoạch chèn link (mới)'!$C$3:$C$2213,'Kế hoạch chèn link (mới)'!$D$3:$D$2213=$B201),1),"""")"),"chứng chỉ tiền gửi là gì")</f>
        <v>chứng chỉ tiền gửi là gì</v>
      </c>
      <c r="H201" s="25" t="str">
        <f>IFERROR(__xludf.DUMMYFUNCTION("IFERROR(INDEX(FILTER('Kế hoạch chèn link (mới)'!$B$3:$B$2213,'Kế hoạch chèn link (mới)'!$D$3:$D$2213=$B201),1),"""")"),"https://techcombank.com/thong-tin/blog/chung-chi-tien-gui-la-gi")</f>
        <v>https://techcombank.com/thong-tin/blog/chung-chi-tien-gui-la-gi</v>
      </c>
      <c r="I201" s="25" t="str">
        <f>IFERROR(__xludf.DUMMYFUNCTION("IFERROR(INDEX(FILTER('Kế hoạch chèn link (mới)'!$C$3:$C$2213,'Kế hoạch chèn link (mới)'!$D$3:$D$2213=$B201),2),"""")"),"lãi suất chứng chỉ tiền gửi")</f>
        <v>lãi suất chứng chỉ tiền gửi</v>
      </c>
      <c r="J201" s="25" t="str">
        <f>IFERROR(__xludf.DUMMYFUNCTION("IFERROR(INDEX(FILTER('Kế hoạch chèn link (mới)'!$B$3:$B$2213,'Kế hoạch chèn link (mới)'!$D$3:$D$2213=$B201),2),"""")"),"https://techcombank.com/thong-tin/blog/lai-suat-chung-chi-tien-gui-cac-ngan-hang")</f>
        <v>https://techcombank.com/thong-tin/blog/lai-suat-chung-chi-tien-gui-cac-ngan-hang</v>
      </c>
      <c r="K201" s="25" t="str">
        <f>IFERROR(__xludf.DUMMYFUNCTION("IFERROR(INDEX(FILTER('Kế hoạch chèn link (mới)'!$C$3:$C$2213,'Kế hoạch chèn link (mới)'!$D$3:$D$2213=$B201),3),"""")"),"lãi suất ngân hàng")</f>
        <v>lãi suất ngân hàng</v>
      </c>
      <c r="L201" s="25" t="str">
        <f>IFERROR(__xludf.DUMMYFUNCTION("IFERROR(INDEX(FILTER('Kế hoạch chèn link (mới)'!$B$3:$B$2213,'Kế hoạch chèn link (mới)'!$D$3:$D$2213=$B201),3),"""")"),"https://techcombank.com/thong-tin/blog/lai-suat-tiet-kiem")</f>
        <v>https://techcombank.com/thong-tin/blog/lai-suat-tiet-kiem</v>
      </c>
      <c r="M201" s="25" t="str">
        <f>IFERROR(__xludf.DUMMYFUNCTION("IFERROR(INDEX(FILTER('Kế hoạch chèn link (mới)'!$C$3:$C$2213,'Kế hoạch chèn link (mới)'!$D$3:$D$2213=$B201),4),"""")"),"tính lãi suất tiết kiệm")</f>
        <v>tính lãi suất tiết kiệm</v>
      </c>
      <c r="N201" s="25" t="str">
        <f>IFERROR(__xludf.DUMMYFUNCTION("IFERROR(INDEX(FILTER('Kế hoạch chèn link (mới)'!$B$3:$B$2213,'Kế hoạch chèn link (mới)'!$D$3:$D$2213=$B201),4),"""")"),"https://techcombank.com/thong-tin/blog/cach-tinh-lai-suat-tien-gui-tiet-kiem")</f>
        <v>https://techcombank.com/thong-tin/blog/cach-tinh-lai-suat-tien-gui-tiet-kiem</v>
      </c>
      <c r="O201" s="25" t="str">
        <f>IFERROR(__xludf.DUMMYFUNCTION("IFERROR(INDEX(FILTER('Kế hoạch chèn link (mới)'!$C$3:$C$2213,'Kế hoạch chèn link (mới)'!$D$3:$D$2213=$B201),5),"""")"),"bảng tính lãi suất tiết kiệm")</f>
        <v>bảng tính lãi suất tiết kiệm</v>
      </c>
      <c r="P201" s="25" t="str">
        <f>IFERROR(__xludf.DUMMYFUNCTION("IFERROR(INDEX(FILTER('Kế hoạch chèn link (mới)'!$B$3:$B$2213,'Kế hoạch chèn link (mới)'!$D$3:$D$2213=$B201),5),"""")"),"https://techcombank.com/cong-cu-tien-ich/cong-cu-tinh-toan/bang-tinh-lai-suat-tiet-kiem")</f>
        <v>https://techcombank.com/cong-cu-tien-ich/cong-cu-tinh-toan/bang-tinh-lai-suat-tiet-kiem</v>
      </c>
    </row>
    <row r="202">
      <c r="A202" s="6">
        <f t="shared" si="1"/>
        <v>201</v>
      </c>
      <c r="B202" s="8" t="s">
        <v>864</v>
      </c>
      <c r="C202" s="6">
        <f>COUNTIF('Kế hoạch chèn link (mới)'!$D$3:$D$2213,$B202)</f>
        <v>1</v>
      </c>
      <c r="D202" s="8" t="str">
        <f>IF(COUNTIFS('Kế hoạch chèn link (mới)'!$D$3:$D$2213,$B202,'Kế hoạch chèn link (mới)'!$I$3:$I$2213,"Đã chèn")&gt;=$C202,"Đã hoàn thành",IF(COUNTIFS('Kế hoạch chèn link (mới)'!$D$3:$D$2213,$B202,'Kế hoạch chèn link (mới)'!$I$3:$I$2213,"Đã chèn")&gt;0,"Đang làm","Chưa hoàn thành"))</f>
        <v>Chưa hoàn thành</v>
      </c>
      <c r="E202" s="8" t="b">
        <f t="shared" si="2"/>
        <v>0</v>
      </c>
      <c r="F202" s="25"/>
      <c r="G202" s="25" t="str">
        <f>IFERROR(__xludf.DUMMYFUNCTION("IFERROR(INDEX(FILTER('Kế hoạch chèn link (mới)'!$C$3:$C$2213,'Kế hoạch chèn link (mới)'!$D$3:$D$2213=$B202),1),"""")"),"tra số tài khoản ngân hàng")</f>
        <v>tra số tài khoản ngân hàng</v>
      </c>
      <c r="H202" s="25" t="str">
        <f>IFERROR(__xludf.DUMMYFUNCTION("IFERROR(INDEX(FILTER('Kế hoạch chèn link (mới)'!$B$3:$B$2213,'Kế hoạch chèn link (mới)'!$D$3:$D$2213=$B202),1),"""")"),"https://techcombank.com/thong-tin/blog/cach-kiem-tra-tai-khoan-ngan-hang")</f>
        <v>https://techcombank.com/thong-tin/blog/cach-kiem-tra-tai-khoan-ngan-hang</v>
      </c>
      <c r="I202" s="25" t="str">
        <f>IFERROR(__xludf.DUMMYFUNCTION("IFERROR(INDEX(FILTER('Kế hoạch chèn link (mới)'!$C$3:$C$2213,'Kế hoạch chèn link (mới)'!$D$3:$D$2213=$B202),2),"""")"),"")</f>
        <v/>
      </c>
      <c r="J202" s="25" t="str">
        <f>IFERROR(__xludf.DUMMYFUNCTION("IFERROR(INDEX(FILTER('Kế hoạch chèn link (mới)'!$B$3:$B$2213,'Kế hoạch chèn link (mới)'!$D$3:$D$2213=$B202),2),"""")"),"")</f>
        <v/>
      </c>
      <c r="K202" s="25" t="str">
        <f>IFERROR(__xludf.DUMMYFUNCTION("IFERROR(INDEX(FILTER('Kế hoạch chèn link (mới)'!$C$3:$C$2213,'Kế hoạch chèn link (mới)'!$D$3:$D$2213=$B202),3),"""")"),"")</f>
        <v/>
      </c>
      <c r="L202" s="25" t="str">
        <f>IFERROR(__xludf.DUMMYFUNCTION("IFERROR(INDEX(FILTER('Kế hoạch chèn link (mới)'!$B$3:$B$2213,'Kế hoạch chèn link (mới)'!$D$3:$D$2213=$B202),3),"""")"),"")</f>
        <v/>
      </c>
      <c r="M202" s="25" t="str">
        <f>IFERROR(__xludf.DUMMYFUNCTION("IFERROR(INDEX(FILTER('Kế hoạch chèn link (mới)'!$C$3:$C$2213,'Kế hoạch chèn link (mới)'!$D$3:$D$2213=$B202),4),"""")"),"")</f>
        <v/>
      </c>
      <c r="N202" s="25" t="str">
        <f>IFERROR(__xludf.DUMMYFUNCTION("IFERROR(INDEX(FILTER('Kế hoạch chèn link (mới)'!$B$3:$B$2213,'Kế hoạch chèn link (mới)'!$D$3:$D$2213=$B202),4),"""")"),"")</f>
        <v/>
      </c>
      <c r="O202" s="25" t="str">
        <f>IFERROR(__xludf.DUMMYFUNCTION("IFERROR(INDEX(FILTER('Kế hoạch chèn link (mới)'!$C$3:$C$2213,'Kế hoạch chèn link (mới)'!$D$3:$D$2213=$B202),5),"""")"),"")</f>
        <v/>
      </c>
      <c r="P202" s="25" t="str">
        <f>IFERROR(__xludf.DUMMYFUNCTION("IFERROR(INDEX(FILTER('Kế hoạch chèn link (mới)'!$B$3:$B$2213,'Kế hoạch chèn link (mới)'!$D$3:$D$2213=$B202),5),"""")"),"")</f>
        <v/>
      </c>
    </row>
    <row r="203">
      <c r="A203" s="6">
        <f t="shared" si="1"/>
        <v>202</v>
      </c>
      <c r="B203" s="8" t="s">
        <v>2834</v>
      </c>
      <c r="C203" s="6">
        <f>COUNTIF('Kế hoạch chèn link (mới)'!$D$3:$D$2213,$B203)</f>
        <v>2</v>
      </c>
      <c r="D203" s="8" t="str">
        <f>IF(COUNTIFS('Kế hoạch chèn link (mới)'!$D$3:$D$2213,$B203,'Kế hoạch chèn link (mới)'!$I$3:$I$2213,"Đã chèn")&gt;=$C203,"Đã hoàn thành",IF(COUNTIFS('Kế hoạch chèn link (mới)'!$D$3:$D$2213,$B203,'Kế hoạch chèn link (mới)'!$I$3:$I$2213,"Đã chèn")&gt;0,"Đang làm","Chưa hoàn thành"))</f>
        <v>Chưa hoàn thành</v>
      </c>
      <c r="E203" s="8" t="b">
        <f t="shared" si="2"/>
        <v>0</v>
      </c>
      <c r="F203" s="25"/>
      <c r="G203" s="25" t="str">
        <f>IFERROR(__xludf.DUMMYFUNCTION("IFERROR(INDEX(FILTER('Kế hoạch chèn link (mới)'!$C$3:$C$2213,'Kế hoạch chèn link (mới)'!$D$3:$D$2213=$B203),1),"""")"),"tỷ giá Nhân dân tệ")</f>
        <v>tỷ giá Nhân dân tệ</v>
      </c>
      <c r="H203" s="25" t="str">
        <f>IFERROR(__xludf.DUMMYFUNCTION("IFERROR(INDEX(FILTER('Kế hoạch chèn link (mới)'!$B$3:$B$2213,'Kế hoạch chèn link (mới)'!$D$3:$D$2213=$B203),1),"""")"),"https://techcombank.com/thong-tin/blog/1-te-bang-bao-nhieu-tien-viet-nam")</f>
        <v>https://techcombank.com/thong-tin/blog/1-te-bang-bao-nhieu-tien-viet-nam</v>
      </c>
      <c r="I203" s="25" t="str">
        <f>IFERROR(__xludf.DUMMYFUNCTION("IFERROR(INDEX(FILTER('Kế hoạch chèn link (mới)'!$C$3:$C$2213,'Kế hoạch chèn link (mới)'!$D$3:$D$2213=$B203),2),"""")"),"đổi tiền đô ở đâu")</f>
        <v>đổi tiền đô ở đâu</v>
      </c>
      <c r="J203" s="25" t="str">
        <f>IFERROR(__xludf.DUMMYFUNCTION("IFERROR(INDEX(FILTER('Kế hoạch chèn link (mới)'!$B$3:$B$2213,'Kế hoạch chèn link (mới)'!$D$3:$D$2213=$B203),2),"""")"),"https://techcombank.com/thong-tin/blog/doi-tien-do-o-dau")</f>
        <v>https://techcombank.com/thong-tin/blog/doi-tien-do-o-dau</v>
      </c>
      <c r="K203" s="25" t="str">
        <f>IFERROR(__xludf.DUMMYFUNCTION("IFERROR(INDEX(FILTER('Kế hoạch chèn link (mới)'!$C$3:$C$2213,'Kế hoạch chèn link (mới)'!$D$3:$D$2213=$B203),3),"""")"),"")</f>
        <v/>
      </c>
      <c r="L203" s="25" t="str">
        <f>IFERROR(__xludf.DUMMYFUNCTION("IFERROR(INDEX(FILTER('Kế hoạch chèn link (mới)'!$B$3:$B$2213,'Kế hoạch chèn link (mới)'!$D$3:$D$2213=$B203),3),"""")"),"")</f>
        <v/>
      </c>
      <c r="M203" s="25" t="str">
        <f>IFERROR(__xludf.DUMMYFUNCTION("IFERROR(INDEX(FILTER('Kế hoạch chèn link (mới)'!$C$3:$C$2213,'Kế hoạch chèn link (mới)'!$D$3:$D$2213=$B203),4),"""")"),"")</f>
        <v/>
      </c>
      <c r="N203" s="25" t="str">
        <f>IFERROR(__xludf.DUMMYFUNCTION("IFERROR(INDEX(FILTER('Kế hoạch chèn link (mới)'!$B$3:$B$2213,'Kế hoạch chèn link (mới)'!$D$3:$D$2213=$B203),4),"""")"),"")</f>
        <v/>
      </c>
      <c r="O203" s="25" t="str">
        <f>IFERROR(__xludf.DUMMYFUNCTION("IFERROR(INDEX(FILTER('Kế hoạch chèn link (mới)'!$C$3:$C$2213,'Kế hoạch chèn link (mới)'!$D$3:$D$2213=$B203),5),"""")"),"")</f>
        <v/>
      </c>
      <c r="P203" s="25" t="str">
        <f>IFERROR(__xludf.DUMMYFUNCTION("IFERROR(INDEX(FILTER('Kế hoạch chèn link (mới)'!$B$3:$B$2213,'Kế hoạch chèn link (mới)'!$D$3:$D$2213=$B203),5),"""")"),"")</f>
        <v/>
      </c>
    </row>
    <row r="204">
      <c r="A204" s="6">
        <f t="shared" si="1"/>
        <v>203</v>
      </c>
      <c r="B204" s="8" t="s">
        <v>2835</v>
      </c>
      <c r="C204" s="6">
        <f>COUNTIF('Kế hoạch chèn link (mới)'!$D$3:$D$2213,$B204)</f>
        <v>3</v>
      </c>
      <c r="D204" s="8" t="str">
        <f>IF(COUNTIFS('Kế hoạch chèn link (mới)'!$D$3:$D$2213,$B204,'Kế hoạch chèn link (mới)'!$I$3:$I$2213,"Đã chèn")&gt;=$C204,"Đã hoàn thành",IF(COUNTIFS('Kế hoạch chèn link (mới)'!$D$3:$D$2213,$B204,'Kế hoạch chèn link (mới)'!$I$3:$I$2213,"Đã chèn")&gt;0,"Đang làm","Chưa hoàn thành"))</f>
        <v>Chưa hoàn thành</v>
      </c>
      <c r="E204" s="8" t="b">
        <f t="shared" si="2"/>
        <v>0</v>
      </c>
      <c r="F204" s="25"/>
      <c r="G204" s="25" t="str">
        <f>IFERROR(__xludf.DUMMYFUNCTION("IFERROR(INDEX(FILTER('Kế hoạch chèn link (mới)'!$C$3:$C$2213,'Kế hoạch chèn link (mới)'!$D$3:$D$2213=$B204),1),"""")"),"cic là gì")</f>
        <v>cic là gì</v>
      </c>
      <c r="H204" s="25" t="str">
        <f>IFERROR(__xludf.DUMMYFUNCTION("IFERROR(INDEX(FILTER('Kế hoạch chèn link (mới)'!$B$3:$B$2213,'Kế hoạch chèn link (mới)'!$D$3:$D$2213=$B204),1),"""")"),"https://techcombank.com/thong-tin/blog/cic-la-gi")</f>
        <v>https://techcombank.com/thong-tin/blog/cic-la-gi</v>
      </c>
      <c r="I204" s="25" t="str">
        <f>IFERROR(__xludf.DUMMYFUNCTION("IFERROR(INDEX(FILTER('Kế hoạch chèn link (mới)'!$C$3:$C$2213,'Kế hoạch chèn link (mới)'!$D$3:$D$2213=$B204),2),"""")"),"trả nợ thẻ tín dụng")</f>
        <v>trả nợ thẻ tín dụng</v>
      </c>
      <c r="J204" s="25" t="str">
        <f>IFERROR(__xludf.DUMMYFUNCTION("IFERROR(INDEX(FILTER('Kế hoạch chèn link (mới)'!$B$3:$B$2213,'Kế hoạch chèn link (mới)'!$D$3:$D$2213=$B204),2),"""")"),"https://techcombank.com/thong-tin/blog/cach-thanh-toan-the-tin-dung")</f>
        <v>https://techcombank.com/thong-tin/blog/cach-thanh-toan-the-tin-dung</v>
      </c>
      <c r="K204" s="25" t="str">
        <f>IFERROR(__xludf.DUMMYFUNCTION("IFERROR(INDEX(FILTER('Kế hoạch chèn link (mới)'!$C$3:$C$2213,'Kế hoạch chèn link (mới)'!$D$3:$D$2213=$B204),3),"""")"),"vay")</f>
        <v>vay</v>
      </c>
      <c r="L204" s="25" t="str">
        <f>IFERROR(__xludf.DUMMYFUNCTION("IFERROR(INDEX(FILTER('Kế hoạch chèn link (mới)'!$B$3:$B$2213,'Kế hoạch chèn link (mới)'!$D$3:$D$2213=$B204),3),"""")"),"https://techcombank.com/thong-tin/blog/app-vay-tien-nhanh")</f>
        <v>https://techcombank.com/thong-tin/blog/app-vay-tien-nhanh</v>
      </c>
      <c r="M204" s="25" t="str">
        <f>IFERROR(__xludf.DUMMYFUNCTION("IFERROR(INDEX(FILTER('Kế hoạch chèn link (mới)'!$C$3:$C$2213,'Kế hoạch chèn link (mới)'!$D$3:$D$2213=$B204),4),"""")"),"")</f>
        <v/>
      </c>
      <c r="N204" s="25" t="str">
        <f>IFERROR(__xludf.DUMMYFUNCTION("IFERROR(INDEX(FILTER('Kế hoạch chèn link (mới)'!$B$3:$B$2213,'Kế hoạch chèn link (mới)'!$D$3:$D$2213=$B204),4),"""")"),"")</f>
        <v/>
      </c>
      <c r="O204" s="25" t="str">
        <f>IFERROR(__xludf.DUMMYFUNCTION("IFERROR(INDEX(FILTER('Kế hoạch chèn link (mới)'!$C$3:$C$2213,'Kế hoạch chèn link (mới)'!$D$3:$D$2213=$B204),5),"""")"),"")</f>
        <v/>
      </c>
      <c r="P204" s="25" t="str">
        <f>IFERROR(__xludf.DUMMYFUNCTION("IFERROR(INDEX(FILTER('Kế hoạch chèn link (mới)'!$B$3:$B$2213,'Kế hoạch chèn link (mới)'!$D$3:$D$2213=$B204),5),"""")"),"")</f>
        <v/>
      </c>
    </row>
    <row r="205">
      <c r="A205" s="6">
        <f t="shared" si="1"/>
        <v>204</v>
      </c>
      <c r="B205" s="8" t="s">
        <v>2837</v>
      </c>
      <c r="C205" s="6">
        <f>COUNTIF('Kế hoạch chèn link (mới)'!$D$3:$D$2213,$B205)</f>
        <v>4</v>
      </c>
      <c r="D205" s="8" t="str">
        <f>IF(COUNTIFS('Kế hoạch chèn link (mới)'!$D$3:$D$2213,$B205,'Kế hoạch chèn link (mới)'!$I$3:$I$2213,"Đã chèn")&gt;=$C205,"Đã hoàn thành",IF(COUNTIFS('Kế hoạch chèn link (mới)'!$D$3:$D$2213,$B205,'Kế hoạch chèn link (mới)'!$I$3:$I$2213,"Đã chèn")&gt;0,"Đang làm","Chưa hoàn thành"))</f>
        <v>Chưa hoàn thành</v>
      </c>
      <c r="E205" s="8" t="b">
        <f t="shared" si="2"/>
        <v>0</v>
      </c>
      <c r="F205" s="25"/>
      <c r="G205" s="25" t="str">
        <f>IFERROR(__xludf.DUMMYFUNCTION("IFERROR(INDEX(FILTER('Kế hoạch chèn link (mới)'!$C$3:$C$2213,'Kế hoạch chèn link (mới)'!$D$3:$D$2213=$B205),1),"""")"),"tỷ giá USD/VND")</f>
        <v>tỷ giá USD/VND</v>
      </c>
      <c r="H205" s="25" t="str">
        <f>IFERROR(__xludf.DUMMYFUNCTION("IFERROR(INDEX(FILTER('Kế hoạch chèn link (mới)'!$B$3:$B$2213,'Kế hoạch chèn link (mới)'!$D$3:$D$2213=$B205),1),"""")"),"https://techcombank.com/thong-tin/blog/1-dong-do-la-my-bang-bao-nhieu-tien-viet-nam")</f>
        <v>https://techcombank.com/thong-tin/blog/1-dong-do-la-my-bang-bao-nhieu-tien-viet-nam</v>
      </c>
      <c r="I205" s="25" t="str">
        <f>IFERROR(__xludf.DUMMYFUNCTION("IFERROR(INDEX(FILTER('Kế hoạch chèn link (mới)'!$C$3:$C$2213,'Kế hoạch chèn link (mới)'!$D$3:$D$2213=$B205),2),"""")"),"tỷ giá Won")</f>
        <v>tỷ giá Won</v>
      </c>
      <c r="J205" s="25" t="str">
        <f>IFERROR(__xludf.DUMMYFUNCTION("IFERROR(INDEX(FILTER('Kế hoạch chèn link (mới)'!$B$3:$B$2213,'Kế hoạch chèn link (mới)'!$D$3:$D$2213=$B205),2),"""")"),"https://techcombank.com/thong-tin/blog/1-won-bang-bao-nhieu-tien-viet")</f>
        <v>https://techcombank.com/thong-tin/blog/1-won-bang-bao-nhieu-tien-viet</v>
      </c>
      <c r="K205" s="25" t="str">
        <f>IFERROR(__xludf.DUMMYFUNCTION("IFERROR(INDEX(FILTER('Kế hoạch chèn link (mới)'!$C$3:$C$2213,'Kế hoạch chèn link (mới)'!$D$3:$D$2213=$B205),3),"""")"),"tỷ giá Đài tệ")</f>
        <v>tỷ giá Đài tệ</v>
      </c>
      <c r="L205" s="25" t="str">
        <f>IFERROR(__xludf.DUMMYFUNCTION("IFERROR(INDEX(FILTER('Kế hoạch chèn link (mới)'!$B$3:$B$2213,'Kế hoạch chèn link (mới)'!$D$3:$D$2213=$B205),3),"""")"),"https://techcombank.com/thong-tin/blog/tien-dai-loan")</f>
        <v>https://techcombank.com/thong-tin/blog/tien-dai-loan</v>
      </c>
      <c r="M205" s="25" t="str">
        <f>IFERROR(__xludf.DUMMYFUNCTION("IFERROR(INDEX(FILTER('Kế hoạch chèn link (mới)'!$C$3:$C$2213,'Kế hoạch chèn link (mới)'!$D$3:$D$2213=$B205),4),"""")"),"1 triệu đô bằng bao nhiêu tiền Việt")</f>
        <v>1 triệu đô bằng bao nhiêu tiền Việt</v>
      </c>
      <c r="N205" s="25" t="str">
        <f>IFERROR(__xludf.DUMMYFUNCTION("IFERROR(INDEX(FILTER('Kế hoạch chèn link (mới)'!$B$3:$B$2213,'Kế hoạch chèn link (mới)'!$D$3:$D$2213=$B205),4),"""")"),"https://techcombank.com/thong-tin/blog/1-trieu-do-bang-bao-nhieu-tien-viet")</f>
        <v>https://techcombank.com/thong-tin/blog/1-trieu-do-bang-bao-nhieu-tien-viet</v>
      </c>
      <c r="O205" s="25" t="str">
        <f>IFERROR(__xludf.DUMMYFUNCTION("IFERROR(INDEX(FILTER('Kế hoạch chèn link (mới)'!$C$3:$C$2213,'Kế hoạch chèn link (mới)'!$D$3:$D$2213=$B205),5),"""")"),"")</f>
        <v/>
      </c>
      <c r="P205" s="25" t="str">
        <f>IFERROR(__xludf.DUMMYFUNCTION("IFERROR(INDEX(FILTER('Kế hoạch chèn link (mới)'!$B$3:$B$2213,'Kế hoạch chèn link (mới)'!$D$3:$D$2213=$B205),5),"""")"),"")</f>
        <v/>
      </c>
    </row>
    <row r="206">
      <c r="A206" s="6">
        <f t="shared" si="1"/>
        <v>205</v>
      </c>
      <c r="B206" s="8" t="s">
        <v>872</v>
      </c>
      <c r="C206" s="6">
        <f>COUNTIF('Kế hoạch chèn link (mới)'!$D$3:$D$2213,$B206)</f>
        <v>3</v>
      </c>
      <c r="D206" s="8" t="str">
        <f>IF(COUNTIFS('Kế hoạch chèn link (mới)'!$D$3:$D$2213,$B206,'Kế hoạch chèn link (mới)'!$I$3:$I$2213,"Đã chèn")&gt;=$C206,"Đã hoàn thành",IF(COUNTIFS('Kế hoạch chèn link (mới)'!$D$3:$D$2213,$B206,'Kế hoạch chèn link (mới)'!$I$3:$I$2213,"Đã chèn")&gt;0,"Đang làm","Chưa hoàn thành"))</f>
        <v>Chưa hoàn thành</v>
      </c>
      <c r="E206" s="8" t="b">
        <f t="shared" si="2"/>
        <v>0</v>
      </c>
      <c r="F206" s="25"/>
      <c r="G206" s="25" t="str">
        <f>IFERROR(__xludf.DUMMYFUNCTION("IFERROR(INDEX(FILTER('Kế hoạch chèn link (mới)'!$C$3:$C$2213,'Kế hoạch chèn link (mới)'!$D$3:$D$2213=$B206),1),"""")"),"thuế thu nhập doanh nghiệp")</f>
        <v>thuế thu nhập doanh nghiệp</v>
      </c>
      <c r="H206" s="25" t="str">
        <f>IFERROR(__xludf.DUMMYFUNCTION("IFERROR(INDEX(FILTER('Kế hoạch chèn link (mới)'!$B$3:$B$2213,'Kế hoạch chèn link (mới)'!$D$3:$D$2213=$B206),1),"""")"),"https://techcombank.com/thong-tin/blog/thue-thu-nhap-doanh-nghiep")</f>
        <v>https://techcombank.com/thong-tin/blog/thue-thu-nhap-doanh-nghiep</v>
      </c>
      <c r="I206" s="25" t="str">
        <f>IFERROR(__xludf.DUMMYFUNCTION("IFERROR(INDEX(FILTER('Kế hoạch chèn link (mới)'!$C$3:$C$2213,'Kế hoạch chèn link (mới)'!$D$3:$D$2213=$B206),2),"""")"),"các loại thuế doanh nghiệp phải nộp")</f>
        <v>các loại thuế doanh nghiệp phải nộp</v>
      </c>
      <c r="J206" s="25" t="str">
        <f>IFERROR(__xludf.DUMMYFUNCTION("IFERROR(INDEX(FILTER('Kế hoạch chèn link (mới)'!$B$3:$B$2213,'Kế hoạch chèn link (mới)'!$D$3:$D$2213=$B206),2),"""")"),"https://techcombank.com/thong-tin/blog/thue-doanh-nghiep")</f>
        <v>https://techcombank.com/thong-tin/blog/thue-doanh-nghiep</v>
      </c>
      <c r="K206" s="25" t="str">
        <f>IFERROR(__xludf.DUMMYFUNCTION("IFERROR(INDEX(FILTER('Kế hoạch chèn link (mới)'!$C$3:$C$2213,'Kế hoạch chèn link (mới)'!$D$3:$D$2213=$B206),3),"""")"),"thuế hộ kinh doanh")</f>
        <v>thuế hộ kinh doanh</v>
      </c>
      <c r="L206" s="25" t="str">
        <f>IFERROR(__xludf.DUMMYFUNCTION("IFERROR(INDEX(FILTER('Kế hoạch chèn link (mới)'!$B$3:$B$2213,'Kế hoạch chèn link (mới)'!$D$3:$D$2213=$B206),3),"""")"),"https://techcombank.com/thong-tin/blog/ho-kinh-doanh-dong-thue-nhu-nao")</f>
        <v>https://techcombank.com/thong-tin/blog/ho-kinh-doanh-dong-thue-nhu-nao</v>
      </c>
      <c r="M206" s="25" t="str">
        <f>IFERROR(__xludf.DUMMYFUNCTION("IFERROR(INDEX(FILTER('Kế hoạch chèn link (mới)'!$C$3:$C$2213,'Kế hoạch chèn link (mới)'!$D$3:$D$2213=$B206),4),"""")"),"")</f>
        <v/>
      </c>
      <c r="N206" s="25" t="str">
        <f>IFERROR(__xludf.DUMMYFUNCTION("IFERROR(INDEX(FILTER('Kế hoạch chèn link (mới)'!$B$3:$B$2213,'Kế hoạch chèn link (mới)'!$D$3:$D$2213=$B206),4),"""")"),"")</f>
        <v/>
      </c>
      <c r="O206" s="25" t="str">
        <f>IFERROR(__xludf.DUMMYFUNCTION("IFERROR(INDEX(FILTER('Kế hoạch chèn link (mới)'!$C$3:$C$2213,'Kế hoạch chèn link (mới)'!$D$3:$D$2213=$B206),5),"""")"),"")</f>
        <v/>
      </c>
      <c r="P206" s="25" t="str">
        <f>IFERROR(__xludf.DUMMYFUNCTION("IFERROR(INDEX(FILTER('Kế hoạch chèn link (mới)'!$B$3:$B$2213,'Kế hoạch chèn link (mới)'!$D$3:$D$2213=$B206),5),"""")"),"")</f>
        <v/>
      </c>
    </row>
    <row r="207">
      <c r="A207" s="6">
        <f t="shared" si="1"/>
        <v>206</v>
      </c>
      <c r="B207" s="8" t="s">
        <v>2838</v>
      </c>
      <c r="C207" s="6">
        <f>COUNTIF('Kế hoạch chèn link (mới)'!$D$3:$D$2213,$B207)</f>
        <v>4</v>
      </c>
      <c r="D207" s="8" t="str">
        <f>IF(COUNTIFS('Kế hoạch chèn link (mới)'!$D$3:$D$2213,$B207,'Kế hoạch chèn link (mới)'!$I$3:$I$2213,"Đã chèn")&gt;=$C207,"Đã hoàn thành",IF(COUNTIFS('Kế hoạch chèn link (mới)'!$D$3:$D$2213,$B207,'Kế hoạch chèn link (mới)'!$I$3:$I$2213,"Đã chèn")&gt;0,"Đang làm","Chưa hoàn thành"))</f>
        <v>Chưa hoàn thành</v>
      </c>
      <c r="E207" s="8" t="b">
        <f t="shared" si="2"/>
        <v>0</v>
      </c>
      <c r="F207" s="25"/>
      <c r="G207" s="25" t="str">
        <f>IFERROR(__xludf.DUMMYFUNCTION("IFERROR(INDEX(FILTER('Kế hoạch chèn link (mới)'!$C$3:$C$2213,'Kế hoạch chèn link (mới)'!$D$3:$D$2213=$B207),1),"""")"),"lãi suất vay thế chấp sổ đỏ")</f>
        <v>lãi suất vay thế chấp sổ đỏ</v>
      </c>
      <c r="H207" s="25" t="str">
        <f>IFERROR(__xludf.DUMMYFUNCTION("IFERROR(INDEX(FILTER('Kế hoạch chèn link (mới)'!$B$3:$B$2213,'Kế hoạch chèn link (mới)'!$D$3:$D$2213=$B207),1),"""")"),"https://techcombank.com/thong-tin/blog/lai-suat-vay-the-chap-so-do")</f>
        <v>https://techcombank.com/thong-tin/blog/lai-suat-vay-the-chap-so-do</v>
      </c>
      <c r="I207" s="25" t="str">
        <f>IFERROR(__xludf.DUMMYFUNCTION("IFERROR(INDEX(FILTER('Kế hoạch chèn link (mới)'!$C$3:$C$2213,'Kế hoạch chèn link (mới)'!$D$3:$D$2213=$B207),2),"""")"),"tính lãi suất ngân hàng")</f>
        <v>tính lãi suất ngân hàng</v>
      </c>
      <c r="J207" s="25" t="str">
        <f>IFERROR(__xludf.DUMMYFUNCTION("IFERROR(INDEX(FILTER('Kế hoạch chèn link (mới)'!$B$3:$B$2213,'Kế hoạch chèn link (mới)'!$D$3:$D$2213=$B207),2),"""")"),"https://techcombank.com/thong-tin/blog/cach-tinh-lai-suat-tien-gui-tiet-kiem")</f>
        <v>https://techcombank.com/thong-tin/blog/cach-tinh-lai-suat-tien-gui-tiet-kiem</v>
      </c>
      <c r="K207" s="25" t="str">
        <f>IFERROR(__xludf.DUMMYFUNCTION("IFERROR(INDEX(FILTER('Kế hoạch chèn link (mới)'!$C$3:$C$2213,'Kế hoạch chèn link (mới)'!$D$3:$D$2213=$B207),3),"""")"),"vay tiền")</f>
        <v>vay tiền</v>
      </c>
      <c r="L207" s="25" t="str">
        <f>IFERROR(__xludf.DUMMYFUNCTION("IFERROR(INDEX(FILTER('Kế hoạch chèn link (mới)'!$B$3:$B$2213,'Kế hoạch chèn link (mới)'!$D$3:$D$2213=$B207),3),"""")"),"https://techcombank.com/thong-tin/blog/app-vay-tien-nhanh")</f>
        <v>https://techcombank.com/thong-tin/blog/app-vay-tien-nhanh</v>
      </c>
      <c r="M207" s="25" t="str">
        <f>IFERROR(__xludf.DUMMYFUNCTION("IFERROR(INDEX(FILTER('Kế hoạch chèn link (mới)'!$C$3:$C$2213,'Kế hoạch chèn link (mới)'!$D$3:$D$2213=$B207),4),"""")"),"nợ xấu")</f>
        <v>nợ xấu</v>
      </c>
      <c r="N207" s="25" t="str">
        <f>IFERROR(__xludf.DUMMYFUNCTION("IFERROR(INDEX(FILTER('Kế hoạch chèn link (mới)'!$B$3:$B$2213,'Kế hoạch chèn link (mới)'!$D$3:$D$2213=$B207),4),"""")"),"https://techcombank.com/thong-tin/blog/no-xau-la-gi")</f>
        <v>https://techcombank.com/thong-tin/blog/no-xau-la-gi</v>
      </c>
      <c r="O207" s="25" t="str">
        <f>IFERROR(__xludf.DUMMYFUNCTION("IFERROR(INDEX(FILTER('Kế hoạch chèn link (mới)'!$C$3:$C$2213,'Kế hoạch chèn link (mới)'!$D$3:$D$2213=$B207),5),"""")"),"")</f>
        <v/>
      </c>
      <c r="P207" s="25" t="str">
        <f>IFERROR(__xludf.DUMMYFUNCTION("IFERROR(INDEX(FILTER('Kế hoạch chèn link (mới)'!$B$3:$B$2213,'Kế hoạch chèn link (mới)'!$D$3:$D$2213=$B207),5),"""")"),"")</f>
        <v/>
      </c>
    </row>
    <row r="208">
      <c r="A208" s="6">
        <f t="shared" si="1"/>
        <v>207</v>
      </c>
      <c r="B208" s="8" t="s">
        <v>1953</v>
      </c>
      <c r="C208" s="6">
        <f>COUNTIF('Kế hoạch chèn link (mới)'!$D$3:$D$2213,$B208)</f>
        <v>4</v>
      </c>
      <c r="D208" s="8" t="str">
        <f>IF(COUNTIFS('Kế hoạch chèn link (mới)'!$D$3:$D$2213,$B208,'Kế hoạch chèn link (mới)'!$I$3:$I$2213,"Đã chèn")&gt;=$C208,"Đã hoàn thành",IF(COUNTIFS('Kế hoạch chèn link (mới)'!$D$3:$D$2213,$B208,'Kế hoạch chèn link (mới)'!$I$3:$I$2213,"Đã chèn")&gt;0,"Đang làm","Chưa hoàn thành"))</f>
        <v>Chưa hoàn thành</v>
      </c>
      <c r="E208" s="8" t="b">
        <f t="shared" si="2"/>
        <v>0</v>
      </c>
      <c r="F208" s="25"/>
      <c r="G208" s="25" t="str">
        <f>IFERROR(__xludf.DUMMYFUNCTION("IFERROR(INDEX(FILTER('Kế hoạch chèn link (mới)'!$C$3:$C$2213,'Kế hoạch chèn link (mới)'!$D$3:$D$2213=$B208),1),"""")"),"ngân hàng uy tín")</f>
        <v>ngân hàng uy tín</v>
      </c>
      <c r="H208" s="25" t="str">
        <f>IFERROR(__xludf.DUMMYFUNCTION("IFERROR(INDEX(FILTER('Kế hoạch chèn link (mới)'!$B$3:$B$2213,'Kế hoạch chèn link (mới)'!$D$3:$D$2213=$B208),1),"""")"),"https://techcombank.com/thong-tin/blog/ngan-hang-uy-tin")</f>
        <v>https://techcombank.com/thong-tin/blog/ngan-hang-uy-tin</v>
      </c>
      <c r="I208" s="25" t="str">
        <f>IFERROR(__xludf.DUMMYFUNCTION("IFERROR(INDEX(FILTER('Kế hoạch chèn link (mới)'!$C$3:$C$2213,'Kế hoạch chèn link (mới)'!$D$3:$D$2213=$B208),2),"""")"),"cách tính lãi suất vay")</f>
        <v>cách tính lãi suất vay</v>
      </c>
      <c r="J208" s="25" t="str">
        <f>IFERROR(__xludf.DUMMYFUNCTION("IFERROR(INDEX(FILTER('Kế hoạch chèn link (mới)'!$B$3:$B$2213,'Kế hoạch chèn link (mới)'!$D$3:$D$2213=$B208),2),"""")"),"https://techcombank.com/thong-tin/blog/cach-tinh-lai-vay-ngan-hang")</f>
        <v>https://techcombank.com/thong-tin/blog/cach-tinh-lai-vay-ngan-hang</v>
      </c>
      <c r="K208" s="25" t="str">
        <f>IFERROR(__xludf.DUMMYFUNCTION("IFERROR(INDEX(FILTER('Kế hoạch chèn link (mới)'!$C$3:$C$2213,'Kế hoạch chèn link (mới)'!$D$3:$D$2213=$B208),3),"""")"),"vay")</f>
        <v>vay</v>
      </c>
      <c r="L208" s="25" t="str">
        <f>IFERROR(__xludf.DUMMYFUNCTION("IFERROR(INDEX(FILTER('Kế hoạch chèn link (mới)'!$B$3:$B$2213,'Kế hoạch chèn link (mới)'!$D$3:$D$2213=$B208),3),"""")"),"https://techcombank.com/thong-tin/blog/app-vay-tien-nhanh")</f>
        <v>https://techcombank.com/thong-tin/blog/app-vay-tien-nhanh</v>
      </c>
      <c r="M208" s="25" t="str">
        <f>IFERROR(__xludf.DUMMYFUNCTION("IFERROR(INDEX(FILTER('Kế hoạch chèn link (mới)'!$C$3:$C$2213,'Kế hoạch chèn link (mới)'!$D$3:$D$2213=$B208),4),"""")"),"lãi suất cho vay ngân hàng")</f>
        <v>lãi suất cho vay ngân hàng</v>
      </c>
      <c r="N208" s="25" t="str">
        <f>IFERROR(__xludf.DUMMYFUNCTION("IFERROR(INDEX(FILTER('Kế hoạch chèn link (mới)'!$B$3:$B$2213,'Kế hoạch chèn link (mới)'!$D$3:$D$2213=$B208),4),"""")"),"https://techcombank.com/thong-tin/blog/lai-suat-vay-ngan-hang")</f>
        <v>https://techcombank.com/thong-tin/blog/lai-suat-vay-ngan-hang</v>
      </c>
      <c r="O208" s="25" t="str">
        <f>IFERROR(__xludf.DUMMYFUNCTION("IFERROR(INDEX(FILTER('Kế hoạch chèn link (mới)'!$C$3:$C$2213,'Kế hoạch chèn link (mới)'!$D$3:$D$2213=$B208),5),"""")"),"")</f>
        <v/>
      </c>
      <c r="P208" s="25" t="str">
        <f>IFERROR(__xludf.DUMMYFUNCTION("IFERROR(INDEX(FILTER('Kế hoạch chèn link (mới)'!$B$3:$B$2213,'Kế hoạch chèn link (mới)'!$D$3:$D$2213=$B208),5),"""")"),"")</f>
        <v/>
      </c>
    </row>
    <row r="209">
      <c r="A209" s="6">
        <f t="shared" si="1"/>
        <v>208</v>
      </c>
      <c r="B209" s="8" t="s">
        <v>2840</v>
      </c>
      <c r="C209" s="6">
        <f>COUNTIF('Kế hoạch chèn link (mới)'!$D$3:$D$2213,$B209)</f>
        <v>1</v>
      </c>
      <c r="D209" s="8" t="str">
        <f>IF(COUNTIFS('Kế hoạch chèn link (mới)'!$D$3:$D$2213,$B209,'Kế hoạch chèn link (mới)'!$I$3:$I$2213,"Đã chèn")&gt;=$C209,"Đã hoàn thành",IF(COUNTIFS('Kế hoạch chèn link (mới)'!$D$3:$D$2213,$B209,'Kế hoạch chèn link (mới)'!$I$3:$I$2213,"Đã chèn")&gt;0,"Đang làm","Chưa hoàn thành"))</f>
        <v>Chưa hoàn thành</v>
      </c>
      <c r="E209" s="8" t="b">
        <f t="shared" si="2"/>
        <v>0</v>
      </c>
      <c r="F209" s="25"/>
      <c r="G209" s="25" t="str">
        <f>IFERROR(__xludf.DUMMYFUNCTION("IFERROR(INDEX(FILTER('Kế hoạch chèn link (mới)'!$C$3:$C$2213,'Kế hoạch chèn link (mới)'!$D$3:$D$2213=$B209),1),"""")"),"1 triệu đô bằng bao nhiêu tiền Việt")</f>
        <v>1 triệu đô bằng bao nhiêu tiền Việt</v>
      </c>
      <c r="H209" s="25" t="str">
        <f>IFERROR(__xludf.DUMMYFUNCTION("IFERROR(INDEX(FILTER('Kế hoạch chèn link (mới)'!$B$3:$B$2213,'Kế hoạch chèn link (mới)'!$D$3:$D$2213=$B209),1),"""")"),"https://techcombank.com/thong-tin/blog/1-trieu-do-bang-bao-nhieu-tien-viet")</f>
        <v>https://techcombank.com/thong-tin/blog/1-trieu-do-bang-bao-nhieu-tien-viet</v>
      </c>
      <c r="I209" s="25" t="str">
        <f>IFERROR(__xludf.DUMMYFUNCTION("IFERROR(INDEX(FILTER('Kế hoạch chèn link (mới)'!$C$3:$C$2213,'Kế hoạch chèn link (mới)'!$D$3:$D$2213=$B209),2),"""")"),"")</f>
        <v/>
      </c>
      <c r="J209" s="25" t="str">
        <f>IFERROR(__xludf.DUMMYFUNCTION("IFERROR(INDEX(FILTER('Kế hoạch chèn link (mới)'!$B$3:$B$2213,'Kế hoạch chèn link (mới)'!$D$3:$D$2213=$B209),2),"""")"),"")</f>
        <v/>
      </c>
      <c r="K209" s="25" t="str">
        <f>IFERROR(__xludf.DUMMYFUNCTION("IFERROR(INDEX(FILTER('Kế hoạch chèn link (mới)'!$C$3:$C$2213,'Kế hoạch chèn link (mới)'!$D$3:$D$2213=$B209),3),"""")"),"")</f>
        <v/>
      </c>
      <c r="L209" s="25" t="str">
        <f>IFERROR(__xludf.DUMMYFUNCTION("IFERROR(INDEX(FILTER('Kế hoạch chèn link (mới)'!$B$3:$B$2213,'Kế hoạch chèn link (mới)'!$D$3:$D$2213=$B209),3),"""")"),"")</f>
        <v/>
      </c>
      <c r="M209" s="25" t="str">
        <f>IFERROR(__xludf.DUMMYFUNCTION("IFERROR(INDEX(FILTER('Kế hoạch chèn link (mới)'!$C$3:$C$2213,'Kế hoạch chèn link (mới)'!$D$3:$D$2213=$B209),4),"""")"),"")</f>
        <v/>
      </c>
      <c r="N209" s="25" t="str">
        <f>IFERROR(__xludf.DUMMYFUNCTION("IFERROR(INDEX(FILTER('Kế hoạch chèn link (mới)'!$B$3:$B$2213,'Kế hoạch chèn link (mới)'!$D$3:$D$2213=$B209),4),"""")"),"")</f>
        <v/>
      </c>
      <c r="O209" s="25" t="str">
        <f>IFERROR(__xludf.DUMMYFUNCTION("IFERROR(INDEX(FILTER('Kế hoạch chèn link (mới)'!$C$3:$C$2213,'Kế hoạch chèn link (mới)'!$D$3:$D$2213=$B209),5),"""")"),"")</f>
        <v/>
      </c>
      <c r="P209" s="25" t="str">
        <f>IFERROR(__xludf.DUMMYFUNCTION("IFERROR(INDEX(FILTER('Kế hoạch chèn link (mới)'!$B$3:$B$2213,'Kế hoạch chèn link (mới)'!$D$3:$D$2213=$B209),5),"""")"),"")</f>
        <v/>
      </c>
    </row>
    <row r="210">
      <c r="A210" s="6">
        <f t="shared" si="1"/>
        <v>209</v>
      </c>
      <c r="B210" s="8" t="s">
        <v>2043</v>
      </c>
      <c r="C210" s="6">
        <f>COUNTIF('Kế hoạch chèn link (mới)'!$D$3:$D$2213,$B210)</f>
        <v>4</v>
      </c>
      <c r="D210" s="8" t="str">
        <f>IF(COUNTIFS('Kế hoạch chèn link (mới)'!$D$3:$D$2213,$B210,'Kế hoạch chèn link (mới)'!$I$3:$I$2213,"Đã chèn")&gt;=$C210,"Đã hoàn thành",IF(COUNTIFS('Kế hoạch chèn link (mới)'!$D$3:$D$2213,$B210,'Kế hoạch chèn link (mới)'!$I$3:$I$2213,"Đã chèn")&gt;0,"Đang làm","Chưa hoàn thành"))</f>
        <v>Chưa hoàn thành</v>
      </c>
      <c r="E210" s="8" t="b">
        <f t="shared" si="2"/>
        <v>0</v>
      </c>
      <c r="F210" s="25"/>
      <c r="G210" s="25" t="str">
        <f>IFERROR(__xludf.DUMMYFUNCTION("IFERROR(INDEX(FILTER('Kế hoạch chèn link (mới)'!$C$3:$C$2213,'Kế hoạch chèn link (mới)'!$D$3:$D$2213=$B210),1),"""")"),"tiền chuyển khoản bị treo")</f>
        <v>tiền chuyển khoản bị treo</v>
      </c>
      <c r="H210" s="25" t="str">
        <f>IFERROR(__xludf.DUMMYFUNCTION("IFERROR(INDEX(FILTER('Kế hoạch chèn link (mới)'!$B$3:$B$2213,'Kế hoạch chèn link (mới)'!$D$3:$D$2213=$B210),1),"""")"),"https://techcombank.com/thong-tin/blog/chuyen-khoan-thanh-cong-nhung-khong-nhan-duoc-tien")</f>
        <v>https://techcombank.com/thong-tin/blog/chuyen-khoan-thanh-cong-nhung-khong-nhan-duoc-tien</v>
      </c>
      <c r="I210" s="25" t="str">
        <f>IFERROR(__xludf.DUMMYFUNCTION("IFERROR(INDEX(FILTER('Kế hoạch chèn link (mới)'!$C$3:$C$2213,'Kế hoạch chèn link (mới)'!$D$3:$D$2213=$B210),2),"""")"),"1 triệu đô bằng bao nhiêu tiền Việt")</f>
        <v>1 triệu đô bằng bao nhiêu tiền Việt</v>
      </c>
      <c r="J210" s="25" t="str">
        <f>IFERROR(__xludf.DUMMYFUNCTION("IFERROR(INDEX(FILTER('Kế hoạch chèn link (mới)'!$B$3:$B$2213,'Kế hoạch chèn link (mới)'!$D$3:$D$2213=$B210),2),"""")"),"https://techcombank.com/thong-tin/blog/1-trieu-do-bang-bao-nhieu-tien-viet")</f>
        <v>https://techcombank.com/thong-tin/blog/1-trieu-do-bang-bao-nhieu-tien-viet</v>
      </c>
      <c r="K210" s="25" t="str">
        <f>IFERROR(__xludf.DUMMYFUNCTION("IFERROR(INDEX(FILTER('Kế hoạch chèn link (mới)'!$C$3:$C$2213,'Kế hoạch chèn link (mới)'!$D$3:$D$2213=$B210),3),"""")"),"nhận tiền từ nước ngoài")</f>
        <v>nhận tiền từ nước ngoài</v>
      </c>
      <c r="L210" s="25" t="str">
        <f>IFERROR(__xludf.DUMMYFUNCTION("IFERROR(INDEX(FILTER('Kế hoạch chèn link (mới)'!$B$3:$B$2213,'Kế hoạch chèn link (mới)'!$D$3:$D$2213=$B210),3),"""")"),"https://techcombank.com/thong-tin/blog/cach-nhan-tien-tu-nuoc-ngoai-ve-viet-nam")</f>
        <v>https://techcombank.com/thong-tin/blog/cach-nhan-tien-tu-nuoc-ngoai-ve-viet-nam</v>
      </c>
      <c r="M210" s="25" t="str">
        <f>IFERROR(__xludf.DUMMYFUNCTION("IFERROR(INDEX(FILTER('Kế hoạch chèn link (mới)'!$C$3:$C$2213,'Kế hoạch chèn link (mới)'!$D$3:$D$2213=$B210),4),"""")"),"phương pháp đầu tư chứng chỉ quỹ")</f>
        <v>phương pháp đầu tư chứng chỉ quỹ</v>
      </c>
      <c r="N210" s="25" t="str">
        <f>IFERROR(__xludf.DUMMYFUNCTION("IFERROR(INDEX(FILTER('Kế hoạch chèn link (mới)'!$B$3:$B$2213,'Kế hoạch chèn link (mới)'!$D$3:$D$2213=$B210),4),"""")"),"https://techcombank.com/thong-tin/blog/phuong-phap-dau-tu-chung-chi-quy")</f>
        <v>https://techcombank.com/thong-tin/blog/phuong-phap-dau-tu-chung-chi-quy</v>
      </c>
      <c r="O210" s="25" t="str">
        <f>IFERROR(__xludf.DUMMYFUNCTION("IFERROR(INDEX(FILTER('Kế hoạch chèn link (mới)'!$C$3:$C$2213,'Kế hoạch chèn link (mới)'!$D$3:$D$2213=$B210),5),"""")"),"")</f>
        <v/>
      </c>
      <c r="P210" s="25" t="str">
        <f>IFERROR(__xludf.DUMMYFUNCTION("IFERROR(INDEX(FILTER('Kế hoạch chèn link (mới)'!$B$3:$B$2213,'Kế hoạch chèn link (mới)'!$D$3:$D$2213=$B210),5),"""")"),"")</f>
        <v/>
      </c>
    </row>
    <row r="211">
      <c r="A211" s="6">
        <f t="shared" si="1"/>
        <v>210</v>
      </c>
      <c r="B211" s="8" t="s">
        <v>669</v>
      </c>
      <c r="C211" s="6">
        <f>COUNTIF('Kế hoạch chèn link (mới)'!$D$3:$D$2213,$B211)</f>
        <v>5</v>
      </c>
      <c r="D211" s="8" t="str">
        <f>IF(COUNTIFS('Kế hoạch chèn link (mới)'!$D$3:$D$2213,$B211,'Kế hoạch chèn link (mới)'!$I$3:$I$2213,"Đã chèn")&gt;=$C211,"Đã hoàn thành",IF(COUNTIFS('Kế hoạch chèn link (mới)'!$D$3:$D$2213,$B211,'Kế hoạch chèn link (mới)'!$I$3:$I$2213,"Đã chèn")&gt;0,"Đang làm","Chưa hoàn thành"))</f>
        <v>Chưa hoàn thành</v>
      </c>
      <c r="E211" s="8" t="b">
        <f t="shared" si="2"/>
        <v>0</v>
      </c>
      <c r="F211" s="25"/>
      <c r="G211" s="25" t="str">
        <f>IFERROR(__xludf.DUMMYFUNCTION("IFERROR(INDEX(FILTER('Kế hoạch chèn link (mới)'!$C$3:$C$2213,'Kế hoạch chèn link (mới)'!$D$3:$D$2213=$B211),1),"""")"),"nộp thuế online")</f>
        <v>nộp thuế online</v>
      </c>
      <c r="H211" s="25" t="str">
        <f>IFERROR(__xludf.DUMMYFUNCTION("IFERROR(INDEX(FILTER('Kế hoạch chèn link (mới)'!$B$3:$B$2213,'Kế hoạch chèn link (mới)'!$D$3:$D$2213=$B211),1),"""")"),"https://techcombank.com/thong-tin/blog/cach-nop-thue-dien-tu")</f>
        <v>https://techcombank.com/thong-tin/blog/cach-nop-thue-dien-tu</v>
      </c>
      <c r="I211" s="25" t="str">
        <f>IFERROR(__xludf.DUMMYFUNCTION("IFERROR(INDEX(FILTER('Kế hoạch chèn link (mới)'!$C$3:$C$2213,'Kế hoạch chèn link (mới)'!$D$3:$D$2213=$B211),2),"""")"),"thuế thu nhập doanh nghiệp")</f>
        <v>thuế thu nhập doanh nghiệp</v>
      </c>
      <c r="J211" s="25" t="str">
        <f>IFERROR(__xludf.DUMMYFUNCTION("IFERROR(INDEX(FILTER('Kế hoạch chèn link (mới)'!$B$3:$B$2213,'Kế hoạch chèn link (mới)'!$D$3:$D$2213=$B211),2),"""")"),"https://techcombank.com/thong-tin/blog/thue-thu-nhap-doanh-nghiep")</f>
        <v>https://techcombank.com/thong-tin/blog/thue-thu-nhap-doanh-nghiep</v>
      </c>
      <c r="K211" s="25" t="str">
        <f>IFERROR(__xludf.DUMMYFUNCTION("IFERROR(INDEX(FILTER('Kế hoạch chèn link (mới)'!$C$3:$C$2213,'Kế hoạch chèn link (mới)'!$D$3:$D$2213=$B211),3),"""")"),"thuế doanh nghiệp")</f>
        <v>thuế doanh nghiệp</v>
      </c>
      <c r="L211" s="25" t="str">
        <f>IFERROR(__xludf.DUMMYFUNCTION("IFERROR(INDEX(FILTER('Kế hoạch chèn link (mới)'!$B$3:$B$2213,'Kế hoạch chèn link (mới)'!$D$3:$D$2213=$B211),3),"""")"),"https://techcombank.com/thong-tin/blog/thue-doanh-nghiep")</f>
        <v>https://techcombank.com/thong-tin/blog/thue-doanh-nghiep</v>
      </c>
      <c r="M211" s="25" t="str">
        <f>IFERROR(__xludf.DUMMYFUNCTION("IFERROR(INDEX(FILTER('Kế hoạch chèn link (mới)'!$C$3:$C$2213,'Kế hoạch chèn link (mới)'!$D$3:$D$2213=$B211),4),"""")"),"cách tính thuế thu nhập doanh nghiệp")</f>
        <v>cách tính thuế thu nhập doanh nghiệp</v>
      </c>
      <c r="N211" s="25" t="str">
        <f>IFERROR(__xludf.DUMMYFUNCTION("IFERROR(INDEX(FILTER('Kế hoạch chèn link (mới)'!$B$3:$B$2213,'Kế hoạch chèn link (mới)'!$D$3:$D$2213=$B211),4),"""")"),"https://techcombank.com/thong-tin/blog/cach-tinh-thue-thu-nhap-doanh-nghiep")</f>
        <v>https://techcombank.com/thong-tin/blog/cach-tinh-thue-thu-nhap-doanh-nghiep</v>
      </c>
      <c r="O211" s="25" t="str">
        <f>IFERROR(__xludf.DUMMYFUNCTION("IFERROR(INDEX(FILTER('Kế hoạch chèn link (mới)'!$C$3:$C$2213,'Kế hoạch chèn link (mới)'!$D$3:$D$2213=$B211),5),"""")"),"vay")</f>
        <v>vay</v>
      </c>
      <c r="P211" s="25" t="str">
        <f>IFERROR(__xludf.DUMMYFUNCTION("IFERROR(INDEX(FILTER('Kế hoạch chèn link (mới)'!$B$3:$B$2213,'Kế hoạch chèn link (mới)'!$D$3:$D$2213=$B211),5),"""")"),"https://techcombank.com/thong-tin/blog/app-vay-tien-nhanh")</f>
        <v>https://techcombank.com/thong-tin/blog/app-vay-tien-nhanh</v>
      </c>
    </row>
    <row r="212">
      <c r="A212" s="6">
        <f t="shared" si="1"/>
        <v>211</v>
      </c>
      <c r="B212" s="8" t="s">
        <v>1047</v>
      </c>
      <c r="C212" s="6">
        <f>COUNTIF('Kế hoạch chèn link (mới)'!$D$3:$D$2213,$B212)</f>
        <v>5</v>
      </c>
      <c r="D212" s="8" t="str">
        <f>IF(COUNTIFS('Kế hoạch chèn link (mới)'!$D$3:$D$2213,$B212,'Kế hoạch chèn link (mới)'!$I$3:$I$2213,"Đã chèn")&gt;=$C212,"Đã hoàn thành",IF(COUNTIFS('Kế hoạch chèn link (mới)'!$D$3:$D$2213,$B212,'Kế hoạch chèn link (mới)'!$I$3:$I$2213,"Đã chèn")&gt;0,"Đang làm","Chưa hoàn thành"))</f>
        <v>Chưa hoàn thành</v>
      </c>
      <c r="E212" s="8" t="b">
        <f t="shared" si="2"/>
        <v>0</v>
      </c>
      <c r="F212" s="25"/>
      <c r="G212" s="25" t="str">
        <f>IFERROR(__xludf.DUMMYFUNCTION("IFERROR(INDEX(FILTER('Kế hoạch chèn link (mới)'!$C$3:$C$2213,'Kế hoạch chèn link (mới)'!$D$3:$D$2213=$B212),1),"""")"),"tỷ giá Nhân dân tệ")</f>
        <v>tỷ giá Nhân dân tệ</v>
      </c>
      <c r="H212" s="25" t="str">
        <f>IFERROR(__xludf.DUMMYFUNCTION("IFERROR(INDEX(FILTER('Kế hoạch chèn link (mới)'!$B$3:$B$2213,'Kế hoạch chèn link (mới)'!$D$3:$D$2213=$B212),1),"""")"),"https://techcombank.com/thong-tin/blog/1-te-bang-bao-nhieu-tien-viet-nam")</f>
        <v>https://techcombank.com/thong-tin/blog/1-te-bang-bao-nhieu-tien-viet-nam</v>
      </c>
      <c r="I212" s="25" t="str">
        <f>IFERROR(__xludf.DUMMYFUNCTION("IFERROR(INDEX(FILTER('Kế hoạch chèn link (mới)'!$C$3:$C$2213,'Kế hoạch chèn link (mới)'!$D$3:$D$2213=$B212),2),"""")"),"tỷ giá Yên Nhật")</f>
        <v>tỷ giá Yên Nhật</v>
      </c>
      <c r="J212" s="25" t="str">
        <f>IFERROR(__xludf.DUMMYFUNCTION("IFERROR(INDEX(FILTER('Kế hoạch chèn link (mới)'!$B$3:$B$2213,'Kế hoạch chèn link (mới)'!$D$3:$D$2213=$B212),2),"""")"),"https://techcombank.com/thong-tin/blog/1-yen-bang-bao-nhieu-tien-viet-nam")</f>
        <v>https://techcombank.com/thong-tin/blog/1-yen-bang-bao-nhieu-tien-viet-nam</v>
      </c>
      <c r="K212" s="25" t="str">
        <f>IFERROR(__xludf.DUMMYFUNCTION("IFERROR(INDEX(FILTER('Kế hoạch chèn link (mới)'!$C$3:$C$2213,'Kế hoạch chèn link (mới)'!$D$3:$D$2213=$B212),3),"""")"),"tỷ giá Won")</f>
        <v>tỷ giá Won</v>
      </c>
      <c r="L212" s="25" t="str">
        <f>IFERROR(__xludf.DUMMYFUNCTION("IFERROR(INDEX(FILTER('Kế hoạch chèn link (mới)'!$B$3:$B$2213,'Kế hoạch chèn link (mới)'!$D$3:$D$2213=$B212),3),"""")"),"https://techcombank.com/thong-tin/blog/1-won-bang-bao-nhieu-tien-viet")</f>
        <v>https://techcombank.com/thong-tin/blog/1-won-bang-bao-nhieu-tien-viet</v>
      </c>
      <c r="M212" s="25" t="str">
        <f>IFERROR(__xludf.DUMMYFUNCTION("IFERROR(INDEX(FILTER('Kế hoạch chèn link (mới)'!$C$3:$C$2213,'Kế hoạch chèn link (mới)'!$D$3:$D$2213=$B212),4),"""")"),"tỷ giá Đài tệ")</f>
        <v>tỷ giá Đài tệ</v>
      </c>
      <c r="N212" s="25" t="str">
        <f>IFERROR(__xludf.DUMMYFUNCTION("IFERROR(INDEX(FILTER('Kế hoạch chèn link (mới)'!$B$3:$B$2213,'Kế hoạch chèn link (mới)'!$D$3:$D$2213=$B212),4),"""")"),"https://techcombank.com/thong-tin/blog/tien-dai-loan")</f>
        <v>https://techcombank.com/thong-tin/blog/tien-dai-loan</v>
      </c>
      <c r="O212" s="25" t="str">
        <f>IFERROR(__xludf.DUMMYFUNCTION("IFERROR(INDEX(FILTER('Kế hoạch chèn link (mới)'!$C$3:$C$2213,'Kế hoạch chèn link (mới)'!$D$3:$D$2213=$B212),5),"""")"),"1 triệu đô bằng bao nhiêu tiền Việt")</f>
        <v>1 triệu đô bằng bao nhiêu tiền Việt</v>
      </c>
      <c r="P212" s="25" t="str">
        <f>IFERROR(__xludf.DUMMYFUNCTION("IFERROR(INDEX(FILTER('Kế hoạch chèn link (mới)'!$B$3:$B$2213,'Kế hoạch chèn link (mới)'!$D$3:$D$2213=$B212),5),"""")"),"https://techcombank.com/thong-tin/blog/1-trieu-do-bang-bao-nhieu-tien-viet")</f>
        <v>https://techcombank.com/thong-tin/blog/1-trieu-do-bang-bao-nhieu-tien-viet</v>
      </c>
    </row>
    <row r="213">
      <c r="A213" s="6">
        <f t="shared" si="1"/>
        <v>212</v>
      </c>
      <c r="B213" s="8" t="s">
        <v>98</v>
      </c>
      <c r="C213" s="6">
        <f>COUNTIF('Kế hoạch chèn link (mới)'!$D$3:$D$2213,$B213)</f>
        <v>2</v>
      </c>
      <c r="D213" s="8" t="str">
        <f>IF(COUNTIFS('Kế hoạch chèn link (mới)'!$D$3:$D$2213,$B213,'Kế hoạch chèn link (mới)'!$I$3:$I$2213,"Đã chèn")&gt;=$C213,"Đã hoàn thành",IF(COUNTIFS('Kế hoạch chèn link (mới)'!$D$3:$D$2213,$B213,'Kế hoạch chèn link (mới)'!$I$3:$I$2213,"Đã chèn")&gt;0,"Đang làm","Chưa hoàn thành"))</f>
        <v>Chưa hoàn thành</v>
      </c>
      <c r="E213" s="8" t="b">
        <f t="shared" si="2"/>
        <v>0</v>
      </c>
      <c r="F213" s="25"/>
      <c r="G213" s="25" t="str">
        <f>IFERROR(__xludf.DUMMYFUNCTION("IFERROR(INDEX(FILTER('Kế hoạch chèn link (mới)'!$C$3:$C$2213,'Kế hoạch chèn link (mới)'!$D$3:$D$2213=$B213),1),"""")"),"lãi suất vay mua ô tô")</f>
        <v>lãi suất vay mua ô tô</v>
      </c>
      <c r="H213" s="25" t="str">
        <f>IFERROR(__xludf.DUMMYFUNCTION("IFERROR(INDEX(FILTER('Kế hoạch chèn link (mới)'!$B$3:$B$2213,'Kế hoạch chèn link (mới)'!$D$3:$D$2213=$B213),1),"""")"),"https://techcombank.com/thong-tin/blog/lai-suat-vay-mua-o-to")</f>
        <v>https://techcombank.com/thong-tin/blog/lai-suat-vay-mua-o-to</v>
      </c>
      <c r="I213" s="25" t="str">
        <f>IFERROR(__xludf.DUMMYFUNCTION("IFERROR(INDEX(FILTER('Kế hoạch chèn link (mới)'!$C$3:$C$2213,'Kế hoạch chèn link (mới)'!$D$3:$D$2213=$B213),2),"""")"),"vay")</f>
        <v>vay</v>
      </c>
      <c r="J213" s="25" t="str">
        <f>IFERROR(__xludf.DUMMYFUNCTION("IFERROR(INDEX(FILTER('Kế hoạch chèn link (mới)'!$B$3:$B$2213,'Kế hoạch chèn link (mới)'!$D$3:$D$2213=$B213),2),"""")"),"https://techcombank.com/thong-tin/blog/app-vay-tien-nhanh")</f>
        <v>https://techcombank.com/thong-tin/blog/app-vay-tien-nhanh</v>
      </c>
      <c r="K213" s="25" t="str">
        <f>IFERROR(__xludf.DUMMYFUNCTION("IFERROR(INDEX(FILTER('Kế hoạch chèn link (mới)'!$C$3:$C$2213,'Kế hoạch chèn link (mới)'!$D$3:$D$2213=$B213),3),"""")"),"")</f>
        <v/>
      </c>
      <c r="L213" s="25" t="str">
        <f>IFERROR(__xludf.DUMMYFUNCTION("IFERROR(INDEX(FILTER('Kế hoạch chèn link (mới)'!$B$3:$B$2213,'Kế hoạch chèn link (mới)'!$D$3:$D$2213=$B213),3),"""")"),"")</f>
        <v/>
      </c>
      <c r="M213" s="25" t="str">
        <f>IFERROR(__xludf.DUMMYFUNCTION("IFERROR(INDEX(FILTER('Kế hoạch chèn link (mới)'!$C$3:$C$2213,'Kế hoạch chèn link (mới)'!$D$3:$D$2213=$B213),4),"""")"),"")</f>
        <v/>
      </c>
      <c r="N213" s="25" t="str">
        <f>IFERROR(__xludf.DUMMYFUNCTION("IFERROR(INDEX(FILTER('Kế hoạch chèn link (mới)'!$B$3:$B$2213,'Kế hoạch chèn link (mới)'!$D$3:$D$2213=$B213),4),"""")"),"")</f>
        <v/>
      </c>
      <c r="O213" s="25" t="str">
        <f>IFERROR(__xludf.DUMMYFUNCTION("IFERROR(INDEX(FILTER('Kế hoạch chèn link (mới)'!$C$3:$C$2213,'Kế hoạch chèn link (mới)'!$D$3:$D$2213=$B213),5),"""")"),"")</f>
        <v/>
      </c>
      <c r="P213" s="25" t="str">
        <f>IFERROR(__xludf.DUMMYFUNCTION("IFERROR(INDEX(FILTER('Kế hoạch chèn link (mới)'!$B$3:$B$2213,'Kế hoạch chèn link (mới)'!$D$3:$D$2213=$B213),5),"""")"),"")</f>
        <v/>
      </c>
    </row>
    <row r="214">
      <c r="A214" s="6">
        <f t="shared" si="1"/>
        <v>213</v>
      </c>
      <c r="B214" s="8" t="s">
        <v>2841</v>
      </c>
      <c r="C214" s="6">
        <f>COUNTIF('Kế hoạch chèn link (mới)'!$D$3:$D$2213,$B214)</f>
        <v>1</v>
      </c>
      <c r="D214" s="8" t="str">
        <f>IF(COUNTIFS('Kế hoạch chèn link (mới)'!$D$3:$D$2213,$B214,'Kế hoạch chèn link (mới)'!$I$3:$I$2213,"Đã chèn")&gt;=$C214,"Đã hoàn thành",IF(COUNTIFS('Kế hoạch chèn link (mới)'!$D$3:$D$2213,$B214,'Kế hoạch chèn link (mới)'!$I$3:$I$2213,"Đã chèn")&gt;0,"Đang làm","Chưa hoàn thành"))</f>
        <v>Chưa hoàn thành</v>
      </c>
      <c r="E214" s="8" t="b">
        <f t="shared" si="2"/>
        <v>0</v>
      </c>
      <c r="F214" s="25"/>
      <c r="G214" s="25" t="str">
        <f>IFERROR(__xludf.DUMMYFUNCTION("IFERROR(INDEX(FILTER('Kế hoạch chèn link (mới)'!$C$3:$C$2213,'Kế hoạch chèn link (mới)'!$D$3:$D$2213=$B214),1),"""")"),"vay tiền")</f>
        <v>vay tiền</v>
      </c>
      <c r="H214" s="25" t="str">
        <f>IFERROR(__xludf.DUMMYFUNCTION("IFERROR(INDEX(FILTER('Kế hoạch chèn link (mới)'!$B$3:$B$2213,'Kế hoạch chèn link (mới)'!$D$3:$D$2213=$B214),1),"""")"),"https://techcombank.com/thong-tin/blog/app-vay-tien-nhanh")</f>
        <v>https://techcombank.com/thong-tin/blog/app-vay-tien-nhanh</v>
      </c>
      <c r="I214" s="25" t="str">
        <f>IFERROR(__xludf.DUMMYFUNCTION("IFERROR(INDEX(FILTER('Kế hoạch chèn link (mới)'!$C$3:$C$2213,'Kế hoạch chèn link (mới)'!$D$3:$D$2213=$B214),2),"""")"),"")</f>
        <v/>
      </c>
      <c r="J214" s="25" t="str">
        <f>IFERROR(__xludf.DUMMYFUNCTION("IFERROR(INDEX(FILTER('Kế hoạch chèn link (mới)'!$B$3:$B$2213,'Kế hoạch chèn link (mới)'!$D$3:$D$2213=$B214),2),"""")"),"")</f>
        <v/>
      </c>
      <c r="K214" s="25" t="str">
        <f>IFERROR(__xludf.DUMMYFUNCTION("IFERROR(INDEX(FILTER('Kế hoạch chèn link (mới)'!$C$3:$C$2213,'Kế hoạch chèn link (mới)'!$D$3:$D$2213=$B214),3),"""")"),"")</f>
        <v/>
      </c>
      <c r="L214" s="25" t="str">
        <f>IFERROR(__xludf.DUMMYFUNCTION("IFERROR(INDEX(FILTER('Kế hoạch chèn link (mới)'!$B$3:$B$2213,'Kế hoạch chèn link (mới)'!$D$3:$D$2213=$B214),3),"""")"),"")</f>
        <v/>
      </c>
      <c r="M214" s="25" t="str">
        <f>IFERROR(__xludf.DUMMYFUNCTION("IFERROR(INDEX(FILTER('Kế hoạch chèn link (mới)'!$C$3:$C$2213,'Kế hoạch chèn link (mới)'!$D$3:$D$2213=$B214),4),"""")"),"")</f>
        <v/>
      </c>
      <c r="N214" s="25" t="str">
        <f>IFERROR(__xludf.DUMMYFUNCTION("IFERROR(INDEX(FILTER('Kế hoạch chèn link (mới)'!$B$3:$B$2213,'Kế hoạch chèn link (mới)'!$D$3:$D$2213=$B214),4),"""")"),"")</f>
        <v/>
      </c>
      <c r="O214" s="25" t="str">
        <f>IFERROR(__xludf.DUMMYFUNCTION("IFERROR(INDEX(FILTER('Kế hoạch chèn link (mới)'!$C$3:$C$2213,'Kế hoạch chèn link (mới)'!$D$3:$D$2213=$B214),5),"""")"),"")</f>
        <v/>
      </c>
      <c r="P214" s="25" t="str">
        <f>IFERROR(__xludf.DUMMYFUNCTION("IFERROR(INDEX(FILTER('Kế hoạch chèn link (mới)'!$B$3:$B$2213,'Kế hoạch chèn link (mới)'!$D$3:$D$2213=$B214),5),"""")"),"")</f>
        <v/>
      </c>
    </row>
    <row r="215">
      <c r="A215" s="6">
        <f t="shared" si="1"/>
        <v>214</v>
      </c>
      <c r="B215" s="8" t="s">
        <v>656</v>
      </c>
      <c r="C215" s="6">
        <f>COUNTIF('Kế hoạch chèn link (mới)'!$D$3:$D$2213,$B215)</f>
        <v>4</v>
      </c>
      <c r="D215" s="8" t="str">
        <f>IF(COUNTIFS('Kế hoạch chèn link (mới)'!$D$3:$D$2213,$B215,'Kế hoạch chèn link (mới)'!$I$3:$I$2213,"Đã chèn")&gt;=$C215,"Đã hoàn thành",IF(COUNTIFS('Kế hoạch chèn link (mới)'!$D$3:$D$2213,$B215,'Kế hoạch chèn link (mới)'!$I$3:$I$2213,"Đã chèn")&gt;0,"Đang làm","Chưa hoàn thành"))</f>
        <v>Chưa hoàn thành</v>
      </c>
      <c r="E215" s="8" t="b">
        <f t="shared" si="2"/>
        <v>0</v>
      </c>
      <c r="F215" s="25"/>
      <c r="G215" s="25" t="str">
        <f>IFERROR(__xludf.DUMMYFUNCTION("IFERROR(INDEX(FILTER('Kế hoạch chèn link (mới)'!$C$3:$C$2213,'Kế hoạch chèn link (mới)'!$D$3:$D$2213=$B215),1),"""")"),"nộp thuế online")</f>
        <v>nộp thuế online</v>
      </c>
      <c r="H215" s="25" t="str">
        <f>IFERROR(__xludf.DUMMYFUNCTION("IFERROR(INDEX(FILTER('Kế hoạch chèn link (mới)'!$B$3:$B$2213,'Kế hoạch chèn link (mới)'!$D$3:$D$2213=$B215),1),"""")"),"https://techcombank.com/thong-tin/blog/cach-nop-thue-dien-tu")</f>
        <v>https://techcombank.com/thong-tin/blog/cach-nop-thue-dien-tu</v>
      </c>
      <c r="I215" s="25" t="str">
        <f>IFERROR(__xludf.DUMMYFUNCTION("IFERROR(INDEX(FILTER('Kế hoạch chèn link (mới)'!$C$3:$C$2213,'Kế hoạch chèn link (mới)'!$D$3:$D$2213=$B215),2),"""")"),"tra cứu nợ thuế theo mã số thuế")</f>
        <v>tra cứu nợ thuế theo mã số thuế</v>
      </c>
      <c r="J215" s="25" t="str">
        <f>IFERROR(__xludf.DUMMYFUNCTION("IFERROR(INDEX(FILTER('Kế hoạch chèn link (mới)'!$B$3:$B$2213,'Kế hoạch chèn link (mới)'!$D$3:$D$2213=$B215),2),"""")"),"https://techcombank.com/thong-tin/blog/tra-cuu-no-thue-doanh-nghiep")</f>
        <v>https://techcombank.com/thong-tin/blog/tra-cuu-no-thue-doanh-nghiep</v>
      </c>
      <c r="K215" s="25" t="str">
        <f>IFERROR(__xludf.DUMMYFUNCTION("IFERROR(INDEX(FILTER('Kế hoạch chèn link (mới)'!$C$3:$C$2213,'Kế hoạch chèn link (mới)'!$D$3:$D$2213=$B215),3),"""")"),"thuế thu nhập cá nhân")</f>
        <v>thuế thu nhập cá nhân</v>
      </c>
      <c r="L215" s="25" t="str">
        <f>IFERROR(__xludf.DUMMYFUNCTION("IFERROR(INDEX(FILTER('Kế hoạch chèn link (mới)'!$B$3:$B$2213,'Kế hoạch chèn link (mới)'!$D$3:$D$2213=$B215),3),"""")"),"https://techcombank.com/thong-tin/blog/cach-tinh-thue-thu-nhap-ca-nhan-2025")</f>
        <v>https://techcombank.com/thong-tin/blog/cach-tinh-thue-thu-nhap-ca-nhan-2025</v>
      </c>
      <c r="M215" s="25" t="str">
        <f>IFERROR(__xludf.DUMMYFUNCTION("IFERROR(INDEX(FILTER('Kế hoạch chèn link (mới)'!$C$3:$C$2213,'Kế hoạch chèn link (mới)'!$D$3:$D$2213=$B215),4),"""")"),"thuế hộ kinh doanh")</f>
        <v>thuế hộ kinh doanh</v>
      </c>
      <c r="N215" s="25" t="str">
        <f>IFERROR(__xludf.DUMMYFUNCTION("IFERROR(INDEX(FILTER('Kế hoạch chèn link (mới)'!$B$3:$B$2213,'Kế hoạch chèn link (mới)'!$D$3:$D$2213=$B215),4),"""")"),"https://techcombank.com/thong-tin/blog/ho-kinh-doanh-dong-thue-nhu-nao")</f>
        <v>https://techcombank.com/thong-tin/blog/ho-kinh-doanh-dong-thue-nhu-nao</v>
      </c>
      <c r="O215" s="25" t="str">
        <f>IFERROR(__xludf.DUMMYFUNCTION("IFERROR(INDEX(FILTER('Kế hoạch chèn link (mới)'!$C$3:$C$2213,'Kế hoạch chèn link (mới)'!$D$3:$D$2213=$B215),5),"""")"),"")</f>
        <v/>
      </c>
      <c r="P215" s="25" t="str">
        <f>IFERROR(__xludf.DUMMYFUNCTION("IFERROR(INDEX(FILTER('Kế hoạch chèn link (mới)'!$B$3:$B$2213,'Kế hoạch chèn link (mới)'!$D$3:$D$2213=$B215),5),"""")"),"")</f>
        <v/>
      </c>
    </row>
    <row r="216">
      <c r="A216" s="6">
        <f t="shared" si="1"/>
        <v>215</v>
      </c>
      <c r="B216" s="8" t="s">
        <v>868</v>
      </c>
      <c r="C216" s="6">
        <f>COUNTIF('Kế hoạch chèn link (mới)'!$D$3:$D$2213,$B216)</f>
        <v>3</v>
      </c>
      <c r="D216" s="8" t="str">
        <f>IF(COUNTIFS('Kế hoạch chèn link (mới)'!$D$3:$D$2213,$B216,'Kế hoạch chèn link (mới)'!$I$3:$I$2213,"Đã chèn")&gt;=$C216,"Đã hoàn thành",IF(COUNTIFS('Kế hoạch chèn link (mới)'!$D$3:$D$2213,$B216,'Kế hoạch chèn link (mới)'!$I$3:$I$2213,"Đã chèn")&gt;0,"Đang làm","Chưa hoàn thành"))</f>
        <v>Chưa hoàn thành</v>
      </c>
      <c r="E216" s="8" t="b">
        <f t="shared" si="2"/>
        <v>0</v>
      </c>
      <c r="F216" s="25"/>
      <c r="G216" s="25" t="str">
        <f>IFERROR(__xludf.DUMMYFUNCTION("IFERROR(INDEX(FILTER('Kế hoạch chèn link (mới)'!$C$3:$C$2213,'Kế hoạch chèn link (mới)'!$D$3:$D$2213=$B216),1),"""")"),"thuế thu nhập doanh nghiệp")</f>
        <v>thuế thu nhập doanh nghiệp</v>
      </c>
      <c r="H216" s="25" t="str">
        <f>IFERROR(__xludf.DUMMYFUNCTION("IFERROR(INDEX(FILTER('Kế hoạch chèn link (mới)'!$B$3:$B$2213,'Kế hoạch chèn link (mới)'!$D$3:$D$2213=$B216),1),"""")"),"https://techcombank.com/thong-tin/blog/thue-thu-nhap-doanh-nghiep")</f>
        <v>https://techcombank.com/thong-tin/blog/thue-thu-nhap-doanh-nghiep</v>
      </c>
      <c r="I216" s="25" t="str">
        <f>IFERROR(__xludf.DUMMYFUNCTION("IFERROR(INDEX(FILTER('Kế hoạch chèn link (mới)'!$C$3:$C$2213,'Kế hoạch chèn link (mới)'!$D$3:$D$2213=$B216),2),"""")"),"công ty sử dụng tài khoản cá nhân")</f>
        <v>công ty sử dụng tài khoản cá nhân</v>
      </c>
      <c r="J216" s="25" t="str">
        <f>IFERROR(__xludf.DUMMYFUNCTION("IFERROR(INDEX(FILTER('Kế hoạch chèn link (mới)'!$B$3:$B$2213,'Kế hoạch chèn link (mới)'!$D$3:$D$2213=$B216),2),"""")"),"https://techcombank.com/thong-tin/blog/cong-ty-su-dung-tai-khoan-ca-nhan")</f>
        <v>https://techcombank.com/thong-tin/blog/cong-ty-su-dung-tai-khoan-ca-nhan</v>
      </c>
      <c r="K216" s="25" t="str">
        <f>IFERROR(__xludf.DUMMYFUNCTION("IFERROR(INDEX(FILTER('Kế hoạch chèn link (mới)'!$C$3:$C$2213,'Kế hoạch chèn link (mới)'!$D$3:$D$2213=$B216),3),"""")"),"mở tài khoản ngân hàng online")</f>
        <v>mở tài khoản ngân hàng online</v>
      </c>
      <c r="L216" s="25" t="str">
        <f>IFERROR(__xludf.DUMMYFUNCTION("IFERROR(INDEX(FILTER('Kế hoạch chèn link (mới)'!$B$3:$B$2213,'Kế hoạch chèn link (mới)'!$D$3:$D$2213=$B216),3),"""")"),"https://techcombank.com/thong-tin/blog/cach-mo-tai-khoan")</f>
        <v>https://techcombank.com/thong-tin/blog/cach-mo-tai-khoan</v>
      </c>
      <c r="M216" s="25" t="str">
        <f>IFERROR(__xludf.DUMMYFUNCTION("IFERROR(INDEX(FILTER('Kế hoạch chèn link (mới)'!$C$3:$C$2213,'Kế hoạch chèn link (mới)'!$D$3:$D$2213=$B216),4),"""")"),"")</f>
        <v/>
      </c>
      <c r="N216" s="25" t="str">
        <f>IFERROR(__xludf.DUMMYFUNCTION("IFERROR(INDEX(FILTER('Kế hoạch chèn link (mới)'!$B$3:$B$2213,'Kế hoạch chèn link (mới)'!$D$3:$D$2213=$B216),4),"""")"),"")</f>
        <v/>
      </c>
      <c r="O216" s="25" t="str">
        <f>IFERROR(__xludf.DUMMYFUNCTION("IFERROR(INDEX(FILTER('Kế hoạch chèn link (mới)'!$C$3:$C$2213,'Kế hoạch chèn link (mới)'!$D$3:$D$2213=$B216),5),"""")"),"")</f>
        <v/>
      </c>
      <c r="P216" s="25" t="str">
        <f>IFERROR(__xludf.DUMMYFUNCTION("IFERROR(INDEX(FILTER('Kế hoạch chèn link (mới)'!$B$3:$B$2213,'Kế hoạch chèn link (mới)'!$D$3:$D$2213=$B216),5),"""")"),"")</f>
        <v/>
      </c>
    </row>
    <row r="217">
      <c r="A217" s="6">
        <f t="shared" si="1"/>
        <v>216</v>
      </c>
      <c r="B217" s="8" t="s">
        <v>2845</v>
      </c>
      <c r="C217" s="6">
        <f>COUNTIF('Kế hoạch chèn link (mới)'!$D$3:$D$2213,$B217)</f>
        <v>2</v>
      </c>
      <c r="D217" s="8" t="str">
        <f>IF(COUNTIFS('Kế hoạch chèn link (mới)'!$D$3:$D$2213,$B217,'Kế hoạch chèn link (mới)'!$I$3:$I$2213,"Đã chèn")&gt;=$C217,"Đã hoàn thành",IF(COUNTIFS('Kế hoạch chèn link (mới)'!$D$3:$D$2213,$B217,'Kế hoạch chèn link (mới)'!$I$3:$I$2213,"Đã chèn")&gt;0,"Đang làm","Chưa hoàn thành"))</f>
        <v>Chưa hoàn thành</v>
      </c>
      <c r="E217" s="8" t="b">
        <f t="shared" si="2"/>
        <v>0</v>
      </c>
      <c r="F217" s="25"/>
      <c r="G217" s="25" t="str">
        <f>IFERROR(__xludf.DUMMYFUNCTION("IFERROR(INDEX(FILTER('Kế hoạch chèn link (mới)'!$C$3:$C$2213,'Kế hoạch chèn link (mới)'!$D$3:$D$2213=$B217),1),"""")"),"tỷ giá USD/VND")</f>
        <v>tỷ giá USD/VND</v>
      </c>
      <c r="H217" s="25" t="str">
        <f>IFERROR(__xludf.DUMMYFUNCTION("IFERROR(INDEX(FILTER('Kế hoạch chèn link (mới)'!$B$3:$B$2213,'Kế hoạch chèn link (mới)'!$D$3:$D$2213=$B217),1),"""")"),"https://techcombank.com/thong-tin/blog/1-dong-do-la-my-bang-bao-nhieu-tien-viet-nam")</f>
        <v>https://techcombank.com/thong-tin/blog/1-dong-do-la-my-bang-bao-nhieu-tien-viet-nam</v>
      </c>
      <c r="I217" s="25" t="str">
        <f>IFERROR(__xludf.DUMMYFUNCTION("IFERROR(INDEX(FILTER('Kế hoạch chèn link (mới)'!$C$3:$C$2213,'Kế hoạch chèn link (mới)'!$D$3:$D$2213=$B217),2),"""")"),"1 triệu đô bằng bao nhiêu tiền Việt")</f>
        <v>1 triệu đô bằng bao nhiêu tiền Việt</v>
      </c>
      <c r="J217" s="25" t="str">
        <f>IFERROR(__xludf.DUMMYFUNCTION("IFERROR(INDEX(FILTER('Kế hoạch chèn link (mới)'!$B$3:$B$2213,'Kế hoạch chèn link (mới)'!$D$3:$D$2213=$B217),2),"""")"),"https://techcombank.com/thong-tin/blog/1-trieu-do-bang-bao-nhieu-tien-viet")</f>
        <v>https://techcombank.com/thong-tin/blog/1-trieu-do-bang-bao-nhieu-tien-viet</v>
      </c>
      <c r="K217" s="25" t="str">
        <f>IFERROR(__xludf.DUMMYFUNCTION("IFERROR(INDEX(FILTER('Kế hoạch chèn link (mới)'!$C$3:$C$2213,'Kế hoạch chèn link (mới)'!$D$3:$D$2213=$B217),3),"""")"),"")</f>
        <v/>
      </c>
      <c r="L217" s="25" t="str">
        <f>IFERROR(__xludf.DUMMYFUNCTION("IFERROR(INDEX(FILTER('Kế hoạch chèn link (mới)'!$B$3:$B$2213,'Kế hoạch chèn link (mới)'!$D$3:$D$2213=$B217),3),"""")"),"")</f>
        <v/>
      </c>
      <c r="M217" s="25" t="str">
        <f>IFERROR(__xludf.DUMMYFUNCTION("IFERROR(INDEX(FILTER('Kế hoạch chèn link (mới)'!$C$3:$C$2213,'Kế hoạch chèn link (mới)'!$D$3:$D$2213=$B217),4),"""")"),"")</f>
        <v/>
      </c>
      <c r="N217" s="25" t="str">
        <f>IFERROR(__xludf.DUMMYFUNCTION("IFERROR(INDEX(FILTER('Kế hoạch chèn link (mới)'!$B$3:$B$2213,'Kế hoạch chèn link (mới)'!$D$3:$D$2213=$B217),4),"""")"),"")</f>
        <v/>
      </c>
      <c r="O217" s="25" t="str">
        <f>IFERROR(__xludf.DUMMYFUNCTION("IFERROR(INDEX(FILTER('Kế hoạch chèn link (mới)'!$C$3:$C$2213,'Kế hoạch chèn link (mới)'!$D$3:$D$2213=$B217),5),"""")"),"")</f>
        <v/>
      </c>
      <c r="P217" s="25" t="str">
        <f>IFERROR(__xludf.DUMMYFUNCTION("IFERROR(INDEX(FILTER('Kế hoạch chèn link (mới)'!$B$3:$B$2213,'Kế hoạch chèn link (mới)'!$D$3:$D$2213=$B217),5),"""")"),"")</f>
        <v/>
      </c>
    </row>
    <row r="218">
      <c r="A218" s="6">
        <f t="shared" si="1"/>
        <v>217</v>
      </c>
      <c r="B218" s="8" t="s">
        <v>2846</v>
      </c>
      <c r="C218" s="6">
        <f>COUNTIF('Kế hoạch chèn link (mới)'!$D$3:$D$2213,$B218)</f>
        <v>5</v>
      </c>
      <c r="D218" s="8" t="str">
        <f>IF(COUNTIFS('Kế hoạch chèn link (mới)'!$D$3:$D$2213,$B218,'Kế hoạch chèn link (mới)'!$I$3:$I$2213,"Đã chèn")&gt;=$C218,"Đã hoàn thành",IF(COUNTIFS('Kế hoạch chèn link (mới)'!$D$3:$D$2213,$B218,'Kế hoạch chèn link (mới)'!$I$3:$I$2213,"Đã chèn")&gt;0,"Đang làm","Chưa hoàn thành"))</f>
        <v>Chưa hoàn thành</v>
      </c>
      <c r="E218" s="8" t="b">
        <f t="shared" si="2"/>
        <v>0</v>
      </c>
      <c r="F218" s="25"/>
      <c r="G218" s="25" t="str">
        <f>IFERROR(__xludf.DUMMYFUNCTION("IFERROR(INDEX(FILTER('Kế hoạch chèn link (mới)'!$C$3:$C$2213,'Kế hoạch chèn link (mới)'!$D$3:$D$2213=$B218),1),"""")"),"cic là gì")</f>
        <v>cic là gì</v>
      </c>
      <c r="H218" s="25" t="str">
        <f>IFERROR(__xludf.DUMMYFUNCTION("IFERROR(INDEX(FILTER('Kế hoạch chèn link (mới)'!$B$3:$B$2213,'Kế hoạch chèn link (mới)'!$D$3:$D$2213=$B218),1),"""")"),"https://techcombank.com/thong-tin/blog/cic-la-gi")</f>
        <v>https://techcombank.com/thong-tin/blog/cic-la-gi</v>
      </c>
      <c r="I218" s="25" t="str">
        <f>IFERROR(__xludf.DUMMYFUNCTION("IFERROR(INDEX(FILTER('Kế hoạch chèn link (mới)'!$C$3:$C$2213,'Kế hoạch chèn link (mới)'!$D$3:$D$2213=$B218),2),"""")"),"trả nợ thẻ tín dụng")</f>
        <v>trả nợ thẻ tín dụng</v>
      </c>
      <c r="J218" s="25" t="str">
        <f>IFERROR(__xludf.DUMMYFUNCTION("IFERROR(INDEX(FILTER('Kế hoạch chèn link (mới)'!$B$3:$B$2213,'Kế hoạch chèn link (mới)'!$D$3:$D$2213=$B218),2),"""")"),"https://techcombank.com/thong-tin/blog/cach-thanh-toan-the-tin-dung")</f>
        <v>https://techcombank.com/thong-tin/blog/cach-thanh-toan-the-tin-dung</v>
      </c>
      <c r="K218" s="25" t="str">
        <f>IFERROR(__xludf.DUMMYFUNCTION("IFERROR(INDEX(FILTER('Kế hoạch chèn link (mới)'!$C$3:$C$2213,'Kế hoạch chèn link (mới)'!$D$3:$D$2213=$B218),3),"""")"),"cách tính lãi suất vay")</f>
        <v>cách tính lãi suất vay</v>
      </c>
      <c r="L218" s="25" t="str">
        <f>IFERROR(__xludf.DUMMYFUNCTION("IFERROR(INDEX(FILTER('Kế hoạch chèn link (mới)'!$B$3:$B$2213,'Kế hoạch chèn link (mới)'!$D$3:$D$2213=$B218),3),"""")"),"https://techcombank.com/thong-tin/blog/cach-tinh-lai-vay-ngan-hang")</f>
        <v>https://techcombank.com/thong-tin/blog/cach-tinh-lai-vay-ngan-hang</v>
      </c>
      <c r="M218" s="25" t="str">
        <f>IFERROR(__xludf.DUMMYFUNCTION("IFERROR(INDEX(FILTER('Kế hoạch chèn link (mới)'!$C$3:$C$2213,'Kế hoạch chèn link (mới)'!$D$3:$D$2213=$B218),4),"""")"),"vay tiền")</f>
        <v>vay tiền</v>
      </c>
      <c r="N218" s="25" t="str">
        <f>IFERROR(__xludf.DUMMYFUNCTION("IFERROR(INDEX(FILTER('Kế hoạch chèn link (mới)'!$B$3:$B$2213,'Kế hoạch chèn link (mới)'!$D$3:$D$2213=$B218),4),"""")"),"https://techcombank.com/thong-tin/blog/app-vay-tien-nhanh")</f>
        <v>https://techcombank.com/thong-tin/blog/app-vay-tien-nhanh</v>
      </c>
      <c r="O218" s="25" t="str">
        <f>IFERROR(__xludf.DUMMYFUNCTION("IFERROR(INDEX(FILTER('Kế hoạch chèn link (mới)'!$C$3:$C$2213,'Kế hoạch chèn link (mới)'!$D$3:$D$2213=$B218),5),"""")"),"nợ xấu")</f>
        <v>nợ xấu</v>
      </c>
      <c r="P218" s="25" t="str">
        <f>IFERROR(__xludf.DUMMYFUNCTION("IFERROR(INDEX(FILTER('Kế hoạch chèn link (mới)'!$B$3:$B$2213,'Kế hoạch chèn link (mới)'!$D$3:$D$2213=$B218),5),"""")"),"https://techcombank.com/thong-tin/blog/no-xau-la-gi")</f>
        <v>https://techcombank.com/thong-tin/blog/no-xau-la-gi</v>
      </c>
    </row>
    <row r="219">
      <c r="A219" s="6">
        <f t="shared" si="1"/>
        <v>218</v>
      </c>
      <c r="B219" s="8" t="s">
        <v>2847</v>
      </c>
      <c r="C219" s="6">
        <f>COUNTIF('Kế hoạch chèn link (mới)'!$D$3:$D$2213,$B219)</f>
        <v>5</v>
      </c>
      <c r="D219" s="8" t="str">
        <f>IF(COUNTIFS('Kế hoạch chèn link (mới)'!$D$3:$D$2213,$B219,'Kế hoạch chèn link (mới)'!$I$3:$I$2213,"Đã chèn")&gt;=$C219,"Đã hoàn thành",IF(COUNTIFS('Kế hoạch chèn link (mới)'!$D$3:$D$2213,$B219,'Kế hoạch chèn link (mới)'!$I$3:$I$2213,"Đã chèn")&gt;0,"Đang làm","Chưa hoàn thành"))</f>
        <v>Chưa hoàn thành</v>
      </c>
      <c r="E219" s="8" t="b">
        <f t="shared" si="2"/>
        <v>0</v>
      </c>
      <c r="F219" s="25"/>
      <c r="G219" s="25" t="str">
        <f>IFERROR(__xludf.DUMMYFUNCTION("IFERROR(INDEX(FILTER('Kế hoạch chèn link (mới)'!$C$3:$C$2213,'Kế hoạch chèn link (mới)'!$D$3:$D$2213=$B219),1),"""")"),"cic là gì")</f>
        <v>cic là gì</v>
      </c>
      <c r="H219" s="25" t="str">
        <f>IFERROR(__xludf.DUMMYFUNCTION("IFERROR(INDEX(FILTER('Kế hoạch chèn link (mới)'!$B$3:$B$2213,'Kế hoạch chèn link (mới)'!$D$3:$D$2213=$B219),1),"""")"),"https://techcombank.com/thong-tin/blog/cic-la-gi")</f>
        <v>https://techcombank.com/thong-tin/blog/cic-la-gi</v>
      </c>
      <c r="I219" s="25" t="str">
        <f>IFERROR(__xludf.DUMMYFUNCTION("IFERROR(INDEX(FILTER('Kế hoạch chèn link (mới)'!$C$3:$C$2213,'Kế hoạch chèn link (mới)'!$D$3:$D$2213=$B219),2),"""")"),"xếp hạng tín dụng")</f>
        <v>xếp hạng tín dụng</v>
      </c>
      <c r="J219" s="25" t="str">
        <f>IFERROR(__xludf.DUMMYFUNCTION("IFERROR(INDEX(FILTER('Kế hoạch chèn link (mới)'!$B$3:$B$2213,'Kế hoạch chèn link (mới)'!$D$3:$D$2213=$B219),2),"""")"),"https://techcombank.com/thong-tin/blog/xep-hang-tin-dung")</f>
        <v>https://techcombank.com/thong-tin/blog/xep-hang-tin-dung</v>
      </c>
      <c r="K219" s="25" t="str">
        <f>IFERROR(__xludf.DUMMYFUNCTION("IFERROR(INDEX(FILTER('Kế hoạch chèn link (mới)'!$C$3:$C$2213,'Kế hoạch chèn link (mới)'!$D$3:$D$2213=$B219),3),"""")"),"tính lãi vay ngân hàng")</f>
        <v>tính lãi vay ngân hàng</v>
      </c>
      <c r="L219" s="25" t="str">
        <f>IFERROR(__xludf.DUMMYFUNCTION("IFERROR(INDEX(FILTER('Kế hoạch chèn link (mới)'!$B$3:$B$2213,'Kế hoạch chèn link (mới)'!$D$3:$D$2213=$B219),3),"""")"),"https://techcombank.com/cong-cu-tien-ich/cong-cu-tinh-toan/bang-tinh-lai-suat-vay")</f>
        <v>https://techcombank.com/cong-cu-tien-ich/cong-cu-tinh-toan/bang-tinh-lai-suat-vay</v>
      </c>
      <c r="M219" s="25" t="str">
        <f>IFERROR(__xludf.DUMMYFUNCTION("IFERROR(INDEX(FILTER('Kế hoạch chèn link (mới)'!$C$3:$C$2213,'Kế hoạch chèn link (mới)'!$D$3:$D$2213=$B219),4),"""")"),"vay tiền")</f>
        <v>vay tiền</v>
      </c>
      <c r="N219" s="25" t="str">
        <f>IFERROR(__xludf.DUMMYFUNCTION("IFERROR(INDEX(FILTER('Kế hoạch chèn link (mới)'!$B$3:$B$2213,'Kế hoạch chèn link (mới)'!$D$3:$D$2213=$B219),4),"""")"),"https://techcombank.com/thong-tin/blog/app-vay-tien-nhanh")</f>
        <v>https://techcombank.com/thong-tin/blog/app-vay-tien-nhanh</v>
      </c>
      <c r="O219" s="25" t="str">
        <f>IFERROR(__xludf.DUMMYFUNCTION("IFERROR(INDEX(FILTER('Kế hoạch chèn link (mới)'!$C$3:$C$2213,'Kế hoạch chèn link (mới)'!$D$3:$D$2213=$B219),5),"""")"),"nợ xấu")</f>
        <v>nợ xấu</v>
      </c>
      <c r="P219" s="25" t="str">
        <f>IFERROR(__xludf.DUMMYFUNCTION("IFERROR(INDEX(FILTER('Kế hoạch chèn link (mới)'!$B$3:$B$2213,'Kế hoạch chèn link (mới)'!$D$3:$D$2213=$B219),5),"""")"),"https://techcombank.com/thong-tin/blog/no-xau-la-gi")</f>
        <v>https://techcombank.com/thong-tin/blog/no-xau-la-gi</v>
      </c>
    </row>
    <row r="220">
      <c r="A220" s="6">
        <f t="shared" si="1"/>
        <v>219</v>
      </c>
      <c r="B220" s="8" t="s">
        <v>740</v>
      </c>
      <c r="C220" s="6">
        <f>COUNTIF('Kế hoạch chèn link (mới)'!$D$3:$D$2213,$B220)</f>
        <v>2</v>
      </c>
      <c r="D220" s="8" t="str">
        <f>IF(COUNTIFS('Kế hoạch chèn link (mới)'!$D$3:$D$2213,$B220,'Kế hoạch chèn link (mới)'!$I$3:$I$2213,"Đã chèn")&gt;=$C220,"Đã hoàn thành",IF(COUNTIFS('Kế hoạch chèn link (mới)'!$D$3:$D$2213,$B220,'Kế hoạch chèn link (mới)'!$I$3:$I$2213,"Đã chèn")&gt;0,"Đang làm","Chưa hoàn thành"))</f>
        <v>Chưa hoàn thành</v>
      </c>
      <c r="E220" s="8" t="b">
        <f t="shared" si="2"/>
        <v>0</v>
      </c>
      <c r="F220" s="25"/>
      <c r="G220" s="25" t="str">
        <f>IFERROR(__xludf.DUMMYFUNCTION("IFERROR(INDEX(FILTER('Kế hoạch chèn link (mới)'!$C$3:$C$2213,'Kế hoạch chèn link (mới)'!$D$3:$D$2213=$B220),1),"""")"),"thuế thu nhập doanh nghiệp")</f>
        <v>thuế thu nhập doanh nghiệp</v>
      </c>
      <c r="H220" s="25" t="str">
        <f>IFERROR(__xludf.DUMMYFUNCTION("IFERROR(INDEX(FILTER('Kế hoạch chèn link (mới)'!$B$3:$B$2213,'Kế hoạch chèn link (mới)'!$D$3:$D$2213=$B220),1),"""")"),"https://techcombank.com/thong-tin/blog/thue-thu-nhap-doanh-nghiep")</f>
        <v>https://techcombank.com/thong-tin/blog/thue-thu-nhap-doanh-nghiep</v>
      </c>
      <c r="I220" s="25" t="str">
        <f>IFERROR(__xludf.DUMMYFUNCTION("IFERROR(INDEX(FILTER('Kế hoạch chèn link (mới)'!$C$3:$C$2213,'Kế hoạch chèn link (mới)'!$D$3:$D$2213=$B220),2),"""")"),"cách tính thuế thu nhập doanh nghiệp")</f>
        <v>cách tính thuế thu nhập doanh nghiệp</v>
      </c>
      <c r="J220" s="25" t="str">
        <f>IFERROR(__xludf.DUMMYFUNCTION("IFERROR(INDEX(FILTER('Kế hoạch chèn link (mới)'!$B$3:$B$2213,'Kế hoạch chèn link (mới)'!$D$3:$D$2213=$B220),2),"""")"),"https://techcombank.com/thong-tin/blog/cach-tinh-thue-thu-nhap-doanh-nghiep")</f>
        <v>https://techcombank.com/thong-tin/blog/cach-tinh-thue-thu-nhap-doanh-nghiep</v>
      </c>
      <c r="K220" s="25" t="str">
        <f>IFERROR(__xludf.DUMMYFUNCTION("IFERROR(INDEX(FILTER('Kế hoạch chèn link (mới)'!$C$3:$C$2213,'Kế hoạch chèn link (mới)'!$D$3:$D$2213=$B220),3),"""")"),"")</f>
        <v/>
      </c>
      <c r="L220" s="25" t="str">
        <f>IFERROR(__xludf.DUMMYFUNCTION("IFERROR(INDEX(FILTER('Kế hoạch chèn link (mới)'!$B$3:$B$2213,'Kế hoạch chèn link (mới)'!$D$3:$D$2213=$B220),3),"""")"),"")</f>
        <v/>
      </c>
      <c r="M220" s="25" t="str">
        <f>IFERROR(__xludf.DUMMYFUNCTION("IFERROR(INDEX(FILTER('Kế hoạch chèn link (mới)'!$C$3:$C$2213,'Kế hoạch chèn link (mới)'!$D$3:$D$2213=$B220),4),"""")"),"")</f>
        <v/>
      </c>
      <c r="N220" s="25" t="str">
        <f>IFERROR(__xludf.DUMMYFUNCTION("IFERROR(INDEX(FILTER('Kế hoạch chèn link (mới)'!$B$3:$B$2213,'Kế hoạch chèn link (mới)'!$D$3:$D$2213=$B220),4),"""")"),"")</f>
        <v/>
      </c>
      <c r="O220" s="25" t="str">
        <f>IFERROR(__xludf.DUMMYFUNCTION("IFERROR(INDEX(FILTER('Kế hoạch chèn link (mới)'!$C$3:$C$2213,'Kế hoạch chèn link (mới)'!$D$3:$D$2213=$B220),5),"""")"),"")</f>
        <v/>
      </c>
      <c r="P220" s="25" t="str">
        <f>IFERROR(__xludf.DUMMYFUNCTION("IFERROR(INDEX(FILTER('Kế hoạch chèn link (mới)'!$B$3:$B$2213,'Kế hoạch chèn link (mới)'!$D$3:$D$2213=$B220),5),"""")"),"")</f>
        <v/>
      </c>
    </row>
    <row r="221">
      <c r="A221" s="6">
        <f t="shared" si="1"/>
        <v>220</v>
      </c>
      <c r="B221" s="8" t="s">
        <v>909</v>
      </c>
      <c r="C221" s="6">
        <f>COUNTIF('Kế hoạch chèn link (mới)'!$D$3:$D$2213,$B221)</f>
        <v>2</v>
      </c>
      <c r="D221" s="8" t="str">
        <f>IF(COUNTIFS('Kế hoạch chèn link (mới)'!$D$3:$D$2213,$B221,'Kế hoạch chèn link (mới)'!$I$3:$I$2213,"Đã chèn")&gt;=$C221,"Đã hoàn thành",IF(COUNTIFS('Kế hoạch chèn link (mới)'!$D$3:$D$2213,$B221,'Kế hoạch chèn link (mới)'!$I$3:$I$2213,"Đã chèn")&gt;0,"Đang làm","Chưa hoàn thành"))</f>
        <v>Chưa hoàn thành</v>
      </c>
      <c r="E221" s="8" t="b">
        <f t="shared" si="2"/>
        <v>0</v>
      </c>
      <c r="F221" s="25"/>
      <c r="G221" s="25" t="str">
        <f>IFERROR(__xludf.DUMMYFUNCTION("IFERROR(INDEX(FILTER('Kế hoạch chèn link (mới)'!$C$3:$C$2213,'Kế hoạch chèn link (mới)'!$D$3:$D$2213=$B221),1),"""")"),"rút tiền thẻ tín dụng")</f>
        <v>rút tiền thẻ tín dụng</v>
      </c>
      <c r="H221" s="25" t="str">
        <f>IFERROR(__xludf.DUMMYFUNCTION("IFERROR(INDEX(FILTER('Kế hoạch chèn link (mới)'!$B$3:$B$2213,'Kế hoạch chèn link (mới)'!$D$3:$D$2213=$B221),1),"""")"),"https://techcombank.com/thong-tin/blog/rut-tien-mat-tu-the-tin-dung")</f>
        <v>https://techcombank.com/thong-tin/blog/rut-tien-mat-tu-the-tin-dung</v>
      </c>
      <c r="I221" s="25" t="str">
        <f>IFERROR(__xludf.DUMMYFUNCTION("IFERROR(INDEX(FILTER('Kế hoạch chèn link (mới)'!$C$3:$C$2213,'Kế hoạch chèn link (mới)'!$D$3:$D$2213=$B221),2),"""")"),"làm thẻ tín dụng")</f>
        <v>làm thẻ tín dụng</v>
      </c>
      <c r="J221" s="25" t="str">
        <f>IFERROR(__xludf.DUMMYFUNCTION("IFERROR(INDEX(FILTER('Kế hoạch chèn link (mới)'!$B$3:$B$2213,'Kế hoạch chèn link (mới)'!$D$3:$D$2213=$B221),2),"""")"),"https://techcombank.com/thong-tin/blog/lam-the-tin-dung")</f>
        <v>https://techcombank.com/thong-tin/blog/lam-the-tin-dung</v>
      </c>
      <c r="K221" s="25" t="str">
        <f>IFERROR(__xludf.DUMMYFUNCTION("IFERROR(INDEX(FILTER('Kế hoạch chèn link (mới)'!$C$3:$C$2213,'Kế hoạch chèn link (mới)'!$D$3:$D$2213=$B221),3),"""")"),"")</f>
        <v/>
      </c>
      <c r="L221" s="25" t="str">
        <f>IFERROR(__xludf.DUMMYFUNCTION("IFERROR(INDEX(FILTER('Kế hoạch chèn link (mới)'!$B$3:$B$2213,'Kế hoạch chèn link (mới)'!$D$3:$D$2213=$B221),3),"""")"),"")</f>
        <v/>
      </c>
      <c r="M221" s="25" t="str">
        <f>IFERROR(__xludf.DUMMYFUNCTION("IFERROR(INDEX(FILTER('Kế hoạch chèn link (mới)'!$C$3:$C$2213,'Kế hoạch chèn link (mới)'!$D$3:$D$2213=$B221),4),"""")"),"")</f>
        <v/>
      </c>
      <c r="N221" s="25" t="str">
        <f>IFERROR(__xludf.DUMMYFUNCTION("IFERROR(INDEX(FILTER('Kế hoạch chèn link (mới)'!$B$3:$B$2213,'Kế hoạch chèn link (mới)'!$D$3:$D$2213=$B221),4),"""")"),"")</f>
        <v/>
      </c>
      <c r="O221" s="25" t="str">
        <f>IFERROR(__xludf.DUMMYFUNCTION("IFERROR(INDEX(FILTER('Kế hoạch chèn link (mới)'!$C$3:$C$2213,'Kế hoạch chèn link (mới)'!$D$3:$D$2213=$B221),5),"""")"),"")</f>
        <v/>
      </c>
      <c r="P221" s="25" t="str">
        <f>IFERROR(__xludf.DUMMYFUNCTION("IFERROR(INDEX(FILTER('Kế hoạch chèn link (mới)'!$B$3:$B$2213,'Kế hoạch chèn link (mới)'!$D$3:$D$2213=$B221),5),"""")"),"")</f>
        <v/>
      </c>
    </row>
    <row r="222">
      <c r="A222" s="6">
        <f t="shared" si="1"/>
        <v>221</v>
      </c>
      <c r="B222" s="8" t="s">
        <v>2153</v>
      </c>
      <c r="C222" s="6">
        <f>COUNTIF('Kế hoạch chèn link (mới)'!$D$3:$D$2213,$B222)</f>
        <v>3</v>
      </c>
      <c r="D222" s="8" t="str">
        <f>IF(COUNTIFS('Kế hoạch chèn link (mới)'!$D$3:$D$2213,$B222,'Kế hoạch chèn link (mới)'!$I$3:$I$2213,"Đã chèn")&gt;=$C222,"Đã hoàn thành",IF(COUNTIFS('Kế hoạch chèn link (mới)'!$D$3:$D$2213,$B222,'Kế hoạch chèn link (mới)'!$I$3:$I$2213,"Đã chèn")&gt;0,"Đang làm","Chưa hoàn thành"))</f>
        <v>Chưa hoàn thành</v>
      </c>
      <c r="E222" s="8" t="b">
        <f t="shared" si="2"/>
        <v>0</v>
      </c>
      <c r="F222" s="25"/>
      <c r="G222" s="25" t="str">
        <f>IFERROR(__xludf.DUMMYFUNCTION("IFERROR(INDEX(FILTER('Kế hoạch chèn link (mới)'!$C$3:$C$2213,'Kế hoạch chèn link (mới)'!$D$3:$D$2213=$B222),1),"""")"),"mở tài khoản ngân hàng cho học sinh")</f>
        <v>mở tài khoản ngân hàng cho học sinh</v>
      </c>
      <c r="H222" s="25" t="str">
        <f>IFERROR(__xludf.DUMMYFUNCTION("IFERROR(INDEX(FILTER('Kế hoạch chèn link (mới)'!$B$3:$B$2213,'Kế hoạch chèn link (mới)'!$D$3:$D$2213=$B222),1),"""")"),"https://techcombank.com/thong-tin/blog/mo-tai-khoan-ngan-hang-duoi-18-tuoi")</f>
        <v>https://techcombank.com/thong-tin/blog/mo-tai-khoan-ngan-hang-duoi-18-tuoi</v>
      </c>
      <c r="I222" s="25" t="str">
        <f>IFERROR(__xludf.DUMMYFUNCTION("IFERROR(INDEX(FILTER('Kế hoạch chèn link (mới)'!$C$3:$C$2213,'Kế hoạch chèn link (mới)'!$D$3:$D$2213=$B222),2),"""")"),"tên đăng nhập tài khoản ngân hàng")</f>
        <v>tên đăng nhập tài khoản ngân hàng</v>
      </c>
      <c r="J222" s="25" t="str">
        <f>IFERROR(__xludf.DUMMYFUNCTION("IFERROR(INDEX(FILTER('Kế hoạch chèn link (mới)'!$B$3:$B$2213,'Kế hoạch chèn link (mới)'!$D$3:$D$2213=$B222),2),"""")"),"https://techcombank.com/thong-tin/blog/ten-dang-nhap-tai-khoan-ngan-hang-la-gi")</f>
        <v>https://techcombank.com/thong-tin/blog/ten-dang-nhap-tai-khoan-ngan-hang-la-gi</v>
      </c>
      <c r="K222" s="25" t="str">
        <f>IFERROR(__xludf.DUMMYFUNCTION("IFERROR(INDEX(FILTER('Kế hoạch chèn link (mới)'!$C$3:$C$2213,'Kế hoạch chèn link (mới)'!$D$3:$D$2213=$B222),3),"""")"),"quét NFC CCCD")</f>
        <v>quét NFC CCCD</v>
      </c>
      <c r="L222" s="25" t="str">
        <f>IFERROR(__xludf.DUMMYFUNCTION("IFERROR(INDEX(FILTER('Kế hoạch chèn link (mới)'!$B$3:$B$2213,'Kế hoạch chèn link (mới)'!$D$3:$D$2213=$B222),3),"""")"),"https://techcombank.com/thong-tin/blog/cach-quet-nfc-cccd-tren-iphone")</f>
        <v>https://techcombank.com/thong-tin/blog/cach-quet-nfc-cccd-tren-iphone</v>
      </c>
      <c r="M222" s="25" t="str">
        <f>IFERROR(__xludf.DUMMYFUNCTION("IFERROR(INDEX(FILTER('Kế hoạch chèn link (mới)'!$C$3:$C$2213,'Kế hoạch chèn link (mới)'!$D$3:$D$2213=$B222),4),"""")"),"")</f>
        <v/>
      </c>
      <c r="N222" s="25" t="str">
        <f>IFERROR(__xludf.DUMMYFUNCTION("IFERROR(INDEX(FILTER('Kế hoạch chèn link (mới)'!$B$3:$B$2213,'Kế hoạch chèn link (mới)'!$D$3:$D$2213=$B222),4),"""")"),"")</f>
        <v/>
      </c>
      <c r="O222" s="25" t="str">
        <f>IFERROR(__xludf.DUMMYFUNCTION("IFERROR(INDEX(FILTER('Kế hoạch chèn link (mới)'!$C$3:$C$2213,'Kế hoạch chèn link (mới)'!$D$3:$D$2213=$B222),5),"""")"),"")</f>
        <v/>
      </c>
      <c r="P222" s="25" t="str">
        <f>IFERROR(__xludf.DUMMYFUNCTION("IFERROR(INDEX(FILTER('Kế hoạch chèn link (mới)'!$B$3:$B$2213,'Kế hoạch chèn link (mới)'!$D$3:$D$2213=$B222),5),"""")"),"")</f>
        <v/>
      </c>
    </row>
    <row r="223">
      <c r="A223" s="6">
        <f t="shared" si="1"/>
        <v>222</v>
      </c>
      <c r="B223" s="8" t="s">
        <v>2849</v>
      </c>
      <c r="C223" s="6">
        <f>COUNTIF('Kế hoạch chèn link (mới)'!$D$3:$D$2213,$B223)</f>
        <v>2</v>
      </c>
      <c r="D223" s="8" t="str">
        <f>IF(COUNTIFS('Kế hoạch chèn link (mới)'!$D$3:$D$2213,$B223,'Kế hoạch chèn link (mới)'!$I$3:$I$2213,"Đã chèn")&gt;=$C223,"Đã hoàn thành",IF(COUNTIFS('Kế hoạch chèn link (mới)'!$D$3:$D$2213,$B223,'Kế hoạch chèn link (mới)'!$I$3:$I$2213,"Đã chèn")&gt;0,"Đang làm","Chưa hoàn thành"))</f>
        <v>Chưa hoàn thành</v>
      </c>
      <c r="E223" s="8" t="b">
        <f t="shared" si="2"/>
        <v>0</v>
      </c>
      <c r="F223" s="25"/>
      <c r="G223" s="25" t="str">
        <f>IFERROR(__xludf.DUMMYFUNCTION("IFERROR(INDEX(FILTER('Kế hoạch chèn link (mới)'!$C$3:$C$2213,'Kế hoạch chèn link (mới)'!$D$3:$D$2213=$B223),1),"""")"),"thẻ Eco")</f>
        <v>thẻ Eco</v>
      </c>
      <c r="H223" s="25" t="str">
        <f>IFERROR(__xludf.DUMMYFUNCTION("IFERROR(INDEX(FILTER('Kế hoạch chèn link (mới)'!$B$3:$B$2213,'Kế hoạch chèn link (mới)'!$D$3:$D$2213=$B223),1),"""")"),"https://techcombank.com/thong-tin/blog/eco-card")</f>
        <v>https://techcombank.com/thong-tin/blog/eco-card</v>
      </c>
      <c r="I223" s="25" t="str">
        <f>IFERROR(__xludf.DUMMYFUNCTION("IFERROR(INDEX(FILTER('Kế hoạch chèn link (mới)'!$C$3:$C$2213,'Kế hoạch chèn link (mới)'!$D$3:$D$2213=$B223),2),"""")"),"lãi suất chứng chỉ tiền gửi các ngân hàng")</f>
        <v>lãi suất chứng chỉ tiền gửi các ngân hàng</v>
      </c>
      <c r="J223" s="25" t="str">
        <f>IFERROR(__xludf.DUMMYFUNCTION("IFERROR(INDEX(FILTER('Kế hoạch chèn link (mới)'!$B$3:$B$2213,'Kế hoạch chèn link (mới)'!$D$3:$D$2213=$B223),2),"""")"),"https://techcombank.com/thong-tin/blog/lai-suat-chung-chi-tien-gui-cac-ngan-hang")</f>
        <v>https://techcombank.com/thong-tin/blog/lai-suat-chung-chi-tien-gui-cac-ngan-hang</v>
      </c>
      <c r="K223" s="25" t="str">
        <f>IFERROR(__xludf.DUMMYFUNCTION("IFERROR(INDEX(FILTER('Kế hoạch chèn link (mới)'!$C$3:$C$2213,'Kế hoạch chèn link (mới)'!$D$3:$D$2213=$B223),3),"""")"),"")</f>
        <v/>
      </c>
      <c r="L223" s="25" t="str">
        <f>IFERROR(__xludf.DUMMYFUNCTION("IFERROR(INDEX(FILTER('Kế hoạch chèn link (mới)'!$B$3:$B$2213,'Kế hoạch chèn link (mới)'!$D$3:$D$2213=$B223),3),"""")"),"")</f>
        <v/>
      </c>
      <c r="M223" s="25" t="str">
        <f>IFERROR(__xludf.DUMMYFUNCTION("IFERROR(INDEX(FILTER('Kế hoạch chèn link (mới)'!$C$3:$C$2213,'Kế hoạch chèn link (mới)'!$D$3:$D$2213=$B223),4),"""")"),"")</f>
        <v/>
      </c>
      <c r="N223" s="25" t="str">
        <f>IFERROR(__xludf.DUMMYFUNCTION("IFERROR(INDEX(FILTER('Kế hoạch chèn link (mới)'!$B$3:$B$2213,'Kế hoạch chèn link (mới)'!$D$3:$D$2213=$B223),4),"""")"),"")</f>
        <v/>
      </c>
      <c r="O223" s="25" t="str">
        <f>IFERROR(__xludf.DUMMYFUNCTION("IFERROR(INDEX(FILTER('Kế hoạch chèn link (mới)'!$C$3:$C$2213,'Kế hoạch chèn link (mới)'!$D$3:$D$2213=$B223),5),"""")"),"")</f>
        <v/>
      </c>
      <c r="P223" s="25" t="str">
        <f>IFERROR(__xludf.DUMMYFUNCTION("IFERROR(INDEX(FILTER('Kế hoạch chèn link (mới)'!$B$3:$B$2213,'Kế hoạch chèn link (mới)'!$D$3:$D$2213=$B223),5),"""")"),"")</f>
        <v/>
      </c>
    </row>
    <row r="224">
      <c r="A224" s="6">
        <f t="shared" si="1"/>
        <v>223</v>
      </c>
      <c r="B224" s="8" t="s">
        <v>1454</v>
      </c>
      <c r="C224" s="6">
        <f>COUNTIF('Kế hoạch chèn link (mới)'!$D$3:$D$2213,$B224)</f>
        <v>5</v>
      </c>
      <c r="D224" s="8" t="str">
        <f>IF(COUNTIFS('Kế hoạch chèn link (mới)'!$D$3:$D$2213,$B224,'Kế hoạch chèn link (mới)'!$I$3:$I$2213,"Đã chèn")&gt;=$C224,"Đã hoàn thành",IF(COUNTIFS('Kế hoạch chèn link (mới)'!$D$3:$D$2213,$B224,'Kế hoạch chèn link (mới)'!$I$3:$I$2213,"Đã chèn")&gt;0,"Đang làm","Chưa hoàn thành"))</f>
        <v>Chưa hoàn thành</v>
      </c>
      <c r="E224" s="8" t="b">
        <f t="shared" si="2"/>
        <v>0</v>
      </c>
      <c r="F224" s="25"/>
      <c r="G224" s="25" t="str">
        <f>IFERROR(__xludf.DUMMYFUNCTION("IFERROR(INDEX(FILTER('Kế hoạch chèn link (mới)'!$C$3:$C$2213,'Kế hoạch chèn link (mới)'!$D$3:$D$2213=$B224),1),"""")"),"giá điện sinh hoạt mới nhất")</f>
        <v>giá điện sinh hoạt mới nhất</v>
      </c>
      <c r="H224" s="25" t="str">
        <f>IFERROR(__xludf.DUMMYFUNCTION("IFERROR(INDEX(FILTER('Kế hoạch chèn link (mới)'!$B$3:$B$2213,'Kế hoạch chèn link (mới)'!$D$3:$D$2213=$B224),1),"""")"),"https://techcombank.com/thong-tin/blog/cach-tinh-tien-dien-sinh-hoat")</f>
        <v>https://techcombank.com/thong-tin/blog/cach-tinh-tien-dien-sinh-hoat</v>
      </c>
      <c r="I224" s="25" t="str">
        <f>IFERROR(__xludf.DUMMYFUNCTION("IFERROR(INDEX(FILTER('Kế hoạch chèn link (mới)'!$C$3:$C$2213,'Kế hoạch chèn link (mới)'!$D$3:$D$2213=$B224),2),"""")"),"lãi suất ngân hàng")</f>
        <v>lãi suất ngân hàng</v>
      </c>
      <c r="J224" s="25" t="str">
        <f>IFERROR(__xludf.DUMMYFUNCTION("IFERROR(INDEX(FILTER('Kế hoạch chèn link (mới)'!$B$3:$B$2213,'Kế hoạch chèn link (mới)'!$D$3:$D$2213=$B224),2),"""")"),"https://techcombank.com/thong-tin/blog/lai-suat-tiet-kiem")</f>
        <v>https://techcombank.com/thong-tin/blog/lai-suat-tiet-kiem</v>
      </c>
      <c r="K224" s="25" t="str">
        <f>IFERROR(__xludf.DUMMYFUNCTION("IFERROR(INDEX(FILTER('Kế hoạch chèn link (mới)'!$C$3:$C$2213,'Kế hoạch chèn link (mới)'!$D$3:$D$2213=$B224),3),"""")"),"tính lãi suất vay ngân hàng")</f>
        <v>tính lãi suất vay ngân hàng</v>
      </c>
      <c r="L224" s="25" t="str">
        <f>IFERROR(__xludf.DUMMYFUNCTION("IFERROR(INDEX(FILTER('Kế hoạch chèn link (mới)'!$B$3:$B$2213,'Kế hoạch chèn link (mới)'!$D$3:$D$2213=$B224),3),"""")"),"https://techcombank.com/cong-cu-tien-ich/cong-cu-tinh-toan/bang-tinh-lai-suat-vay")</f>
        <v>https://techcombank.com/cong-cu-tien-ich/cong-cu-tinh-toan/bang-tinh-lai-suat-vay</v>
      </c>
      <c r="M224" s="25" t="str">
        <f>IFERROR(__xludf.DUMMYFUNCTION("IFERROR(INDEX(FILTER('Kế hoạch chèn link (mới)'!$C$3:$C$2213,'Kế hoạch chèn link (mới)'!$D$3:$D$2213=$B224),4),"""")"),"vay")</f>
        <v>vay</v>
      </c>
      <c r="N224" s="25" t="str">
        <f>IFERROR(__xludf.DUMMYFUNCTION("IFERROR(INDEX(FILTER('Kế hoạch chèn link (mới)'!$B$3:$B$2213,'Kế hoạch chèn link (mới)'!$D$3:$D$2213=$B224),4),"""")"),"https://techcombank.com/thong-tin/blog/app-vay-tien-nhanh")</f>
        <v>https://techcombank.com/thong-tin/blog/app-vay-tien-nhanh</v>
      </c>
      <c r="O224" s="25" t="str">
        <f>IFERROR(__xludf.DUMMYFUNCTION("IFERROR(INDEX(FILTER('Kế hoạch chèn link (mới)'!$C$3:$C$2213,'Kế hoạch chèn link (mới)'!$D$3:$D$2213=$B224),5),"""")"),"lãi suất vay ngân hàng")</f>
        <v>lãi suất vay ngân hàng</v>
      </c>
      <c r="P224" s="25" t="str">
        <f>IFERROR(__xludf.DUMMYFUNCTION("IFERROR(INDEX(FILTER('Kế hoạch chèn link (mới)'!$B$3:$B$2213,'Kế hoạch chèn link (mới)'!$D$3:$D$2213=$B224),5),"""")"),"https://techcombank.com/thong-tin/blog/lai-suat-vay-ngan-hang")</f>
        <v>https://techcombank.com/thong-tin/blog/lai-suat-vay-ngan-hang</v>
      </c>
    </row>
    <row r="225">
      <c r="A225" s="6">
        <f t="shared" si="1"/>
        <v>224</v>
      </c>
      <c r="B225" s="8" t="s">
        <v>2374</v>
      </c>
      <c r="C225" s="6">
        <f>COUNTIF('Kế hoạch chèn link (mới)'!$D$3:$D$2213,$B225)</f>
        <v>3</v>
      </c>
      <c r="D225" s="8" t="str">
        <f>IF(COUNTIFS('Kế hoạch chèn link (mới)'!$D$3:$D$2213,$B225,'Kế hoạch chèn link (mới)'!$I$3:$I$2213,"Đã chèn")&gt;=$C225,"Đã hoàn thành",IF(COUNTIFS('Kế hoạch chèn link (mới)'!$D$3:$D$2213,$B225,'Kế hoạch chèn link (mới)'!$I$3:$I$2213,"Đã chèn")&gt;0,"Đang làm","Chưa hoàn thành"))</f>
        <v>Chưa hoàn thành</v>
      </c>
      <c r="E225" s="8" t="b">
        <f t="shared" si="2"/>
        <v>0</v>
      </c>
      <c r="F225" s="25"/>
      <c r="G225" s="25" t="str">
        <f>IFERROR(__xludf.DUMMYFUNCTION("IFERROR(INDEX(FILTER('Kế hoạch chèn link (mới)'!$C$3:$C$2213,'Kế hoạch chèn link (mới)'!$D$3:$D$2213=$B225),1),"""")"),"sao kê tài khoản ngân hàng")</f>
        <v>sao kê tài khoản ngân hàng</v>
      </c>
      <c r="H225" s="25" t="str">
        <f>IFERROR(__xludf.DUMMYFUNCTION("IFERROR(INDEX(FILTER('Kế hoạch chèn link (mới)'!$B$3:$B$2213,'Kế hoạch chèn link (mới)'!$D$3:$D$2213=$B225),1),"""")"),"https://techcombank.com/thong-tin/blog/cach-sao-ke-tai-khoan-ngan-hang")</f>
        <v>https://techcombank.com/thong-tin/blog/cach-sao-ke-tai-khoan-ngan-hang</v>
      </c>
      <c r="I225" s="25" t="str">
        <f>IFERROR(__xludf.DUMMYFUNCTION("IFERROR(INDEX(FILTER('Kế hoạch chèn link (mới)'!$C$3:$C$2213,'Kế hoạch chèn link (mới)'!$D$3:$D$2213=$B225),2),"""")"),"kiểm tra cic")</f>
        <v>kiểm tra cic</v>
      </c>
      <c r="J225" s="25" t="str">
        <f>IFERROR(__xludf.DUMMYFUNCTION("IFERROR(INDEX(FILTER('Kế hoạch chèn link (mới)'!$B$3:$B$2213,'Kế hoạch chèn link (mới)'!$D$3:$D$2213=$B225),2),"""")"),"https://techcombank.com/thong-tin/blog/cic-la-gi")</f>
        <v>https://techcombank.com/thong-tin/blog/cic-la-gi</v>
      </c>
      <c r="K225" s="25" t="str">
        <f>IFERROR(__xludf.DUMMYFUNCTION("IFERROR(INDEX(FILTER('Kế hoạch chèn link (mới)'!$C$3:$C$2213,'Kế hoạch chèn link (mới)'!$D$3:$D$2213=$B225),3),"""")"),"cách tiết kiệm tiền")</f>
        <v>cách tiết kiệm tiền</v>
      </c>
      <c r="L225" s="25" t="str">
        <f>IFERROR(__xludf.DUMMYFUNCTION("IFERROR(INDEX(FILTER('Kế hoạch chèn link (mới)'!$B$3:$B$2213,'Kế hoạch chèn link (mới)'!$D$3:$D$2213=$B225),3),"""")"),"https://techcombank.com/thong-tin/blog/cach-tiet-kiem-tien")</f>
        <v>https://techcombank.com/thong-tin/blog/cach-tiet-kiem-tien</v>
      </c>
      <c r="M225" s="25" t="str">
        <f>IFERROR(__xludf.DUMMYFUNCTION("IFERROR(INDEX(FILTER('Kế hoạch chèn link (mới)'!$C$3:$C$2213,'Kế hoạch chèn link (mới)'!$D$3:$D$2213=$B225),4),"""")"),"")</f>
        <v/>
      </c>
      <c r="N225" s="25" t="str">
        <f>IFERROR(__xludf.DUMMYFUNCTION("IFERROR(INDEX(FILTER('Kế hoạch chèn link (mới)'!$B$3:$B$2213,'Kế hoạch chèn link (mới)'!$D$3:$D$2213=$B225),4),"""")"),"")</f>
        <v/>
      </c>
      <c r="O225" s="25" t="str">
        <f>IFERROR(__xludf.DUMMYFUNCTION("IFERROR(INDEX(FILTER('Kế hoạch chèn link (mới)'!$C$3:$C$2213,'Kế hoạch chèn link (mới)'!$D$3:$D$2213=$B225),5),"""")"),"")</f>
        <v/>
      </c>
      <c r="P225" s="25" t="str">
        <f>IFERROR(__xludf.DUMMYFUNCTION("IFERROR(INDEX(FILTER('Kế hoạch chèn link (mới)'!$B$3:$B$2213,'Kế hoạch chèn link (mới)'!$D$3:$D$2213=$B225),5),"""")"),"")</f>
        <v/>
      </c>
    </row>
    <row r="226">
      <c r="A226" s="6">
        <f t="shared" si="1"/>
        <v>225</v>
      </c>
      <c r="B226" s="8" t="s">
        <v>2850</v>
      </c>
      <c r="C226" s="6">
        <f>COUNTIF('Kế hoạch chèn link (mới)'!$D$3:$D$2213,$B226)</f>
        <v>2</v>
      </c>
      <c r="D226" s="8" t="str">
        <f>IF(COUNTIFS('Kế hoạch chèn link (mới)'!$D$3:$D$2213,$B226,'Kế hoạch chèn link (mới)'!$I$3:$I$2213,"Đã chèn")&gt;=$C226,"Đã hoàn thành",IF(COUNTIFS('Kế hoạch chèn link (mới)'!$D$3:$D$2213,$B226,'Kế hoạch chèn link (mới)'!$I$3:$I$2213,"Đã chèn")&gt;0,"Đang làm","Chưa hoàn thành"))</f>
        <v>Chưa hoàn thành</v>
      </c>
      <c r="E226" s="8" t="b">
        <f t="shared" si="2"/>
        <v>0</v>
      </c>
      <c r="F226" s="25"/>
      <c r="G226" s="25" t="str">
        <f>IFERROR(__xludf.DUMMYFUNCTION("IFERROR(INDEX(FILTER('Kế hoạch chèn link (mới)'!$C$3:$C$2213,'Kế hoạch chèn link (mới)'!$D$3:$D$2213=$B226),1),"""")"),"1 triệu đô bằng bao nhiêu tiền Việt")</f>
        <v>1 triệu đô bằng bao nhiêu tiền Việt</v>
      </c>
      <c r="H226" s="25" t="str">
        <f>IFERROR(__xludf.DUMMYFUNCTION("IFERROR(INDEX(FILTER('Kế hoạch chèn link (mới)'!$B$3:$B$2213,'Kế hoạch chèn link (mới)'!$D$3:$D$2213=$B226),1),"""")"),"https://techcombank.com/thong-tin/blog/1-trieu-do-bang-bao-nhieu-tien-viet")</f>
        <v>https://techcombank.com/thong-tin/blog/1-trieu-do-bang-bao-nhieu-tien-viet</v>
      </c>
      <c r="I226" s="25" t="str">
        <f>IFERROR(__xludf.DUMMYFUNCTION("IFERROR(INDEX(FILTER('Kế hoạch chèn link (mới)'!$C$3:$C$2213,'Kế hoạch chèn link (mới)'!$D$3:$D$2213=$B226),2),"""")"),"mô hình kinh doanh")</f>
        <v>mô hình kinh doanh</v>
      </c>
      <c r="J226" s="25" t="str">
        <f>IFERROR(__xludf.DUMMYFUNCTION("IFERROR(INDEX(FILTER('Kế hoạch chèn link (mới)'!$B$3:$B$2213,'Kế hoạch chèn link (mới)'!$D$3:$D$2213=$B226),2),"""")"),"https://techcombank.com/thong-tin/blog/mo-hinh-kinh-doanh-la-gi")</f>
        <v>https://techcombank.com/thong-tin/blog/mo-hinh-kinh-doanh-la-gi</v>
      </c>
      <c r="K226" s="25" t="str">
        <f>IFERROR(__xludf.DUMMYFUNCTION("IFERROR(INDEX(FILTER('Kế hoạch chèn link (mới)'!$C$3:$C$2213,'Kế hoạch chèn link (mới)'!$D$3:$D$2213=$B226),3),"""")"),"")</f>
        <v/>
      </c>
      <c r="L226" s="25" t="str">
        <f>IFERROR(__xludf.DUMMYFUNCTION("IFERROR(INDEX(FILTER('Kế hoạch chèn link (mới)'!$B$3:$B$2213,'Kế hoạch chèn link (mới)'!$D$3:$D$2213=$B226),3),"""")"),"")</f>
        <v/>
      </c>
      <c r="M226" s="25" t="str">
        <f>IFERROR(__xludf.DUMMYFUNCTION("IFERROR(INDEX(FILTER('Kế hoạch chèn link (mới)'!$C$3:$C$2213,'Kế hoạch chèn link (mới)'!$D$3:$D$2213=$B226),4),"""")"),"")</f>
        <v/>
      </c>
      <c r="N226" s="25" t="str">
        <f>IFERROR(__xludf.DUMMYFUNCTION("IFERROR(INDEX(FILTER('Kế hoạch chèn link (mới)'!$B$3:$B$2213,'Kế hoạch chèn link (mới)'!$D$3:$D$2213=$B226),4),"""")"),"")</f>
        <v/>
      </c>
      <c r="O226" s="25" t="str">
        <f>IFERROR(__xludf.DUMMYFUNCTION("IFERROR(INDEX(FILTER('Kế hoạch chèn link (mới)'!$C$3:$C$2213,'Kế hoạch chèn link (mới)'!$D$3:$D$2213=$B226),5),"""")"),"")</f>
        <v/>
      </c>
      <c r="P226" s="25" t="str">
        <f>IFERROR(__xludf.DUMMYFUNCTION("IFERROR(INDEX(FILTER('Kế hoạch chèn link (mới)'!$B$3:$B$2213,'Kế hoạch chèn link (mới)'!$D$3:$D$2213=$B226),5),"""")"),"")</f>
        <v/>
      </c>
    </row>
    <row r="227">
      <c r="A227" s="6">
        <f t="shared" si="1"/>
        <v>226</v>
      </c>
      <c r="B227" s="8" t="s">
        <v>2851</v>
      </c>
      <c r="C227" s="6">
        <f>COUNTIF('Kế hoạch chèn link (mới)'!$D$3:$D$2213,$B227)</f>
        <v>1</v>
      </c>
      <c r="D227" s="8" t="str">
        <f>IF(COUNTIFS('Kế hoạch chèn link (mới)'!$D$3:$D$2213,$B227,'Kế hoạch chèn link (mới)'!$I$3:$I$2213,"Đã chèn")&gt;=$C227,"Đã hoàn thành",IF(COUNTIFS('Kế hoạch chèn link (mới)'!$D$3:$D$2213,$B227,'Kế hoạch chèn link (mới)'!$I$3:$I$2213,"Đã chèn")&gt;0,"Đang làm","Chưa hoàn thành"))</f>
        <v>Chưa hoàn thành</v>
      </c>
      <c r="E227" s="8" t="b">
        <f t="shared" si="2"/>
        <v>0</v>
      </c>
      <c r="F227" s="25"/>
      <c r="G227" s="25" t="str">
        <f>IFERROR(__xludf.DUMMYFUNCTION("IFERROR(INDEX(FILTER('Kế hoạch chèn link (mới)'!$C$3:$C$2213,'Kế hoạch chèn link (mới)'!$D$3:$D$2213=$B227),1),"""")"),"mô hình kinh doanh")</f>
        <v>mô hình kinh doanh</v>
      </c>
      <c r="H227" s="25" t="str">
        <f>IFERROR(__xludf.DUMMYFUNCTION("IFERROR(INDEX(FILTER('Kế hoạch chèn link (mới)'!$B$3:$B$2213,'Kế hoạch chèn link (mới)'!$D$3:$D$2213=$B227),1),"""")"),"https://techcombank.com/thong-tin/blog/mo-hinh-kinh-doanh-la-gi")</f>
        <v>https://techcombank.com/thong-tin/blog/mo-hinh-kinh-doanh-la-gi</v>
      </c>
      <c r="I227" s="25" t="str">
        <f>IFERROR(__xludf.DUMMYFUNCTION("IFERROR(INDEX(FILTER('Kế hoạch chèn link (mới)'!$C$3:$C$2213,'Kế hoạch chèn link (mới)'!$D$3:$D$2213=$B227),2),"""")"),"")</f>
        <v/>
      </c>
      <c r="J227" s="25" t="str">
        <f>IFERROR(__xludf.DUMMYFUNCTION("IFERROR(INDEX(FILTER('Kế hoạch chèn link (mới)'!$B$3:$B$2213,'Kế hoạch chèn link (mới)'!$D$3:$D$2213=$B227),2),"""")"),"")</f>
        <v/>
      </c>
      <c r="K227" s="25" t="str">
        <f>IFERROR(__xludf.DUMMYFUNCTION("IFERROR(INDEX(FILTER('Kế hoạch chèn link (mới)'!$C$3:$C$2213,'Kế hoạch chèn link (mới)'!$D$3:$D$2213=$B227),3),"""")"),"")</f>
        <v/>
      </c>
      <c r="L227" s="25" t="str">
        <f>IFERROR(__xludf.DUMMYFUNCTION("IFERROR(INDEX(FILTER('Kế hoạch chèn link (mới)'!$B$3:$B$2213,'Kế hoạch chèn link (mới)'!$D$3:$D$2213=$B227),3),"""")"),"")</f>
        <v/>
      </c>
      <c r="M227" s="25" t="str">
        <f>IFERROR(__xludf.DUMMYFUNCTION("IFERROR(INDEX(FILTER('Kế hoạch chèn link (mới)'!$C$3:$C$2213,'Kế hoạch chèn link (mới)'!$D$3:$D$2213=$B227),4),"""")"),"")</f>
        <v/>
      </c>
      <c r="N227" s="25" t="str">
        <f>IFERROR(__xludf.DUMMYFUNCTION("IFERROR(INDEX(FILTER('Kế hoạch chèn link (mới)'!$B$3:$B$2213,'Kế hoạch chèn link (mới)'!$D$3:$D$2213=$B227),4),"""")"),"")</f>
        <v/>
      </c>
      <c r="O227" s="25" t="str">
        <f>IFERROR(__xludf.DUMMYFUNCTION("IFERROR(INDEX(FILTER('Kế hoạch chèn link (mới)'!$C$3:$C$2213,'Kế hoạch chèn link (mới)'!$D$3:$D$2213=$B227),5),"""")"),"")</f>
        <v/>
      </c>
      <c r="P227" s="25" t="str">
        <f>IFERROR(__xludf.DUMMYFUNCTION("IFERROR(INDEX(FILTER('Kế hoạch chèn link (mới)'!$B$3:$B$2213,'Kế hoạch chèn link (mới)'!$D$3:$D$2213=$B227),5),"""")"),"")</f>
        <v/>
      </c>
    </row>
    <row r="228">
      <c r="A228" s="6">
        <f t="shared" si="1"/>
        <v>227</v>
      </c>
      <c r="B228" s="8" t="s">
        <v>1501</v>
      </c>
      <c r="C228" s="6">
        <f>COUNTIF('Kế hoạch chèn link (mới)'!$D$3:$D$2213,$B228)</f>
        <v>3</v>
      </c>
      <c r="D228" s="8" t="str">
        <f>IF(COUNTIFS('Kế hoạch chèn link (mới)'!$D$3:$D$2213,$B228,'Kế hoạch chèn link (mới)'!$I$3:$I$2213,"Đã chèn")&gt;=$C228,"Đã hoàn thành",IF(COUNTIFS('Kế hoạch chèn link (mới)'!$D$3:$D$2213,$B228,'Kế hoạch chèn link (mới)'!$I$3:$I$2213,"Đã chèn")&gt;0,"Đang làm","Chưa hoàn thành"))</f>
        <v>Chưa hoàn thành</v>
      </c>
      <c r="E228" s="8" t="b">
        <f t="shared" si="2"/>
        <v>0</v>
      </c>
      <c r="F228" s="25"/>
      <c r="G228" s="25" t="str">
        <f>IFERROR(__xludf.DUMMYFUNCTION("IFERROR(INDEX(FILTER('Kế hoạch chèn link (mới)'!$C$3:$C$2213,'Kế hoạch chèn link (mới)'!$D$3:$D$2213=$B228),1),"""")"),"thuế thu nhập cá nhân")</f>
        <v>thuế thu nhập cá nhân</v>
      </c>
      <c r="H228" s="25" t="str">
        <f>IFERROR(__xludf.DUMMYFUNCTION("IFERROR(INDEX(FILTER('Kế hoạch chèn link (mới)'!$B$3:$B$2213,'Kế hoạch chèn link (mới)'!$D$3:$D$2213=$B228),1),"""")"),"https://techcombank.com/thong-tin/blog/cach-tinh-thue-thu-nhap-ca-nhan-2025")</f>
        <v>https://techcombank.com/thong-tin/blog/cach-tinh-thue-thu-nhap-ca-nhan-2025</v>
      </c>
      <c r="I228" s="25" t="str">
        <f>IFERROR(__xludf.DUMMYFUNCTION("IFERROR(INDEX(FILTER('Kế hoạch chèn link (mới)'!$C$3:$C$2213,'Kế hoạch chèn link (mới)'!$D$3:$D$2213=$B228),2),"""")"),"thuế thu nhập cá nhân")</f>
        <v>thuế thu nhập cá nhân</v>
      </c>
      <c r="J228" s="25" t="str">
        <f>IFERROR(__xludf.DUMMYFUNCTION("IFERROR(INDEX(FILTER('Kế hoạch chèn link (mới)'!$B$3:$B$2213,'Kế hoạch chèn link (mới)'!$D$3:$D$2213=$B228),2),"""")"),"https://techcombank.com/thong-tin/blog/thue-thu-nhap-ca-nhan")</f>
        <v>https://techcombank.com/thong-tin/blog/thue-thu-nhap-ca-nhan</v>
      </c>
      <c r="K228" s="25" t="str">
        <f>IFERROR(__xludf.DUMMYFUNCTION("IFERROR(INDEX(FILTER('Kế hoạch chèn link (mới)'!$C$3:$C$2213,'Kế hoạch chèn link (mới)'!$D$3:$D$2213=$B228),3),"""")"),"cách đầu tư chứng chỉ quỹ")</f>
        <v>cách đầu tư chứng chỉ quỹ</v>
      </c>
      <c r="L228" s="25" t="str">
        <f>IFERROR(__xludf.DUMMYFUNCTION("IFERROR(INDEX(FILTER('Kế hoạch chèn link (mới)'!$B$3:$B$2213,'Kế hoạch chèn link (mới)'!$D$3:$D$2213=$B228),3),"""")"),"https://techcombank.com/thong-tin/blog/phuong-phap-dau-tu-chung-chi-quy")</f>
        <v>https://techcombank.com/thong-tin/blog/phuong-phap-dau-tu-chung-chi-quy</v>
      </c>
      <c r="M228" s="25" t="str">
        <f>IFERROR(__xludf.DUMMYFUNCTION("IFERROR(INDEX(FILTER('Kế hoạch chèn link (mới)'!$C$3:$C$2213,'Kế hoạch chèn link (mới)'!$D$3:$D$2213=$B228),4),"""")"),"")</f>
        <v/>
      </c>
      <c r="N228" s="25" t="str">
        <f>IFERROR(__xludf.DUMMYFUNCTION("IFERROR(INDEX(FILTER('Kế hoạch chèn link (mới)'!$B$3:$B$2213,'Kế hoạch chèn link (mới)'!$D$3:$D$2213=$B228),4),"""")"),"")</f>
        <v/>
      </c>
      <c r="O228" s="25" t="str">
        <f>IFERROR(__xludf.DUMMYFUNCTION("IFERROR(INDEX(FILTER('Kế hoạch chèn link (mới)'!$C$3:$C$2213,'Kế hoạch chèn link (mới)'!$D$3:$D$2213=$B228),5),"""")"),"")</f>
        <v/>
      </c>
      <c r="P228" s="25" t="str">
        <f>IFERROR(__xludf.DUMMYFUNCTION("IFERROR(INDEX(FILTER('Kế hoạch chèn link (mới)'!$B$3:$B$2213,'Kế hoạch chèn link (mới)'!$D$3:$D$2213=$B228),5),"""")"),"")</f>
        <v/>
      </c>
    </row>
    <row r="229">
      <c r="A229" s="6">
        <f t="shared" si="1"/>
        <v>228</v>
      </c>
      <c r="B229" s="8" t="s">
        <v>910</v>
      </c>
      <c r="C229" s="6">
        <f>COUNTIF('Kế hoạch chèn link (mới)'!$D$3:$D$2213,$B229)</f>
        <v>2</v>
      </c>
      <c r="D229" s="8" t="str">
        <f>IF(COUNTIFS('Kế hoạch chèn link (mới)'!$D$3:$D$2213,$B229,'Kế hoạch chèn link (mới)'!$I$3:$I$2213,"Đã chèn")&gt;=$C229,"Đã hoàn thành",IF(COUNTIFS('Kế hoạch chèn link (mới)'!$D$3:$D$2213,$B229,'Kế hoạch chèn link (mới)'!$I$3:$I$2213,"Đã chèn")&gt;0,"Đang làm","Chưa hoàn thành"))</f>
        <v>Chưa hoàn thành</v>
      </c>
      <c r="E229" s="8" t="b">
        <f t="shared" si="2"/>
        <v>0</v>
      </c>
      <c r="F229" s="25"/>
      <c r="G229" s="25" t="str">
        <f>IFERROR(__xludf.DUMMYFUNCTION("IFERROR(INDEX(FILTER('Kế hoạch chèn link (mới)'!$C$3:$C$2213,'Kế hoạch chèn link (mới)'!$D$3:$D$2213=$B229),1),"""")"),"thuế giá trị gia tăng")</f>
        <v>thuế giá trị gia tăng</v>
      </c>
      <c r="H229" s="25" t="str">
        <f>IFERROR(__xludf.DUMMYFUNCTION("IFERROR(INDEX(FILTER('Kế hoạch chèn link (mới)'!$B$3:$B$2213,'Kế hoạch chèn link (mới)'!$D$3:$D$2213=$B229),1),"""")"),"https://techcombank.com/thong-tin/blog/thue-vat-la-gi")</f>
        <v>https://techcombank.com/thong-tin/blog/thue-vat-la-gi</v>
      </c>
      <c r="I229" s="25" t="str">
        <f>IFERROR(__xludf.DUMMYFUNCTION("IFERROR(INDEX(FILTER('Kế hoạch chèn link (mới)'!$C$3:$C$2213,'Kế hoạch chèn link (mới)'!$D$3:$D$2213=$B229),2),"""")"),"thấu chi là gì")</f>
        <v>thấu chi là gì</v>
      </c>
      <c r="J229" s="25" t="str">
        <f>IFERROR(__xludf.DUMMYFUNCTION("IFERROR(INDEX(FILTER('Kế hoạch chèn link (mới)'!$B$3:$B$2213,'Kế hoạch chèn link (mới)'!$D$3:$D$2213=$B229),2),"""")"),"https://techcombank.com/thong-tin/blog/vay-thau-chi-la-gi")</f>
        <v>https://techcombank.com/thong-tin/blog/vay-thau-chi-la-gi</v>
      </c>
      <c r="K229" s="25" t="str">
        <f>IFERROR(__xludf.DUMMYFUNCTION("IFERROR(INDEX(FILTER('Kế hoạch chèn link (mới)'!$C$3:$C$2213,'Kế hoạch chèn link (mới)'!$D$3:$D$2213=$B229),3),"""")"),"")</f>
        <v/>
      </c>
      <c r="L229" s="25" t="str">
        <f>IFERROR(__xludf.DUMMYFUNCTION("IFERROR(INDEX(FILTER('Kế hoạch chèn link (mới)'!$B$3:$B$2213,'Kế hoạch chèn link (mới)'!$D$3:$D$2213=$B229),3),"""")"),"")</f>
        <v/>
      </c>
      <c r="M229" s="25" t="str">
        <f>IFERROR(__xludf.DUMMYFUNCTION("IFERROR(INDEX(FILTER('Kế hoạch chèn link (mới)'!$C$3:$C$2213,'Kế hoạch chèn link (mới)'!$D$3:$D$2213=$B229),4),"""")"),"")</f>
        <v/>
      </c>
      <c r="N229" s="25" t="str">
        <f>IFERROR(__xludf.DUMMYFUNCTION("IFERROR(INDEX(FILTER('Kế hoạch chèn link (mới)'!$B$3:$B$2213,'Kế hoạch chèn link (mới)'!$D$3:$D$2213=$B229),4),"""")"),"")</f>
        <v/>
      </c>
      <c r="O229" s="25" t="str">
        <f>IFERROR(__xludf.DUMMYFUNCTION("IFERROR(INDEX(FILTER('Kế hoạch chèn link (mới)'!$C$3:$C$2213,'Kế hoạch chèn link (mới)'!$D$3:$D$2213=$B229),5),"""")"),"")</f>
        <v/>
      </c>
      <c r="P229" s="25" t="str">
        <f>IFERROR(__xludf.DUMMYFUNCTION("IFERROR(INDEX(FILTER('Kế hoạch chèn link (mới)'!$B$3:$B$2213,'Kế hoạch chèn link (mới)'!$D$3:$D$2213=$B229),5),"""")"),"")</f>
        <v/>
      </c>
    </row>
    <row r="230">
      <c r="A230" s="6">
        <f t="shared" si="1"/>
        <v>229</v>
      </c>
      <c r="B230" s="8" t="s">
        <v>2854</v>
      </c>
      <c r="C230" s="6">
        <f>COUNTIF('Kế hoạch chèn link (mới)'!$D$3:$D$2213,$B230)</f>
        <v>3</v>
      </c>
      <c r="D230" s="8" t="str">
        <f>IF(COUNTIFS('Kế hoạch chèn link (mới)'!$D$3:$D$2213,$B230,'Kế hoạch chèn link (mới)'!$I$3:$I$2213,"Đã chèn")&gt;=$C230,"Đã hoàn thành",IF(COUNTIFS('Kế hoạch chèn link (mới)'!$D$3:$D$2213,$B230,'Kế hoạch chèn link (mới)'!$I$3:$I$2213,"Đã chèn")&gt;0,"Đang làm","Chưa hoàn thành"))</f>
        <v>Chưa hoàn thành</v>
      </c>
      <c r="E230" s="8" t="b">
        <f t="shared" si="2"/>
        <v>0</v>
      </c>
      <c r="F230" s="25"/>
      <c r="G230" s="25" t="str">
        <f>IFERROR(__xludf.DUMMYFUNCTION("IFERROR(INDEX(FILTER('Kế hoạch chèn link (mới)'!$C$3:$C$2213,'Kế hoạch chèn link (mới)'!$D$3:$D$2213=$B230),1),"""")"),"tính lãi vay ngân hàng")</f>
        <v>tính lãi vay ngân hàng</v>
      </c>
      <c r="H230" s="25" t="str">
        <f>IFERROR(__xludf.DUMMYFUNCTION("IFERROR(INDEX(FILTER('Kế hoạch chèn link (mới)'!$B$3:$B$2213,'Kế hoạch chèn link (mới)'!$D$3:$D$2213=$B230),1),"""")"),"https://techcombank.com/cong-cu-tien-ich/cong-cu-tinh-toan/bang-tinh-lai-suat-vay")</f>
        <v>https://techcombank.com/cong-cu-tien-ich/cong-cu-tinh-toan/bang-tinh-lai-suat-vay</v>
      </c>
      <c r="I230" s="25" t="str">
        <f>IFERROR(__xludf.DUMMYFUNCTION("IFERROR(INDEX(FILTER('Kế hoạch chèn link (mới)'!$C$3:$C$2213,'Kế hoạch chèn link (mới)'!$D$3:$D$2213=$B230),2),"""")"),"vay")</f>
        <v>vay</v>
      </c>
      <c r="J230" s="25" t="str">
        <f>IFERROR(__xludf.DUMMYFUNCTION("IFERROR(INDEX(FILTER('Kế hoạch chèn link (mới)'!$B$3:$B$2213,'Kế hoạch chèn link (mới)'!$D$3:$D$2213=$B230),2),"""")"),"https://techcombank.com/thong-tin/blog/app-vay-tien-nhanh")</f>
        <v>https://techcombank.com/thong-tin/blog/app-vay-tien-nhanh</v>
      </c>
      <c r="K230" s="25" t="str">
        <f>IFERROR(__xludf.DUMMYFUNCTION("IFERROR(INDEX(FILTER('Kế hoạch chèn link (mới)'!$C$3:$C$2213,'Kế hoạch chèn link (mới)'!$D$3:$D$2213=$B230),3),"""")"),"cách đầu tư chứng chỉ quỹ")</f>
        <v>cách đầu tư chứng chỉ quỹ</v>
      </c>
      <c r="L230" s="25" t="str">
        <f>IFERROR(__xludf.DUMMYFUNCTION("IFERROR(INDEX(FILTER('Kế hoạch chèn link (mới)'!$B$3:$B$2213,'Kế hoạch chèn link (mới)'!$D$3:$D$2213=$B230),3),"""")"),"https://techcombank.com/thong-tin/blog/phuong-phap-dau-tu-chung-chi-quy")</f>
        <v>https://techcombank.com/thong-tin/blog/phuong-phap-dau-tu-chung-chi-quy</v>
      </c>
      <c r="M230" s="25" t="str">
        <f>IFERROR(__xludf.DUMMYFUNCTION("IFERROR(INDEX(FILTER('Kế hoạch chèn link (mới)'!$C$3:$C$2213,'Kế hoạch chèn link (mới)'!$D$3:$D$2213=$B230),4),"""")"),"")</f>
        <v/>
      </c>
      <c r="N230" s="25" t="str">
        <f>IFERROR(__xludf.DUMMYFUNCTION("IFERROR(INDEX(FILTER('Kế hoạch chèn link (mới)'!$B$3:$B$2213,'Kế hoạch chèn link (mới)'!$D$3:$D$2213=$B230),4),"""")"),"")</f>
        <v/>
      </c>
      <c r="O230" s="25" t="str">
        <f>IFERROR(__xludf.DUMMYFUNCTION("IFERROR(INDEX(FILTER('Kế hoạch chèn link (mới)'!$C$3:$C$2213,'Kế hoạch chèn link (mới)'!$D$3:$D$2213=$B230),5),"""")"),"")</f>
        <v/>
      </c>
      <c r="P230" s="25" t="str">
        <f>IFERROR(__xludf.DUMMYFUNCTION("IFERROR(INDEX(FILTER('Kế hoạch chèn link (mới)'!$B$3:$B$2213,'Kế hoạch chèn link (mới)'!$D$3:$D$2213=$B230),5),"""")"),"")</f>
        <v/>
      </c>
    </row>
    <row r="231">
      <c r="A231" s="6">
        <f t="shared" si="1"/>
        <v>230</v>
      </c>
      <c r="B231" s="8" t="s">
        <v>1945</v>
      </c>
      <c r="C231" s="6">
        <f>COUNTIF('Kế hoạch chèn link (mới)'!$D$3:$D$2213,$B231)</f>
        <v>1</v>
      </c>
      <c r="D231" s="8" t="str">
        <f>IF(COUNTIFS('Kế hoạch chèn link (mới)'!$D$3:$D$2213,$B231,'Kế hoạch chèn link (mới)'!$I$3:$I$2213,"Đã chèn")&gt;=$C231,"Đã hoàn thành",IF(COUNTIFS('Kế hoạch chèn link (mới)'!$D$3:$D$2213,$B231,'Kế hoạch chèn link (mới)'!$I$3:$I$2213,"Đã chèn")&gt;0,"Đang làm","Chưa hoàn thành"))</f>
        <v>Chưa hoàn thành</v>
      </c>
      <c r="E231" s="8" t="b">
        <f t="shared" si="2"/>
        <v>0</v>
      </c>
      <c r="F231" s="25"/>
      <c r="G231" s="25" t="str">
        <f>IFERROR(__xludf.DUMMYFUNCTION("IFERROR(INDEX(FILTER('Kế hoạch chèn link (mới)'!$C$3:$C$2213,'Kế hoạch chèn link (mới)'!$D$3:$D$2213=$B231),1),"""")"),"ngân hàng uy tín")</f>
        <v>ngân hàng uy tín</v>
      </c>
      <c r="H231" s="25" t="str">
        <f>IFERROR(__xludf.DUMMYFUNCTION("IFERROR(INDEX(FILTER('Kế hoạch chèn link (mới)'!$B$3:$B$2213,'Kế hoạch chèn link (mới)'!$D$3:$D$2213=$B231),1),"""")"),"https://techcombank.com/thong-tin/blog/ngan-hang-uy-tin")</f>
        <v>https://techcombank.com/thong-tin/blog/ngan-hang-uy-tin</v>
      </c>
      <c r="I231" s="25" t="str">
        <f>IFERROR(__xludf.DUMMYFUNCTION("IFERROR(INDEX(FILTER('Kế hoạch chèn link (mới)'!$C$3:$C$2213,'Kế hoạch chèn link (mới)'!$D$3:$D$2213=$B231),2),"""")"),"")</f>
        <v/>
      </c>
      <c r="J231" s="25" t="str">
        <f>IFERROR(__xludf.DUMMYFUNCTION("IFERROR(INDEX(FILTER('Kế hoạch chèn link (mới)'!$B$3:$B$2213,'Kế hoạch chèn link (mới)'!$D$3:$D$2213=$B231),2),"""")"),"")</f>
        <v/>
      </c>
      <c r="K231" s="25" t="str">
        <f>IFERROR(__xludf.DUMMYFUNCTION("IFERROR(INDEX(FILTER('Kế hoạch chèn link (mới)'!$C$3:$C$2213,'Kế hoạch chèn link (mới)'!$D$3:$D$2213=$B231),3),"""")"),"")</f>
        <v/>
      </c>
      <c r="L231" s="25" t="str">
        <f>IFERROR(__xludf.DUMMYFUNCTION("IFERROR(INDEX(FILTER('Kế hoạch chèn link (mới)'!$B$3:$B$2213,'Kế hoạch chèn link (mới)'!$D$3:$D$2213=$B231),3),"""")"),"")</f>
        <v/>
      </c>
      <c r="M231" s="25" t="str">
        <f>IFERROR(__xludf.DUMMYFUNCTION("IFERROR(INDEX(FILTER('Kế hoạch chèn link (mới)'!$C$3:$C$2213,'Kế hoạch chèn link (mới)'!$D$3:$D$2213=$B231),4),"""")"),"")</f>
        <v/>
      </c>
      <c r="N231" s="25" t="str">
        <f>IFERROR(__xludf.DUMMYFUNCTION("IFERROR(INDEX(FILTER('Kế hoạch chèn link (mới)'!$B$3:$B$2213,'Kế hoạch chèn link (mới)'!$D$3:$D$2213=$B231),4),"""")"),"")</f>
        <v/>
      </c>
      <c r="O231" s="25" t="str">
        <f>IFERROR(__xludf.DUMMYFUNCTION("IFERROR(INDEX(FILTER('Kế hoạch chèn link (mới)'!$C$3:$C$2213,'Kế hoạch chèn link (mới)'!$D$3:$D$2213=$B231),5),"""")"),"")</f>
        <v/>
      </c>
      <c r="P231" s="25" t="str">
        <f>IFERROR(__xludf.DUMMYFUNCTION("IFERROR(INDEX(FILTER('Kế hoạch chèn link (mới)'!$B$3:$B$2213,'Kế hoạch chèn link (mới)'!$D$3:$D$2213=$B231),5),"""")"),"")</f>
        <v/>
      </c>
    </row>
    <row r="232">
      <c r="A232" s="6">
        <f t="shared" si="1"/>
        <v>231</v>
      </c>
      <c r="B232" s="8" t="s">
        <v>2856</v>
      </c>
      <c r="C232" s="6">
        <f>COUNTIF('Kế hoạch chèn link (mới)'!$D$3:$D$2213,$B232)</f>
        <v>3</v>
      </c>
      <c r="D232" s="8" t="str">
        <f>IF(COUNTIFS('Kế hoạch chèn link (mới)'!$D$3:$D$2213,$B232,'Kế hoạch chèn link (mới)'!$I$3:$I$2213,"Đã chèn")&gt;=$C232,"Đã hoàn thành",IF(COUNTIFS('Kế hoạch chèn link (mới)'!$D$3:$D$2213,$B232,'Kế hoạch chèn link (mới)'!$I$3:$I$2213,"Đã chèn")&gt;0,"Đang làm","Chưa hoàn thành"))</f>
        <v>Chưa hoàn thành</v>
      </c>
      <c r="E232" s="8" t="b">
        <f t="shared" si="2"/>
        <v>0</v>
      </c>
      <c r="F232" s="25"/>
      <c r="G232" s="25" t="str">
        <f>IFERROR(__xludf.DUMMYFUNCTION("IFERROR(INDEX(FILTER('Kế hoạch chèn link (mới)'!$C$3:$C$2213,'Kế hoạch chèn link (mới)'!$D$3:$D$2213=$B232),1),"""")"),"tỷ giá USD/VND")</f>
        <v>tỷ giá USD/VND</v>
      </c>
      <c r="H232" s="25" t="str">
        <f>IFERROR(__xludf.DUMMYFUNCTION("IFERROR(INDEX(FILTER('Kế hoạch chèn link (mới)'!$B$3:$B$2213,'Kế hoạch chèn link (mới)'!$D$3:$D$2213=$B232),1),"""")"),"https://techcombank.com/thong-tin/blog/1-dong-do-la-my-bang-bao-nhieu-tien-viet-nam")</f>
        <v>https://techcombank.com/thong-tin/blog/1-dong-do-la-my-bang-bao-nhieu-tien-viet-nam</v>
      </c>
      <c r="I232" s="25" t="str">
        <f>IFERROR(__xludf.DUMMYFUNCTION("IFERROR(INDEX(FILTER('Kế hoạch chèn link (mới)'!$C$3:$C$2213,'Kế hoạch chèn link (mới)'!$D$3:$D$2213=$B232),2),"""")"),"lãi suất ngân hàng")</f>
        <v>lãi suất ngân hàng</v>
      </c>
      <c r="J232" s="25" t="str">
        <f>IFERROR(__xludf.DUMMYFUNCTION("IFERROR(INDEX(FILTER('Kế hoạch chèn link (mới)'!$B$3:$B$2213,'Kế hoạch chèn link (mới)'!$D$3:$D$2213=$B232),2),"""")"),"https://techcombank.com/thong-tin/blog/lai-suat-tiet-kiem")</f>
        <v>https://techcombank.com/thong-tin/blog/lai-suat-tiet-kiem</v>
      </c>
      <c r="K232" s="25" t="str">
        <f>IFERROR(__xludf.DUMMYFUNCTION("IFERROR(INDEX(FILTER('Kế hoạch chèn link (mới)'!$C$3:$C$2213,'Kế hoạch chèn link (mới)'!$D$3:$D$2213=$B232),3),"""")"),"tính lãi suất ngân hàng")</f>
        <v>tính lãi suất ngân hàng</v>
      </c>
      <c r="L232" s="25" t="str">
        <f>IFERROR(__xludf.DUMMYFUNCTION("IFERROR(INDEX(FILTER('Kế hoạch chèn link (mới)'!$B$3:$B$2213,'Kế hoạch chèn link (mới)'!$D$3:$D$2213=$B232),3),"""")"),"https://techcombank.com/thong-tin/blog/cach-tinh-lai-suat-tien-gui-tiet-kiem")</f>
        <v>https://techcombank.com/thong-tin/blog/cach-tinh-lai-suat-tien-gui-tiet-kiem</v>
      </c>
      <c r="M232" s="25" t="str">
        <f>IFERROR(__xludf.DUMMYFUNCTION("IFERROR(INDEX(FILTER('Kế hoạch chèn link (mới)'!$C$3:$C$2213,'Kế hoạch chèn link (mới)'!$D$3:$D$2213=$B232),4),"""")"),"")</f>
        <v/>
      </c>
      <c r="N232" s="25" t="str">
        <f>IFERROR(__xludf.DUMMYFUNCTION("IFERROR(INDEX(FILTER('Kế hoạch chèn link (mới)'!$B$3:$B$2213,'Kế hoạch chèn link (mới)'!$D$3:$D$2213=$B232),4),"""")"),"")</f>
        <v/>
      </c>
      <c r="O232" s="25" t="str">
        <f>IFERROR(__xludf.DUMMYFUNCTION("IFERROR(INDEX(FILTER('Kế hoạch chèn link (mới)'!$C$3:$C$2213,'Kế hoạch chèn link (mới)'!$D$3:$D$2213=$B232),5),"""")"),"")</f>
        <v/>
      </c>
      <c r="P232" s="25" t="str">
        <f>IFERROR(__xludf.DUMMYFUNCTION("IFERROR(INDEX(FILTER('Kế hoạch chèn link (mới)'!$B$3:$B$2213,'Kế hoạch chèn link (mới)'!$D$3:$D$2213=$B232),5),"""")"),"")</f>
        <v/>
      </c>
    </row>
    <row r="233">
      <c r="A233" s="6">
        <f t="shared" si="1"/>
        <v>232</v>
      </c>
      <c r="B233" s="8" t="s">
        <v>1447</v>
      </c>
      <c r="C233" s="6">
        <f>COUNTIF('Kế hoạch chèn link (mới)'!$D$3:$D$2213,$B233)</f>
        <v>1</v>
      </c>
      <c r="D233" s="8" t="str">
        <f>IF(COUNTIFS('Kế hoạch chèn link (mới)'!$D$3:$D$2213,$B233,'Kế hoạch chèn link (mới)'!$I$3:$I$2213,"Đã chèn")&gt;=$C233,"Đã hoàn thành",IF(COUNTIFS('Kế hoạch chèn link (mới)'!$D$3:$D$2213,$B233,'Kế hoạch chèn link (mới)'!$I$3:$I$2213,"Đã chèn")&gt;0,"Đang làm","Chưa hoàn thành"))</f>
        <v>Chưa hoàn thành</v>
      </c>
      <c r="E233" s="8" t="b">
        <f t="shared" si="2"/>
        <v>0</v>
      </c>
      <c r="F233" s="25"/>
      <c r="G233" s="25" t="str">
        <f>IFERROR(__xludf.DUMMYFUNCTION("IFERROR(INDEX(FILTER('Kế hoạch chèn link (mới)'!$C$3:$C$2213,'Kế hoạch chèn link (mới)'!$D$3:$D$2213=$B233),1),"""")"),"giá điện sinh hoạt mới nhất")</f>
        <v>giá điện sinh hoạt mới nhất</v>
      </c>
      <c r="H233" s="25" t="str">
        <f>IFERROR(__xludf.DUMMYFUNCTION("IFERROR(INDEX(FILTER('Kế hoạch chèn link (mới)'!$B$3:$B$2213,'Kế hoạch chèn link (mới)'!$D$3:$D$2213=$B233),1),"""")"),"https://techcombank.com/thong-tin/blog/cach-tinh-tien-dien-sinh-hoat")</f>
        <v>https://techcombank.com/thong-tin/blog/cach-tinh-tien-dien-sinh-hoat</v>
      </c>
      <c r="I233" s="25" t="str">
        <f>IFERROR(__xludf.DUMMYFUNCTION("IFERROR(INDEX(FILTER('Kế hoạch chèn link (mới)'!$C$3:$C$2213,'Kế hoạch chèn link (mới)'!$D$3:$D$2213=$B233),2),"""")"),"")</f>
        <v/>
      </c>
      <c r="J233" s="25" t="str">
        <f>IFERROR(__xludf.DUMMYFUNCTION("IFERROR(INDEX(FILTER('Kế hoạch chèn link (mới)'!$B$3:$B$2213,'Kế hoạch chèn link (mới)'!$D$3:$D$2213=$B233),2),"""")"),"")</f>
        <v/>
      </c>
      <c r="K233" s="25" t="str">
        <f>IFERROR(__xludf.DUMMYFUNCTION("IFERROR(INDEX(FILTER('Kế hoạch chèn link (mới)'!$C$3:$C$2213,'Kế hoạch chèn link (mới)'!$D$3:$D$2213=$B233),3),"""")"),"")</f>
        <v/>
      </c>
      <c r="L233" s="25" t="str">
        <f>IFERROR(__xludf.DUMMYFUNCTION("IFERROR(INDEX(FILTER('Kế hoạch chèn link (mới)'!$B$3:$B$2213,'Kế hoạch chèn link (mới)'!$D$3:$D$2213=$B233),3),"""")"),"")</f>
        <v/>
      </c>
      <c r="M233" s="25" t="str">
        <f>IFERROR(__xludf.DUMMYFUNCTION("IFERROR(INDEX(FILTER('Kế hoạch chèn link (mới)'!$C$3:$C$2213,'Kế hoạch chèn link (mới)'!$D$3:$D$2213=$B233),4),"""")"),"")</f>
        <v/>
      </c>
      <c r="N233" s="25" t="str">
        <f>IFERROR(__xludf.DUMMYFUNCTION("IFERROR(INDEX(FILTER('Kế hoạch chèn link (mới)'!$B$3:$B$2213,'Kế hoạch chèn link (mới)'!$D$3:$D$2213=$B233),4),"""")"),"")</f>
        <v/>
      </c>
      <c r="O233" s="25" t="str">
        <f>IFERROR(__xludf.DUMMYFUNCTION("IFERROR(INDEX(FILTER('Kế hoạch chèn link (mới)'!$C$3:$C$2213,'Kế hoạch chèn link (mới)'!$D$3:$D$2213=$B233),5),"""")"),"")</f>
        <v/>
      </c>
      <c r="P233" s="25" t="str">
        <f>IFERROR(__xludf.DUMMYFUNCTION("IFERROR(INDEX(FILTER('Kế hoạch chèn link (mới)'!$B$3:$B$2213,'Kế hoạch chèn link (mới)'!$D$3:$D$2213=$B233),5),"""")"),"")</f>
        <v/>
      </c>
    </row>
    <row r="234">
      <c r="A234" s="6">
        <f t="shared" si="1"/>
        <v>233</v>
      </c>
      <c r="B234" s="8" t="s">
        <v>762</v>
      </c>
      <c r="C234" s="6">
        <f>COUNTIF('Kế hoạch chèn link (mới)'!$D$3:$D$2213,$B234)</f>
        <v>5</v>
      </c>
      <c r="D234" s="8" t="str">
        <f>IF(COUNTIFS('Kế hoạch chèn link (mới)'!$D$3:$D$2213,$B234,'Kế hoạch chèn link (mới)'!$I$3:$I$2213,"Đã chèn")&gt;=$C234,"Đã hoàn thành",IF(COUNTIFS('Kế hoạch chèn link (mới)'!$D$3:$D$2213,$B234,'Kế hoạch chèn link (mới)'!$I$3:$I$2213,"Đã chèn")&gt;0,"Đang làm","Chưa hoàn thành"))</f>
        <v>Chưa hoàn thành</v>
      </c>
      <c r="E234" s="8" t="b">
        <f t="shared" si="2"/>
        <v>0</v>
      </c>
      <c r="F234" s="25"/>
      <c r="G234" s="25" t="str">
        <f>IFERROR(__xludf.DUMMYFUNCTION("IFERROR(INDEX(FILTER('Kế hoạch chèn link (mới)'!$C$3:$C$2213,'Kế hoạch chèn link (mới)'!$D$3:$D$2213=$B234),1),"""")"),"thuế thu nhập doanh nghiệp")</f>
        <v>thuế thu nhập doanh nghiệp</v>
      </c>
      <c r="H234" s="25" t="str">
        <f>IFERROR(__xludf.DUMMYFUNCTION("IFERROR(INDEX(FILTER('Kế hoạch chèn link (mới)'!$B$3:$B$2213,'Kế hoạch chèn link (mới)'!$D$3:$D$2213=$B234),1),"""")"),"https://techcombank.com/thong-tin/blog/thue-thu-nhap-doanh-nghiep")</f>
        <v>https://techcombank.com/thong-tin/blog/thue-thu-nhap-doanh-nghiep</v>
      </c>
      <c r="I234" s="25" t="str">
        <f>IFERROR(__xludf.DUMMYFUNCTION("IFERROR(INDEX(FILTER('Kế hoạch chèn link (mới)'!$C$3:$C$2213,'Kế hoạch chèn link (mới)'!$D$3:$D$2213=$B234),2),"""")"),"thuế VAT")</f>
        <v>thuế VAT</v>
      </c>
      <c r="J234" s="25" t="str">
        <f>IFERROR(__xludf.DUMMYFUNCTION("IFERROR(INDEX(FILTER('Kế hoạch chèn link (mới)'!$B$3:$B$2213,'Kế hoạch chèn link (mới)'!$D$3:$D$2213=$B234),2),"""")"),"https://techcombank.com/thong-tin/blog/thue-vat-la-gi")</f>
        <v>https://techcombank.com/thong-tin/blog/thue-vat-la-gi</v>
      </c>
      <c r="K234" s="25" t="str">
        <f>IFERROR(__xludf.DUMMYFUNCTION("IFERROR(INDEX(FILTER('Kế hoạch chèn link (mới)'!$C$3:$C$2213,'Kế hoạch chèn link (mới)'!$D$3:$D$2213=$B234),3),"""")"),"thuế doanh nghiệp")</f>
        <v>thuế doanh nghiệp</v>
      </c>
      <c r="L234" s="25" t="str">
        <f>IFERROR(__xludf.DUMMYFUNCTION("IFERROR(INDEX(FILTER('Kế hoạch chèn link (mới)'!$B$3:$B$2213,'Kế hoạch chèn link (mới)'!$D$3:$D$2213=$B234),3),"""")"),"https://techcombank.com/thong-tin/blog/thue-doanh-nghiep")</f>
        <v>https://techcombank.com/thong-tin/blog/thue-doanh-nghiep</v>
      </c>
      <c r="M234" s="25" t="str">
        <f>IFERROR(__xludf.DUMMYFUNCTION("IFERROR(INDEX(FILTER('Kế hoạch chèn link (mới)'!$C$3:$C$2213,'Kế hoạch chèn link (mới)'!$D$3:$D$2213=$B234),4),"""")"),"thuế thu nhập cá nhân")</f>
        <v>thuế thu nhập cá nhân</v>
      </c>
      <c r="N234" s="25" t="str">
        <f>IFERROR(__xludf.DUMMYFUNCTION("IFERROR(INDEX(FILTER('Kế hoạch chèn link (mới)'!$B$3:$B$2213,'Kế hoạch chèn link (mới)'!$D$3:$D$2213=$B234),4),"""")"),"https://techcombank.com/thong-tin/blog/cach-tinh-thue-thu-nhap-ca-nhan-2025")</f>
        <v>https://techcombank.com/thong-tin/blog/cach-tinh-thue-thu-nhap-ca-nhan-2025</v>
      </c>
      <c r="O234" s="25" t="str">
        <f>IFERROR(__xludf.DUMMYFUNCTION("IFERROR(INDEX(FILTER('Kế hoạch chèn link (mới)'!$C$3:$C$2213,'Kế hoạch chèn link (mới)'!$D$3:$D$2213=$B234),5),"""")"),"thuế thu nhập cá nhân")</f>
        <v>thuế thu nhập cá nhân</v>
      </c>
      <c r="P234" s="25" t="str">
        <f>IFERROR(__xludf.DUMMYFUNCTION("IFERROR(INDEX(FILTER('Kế hoạch chèn link (mới)'!$B$3:$B$2213,'Kế hoạch chèn link (mới)'!$D$3:$D$2213=$B234),5),"""")"),"https://techcombank.com/thong-tin/blog/thue-thu-nhap-ca-nhan")</f>
        <v>https://techcombank.com/thong-tin/blog/thue-thu-nhap-ca-nhan</v>
      </c>
    </row>
    <row r="235">
      <c r="A235" s="6">
        <f t="shared" si="1"/>
        <v>234</v>
      </c>
      <c r="B235" s="8" t="s">
        <v>2340</v>
      </c>
      <c r="C235" s="6">
        <f>COUNTIF('Kế hoạch chèn link (mới)'!$D$3:$D$2213,$B235)</f>
        <v>3</v>
      </c>
      <c r="D235" s="8" t="str">
        <f>IF(COUNTIFS('Kế hoạch chèn link (mới)'!$D$3:$D$2213,$B235,'Kế hoạch chèn link (mới)'!$I$3:$I$2213,"Đã chèn")&gt;=$C235,"Đã hoàn thành",IF(COUNTIFS('Kế hoạch chèn link (mới)'!$D$3:$D$2213,$B235,'Kế hoạch chèn link (mới)'!$I$3:$I$2213,"Đã chèn")&gt;0,"Đang làm","Chưa hoàn thành"))</f>
        <v>Chưa hoàn thành</v>
      </c>
      <c r="E235" s="8" t="b">
        <f t="shared" si="2"/>
        <v>0</v>
      </c>
      <c r="F235" s="25"/>
      <c r="G235" s="25" t="str">
        <f>IFERROR(__xludf.DUMMYFUNCTION("IFERROR(INDEX(FILTER('Kế hoạch chèn link (mới)'!$C$3:$C$2213,'Kế hoạch chèn link (mới)'!$D$3:$D$2213=$B235),1),"""")"),"sao kê tài khoản ngân hàng")</f>
        <v>sao kê tài khoản ngân hàng</v>
      </c>
      <c r="H235" s="25" t="str">
        <f>IFERROR(__xludf.DUMMYFUNCTION("IFERROR(INDEX(FILTER('Kế hoạch chèn link (mới)'!$B$3:$B$2213,'Kế hoạch chèn link (mới)'!$D$3:$D$2213=$B235),1),"""")"),"https://techcombank.com/thong-tin/blog/cach-sao-ke-tai-khoan-ngan-hang")</f>
        <v>https://techcombank.com/thong-tin/blog/cach-sao-ke-tai-khoan-ngan-hang</v>
      </c>
      <c r="I235" s="25" t="str">
        <f>IFERROR(__xludf.DUMMYFUNCTION("IFERROR(INDEX(FILTER('Kế hoạch chèn link (mới)'!$C$3:$C$2213,'Kế hoạch chèn link (mới)'!$D$3:$D$2213=$B235),2),"""")"),"kiểm tra cic")</f>
        <v>kiểm tra cic</v>
      </c>
      <c r="J235" s="25" t="str">
        <f>IFERROR(__xludf.DUMMYFUNCTION("IFERROR(INDEX(FILTER('Kế hoạch chèn link (mới)'!$B$3:$B$2213,'Kế hoạch chèn link (mới)'!$D$3:$D$2213=$B235),2),"""")"),"https://techcombank.com/thong-tin/blog/cic-la-gi")</f>
        <v>https://techcombank.com/thong-tin/blog/cic-la-gi</v>
      </c>
      <c r="K235" s="25" t="str">
        <f>IFERROR(__xludf.DUMMYFUNCTION("IFERROR(INDEX(FILTER('Kế hoạch chèn link (mới)'!$C$3:$C$2213,'Kế hoạch chèn link (mới)'!$D$3:$D$2213=$B235),3),"""")"),"tính lãi vay ngân hàng")</f>
        <v>tính lãi vay ngân hàng</v>
      </c>
      <c r="L235" s="25" t="str">
        <f>IFERROR(__xludf.DUMMYFUNCTION("IFERROR(INDEX(FILTER('Kế hoạch chèn link (mới)'!$B$3:$B$2213,'Kế hoạch chèn link (mới)'!$D$3:$D$2213=$B235),3),"""")"),"https://techcombank.com/cong-cu-tien-ich/cong-cu-tinh-toan/bang-tinh-lai-suat-vay")</f>
        <v>https://techcombank.com/cong-cu-tien-ich/cong-cu-tinh-toan/bang-tinh-lai-suat-vay</v>
      </c>
      <c r="M235" s="25" t="str">
        <f>IFERROR(__xludf.DUMMYFUNCTION("IFERROR(INDEX(FILTER('Kế hoạch chèn link (mới)'!$C$3:$C$2213,'Kế hoạch chèn link (mới)'!$D$3:$D$2213=$B235),4),"""")"),"")</f>
        <v/>
      </c>
      <c r="N235" s="25" t="str">
        <f>IFERROR(__xludf.DUMMYFUNCTION("IFERROR(INDEX(FILTER('Kế hoạch chèn link (mới)'!$B$3:$B$2213,'Kế hoạch chèn link (mới)'!$D$3:$D$2213=$B235),4),"""")"),"")</f>
        <v/>
      </c>
      <c r="O235" s="25" t="str">
        <f>IFERROR(__xludf.DUMMYFUNCTION("IFERROR(INDEX(FILTER('Kế hoạch chèn link (mới)'!$C$3:$C$2213,'Kế hoạch chèn link (mới)'!$D$3:$D$2213=$B235),5),"""")"),"")</f>
        <v/>
      </c>
      <c r="P235" s="25" t="str">
        <f>IFERROR(__xludf.DUMMYFUNCTION("IFERROR(INDEX(FILTER('Kế hoạch chèn link (mới)'!$B$3:$B$2213,'Kế hoạch chèn link (mới)'!$D$3:$D$2213=$B235),5),"""")"),"")</f>
        <v/>
      </c>
    </row>
    <row r="236">
      <c r="A236" s="6">
        <f t="shared" si="1"/>
        <v>235</v>
      </c>
      <c r="B236" s="8" t="s">
        <v>2857</v>
      </c>
      <c r="C236" s="6">
        <f>COUNTIF('Kế hoạch chèn link (mới)'!$D$3:$D$2213,$B236)</f>
        <v>5</v>
      </c>
      <c r="D236" s="8" t="str">
        <f>IF(COUNTIFS('Kế hoạch chèn link (mới)'!$D$3:$D$2213,$B236,'Kế hoạch chèn link (mới)'!$I$3:$I$2213,"Đã chèn")&gt;=$C236,"Đã hoàn thành",IF(COUNTIFS('Kế hoạch chèn link (mới)'!$D$3:$D$2213,$B236,'Kế hoạch chèn link (mới)'!$I$3:$I$2213,"Đã chèn")&gt;0,"Đang làm","Chưa hoàn thành"))</f>
        <v>Chưa hoàn thành</v>
      </c>
      <c r="E236" s="8" t="b">
        <f t="shared" si="2"/>
        <v>0</v>
      </c>
      <c r="F236" s="25"/>
      <c r="G236" s="25" t="str">
        <f>IFERROR(__xludf.DUMMYFUNCTION("IFERROR(INDEX(FILTER('Kế hoạch chèn link (mới)'!$C$3:$C$2213,'Kế hoạch chèn link (mới)'!$D$3:$D$2213=$B236),1),"""")"),"vay thế chấp sổ đỏ ngân hàng")</f>
        <v>vay thế chấp sổ đỏ ngân hàng</v>
      </c>
      <c r="H236" s="25" t="str">
        <f>IFERROR(__xludf.DUMMYFUNCTION("IFERROR(INDEX(FILTER('Kế hoạch chèn link (mới)'!$B$3:$B$2213,'Kế hoạch chèn link (mới)'!$D$3:$D$2213=$B236),1),"""")"),"https://techcombank.com/thong-tin/blog/lai-suat-vay-the-chap-so-do")</f>
        <v>https://techcombank.com/thong-tin/blog/lai-suat-vay-the-chap-so-do</v>
      </c>
      <c r="I236" s="25" t="str">
        <f>IFERROR(__xludf.DUMMYFUNCTION("IFERROR(INDEX(FILTER('Kế hoạch chèn link (mới)'!$C$3:$C$2213,'Kế hoạch chèn link (mới)'!$D$3:$D$2213=$B236),2),"""")"),"hồ sơ thủ tục xóa thế chấp")</f>
        <v>hồ sơ thủ tục xóa thế chấp</v>
      </c>
      <c r="J236" s="25" t="str">
        <f>IFERROR(__xludf.DUMMYFUNCTION("IFERROR(INDEX(FILTER('Kế hoạch chèn link (mới)'!$B$3:$B$2213,'Kế hoạch chèn link (mới)'!$D$3:$D$2213=$B236),2),"""")"),"https://techcombank.com/thong-tin/blog/ho-so-thu-tuc-xoa-the-chap")</f>
        <v>https://techcombank.com/thong-tin/blog/ho-so-thu-tuc-xoa-the-chap</v>
      </c>
      <c r="K236" s="25" t="str">
        <f>IFERROR(__xludf.DUMMYFUNCTION("IFERROR(INDEX(FILTER('Kế hoạch chèn link (mới)'!$C$3:$C$2213,'Kế hoạch chèn link (mới)'!$D$3:$D$2213=$B236),3),"""")"),"tính lãi vay ngân hàng")</f>
        <v>tính lãi vay ngân hàng</v>
      </c>
      <c r="L236" s="25" t="str">
        <f>IFERROR(__xludf.DUMMYFUNCTION("IFERROR(INDEX(FILTER('Kế hoạch chèn link (mới)'!$B$3:$B$2213,'Kế hoạch chèn link (mới)'!$D$3:$D$2213=$B236),3),"""")"),"https://techcombank.com/cong-cu-tien-ich/cong-cu-tinh-toan/bang-tinh-lai-suat-vay")</f>
        <v>https://techcombank.com/cong-cu-tien-ich/cong-cu-tinh-toan/bang-tinh-lai-suat-vay</v>
      </c>
      <c r="M236" s="25" t="str">
        <f>IFERROR(__xludf.DUMMYFUNCTION("IFERROR(INDEX(FILTER('Kế hoạch chèn link (mới)'!$C$3:$C$2213,'Kế hoạch chèn link (mới)'!$D$3:$D$2213=$B236),4),"""")"),"vay")</f>
        <v>vay</v>
      </c>
      <c r="N236" s="25" t="str">
        <f>IFERROR(__xludf.DUMMYFUNCTION("IFERROR(INDEX(FILTER('Kế hoạch chèn link (mới)'!$B$3:$B$2213,'Kế hoạch chèn link (mới)'!$D$3:$D$2213=$B236),4),"""")"),"https://techcombank.com/thong-tin/blog/app-vay-tien-nhanh")</f>
        <v>https://techcombank.com/thong-tin/blog/app-vay-tien-nhanh</v>
      </c>
      <c r="O236" s="25" t="str">
        <f>IFERROR(__xludf.DUMMYFUNCTION("IFERROR(INDEX(FILTER('Kế hoạch chèn link (mới)'!$C$3:$C$2213,'Kế hoạch chèn link (mới)'!$D$3:$D$2213=$B236),5),"""")"),"lãi suất cho vay ngân hàng")</f>
        <v>lãi suất cho vay ngân hàng</v>
      </c>
      <c r="P236" s="25" t="str">
        <f>IFERROR(__xludf.DUMMYFUNCTION("IFERROR(INDEX(FILTER('Kế hoạch chèn link (mới)'!$B$3:$B$2213,'Kế hoạch chèn link (mới)'!$D$3:$D$2213=$B236),5),"""")"),"https://techcombank.com/thong-tin/blog/lai-suat-vay-ngan-hang")</f>
        <v>https://techcombank.com/thong-tin/blog/lai-suat-vay-ngan-hang</v>
      </c>
    </row>
    <row r="237">
      <c r="A237" s="6">
        <f t="shared" si="1"/>
        <v>236</v>
      </c>
      <c r="B237" s="8" t="s">
        <v>2858</v>
      </c>
      <c r="C237" s="6">
        <f>COUNTIF('Kế hoạch chèn link (mới)'!$D$3:$D$2213,$B237)</f>
        <v>1</v>
      </c>
      <c r="D237" s="8" t="str">
        <f>IF(COUNTIFS('Kế hoạch chèn link (mới)'!$D$3:$D$2213,$B237,'Kế hoạch chèn link (mới)'!$I$3:$I$2213,"Đã chèn")&gt;=$C237,"Đã hoàn thành",IF(COUNTIFS('Kế hoạch chèn link (mới)'!$D$3:$D$2213,$B237,'Kế hoạch chèn link (mới)'!$I$3:$I$2213,"Đã chèn")&gt;0,"Đang làm","Chưa hoàn thành"))</f>
        <v>Chưa hoàn thành</v>
      </c>
      <c r="E237" s="8" t="b">
        <f t="shared" si="2"/>
        <v>0</v>
      </c>
      <c r="F237" s="25"/>
      <c r="G237" s="25" t="str">
        <f>IFERROR(__xludf.DUMMYFUNCTION("IFERROR(INDEX(FILTER('Kế hoạch chèn link (mới)'!$C$3:$C$2213,'Kế hoạch chèn link (mới)'!$D$3:$D$2213=$B237),1),"""")"),"cách lấy voucher Traveloka")</f>
        <v>cách lấy voucher Traveloka</v>
      </c>
      <c r="H237" s="25" t="str">
        <f>IFERROR(__xludf.DUMMYFUNCTION("IFERROR(INDEX(FILTER('Kế hoạch chèn link (mới)'!$B$3:$B$2213,'Kế hoạch chèn link (mới)'!$D$3:$D$2213=$B237),1),"""")"),"https://techcombank.com/thong-tin/blog/traveloka-voucher")</f>
        <v>https://techcombank.com/thong-tin/blog/traveloka-voucher</v>
      </c>
      <c r="I237" s="25" t="str">
        <f>IFERROR(__xludf.DUMMYFUNCTION("IFERROR(INDEX(FILTER('Kế hoạch chèn link (mới)'!$C$3:$C$2213,'Kế hoạch chèn link (mới)'!$D$3:$D$2213=$B237),2),"""")"),"")</f>
        <v/>
      </c>
      <c r="J237" s="25" t="str">
        <f>IFERROR(__xludf.DUMMYFUNCTION("IFERROR(INDEX(FILTER('Kế hoạch chèn link (mới)'!$B$3:$B$2213,'Kế hoạch chèn link (mới)'!$D$3:$D$2213=$B237),2),"""")"),"")</f>
        <v/>
      </c>
      <c r="K237" s="25" t="str">
        <f>IFERROR(__xludf.DUMMYFUNCTION("IFERROR(INDEX(FILTER('Kế hoạch chèn link (mới)'!$C$3:$C$2213,'Kế hoạch chèn link (mới)'!$D$3:$D$2213=$B237),3),"""")"),"")</f>
        <v/>
      </c>
      <c r="L237" s="25" t="str">
        <f>IFERROR(__xludf.DUMMYFUNCTION("IFERROR(INDEX(FILTER('Kế hoạch chèn link (mới)'!$B$3:$B$2213,'Kế hoạch chèn link (mới)'!$D$3:$D$2213=$B237),3),"""")"),"")</f>
        <v/>
      </c>
      <c r="M237" s="25" t="str">
        <f>IFERROR(__xludf.DUMMYFUNCTION("IFERROR(INDEX(FILTER('Kế hoạch chèn link (mới)'!$C$3:$C$2213,'Kế hoạch chèn link (mới)'!$D$3:$D$2213=$B237),4),"""")"),"")</f>
        <v/>
      </c>
      <c r="N237" s="25" t="str">
        <f>IFERROR(__xludf.DUMMYFUNCTION("IFERROR(INDEX(FILTER('Kế hoạch chèn link (mới)'!$B$3:$B$2213,'Kế hoạch chèn link (mới)'!$D$3:$D$2213=$B237),4),"""")"),"")</f>
        <v/>
      </c>
      <c r="O237" s="25" t="str">
        <f>IFERROR(__xludf.DUMMYFUNCTION("IFERROR(INDEX(FILTER('Kế hoạch chèn link (mới)'!$C$3:$C$2213,'Kế hoạch chèn link (mới)'!$D$3:$D$2213=$B237),5),"""")"),"")</f>
        <v/>
      </c>
      <c r="P237" s="25" t="str">
        <f>IFERROR(__xludf.DUMMYFUNCTION("IFERROR(INDEX(FILTER('Kế hoạch chèn link (mới)'!$B$3:$B$2213,'Kế hoạch chèn link (mới)'!$D$3:$D$2213=$B237),5),"""")"),"")</f>
        <v/>
      </c>
    </row>
    <row r="238">
      <c r="A238" s="6">
        <f t="shared" si="1"/>
        <v>237</v>
      </c>
      <c r="B238" s="8" t="s">
        <v>2859</v>
      </c>
      <c r="C238" s="6">
        <f>COUNTIF('Kế hoạch chèn link (mới)'!$D$3:$D$2213,$B238)</f>
        <v>1</v>
      </c>
      <c r="D238" s="8" t="str">
        <f>IF(COUNTIFS('Kế hoạch chèn link (mới)'!$D$3:$D$2213,$B238,'Kế hoạch chèn link (mới)'!$I$3:$I$2213,"Đã chèn")&gt;=$C238,"Đã hoàn thành",IF(COUNTIFS('Kế hoạch chèn link (mới)'!$D$3:$D$2213,$B238,'Kế hoạch chèn link (mới)'!$I$3:$I$2213,"Đã chèn")&gt;0,"Đang làm","Chưa hoàn thành"))</f>
        <v>Chưa hoàn thành</v>
      </c>
      <c r="E238" s="8" t="b">
        <f t="shared" si="2"/>
        <v>0</v>
      </c>
      <c r="F238" s="25"/>
      <c r="G238" s="25" t="str">
        <f>IFERROR(__xludf.DUMMYFUNCTION("IFERROR(INDEX(FILTER('Kế hoạch chèn link (mới)'!$C$3:$C$2213,'Kế hoạch chèn link (mới)'!$D$3:$D$2213=$B238),1),"""")"),"thẻ Eco")</f>
        <v>thẻ Eco</v>
      </c>
      <c r="H238" s="25" t="str">
        <f>IFERROR(__xludf.DUMMYFUNCTION("IFERROR(INDEX(FILTER('Kế hoạch chèn link (mới)'!$B$3:$B$2213,'Kế hoạch chèn link (mới)'!$D$3:$D$2213=$B238),1),"""")"),"https://techcombank.com/thong-tin/blog/eco-card")</f>
        <v>https://techcombank.com/thong-tin/blog/eco-card</v>
      </c>
      <c r="I238" s="25" t="str">
        <f>IFERROR(__xludf.DUMMYFUNCTION("IFERROR(INDEX(FILTER('Kế hoạch chèn link (mới)'!$C$3:$C$2213,'Kế hoạch chèn link (mới)'!$D$3:$D$2213=$B238),2),"""")"),"")</f>
        <v/>
      </c>
      <c r="J238" s="25" t="str">
        <f>IFERROR(__xludf.DUMMYFUNCTION("IFERROR(INDEX(FILTER('Kế hoạch chèn link (mới)'!$B$3:$B$2213,'Kế hoạch chèn link (mới)'!$D$3:$D$2213=$B238),2),"""")"),"")</f>
        <v/>
      </c>
      <c r="K238" s="25" t="str">
        <f>IFERROR(__xludf.DUMMYFUNCTION("IFERROR(INDEX(FILTER('Kế hoạch chèn link (mới)'!$C$3:$C$2213,'Kế hoạch chèn link (mới)'!$D$3:$D$2213=$B238),3),"""")"),"")</f>
        <v/>
      </c>
      <c r="L238" s="25" t="str">
        <f>IFERROR(__xludf.DUMMYFUNCTION("IFERROR(INDEX(FILTER('Kế hoạch chèn link (mới)'!$B$3:$B$2213,'Kế hoạch chèn link (mới)'!$D$3:$D$2213=$B238),3),"""")"),"")</f>
        <v/>
      </c>
      <c r="M238" s="25" t="str">
        <f>IFERROR(__xludf.DUMMYFUNCTION("IFERROR(INDEX(FILTER('Kế hoạch chèn link (mới)'!$C$3:$C$2213,'Kế hoạch chèn link (mới)'!$D$3:$D$2213=$B238),4),"""")"),"")</f>
        <v/>
      </c>
      <c r="N238" s="25" t="str">
        <f>IFERROR(__xludf.DUMMYFUNCTION("IFERROR(INDEX(FILTER('Kế hoạch chèn link (mới)'!$B$3:$B$2213,'Kế hoạch chèn link (mới)'!$D$3:$D$2213=$B238),4),"""")"),"")</f>
        <v/>
      </c>
      <c r="O238" s="25" t="str">
        <f>IFERROR(__xludf.DUMMYFUNCTION("IFERROR(INDEX(FILTER('Kế hoạch chèn link (mới)'!$C$3:$C$2213,'Kế hoạch chèn link (mới)'!$D$3:$D$2213=$B238),5),"""")"),"")</f>
        <v/>
      </c>
      <c r="P238" s="25" t="str">
        <f>IFERROR(__xludf.DUMMYFUNCTION("IFERROR(INDEX(FILTER('Kế hoạch chèn link (mới)'!$B$3:$B$2213,'Kế hoạch chèn link (mới)'!$D$3:$D$2213=$B238),5),"""")"),"")</f>
        <v/>
      </c>
    </row>
    <row r="239">
      <c r="A239" s="6">
        <f t="shared" si="1"/>
        <v>238</v>
      </c>
      <c r="B239" s="8" t="s">
        <v>2860</v>
      </c>
      <c r="C239" s="6">
        <f>COUNTIF('Kế hoạch chèn link (mới)'!$D$3:$D$2213,$B239)</f>
        <v>3</v>
      </c>
      <c r="D239" s="8" t="str">
        <f>IF(COUNTIFS('Kế hoạch chèn link (mới)'!$D$3:$D$2213,$B239,'Kế hoạch chèn link (mới)'!$I$3:$I$2213,"Đã chèn")&gt;=$C239,"Đã hoàn thành",IF(COUNTIFS('Kế hoạch chèn link (mới)'!$D$3:$D$2213,$B239,'Kế hoạch chèn link (mới)'!$I$3:$I$2213,"Đã chèn")&gt;0,"Đang làm","Chưa hoàn thành"))</f>
        <v>Chưa hoàn thành</v>
      </c>
      <c r="E239" s="8" t="b">
        <f t="shared" si="2"/>
        <v>0</v>
      </c>
      <c r="F239" s="25"/>
      <c r="G239" s="25" t="str">
        <f>IFERROR(__xludf.DUMMYFUNCTION("IFERROR(INDEX(FILTER('Kế hoạch chèn link (mới)'!$C$3:$C$2213,'Kế hoạch chèn link (mới)'!$D$3:$D$2213=$B239),1),"""")"),"thuế hộ kinh doanh")</f>
        <v>thuế hộ kinh doanh</v>
      </c>
      <c r="H239" s="25" t="str">
        <f>IFERROR(__xludf.DUMMYFUNCTION("IFERROR(INDEX(FILTER('Kế hoạch chèn link (mới)'!$B$3:$B$2213,'Kế hoạch chèn link (mới)'!$D$3:$D$2213=$B239),1),"""")"),"https://techcombank.com/thong-tin/blog/ho-kinh-doanh-dong-thue-nhu-nao")</f>
        <v>https://techcombank.com/thong-tin/blog/ho-kinh-doanh-dong-thue-nhu-nao</v>
      </c>
      <c r="I239" s="25" t="str">
        <f>IFERROR(__xludf.DUMMYFUNCTION("IFERROR(INDEX(FILTER('Kế hoạch chèn link (mới)'!$C$3:$C$2213,'Kế hoạch chèn link (mới)'!$D$3:$D$2213=$B239),2),"""")"),"mô hình kinh doanh là gì")</f>
        <v>mô hình kinh doanh là gì</v>
      </c>
      <c r="J239" s="25" t="str">
        <f>IFERROR(__xludf.DUMMYFUNCTION("IFERROR(INDEX(FILTER('Kế hoạch chèn link (mới)'!$B$3:$B$2213,'Kế hoạch chèn link (mới)'!$D$3:$D$2213=$B239),2),"""")"),"https://techcombank.com/thong-tin/blog/mo-hinh-kinh-doanh-la-gi")</f>
        <v>https://techcombank.com/thong-tin/blog/mo-hinh-kinh-doanh-la-gi</v>
      </c>
      <c r="K239" s="25" t="str">
        <f>IFERROR(__xludf.DUMMYFUNCTION("IFERROR(INDEX(FILTER('Kế hoạch chèn link (mới)'!$C$3:$C$2213,'Kế hoạch chèn link (mới)'!$D$3:$D$2213=$B239),3),"""")"),"mở tài khoản hộ kinh doanh")</f>
        <v>mở tài khoản hộ kinh doanh</v>
      </c>
      <c r="L239" s="25" t="str">
        <f>IFERROR(__xludf.DUMMYFUNCTION("IFERROR(INDEX(FILTER('Kế hoạch chèn link (mới)'!$B$3:$B$2213,'Kế hoạch chèn link (mới)'!$D$3:$D$2213=$B239),3),"""")"),"https://techcombank.com/thong-tin/blog/mo-tai-khoan-ho-kinh-doanh")</f>
        <v>https://techcombank.com/thong-tin/blog/mo-tai-khoan-ho-kinh-doanh</v>
      </c>
      <c r="M239" s="25" t="str">
        <f>IFERROR(__xludf.DUMMYFUNCTION("IFERROR(INDEX(FILTER('Kế hoạch chèn link (mới)'!$C$3:$C$2213,'Kế hoạch chèn link (mới)'!$D$3:$D$2213=$B239),4),"""")"),"")</f>
        <v/>
      </c>
      <c r="N239" s="25" t="str">
        <f>IFERROR(__xludf.DUMMYFUNCTION("IFERROR(INDEX(FILTER('Kế hoạch chèn link (mới)'!$B$3:$B$2213,'Kế hoạch chèn link (mới)'!$D$3:$D$2213=$B239),4),"""")"),"")</f>
        <v/>
      </c>
      <c r="O239" s="25" t="str">
        <f>IFERROR(__xludf.DUMMYFUNCTION("IFERROR(INDEX(FILTER('Kế hoạch chèn link (mới)'!$C$3:$C$2213,'Kế hoạch chèn link (mới)'!$D$3:$D$2213=$B239),5),"""")"),"")</f>
        <v/>
      </c>
      <c r="P239" s="25" t="str">
        <f>IFERROR(__xludf.DUMMYFUNCTION("IFERROR(INDEX(FILTER('Kế hoạch chèn link (mới)'!$B$3:$B$2213,'Kế hoạch chèn link (mới)'!$D$3:$D$2213=$B239),5),"""")"),"")</f>
        <v/>
      </c>
    </row>
    <row r="240">
      <c r="A240" s="6">
        <f t="shared" si="1"/>
        <v>239</v>
      </c>
      <c r="B240" s="8" t="s">
        <v>2861</v>
      </c>
      <c r="C240" s="6">
        <f>COUNTIF('Kế hoạch chèn link (mới)'!$D$3:$D$2213,$B240)</f>
        <v>1</v>
      </c>
      <c r="D240" s="8" t="str">
        <f>IF(COUNTIFS('Kế hoạch chèn link (mới)'!$D$3:$D$2213,$B240,'Kế hoạch chèn link (mới)'!$I$3:$I$2213,"Đã chèn")&gt;=$C240,"Đã hoàn thành",IF(COUNTIFS('Kế hoạch chèn link (mới)'!$D$3:$D$2213,$B240,'Kế hoạch chèn link (mới)'!$I$3:$I$2213,"Đã chèn")&gt;0,"Đang làm","Chưa hoàn thành"))</f>
        <v>Chưa hoàn thành</v>
      </c>
      <c r="E240" s="8" t="b">
        <f t="shared" si="2"/>
        <v>0</v>
      </c>
      <c r="F240" s="25"/>
      <c r="G240" s="25" t="str">
        <f>IFERROR(__xludf.DUMMYFUNCTION("IFERROR(INDEX(FILTER('Kế hoạch chèn link (mới)'!$C$3:$C$2213,'Kế hoạch chèn link (mới)'!$D$3:$D$2213=$B240),1),"""")"),"nên vay tín chấp ở đâu")</f>
        <v>nên vay tín chấp ở đâu</v>
      </c>
      <c r="H240" s="25" t="str">
        <f>IFERROR(__xludf.DUMMYFUNCTION("IFERROR(INDEX(FILTER('Kế hoạch chèn link (mới)'!$B$3:$B$2213,'Kế hoạch chèn link (mới)'!$D$3:$D$2213=$B240),1),"""")"),"https://techcombank.com/thong-tin/blog/nen-vay-tin-chap-o-dau")</f>
        <v>https://techcombank.com/thong-tin/blog/nen-vay-tin-chap-o-dau</v>
      </c>
      <c r="I240" s="25" t="str">
        <f>IFERROR(__xludf.DUMMYFUNCTION("IFERROR(INDEX(FILTER('Kế hoạch chèn link (mới)'!$C$3:$C$2213,'Kế hoạch chèn link (mới)'!$D$3:$D$2213=$B240),2),"""")"),"")</f>
        <v/>
      </c>
      <c r="J240" s="25" t="str">
        <f>IFERROR(__xludf.DUMMYFUNCTION("IFERROR(INDEX(FILTER('Kế hoạch chèn link (mới)'!$B$3:$B$2213,'Kế hoạch chèn link (mới)'!$D$3:$D$2213=$B240),2),"""")"),"")</f>
        <v/>
      </c>
      <c r="K240" s="25" t="str">
        <f>IFERROR(__xludf.DUMMYFUNCTION("IFERROR(INDEX(FILTER('Kế hoạch chèn link (mới)'!$C$3:$C$2213,'Kế hoạch chèn link (mới)'!$D$3:$D$2213=$B240),3),"""")"),"")</f>
        <v/>
      </c>
      <c r="L240" s="25" t="str">
        <f>IFERROR(__xludf.DUMMYFUNCTION("IFERROR(INDEX(FILTER('Kế hoạch chèn link (mới)'!$B$3:$B$2213,'Kế hoạch chèn link (mới)'!$D$3:$D$2213=$B240),3),"""")"),"")</f>
        <v/>
      </c>
      <c r="M240" s="25" t="str">
        <f>IFERROR(__xludf.DUMMYFUNCTION("IFERROR(INDEX(FILTER('Kế hoạch chèn link (mới)'!$C$3:$C$2213,'Kế hoạch chèn link (mới)'!$D$3:$D$2213=$B240),4),"""")"),"")</f>
        <v/>
      </c>
      <c r="N240" s="25" t="str">
        <f>IFERROR(__xludf.DUMMYFUNCTION("IFERROR(INDEX(FILTER('Kế hoạch chèn link (mới)'!$B$3:$B$2213,'Kế hoạch chèn link (mới)'!$D$3:$D$2213=$B240),4),"""")"),"")</f>
        <v/>
      </c>
      <c r="O240" s="25" t="str">
        <f>IFERROR(__xludf.DUMMYFUNCTION("IFERROR(INDEX(FILTER('Kế hoạch chèn link (mới)'!$C$3:$C$2213,'Kế hoạch chèn link (mới)'!$D$3:$D$2213=$B240),5),"""")"),"")</f>
        <v/>
      </c>
      <c r="P240" s="25" t="str">
        <f>IFERROR(__xludf.DUMMYFUNCTION("IFERROR(INDEX(FILTER('Kế hoạch chèn link (mới)'!$B$3:$B$2213,'Kế hoạch chèn link (mới)'!$D$3:$D$2213=$B240),5),"""")"),"")</f>
        <v/>
      </c>
    </row>
    <row r="241">
      <c r="A241" s="6">
        <f t="shared" si="1"/>
        <v>240</v>
      </c>
      <c r="B241" s="8" t="s">
        <v>1090</v>
      </c>
      <c r="C241" s="6">
        <f>COUNTIF('Kế hoạch chèn link (mới)'!$D$3:$D$2213,$B241)</f>
        <v>2</v>
      </c>
      <c r="D241" s="8" t="str">
        <f>IF(COUNTIFS('Kế hoạch chèn link (mới)'!$D$3:$D$2213,$B241,'Kế hoạch chèn link (mới)'!$I$3:$I$2213,"Đã chèn")&gt;=$C241,"Đã hoàn thành",IF(COUNTIFS('Kế hoạch chèn link (mới)'!$D$3:$D$2213,$B241,'Kế hoạch chèn link (mới)'!$I$3:$I$2213,"Đã chèn")&gt;0,"Đang làm","Chưa hoàn thành"))</f>
        <v>Chưa hoàn thành</v>
      </c>
      <c r="E241" s="8" t="b">
        <f t="shared" si="2"/>
        <v>0</v>
      </c>
      <c r="F241" s="25"/>
      <c r="G241" s="25" t="str">
        <f>IFERROR(__xludf.DUMMYFUNCTION("IFERROR(INDEX(FILTER('Kế hoạch chèn link (mới)'!$C$3:$C$2213,'Kế hoạch chèn link (mới)'!$D$3:$D$2213=$B241),1),"""")"),"tên đăng nhập")</f>
        <v>tên đăng nhập</v>
      </c>
      <c r="H241" s="25" t="str">
        <f>IFERROR(__xludf.DUMMYFUNCTION("IFERROR(INDEX(FILTER('Kế hoạch chèn link (mới)'!$B$3:$B$2213,'Kế hoạch chèn link (mới)'!$D$3:$D$2213=$B241),1),"""")"),"https://techcombank.com/thong-tin/blog/ten-dang-nhap-tai-khoan-ngan-hang-la-gi")</f>
        <v>https://techcombank.com/thong-tin/blog/ten-dang-nhap-tai-khoan-ngan-hang-la-gi</v>
      </c>
      <c r="I241" s="25" t="str">
        <f>IFERROR(__xludf.DUMMYFUNCTION("IFERROR(INDEX(FILTER('Kế hoạch chèn link (mới)'!$C$3:$C$2213,'Kế hoạch chèn link (mới)'!$D$3:$D$2213=$B241),2),"""")"),"cách rút tiền bằng mã QR")</f>
        <v>cách rút tiền bằng mã QR</v>
      </c>
      <c r="J241" s="25" t="str">
        <f>IFERROR(__xludf.DUMMYFUNCTION("IFERROR(INDEX(FILTER('Kế hoạch chèn link (mới)'!$B$3:$B$2213,'Kế hoạch chèn link (mới)'!$D$3:$D$2213=$B241),2),"""")"),"https://techcombank.com/thong-tin/blog/rut-tien-bang-ma-qr-la-gi-cach-thuc-hien-nhu-the-nao")</f>
        <v>https://techcombank.com/thong-tin/blog/rut-tien-bang-ma-qr-la-gi-cach-thuc-hien-nhu-the-nao</v>
      </c>
      <c r="K241" s="25" t="str">
        <f>IFERROR(__xludf.DUMMYFUNCTION("IFERROR(INDEX(FILTER('Kế hoạch chèn link (mới)'!$C$3:$C$2213,'Kế hoạch chèn link (mới)'!$D$3:$D$2213=$B241),3),"""")"),"")</f>
        <v/>
      </c>
      <c r="L241" s="25" t="str">
        <f>IFERROR(__xludf.DUMMYFUNCTION("IFERROR(INDEX(FILTER('Kế hoạch chèn link (mới)'!$B$3:$B$2213,'Kế hoạch chèn link (mới)'!$D$3:$D$2213=$B241),3),"""")"),"")</f>
        <v/>
      </c>
      <c r="M241" s="25" t="str">
        <f>IFERROR(__xludf.DUMMYFUNCTION("IFERROR(INDEX(FILTER('Kế hoạch chèn link (mới)'!$C$3:$C$2213,'Kế hoạch chèn link (mới)'!$D$3:$D$2213=$B241),4),"""")"),"")</f>
        <v/>
      </c>
      <c r="N241" s="25" t="str">
        <f>IFERROR(__xludf.DUMMYFUNCTION("IFERROR(INDEX(FILTER('Kế hoạch chèn link (mới)'!$B$3:$B$2213,'Kế hoạch chèn link (mới)'!$D$3:$D$2213=$B241),4),"""")"),"")</f>
        <v/>
      </c>
      <c r="O241" s="25" t="str">
        <f>IFERROR(__xludf.DUMMYFUNCTION("IFERROR(INDEX(FILTER('Kế hoạch chèn link (mới)'!$C$3:$C$2213,'Kế hoạch chèn link (mới)'!$D$3:$D$2213=$B241),5),"""")"),"")</f>
        <v/>
      </c>
      <c r="P241" s="25" t="str">
        <f>IFERROR(__xludf.DUMMYFUNCTION("IFERROR(INDEX(FILTER('Kế hoạch chèn link (mới)'!$B$3:$B$2213,'Kế hoạch chèn link (mới)'!$D$3:$D$2213=$B241),5),"""")"),"")</f>
        <v/>
      </c>
    </row>
    <row r="242">
      <c r="A242" s="6">
        <f t="shared" si="1"/>
        <v>241</v>
      </c>
      <c r="B242" s="8" t="s">
        <v>2862</v>
      </c>
      <c r="C242" s="6">
        <f>COUNTIF('Kế hoạch chèn link (mới)'!$D$3:$D$2213,$B242)</f>
        <v>5</v>
      </c>
      <c r="D242" s="8" t="str">
        <f>IF(COUNTIFS('Kế hoạch chèn link (mới)'!$D$3:$D$2213,$B242,'Kế hoạch chèn link (mới)'!$I$3:$I$2213,"Đã chèn")&gt;=$C242,"Đã hoàn thành",IF(COUNTIFS('Kế hoạch chèn link (mới)'!$D$3:$D$2213,$B242,'Kế hoạch chèn link (mới)'!$I$3:$I$2213,"Đã chèn")&gt;0,"Đang làm","Chưa hoàn thành"))</f>
        <v>Chưa hoàn thành</v>
      </c>
      <c r="E242" s="8" t="b">
        <f t="shared" si="2"/>
        <v>0</v>
      </c>
      <c r="F242" s="25"/>
      <c r="G242" s="25" t="str">
        <f>IFERROR(__xludf.DUMMYFUNCTION("IFERROR(INDEX(FILTER('Kế hoạch chèn link (mới)'!$C$3:$C$2213,'Kế hoạch chèn link (mới)'!$D$3:$D$2213=$B242),1),"""")"),"lãi suất gửi tiết kiệm ngân hàng")</f>
        <v>lãi suất gửi tiết kiệm ngân hàng</v>
      </c>
      <c r="H242" s="25" t="str">
        <f>IFERROR(__xludf.DUMMYFUNCTION("IFERROR(INDEX(FILTER('Kế hoạch chèn link (mới)'!$B$3:$B$2213,'Kế hoạch chèn link (mới)'!$D$3:$D$2213=$B242),1),"""")"),"https://techcombank.com/thong-tin/blog/lai-suat-tiet-kiem")</f>
        <v>https://techcombank.com/thong-tin/blog/lai-suat-tiet-kiem</v>
      </c>
      <c r="I242" s="25" t="str">
        <f>IFERROR(__xludf.DUMMYFUNCTION("IFERROR(INDEX(FILTER('Kế hoạch chèn link (mới)'!$C$3:$C$2213,'Kế hoạch chèn link (mới)'!$D$3:$D$2213=$B242),2),"""")"),"tính lãi suất tiết kiệm")</f>
        <v>tính lãi suất tiết kiệm</v>
      </c>
      <c r="J242" s="25" t="str">
        <f>IFERROR(__xludf.DUMMYFUNCTION("IFERROR(INDEX(FILTER('Kế hoạch chèn link (mới)'!$B$3:$B$2213,'Kế hoạch chèn link (mới)'!$D$3:$D$2213=$B242),2),"""")"),"https://techcombank.com/thong-tin/blog/cach-tinh-lai-suat-tien-gui-tiet-kiem")</f>
        <v>https://techcombank.com/thong-tin/blog/cach-tinh-lai-suat-tien-gui-tiet-kiem</v>
      </c>
      <c r="K242" s="25" t="str">
        <f>IFERROR(__xludf.DUMMYFUNCTION("IFERROR(INDEX(FILTER('Kế hoạch chèn link (mới)'!$C$3:$C$2213,'Kế hoạch chèn link (mới)'!$D$3:$D$2213=$B242),3),"""")"),"rút tiết kiệm trước hạn")</f>
        <v>rút tiết kiệm trước hạn</v>
      </c>
      <c r="L242" s="25" t="str">
        <f>IFERROR(__xludf.DUMMYFUNCTION("IFERROR(INDEX(FILTER('Kế hoạch chèn link (mới)'!$B$3:$B$2213,'Kế hoạch chèn link (mới)'!$D$3:$D$2213=$B242),3),"""")"),"https://techcombank.com/thong-tin/blog/rut-tien-tiet-kiem-truoc-thoi-han")</f>
        <v>https://techcombank.com/thong-tin/blog/rut-tien-tiet-kiem-truoc-thoi-han</v>
      </c>
      <c r="M242" s="25" t="str">
        <f>IFERROR(__xludf.DUMMYFUNCTION("IFERROR(INDEX(FILTER('Kế hoạch chèn link (mới)'!$C$3:$C$2213,'Kế hoạch chèn link (mới)'!$D$3:$D$2213=$B242),4),"""")"),"sổ tiết kiệm")</f>
        <v>sổ tiết kiệm</v>
      </c>
      <c r="N242" s="25" t="str">
        <f>IFERROR(__xludf.DUMMYFUNCTION("IFERROR(INDEX(FILTER('Kế hoạch chèn link (mới)'!$B$3:$B$2213,'Kế hoạch chèn link (mới)'!$D$3:$D$2213=$B242),4),"""")"),"https://techcombank.com/thong-tin/blog/so-tiet-kiem-ngan-hang")</f>
        <v>https://techcombank.com/thong-tin/blog/so-tiet-kiem-ngan-hang</v>
      </c>
      <c r="O242" s="25" t="str">
        <f>IFERROR(__xludf.DUMMYFUNCTION("IFERROR(INDEX(FILTER('Kế hoạch chèn link (mới)'!$C$3:$C$2213,'Kế hoạch chèn link (mới)'!$D$3:$D$2213=$B242),5),"""")"),"vay thấu chi")</f>
        <v>vay thấu chi</v>
      </c>
      <c r="P242" s="25" t="str">
        <f>IFERROR(__xludf.DUMMYFUNCTION("IFERROR(INDEX(FILTER('Kế hoạch chèn link (mới)'!$B$3:$B$2213,'Kế hoạch chèn link (mới)'!$D$3:$D$2213=$B242),5),"""")"),"https://techcombank.com/thong-tin/blog/vay-thau-chi-la-gi")</f>
        <v>https://techcombank.com/thong-tin/blog/vay-thau-chi-la-gi</v>
      </c>
    </row>
    <row r="243">
      <c r="A243" s="6">
        <f t="shared" si="1"/>
        <v>242</v>
      </c>
      <c r="B243" s="8" t="s">
        <v>2027</v>
      </c>
      <c r="C243" s="6">
        <f>COUNTIF('Kế hoạch chèn link (mới)'!$D$3:$D$2213,$B243)</f>
        <v>3</v>
      </c>
      <c r="D243" s="8" t="str">
        <f>IF(COUNTIFS('Kế hoạch chèn link (mới)'!$D$3:$D$2213,$B243,'Kế hoạch chèn link (mới)'!$I$3:$I$2213,"Đã chèn")&gt;=$C243,"Đã hoàn thành",IF(COUNTIFS('Kế hoạch chèn link (mới)'!$D$3:$D$2213,$B243,'Kế hoạch chèn link (mới)'!$I$3:$I$2213,"Đã chèn")&gt;0,"Đang làm","Chưa hoàn thành"))</f>
        <v>Chưa hoàn thành</v>
      </c>
      <c r="E243" s="8" t="b">
        <f t="shared" si="2"/>
        <v>0</v>
      </c>
      <c r="F243" s="25"/>
      <c r="G243" s="25" t="str">
        <f>IFERROR(__xludf.DUMMYFUNCTION("IFERROR(INDEX(FILTER('Kế hoạch chèn link (mới)'!$C$3:$C$2213,'Kế hoạch chèn link (mới)'!$D$3:$D$2213=$B243),1),"""")"),"tiền chuyển khoản bị treo")</f>
        <v>tiền chuyển khoản bị treo</v>
      </c>
      <c r="H243" s="25" t="str">
        <f>IFERROR(__xludf.DUMMYFUNCTION("IFERROR(INDEX(FILTER('Kế hoạch chèn link (mới)'!$B$3:$B$2213,'Kế hoạch chèn link (mới)'!$D$3:$D$2213=$B243),1),"""")"),"https://techcombank.com/thong-tin/blog/chuyen-khoan-thanh-cong-nhung-khong-nhan-duoc-tien")</f>
        <v>https://techcombank.com/thong-tin/blog/chuyen-khoan-thanh-cong-nhung-khong-nhan-duoc-tien</v>
      </c>
      <c r="I243" s="25" t="str">
        <f>IFERROR(__xludf.DUMMYFUNCTION("IFERROR(INDEX(FILTER('Kế hoạch chèn link (mới)'!$C$3:$C$2213,'Kế hoạch chèn link (mới)'!$D$3:$D$2213=$B243),2),"""")"),"tỷ giá USD/VND")</f>
        <v>tỷ giá USD/VND</v>
      </c>
      <c r="J243" s="25" t="str">
        <f>IFERROR(__xludf.DUMMYFUNCTION("IFERROR(INDEX(FILTER('Kế hoạch chèn link (mới)'!$B$3:$B$2213,'Kế hoạch chèn link (mới)'!$D$3:$D$2213=$B243),2),"""")"),"https://techcombank.com/thong-tin/blog/1-dong-do-la-my-bang-bao-nhieu-tien-viet-nam")</f>
        <v>https://techcombank.com/thong-tin/blog/1-dong-do-la-my-bang-bao-nhieu-tien-viet-nam</v>
      </c>
      <c r="K243" s="25" t="str">
        <f>IFERROR(__xludf.DUMMYFUNCTION("IFERROR(INDEX(FILTER('Kế hoạch chèn link (mới)'!$C$3:$C$2213,'Kế hoạch chèn link (mới)'!$D$3:$D$2213=$B243),3),"""")"),"tỷ giá Đài tệ")</f>
        <v>tỷ giá Đài tệ</v>
      </c>
      <c r="L243" s="25" t="str">
        <f>IFERROR(__xludf.DUMMYFUNCTION("IFERROR(INDEX(FILTER('Kế hoạch chèn link (mới)'!$B$3:$B$2213,'Kế hoạch chèn link (mới)'!$D$3:$D$2213=$B243),3),"""")"),"https://techcombank.com/thong-tin/blog/tien-dai-loan")</f>
        <v>https://techcombank.com/thong-tin/blog/tien-dai-loan</v>
      </c>
      <c r="M243" s="25" t="str">
        <f>IFERROR(__xludf.DUMMYFUNCTION("IFERROR(INDEX(FILTER('Kế hoạch chèn link (mới)'!$C$3:$C$2213,'Kế hoạch chèn link (mới)'!$D$3:$D$2213=$B243),4),"""")"),"")</f>
        <v/>
      </c>
      <c r="N243" s="25" t="str">
        <f>IFERROR(__xludf.DUMMYFUNCTION("IFERROR(INDEX(FILTER('Kế hoạch chèn link (mới)'!$B$3:$B$2213,'Kế hoạch chèn link (mới)'!$D$3:$D$2213=$B243),4),"""")"),"")</f>
        <v/>
      </c>
      <c r="O243" s="25" t="str">
        <f>IFERROR(__xludf.DUMMYFUNCTION("IFERROR(INDEX(FILTER('Kế hoạch chèn link (mới)'!$C$3:$C$2213,'Kế hoạch chèn link (mới)'!$D$3:$D$2213=$B243),5),"""")"),"")</f>
        <v/>
      </c>
      <c r="P243" s="25" t="str">
        <f>IFERROR(__xludf.DUMMYFUNCTION("IFERROR(INDEX(FILTER('Kế hoạch chèn link (mới)'!$B$3:$B$2213,'Kế hoạch chèn link (mới)'!$D$3:$D$2213=$B243),5),"""")"),"")</f>
        <v/>
      </c>
    </row>
    <row r="244">
      <c r="A244" s="6">
        <f t="shared" si="1"/>
        <v>243</v>
      </c>
      <c r="B244" s="8" t="s">
        <v>1847</v>
      </c>
      <c r="C244" s="6">
        <f>COUNTIF('Kế hoạch chèn link (mới)'!$D$3:$D$2213,$B244)</f>
        <v>5</v>
      </c>
      <c r="D244" s="8" t="str">
        <f>IF(COUNTIFS('Kế hoạch chèn link (mới)'!$D$3:$D$2213,$B244,'Kế hoạch chèn link (mới)'!$I$3:$I$2213,"Đã chèn")&gt;=$C244,"Đã hoàn thành",IF(COUNTIFS('Kế hoạch chèn link (mới)'!$D$3:$D$2213,$B244,'Kế hoạch chèn link (mới)'!$I$3:$I$2213,"Đã chèn")&gt;0,"Đang làm","Chưa hoàn thành"))</f>
        <v>Chưa hoàn thành</v>
      </c>
      <c r="E244" s="8" t="b">
        <f t="shared" si="2"/>
        <v>0</v>
      </c>
      <c r="F244" s="25"/>
      <c r="G244" s="25" t="str">
        <f>IFERROR(__xludf.DUMMYFUNCTION("IFERROR(INDEX(FILTER('Kế hoạch chèn link (mới)'!$C$3:$C$2213,'Kế hoạch chèn link (mới)'!$D$3:$D$2213=$B244),1),"""")"),"chọn ngân hàng uy tín")</f>
        <v>chọn ngân hàng uy tín</v>
      </c>
      <c r="H244" s="25" t="str">
        <f>IFERROR(__xludf.DUMMYFUNCTION("IFERROR(INDEX(FILTER('Kế hoạch chèn link (mới)'!$B$3:$B$2213,'Kế hoạch chèn link (mới)'!$D$3:$D$2213=$B244),1),"""")"),"https://techcombank.com/thong-tin/blog/ngan-hang-uy-tin")</f>
        <v>https://techcombank.com/thong-tin/blog/ngan-hang-uy-tin</v>
      </c>
      <c r="I244" s="25" t="str">
        <f>IFERROR(__xludf.DUMMYFUNCTION("IFERROR(INDEX(FILTER('Kế hoạch chèn link (mới)'!$C$3:$C$2213,'Kế hoạch chèn link (mới)'!$D$3:$D$2213=$B244),2),"""")"),"sao kê tài khoản ngân hàng")</f>
        <v>sao kê tài khoản ngân hàng</v>
      </c>
      <c r="J244" s="25" t="str">
        <f>IFERROR(__xludf.DUMMYFUNCTION("IFERROR(INDEX(FILTER('Kế hoạch chèn link (mới)'!$B$3:$B$2213,'Kế hoạch chèn link (mới)'!$D$3:$D$2213=$B244),2),"""")"),"https://techcombank.com/thong-tin/blog/cach-sao-ke-tai-khoan-ngan-hang")</f>
        <v>https://techcombank.com/thong-tin/blog/cach-sao-ke-tai-khoan-ngan-hang</v>
      </c>
      <c r="K244" s="25" t="str">
        <f>IFERROR(__xludf.DUMMYFUNCTION("IFERROR(INDEX(FILTER('Kế hoạch chèn link (mới)'!$C$3:$C$2213,'Kế hoạch chèn link (mới)'!$D$3:$D$2213=$B244),3),"""")"),"chứng chỉ tiền gửi")</f>
        <v>chứng chỉ tiền gửi</v>
      </c>
      <c r="L244" s="25" t="str">
        <f>IFERROR(__xludf.DUMMYFUNCTION("IFERROR(INDEX(FILTER('Kế hoạch chèn link (mới)'!$B$3:$B$2213,'Kế hoạch chèn link (mới)'!$D$3:$D$2213=$B244),3),"""")"),"https://techcombank.com/thong-tin/blog/chung-chi-tien-gui-la-gi")</f>
        <v>https://techcombank.com/thong-tin/blog/chung-chi-tien-gui-la-gi</v>
      </c>
      <c r="M244" s="25" t="str">
        <f>IFERROR(__xludf.DUMMYFUNCTION("IFERROR(INDEX(FILTER('Kế hoạch chèn link (mới)'!$C$3:$C$2213,'Kế hoạch chèn link (mới)'!$D$3:$D$2213=$B244),4),"""")"),"lãi suất ngân hàng tiền gửi")</f>
        <v>lãi suất ngân hàng tiền gửi</v>
      </c>
      <c r="N244" s="25" t="str">
        <f>IFERROR(__xludf.DUMMYFUNCTION("IFERROR(INDEX(FILTER('Kế hoạch chèn link (mới)'!$B$3:$B$2213,'Kế hoạch chèn link (mới)'!$D$3:$D$2213=$B244),4),"""")"),"https://techcombank.com/thong-tin/blog/lai-suat-tiet-kiem")</f>
        <v>https://techcombank.com/thong-tin/blog/lai-suat-tiet-kiem</v>
      </c>
      <c r="O244" s="25" t="str">
        <f>IFERROR(__xludf.DUMMYFUNCTION("IFERROR(INDEX(FILTER('Kế hoạch chèn link (mới)'!$C$3:$C$2213,'Kế hoạch chèn link (mới)'!$D$3:$D$2213=$B244),5),"""")"),"tính lãi suất tiết kiệm")</f>
        <v>tính lãi suất tiết kiệm</v>
      </c>
      <c r="P244" s="25" t="str">
        <f>IFERROR(__xludf.DUMMYFUNCTION("IFERROR(INDEX(FILTER('Kế hoạch chèn link (mới)'!$B$3:$B$2213,'Kế hoạch chèn link (mới)'!$D$3:$D$2213=$B244),5),"""")"),"https://techcombank.com/thong-tin/blog/cach-tinh-lai-suat-tien-gui-tiet-kiem")</f>
        <v>https://techcombank.com/thong-tin/blog/cach-tinh-lai-suat-tien-gui-tiet-kiem</v>
      </c>
    </row>
    <row r="245">
      <c r="A245" s="6">
        <f t="shared" si="1"/>
        <v>244</v>
      </c>
      <c r="B245" s="8" t="s">
        <v>2863</v>
      </c>
      <c r="C245" s="6">
        <f>COUNTIF('Kế hoạch chèn link (mới)'!$D$3:$D$2213,$B245)</f>
        <v>3</v>
      </c>
      <c r="D245" s="8" t="str">
        <f>IF(COUNTIFS('Kế hoạch chèn link (mới)'!$D$3:$D$2213,$B245,'Kế hoạch chèn link (mới)'!$I$3:$I$2213,"Đã chèn")&gt;=$C245,"Đã hoàn thành",IF(COUNTIFS('Kế hoạch chèn link (mới)'!$D$3:$D$2213,$B245,'Kế hoạch chèn link (mới)'!$I$3:$I$2213,"Đã chèn")&gt;0,"Đang làm","Chưa hoàn thành"))</f>
        <v>Chưa hoàn thành</v>
      </c>
      <c r="E245" s="8" t="b">
        <f t="shared" si="2"/>
        <v>0</v>
      </c>
      <c r="F245" s="25"/>
      <c r="G245" s="25" t="str">
        <f>IFERROR(__xludf.DUMMYFUNCTION("IFERROR(INDEX(FILTER('Kế hoạch chèn link (mới)'!$C$3:$C$2213,'Kế hoạch chèn link (mới)'!$D$3:$D$2213=$B245),1),"""")"),"tỷ giá Đài tệ")</f>
        <v>tỷ giá Đài tệ</v>
      </c>
      <c r="H245" s="25" t="str">
        <f>IFERROR(__xludf.DUMMYFUNCTION("IFERROR(INDEX(FILTER('Kế hoạch chèn link (mới)'!$B$3:$B$2213,'Kế hoạch chèn link (mới)'!$D$3:$D$2213=$B245),1),"""")"),"https://techcombank.com/thong-tin/blog/tien-dai-loan")</f>
        <v>https://techcombank.com/thong-tin/blog/tien-dai-loan</v>
      </c>
      <c r="I245" s="25" t="str">
        <f>IFERROR(__xludf.DUMMYFUNCTION("IFERROR(INDEX(FILTER('Kế hoạch chèn link (mới)'!$C$3:$C$2213,'Kế hoạch chèn link (mới)'!$D$3:$D$2213=$B245),2),"""")"),"tiền Baht Thái")</f>
        <v>tiền Baht Thái</v>
      </c>
      <c r="J245" s="25" t="str">
        <f>IFERROR(__xludf.DUMMYFUNCTION("IFERROR(INDEX(FILTER('Kế hoạch chèn link (mới)'!$B$3:$B$2213,'Kế hoạch chèn link (mới)'!$D$3:$D$2213=$B245),2),"""")"),"https://techcombank.com/thong-tin/blog/tien-thai-lan")</f>
        <v>https://techcombank.com/thong-tin/blog/tien-thai-lan</v>
      </c>
      <c r="K245" s="25" t="str">
        <f>IFERROR(__xludf.DUMMYFUNCTION("IFERROR(INDEX(FILTER('Kế hoạch chèn link (mới)'!$C$3:$C$2213,'Kế hoạch chèn link (mới)'!$D$3:$D$2213=$B245),3),"""")"),"nhận tiền từ nước ngoài")</f>
        <v>nhận tiền từ nước ngoài</v>
      </c>
      <c r="L245" s="25" t="str">
        <f>IFERROR(__xludf.DUMMYFUNCTION("IFERROR(INDEX(FILTER('Kế hoạch chèn link (mới)'!$B$3:$B$2213,'Kế hoạch chèn link (mới)'!$D$3:$D$2213=$B245),3),"""")"),"https://techcombank.com/thong-tin/blog/cach-nhan-tien-tu-nuoc-ngoai-ve-viet-nam")</f>
        <v>https://techcombank.com/thong-tin/blog/cach-nhan-tien-tu-nuoc-ngoai-ve-viet-nam</v>
      </c>
      <c r="M245" s="25" t="str">
        <f>IFERROR(__xludf.DUMMYFUNCTION("IFERROR(INDEX(FILTER('Kế hoạch chèn link (mới)'!$C$3:$C$2213,'Kế hoạch chèn link (mới)'!$D$3:$D$2213=$B245),4),"""")"),"")</f>
        <v/>
      </c>
      <c r="N245" s="25" t="str">
        <f>IFERROR(__xludf.DUMMYFUNCTION("IFERROR(INDEX(FILTER('Kế hoạch chèn link (mới)'!$B$3:$B$2213,'Kế hoạch chèn link (mới)'!$D$3:$D$2213=$B245),4),"""")"),"")</f>
        <v/>
      </c>
      <c r="O245" s="25" t="str">
        <f>IFERROR(__xludf.DUMMYFUNCTION("IFERROR(INDEX(FILTER('Kế hoạch chèn link (mới)'!$C$3:$C$2213,'Kế hoạch chèn link (mới)'!$D$3:$D$2213=$B245),5),"""")"),"")</f>
        <v/>
      </c>
      <c r="P245" s="25" t="str">
        <f>IFERROR(__xludf.DUMMYFUNCTION("IFERROR(INDEX(FILTER('Kế hoạch chèn link (mới)'!$B$3:$B$2213,'Kế hoạch chèn link (mới)'!$D$3:$D$2213=$B245),5),"""")"),"")</f>
        <v/>
      </c>
    </row>
    <row r="246">
      <c r="A246" s="6">
        <f t="shared" si="1"/>
        <v>245</v>
      </c>
      <c r="B246" s="8" t="s">
        <v>2864</v>
      </c>
      <c r="C246" s="6">
        <f>COUNTIF('Kế hoạch chèn link (mới)'!$D$3:$D$2213,$B246)</f>
        <v>4</v>
      </c>
      <c r="D246" s="8" t="str">
        <f>IF(COUNTIFS('Kế hoạch chèn link (mới)'!$D$3:$D$2213,$B246,'Kế hoạch chèn link (mới)'!$I$3:$I$2213,"Đã chèn")&gt;=$C246,"Đã hoàn thành",IF(COUNTIFS('Kế hoạch chèn link (mới)'!$D$3:$D$2213,$B246,'Kế hoạch chèn link (mới)'!$I$3:$I$2213,"Đã chèn")&gt;0,"Đang làm","Chưa hoàn thành"))</f>
        <v>Chưa hoàn thành</v>
      </c>
      <c r="E246" s="8" t="b">
        <f t="shared" si="2"/>
        <v>0</v>
      </c>
      <c r="F246" s="25"/>
      <c r="G246" s="25" t="str">
        <f>IFERROR(__xludf.DUMMYFUNCTION("IFERROR(INDEX(FILTER('Kế hoạch chèn link (mới)'!$C$3:$C$2213,'Kế hoạch chèn link (mới)'!$D$3:$D$2213=$B246),1),"""")"),"chứng chỉ tiền gửi")</f>
        <v>chứng chỉ tiền gửi</v>
      </c>
      <c r="H246" s="25" t="str">
        <f>IFERROR(__xludf.DUMMYFUNCTION("IFERROR(INDEX(FILTER('Kế hoạch chèn link (mới)'!$B$3:$B$2213,'Kế hoạch chèn link (mới)'!$D$3:$D$2213=$B246),1),"""")"),"https://techcombank.com/thong-tin/blog/chung-chi-tien-gui-la-gi")</f>
        <v>https://techcombank.com/thong-tin/blog/chung-chi-tien-gui-la-gi</v>
      </c>
      <c r="I246" s="25" t="str">
        <f>IFERROR(__xludf.DUMMYFUNCTION("IFERROR(INDEX(FILTER('Kế hoạch chèn link (mới)'!$C$3:$C$2213,'Kế hoạch chèn link (mới)'!$D$3:$D$2213=$B246),2),"""")"),"lãi suất tiền gửi ngân hàng")</f>
        <v>lãi suất tiền gửi ngân hàng</v>
      </c>
      <c r="J246" s="25" t="str">
        <f>IFERROR(__xludf.DUMMYFUNCTION("IFERROR(INDEX(FILTER('Kế hoạch chèn link (mới)'!$B$3:$B$2213,'Kế hoạch chèn link (mới)'!$D$3:$D$2213=$B246),2),"""")"),"https://techcombank.com/thong-tin/blog/lai-suat-tiet-kiem")</f>
        <v>https://techcombank.com/thong-tin/blog/lai-suat-tiet-kiem</v>
      </c>
      <c r="K246" s="25" t="str">
        <f>IFERROR(__xludf.DUMMYFUNCTION("IFERROR(INDEX(FILTER('Kế hoạch chèn link (mới)'!$C$3:$C$2213,'Kế hoạch chèn link (mới)'!$D$3:$D$2213=$B246),3),"""")"),"cách tính lãi suất ngân hàng")</f>
        <v>cách tính lãi suất ngân hàng</v>
      </c>
      <c r="L246" s="25" t="str">
        <f>IFERROR(__xludf.DUMMYFUNCTION("IFERROR(INDEX(FILTER('Kế hoạch chèn link (mới)'!$B$3:$B$2213,'Kế hoạch chèn link (mới)'!$D$3:$D$2213=$B246),3),"""")"),"https://techcombank.com/thong-tin/blog/cach-tinh-lai-suat-tien-gui-tiet-kiem")</f>
        <v>https://techcombank.com/thong-tin/blog/cach-tinh-lai-suat-tien-gui-tiet-kiem</v>
      </c>
      <c r="M246" s="25" t="str">
        <f>IFERROR(__xludf.DUMMYFUNCTION("IFERROR(INDEX(FILTER('Kế hoạch chèn link (mới)'!$C$3:$C$2213,'Kế hoạch chèn link (mới)'!$D$3:$D$2213=$B246),4),"""")"),"gửi tiết kiệm online có an toàn không")</f>
        <v>gửi tiết kiệm online có an toàn không</v>
      </c>
      <c r="N246" s="25" t="str">
        <f>IFERROR(__xludf.DUMMYFUNCTION("IFERROR(INDEX(FILTER('Kế hoạch chèn link (mới)'!$B$3:$B$2213,'Kế hoạch chèn link (mới)'!$D$3:$D$2213=$B246),4),"""")"),"https://techcombank.com/thong-tin/blog/rui-ro-khi-gui-tiet-kiem-online")</f>
        <v>https://techcombank.com/thong-tin/blog/rui-ro-khi-gui-tiet-kiem-online</v>
      </c>
      <c r="O246" s="25" t="str">
        <f>IFERROR(__xludf.DUMMYFUNCTION("IFERROR(INDEX(FILTER('Kế hoạch chèn link (mới)'!$C$3:$C$2213,'Kế hoạch chèn link (mới)'!$D$3:$D$2213=$B246),5),"""")"),"")</f>
        <v/>
      </c>
      <c r="P246" s="25" t="str">
        <f>IFERROR(__xludf.DUMMYFUNCTION("IFERROR(INDEX(FILTER('Kế hoạch chèn link (mới)'!$B$3:$B$2213,'Kế hoạch chèn link (mới)'!$D$3:$D$2213=$B246),5),"""")"),"")</f>
        <v/>
      </c>
    </row>
    <row r="247">
      <c r="A247" s="6">
        <f t="shared" si="1"/>
        <v>246</v>
      </c>
      <c r="B247" s="8" t="s">
        <v>2865</v>
      </c>
      <c r="C247" s="6">
        <f>COUNTIF('Kế hoạch chèn link (mới)'!$D$3:$D$2213,$B247)</f>
        <v>4</v>
      </c>
      <c r="D247" s="8" t="str">
        <f>IF(COUNTIFS('Kế hoạch chèn link (mới)'!$D$3:$D$2213,$B247,'Kế hoạch chèn link (mới)'!$I$3:$I$2213,"Đã chèn")&gt;=$C247,"Đã hoàn thành",IF(COUNTIFS('Kế hoạch chèn link (mới)'!$D$3:$D$2213,$B247,'Kế hoạch chèn link (mới)'!$I$3:$I$2213,"Đã chèn")&gt;0,"Đang làm","Chưa hoàn thành"))</f>
        <v>Chưa hoàn thành</v>
      </c>
      <c r="E247" s="8" t="b">
        <f t="shared" si="2"/>
        <v>0</v>
      </c>
      <c r="F247" s="25"/>
      <c r="G247" s="25" t="str">
        <f>IFERROR(__xludf.DUMMYFUNCTION("IFERROR(INDEX(FILTER('Kế hoạch chèn link (mới)'!$C$3:$C$2213,'Kế hoạch chèn link (mới)'!$D$3:$D$2213=$B247),1),"""")"),"lãi suất tiền gửi ngân hàng")</f>
        <v>lãi suất tiền gửi ngân hàng</v>
      </c>
      <c r="H247" s="25" t="str">
        <f>IFERROR(__xludf.DUMMYFUNCTION("IFERROR(INDEX(FILTER('Kế hoạch chèn link (mới)'!$B$3:$B$2213,'Kế hoạch chèn link (mới)'!$D$3:$D$2213=$B247),1),"""")"),"https://techcombank.com/thong-tin/blog/lai-suat-tiet-kiem")</f>
        <v>https://techcombank.com/thong-tin/blog/lai-suat-tiet-kiem</v>
      </c>
      <c r="I247" s="25" t="str">
        <f>IFERROR(__xludf.DUMMYFUNCTION("IFERROR(INDEX(FILTER('Kế hoạch chèn link (mới)'!$C$3:$C$2213,'Kế hoạch chèn link (mới)'!$D$3:$D$2213=$B247),2),"""")"),"cách tiết kiệm tiền")</f>
        <v>cách tiết kiệm tiền</v>
      </c>
      <c r="J247" s="25" t="str">
        <f>IFERROR(__xludf.DUMMYFUNCTION("IFERROR(INDEX(FILTER('Kế hoạch chèn link (mới)'!$B$3:$B$2213,'Kế hoạch chèn link (mới)'!$D$3:$D$2213=$B247),2),"""")"),"https://techcombank.com/thong-tin/blog/cach-tiet-kiem-tien")</f>
        <v>https://techcombank.com/thong-tin/blog/cach-tiet-kiem-tien</v>
      </c>
      <c r="K247" s="25" t="str">
        <f>IFERROR(__xludf.DUMMYFUNCTION("IFERROR(INDEX(FILTER('Kế hoạch chèn link (mới)'!$C$3:$C$2213,'Kế hoạch chèn link (mới)'!$D$3:$D$2213=$B247),3),"""")"),"gửi tiết kiệm online có an toàn không")</f>
        <v>gửi tiết kiệm online có an toàn không</v>
      </c>
      <c r="L247" s="25" t="str">
        <f>IFERROR(__xludf.DUMMYFUNCTION("IFERROR(INDEX(FILTER('Kế hoạch chèn link (mới)'!$B$3:$B$2213,'Kế hoạch chèn link (mới)'!$D$3:$D$2213=$B247),3),"""")"),"https://techcombank.com/thong-tin/blog/rui-ro-khi-gui-tiet-kiem-online")</f>
        <v>https://techcombank.com/thong-tin/blog/rui-ro-khi-gui-tiet-kiem-online</v>
      </c>
      <c r="M247" s="25" t="str">
        <f>IFERROR(__xludf.DUMMYFUNCTION("IFERROR(INDEX(FILTER('Kế hoạch chèn link (mới)'!$C$3:$C$2213,'Kế hoạch chèn link (mới)'!$D$3:$D$2213=$B247),4),"""")"),"công cụ tính lãi tiết kiệm")</f>
        <v>công cụ tính lãi tiết kiệm</v>
      </c>
      <c r="N247" s="25" t="str">
        <f>IFERROR(__xludf.DUMMYFUNCTION("IFERROR(INDEX(FILTER('Kế hoạch chèn link (mới)'!$B$3:$B$2213,'Kế hoạch chèn link (mới)'!$D$3:$D$2213=$B247),4),"""")"),"https://techcombank.com/cong-cu-tien-ich/cong-cu-tinh-toan/bang-tinh-lai-suat-tiet-kiem")</f>
        <v>https://techcombank.com/cong-cu-tien-ich/cong-cu-tinh-toan/bang-tinh-lai-suat-tiet-kiem</v>
      </c>
      <c r="O247" s="25" t="str">
        <f>IFERROR(__xludf.DUMMYFUNCTION("IFERROR(INDEX(FILTER('Kế hoạch chèn link (mới)'!$C$3:$C$2213,'Kế hoạch chèn link (mới)'!$D$3:$D$2213=$B247),5),"""")"),"")</f>
        <v/>
      </c>
      <c r="P247" s="25" t="str">
        <f>IFERROR(__xludf.DUMMYFUNCTION("IFERROR(INDEX(FILTER('Kế hoạch chèn link (mới)'!$B$3:$B$2213,'Kế hoạch chèn link (mới)'!$D$3:$D$2213=$B247),5),"""")"),"")</f>
        <v/>
      </c>
    </row>
    <row r="248">
      <c r="A248" s="6">
        <f t="shared" si="1"/>
        <v>247</v>
      </c>
      <c r="B248" s="8" t="s">
        <v>2867</v>
      </c>
      <c r="C248" s="6">
        <f>COUNTIF('Kế hoạch chèn link (mới)'!$D$3:$D$2213,$B248)</f>
        <v>5</v>
      </c>
      <c r="D248" s="8" t="str">
        <f>IF(COUNTIFS('Kế hoạch chèn link (mới)'!$D$3:$D$2213,$B248,'Kế hoạch chèn link (mới)'!$I$3:$I$2213,"Đã chèn")&gt;=$C248,"Đã hoàn thành",IF(COUNTIFS('Kế hoạch chèn link (mới)'!$D$3:$D$2213,$B248,'Kế hoạch chèn link (mới)'!$I$3:$I$2213,"Đã chèn")&gt;0,"Đang làm","Chưa hoàn thành"))</f>
        <v>Chưa hoàn thành</v>
      </c>
      <c r="E248" s="8" t="b">
        <f t="shared" si="2"/>
        <v>0</v>
      </c>
      <c r="F248" s="25"/>
      <c r="G248" s="25" t="str">
        <f>IFERROR(__xludf.DUMMYFUNCTION("IFERROR(INDEX(FILTER('Kế hoạch chèn link (mới)'!$C$3:$C$2213,'Kế hoạch chèn link (mới)'!$D$3:$D$2213=$B248),1),"""")"),"chứng chỉ tiền gửi là gì")</f>
        <v>chứng chỉ tiền gửi là gì</v>
      </c>
      <c r="H248" s="25" t="str">
        <f>IFERROR(__xludf.DUMMYFUNCTION("IFERROR(INDEX(FILTER('Kế hoạch chèn link (mới)'!$B$3:$B$2213,'Kế hoạch chèn link (mới)'!$D$3:$D$2213=$B248),1),"""")"),"https://techcombank.com/thong-tin/blog/chung-chi-tien-gui-la-gi")</f>
        <v>https://techcombank.com/thong-tin/blog/chung-chi-tien-gui-la-gi</v>
      </c>
      <c r="I248" s="25" t="str">
        <f>IFERROR(__xludf.DUMMYFUNCTION("IFERROR(INDEX(FILTER('Kế hoạch chèn link (mới)'!$C$3:$C$2213,'Kế hoạch chèn link (mới)'!$D$3:$D$2213=$B248),2),"""")"),"lãi suất ngân hàng tiền gửi")</f>
        <v>lãi suất ngân hàng tiền gửi</v>
      </c>
      <c r="J248" s="25" t="str">
        <f>IFERROR(__xludf.DUMMYFUNCTION("IFERROR(INDEX(FILTER('Kế hoạch chèn link (mới)'!$B$3:$B$2213,'Kế hoạch chèn link (mới)'!$D$3:$D$2213=$B248),2),"""")"),"https://techcombank.com/thong-tin/blog/lai-suat-tiet-kiem")</f>
        <v>https://techcombank.com/thong-tin/blog/lai-suat-tiet-kiem</v>
      </c>
      <c r="K248" s="25" t="str">
        <f>IFERROR(__xludf.DUMMYFUNCTION("IFERROR(INDEX(FILTER('Kế hoạch chèn link (mới)'!$C$3:$C$2213,'Kế hoạch chèn link (mới)'!$D$3:$D$2213=$B248),3),"""")"),"tính lãi suất ngân hàng")</f>
        <v>tính lãi suất ngân hàng</v>
      </c>
      <c r="L248" s="25" t="str">
        <f>IFERROR(__xludf.DUMMYFUNCTION("IFERROR(INDEX(FILTER('Kế hoạch chèn link (mới)'!$B$3:$B$2213,'Kế hoạch chèn link (mới)'!$D$3:$D$2213=$B248),3),"""")"),"https://techcombank.com/thong-tin/blog/cach-tinh-lai-suat-tien-gui-tiet-kiem")</f>
        <v>https://techcombank.com/thong-tin/blog/cach-tinh-lai-suat-tien-gui-tiet-kiem</v>
      </c>
      <c r="M248" s="25" t="str">
        <f>IFERROR(__xludf.DUMMYFUNCTION("IFERROR(INDEX(FILTER('Kế hoạch chèn link (mới)'!$C$3:$C$2213,'Kế hoạch chèn link (mới)'!$D$3:$D$2213=$B248),4),"""")"),"gửi tiết kiệm online có an toàn không")</f>
        <v>gửi tiết kiệm online có an toàn không</v>
      </c>
      <c r="N248" s="25" t="str">
        <f>IFERROR(__xludf.DUMMYFUNCTION("IFERROR(INDEX(FILTER('Kế hoạch chèn link (mới)'!$B$3:$B$2213,'Kế hoạch chèn link (mới)'!$D$3:$D$2213=$B248),4),"""")"),"https://techcombank.com/thong-tin/blog/rui-ro-khi-gui-tiet-kiem-online")</f>
        <v>https://techcombank.com/thong-tin/blog/rui-ro-khi-gui-tiet-kiem-online</v>
      </c>
      <c r="O248" s="25" t="str">
        <f>IFERROR(__xludf.DUMMYFUNCTION("IFERROR(INDEX(FILTER('Kế hoạch chèn link (mới)'!$C$3:$C$2213,'Kế hoạch chèn link (mới)'!$D$3:$D$2213=$B248),5),"""")"),"tính lãi suất vay ngân hàng")</f>
        <v>tính lãi suất vay ngân hàng</v>
      </c>
      <c r="P248" s="25" t="str">
        <f>IFERROR(__xludf.DUMMYFUNCTION("IFERROR(INDEX(FILTER('Kế hoạch chèn link (mới)'!$B$3:$B$2213,'Kế hoạch chèn link (mới)'!$D$3:$D$2213=$B248),5),"""")"),"https://techcombank.com/cong-cu-tien-ich/cong-cu-tinh-toan/bang-tinh-lai-suat-vay")</f>
        <v>https://techcombank.com/cong-cu-tien-ich/cong-cu-tinh-toan/bang-tinh-lai-suat-vay</v>
      </c>
    </row>
    <row r="249">
      <c r="A249" s="6">
        <f t="shared" si="1"/>
        <v>248</v>
      </c>
      <c r="B249" s="8" t="s">
        <v>1910</v>
      </c>
      <c r="C249" s="6">
        <f>COUNTIF('Kế hoạch chèn link (mới)'!$D$3:$D$2213,$B249)</f>
        <v>5</v>
      </c>
      <c r="D249" s="8" t="str">
        <f>IF(COUNTIFS('Kế hoạch chèn link (mới)'!$D$3:$D$2213,$B249,'Kế hoạch chèn link (mới)'!$I$3:$I$2213,"Đã chèn")&gt;=$C249,"Đã hoàn thành",IF(COUNTIFS('Kế hoạch chèn link (mới)'!$D$3:$D$2213,$B249,'Kế hoạch chèn link (mới)'!$I$3:$I$2213,"Đã chèn")&gt;0,"Đang làm","Chưa hoàn thành"))</f>
        <v>Chưa hoàn thành</v>
      </c>
      <c r="E249" s="8" t="b">
        <f t="shared" si="2"/>
        <v>0</v>
      </c>
      <c r="F249" s="25"/>
      <c r="G249" s="25" t="str">
        <f>IFERROR(__xludf.DUMMYFUNCTION("IFERROR(INDEX(FILTER('Kế hoạch chèn link (mới)'!$C$3:$C$2213,'Kế hoạch chèn link (mới)'!$D$3:$D$2213=$B249),1),"""")"),"ngân hàng uy tín")</f>
        <v>ngân hàng uy tín</v>
      </c>
      <c r="H249" s="25" t="str">
        <f>IFERROR(__xludf.DUMMYFUNCTION("IFERROR(INDEX(FILTER('Kế hoạch chèn link (mới)'!$B$3:$B$2213,'Kế hoạch chèn link (mới)'!$D$3:$D$2213=$B249),1),"""")"),"https://techcombank.com/thong-tin/blog/ngan-hang-uy-tin")</f>
        <v>https://techcombank.com/thong-tin/blog/ngan-hang-uy-tin</v>
      </c>
      <c r="I249" s="25" t="str">
        <f>IFERROR(__xludf.DUMMYFUNCTION("IFERROR(INDEX(FILTER('Kế hoạch chèn link (mới)'!$C$3:$C$2213,'Kế hoạch chèn link (mới)'!$D$3:$D$2213=$B249),2),"""")"),"lãi suất ngân hàng tiền gửi")</f>
        <v>lãi suất ngân hàng tiền gửi</v>
      </c>
      <c r="J249" s="25" t="str">
        <f>IFERROR(__xludf.DUMMYFUNCTION("IFERROR(INDEX(FILTER('Kế hoạch chèn link (mới)'!$B$3:$B$2213,'Kế hoạch chèn link (mới)'!$D$3:$D$2213=$B249),2),"""")"),"https://techcombank.com/thong-tin/blog/lai-suat-tiet-kiem")</f>
        <v>https://techcombank.com/thong-tin/blog/lai-suat-tiet-kiem</v>
      </c>
      <c r="K249" s="25" t="str">
        <f>IFERROR(__xludf.DUMMYFUNCTION("IFERROR(INDEX(FILTER('Kế hoạch chèn link (mới)'!$C$3:$C$2213,'Kế hoạch chèn link (mới)'!$D$3:$D$2213=$B249),3),"""")"),"sổ tiết kiệm")</f>
        <v>sổ tiết kiệm</v>
      </c>
      <c r="L249" s="25" t="str">
        <f>IFERROR(__xludf.DUMMYFUNCTION("IFERROR(INDEX(FILTER('Kế hoạch chèn link (mới)'!$B$3:$B$2213,'Kế hoạch chèn link (mới)'!$D$3:$D$2213=$B249),3),"""")"),"https://techcombank.com/thong-tin/blog/so-tiet-kiem-ngan-hang")</f>
        <v>https://techcombank.com/thong-tin/blog/so-tiet-kiem-ngan-hang</v>
      </c>
      <c r="M249" s="25" t="str">
        <f>IFERROR(__xludf.DUMMYFUNCTION("IFERROR(INDEX(FILTER('Kế hoạch chèn link (mới)'!$C$3:$C$2213,'Kế hoạch chèn link (mới)'!$D$3:$D$2213=$B249),4),"""")"),"bảng tính lãi suất tiết kiệm")</f>
        <v>bảng tính lãi suất tiết kiệm</v>
      </c>
      <c r="N249" s="25" t="str">
        <f>IFERROR(__xludf.DUMMYFUNCTION("IFERROR(INDEX(FILTER('Kế hoạch chèn link (mới)'!$B$3:$B$2213,'Kế hoạch chèn link (mới)'!$D$3:$D$2213=$B249),4),"""")"),"https://techcombank.com/cong-cu-tien-ich/cong-cu-tinh-toan/bang-tinh-lai-suat-tiet-kiem")</f>
        <v>https://techcombank.com/cong-cu-tien-ich/cong-cu-tinh-toan/bang-tinh-lai-suat-tiet-kiem</v>
      </c>
      <c r="O249" s="25" t="str">
        <f>IFERROR(__xludf.DUMMYFUNCTION("IFERROR(INDEX(FILTER('Kế hoạch chèn link (mới)'!$C$3:$C$2213,'Kế hoạch chèn link (mới)'!$D$3:$D$2213=$B249),5),"""")"),"vay tiền")</f>
        <v>vay tiền</v>
      </c>
      <c r="P249" s="25" t="str">
        <f>IFERROR(__xludf.DUMMYFUNCTION("IFERROR(INDEX(FILTER('Kế hoạch chèn link (mới)'!$B$3:$B$2213,'Kế hoạch chèn link (mới)'!$D$3:$D$2213=$B249),5),"""")"),"https://techcombank.com/thong-tin/blog/app-vay-tien-nhanh")</f>
        <v>https://techcombank.com/thong-tin/blog/app-vay-tien-nhanh</v>
      </c>
    </row>
    <row r="250">
      <c r="A250" s="6">
        <f t="shared" si="1"/>
        <v>249</v>
      </c>
      <c r="B250" s="8" t="s">
        <v>2870</v>
      </c>
      <c r="C250" s="6">
        <f>COUNTIF('Kế hoạch chèn link (mới)'!$D$3:$D$2213,$B250)</f>
        <v>4</v>
      </c>
      <c r="D250" s="8" t="str">
        <f>IF(COUNTIFS('Kế hoạch chèn link (mới)'!$D$3:$D$2213,$B250,'Kế hoạch chèn link (mới)'!$I$3:$I$2213,"Đã chèn")&gt;=$C250,"Đã hoàn thành",IF(COUNTIFS('Kế hoạch chèn link (mới)'!$D$3:$D$2213,$B250,'Kế hoạch chèn link (mới)'!$I$3:$I$2213,"Đã chèn")&gt;0,"Đang làm","Chưa hoàn thành"))</f>
        <v>Chưa hoàn thành</v>
      </c>
      <c r="E250" s="8" t="b">
        <f t="shared" si="2"/>
        <v>0</v>
      </c>
      <c r="F250" s="25"/>
      <c r="G250" s="25" t="str">
        <f>IFERROR(__xludf.DUMMYFUNCTION("IFERROR(INDEX(FILTER('Kế hoạch chèn link (mới)'!$C$3:$C$2213,'Kế hoạch chèn link (mới)'!$D$3:$D$2213=$B250),1),"""")"),"lãi suất gửi tiết kiệm ngân hàng")</f>
        <v>lãi suất gửi tiết kiệm ngân hàng</v>
      </c>
      <c r="H250" s="25" t="str">
        <f>IFERROR(__xludf.DUMMYFUNCTION("IFERROR(INDEX(FILTER('Kế hoạch chèn link (mới)'!$B$3:$B$2213,'Kế hoạch chèn link (mới)'!$D$3:$D$2213=$B250),1),"""")"),"https://techcombank.com/thong-tin/blog/lai-suat-tiet-kiem")</f>
        <v>https://techcombank.com/thong-tin/blog/lai-suat-tiet-kiem</v>
      </c>
      <c r="I250" s="25" t="str">
        <f>IFERROR(__xludf.DUMMYFUNCTION("IFERROR(INDEX(FILTER('Kế hoạch chèn link (mới)'!$C$3:$C$2213,'Kế hoạch chèn link (mới)'!$D$3:$D$2213=$B250),2),"""")"),"tính lãi suất tiết kiệm")</f>
        <v>tính lãi suất tiết kiệm</v>
      </c>
      <c r="J250" s="25" t="str">
        <f>IFERROR(__xludf.DUMMYFUNCTION("IFERROR(INDEX(FILTER('Kế hoạch chèn link (mới)'!$B$3:$B$2213,'Kế hoạch chèn link (mới)'!$D$3:$D$2213=$B250),2),"""")"),"https://techcombank.com/thong-tin/blog/cach-tinh-lai-suat-tien-gui-tiet-kiem")</f>
        <v>https://techcombank.com/thong-tin/blog/cach-tinh-lai-suat-tien-gui-tiet-kiem</v>
      </c>
      <c r="K250" s="25" t="str">
        <f>IFERROR(__xludf.DUMMYFUNCTION("IFERROR(INDEX(FILTER('Kế hoạch chèn link (mới)'!$C$3:$C$2213,'Kế hoạch chèn link (mới)'!$D$3:$D$2213=$B250),3),"""")"),"sổ tiết kiệm ngân hàng")</f>
        <v>sổ tiết kiệm ngân hàng</v>
      </c>
      <c r="L250" s="25" t="str">
        <f>IFERROR(__xludf.DUMMYFUNCTION("IFERROR(INDEX(FILTER('Kế hoạch chèn link (mới)'!$B$3:$B$2213,'Kế hoạch chèn link (mới)'!$D$3:$D$2213=$B250),3),"""")"),"https://techcombank.com/thong-tin/blog/so-tiet-kiem-ngan-hang")</f>
        <v>https://techcombank.com/thong-tin/blog/so-tiet-kiem-ngan-hang</v>
      </c>
      <c r="M250" s="25" t="str">
        <f>IFERROR(__xludf.DUMMYFUNCTION("IFERROR(INDEX(FILTER('Kế hoạch chèn link (mới)'!$C$3:$C$2213,'Kế hoạch chèn link (mới)'!$D$3:$D$2213=$B250),4),"""")"),"bảng tính lãi suất tiết kiệm")</f>
        <v>bảng tính lãi suất tiết kiệm</v>
      </c>
      <c r="N250" s="25" t="str">
        <f>IFERROR(__xludf.DUMMYFUNCTION("IFERROR(INDEX(FILTER('Kế hoạch chèn link (mới)'!$B$3:$B$2213,'Kế hoạch chèn link (mới)'!$D$3:$D$2213=$B250),4),"""")"),"https://techcombank.com/cong-cu-tien-ich/cong-cu-tinh-toan/bang-tinh-lai-suat-tiet-kiem")</f>
        <v>https://techcombank.com/cong-cu-tien-ich/cong-cu-tinh-toan/bang-tinh-lai-suat-tiet-kiem</v>
      </c>
      <c r="O250" s="25" t="str">
        <f>IFERROR(__xludf.DUMMYFUNCTION("IFERROR(INDEX(FILTER('Kế hoạch chèn link (mới)'!$C$3:$C$2213,'Kế hoạch chèn link (mới)'!$D$3:$D$2213=$B250),5),"""")"),"")</f>
        <v/>
      </c>
      <c r="P250" s="25" t="str">
        <f>IFERROR(__xludf.DUMMYFUNCTION("IFERROR(INDEX(FILTER('Kế hoạch chèn link (mới)'!$B$3:$B$2213,'Kế hoạch chèn link (mới)'!$D$3:$D$2213=$B250),5),"""")"),"")</f>
        <v/>
      </c>
    </row>
    <row r="251">
      <c r="A251" s="6">
        <f t="shared" si="1"/>
        <v>250</v>
      </c>
      <c r="B251" s="8" t="s">
        <v>2871</v>
      </c>
      <c r="C251" s="6">
        <f>COUNTIF('Kế hoạch chèn link (mới)'!$D$3:$D$2213,$B251)</f>
        <v>4</v>
      </c>
      <c r="D251" s="8" t="str">
        <f>IF(COUNTIFS('Kế hoạch chèn link (mới)'!$D$3:$D$2213,$B251,'Kế hoạch chèn link (mới)'!$I$3:$I$2213,"Đã chèn")&gt;=$C251,"Đã hoàn thành",IF(COUNTIFS('Kế hoạch chèn link (mới)'!$D$3:$D$2213,$B251,'Kế hoạch chèn link (mới)'!$I$3:$I$2213,"Đã chèn")&gt;0,"Đang làm","Chưa hoàn thành"))</f>
        <v>Chưa hoàn thành</v>
      </c>
      <c r="E251" s="8" t="b">
        <f t="shared" si="2"/>
        <v>0</v>
      </c>
      <c r="F251" s="25"/>
      <c r="G251" s="25" t="str">
        <f>IFERROR(__xludf.DUMMYFUNCTION("IFERROR(INDEX(FILTER('Kế hoạch chèn link (mới)'!$C$3:$C$2213,'Kế hoạch chèn link (mới)'!$D$3:$D$2213=$B251),1),"""")"),"lãi suất tiền gửi ngân hàng")</f>
        <v>lãi suất tiền gửi ngân hàng</v>
      </c>
      <c r="H251" s="25" t="str">
        <f>IFERROR(__xludf.DUMMYFUNCTION("IFERROR(INDEX(FILTER('Kế hoạch chèn link (mới)'!$B$3:$B$2213,'Kế hoạch chèn link (mới)'!$D$3:$D$2213=$B251),1),"""")"),"https://techcombank.com/thong-tin/blog/lai-suat-tiet-kiem")</f>
        <v>https://techcombank.com/thong-tin/blog/lai-suat-tiet-kiem</v>
      </c>
      <c r="I251" s="25" t="str">
        <f>IFERROR(__xludf.DUMMYFUNCTION("IFERROR(INDEX(FILTER('Kế hoạch chèn link (mới)'!$C$3:$C$2213,'Kế hoạch chèn link (mới)'!$D$3:$D$2213=$B251),2),"""")"),"tính lãi suất ngân hàng")</f>
        <v>tính lãi suất ngân hàng</v>
      </c>
      <c r="J251" s="25" t="str">
        <f>IFERROR(__xludf.DUMMYFUNCTION("IFERROR(INDEX(FILTER('Kế hoạch chèn link (mới)'!$B$3:$B$2213,'Kế hoạch chèn link (mới)'!$D$3:$D$2213=$B251),2),"""")"),"https://techcombank.com/thong-tin/blog/cach-tinh-lai-suat-tien-gui-tiet-kiem")</f>
        <v>https://techcombank.com/thong-tin/blog/cach-tinh-lai-suat-tien-gui-tiet-kiem</v>
      </c>
      <c r="K251" s="25" t="str">
        <f>IFERROR(__xludf.DUMMYFUNCTION("IFERROR(INDEX(FILTER('Kế hoạch chèn link (mới)'!$C$3:$C$2213,'Kế hoạch chèn link (mới)'!$D$3:$D$2213=$B251),3),"""")"),"vay")</f>
        <v>vay</v>
      </c>
      <c r="L251" s="25" t="str">
        <f>IFERROR(__xludf.DUMMYFUNCTION("IFERROR(INDEX(FILTER('Kế hoạch chèn link (mới)'!$B$3:$B$2213,'Kế hoạch chèn link (mới)'!$D$3:$D$2213=$B251),3),"""")"),"https://techcombank.com/thong-tin/blog/app-vay-tien-nhanh")</f>
        <v>https://techcombank.com/thong-tin/blog/app-vay-tien-nhanh</v>
      </c>
      <c r="M251" s="25" t="str">
        <f>IFERROR(__xludf.DUMMYFUNCTION("IFERROR(INDEX(FILTER('Kế hoạch chèn link (mới)'!$C$3:$C$2213,'Kế hoạch chèn link (mới)'!$D$3:$D$2213=$B251),4),"""")"),"vay thấu chi")</f>
        <v>vay thấu chi</v>
      </c>
      <c r="N251" s="25" t="str">
        <f>IFERROR(__xludf.DUMMYFUNCTION("IFERROR(INDEX(FILTER('Kế hoạch chèn link (mới)'!$B$3:$B$2213,'Kế hoạch chèn link (mới)'!$D$3:$D$2213=$B251),4),"""")"),"https://techcombank.com/thong-tin/blog/vay-thau-chi-la-gi")</f>
        <v>https://techcombank.com/thong-tin/blog/vay-thau-chi-la-gi</v>
      </c>
      <c r="O251" s="25" t="str">
        <f>IFERROR(__xludf.DUMMYFUNCTION("IFERROR(INDEX(FILTER('Kế hoạch chèn link (mới)'!$C$3:$C$2213,'Kế hoạch chèn link (mới)'!$D$3:$D$2213=$B251),5),"""")"),"")</f>
        <v/>
      </c>
      <c r="P251" s="25" t="str">
        <f>IFERROR(__xludf.DUMMYFUNCTION("IFERROR(INDEX(FILTER('Kế hoạch chèn link (mới)'!$B$3:$B$2213,'Kế hoạch chèn link (mới)'!$D$3:$D$2213=$B251),5),"""")"),"")</f>
        <v/>
      </c>
    </row>
    <row r="252">
      <c r="A252" s="6">
        <f t="shared" si="1"/>
        <v>251</v>
      </c>
      <c r="B252" s="8" t="s">
        <v>2873</v>
      </c>
      <c r="C252" s="6">
        <f>COUNTIF('Kế hoạch chèn link (mới)'!$D$3:$D$2213,$B252)</f>
        <v>3</v>
      </c>
      <c r="D252" s="8" t="str">
        <f>IF(COUNTIFS('Kế hoạch chèn link (mới)'!$D$3:$D$2213,$B252,'Kế hoạch chèn link (mới)'!$I$3:$I$2213,"Đã chèn")&gt;=$C252,"Đã hoàn thành",IF(COUNTIFS('Kế hoạch chèn link (mới)'!$D$3:$D$2213,$B252,'Kế hoạch chèn link (mới)'!$I$3:$I$2213,"Đã chèn")&gt;0,"Đang làm","Chưa hoàn thành"))</f>
        <v>Chưa hoàn thành</v>
      </c>
      <c r="E252" s="8" t="b">
        <f t="shared" si="2"/>
        <v>0</v>
      </c>
      <c r="F252" s="25"/>
      <c r="G252" s="25" t="str">
        <f>IFERROR(__xludf.DUMMYFUNCTION("IFERROR(INDEX(FILTER('Kế hoạch chèn link (mới)'!$C$3:$C$2213,'Kế hoạch chèn link (mới)'!$D$3:$D$2213=$B252),1),"""")"),"rút tiết kiệm trước hạn")</f>
        <v>rút tiết kiệm trước hạn</v>
      </c>
      <c r="H252" s="25" t="str">
        <f>IFERROR(__xludf.DUMMYFUNCTION("IFERROR(INDEX(FILTER('Kế hoạch chèn link (mới)'!$B$3:$B$2213,'Kế hoạch chèn link (mới)'!$D$3:$D$2213=$B252),1),"""")"),"https://techcombank.com/thong-tin/blog/rut-tien-tiet-kiem-truoc-thoi-han")</f>
        <v>https://techcombank.com/thong-tin/blog/rut-tien-tiet-kiem-truoc-thoi-han</v>
      </c>
      <c r="I252" s="25" t="str">
        <f>IFERROR(__xludf.DUMMYFUNCTION("IFERROR(INDEX(FILTER('Kế hoạch chèn link (mới)'!$C$3:$C$2213,'Kế hoạch chèn link (mới)'!$D$3:$D$2213=$B252),2),"""")"),"công cụ tính lãi tiết kiệm")</f>
        <v>công cụ tính lãi tiết kiệm</v>
      </c>
      <c r="J252" s="25" t="str">
        <f>IFERROR(__xludf.DUMMYFUNCTION("IFERROR(INDEX(FILTER('Kế hoạch chèn link (mới)'!$B$3:$B$2213,'Kế hoạch chèn link (mới)'!$D$3:$D$2213=$B252),2),"""")"),"https://techcombank.com/cong-cu-tien-ich/cong-cu-tinh-toan/bang-tinh-lai-suat-tiet-kiem")</f>
        <v>https://techcombank.com/cong-cu-tien-ich/cong-cu-tinh-toan/bang-tinh-lai-suat-tiet-kiem</v>
      </c>
      <c r="K252" s="25" t="str">
        <f>IFERROR(__xludf.DUMMYFUNCTION("IFERROR(INDEX(FILTER('Kế hoạch chèn link (mới)'!$C$3:$C$2213,'Kế hoạch chèn link (mới)'!$D$3:$D$2213=$B252),3),"""")"),"thấu chi là gì")</f>
        <v>thấu chi là gì</v>
      </c>
      <c r="L252" s="25" t="str">
        <f>IFERROR(__xludf.DUMMYFUNCTION("IFERROR(INDEX(FILTER('Kế hoạch chèn link (mới)'!$B$3:$B$2213,'Kế hoạch chèn link (mới)'!$D$3:$D$2213=$B252),3),"""")"),"https://techcombank.com/thong-tin/blog/vay-thau-chi-la-gi")</f>
        <v>https://techcombank.com/thong-tin/blog/vay-thau-chi-la-gi</v>
      </c>
      <c r="M252" s="25" t="str">
        <f>IFERROR(__xludf.DUMMYFUNCTION("IFERROR(INDEX(FILTER('Kế hoạch chèn link (mới)'!$C$3:$C$2213,'Kế hoạch chèn link (mới)'!$D$3:$D$2213=$B252),4),"""")"),"")</f>
        <v/>
      </c>
      <c r="N252" s="25" t="str">
        <f>IFERROR(__xludf.DUMMYFUNCTION("IFERROR(INDEX(FILTER('Kế hoạch chèn link (mới)'!$B$3:$B$2213,'Kế hoạch chèn link (mới)'!$D$3:$D$2213=$B252),4),"""")"),"")</f>
        <v/>
      </c>
      <c r="O252" s="25" t="str">
        <f>IFERROR(__xludf.DUMMYFUNCTION("IFERROR(INDEX(FILTER('Kế hoạch chèn link (mới)'!$C$3:$C$2213,'Kế hoạch chèn link (mới)'!$D$3:$D$2213=$B252),5),"""")"),"")</f>
        <v/>
      </c>
      <c r="P252" s="25" t="str">
        <f>IFERROR(__xludf.DUMMYFUNCTION("IFERROR(INDEX(FILTER('Kế hoạch chèn link (mới)'!$B$3:$B$2213,'Kế hoạch chèn link (mới)'!$D$3:$D$2213=$B252),5),"""")"),"")</f>
        <v/>
      </c>
    </row>
    <row r="253">
      <c r="A253" s="6">
        <f t="shared" si="1"/>
        <v>252</v>
      </c>
      <c r="B253" s="8" t="s">
        <v>2874</v>
      </c>
      <c r="C253" s="6">
        <f>COUNTIF('Kế hoạch chèn link (mới)'!$D$3:$D$2213,$B253)</f>
        <v>4</v>
      </c>
      <c r="D253" s="8" t="str">
        <f>IF(COUNTIFS('Kế hoạch chèn link (mới)'!$D$3:$D$2213,$B253,'Kế hoạch chèn link (mới)'!$I$3:$I$2213,"Đã chèn")&gt;=$C253,"Đã hoàn thành",IF(COUNTIFS('Kế hoạch chèn link (mới)'!$D$3:$D$2213,$B253,'Kế hoạch chèn link (mới)'!$I$3:$I$2213,"Đã chèn")&gt;0,"Đang làm","Chưa hoàn thành"))</f>
        <v>Chưa hoàn thành</v>
      </c>
      <c r="E253" s="8" t="b">
        <f t="shared" si="2"/>
        <v>0</v>
      </c>
      <c r="F253" s="25"/>
      <c r="G253" s="25" t="str">
        <f>IFERROR(__xludf.DUMMYFUNCTION("IFERROR(INDEX(FILTER('Kế hoạch chèn link (mới)'!$C$3:$C$2213,'Kế hoạch chèn link (mới)'!$D$3:$D$2213=$B253),1),"""")"),"lãi suất chứng chỉ tiền gửi")</f>
        <v>lãi suất chứng chỉ tiền gửi</v>
      </c>
      <c r="H253" s="25" t="str">
        <f>IFERROR(__xludf.DUMMYFUNCTION("IFERROR(INDEX(FILTER('Kế hoạch chèn link (mới)'!$B$3:$B$2213,'Kế hoạch chèn link (mới)'!$D$3:$D$2213=$B253),1),"""")"),"https://techcombank.com/thong-tin/blog/lai-suat-chung-chi-tien-gui-cac-ngan-hang")</f>
        <v>https://techcombank.com/thong-tin/blog/lai-suat-chung-chi-tien-gui-cac-ngan-hang</v>
      </c>
      <c r="I253" s="25" t="str">
        <f>IFERROR(__xludf.DUMMYFUNCTION("IFERROR(INDEX(FILTER('Kế hoạch chèn link (mới)'!$C$3:$C$2213,'Kế hoạch chèn link (mới)'!$D$3:$D$2213=$B253),2),"""")"),"lãi suất gửi tiết kiệm ngân hàng")</f>
        <v>lãi suất gửi tiết kiệm ngân hàng</v>
      </c>
      <c r="J253" s="25" t="str">
        <f>IFERROR(__xludf.DUMMYFUNCTION("IFERROR(INDEX(FILTER('Kế hoạch chèn link (mới)'!$B$3:$B$2213,'Kế hoạch chèn link (mới)'!$D$3:$D$2213=$B253),2),"""")"),"https://techcombank.com/thong-tin/blog/lai-suat-tiet-kiem")</f>
        <v>https://techcombank.com/thong-tin/blog/lai-suat-tiet-kiem</v>
      </c>
      <c r="K253" s="25" t="str">
        <f>IFERROR(__xludf.DUMMYFUNCTION("IFERROR(INDEX(FILTER('Kế hoạch chèn link (mới)'!$C$3:$C$2213,'Kế hoạch chèn link (mới)'!$D$3:$D$2213=$B253),3),"""")"),"tính lãi suất ngân hàng")</f>
        <v>tính lãi suất ngân hàng</v>
      </c>
      <c r="L253" s="25" t="str">
        <f>IFERROR(__xludf.DUMMYFUNCTION("IFERROR(INDEX(FILTER('Kế hoạch chèn link (mới)'!$B$3:$B$2213,'Kế hoạch chèn link (mới)'!$D$3:$D$2213=$B253),3),"""")"),"https://techcombank.com/thong-tin/blog/cach-tinh-lai-suat-tien-gui-tiet-kiem")</f>
        <v>https://techcombank.com/thong-tin/blog/cach-tinh-lai-suat-tien-gui-tiet-kiem</v>
      </c>
      <c r="M253" s="25" t="str">
        <f>IFERROR(__xludf.DUMMYFUNCTION("IFERROR(INDEX(FILTER('Kế hoạch chèn link (mới)'!$C$3:$C$2213,'Kế hoạch chèn link (mới)'!$D$3:$D$2213=$B253),4),"""")"),"rút tiền tiết kiệm trước thời hạn")</f>
        <v>rút tiền tiết kiệm trước thời hạn</v>
      </c>
      <c r="N253" s="25" t="str">
        <f>IFERROR(__xludf.DUMMYFUNCTION("IFERROR(INDEX(FILTER('Kế hoạch chèn link (mới)'!$B$3:$B$2213,'Kế hoạch chèn link (mới)'!$D$3:$D$2213=$B253),4),"""")"),"https://techcombank.com/thong-tin/blog/rut-tien-tiet-kiem-truoc-thoi-han")</f>
        <v>https://techcombank.com/thong-tin/blog/rut-tien-tiet-kiem-truoc-thoi-han</v>
      </c>
      <c r="O253" s="25" t="str">
        <f>IFERROR(__xludf.DUMMYFUNCTION("IFERROR(INDEX(FILTER('Kế hoạch chèn link (mới)'!$C$3:$C$2213,'Kế hoạch chèn link (mới)'!$D$3:$D$2213=$B253),5),"""")"),"")</f>
        <v/>
      </c>
      <c r="P253" s="25" t="str">
        <f>IFERROR(__xludf.DUMMYFUNCTION("IFERROR(INDEX(FILTER('Kế hoạch chèn link (mới)'!$B$3:$B$2213,'Kế hoạch chèn link (mới)'!$D$3:$D$2213=$B253),5),"""")"),"")</f>
        <v/>
      </c>
    </row>
    <row r="254">
      <c r="A254" s="6">
        <f t="shared" si="1"/>
        <v>253</v>
      </c>
      <c r="B254" s="8" t="s">
        <v>2227</v>
      </c>
      <c r="C254" s="6">
        <f>COUNTIF('Kế hoạch chèn link (mới)'!$D$3:$D$2213,$B254)</f>
        <v>5</v>
      </c>
      <c r="D254" s="8" t="str">
        <f>IF(COUNTIFS('Kế hoạch chèn link (mới)'!$D$3:$D$2213,$B254,'Kế hoạch chèn link (mới)'!$I$3:$I$2213,"Đã chèn")&gt;=$C254,"Đã hoàn thành",IF(COUNTIFS('Kế hoạch chèn link (mới)'!$D$3:$D$2213,$B254,'Kế hoạch chèn link (mới)'!$I$3:$I$2213,"Đã chèn")&gt;0,"Đang làm","Chưa hoàn thành"))</f>
        <v>Chưa hoàn thành</v>
      </c>
      <c r="E254" s="8" t="b">
        <f t="shared" si="2"/>
        <v>0</v>
      </c>
      <c r="F254" s="25"/>
      <c r="G254" s="25" t="str">
        <f>IFERROR(__xludf.DUMMYFUNCTION("IFERROR(INDEX(FILTER('Kế hoạch chèn link (mới)'!$C$3:$C$2213,'Kế hoạch chèn link (mới)'!$D$3:$D$2213=$B254),1),"""")"),"nộp tiền vào tài khoản")</f>
        <v>nộp tiền vào tài khoản</v>
      </c>
      <c r="H254" s="25" t="str">
        <f>IFERROR(__xludf.DUMMYFUNCTION("IFERROR(INDEX(FILTER('Kế hoạch chèn link (mới)'!$B$3:$B$2213,'Kế hoạch chèn link (mới)'!$D$3:$D$2213=$B254),1),"""")"),"https://techcombank.com/thong-tin/blog/nap-tien-vao-tai-khoan-ngan-hang")</f>
        <v>https://techcombank.com/thong-tin/blog/nap-tien-vao-tai-khoan-ngan-hang</v>
      </c>
      <c r="I254" s="25" t="str">
        <f>IFERROR(__xludf.DUMMYFUNCTION("IFERROR(INDEX(FILTER('Kế hoạch chèn link (mới)'!$C$3:$C$2213,'Kế hoạch chèn link (mới)'!$D$3:$D$2213=$B254),2),"""")"),"lãi suất ngân hàng")</f>
        <v>lãi suất ngân hàng</v>
      </c>
      <c r="J254" s="25" t="str">
        <f>IFERROR(__xludf.DUMMYFUNCTION("IFERROR(INDEX(FILTER('Kế hoạch chèn link (mới)'!$B$3:$B$2213,'Kế hoạch chèn link (mới)'!$D$3:$D$2213=$B254),2),"""")"),"https://techcombank.com/thong-tin/blog/lai-suat-tiet-kiem")</f>
        <v>https://techcombank.com/thong-tin/blog/lai-suat-tiet-kiem</v>
      </c>
      <c r="K254" s="25" t="str">
        <f>IFERROR(__xludf.DUMMYFUNCTION("IFERROR(INDEX(FILTER('Kế hoạch chèn link (mới)'!$C$3:$C$2213,'Kế hoạch chèn link (mới)'!$D$3:$D$2213=$B254),3),"""")"),"tính lãi suất ngân hàng")</f>
        <v>tính lãi suất ngân hàng</v>
      </c>
      <c r="L254" s="25" t="str">
        <f>IFERROR(__xludf.DUMMYFUNCTION("IFERROR(INDEX(FILTER('Kế hoạch chèn link (mới)'!$B$3:$B$2213,'Kế hoạch chèn link (mới)'!$D$3:$D$2213=$B254),3),"""")"),"https://techcombank.com/thong-tin/blog/cach-tinh-lai-suat-tien-gui-tiet-kiem")</f>
        <v>https://techcombank.com/thong-tin/blog/cach-tinh-lai-suat-tien-gui-tiet-kiem</v>
      </c>
      <c r="M254" s="25" t="str">
        <f>IFERROR(__xludf.DUMMYFUNCTION("IFERROR(INDEX(FILTER('Kế hoạch chèn link (mới)'!$C$3:$C$2213,'Kế hoạch chèn link (mới)'!$D$3:$D$2213=$B254),4),"""")"),"sổ tiết kiệm ngân hàng")</f>
        <v>sổ tiết kiệm ngân hàng</v>
      </c>
      <c r="N254" s="25" t="str">
        <f>IFERROR(__xludf.DUMMYFUNCTION("IFERROR(INDEX(FILTER('Kế hoạch chèn link (mới)'!$B$3:$B$2213,'Kế hoạch chèn link (mới)'!$D$3:$D$2213=$B254),4),"""")"),"https://techcombank.com/thong-tin/blog/so-tiet-kiem-ngan-hang")</f>
        <v>https://techcombank.com/thong-tin/blog/so-tiet-kiem-ngan-hang</v>
      </c>
      <c r="O254" s="25" t="str">
        <f>IFERROR(__xludf.DUMMYFUNCTION("IFERROR(INDEX(FILTER('Kế hoạch chèn link (mới)'!$C$3:$C$2213,'Kế hoạch chèn link (mới)'!$D$3:$D$2213=$B254),5),"""")"),"bảng tính lãi suất tiết kiệm")</f>
        <v>bảng tính lãi suất tiết kiệm</v>
      </c>
      <c r="P254" s="25" t="str">
        <f>IFERROR(__xludf.DUMMYFUNCTION("IFERROR(INDEX(FILTER('Kế hoạch chèn link (mới)'!$B$3:$B$2213,'Kế hoạch chèn link (mới)'!$D$3:$D$2213=$B254),5),"""")"),"https://techcombank.com/cong-cu-tien-ich/cong-cu-tinh-toan/bang-tinh-lai-suat-tiet-kiem")</f>
        <v>https://techcombank.com/cong-cu-tien-ich/cong-cu-tinh-toan/bang-tinh-lai-suat-tiet-kiem</v>
      </c>
    </row>
    <row r="255">
      <c r="A255" s="6">
        <f t="shared" si="1"/>
        <v>254</v>
      </c>
      <c r="B255" s="8" t="s">
        <v>2875</v>
      </c>
      <c r="C255" s="6">
        <f>COUNTIF('Kế hoạch chèn link (mới)'!$D$3:$D$2213,$B255)</f>
        <v>4</v>
      </c>
      <c r="D255" s="8" t="str">
        <f>IF(COUNTIFS('Kế hoạch chèn link (mới)'!$D$3:$D$2213,$B255,'Kế hoạch chèn link (mới)'!$I$3:$I$2213,"Đã chèn")&gt;=$C255,"Đã hoàn thành",IF(COUNTIFS('Kế hoạch chèn link (mới)'!$D$3:$D$2213,$B255,'Kế hoạch chèn link (mới)'!$I$3:$I$2213,"Đã chèn")&gt;0,"Đang làm","Chưa hoàn thành"))</f>
        <v>Chưa hoàn thành</v>
      </c>
      <c r="E255" s="8" t="b">
        <f t="shared" si="2"/>
        <v>0</v>
      </c>
      <c r="F255" s="25"/>
      <c r="G255" s="25" t="str">
        <f>IFERROR(__xludf.DUMMYFUNCTION("IFERROR(INDEX(FILTER('Kế hoạch chèn link (mới)'!$C$3:$C$2213,'Kế hoạch chèn link (mới)'!$D$3:$D$2213=$B255),1),"""")"),"tỷ giá USD/VND")</f>
        <v>tỷ giá USD/VND</v>
      </c>
      <c r="H255" s="25" t="str">
        <f>IFERROR(__xludf.DUMMYFUNCTION("IFERROR(INDEX(FILTER('Kế hoạch chèn link (mới)'!$B$3:$B$2213,'Kế hoạch chèn link (mới)'!$D$3:$D$2213=$B255),1),"""")"),"https://techcombank.com/thong-tin/blog/1-dong-do-la-my-bang-bao-nhieu-tien-viet-nam")</f>
        <v>https://techcombank.com/thong-tin/blog/1-dong-do-la-my-bang-bao-nhieu-tien-viet-nam</v>
      </c>
      <c r="I255" s="25" t="str">
        <f>IFERROR(__xludf.DUMMYFUNCTION("IFERROR(INDEX(FILTER('Kế hoạch chèn link (mới)'!$C$3:$C$2213,'Kế hoạch chèn link (mới)'!$D$3:$D$2213=$B255),2),"""")"),"lãi suất ngân hàng hiện nay")</f>
        <v>lãi suất ngân hàng hiện nay</v>
      </c>
      <c r="J255" s="25" t="str">
        <f>IFERROR(__xludf.DUMMYFUNCTION("IFERROR(INDEX(FILTER('Kế hoạch chèn link (mới)'!$B$3:$B$2213,'Kế hoạch chèn link (mới)'!$D$3:$D$2213=$B255),2),"""")"),"https://techcombank.com/thong-tin/blog/lai-suat-tiet-kiem")</f>
        <v>https://techcombank.com/thong-tin/blog/lai-suat-tiet-kiem</v>
      </c>
      <c r="K255" s="25" t="str">
        <f>IFERROR(__xludf.DUMMYFUNCTION("IFERROR(INDEX(FILTER('Kế hoạch chèn link (mới)'!$C$3:$C$2213,'Kế hoạch chèn link (mới)'!$D$3:$D$2213=$B255),3),"""")"),"tính lãi suất tiết kiệm")</f>
        <v>tính lãi suất tiết kiệm</v>
      </c>
      <c r="L255" s="25" t="str">
        <f>IFERROR(__xludf.DUMMYFUNCTION("IFERROR(INDEX(FILTER('Kế hoạch chèn link (mới)'!$B$3:$B$2213,'Kế hoạch chèn link (mới)'!$D$3:$D$2213=$B255),3),"""")"),"https://techcombank.com/thong-tin/blog/cach-tinh-lai-suat-tien-gui-tiet-kiem")</f>
        <v>https://techcombank.com/thong-tin/blog/cach-tinh-lai-suat-tien-gui-tiet-kiem</v>
      </c>
      <c r="M255" s="25" t="str">
        <f>IFERROR(__xludf.DUMMYFUNCTION("IFERROR(INDEX(FILTER('Kế hoạch chèn link (mới)'!$C$3:$C$2213,'Kế hoạch chèn link (mới)'!$D$3:$D$2213=$B255),4),"""")"),"bảng tính lãi suất tiết kiệm")</f>
        <v>bảng tính lãi suất tiết kiệm</v>
      </c>
      <c r="N255" s="25" t="str">
        <f>IFERROR(__xludf.DUMMYFUNCTION("IFERROR(INDEX(FILTER('Kế hoạch chèn link (mới)'!$B$3:$B$2213,'Kế hoạch chèn link (mới)'!$D$3:$D$2213=$B255),4),"""")"),"https://techcombank.com/cong-cu-tien-ich/cong-cu-tinh-toan/bang-tinh-lai-suat-tiet-kiem")</f>
        <v>https://techcombank.com/cong-cu-tien-ich/cong-cu-tinh-toan/bang-tinh-lai-suat-tiet-kiem</v>
      </c>
      <c r="O255" s="25" t="str">
        <f>IFERROR(__xludf.DUMMYFUNCTION("IFERROR(INDEX(FILTER('Kế hoạch chèn link (mới)'!$C$3:$C$2213,'Kế hoạch chèn link (mới)'!$D$3:$D$2213=$B255),5),"""")"),"")</f>
        <v/>
      </c>
      <c r="P255" s="25" t="str">
        <f>IFERROR(__xludf.DUMMYFUNCTION("IFERROR(INDEX(FILTER('Kế hoạch chèn link (mới)'!$B$3:$B$2213,'Kế hoạch chèn link (mới)'!$D$3:$D$2213=$B255),5),"""")"),"")</f>
        <v/>
      </c>
    </row>
    <row r="256">
      <c r="A256" s="6">
        <f t="shared" si="1"/>
        <v>255</v>
      </c>
      <c r="B256" s="8" t="s">
        <v>2877</v>
      </c>
      <c r="C256" s="6">
        <f>COUNTIF('Kế hoạch chèn link (mới)'!$D$3:$D$2213,$B256)</f>
        <v>5</v>
      </c>
      <c r="D256" s="8" t="str">
        <f>IF(COUNTIFS('Kế hoạch chèn link (mới)'!$D$3:$D$2213,$B256,'Kế hoạch chèn link (mới)'!$I$3:$I$2213,"Đã chèn")&gt;=$C256,"Đã hoàn thành",IF(COUNTIFS('Kế hoạch chèn link (mới)'!$D$3:$D$2213,$B256,'Kế hoạch chèn link (mới)'!$I$3:$I$2213,"Đã chèn")&gt;0,"Đang làm","Chưa hoàn thành"))</f>
        <v>Chưa hoàn thành</v>
      </c>
      <c r="E256" s="8" t="b">
        <f t="shared" si="2"/>
        <v>0</v>
      </c>
      <c r="F256" s="25"/>
      <c r="G256" s="25" t="str">
        <f>IFERROR(__xludf.DUMMYFUNCTION("IFERROR(INDEX(FILTER('Kế hoạch chèn link (mới)'!$C$3:$C$2213,'Kế hoạch chèn link (mới)'!$D$3:$D$2213=$B256),1),"""")"),"chứng chỉ tiền gửi là gì")</f>
        <v>chứng chỉ tiền gửi là gì</v>
      </c>
      <c r="H256" s="25" t="str">
        <f>IFERROR(__xludf.DUMMYFUNCTION("IFERROR(INDEX(FILTER('Kế hoạch chèn link (mới)'!$B$3:$B$2213,'Kế hoạch chèn link (mới)'!$D$3:$D$2213=$B256),1),"""")"),"https://techcombank.com/thong-tin/blog/chung-chi-tien-gui-la-gi")</f>
        <v>https://techcombank.com/thong-tin/blog/chung-chi-tien-gui-la-gi</v>
      </c>
      <c r="I256" s="25" t="str">
        <f>IFERROR(__xludf.DUMMYFUNCTION("IFERROR(INDEX(FILTER('Kế hoạch chèn link (mới)'!$C$3:$C$2213,'Kế hoạch chèn link (mới)'!$D$3:$D$2213=$B256),2),"""")"),"lãi suất ngân hàng tiền gửi")</f>
        <v>lãi suất ngân hàng tiền gửi</v>
      </c>
      <c r="J256" s="25" t="str">
        <f>IFERROR(__xludf.DUMMYFUNCTION("IFERROR(INDEX(FILTER('Kế hoạch chèn link (mới)'!$B$3:$B$2213,'Kế hoạch chèn link (mới)'!$D$3:$D$2213=$B256),2),"""")"),"https://techcombank.com/thong-tin/blog/lai-suat-tiet-kiem")</f>
        <v>https://techcombank.com/thong-tin/blog/lai-suat-tiet-kiem</v>
      </c>
      <c r="K256" s="25" t="str">
        <f>IFERROR(__xludf.DUMMYFUNCTION("IFERROR(INDEX(FILTER('Kế hoạch chèn link (mới)'!$C$3:$C$2213,'Kế hoạch chèn link (mới)'!$D$3:$D$2213=$B256),3),"""")"),"tính lãi suất ngân hàng")</f>
        <v>tính lãi suất ngân hàng</v>
      </c>
      <c r="L256" s="25" t="str">
        <f>IFERROR(__xludf.DUMMYFUNCTION("IFERROR(INDEX(FILTER('Kế hoạch chèn link (mới)'!$B$3:$B$2213,'Kế hoạch chèn link (mới)'!$D$3:$D$2213=$B256),3),"""")"),"https://techcombank.com/thong-tin/blog/cach-tinh-lai-suat-tien-gui-tiet-kiem")</f>
        <v>https://techcombank.com/thong-tin/blog/cach-tinh-lai-suat-tien-gui-tiet-kiem</v>
      </c>
      <c r="M256" s="25" t="str">
        <f>IFERROR(__xludf.DUMMYFUNCTION("IFERROR(INDEX(FILTER('Kế hoạch chèn link (mới)'!$C$3:$C$2213,'Kế hoạch chèn link (mới)'!$D$3:$D$2213=$B256),4),"""")"),"gửi tiết kiệm online có an toàn không")</f>
        <v>gửi tiết kiệm online có an toàn không</v>
      </c>
      <c r="N256" s="25" t="str">
        <f>IFERROR(__xludf.DUMMYFUNCTION("IFERROR(INDEX(FILTER('Kế hoạch chèn link (mới)'!$B$3:$B$2213,'Kế hoạch chèn link (mới)'!$D$3:$D$2213=$B256),4),"""")"),"https://techcombank.com/thong-tin/blog/rui-ro-khi-gui-tiet-kiem-online")</f>
        <v>https://techcombank.com/thong-tin/blog/rui-ro-khi-gui-tiet-kiem-online</v>
      </c>
      <c r="O256" s="25" t="str">
        <f>IFERROR(__xludf.DUMMYFUNCTION("IFERROR(INDEX(FILTER('Kế hoạch chèn link (mới)'!$C$3:$C$2213,'Kế hoạch chèn link (mới)'!$D$3:$D$2213=$B256),5),"""")"),"cách đầu tư chứng chỉ quỹ")</f>
        <v>cách đầu tư chứng chỉ quỹ</v>
      </c>
      <c r="P256" s="25" t="str">
        <f>IFERROR(__xludf.DUMMYFUNCTION("IFERROR(INDEX(FILTER('Kế hoạch chèn link (mới)'!$B$3:$B$2213,'Kế hoạch chèn link (mới)'!$D$3:$D$2213=$B256),5),"""")"),"https://techcombank.com/thong-tin/blog/phuong-phap-dau-tu-chung-chi-quy")</f>
        <v>https://techcombank.com/thong-tin/blog/phuong-phap-dau-tu-chung-chi-quy</v>
      </c>
    </row>
    <row r="257">
      <c r="A257" s="6">
        <f t="shared" si="1"/>
        <v>256</v>
      </c>
      <c r="B257" s="8" t="s">
        <v>2879</v>
      </c>
      <c r="C257" s="6">
        <f>COUNTIF('Kế hoạch chèn link (mới)'!$D$3:$D$2213,$B257)</f>
        <v>5</v>
      </c>
      <c r="D257" s="8" t="str">
        <f>IF(COUNTIFS('Kế hoạch chèn link (mới)'!$D$3:$D$2213,$B257,'Kế hoạch chèn link (mới)'!$I$3:$I$2213,"Đã chèn")&gt;=$C257,"Đã hoàn thành",IF(COUNTIFS('Kế hoạch chèn link (mới)'!$D$3:$D$2213,$B257,'Kế hoạch chèn link (mới)'!$I$3:$I$2213,"Đã chèn")&gt;0,"Đang làm","Chưa hoàn thành"))</f>
        <v>Chưa hoàn thành</v>
      </c>
      <c r="E257" s="8" t="b">
        <f t="shared" si="2"/>
        <v>0</v>
      </c>
      <c r="F257" s="25"/>
      <c r="G257" s="25" t="str">
        <f>IFERROR(__xludf.DUMMYFUNCTION("IFERROR(INDEX(FILTER('Kế hoạch chèn link (mới)'!$C$3:$C$2213,'Kế hoạch chèn link (mới)'!$D$3:$D$2213=$B257),1),"""")"),"1 Tệ bằng bao nhiêu tiền Việt")</f>
        <v>1 Tệ bằng bao nhiêu tiền Việt</v>
      </c>
      <c r="H257" s="25" t="str">
        <f>IFERROR(__xludf.DUMMYFUNCTION("IFERROR(INDEX(FILTER('Kế hoạch chèn link (mới)'!$B$3:$B$2213,'Kế hoạch chèn link (mới)'!$D$3:$D$2213=$B257),1),"""")"),"https://techcombank.com/thong-tin/blog/1-te-bang-bao-nhieu-tien-viet-nam")</f>
        <v>https://techcombank.com/thong-tin/blog/1-te-bang-bao-nhieu-tien-viet-nam</v>
      </c>
      <c r="I257" s="25" t="str">
        <f>IFERROR(__xludf.DUMMYFUNCTION("IFERROR(INDEX(FILTER('Kế hoạch chèn link (mới)'!$C$3:$C$2213,'Kế hoạch chèn link (mới)'!$D$3:$D$2213=$B257),2),"""")"),"tiền Nhật")</f>
        <v>tiền Nhật</v>
      </c>
      <c r="J257" s="25" t="str">
        <f>IFERROR(__xludf.DUMMYFUNCTION("IFERROR(INDEX(FILTER('Kế hoạch chèn link (mới)'!$B$3:$B$2213,'Kế hoạch chèn link (mới)'!$D$3:$D$2213=$B257),2),"""")"),"https://techcombank.com/thong-tin/blog/tien-nhat")</f>
        <v>https://techcombank.com/thong-tin/blog/tien-nhat</v>
      </c>
      <c r="K257" s="25" t="str">
        <f>IFERROR(__xludf.DUMMYFUNCTION("IFERROR(INDEX(FILTER('Kế hoạch chèn link (mới)'!$C$3:$C$2213,'Kế hoạch chèn link (mới)'!$D$3:$D$2213=$B257),3),"""")"),"tỷ giá Won")</f>
        <v>tỷ giá Won</v>
      </c>
      <c r="L257" s="25" t="str">
        <f>IFERROR(__xludf.DUMMYFUNCTION("IFERROR(INDEX(FILTER('Kế hoạch chèn link (mới)'!$B$3:$B$2213,'Kế hoạch chèn link (mới)'!$D$3:$D$2213=$B257),3),"""")"),"https://techcombank.com/thong-tin/blog/1-won-bang-bao-nhieu-tien-viet")</f>
        <v>https://techcombank.com/thong-tin/blog/1-won-bang-bao-nhieu-tien-viet</v>
      </c>
      <c r="M257" s="25" t="str">
        <f>IFERROR(__xludf.DUMMYFUNCTION("IFERROR(INDEX(FILTER('Kế hoạch chèn link (mới)'!$C$3:$C$2213,'Kế hoạch chèn link (mới)'!$D$3:$D$2213=$B257),4),"""")"),"tỷ giá Đài tệ")</f>
        <v>tỷ giá Đài tệ</v>
      </c>
      <c r="N257" s="25" t="str">
        <f>IFERROR(__xludf.DUMMYFUNCTION("IFERROR(INDEX(FILTER('Kế hoạch chèn link (mới)'!$B$3:$B$2213,'Kế hoạch chèn link (mới)'!$D$3:$D$2213=$B257),4),"""")"),"https://techcombank.com/thong-tin/blog/tien-dai-loan")</f>
        <v>https://techcombank.com/thong-tin/blog/tien-dai-loan</v>
      </c>
      <c r="O257" s="25" t="str">
        <f>IFERROR(__xludf.DUMMYFUNCTION("IFERROR(INDEX(FILTER('Kế hoạch chèn link (mới)'!$C$3:$C$2213,'Kế hoạch chèn link (mới)'!$D$3:$D$2213=$B257),5),"""")"),"cách nhận tiền từ nước ngoài về Việt Nam")</f>
        <v>cách nhận tiền từ nước ngoài về Việt Nam</v>
      </c>
      <c r="P257" s="25" t="str">
        <f>IFERROR(__xludf.DUMMYFUNCTION("IFERROR(INDEX(FILTER('Kế hoạch chèn link (mới)'!$B$3:$B$2213,'Kế hoạch chèn link (mới)'!$D$3:$D$2213=$B257),5),"""")"),"https://techcombank.com/thong-tin/blog/cach-nhan-tien-tu-nuoc-ngoai-ve-viet-nam")</f>
        <v>https://techcombank.com/thong-tin/blog/cach-nhan-tien-tu-nuoc-ngoai-ve-viet-nam</v>
      </c>
    </row>
    <row r="258">
      <c r="A258" s="6">
        <f t="shared" si="1"/>
        <v>257</v>
      </c>
      <c r="B258" s="8" t="s">
        <v>2346</v>
      </c>
      <c r="C258" s="6">
        <f>COUNTIF('Kế hoạch chèn link (mới)'!$D$3:$D$2213,$B258)</f>
        <v>4</v>
      </c>
      <c r="D258" s="8" t="str">
        <f>IF(COUNTIFS('Kế hoạch chèn link (mới)'!$D$3:$D$2213,$B258,'Kế hoạch chèn link (mới)'!$I$3:$I$2213,"Đã chèn")&gt;=$C258,"Đã hoàn thành",IF(COUNTIFS('Kế hoạch chèn link (mới)'!$D$3:$D$2213,$B258,'Kế hoạch chèn link (mới)'!$I$3:$I$2213,"Đã chèn")&gt;0,"Đang làm","Chưa hoàn thành"))</f>
        <v>Chưa hoàn thành</v>
      </c>
      <c r="E258" s="8" t="b">
        <f t="shared" si="2"/>
        <v>0</v>
      </c>
      <c r="F258" s="25"/>
      <c r="G258" s="25" t="str">
        <f>IFERROR(__xludf.DUMMYFUNCTION("IFERROR(INDEX(FILTER('Kế hoạch chèn link (mới)'!$C$3:$C$2213,'Kế hoạch chèn link (mới)'!$D$3:$D$2213=$B258),1),"""")"),"sao kê tài khoản ngân hàng")</f>
        <v>sao kê tài khoản ngân hàng</v>
      </c>
      <c r="H258" s="25" t="str">
        <f>IFERROR(__xludf.DUMMYFUNCTION("IFERROR(INDEX(FILTER('Kế hoạch chèn link (mới)'!$B$3:$B$2213,'Kế hoạch chèn link (mới)'!$D$3:$D$2213=$B258),1),"""")"),"https://techcombank.com/thong-tin/blog/cach-sao-ke-tai-khoan-ngan-hang")</f>
        <v>https://techcombank.com/thong-tin/blog/cach-sao-ke-tai-khoan-ngan-hang</v>
      </c>
      <c r="I258" s="25" t="str">
        <f>IFERROR(__xludf.DUMMYFUNCTION("IFERROR(INDEX(FILTER('Kế hoạch chèn link (mới)'!$C$3:$C$2213,'Kế hoạch chèn link (mới)'!$D$3:$D$2213=$B258),2),"""")"),"kiểm tra cic")</f>
        <v>kiểm tra cic</v>
      </c>
      <c r="J258" s="25" t="str">
        <f>IFERROR(__xludf.DUMMYFUNCTION("IFERROR(INDEX(FILTER('Kế hoạch chèn link (mới)'!$B$3:$B$2213,'Kế hoạch chèn link (mới)'!$D$3:$D$2213=$B258),2),"""")"),"https://techcombank.com/thong-tin/blog/cic-la-gi")</f>
        <v>https://techcombank.com/thong-tin/blog/cic-la-gi</v>
      </c>
      <c r="K258" s="25" t="str">
        <f>IFERROR(__xludf.DUMMYFUNCTION("IFERROR(INDEX(FILTER('Kế hoạch chèn link (mới)'!$C$3:$C$2213,'Kế hoạch chèn link (mới)'!$D$3:$D$2213=$B258),3),"""")"),"vay")</f>
        <v>vay</v>
      </c>
      <c r="L258" s="25" t="str">
        <f>IFERROR(__xludf.DUMMYFUNCTION("IFERROR(INDEX(FILTER('Kế hoạch chèn link (mới)'!$B$3:$B$2213,'Kế hoạch chèn link (mới)'!$D$3:$D$2213=$B258),3),"""")"),"https://techcombank.com/thong-tin/blog/app-vay-tien-nhanh")</f>
        <v>https://techcombank.com/thong-tin/blog/app-vay-tien-nhanh</v>
      </c>
      <c r="M258" s="25" t="str">
        <f>IFERROR(__xludf.DUMMYFUNCTION("IFERROR(INDEX(FILTER('Kế hoạch chèn link (mới)'!$C$3:$C$2213,'Kế hoạch chèn link (mới)'!$D$3:$D$2213=$B258),4),"""")"),"lãi suất vay ngân hàng")</f>
        <v>lãi suất vay ngân hàng</v>
      </c>
      <c r="N258" s="25" t="str">
        <f>IFERROR(__xludf.DUMMYFUNCTION("IFERROR(INDEX(FILTER('Kế hoạch chèn link (mới)'!$B$3:$B$2213,'Kế hoạch chèn link (mới)'!$D$3:$D$2213=$B258),4),"""")"),"https://techcombank.com/thong-tin/blog/lai-suat-vay-ngan-hang")</f>
        <v>https://techcombank.com/thong-tin/blog/lai-suat-vay-ngan-hang</v>
      </c>
      <c r="O258" s="25" t="str">
        <f>IFERROR(__xludf.DUMMYFUNCTION("IFERROR(INDEX(FILTER('Kế hoạch chèn link (mới)'!$C$3:$C$2213,'Kế hoạch chèn link (mới)'!$D$3:$D$2213=$B258),5),"""")"),"")</f>
        <v/>
      </c>
      <c r="P258" s="25" t="str">
        <f>IFERROR(__xludf.DUMMYFUNCTION("IFERROR(INDEX(FILTER('Kế hoạch chèn link (mới)'!$B$3:$B$2213,'Kế hoạch chèn link (mới)'!$D$3:$D$2213=$B258),5),"""")"),"")</f>
        <v/>
      </c>
    </row>
    <row r="259">
      <c r="A259" s="6">
        <f t="shared" si="1"/>
        <v>258</v>
      </c>
      <c r="B259" s="8" t="s">
        <v>2885</v>
      </c>
      <c r="C259" s="6">
        <f>COUNTIF('Kế hoạch chèn link (mới)'!$D$3:$D$2213,$B259)</f>
        <v>2</v>
      </c>
      <c r="D259" s="8" t="str">
        <f>IF(COUNTIFS('Kế hoạch chèn link (mới)'!$D$3:$D$2213,$B259,'Kế hoạch chèn link (mới)'!$I$3:$I$2213,"Đã chèn")&gt;=$C259,"Đã hoàn thành",IF(COUNTIFS('Kế hoạch chèn link (mới)'!$D$3:$D$2213,$B259,'Kế hoạch chèn link (mới)'!$I$3:$I$2213,"Đã chèn")&gt;0,"Đang làm","Chưa hoàn thành"))</f>
        <v>Chưa hoàn thành</v>
      </c>
      <c r="E259" s="8" t="b">
        <f t="shared" si="2"/>
        <v>0</v>
      </c>
      <c r="F259" s="25"/>
      <c r="G259" s="25" t="str">
        <f>IFERROR(__xludf.DUMMYFUNCTION("IFERROR(INDEX(FILTER('Kế hoạch chèn link (mới)'!$C$3:$C$2213,'Kế hoạch chèn link (mới)'!$D$3:$D$2213=$B259),1),"""")"),"kiểm tra cic")</f>
        <v>kiểm tra cic</v>
      </c>
      <c r="H259" s="25" t="str">
        <f>IFERROR(__xludf.DUMMYFUNCTION("IFERROR(INDEX(FILTER('Kế hoạch chèn link (mới)'!$B$3:$B$2213,'Kế hoạch chèn link (mới)'!$D$3:$D$2213=$B259),1),"""")"),"https://techcombank.com/thong-tin/blog/cic-la-gi")</f>
        <v>https://techcombank.com/thong-tin/blog/cic-la-gi</v>
      </c>
      <c r="I259" s="25" t="str">
        <f>IFERROR(__xludf.DUMMYFUNCTION("IFERROR(INDEX(FILTER('Kế hoạch chèn link (mới)'!$C$3:$C$2213,'Kế hoạch chèn link (mới)'!$D$3:$D$2213=$B259),2),"""")"),"trả nợ thẻ tín dụng")</f>
        <v>trả nợ thẻ tín dụng</v>
      </c>
      <c r="J259" s="25" t="str">
        <f>IFERROR(__xludf.DUMMYFUNCTION("IFERROR(INDEX(FILTER('Kế hoạch chèn link (mới)'!$B$3:$B$2213,'Kế hoạch chèn link (mới)'!$D$3:$D$2213=$B259),2),"""")"),"https://techcombank.com/thong-tin/blog/cach-thanh-toan-the-tin-dung")</f>
        <v>https://techcombank.com/thong-tin/blog/cach-thanh-toan-the-tin-dung</v>
      </c>
      <c r="K259" s="25" t="str">
        <f>IFERROR(__xludf.DUMMYFUNCTION("IFERROR(INDEX(FILTER('Kế hoạch chèn link (mới)'!$C$3:$C$2213,'Kế hoạch chèn link (mới)'!$D$3:$D$2213=$B259),3),"""")"),"")</f>
        <v/>
      </c>
      <c r="L259" s="25" t="str">
        <f>IFERROR(__xludf.DUMMYFUNCTION("IFERROR(INDEX(FILTER('Kế hoạch chèn link (mới)'!$B$3:$B$2213,'Kế hoạch chèn link (mới)'!$D$3:$D$2213=$B259),3),"""")"),"")</f>
        <v/>
      </c>
      <c r="M259" s="25" t="str">
        <f>IFERROR(__xludf.DUMMYFUNCTION("IFERROR(INDEX(FILTER('Kế hoạch chèn link (mới)'!$C$3:$C$2213,'Kế hoạch chèn link (mới)'!$D$3:$D$2213=$B259),4),"""")"),"")</f>
        <v/>
      </c>
      <c r="N259" s="25" t="str">
        <f>IFERROR(__xludf.DUMMYFUNCTION("IFERROR(INDEX(FILTER('Kế hoạch chèn link (mới)'!$B$3:$B$2213,'Kế hoạch chèn link (mới)'!$D$3:$D$2213=$B259),4),"""")"),"")</f>
        <v/>
      </c>
      <c r="O259" s="25" t="str">
        <f>IFERROR(__xludf.DUMMYFUNCTION("IFERROR(INDEX(FILTER('Kế hoạch chèn link (mới)'!$C$3:$C$2213,'Kế hoạch chèn link (mới)'!$D$3:$D$2213=$B259),5),"""")"),"")</f>
        <v/>
      </c>
      <c r="P259" s="25" t="str">
        <f>IFERROR(__xludf.DUMMYFUNCTION("IFERROR(INDEX(FILTER('Kế hoạch chèn link (mới)'!$B$3:$B$2213,'Kế hoạch chèn link (mới)'!$D$3:$D$2213=$B259),5),"""")"),"")</f>
        <v/>
      </c>
    </row>
    <row r="260">
      <c r="A260" s="6">
        <f t="shared" si="1"/>
        <v>259</v>
      </c>
      <c r="B260" s="8" t="s">
        <v>2886</v>
      </c>
      <c r="C260" s="6">
        <f>COUNTIF('Kế hoạch chèn link (mới)'!$D$3:$D$2213,$B260)</f>
        <v>2</v>
      </c>
      <c r="D260" s="8" t="str">
        <f>IF(COUNTIFS('Kế hoạch chèn link (mới)'!$D$3:$D$2213,$B260,'Kế hoạch chèn link (mới)'!$I$3:$I$2213,"Đã chèn")&gt;=$C260,"Đã hoàn thành",IF(COUNTIFS('Kế hoạch chèn link (mới)'!$D$3:$D$2213,$B260,'Kế hoạch chèn link (mới)'!$I$3:$I$2213,"Đã chèn")&gt;0,"Đang làm","Chưa hoàn thành"))</f>
        <v>Chưa hoàn thành</v>
      </c>
      <c r="E260" s="8" t="b">
        <f t="shared" si="2"/>
        <v>0</v>
      </c>
      <c r="F260" s="25"/>
      <c r="G260" s="25" t="str">
        <f>IFERROR(__xludf.DUMMYFUNCTION("IFERROR(INDEX(FILTER('Kế hoạch chèn link (mới)'!$C$3:$C$2213,'Kế hoạch chèn link (mới)'!$D$3:$D$2213=$B260),1),"""")"),"kiểm tra cic")</f>
        <v>kiểm tra cic</v>
      </c>
      <c r="H260" s="25" t="str">
        <f>IFERROR(__xludf.DUMMYFUNCTION("IFERROR(INDEX(FILTER('Kế hoạch chèn link (mới)'!$B$3:$B$2213,'Kế hoạch chèn link (mới)'!$D$3:$D$2213=$B260),1),"""")"),"https://techcombank.com/thong-tin/blog/cic-la-gi")</f>
        <v>https://techcombank.com/thong-tin/blog/cic-la-gi</v>
      </c>
      <c r="I260" s="25" t="str">
        <f>IFERROR(__xludf.DUMMYFUNCTION("IFERROR(INDEX(FILTER('Kế hoạch chèn link (mới)'!$C$3:$C$2213,'Kế hoạch chèn link (mới)'!$D$3:$D$2213=$B260),2),"""")"),"rút tiền thẻ tín dụng")</f>
        <v>rút tiền thẻ tín dụng</v>
      </c>
      <c r="J260" s="25" t="str">
        <f>IFERROR(__xludf.DUMMYFUNCTION("IFERROR(INDEX(FILTER('Kế hoạch chèn link (mới)'!$B$3:$B$2213,'Kế hoạch chèn link (mới)'!$D$3:$D$2213=$B260),2),"""")"),"https://techcombank.com/thong-tin/blog/rut-tien-mat-tu-the-tin-dung")</f>
        <v>https://techcombank.com/thong-tin/blog/rut-tien-mat-tu-the-tin-dung</v>
      </c>
      <c r="K260" s="25" t="str">
        <f>IFERROR(__xludf.DUMMYFUNCTION("IFERROR(INDEX(FILTER('Kế hoạch chèn link (mới)'!$C$3:$C$2213,'Kế hoạch chèn link (mới)'!$D$3:$D$2213=$B260),3),"""")"),"")</f>
        <v/>
      </c>
      <c r="L260" s="25" t="str">
        <f>IFERROR(__xludf.DUMMYFUNCTION("IFERROR(INDEX(FILTER('Kế hoạch chèn link (mới)'!$B$3:$B$2213,'Kế hoạch chèn link (mới)'!$D$3:$D$2213=$B260),3),"""")"),"")</f>
        <v/>
      </c>
      <c r="M260" s="25" t="str">
        <f>IFERROR(__xludf.DUMMYFUNCTION("IFERROR(INDEX(FILTER('Kế hoạch chèn link (mới)'!$C$3:$C$2213,'Kế hoạch chèn link (mới)'!$D$3:$D$2213=$B260),4),"""")"),"")</f>
        <v/>
      </c>
      <c r="N260" s="25" t="str">
        <f>IFERROR(__xludf.DUMMYFUNCTION("IFERROR(INDEX(FILTER('Kế hoạch chèn link (mới)'!$B$3:$B$2213,'Kế hoạch chèn link (mới)'!$D$3:$D$2213=$B260),4),"""")"),"")</f>
        <v/>
      </c>
      <c r="O260" s="25" t="str">
        <f>IFERROR(__xludf.DUMMYFUNCTION("IFERROR(INDEX(FILTER('Kế hoạch chèn link (mới)'!$C$3:$C$2213,'Kế hoạch chèn link (mới)'!$D$3:$D$2213=$B260),5),"""")"),"")</f>
        <v/>
      </c>
      <c r="P260" s="25" t="str">
        <f>IFERROR(__xludf.DUMMYFUNCTION("IFERROR(INDEX(FILTER('Kế hoạch chèn link (mới)'!$B$3:$B$2213,'Kế hoạch chèn link (mới)'!$D$3:$D$2213=$B260),5),"""")"),"")</f>
        <v/>
      </c>
    </row>
    <row r="261">
      <c r="A261" s="6">
        <f t="shared" si="1"/>
        <v>260</v>
      </c>
      <c r="B261" s="8" t="s">
        <v>2887</v>
      </c>
      <c r="C261" s="6">
        <f>COUNTIF('Kế hoạch chèn link (mới)'!$D$3:$D$2213,$B261)</f>
        <v>4</v>
      </c>
      <c r="D261" s="8" t="str">
        <f>IF(COUNTIFS('Kế hoạch chèn link (mới)'!$D$3:$D$2213,$B261,'Kế hoạch chèn link (mới)'!$I$3:$I$2213,"Đã chèn")&gt;=$C261,"Đã hoàn thành",IF(COUNTIFS('Kế hoạch chèn link (mới)'!$D$3:$D$2213,$B261,'Kế hoạch chèn link (mới)'!$I$3:$I$2213,"Đã chèn")&gt;0,"Đang làm","Chưa hoàn thành"))</f>
        <v>Chưa hoàn thành</v>
      </c>
      <c r="E261" s="8" t="b">
        <f t="shared" si="2"/>
        <v>0</v>
      </c>
      <c r="F261" s="25"/>
      <c r="G261" s="25" t="str">
        <f>IFERROR(__xludf.DUMMYFUNCTION("IFERROR(INDEX(FILTER('Kế hoạch chèn link (mới)'!$C$3:$C$2213,'Kế hoạch chèn link (mới)'!$D$3:$D$2213=$B261),1),"""")"),"tra cứu cic")</f>
        <v>tra cứu cic</v>
      </c>
      <c r="H261" s="25" t="str">
        <f>IFERROR(__xludf.DUMMYFUNCTION("IFERROR(INDEX(FILTER('Kế hoạch chèn link (mới)'!$B$3:$B$2213,'Kế hoạch chèn link (mới)'!$D$3:$D$2213=$B261),1),"""")"),"https://techcombank.com/thong-tin/blog/cic-la-gi")</f>
        <v>https://techcombank.com/thong-tin/blog/cic-la-gi</v>
      </c>
      <c r="I261" s="25" t="str">
        <f>IFERROR(__xludf.DUMMYFUNCTION("IFERROR(INDEX(FILTER('Kế hoạch chèn link (mới)'!$C$3:$C$2213,'Kế hoạch chèn link (mới)'!$D$3:$D$2213=$B261),2),"""")"),"vay thế chấp sổ đỏ")</f>
        <v>vay thế chấp sổ đỏ</v>
      </c>
      <c r="J261" s="25" t="str">
        <f>IFERROR(__xludf.DUMMYFUNCTION("IFERROR(INDEX(FILTER('Kế hoạch chèn link (mới)'!$B$3:$B$2213,'Kế hoạch chèn link (mới)'!$D$3:$D$2213=$B261),2),"""")"),"https://techcombank.com/thong-tin/blog/lai-suat-vay-the-chap-so-do")</f>
        <v>https://techcombank.com/thong-tin/blog/lai-suat-vay-the-chap-so-do</v>
      </c>
      <c r="K261" s="25" t="str">
        <f>IFERROR(__xludf.DUMMYFUNCTION("IFERROR(INDEX(FILTER('Kế hoạch chèn link (mới)'!$C$3:$C$2213,'Kế hoạch chèn link (mới)'!$D$3:$D$2213=$B261),3),"""")"),"xóa thế chấp sổ đỏ")</f>
        <v>xóa thế chấp sổ đỏ</v>
      </c>
      <c r="L261" s="25" t="str">
        <f>IFERROR(__xludf.DUMMYFUNCTION("IFERROR(INDEX(FILTER('Kế hoạch chèn link (mới)'!$B$3:$B$2213,'Kế hoạch chèn link (mới)'!$D$3:$D$2213=$B261),3),"""")"),"https://techcombank.com/thong-tin/blog/ho-so-thu-tuc-xoa-the-chap")</f>
        <v>https://techcombank.com/thong-tin/blog/ho-so-thu-tuc-xoa-the-chap</v>
      </c>
      <c r="M261" s="25" t="str">
        <f>IFERROR(__xludf.DUMMYFUNCTION("IFERROR(INDEX(FILTER('Kế hoạch chèn link (mới)'!$C$3:$C$2213,'Kế hoạch chèn link (mới)'!$D$3:$D$2213=$B261),4),"""")"),"tính lãi vay ngân hàng")</f>
        <v>tính lãi vay ngân hàng</v>
      </c>
      <c r="N261" s="25" t="str">
        <f>IFERROR(__xludf.DUMMYFUNCTION("IFERROR(INDEX(FILTER('Kế hoạch chèn link (mới)'!$B$3:$B$2213,'Kế hoạch chèn link (mới)'!$D$3:$D$2213=$B261),4),"""")"),"https://techcombank.com/cong-cu-tien-ich/cong-cu-tinh-toan/bang-tinh-lai-suat-vay")</f>
        <v>https://techcombank.com/cong-cu-tien-ich/cong-cu-tinh-toan/bang-tinh-lai-suat-vay</v>
      </c>
      <c r="O261" s="25" t="str">
        <f>IFERROR(__xludf.DUMMYFUNCTION("IFERROR(INDEX(FILTER('Kế hoạch chèn link (mới)'!$C$3:$C$2213,'Kế hoạch chèn link (mới)'!$D$3:$D$2213=$B261),5),"""")"),"")</f>
        <v/>
      </c>
      <c r="P261" s="25" t="str">
        <f>IFERROR(__xludf.DUMMYFUNCTION("IFERROR(INDEX(FILTER('Kế hoạch chèn link (mới)'!$B$3:$B$2213,'Kế hoạch chèn link (mới)'!$D$3:$D$2213=$B261),5),"""")"),"")</f>
        <v/>
      </c>
    </row>
    <row r="262">
      <c r="A262" s="6">
        <f t="shared" si="1"/>
        <v>261</v>
      </c>
      <c r="B262" s="8" t="s">
        <v>793</v>
      </c>
      <c r="C262" s="6">
        <f>COUNTIF('Kế hoạch chèn link (mới)'!$D$3:$D$2213,$B262)</f>
        <v>5</v>
      </c>
      <c r="D262" s="8" t="str">
        <f>IF(COUNTIFS('Kế hoạch chèn link (mới)'!$D$3:$D$2213,$B262,'Kế hoạch chèn link (mới)'!$I$3:$I$2213,"Đã chèn")&gt;=$C262,"Đã hoàn thành",IF(COUNTIFS('Kế hoạch chèn link (mới)'!$D$3:$D$2213,$B262,'Kế hoạch chèn link (mới)'!$I$3:$I$2213,"Đã chèn")&gt;0,"Đang làm","Chưa hoàn thành"))</f>
        <v>Chưa hoàn thành</v>
      </c>
      <c r="E262" s="8" t="b">
        <f t="shared" si="2"/>
        <v>0</v>
      </c>
      <c r="F262" s="25"/>
      <c r="G262" s="25" t="str">
        <f>IFERROR(__xludf.DUMMYFUNCTION("IFERROR(INDEX(FILTER('Kế hoạch chèn link (mới)'!$C$3:$C$2213,'Kế hoạch chèn link (mới)'!$D$3:$D$2213=$B262),1),"""")"),"thuế thu nhập doanh nghiệp")</f>
        <v>thuế thu nhập doanh nghiệp</v>
      </c>
      <c r="H262" s="25" t="str">
        <f>IFERROR(__xludf.DUMMYFUNCTION("IFERROR(INDEX(FILTER('Kế hoạch chèn link (mới)'!$B$3:$B$2213,'Kế hoạch chèn link (mới)'!$D$3:$D$2213=$B262),1),"""")"),"https://techcombank.com/thong-tin/blog/thue-thu-nhap-doanh-nghiep")</f>
        <v>https://techcombank.com/thong-tin/blog/thue-thu-nhap-doanh-nghiep</v>
      </c>
      <c r="I262" s="25" t="str">
        <f>IFERROR(__xludf.DUMMYFUNCTION("IFERROR(INDEX(FILTER('Kế hoạch chèn link (mới)'!$C$3:$C$2213,'Kế hoạch chèn link (mới)'!$D$3:$D$2213=$B262),2),"""")"),"thuế giá trị gia tăng")</f>
        <v>thuế giá trị gia tăng</v>
      </c>
      <c r="J262" s="25" t="str">
        <f>IFERROR(__xludf.DUMMYFUNCTION("IFERROR(INDEX(FILTER('Kế hoạch chèn link (mới)'!$B$3:$B$2213,'Kế hoạch chèn link (mới)'!$D$3:$D$2213=$B262),2),"""")"),"https://techcombank.com/thong-tin/blog/thue-vat-la-gi")</f>
        <v>https://techcombank.com/thong-tin/blog/thue-vat-la-gi</v>
      </c>
      <c r="K262" s="25" t="str">
        <f>IFERROR(__xludf.DUMMYFUNCTION("IFERROR(INDEX(FILTER('Kế hoạch chèn link (mới)'!$C$3:$C$2213,'Kế hoạch chèn link (mới)'!$D$3:$D$2213=$B262),3),"""")"),"thuế doanh nghiệp")</f>
        <v>thuế doanh nghiệp</v>
      </c>
      <c r="L262" s="25" t="str">
        <f>IFERROR(__xludf.DUMMYFUNCTION("IFERROR(INDEX(FILTER('Kế hoạch chèn link (mới)'!$B$3:$B$2213,'Kế hoạch chèn link (mới)'!$D$3:$D$2213=$B262),3),"""")"),"https://techcombank.com/thong-tin/blog/thue-doanh-nghiep")</f>
        <v>https://techcombank.com/thong-tin/blog/thue-doanh-nghiep</v>
      </c>
      <c r="M262" s="25" t="str">
        <f>IFERROR(__xludf.DUMMYFUNCTION("IFERROR(INDEX(FILTER('Kế hoạch chèn link (mới)'!$C$3:$C$2213,'Kế hoạch chèn link (mới)'!$D$3:$D$2213=$B262),4),"""")"),"thuế thu nhập cá nhân")</f>
        <v>thuế thu nhập cá nhân</v>
      </c>
      <c r="N262" s="25" t="str">
        <f>IFERROR(__xludf.DUMMYFUNCTION("IFERROR(INDEX(FILTER('Kế hoạch chèn link (mới)'!$B$3:$B$2213,'Kế hoạch chèn link (mới)'!$D$3:$D$2213=$B262),4),"""")"),"https://techcombank.com/thong-tin/blog/cach-tinh-thue-thu-nhap-ca-nhan-2025")</f>
        <v>https://techcombank.com/thong-tin/blog/cach-tinh-thue-thu-nhap-ca-nhan-2025</v>
      </c>
      <c r="O262" s="25" t="str">
        <f>IFERROR(__xludf.DUMMYFUNCTION("IFERROR(INDEX(FILTER('Kế hoạch chèn link (mới)'!$C$3:$C$2213,'Kế hoạch chèn link (mới)'!$D$3:$D$2213=$B262),5),"""")"),"thuế thu nhập cá nhân")</f>
        <v>thuế thu nhập cá nhân</v>
      </c>
      <c r="P262" s="25" t="str">
        <f>IFERROR(__xludf.DUMMYFUNCTION("IFERROR(INDEX(FILTER('Kế hoạch chèn link (mới)'!$B$3:$B$2213,'Kế hoạch chèn link (mới)'!$D$3:$D$2213=$B262),5),"""")"),"https://techcombank.com/thong-tin/blog/thue-thu-nhap-ca-nhan")</f>
        <v>https://techcombank.com/thong-tin/blog/thue-thu-nhap-ca-nhan</v>
      </c>
    </row>
    <row r="263">
      <c r="A263" s="6">
        <f t="shared" si="1"/>
        <v>262</v>
      </c>
      <c r="B263" s="8" t="s">
        <v>915</v>
      </c>
      <c r="C263" s="6">
        <f>COUNTIF('Kế hoạch chèn link (mới)'!$D$3:$D$2213,$B263)</f>
        <v>5</v>
      </c>
      <c r="D263" s="8" t="str">
        <f>IF(COUNTIFS('Kế hoạch chèn link (mới)'!$D$3:$D$2213,$B263,'Kế hoạch chèn link (mới)'!$I$3:$I$2213,"Đã chèn")&gt;=$C263,"Đã hoàn thành",IF(COUNTIFS('Kế hoạch chèn link (mới)'!$D$3:$D$2213,$B263,'Kế hoạch chèn link (mới)'!$I$3:$I$2213,"Đã chèn")&gt;0,"Đang làm","Chưa hoàn thành"))</f>
        <v>Chưa hoàn thành</v>
      </c>
      <c r="E263" s="8" t="b">
        <f t="shared" si="2"/>
        <v>0</v>
      </c>
      <c r="F263" s="25"/>
      <c r="G263" s="25" t="str">
        <f>IFERROR(__xludf.DUMMYFUNCTION("IFERROR(INDEX(FILTER('Kế hoạch chèn link (mới)'!$C$3:$C$2213,'Kế hoạch chèn link (mới)'!$D$3:$D$2213=$B263),1),"""")"),"thuế giá trị gia tăng")</f>
        <v>thuế giá trị gia tăng</v>
      </c>
      <c r="H263" s="25" t="str">
        <f>IFERROR(__xludf.DUMMYFUNCTION("IFERROR(INDEX(FILTER('Kế hoạch chèn link (mới)'!$B$3:$B$2213,'Kế hoạch chèn link (mới)'!$D$3:$D$2213=$B263),1),"""")"),"https://techcombank.com/thong-tin/blog/thue-vat-la-gi")</f>
        <v>https://techcombank.com/thong-tin/blog/thue-vat-la-gi</v>
      </c>
      <c r="I263" s="25" t="str">
        <f>IFERROR(__xludf.DUMMYFUNCTION("IFERROR(INDEX(FILTER('Kế hoạch chèn link (mới)'!$C$3:$C$2213,'Kế hoạch chèn link (mới)'!$D$3:$D$2213=$B263),2),"""")"),"thuế thu nhập cá nhân")</f>
        <v>thuế thu nhập cá nhân</v>
      </c>
      <c r="J263" s="25" t="str">
        <f>IFERROR(__xludf.DUMMYFUNCTION("IFERROR(INDEX(FILTER('Kế hoạch chèn link (mới)'!$B$3:$B$2213,'Kế hoạch chèn link (mới)'!$D$3:$D$2213=$B263),2),"""")"),"https://techcombank.com/thong-tin/blog/cach-tinh-thue-thu-nhap-ca-nhan-2025")</f>
        <v>https://techcombank.com/thong-tin/blog/cach-tinh-thue-thu-nhap-ca-nhan-2025</v>
      </c>
      <c r="K263" s="25" t="str">
        <f>IFERROR(__xludf.DUMMYFUNCTION("IFERROR(INDEX(FILTER('Kế hoạch chèn link (mới)'!$C$3:$C$2213,'Kế hoạch chèn link (mới)'!$D$3:$D$2213=$B263),3),"""")"),"mô hình kinh doanh")</f>
        <v>mô hình kinh doanh</v>
      </c>
      <c r="L263" s="25" t="str">
        <f>IFERROR(__xludf.DUMMYFUNCTION("IFERROR(INDEX(FILTER('Kế hoạch chèn link (mới)'!$B$3:$B$2213,'Kế hoạch chèn link (mới)'!$D$3:$D$2213=$B263),3),"""")"),"https://techcombank.com/thong-tin/blog/mo-hinh-kinh-doanh-la-gi")</f>
        <v>https://techcombank.com/thong-tin/blog/mo-hinh-kinh-doanh-la-gi</v>
      </c>
      <c r="M263" s="25" t="str">
        <f>IFERROR(__xludf.DUMMYFUNCTION("IFERROR(INDEX(FILTER('Kế hoạch chèn link (mới)'!$C$3:$C$2213,'Kế hoạch chèn link (mới)'!$D$3:$D$2213=$B263),4),"""")"),"mở tài khoản hộ kinh doanh")</f>
        <v>mở tài khoản hộ kinh doanh</v>
      </c>
      <c r="N263" s="25" t="str">
        <f>IFERROR(__xludf.DUMMYFUNCTION("IFERROR(INDEX(FILTER('Kế hoạch chèn link (mới)'!$B$3:$B$2213,'Kế hoạch chèn link (mới)'!$D$3:$D$2213=$B263),4),"""")"),"https://techcombank.com/thong-tin/blog/mo-tai-khoan-ho-kinh-doanh")</f>
        <v>https://techcombank.com/thong-tin/blog/mo-tai-khoan-ho-kinh-doanh</v>
      </c>
      <c r="O263" s="25" t="str">
        <f>IFERROR(__xludf.DUMMYFUNCTION("IFERROR(INDEX(FILTER('Kế hoạch chèn link (mới)'!$C$3:$C$2213,'Kế hoạch chèn link (mới)'!$D$3:$D$2213=$B263),5),"""")"),"cách tính thuế hộ kinh doanh")</f>
        <v>cách tính thuế hộ kinh doanh</v>
      </c>
      <c r="P263" s="25" t="str">
        <f>IFERROR(__xludf.DUMMYFUNCTION("IFERROR(INDEX(FILTER('Kế hoạch chèn link (mới)'!$B$3:$B$2213,'Kế hoạch chèn link (mới)'!$D$3:$D$2213=$B263),5),"""")"),"https://techcombank.com/thong-tin/blog/cach-tinh-thue-ho-kinh-doanh-nho-le")</f>
        <v>https://techcombank.com/thong-tin/blog/cach-tinh-thue-ho-kinh-doanh-nho-le</v>
      </c>
    </row>
    <row r="264">
      <c r="A264" s="6">
        <f t="shared" si="1"/>
        <v>263</v>
      </c>
      <c r="B264" s="8" t="s">
        <v>2888</v>
      </c>
      <c r="C264" s="6">
        <f>COUNTIF('Kế hoạch chèn link (mới)'!$D$3:$D$2213,$B264)</f>
        <v>2</v>
      </c>
      <c r="D264" s="8" t="str">
        <f>IF(COUNTIFS('Kế hoạch chèn link (mới)'!$D$3:$D$2213,$B264,'Kế hoạch chèn link (mới)'!$I$3:$I$2213,"Đã chèn")&gt;=$C264,"Đã hoàn thành",IF(COUNTIFS('Kế hoạch chèn link (mới)'!$D$3:$D$2213,$B264,'Kế hoạch chèn link (mới)'!$I$3:$I$2213,"Đã chèn")&gt;0,"Đang làm","Chưa hoàn thành"))</f>
        <v>Chưa hoàn thành</v>
      </c>
      <c r="E264" s="8" t="b">
        <f t="shared" si="2"/>
        <v>0</v>
      </c>
      <c r="F264" s="25"/>
      <c r="G264" s="25" t="str">
        <f>IFERROR(__xludf.DUMMYFUNCTION("IFERROR(INDEX(FILTER('Kế hoạch chèn link (mới)'!$C$3:$C$2213,'Kế hoạch chèn link (mới)'!$D$3:$D$2213=$B264),1),"""")"),"tài khoản hộ kinh doanh")</f>
        <v>tài khoản hộ kinh doanh</v>
      </c>
      <c r="H264" s="25" t="str">
        <f>IFERROR(__xludf.DUMMYFUNCTION("IFERROR(INDEX(FILTER('Kế hoạch chèn link (mới)'!$B$3:$B$2213,'Kế hoạch chèn link (mới)'!$D$3:$D$2213=$B264),1),"""")"),"https://techcombank.com/thong-tin/blog/mo-tai-khoan-ho-kinh-doanh")</f>
        <v>https://techcombank.com/thong-tin/blog/mo-tai-khoan-ho-kinh-doanh</v>
      </c>
      <c r="I264" s="25" t="str">
        <f>IFERROR(__xludf.DUMMYFUNCTION("IFERROR(INDEX(FILTER('Kế hoạch chèn link (mới)'!$C$3:$C$2213,'Kế hoạch chèn link (mới)'!$D$3:$D$2213=$B264),2),"""")"),"lãi suất ngân hàng hôm nay")</f>
        <v>lãi suất ngân hàng hôm nay</v>
      </c>
      <c r="J264" s="25" t="str">
        <f>IFERROR(__xludf.DUMMYFUNCTION("IFERROR(INDEX(FILTER('Kế hoạch chèn link (mới)'!$B$3:$B$2213,'Kế hoạch chèn link (mới)'!$D$3:$D$2213=$B264),2),"""")"),"https://techcombank.com/thong-tin/blog/lai-suat-tiet-kiem")</f>
        <v>https://techcombank.com/thong-tin/blog/lai-suat-tiet-kiem</v>
      </c>
      <c r="K264" s="25" t="str">
        <f>IFERROR(__xludf.DUMMYFUNCTION("IFERROR(INDEX(FILTER('Kế hoạch chèn link (mới)'!$C$3:$C$2213,'Kế hoạch chèn link (mới)'!$D$3:$D$2213=$B264),3),"""")"),"")</f>
        <v/>
      </c>
      <c r="L264" s="25" t="str">
        <f>IFERROR(__xludf.DUMMYFUNCTION("IFERROR(INDEX(FILTER('Kế hoạch chèn link (mới)'!$B$3:$B$2213,'Kế hoạch chèn link (mới)'!$D$3:$D$2213=$B264),3),"""")"),"")</f>
        <v/>
      </c>
      <c r="M264" s="25" t="str">
        <f>IFERROR(__xludf.DUMMYFUNCTION("IFERROR(INDEX(FILTER('Kế hoạch chèn link (mới)'!$C$3:$C$2213,'Kế hoạch chèn link (mới)'!$D$3:$D$2213=$B264),4),"""")"),"")</f>
        <v/>
      </c>
      <c r="N264" s="25" t="str">
        <f>IFERROR(__xludf.DUMMYFUNCTION("IFERROR(INDEX(FILTER('Kế hoạch chèn link (mới)'!$B$3:$B$2213,'Kế hoạch chèn link (mới)'!$D$3:$D$2213=$B264),4),"""")"),"")</f>
        <v/>
      </c>
      <c r="O264" s="25" t="str">
        <f>IFERROR(__xludf.DUMMYFUNCTION("IFERROR(INDEX(FILTER('Kế hoạch chèn link (mới)'!$C$3:$C$2213,'Kế hoạch chèn link (mới)'!$D$3:$D$2213=$B264),5),"""")"),"")</f>
        <v/>
      </c>
      <c r="P264" s="25" t="str">
        <f>IFERROR(__xludf.DUMMYFUNCTION("IFERROR(INDEX(FILTER('Kế hoạch chèn link (mới)'!$B$3:$B$2213,'Kế hoạch chèn link (mới)'!$D$3:$D$2213=$B264),5),"""")"),"")</f>
        <v/>
      </c>
    </row>
    <row r="265">
      <c r="A265" s="6">
        <f t="shared" si="1"/>
        <v>264</v>
      </c>
      <c r="B265" s="8" t="s">
        <v>591</v>
      </c>
      <c r="C265" s="6">
        <f>COUNTIF('Kế hoạch chèn link (mới)'!$D$3:$D$2213,$B265)</f>
        <v>4</v>
      </c>
      <c r="D265" s="8" t="str">
        <f>IF(COUNTIFS('Kế hoạch chèn link (mới)'!$D$3:$D$2213,$B265,'Kế hoạch chèn link (mới)'!$I$3:$I$2213,"Đã chèn")&gt;=$C265,"Đã hoàn thành",IF(COUNTIFS('Kế hoạch chèn link (mới)'!$D$3:$D$2213,$B265,'Kế hoạch chèn link (mới)'!$I$3:$I$2213,"Đã chèn")&gt;0,"Đang làm","Chưa hoàn thành"))</f>
        <v>Chưa hoàn thành</v>
      </c>
      <c r="E265" s="8" t="b">
        <f t="shared" si="2"/>
        <v>0</v>
      </c>
      <c r="F265" s="25"/>
      <c r="G265" s="25" t="str">
        <f>IFERROR(__xludf.DUMMYFUNCTION("IFERROR(INDEX(FILTER('Kế hoạch chèn link (mới)'!$C$3:$C$2213,'Kế hoạch chèn link (mới)'!$D$3:$D$2213=$B265),1),"""")"),"nộp thuế hộ trên etax")</f>
        <v>nộp thuế hộ trên etax</v>
      </c>
      <c r="H265" s="25" t="str">
        <f>IFERROR(__xludf.DUMMYFUNCTION("IFERROR(INDEX(FILTER('Kế hoạch chèn link (mới)'!$B$3:$B$2213,'Kế hoạch chèn link (mới)'!$D$3:$D$2213=$B265),1),"""")"),"https://techcombank.com/thong-tin/blog/cach-nop-thue-dien-tu")</f>
        <v>https://techcombank.com/thong-tin/blog/cach-nop-thue-dien-tu</v>
      </c>
      <c r="I265" s="25" t="str">
        <f>IFERROR(__xludf.DUMMYFUNCTION("IFERROR(INDEX(FILTER('Kế hoạch chèn link (mới)'!$C$3:$C$2213,'Kế hoạch chèn link (mới)'!$D$3:$D$2213=$B265),2),"""")"),"thuế thu nhập cá nhân")</f>
        <v>thuế thu nhập cá nhân</v>
      </c>
      <c r="J265" s="25" t="str">
        <f>IFERROR(__xludf.DUMMYFUNCTION("IFERROR(INDEX(FILTER('Kế hoạch chèn link (mới)'!$B$3:$B$2213,'Kế hoạch chèn link (mới)'!$D$3:$D$2213=$B265),2),"""")"),"https://techcombank.com/thong-tin/blog/cach-tinh-thue-thu-nhap-ca-nhan-2025")</f>
        <v>https://techcombank.com/thong-tin/blog/cach-tinh-thue-thu-nhap-ca-nhan-2025</v>
      </c>
      <c r="K265" s="25" t="str">
        <f>IFERROR(__xludf.DUMMYFUNCTION("IFERROR(INDEX(FILTER('Kế hoạch chèn link (mới)'!$C$3:$C$2213,'Kế hoạch chèn link (mới)'!$D$3:$D$2213=$B265),3),"""")"),"tra cứu thuế TNCN")</f>
        <v>tra cứu thuế TNCN</v>
      </c>
      <c r="L265" s="25" t="str">
        <f>IFERROR(__xludf.DUMMYFUNCTION("IFERROR(INDEX(FILTER('Kế hoạch chèn link (mới)'!$B$3:$B$2213,'Kế hoạch chèn link (mới)'!$D$3:$D$2213=$B265),3),"""")"),"https://techcombank.com/thong-tin/blog/kiem-tra-thue-thu-nhap-ca-nhan")</f>
        <v>https://techcombank.com/thong-tin/blog/kiem-tra-thue-thu-nhap-ca-nhan</v>
      </c>
      <c r="M265" s="25" t="str">
        <f>IFERROR(__xludf.DUMMYFUNCTION("IFERROR(INDEX(FILTER('Kế hoạch chèn link (mới)'!$C$3:$C$2213,'Kế hoạch chèn link (mới)'!$D$3:$D$2213=$B265),4),"""")"),"cách tính thuế hộ kinh doanh nhỏ lẻ")</f>
        <v>cách tính thuế hộ kinh doanh nhỏ lẻ</v>
      </c>
      <c r="N265" s="25" t="str">
        <f>IFERROR(__xludf.DUMMYFUNCTION("IFERROR(INDEX(FILTER('Kế hoạch chèn link (mới)'!$B$3:$B$2213,'Kế hoạch chèn link (mới)'!$D$3:$D$2213=$B265),4),"""")"),"https://techcombank.com/thong-tin/blog/cach-tinh-thue-ho-kinh-doanh-nho-le")</f>
        <v>https://techcombank.com/thong-tin/blog/cach-tinh-thue-ho-kinh-doanh-nho-le</v>
      </c>
      <c r="O265" s="25" t="str">
        <f>IFERROR(__xludf.DUMMYFUNCTION("IFERROR(INDEX(FILTER('Kế hoạch chèn link (mới)'!$C$3:$C$2213,'Kế hoạch chèn link (mới)'!$D$3:$D$2213=$B265),5),"""")"),"")</f>
        <v/>
      </c>
      <c r="P265" s="25" t="str">
        <f>IFERROR(__xludf.DUMMYFUNCTION("IFERROR(INDEX(FILTER('Kế hoạch chèn link (mới)'!$B$3:$B$2213,'Kế hoạch chèn link (mới)'!$D$3:$D$2213=$B265),5),"""")"),"")</f>
        <v/>
      </c>
    </row>
    <row r="266">
      <c r="A266" s="6">
        <f t="shared" si="1"/>
        <v>265</v>
      </c>
      <c r="B266" s="8" t="s">
        <v>627</v>
      </c>
      <c r="C266" s="6">
        <f>COUNTIF('Kế hoạch chèn link (mới)'!$D$3:$D$2213,$B266)</f>
        <v>4</v>
      </c>
      <c r="D266" s="8" t="str">
        <f>IF(COUNTIFS('Kế hoạch chèn link (mới)'!$D$3:$D$2213,$B266,'Kế hoạch chèn link (mới)'!$I$3:$I$2213,"Đã chèn")&gt;=$C266,"Đã hoàn thành",IF(COUNTIFS('Kế hoạch chèn link (mới)'!$D$3:$D$2213,$B266,'Kế hoạch chèn link (mới)'!$I$3:$I$2213,"Đã chèn")&gt;0,"Đang làm","Chưa hoàn thành"))</f>
        <v>Chưa hoàn thành</v>
      </c>
      <c r="E266" s="8" t="b">
        <f t="shared" si="2"/>
        <v>0</v>
      </c>
      <c r="F266" s="25"/>
      <c r="G266" s="25" t="str">
        <f>IFERROR(__xludf.DUMMYFUNCTION("IFERROR(INDEX(FILTER('Kế hoạch chèn link (mới)'!$C$3:$C$2213,'Kế hoạch chèn link (mới)'!$D$3:$D$2213=$B266),1),"""")"),"nộp thuế hộ trên etax")</f>
        <v>nộp thuế hộ trên etax</v>
      </c>
      <c r="H266" s="25" t="str">
        <f>IFERROR(__xludf.DUMMYFUNCTION("IFERROR(INDEX(FILTER('Kế hoạch chèn link (mới)'!$B$3:$B$2213,'Kế hoạch chèn link (mới)'!$D$3:$D$2213=$B266),1),"""")"),"https://techcombank.com/thong-tin/blog/cach-nop-thue-dien-tu")</f>
        <v>https://techcombank.com/thong-tin/blog/cach-nop-thue-dien-tu</v>
      </c>
      <c r="I266" s="25" t="str">
        <f>IFERROR(__xludf.DUMMYFUNCTION("IFERROR(INDEX(FILTER('Kế hoạch chèn link (mới)'!$C$3:$C$2213,'Kế hoạch chèn link (mới)'!$D$3:$D$2213=$B266),2),"""")"),"thuế thu nhập cá nhân")</f>
        <v>thuế thu nhập cá nhân</v>
      </c>
      <c r="J266" s="25" t="str">
        <f>IFERROR(__xludf.DUMMYFUNCTION("IFERROR(INDEX(FILTER('Kế hoạch chèn link (mới)'!$B$3:$B$2213,'Kế hoạch chèn link (mới)'!$D$3:$D$2213=$B266),2),"""")"),"https://techcombank.com/thong-tin/blog/cach-tinh-thue-thu-nhap-ca-nhan-2025")</f>
        <v>https://techcombank.com/thong-tin/blog/cach-tinh-thue-thu-nhap-ca-nhan-2025</v>
      </c>
      <c r="K266" s="25" t="str">
        <f>IFERROR(__xludf.DUMMYFUNCTION("IFERROR(INDEX(FILTER('Kế hoạch chèn link (mới)'!$C$3:$C$2213,'Kế hoạch chèn link (mới)'!$D$3:$D$2213=$B266),3),"""")"),"tài khoản hộ kinh doanh")</f>
        <v>tài khoản hộ kinh doanh</v>
      </c>
      <c r="L266" s="25" t="str">
        <f>IFERROR(__xludf.DUMMYFUNCTION("IFERROR(INDEX(FILTER('Kế hoạch chèn link (mới)'!$B$3:$B$2213,'Kế hoạch chèn link (mới)'!$D$3:$D$2213=$B266),3),"""")"),"https://techcombank.com/thong-tin/blog/mo-tai-khoan-ho-kinh-doanh")</f>
        <v>https://techcombank.com/thong-tin/blog/mo-tai-khoan-ho-kinh-doanh</v>
      </c>
      <c r="M266" s="25" t="str">
        <f>IFERROR(__xludf.DUMMYFUNCTION("IFERROR(INDEX(FILTER('Kế hoạch chèn link (mới)'!$C$3:$C$2213,'Kế hoạch chèn link (mới)'!$D$3:$D$2213=$B266),4),"""")"),"cách tính thuế hộ kinh doanh")</f>
        <v>cách tính thuế hộ kinh doanh</v>
      </c>
      <c r="N266" s="25" t="str">
        <f>IFERROR(__xludf.DUMMYFUNCTION("IFERROR(INDEX(FILTER('Kế hoạch chèn link (mới)'!$B$3:$B$2213,'Kế hoạch chèn link (mới)'!$D$3:$D$2213=$B266),4),"""")"),"https://techcombank.com/thong-tin/blog/cach-tinh-thue-ho-kinh-doanh-nho-le")</f>
        <v>https://techcombank.com/thong-tin/blog/cach-tinh-thue-ho-kinh-doanh-nho-le</v>
      </c>
      <c r="O266" s="25" t="str">
        <f>IFERROR(__xludf.DUMMYFUNCTION("IFERROR(INDEX(FILTER('Kế hoạch chèn link (mới)'!$C$3:$C$2213,'Kế hoạch chèn link (mới)'!$D$3:$D$2213=$B266),5),"""")"),"")</f>
        <v/>
      </c>
      <c r="P266" s="25" t="str">
        <f>IFERROR(__xludf.DUMMYFUNCTION("IFERROR(INDEX(FILTER('Kế hoạch chèn link (mới)'!$B$3:$B$2213,'Kế hoạch chèn link (mới)'!$D$3:$D$2213=$B266),5),"""")"),"")</f>
        <v/>
      </c>
    </row>
    <row r="267">
      <c r="A267" s="6">
        <f t="shared" si="1"/>
        <v>266</v>
      </c>
      <c r="B267" s="8" t="s">
        <v>1189</v>
      </c>
      <c r="C267" s="6">
        <f>COUNTIF('Kế hoạch chèn link (mới)'!$D$3:$D$2213,$B267)</f>
        <v>1</v>
      </c>
      <c r="D267" s="8" t="str">
        <f>IF(COUNTIFS('Kế hoạch chèn link (mới)'!$D$3:$D$2213,$B267,'Kế hoạch chèn link (mới)'!$I$3:$I$2213,"Đã chèn")&gt;=$C267,"Đã hoàn thành",IF(COUNTIFS('Kế hoạch chèn link (mới)'!$D$3:$D$2213,$B267,'Kế hoạch chèn link (mới)'!$I$3:$I$2213,"Đã chèn")&gt;0,"Đang làm","Chưa hoàn thành"))</f>
        <v>Chưa hoàn thành</v>
      </c>
      <c r="E267" s="8" t="b">
        <f t="shared" si="2"/>
        <v>0</v>
      </c>
      <c r="F267" s="25"/>
      <c r="G267" s="25" t="str">
        <f>IFERROR(__xludf.DUMMYFUNCTION("IFERROR(INDEX(FILTER('Kế hoạch chèn link (mới)'!$C$3:$C$2213,'Kế hoạch chèn link (mới)'!$D$3:$D$2213=$B267),1),"""")"),"thuế doanh nghiệp")</f>
        <v>thuế doanh nghiệp</v>
      </c>
      <c r="H267" s="25" t="str">
        <f>IFERROR(__xludf.DUMMYFUNCTION("IFERROR(INDEX(FILTER('Kế hoạch chèn link (mới)'!$B$3:$B$2213,'Kế hoạch chèn link (mới)'!$D$3:$D$2213=$B267),1),"""")"),"https://techcombank.com/thong-tin/blog/thue-doanh-nghiep")</f>
        <v>https://techcombank.com/thong-tin/blog/thue-doanh-nghiep</v>
      </c>
      <c r="I267" s="25" t="str">
        <f>IFERROR(__xludf.DUMMYFUNCTION("IFERROR(INDEX(FILTER('Kế hoạch chèn link (mới)'!$C$3:$C$2213,'Kế hoạch chèn link (mới)'!$D$3:$D$2213=$B267),2),"""")"),"")</f>
        <v/>
      </c>
      <c r="J267" s="25" t="str">
        <f>IFERROR(__xludf.DUMMYFUNCTION("IFERROR(INDEX(FILTER('Kế hoạch chèn link (mới)'!$B$3:$B$2213,'Kế hoạch chèn link (mới)'!$D$3:$D$2213=$B267),2),"""")"),"")</f>
        <v/>
      </c>
      <c r="K267" s="25" t="str">
        <f>IFERROR(__xludf.DUMMYFUNCTION("IFERROR(INDEX(FILTER('Kế hoạch chèn link (mới)'!$C$3:$C$2213,'Kế hoạch chèn link (mới)'!$D$3:$D$2213=$B267),3),"""")"),"")</f>
        <v/>
      </c>
      <c r="L267" s="25" t="str">
        <f>IFERROR(__xludf.DUMMYFUNCTION("IFERROR(INDEX(FILTER('Kế hoạch chèn link (mới)'!$B$3:$B$2213,'Kế hoạch chèn link (mới)'!$D$3:$D$2213=$B267),3),"""")"),"")</f>
        <v/>
      </c>
      <c r="M267" s="25" t="str">
        <f>IFERROR(__xludf.DUMMYFUNCTION("IFERROR(INDEX(FILTER('Kế hoạch chèn link (mới)'!$C$3:$C$2213,'Kế hoạch chèn link (mới)'!$D$3:$D$2213=$B267),4),"""")"),"")</f>
        <v/>
      </c>
      <c r="N267" s="25" t="str">
        <f>IFERROR(__xludf.DUMMYFUNCTION("IFERROR(INDEX(FILTER('Kế hoạch chèn link (mới)'!$B$3:$B$2213,'Kế hoạch chèn link (mới)'!$D$3:$D$2213=$B267),4),"""")"),"")</f>
        <v/>
      </c>
      <c r="O267" s="25" t="str">
        <f>IFERROR(__xludf.DUMMYFUNCTION("IFERROR(INDEX(FILTER('Kế hoạch chèn link (mới)'!$C$3:$C$2213,'Kế hoạch chèn link (mới)'!$D$3:$D$2213=$B267),5),"""")"),"")</f>
        <v/>
      </c>
      <c r="P267" s="25" t="str">
        <f>IFERROR(__xludf.DUMMYFUNCTION("IFERROR(INDEX(FILTER('Kế hoạch chèn link (mới)'!$B$3:$B$2213,'Kế hoạch chèn link (mới)'!$D$3:$D$2213=$B267),5),"""")"),"")</f>
        <v/>
      </c>
    </row>
    <row r="268">
      <c r="A268" s="6">
        <f t="shared" si="1"/>
        <v>267</v>
      </c>
      <c r="B268" s="8" t="s">
        <v>1116</v>
      </c>
      <c r="C268" s="6">
        <f>COUNTIF('Kế hoạch chèn link (mới)'!$D$3:$D$2213,$B268)</f>
        <v>3</v>
      </c>
      <c r="D268" s="8" t="str">
        <f>IF(COUNTIFS('Kế hoạch chèn link (mới)'!$D$3:$D$2213,$B268,'Kế hoạch chèn link (mới)'!$I$3:$I$2213,"Đã chèn")&gt;=$C268,"Đã hoàn thành",IF(COUNTIFS('Kế hoạch chèn link (mới)'!$D$3:$D$2213,$B268,'Kế hoạch chèn link (mới)'!$I$3:$I$2213,"Đã chèn")&gt;0,"Đang làm","Chưa hoàn thành"))</f>
        <v>Chưa hoàn thành</v>
      </c>
      <c r="E268" s="8" t="b">
        <f t="shared" si="2"/>
        <v>0</v>
      </c>
      <c r="F268" s="25"/>
      <c r="G268" s="25" t="str">
        <f>IFERROR(__xludf.DUMMYFUNCTION("IFERROR(INDEX(FILTER('Kế hoạch chèn link (mới)'!$C$3:$C$2213,'Kế hoạch chèn link (mới)'!$D$3:$D$2213=$B268),1),"""")"),"vay thế chấp sổ đỏ")</f>
        <v>vay thế chấp sổ đỏ</v>
      </c>
      <c r="H268" s="25" t="str">
        <f>IFERROR(__xludf.DUMMYFUNCTION("IFERROR(INDEX(FILTER('Kế hoạch chèn link (mới)'!$B$3:$B$2213,'Kế hoạch chèn link (mới)'!$D$3:$D$2213=$B268),1),"""")"),"https://techcombank.com/thong-tin/blog/lai-suat-vay-the-chap-so-do")</f>
        <v>https://techcombank.com/thong-tin/blog/lai-suat-vay-the-chap-so-do</v>
      </c>
      <c r="I268" s="25" t="str">
        <f>IFERROR(__xludf.DUMMYFUNCTION("IFERROR(INDEX(FILTER('Kế hoạch chèn link (mới)'!$C$3:$C$2213,'Kế hoạch chèn link (mới)'!$D$3:$D$2213=$B268),2),"""")"),"vay thấu chi là gì")</f>
        <v>vay thấu chi là gì</v>
      </c>
      <c r="J268" s="25" t="str">
        <f>IFERROR(__xludf.DUMMYFUNCTION("IFERROR(INDEX(FILTER('Kế hoạch chèn link (mới)'!$B$3:$B$2213,'Kế hoạch chèn link (mới)'!$D$3:$D$2213=$B268),2),"""")"),"https://techcombank.com/thong-tin/blog/vay-thau-chi-la-gi")</f>
        <v>https://techcombank.com/thong-tin/blog/vay-thau-chi-la-gi</v>
      </c>
      <c r="K268" s="25" t="str">
        <f>IFERROR(__xludf.DUMMYFUNCTION("IFERROR(INDEX(FILTER('Kế hoạch chèn link (mới)'!$C$3:$C$2213,'Kế hoạch chèn link (mới)'!$D$3:$D$2213=$B268),3),"""")"),"nên vay tín chấp ở đâu")</f>
        <v>nên vay tín chấp ở đâu</v>
      </c>
      <c r="L268" s="25" t="str">
        <f>IFERROR(__xludf.DUMMYFUNCTION("IFERROR(INDEX(FILTER('Kế hoạch chèn link (mới)'!$B$3:$B$2213,'Kế hoạch chèn link (mới)'!$D$3:$D$2213=$B268),3),"""")"),"https://techcombank.com/thong-tin/blog/nen-vay-tin-chap-o-dau")</f>
        <v>https://techcombank.com/thong-tin/blog/nen-vay-tin-chap-o-dau</v>
      </c>
      <c r="M268" s="25" t="str">
        <f>IFERROR(__xludf.DUMMYFUNCTION("IFERROR(INDEX(FILTER('Kế hoạch chèn link (mới)'!$C$3:$C$2213,'Kế hoạch chèn link (mới)'!$D$3:$D$2213=$B268),4),"""")"),"")</f>
        <v/>
      </c>
      <c r="N268" s="25" t="str">
        <f>IFERROR(__xludf.DUMMYFUNCTION("IFERROR(INDEX(FILTER('Kế hoạch chèn link (mới)'!$B$3:$B$2213,'Kế hoạch chèn link (mới)'!$D$3:$D$2213=$B268),4),"""")"),"")</f>
        <v/>
      </c>
      <c r="O268" s="25" t="str">
        <f>IFERROR(__xludf.DUMMYFUNCTION("IFERROR(INDEX(FILTER('Kế hoạch chèn link (mới)'!$C$3:$C$2213,'Kế hoạch chèn link (mới)'!$D$3:$D$2213=$B268),5),"""")"),"")</f>
        <v/>
      </c>
      <c r="P268" s="25" t="str">
        <f>IFERROR(__xludf.DUMMYFUNCTION("IFERROR(INDEX(FILTER('Kế hoạch chèn link (mới)'!$B$3:$B$2213,'Kế hoạch chèn link (mới)'!$D$3:$D$2213=$B268),5),"""")"),"")</f>
        <v/>
      </c>
    </row>
    <row r="269">
      <c r="A269" s="6">
        <f t="shared" si="1"/>
        <v>268</v>
      </c>
      <c r="B269" s="8" t="s">
        <v>2892</v>
      </c>
      <c r="C269" s="6">
        <f>COUNTIF('Kế hoạch chèn link (mới)'!$D$3:$D$2213,$B269)</f>
        <v>4</v>
      </c>
      <c r="D269" s="8" t="str">
        <f>IF(COUNTIFS('Kế hoạch chèn link (mới)'!$D$3:$D$2213,$B269,'Kế hoạch chèn link (mới)'!$I$3:$I$2213,"Đã chèn")&gt;=$C269,"Đã hoàn thành",IF(COUNTIFS('Kế hoạch chèn link (mới)'!$D$3:$D$2213,$B269,'Kế hoạch chèn link (mới)'!$I$3:$I$2213,"Đã chèn")&gt;0,"Đang làm","Chưa hoàn thành"))</f>
        <v>Chưa hoàn thành</v>
      </c>
      <c r="E269" s="8" t="b">
        <f t="shared" si="2"/>
        <v>0</v>
      </c>
      <c r="F269" s="25"/>
      <c r="G269" s="25" t="str">
        <f>IFERROR(__xludf.DUMMYFUNCTION("IFERROR(INDEX(FILTER('Kế hoạch chèn link (mới)'!$C$3:$C$2213,'Kế hoạch chèn link (mới)'!$D$3:$D$2213=$B269),1),"""")"),"tính lãi suất vay ngân hàng")</f>
        <v>tính lãi suất vay ngân hàng</v>
      </c>
      <c r="H269" s="25" t="str">
        <f>IFERROR(__xludf.DUMMYFUNCTION("IFERROR(INDEX(FILTER('Kế hoạch chèn link (mới)'!$B$3:$B$2213,'Kế hoạch chèn link (mới)'!$D$3:$D$2213=$B269),1),"""")"),"https://techcombank.com/cong-cu-tien-ich/cong-cu-tinh-toan/bang-tinh-lai-suat-vay")</f>
        <v>https://techcombank.com/cong-cu-tien-ich/cong-cu-tinh-toan/bang-tinh-lai-suat-vay</v>
      </c>
      <c r="I269" s="25" t="str">
        <f>IFERROR(__xludf.DUMMYFUNCTION("IFERROR(INDEX(FILTER('Kế hoạch chèn link (mới)'!$C$3:$C$2213,'Kế hoạch chèn link (mới)'!$D$3:$D$2213=$B269),2),"""")"),"vay tiền")</f>
        <v>vay tiền</v>
      </c>
      <c r="J269" s="25" t="str">
        <f>IFERROR(__xludf.DUMMYFUNCTION("IFERROR(INDEX(FILTER('Kế hoạch chèn link (mới)'!$B$3:$B$2213,'Kế hoạch chèn link (mới)'!$D$3:$D$2213=$B269),2),"""")"),"https://techcombank.com/thong-tin/blog/app-vay-tien-nhanh")</f>
        <v>https://techcombank.com/thong-tin/blog/app-vay-tien-nhanh</v>
      </c>
      <c r="K269" s="25" t="str">
        <f>IFERROR(__xludf.DUMMYFUNCTION("IFERROR(INDEX(FILTER('Kế hoạch chèn link (mới)'!$C$3:$C$2213,'Kế hoạch chèn link (mới)'!$D$3:$D$2213=$B269),3),"""")"),"lãi suất vay ngân hàng")</f>
        <v>lãi suất vay ngân hàng</v>
      </c>
      <c r="L269" s="25" t="str">
        <f>IFERROR(__xludf.DUMMYFUNCTION("IFERROR(INDEX(FILTER('Kế hoạch chèn link (mới)'!$B$3:$B$2213,'Kế hoạch chèn link (mới)'!$D$3:$D$2213=$B269),3),"""")"),"https://techcombank.com/thong-tin/blog/lai-suat-vay-ngan-hang")</f>
        <v>https://techcombank.com/thong-tin/blog/lai-suat-vay-ngan-hang</v>
      </c>
      <c r="M269" s="25" t="str">
        <f>IFERROR(__xludf.DUMMYFUNCTION("IFERROR(INDEX(FILTER('Kế hoạch chèn link (mới)'!$C$3:$C$2213,'Kế hoạch chèn link (mới)'!$D$3:$D$2213=$B269),4),"""")"),"nợ xấu")</f>
        <v>nợ xấu</v>
      </c>
      <c r="N269" s="25" t="str">
        <f>IFERROR(__xludf.DUMMYFUNCTION("IFERROR(INDEX(FILTER('Kế hoạch chèn link (mới)'!$B$3:$B$2213,'Kế hoạch chèn link (mới)'!$D$3:$D$2213=$B269),4),"""")"),"https://techcombank.com/thong-tin/blog/no-xau-la-gi")</f>
        <v>https://techcombank.com/thong-tin/blog/no-xau-la-gi</v>
      </c>
      <c r="O269" s="25" t="str">
        <f>IFERROR(__xludf.DUMMYFUNCTION("IFERROR(INDEX(FILTER('Kế hoạch chèn link (mới)'!$C$3:$C$2213,'Kế hoạch chèn link (mới)'!$D$3:$D$2213=$B269),5),"""")"),"")</f>
        <v/>
      </c>
      <c r="P269" s="25" t="str">
        <f>IFERROR(__xludf.DUMMYFUNCTION("IFERROR(INDEX(FILTER('Kế hoạch chèn link (mới)'!$B$3:$B$2213,'Kế hoạch chèn link (mới)'!$D$3:$D$2213=$B269),5),"""")"),"")</f>
        <v/>
      </c>
    </row>
    <row r="270">
      <c r="A270" s="6">
        <f t="shared" si="1"/>
        <v>269</v>
      </c>
      <c r="B270" s="8" t="s">
        <v>2894</v>
      </c>
      <c r="C270" s="6">
        <f>COUNTIF('Kế hoạch chèn link (mới)'!$D$3:$D$2213,$B270)</f>
        <v>2</v>
      </c>
      <c r="D270" s="8" t="str">
        <f>IF(COUNTIFS('Kế hoạch chèn link (mới)'!$D$3:$D$2213,$B270,'Kế hoạch chèn link (mới)'!$I$3:$I$2213,"Đã chèn")&gt;=$C270,"Đã hoàn thành",IF(COUNTIFS('Kế hoạch chèn link (mới)'!$D$3:$D$2213,$B270,'Kế hoạch chèn link (mới)'!$I$3:$I$2213,"Đã chèn")&gt;0,"Đang làm","Chưa hoàn thành"))</f>
        <v>Chưa hoàn thành</v>
      </c>
      <c r="E270" s="8" t="b">
        <f t="shared" si="2"/>
        <v>0</v>
      </c>
      <c r="F270" s="25"/>
      <c r="G270" s="25" t="str">
        <f>IFERROR(__xludf.DUMMYFUNCTION("IFERROR(INDEX(FILTER('Kế hoạch chèn link (mới)'!$C$3:$C$2213,'Kế hoạch chèn link (mới)'!$D$3:$D$2213=$B270),1),"""")"),"cic là gì")</f>
        <v>cic là gì</v>
      </c>
      <c r="H270" s="25" t="str">
        <f>IFERROR(__xludf.DUMMYFUNCTION("IFERROR(INDEX(FILTER('Kế hoạch chèn link (mới)'!$B$3:$B$2213,'Kế hoạch chèn link (mới)'!$D$3:$D$2213=$B270),1),"""")"),"https://techcombank.com/thong-tin/blog/cic-la-gi")</f>
        <v>https://techcombank.com/thong-tin/blog/cic-la-gi</v>
      </c>
      <c r="I270" s="25" t="str">
        <f>IFERROR(__xludf.DUMMYFUNCTION("IFERROR(INDEX(FILTER('Kế hoạch chèn link (mới)'!$C$3:$C$2213,'Kế hoạch chèn link (mới)'!$D$3:$D$2213=$B270),2),"""")"),"tính lãi vay ngân hàng")</f>
        <v>tính lãi vay ngân hàng</v>
      </c>
      <c r="J270" s="25" t="str">
        <f>IFERROR(__xludf.DUMMYFUNCTION("IFERROR(INDEX(FILTER('Kế hoạch chèn link (mới)'!$B$3:$B$2213,'Kế hoạch chèn link (mới)'!$D$3:$D$2213=$B270),2),"""")"),"https://techcombank.com/cong-cu-tien-ich/cong-cu-tinh-toan/bang-tinh-lai-suat-vay")</f>
        <v>https://techcombank.com/cong-cu-tien-ich/cong-cu-tinh-toan/bang-tinh-lai-suat-vay</v>
      </c>
      <c r="K270" s="25" t="str">
        <f>IFERROR(__xludf.DUMMYFUNCTION("IFERROR(INDEX(FILTER('Kế hoạch chèn link (mới)'!$C$3:$C$2213,'Kế hoạch chèn link (mới)'!$D$3:$D$2213=$B270),3),"""")"),"")</f>
        <v/>
      </c>
      <c r="L270" s="25" t="str">
        <f>IFERROR(__xludf.DUMMYFUNCTION("IFERROR(INDEX(FILTER('Kế hoạch chèn link (mới)'!$B$3:$B$2213,'Kế hoạch chèn link (mới)'!$D$3:$D$2213=$B270),3),"""")"),"")</f>
        <v/>
      </c>
      <c r="M270" s="25" t="str">
        <f>IFERROR(__xludf.DUMMYFUNCTION("IFERROR(INDEX(FILTER('Kế hoạch chèn link (mới)'!$C$3:$C$2213,'Kế hoạch chèn link (mới)'!$D$3:$D$2213=$B270),4),"""")"),"")</f>
        <v/>
      </c>
      <c r="N270" s="25" t="str">
        <f>IFERROR(__xludf.DUMMYFUNCTION("IFERROR(INDEX(FILTER('Kế hoạch chèn link (mới)'!$B$3:$B$2213,'Kế hoạch chèn link (mới)'!$D$3:$D$2213=$B270),4),"""")"),"")</f>
        <v/>
      </c>
      <c r="O270" s="25" t="str">
        <f>IFERROR(__xludf.DUMMYFUNCTION("IFERROR(INDEX(FILTER('Kế hoạch chèn link (mới)'!$C$3:$C$2213,'Kế hoạch chèn link (mới)'!$D$3:$D$2213=$B270),5),"""")"),"")</f>
        <v/>
      </c>
      <c r="P270" s="25" t="str">
        <f>IFERROR(__xludf.DUMMYFUNCTION("IFERROR(INDEX(FILTER('Kế hoạch chèn link (mới)'!$B$3:$B$2213,'Kế hoạch chèn link (mới)'!$D$3:$D$2213=$B270),5),"""")"),"")</f>
        <v/>
      </c>
    </row>
    <row r="271">
      <c r="A271" s="6">
        <f t="shared" si="1"/>
        <v>270</v>
      </c>
      <c r="B271" s="8" t="s">
        <v>604</v>
      </c>
      <c r="C271" s="6">
        <f>COUNTIF('Kế hoạch chèn link (mới)'!$D$3:$D$2213,$B271)</f>
        <v>5</v>
      </c>
      <c r="D271" s="8" t="str">
        <f>IF(COUNTIFS('Kế hoạch chèn link (mới)'!$D$3:$D$2213,$B271,'Kế hoạch chèn link (mới)'!$I$3:$I$2213,"Đã chèn")&gt;=$C271,"Đã hoàn thành",IF(COUNTIFS('Kế hoạch chèn link (mới)'!$D$3:$D$2213,$B271,'Kế hoạch chèn link (mới)'!$I$3:$I$2213,"Đã chèn")&gt;0,"Đang làm","Chưa hoàn thành"))</f>
        <v>Chưa hoàn thành</v>
      </c>
      <c r="E271" s="8" t="b">
        <f t="shared" si="2"/>
        <v>0</v>
      </c>
      <c r="F271" s="25"/>
      <c r="G271" s="25" t="str">
        <f>IFERROR(__xludf.DUMMYFUNCTION("IFERROR(INDEX(FILTER('Kế hoạch chèn link (mới)'!$C$3:$C$2213,'Kế hoạch chèn link (mới)'!$D$3:$D$2213=$B271),1),"""")"),"nộp thuế hộ trên etax")</f>
        <v>nộp thuế hộ trên etax</v>
      </c>
      <c r="H271" s="25" t="str">
        <f>IFERROR(__xludf.DUMMYFUNCTION("IFERROR(INDEX(FILTER('Kế hoạch chèn link (mới)'!$B$3:$B$2213,'Kế hoạch chèn link (mới)'!$D$3:$D$2213=$B271),1),"""")"),"https://techcombank.com/thong-tin/blog/cach-nop-thue-dien-tu")</f>
        <v>https://techcombank.com/thong-tin/blog/cach-nop-thue-dien-tu</v>
      </c>
      <c r="I271" s="25" t="str">
        <f>IFERROR(__xludf.DUMMYFUNCTION("IFERROR(INDEX(FILTER('Kế hoạch chèn link (mới)'!$C$3:$C$2213,'Kế hoạch chèn link (mới)'!$D$3:$D$2213=$B271),2),"""")"),"thuế GTGT là gì")</f>
        <v>thuế GTGT là gì</v>
      </c>
      <c r="J271" s="25" t="str">
        <f>IFERROR(__xludf.DUMMYFUNCTION("IFERROR(INDEX(FILTER('Kế hoạch chèn link (mới)'!$B$3:$B$2213,'Kế hoạch chèn link (mới)'!$D$3:$D$2213=$B271),2),"""")"),"https://techcombank.com/thong-tin/blog/thue-vat-la-gi")</f>
        <v>https://techcombank.com/thong-tin/blog/thue-vat-la-gi</v>
      </c>
      <c r="K271" s="25" t="str">
        <f>IFERROR(__xludf.DUMMYFUNCTION("IFERROR(INDEX(FILTER('Kế hoạch chèn link (mới)'!$C$3:$C$2213,'Kế hoạch chèn link (mới)'!$D$3:$D$2213=$B271),3),"""")"),"thuế thu nhập cá nhân")</f>
        <v>thuế thu nhập cá nhân</v>
      </c>
      <c r="L271" s="25" t="str">
        <f>IFERROR(__xludf.DUMMYFUNCTION("IFERROR(INDEX(FILTER('Kế hoạch chèn link (mới)'!$B$3:$B$2213,'Kế hoạch chèn link (mới)'!$D$3:$D$2213=$B271),3),"""")"),"https://techcombank.com/thong-tin/blog/cach-tinh-thue-thu-nhap-ca-nhan-2025")</f>
        <v>https://techcombank.com/thong-tin/blog/cach-tinh-thue-thu-nhap-ca-nhan-2025</v>
      </c>
      <c r="M271" s="25" t="str">
        <f>IFERROR(__xludf.DUMMYFUNCTION("IFERROR(INDEX(FILTER('Kế hoạch chèn link (mới)'!$C$3:$C$2213,'Kế hoạch chèn link (mới)'!$D$3:$D$2213=$B271),4),"""")"),"hộ kinh doanh đóng thuế như thế nào")</f>
        <v>hộ kinh doanh đóng thuế như thế nào</v>
      </c>
      <c r="N271" s="25" t="str">
        <f>IFERROR(__xludf.DUMMYFUNCTION("IFERROR(INDEX(FILTER('Kế hoạch chèn link (mới)'!$B$3:$B$2213,'Kế hoạch chèn link (mới)'!$D$3:$D$2213=$B271),4),"""")"),"https://techcombank.com/thong-tin/blog/ho-kinh-doanh-dong-thue-nhu-nao")</f>
        <v>https://techcombank.com/thong-tin/blog/ho-kinh-doanh-dong-thue-nhu-nao</v>
      </c>
      <c r="O271" s="25" t="str">
        <f>IFERROR(__xludf.DUMMYFUNCTION("IFERROR(INDEX(FILTER('Kế hoạch chèn link (mới)'!$C$3:$C$2213,'Kế hoạch chèn link (mới)'!$D$3:$D$2213=$B271),5),"""")"),"cách tính thuế hộ kinh doanh")</f>
        <v>cách tính thuế hộ kinh doanh</v>
      </c>
      <c r="P271" s="25" t="str">
        <f>IFERROR(__xludf.DUMMYFUNCTION("IFERROR(INDEX(FILTER('Kế hoạch chèn link (mới)'!$B$3:$B$2213,'Kế hoạch chèn link (mới)'!$D$3:$D$2213=$B271),5),"""")"),"https://techcombank.com/thong-tin/blog/cach-tinh-thue-ho-kinh-doanh-nho-le")</f>
        <v>https://techcombank.com/thong-tin/blog/cach-tinh-thue-ho-kinh-doanh-nho-le</v>
      </c>
    </row>
    <row r="272">
      <c r="A272" s="6">
        <f t="shared" si="1"/>
        <v>271</v>
      </c>
      <c r="B272" s="8" t="s">
        <v>2898</v>
      </c>
      <c r="C272" s="6">
        <f>COUNTIF('Kế hoạch chèn link (mới)'!$D$3:$D$2213,$B272)</f>
        <v>1</v>
      </c>
      <c r="D272" s="8" t="str">
        <f>IF(COUNTIFS('Kế hoạch chèn link (mới)'!$D$3:$D$2213,$B272,'Kế hoạch chèn link (mới)'!$I$3:$I$2213,"Đã chèn")&gt;=$C272,"Đã hoàn thành",IF(COUNTIFS('Kế hoạch chèn link (mới)'!$D$3:$D$2213,$B272,'Kế hoạch chèn link (mới)'!$I$3:$I$2213,"Đã chèn")&gt;0,"Đang làm","Chưa hoàn thành"))</f>
        <v>Chưa hoàn thành</v>
      </c>
      <c r="E272" s="8" t="b">
        <f t="shared" si="2"/>
        <v>0</v>
      </c>
      <c r="F272" s="25"/>
      <c r="G272" s="25" t="str">
        <f>IFERROR(__xludf.DUMMYFUNCTION("IFERROR(INDEX(FILTER('Kế hoạch chèn link (mới)'!$C$3:$C$2213,'Kế hoạch chèn link (mới)'!$D$3:$D$2213=$B272),1),"""")"),"thuế hộ kinh doanh")</f>
        <v>thuế hộ kinh doanh</v>
      </c>
      <c r="H272" s="25" t="str">
        <f>IFERROR(__xludf.DUMMYFUNCTION("IFERROR(INDEX(FILTER('Kế hoạch chèn link (mới)'!$B$3:$B$2213,'Kế hoạch chèn link (mới)'!$D$3:$D$2213=$B272),1),"""")"),"https://techcombank.com/thong-tin/blog/ho-kinh-doanh-dong-thue-nhu-nao")</f>
        <v>https://techcombank.com/thong-tin/blog/ho-kinh-doanh-dong-thue-nhu-nao</v>
      </c>
      <c r="I272" s="25" t="str">
        <f>IFERROR(__xludf.DUMMYFUNCTION("IFERROR(INDEX(FILTER('Kế hoạch chèn link (mới)'!$C$3:$C$2213,'Kế hoạch chèn link (mới)'!$D$3:$D$2213=$B272),2),"""")"),"")</f>
        <v/>
      </c>
      <c r="J272" s="25" t="str">
        <f>IFERROR(__xludf.DUMMYFUNCTION("IFERROR(INDEX(FILTER('Kế hoạch chèn link (mới)'!$B$3:$B$2213,'Kế hoạch chèn link (mới)'!$D$3:$D$2213=$B272),2),"""")"),"")</f>
        <v/>
      </c>
      <c r="K272" s="25" t="str">
        <f>IFERROR(__xludf.DUMMYFUNCTION("IFERROR(INDEX(FILTER('Kế hoạch chèn link (mới)'!$C$3:$C$2213,'Kế hoạch chèn link (mới)'!$D$3:$D$2213=$B272),3),"""")"),"")</f>
        <v/>
      </c>
      <c r="L272" s="25" t="str">
        <f>IFERROR(__xludf.DUMMYFUNCTION("IFERROR(INDEX(FILTER('Kế hoạch chèn link (mới)'!$B$3:$B$2213,'Kế hoạch chèn link (mới)'!$D$3:$D$2213=$B272),3),"""")"),"")</f>
        <v/>
      </c>
      <c r="M272" s="25" t="str">
        <f>IFERROR(__xludf.DUMMYFUNCTION("IFERROR(INDEX(FILTER('Kế hoạch chèn link (mới)'!$C$3:$C$2213,'Kế hoạch chèn link (mới)'!$D$3:$D$2213=$B272),4),"""")"),"")</f>
        <v/>
      </c>
      <c r="N272" s="25" t="str">
        <f>IFERROR(__xludf.DUMMYFUNCTION("IFERROR(INDEX(FILTER('Kế hoạch chèn link (mới)'!$B$3:$B$2213,'Kế hoạch chèn link (mới)'!$D$3:$D$2213=$B272),4),"""")"),"")</f>
        <v/>
      </c>
      <c r="O272" s="25" t="str">
        <f>IFERROR(__xludf.DUMMYFUNCTION("IFERROR(INDEX(FILTER('Kế hoạch chèn link (mới)'!$C$3:$C$2213,'Kế hoạch chèn link (mới)'!$D$3:$D$2213=$B272),5),"""")"),"")</f>
        <v/>
      </c>
      <c r="P272" s="25" t="str">
        <f>IFERROR(__xludf.DUMMYFUNCTION("IFERROR(INDEX(FILTER('Kế hoạch chèn link (mới)'!$B$3:$B$2213,'Kế hoạch chèn link (mới)'!$D$3:$D$2213=$B272),5),"""")"),"")</f>
        <v/>
      </c>
    </row>
    <row r="273">
      <c r="A273" s="6">
        <f t="shared" si="1"/>
        <v>272</v>
      </c>
      <c r="B273" s="8" t="s">
        <v>852</v>
      </c>
      <c r="C273" s="6">
        <f>COUNTIF('Kế hoạch chèn link (mới)'!$D$3:$D$2213,$B273)</f>
        <v>4</v>
      </c>
      <c r="D273" s="8" t="str">
        <f>IF(COUNTIFS('Kế hoạch chèn link (mới)'!$D$3:$D$2213,$B273,'Kế hoạch chèn link (mới)'!$I$3:$I$2213,"Đã chèn")&gt;=$C273,"Đã hoàn thành",IF(COUNTIFS('Kế hoạch chèn link (mới)'!$D$3:$D$2213,$B273,'Kế hoạch chèn link (mới)'!$I$3:$I$2213,"Đã chèn")&gt;0,"Đang làm","Chưa hoàn thành"))</f>
        <v>Chưa hoàn thành</v>
      </c>
      <c r="E273" s="8" t="b">
        <f t="shared" si="2"/>
        <v>0</v>
      </c>
      <c r="F273" s="25"/>
      <c r="G273" s="25" t="str">
        <f>IFERROR(__xludf.DUMMYFUNCTION("IFERROR(INDEX(FILTER('Kế hoạch chèn link (mới)'!$C$3:$C$2213,'Kế hoạch chèn link (mới)'!$D$3:$D$2213=$B273),1),"""")"),"thuế thu nhập doanh nghiệp")</f>
        <v>thuế thu nhập doanh nghiệp</v>
      </c>
      <c r="H273" s="25" t="str">
        <f>IFERROR(__xludf.DUMMYFUNCTION("IFERROR(INDEX(FILTER('Kế hoạch chèn link (mới)'!$B$3:$B$2213,'Kế hoạch chèn link (mới)'!$D$3:$D$2213=$B273),1),"""")"),"https://techcombank.com/thong-tin/blog/thue-thu-nhap-doanh-nghiep")</f>
        <v>https://techcombank.com/thong-tin/blog/thue-thu-nhap-doanh-nghiep</v>
      </c>
      <c r="I273" s="25" t="str">
        <f>IFERROR(__xludf.DUMMYFUNCTION("IFERROR(INDEX(FILTER('Kế hoạch chèn link (mới)'!$C$3:$C$2213,'Kế hoạch chèn link (mới)'!$D$3:$D$2213=$B273),2),"""")"),"thuế VAT")</f>
        <v>thuế VAT</v>
      </c>
      <c r="J273" s="25" t="str">
        <f>IFERROR(__xludf.DUMMYFUNCTION("IFERROR(INDEX(FILTER('Kế hoạch chèn link (mới)'!$B$3:$B$2213,'Kế hoạch chèn link (mới)'!$D$3:$D$2213=$B273),2),"""")"),"https://techcombank.com/thong-tin/blog/thue-vat-la-gi")</f>
        <v>https://techcombank.com/thong-tin/blog/thue-vat-la-gi</v>
      </c>
      <c r="K273" s="25" t="str">
        <f>IFERROR(__xludf.DUMMYFUNCTION("IFERROR(INDEX(FILTER('Kế hoạch chèn link (mới)'!$C$3:$C$2213,'Kế hoạch chèn link (mới)'!$D$3:$D$2213=$B273),3),"""")"),"kiểm tra nợ thuế doanh nghiệp")</f>
        <v>kiểm tra nợ thuế doanh nghiệp</v>
      </c>
      <c r="L273" s="25" t="str">
        <f>IFERROR(__xludf.DUMMYFUNCTION("IFERROR(INDEX(FILTER('Kế hoạch chèn link (mới)'!$B$3:$B$2213,'Kế hoạch chèn link (mới)'!$D$3:$D$2213=$B273),3),"""")"),"https://techcombank.com/thong-tin/blog/tra-cuu-no-thue-doanh-nghiep")</f>
        <v>https://techcombank.com/thong-tin/blog/tra-cuu-no-thue-doanh-nghiep</v>
      </c>
      <c r="M273" s="25" t="str">
        <f>IFERROR(__xludf.DUMMYFUNCTION("IFERROR(INDEX(FILTER('Kế hoạch chèn link (mới)'!$C$3:$C$2213,'Kế hoạch chèn link (mới)'!$D$3:$D$2213=$B273),4),"""")"),"thuế doanh nghiệp")</f>
        <v>thuế doanh nghiệp</v>
      </c>
      <c r="N273" s="25" t="str">
        <f>IFERROR(__xludf.DUMMYFUNCTION("IFERROR(INDEX(FILTER('Kế hoạch chèn link (mới)'!$B$3:$B$2213,'Kế hoạch chèn link (mới)'!$D$3:$D$2213=$B273),4),"""")"),"https://techcombank.com/thong-tin/blog/thue-doanh-nghiep")</f>
        <v>https://techcombank.com/thong-tin/blog/thue-doanh-nghiep</v>
      </c>
      <c r="O273" s="25" t="str">
        <f>IFERROR(__xludf.DUMMYFUNCTION("IFERROR(INDEX(FILTER('Kế hoạch chèn link (mới)'!$C$3:$C$2213,'Kế hoạch chèn link (mới)'!$D$3:$D$2213=$B273),5),"""")"),"")</f>
        <v/>
      </c>
      <c r="P273" s="25" t="str">
        <f>IFERROR(__xludf.DUMMYFUNCTION("IFERROR(INDEX(FILTER('Kế hoạch chèn link (mới)'!$B$3:$B$2213,'Kế hoạch chèn link (mới)'!$D$3:$D$2213=$B273),5),"""")"),"")</f>
        <v/>
      </c>
    </row>
    <row r="274">
      <c r="A274" s="6">
        <f t="shared" si="1"/>
        <v>273</v>
      </c>
      <c r="B274" s="8" t="s">
        <v>635</v>
      </c>
      <c r="C274" s="6">
        <f>COUNTIF('Kế hoạch chèn link (mới)'!$D$3:$D$2213,$B274)</f>
        <v>4</v>
      </c>
      <c r="D274" s="8" t="str">
        <f>IF(COUNTIFS('Kế hoạch chèn link (mới)'!$D$3:$D$2213,$B274,'Kế hoạch chèn link (mới)'!$I$3:$I$2213,"Đã chèn")&gt;=$C274,"Đã hoàn thành",IF(COUNTIFS('Kế hoạch chèn link (mới)'!$D$3:$D$2213,$B274,'Kế hoạch chèn link (mới)'!$I$3:$I$2213,"Đã chèn")&gt;0,"Đang làm","Chưa hoàn thành"))</f>
        <v>Chưa hoàn thành</v>
      </c>
      <c r="E274" s="8" t="b">
        <f t="shared" si="2"/>
        <v>0</v>
      </c>
      <c r="F274" s="25"/>
      <c r="G274" s="25" t="str">
        <f>IFERROR(__xludf.DUMMYFUNCTION("IFERROR(INDEX(FILTER('Kế hoạch chèn link (mới)'!$C$3:$C$2213,'Kế hoạch chèn link (mới)'!$D$3:$D$2213=$B274),1),"""")"),"nộp thuế online")</f>
        <v>nộp thuế online</v>
      </c>
      <c r="H274" s="25" t="str">
        <f>IFERROR(__xludf.DUMMYFUNCTION("IFERROR(INDEX(FILTER('Kế hoạch chèn link (mới)'!$B$3:$B$2213,'Kế hoạch chèn link (mới)'!$D$3:$D$2213=$B274),1),"""")"),"https://techcombank.com/thong-tin/blog/cach-nop-thue-dien-tu")</f>
        <v>https://techcombank.com/thong-tin/blog/cach-nop-thue-dien-tu</v>
      </c>
      <c r="I274" s="25" t="str">
        <f>IFERROR(__xludf.DUMMYFUNCTION("IFERROR(INDEX(FILTER('Kế hoạch chèn link (mới)'!$C$3:$C$2213,'Kế hoạch chèn link (mới)'!$D$3:$D$2213=$B274),2),"""")"),"thuế thu nhập cá nhân")</f>
        <v>thuế thu nhập cá nhân</v>
      </c>
      <c r="J274" s="25" t="str">
        <f>IFERROR(__xludf.DUMMYFUNCTION("IFERROR(INDEX(FILTER('Kế hoạch chèn link (mới)'!$B$3:$B$2213,'Kế hoạch chèn link (mới)'!$D$3:$D$2213=$B274),2),"""")"),"https://techcombank.com/thong-tin/blog/cach-tinh-thue-thu-nhap-ca-nhan-2025")</f>
        <v>https://techcombank.com/thong-tin/blog/cach-tinh-thue-thu-nhap-ca-nhan-2025</v>
      </c>
      <c r="K274" s="25" t="str">
        <f>IFERROR(__xludf.DUMMYFUNCTION("IFERROR(INDEX(FILTER('Kế hoạch chèn link (mới)'!$C$3:$C$2213,'Kế hoạch chèn link (mới)'!$D$3:$D$2213=$B274),3),"""")"),"kiểm tra thuế thu nhập cá nhân")</f>
        <v>kiểm tra thuế thu nhập cá nhân</v>
      </c>
      <c r="L274" s="25" t="str">
        <f>IFERROR(__xludf.DUMMYFUNCTION("IFERROR(INDEX(FILTER('Kế hoạch chèn link (mới)'!$B$3:$B$2213,'Kế hoạch chèn link (mới)'!$D$3:$D$2213=$B274),3),"""")"),"https://techcombank.com/thong-tin/blog/kiem-tra-thue-thu-nhap-ca-nhan")</f>
        <v>https://techcombank.com/thong-tin/blog/kiem-tra-thue-thu-nhap-ca-nhan</v>
      </c>
      <c r="M274" s="25" t="str">
        <f>IFERROR(__xludf.DUMMYFUNCTION("IFERROR(INDEX(FILTER('Kế hoạch chèn link (mới)'!$C$3:$C$2213,'Kế hoạch chèn link (mới)'!$D$3:$D$2213=$B274),4),"""")"),"thuế thu nhập cá nhân")</f>
        <v>thuế thu nhập cá nhân</v>
      </c>
      <c r="N274" s="25" t="str">
        <f>IFERROR(__xludf.DUMMYFUNCTION("IFERROR(INDEX(FILTER('Kế hoạch chèn link (mới)'!$B$3:$B$2213,'Kế hoạch chèn link (mới)'!$D$3:$D$2213=$B274),4),"""")"),"https://techcombank.com/thong-tin/blog/thue-thu-nhap-ca-nhan")</f>
        <v>https://techcombank.com/thong-tin/blog/thue-thu-nhap-ca-nhan</v>
      </c>
      <c r="O274" s="25" t="str">
        <f>IFERROR(__xludf.DUMMYFUNCTION("IFERROR(INDEX(FILTER('Kế hoạch chèn link (mới)'!$C$3:$C$2213,'Kế hoạch chèn link (mới)'!$D$3:$D$2213=$B274),5),"""")"),"")</f>
        <v/>
      </c>
      <c r="P274" s="25" t="str">
        <f>IFERROR(__xludf.DUMMYFUNCTION("IFERROR(INDEX(FILTER('Kế hoạch chèn link (mới)'!$B$3:$B$2213,'Kế hoạch chèn link (mới)'!$D$3:$D$2213=$B274),5),"""")"),"")</f>
        <v/>
      </c>
    </row>
    <row r="275">
      <c r="A275" s="6">
        <f t="shared" si="1"/>
        <v>274</v>
      </c>
      <c r="B275" s="8" t="s">
        <v>2899</v>
      </c>
      <c r="C275" s="6">
        <f>COUNTIF('Kế hoạch chèn link (mới)'!$D$3:$D$2213,$B275)</f>
        <v>2</v>
      </c>
      <c r="D275" s="8" t="str">
        <f>IF(COUNTIFS('Kế hoạch chèn link (mới)'!$D$3:$D$2213,$B275,'Kế hoạch chèn link (mới)'!$I$3:$I$2213,"Đã chèn")&gt;=$C275,"Đã hoàn thành",IF(COUNTIFS('Kế hoạch chèn link (mới)'!$D$3:$D$2213,$B275,'Kế hoạch chèn link (mới)'!$I$3:$I$2213,"Đã chèn")&gt;0,"Đang làm","Chưa hoàn thành"))</f>
        <v>Chưa hoàn thành</v>
      </c>
      <c r="E275" s="8" t="b">
        <f t="shared" si="2"/>
        <v>0</v>
      </c>
      <c r="F275" s="25"/>
      <c r="G275" s="25" t="str">
        <f>IFERROR(__xludf.DUMMYFUNCTION("IFERROR(INDEX(FILTER('Kế hoạch chèn link (mới)'!$C$3:$C$2213,'Kế hoạch chèn link (mới)'!$D$3:$D$2213=$B275),1),"""")"),"lãi suất ngân hàng tiền gửi")</f>
        <v>lãi suất ngân hàng tiền gửi</v>
      </c>
      <c r="H275" s="25" t="str">
        <f>IFERROR(__xludf.DUMMYFUNCTION("IFERROR(INDEX(FILTER('Kế hoạch chèn link (mới)'!$B$3:$B$2213,'Kế hoạch chèn link (mới)'!$D$3:$D$2213=$B275),1),"""")"),"https://techcombank.com/thong-tin/blog/lai-suat-tiet-kiem")</f>
        <v>https://techcombank.com/thong-tin/blog/lai-suat-tiet-kiem</v>
      </c>
      <c r="I275" s="25" t="str">
        <f>IFERROR(__xludf.DUMMYFUNCTION("IFERROR(INDEX(FILTER('Kế hoạch chèn link (mới)'!$C$3:$C$2213,'Kế hoạch chèn link (mới)'!$D$3:$D$2213=$B275),2),"""")"),"cách tiết kiệm tiền")</f>
        <v>cách tiết kiệm tiền</v>
      </c>
      <c r="J275" s="25" t="str">
        <f>IFERROR(__xludf.DUMMYFUNCTION("IFERROR(INDEX(FILTER('Kế hoạch chèn link (mới)'!$B$3:$B$2213,'Kế hoạch chèn link (mới)'!$D$3:$D$2213=$B275),2),"""")"),"https://techcombank.com/thong-tin/blog/cach-tiet-kiem-tien")</f>
        <v>https://techcombank.com/thong-tin/blog/cach-tiet-kiem-tien</v>
      </c>
      <c r="K275" s="25" t="str">
        <f>IFERROR(__xludf.DUMMYFUNCTION("IFERROR(INDEX(FILTER('Kế hoạch chèn link (mới)'!$C$3:$C$2213,'Kế hoạch chèn link (mới)'!$D$3:$D$2213=$B275),3),"""")"),"")</f>
        <v/>
      </c>
      <c r="L275" s="25" t="str">
        <f>IFERROR(__xludf.DUMMYFUNCTION("IFERROR(INDEX(FILTER('Kế hoạch chèn link (mới)'!$B$3:$B$2213,'Kế hoạch chèn link (mới)'!$D$3:$D$2213=$B275),3),"""")"),"")</f>
        <v/>
      </c>
      <c r="M275" s="25" t="str">
        <f>IFERROR(__xludf.DUMMYFUNCTION("IFERROR(INDEX(FILTER('Kế hoạch chèn link (mới)'!$C$3:$C$2213,'Kế hoạch chèn link (mới)'!$D$3:$D$2213=$B275),4),"""")"),"")</f>
        <v/>
      </c>
      <c r="N275" s="25" t="str">
        <f>IFERROR(__xludf.DUMMYFUNCTION("IFERROR(INDEX(FILTER('Kế hoạch chèn link (mới)'!$B$3:$B$2213,'Kế hoạch chèn link (mới)'!$D$3:$D$2213=$B275),4),"""")"),"")</f>
        <v/>
      </c>
      <c r="O275" s="25" t="str">
        <f>IFERROR(__xludf.DUMMYFUNCTION("IFERROR(INDEX(FILTER('Kế hoạch chèn link (mới)'!$C$3:$C$2213,'Kế hoạch chèn link (mới)'!$D$3:$D$2213=$B275),5),"""")"),"")</f>
        <v/>
      </c>
      <c r="P275" s="25" t="str">
        <f>IFERROR(__xludf.DUMMYFUNCTION("IFERROR(INDEX(FILTER('Kế hoạch chèn link (mới)'!$B$3:$B$2213,'Kế hoạch chèn link (mới)'!$D$3:$D$2213=$B275),5),"""")"),"")</f>
        <v/>
      </c>
    </row>
    <row r="276">
      <c r="A276" s="6">
        <f t="shared" si="1"/>
        <v>275</v>
      </c>
      <c r="B276" s="8" t="s">
        <v>1906</v>
      </c>
      <c r="C276" s="6">
        <f>COUNTIF('Kế hoạch chèn link (mới)'!$D$3:$D$2213,$B276)</f>
        <v>4</v>
      </c>
      <c r="D276" s="8" t="str">
        <f>IF(COUNTIFS('Kế hoạch chèn link (mới)'!$D$3:$D$2213,$B276,'Kế hoạch chèn link (mới)'!$I$3:$I$2213,"Đã chèn")&gt;=$C276,"Đã hoàn thành",IF(COUNTIFS('Kế hoạch chèn link (mới)'!$D$3:$D$2213,$B276,'Kế hoạch chèn link (mới)'!$I$3:$I$2213,"Đã chèn")&gt;0,"Đang làm","Chưa hoàn thành"))</f>
        <v>Chưa hoàn thành</v>
      </c>
      <c r="E276" s="8" t="b">
        <f t="shared" si="2"/>
        <v>0</v>
      </c>
      <c r="F276" s="25"/>
      <c r="G276" s="25" t="str">
        <f>IFERROR(__xludf.DUMMYFUNCTION("IFERROR(INDEX(FILTER('Kế hoạch chèn link (mới)'!$C$3:$C$2213,'Kế hoạch chèn link (mới)'!$D$3:$D$2213=$B276),1),"""")"),"ngân hàng uy tín")</f>
        <v>ngân hàng uy tín</v>
      </c>
      <c r="H276" s="25" t="str">
        <f>IFERROR(__xludf.DUMMYFUNCTION("IFERROR(INDEX(FILTER('Kế hoạch chèn link (mới)'!$B$3:$B$2213,'Kế hoạch chèn link (mới)'!$D$3:$D$2213=$B276),1),"""")"),"https://techcombank.com/thong-tin/blog/ngan-hang-uy-tin")</f>
        <v>https://techcombank.com/thong-tin/blog/ngan-hang-uy-tin</v>
      </c>
      <c r="I276" s="25" t="str">
        <f>IFERROR(__xludf.DUMMYFUNCTION("IFERROR(INDEX(FILTER('Kế hoạch chèn link (mới)'!$C$3:$C$2213,'Kế hoạch chèn link (mới)'!$D$3:$D$2213=$B276),2),"""")"),"bao nhiêu tuổi được mở tài khoản ngân hàng")</f>
        <v>bao nhiêu tuổi được mở tài khoản ngân hàng</v>
      </c>
      <c r="J276" s="25" t="str">
        <f>IFERROR(__xludf.DUMMYFUNCTION("IFERROR(INDEX(FILTER('Kế hoạch chèn link (mới)'!$B$3:$B$2213,'Kế hoạch chèn link (mới)'!$D$3:$D$2213=$B276),2),"""")"),"https://techcombank.com/thong-tin/blog/bao-nhieu-tuoi-duoc-mo-tai-khoan-ngan-hang")</f>
        <v>https://techcombank.com/thong-tin/blog/bao-nhieu-tuoi-duoc-mo-tai-khoan-ngan-hang</v>
      </c>
      <c r="K276" s="25" t="str">
        <f>IFERROR(__xludf.DUMMYFUNCTION("IFERROR(INDEX(FILTER('Kế hoạch chèn link (mới)'!$C$3:$C$2213,'Kế hoạch chèn link (mới)'!$D$3:$D$2213=$B276),3),"""")"),"mở tài khoản ngân hàng cho học sinh")</f>
        <v>mở tài khoản ngân hàng cho học sinh</v>
      </c>
      <c r="L276" s="25" t="str">
        <f>IFERROR(__xludf.DUMMYFUNCTION("IFERROR(INDEX(FILTER('Kế hoạch chèn link (mới)'!$B$3:$B$2213,'Kế hoạch chèn link (mới)'!$D$3:$D$2213=$B276),3),"""")"),"https://techcombank.com/thong-tin/blog/mo-tai-khoan-ngan-hang-duoi-18-tuoi")</f>
        <v>https://techcombank.com/thong-tin/blog/mo-tai-khoan-ngan-hang-duoi-18-tuoi</v>
      </c>
      <c r="M276" s="25" t="str">
        <f>IFERROR(__xludf.DUMMYFUNCTION("IFERROR(INDEX(FILTER('Kế hoạch chèn link (mới)'!$C$3:$C$2213,'Kế hoạch chèn link (mới)'!$D$3:$D$2213=$B276),4),"""")"),"lợi suất chứng chỉ tiền gửi")</f>
        <v>lợi suất chứng chỉ tiền gửi</v>
      </c>
      <c r="N276" s="25" t="str">
        <f>IFERROR(__xludf.DUMMYFUNCTION("IFERROR(INDEX(FILTER('Kế hoạch chèn link (mới)'!$B$3:$B$2213,'Kế hoạch chèn link (mới)'!$D$3:$D$2213=$B276),4),"""")"),"https://techcombank.com/thong-tin/blog/lai-suat-chung-chi-tien-gui-cac-ngan-hang")</f>
        <v>https://techcombank.com/thong-tin/blog/lai-suat-chung-chi-tien-gui-cac-ngan-hang</v>
      </c>
      <c r="O276" s="25" t="str">
        <f>IFERROR(__xludf.DUMMYFUNCTION("IFERROR(INDEX(FILTER('Kế hoạch chèn link (mới)'!$C$3:$C$2213,'Kế hoạch chèn link (mới)'!$D$3:$D$2213=$B276),5),"""")"),"")</f>
        <v/>
      </c>
      <c r="P276" s="25" t="str">
        <f>IFERROR(__xludf.DUMMYFUNCTION("IFERROR(INDEX(FILTER('Kế hoạch chèn link (mới)'!$B$3:$B$2213,'Kế hoạch chèn link (mới)'!$D$3:$D$2213=$B276),5),"""")"),"")</f>
        <v/>
      </c>
    </row>
    <row r="277">
      <c r="A277" s="6">
        <f t="shared" si="1"/>
        <v>276</v>
      </c>
      <c r="B277" s="8" t="s">
        <v>2902</v>
      </c>
      <c r="C277" s="6">
        <f>COUNTIF('Kế hoạch chèn link (mới)'!$D$3:$D$2213,$B277)</f>
        <v>1</v>
      </c>
      <c r="D277" s="8" t="str">
        <f>IF(COUNTIFS('Kế hoạch chèn link (mới)'!$D$3:$D$2213,$B277,'Kế hoạch chèn link (mới)'!$I$3:$I$2213,"Đã chèn")&gt;=$C277,"Đã hoàn thành",IF(COUNTIFS('Kế hoạch chèn link (mới)'!$D$3:$D$2213,$B277,'Kế hoạch chèn link (mới)'!$I$3:$I$2213,"Đã chèn")&gt;0,"Đang làm","Chưa hoàn thành"))</f>
        <v>Chưa hoàn thành</v>
      </c>
      <c r="E277" s="8" t="b">
        <f t="shared" si="2"/>
        <v>0</v>
      </c>
      <c r="F277" s="25"/>
      <c r="G277" s="25" t="str">
        <f>IFERROR(__xludf.DUMMYFUNCTION("IFERROR(INDEX(FILTER('Kế hoạch chèn link (mới)'!$C$3:$C$2213,'Kế hoạch chèn link (mới)'!$D$3:$D$2213=$B277),1),"""")"),"rủi ro khi gửi tiết kiệm online")</f>
        <v>rủi ro khi gửi tiết kiệm online</v>
      </c>
      <c r="H277" s="25" t="str">
        <f>IFERROR(__xludf.DUMMYFUNCTION("IFERROR(INDEX(FILTER('Kế hoạch chèn link (mới)'!$B$3:$B$2213,'Kế hoạch chèn link (mới)'!$D$3:$D$2213=$B277),1),"""")"),"https://techcombank.com/thong-tin/blog/rui-ro-khi-gui-tiet-kiem-online")</f>
        <v>https://techcombank.com/thong-tin/blog/rui-ro-khi-gui-tiet-kiem-online</v>
      </c>
      <c r="I277" s="25" t="str">
        <f>IFERROR(__xludf.DUMMYFUNCTION("IFERROR(INDEX(FILTER('Kế hoạch chèn link (mới)'!$C$3:$C$2213,'Kế hoạch chèn link (mới)'!$D$3:$D$2213=$B277),2),"""")"),"")</f>
        <v/>
      </c>
      <c r="J277" s="25" t="str">
        <f>IFERROR(__xludf.DUMMYFUNCTION("IFERROR(INDEX(FILTER('Kế hoạch chèn link (mới)'!$B$3:$B$2213,'Kế hoạch chèn link (mới)'!$D$3:$D$2213=$B277),2),"""")"),"")</f>
        <v/>
      </c>
      <c r="K277" s="25" t="str">
        <f>IFERROR(__xludf.DUMMYFUNCTION("IFERROR(INDEX(FILTER('Kế hoạch chèn link (mới)'!$C$3:$C$2213,'Kế hoạch chèn link (mới)'!$D$3:$D$2213=$B277),3),"""")"),"")</f>
        <v/>
      </c>
      <c r="L277" s="25" t="str">
        <f>IFERROR(__xludf.DUMMYFUNCTION("IFERROR(INDEX(FILTER('Kế hoạch chèn link (mới)'!$B$3:$B$2213,'Kế hoạch chèn link (mới)'!$D$3:$D$2213=$B277),3),"""")"),"")</f>
        <v/>
      </c>
      <c r="M277" s="25" t="str">
        <f>IFERROR(__xludf.DUMMYFUNCTION("IFERROR(INDEX(FILTER('Kế hoạch chèn link (mới)'!$C$3:$C$2213,'Kế hoạch chèn link (mới)'!$D$3:$D$2213=$B277),4),"""")"),"")</f>
        <v/>
      </c>
      <c r="N277" s="25" t="str">
        <f>IFERROR(__xludf.DUMMYFUNCTION("IFERROR(INDEX(FILTER('Kế hoạch chèn link (mới)'!$B$3:$B$2213,'Kế hoạch chèn link (mới)'!$D$3:$D$2213=$B277),4),"""")"),"")</f>
        <v/>
      </c>
      <c r="O277" s="25" t="str">
        <f>IFERROR(__xludf.DUMMYFUNCTION("IFERROR(INDEX(FILTER('Kế hoạch chèn link (mới)'!$C$3:$C$2213,'Kế hoạch chèn link (mới)'!$D$3:$D$2213=$B277),5),"""")"),"")</f>
        <v/>
      </c>
      <c r="P277" s="25" t="str">
        <f>IFERROR(__xludf.DUMMYFUNCTION("IFERROR(INDEX(FILTER('Kế hoạch chèn link (mới)'!$B$3:$B$2213,'Kế hoạch chèn link (mới)'!$D$3:$D$2213=$B277),5),"""")"),"")</f>
        <v/>
      </c>
    </row>
    <row r="278">
      <c r="A278" s="6">
        <f t="shared" si="1"/>
        <v>277</v>
      </c>
      <c r="B278" s="8" t="s">
        <v>1438</v>
      </c>
      <c r="C278" s="6">
        <f>COUNTIF('Kế hoạch chèn link (mới)'!$D$3:$D$2213,$B278)</f>
        <v>3</v>
      </c>
      <c r="D278" s="8" t="str">
        <f>IF(COUNTIFS('Kế hoạch chèn link (mới)'!$D$3:$D$2213,$B278,'Kế hoạch chèn link (mới)'!$I$3:$I$2213,"Đã chèn")&gt;=$C278,"Đã hoàn thành",IF(COUNTIFS('Kế hoạch chèn link (mới)'!$D$3:$D$2213,$B278,'Kế hoạch chèn link (mới)'!$I$3:$I$2213,"Đã chèn")&gt;0,"Đang làm","Chưa hoàn thành"))</f>
        <v>Chưa hoàn thành</v>
      </c>
      <c r="E278" s="8" t="b">
        <f t="shared" si="2"/>
        <v>0</v>
      </c>
      <c r="F278" s="25"/>
      <c r="G278" s="25" t="str">
        <f>IFERROR(__xludf.DUMMYFUNCTION("IFERROR(INDEX(FILTER('Kế hoạch chèn link (mới)'!$C$3:$C$2213,'Kế hoạch chèn link (mới)'!$D$3:$D$2213=$B278),1),"""")"),"giá điện sinh hoạt")</f>
        <v>giá điện sinh hoạt</v>
      </c>
      <c r="H278" s="25" t="str">
        <f>IFERROR(__xludf.DUMMYFUNCTION("IFERROR(INDEX(FILTER('Kế hoạch chèn link (mới)'!$B$3:$B$2213,'Kế hoạch chèn link (mới)'!$D$3:$D$2213=$B278),1),"""")"),"https://techcombank.com/thong-tin/blog/cach-tinh-tien-dien-sinh-hoat")</f>
        <v>https://techcombank.com/thong-tin/blog/cach-tinh-tien-dien-sinh-hoat</v>
      </c>
      <c r="I278" s="25" t="str">
        <f>IFERROR(__xludf.DUMMYFUNCTION("IFERROR(INDEX(FILTER('Kế hoạch chèn link (mới)'!$C$3:$C$2213,'Kế hoạch chèn link (mới)'!$D$3:$D$2213=$B278),2),"""")"),"thuế thu nhập cá nhân")</f>
        <v>thuế thu nhập cá nhân</v>
      </c>
      <c r="J278" s="25" t="str">
        <f>IFERROR(__xludf.DUMMYFUNCTION("IFERROR(INDEX(FILTER('Kế hoạch chèn link (mới)'!$B$3:$B$2213,'Kế hoạch chèn link (mới)'!$D$3:$D$2213=$B278),2),"""")"),"https://techcombank.com/thong-tin/blog/cach-tinh-thue-thu-nhap-ca-nhan-2025")</f>
        <v>https://techcombank.com/thong-tin/blog/cach-tinh-thue-thu-nhap-ca-nhan-2025</v>
      </c>
      <c r="K278" s="25" t="str">
        <f>IFERROR(__xludf.DUMMYFUNCTION("IFERROR(INDEX(FILTER('Kế hoạch chèn link (mới)'!$C$3:$C$2213,'Kế hoạch chèn link (mới)'!$D$3:$D$2213=$B278),3),"""")"),"cách đầu tư chứng chỉ quỹ")</f>
        <v>cách đầu tư chứng chỉ quỹ</v>
      </c>
      <c r="L278" s="25" t="str">
        <f>IFERROR(__xludf.DUMMYFUNCTION("IFERROR(INDEX(FILTER('Kế hoạch chèn link (mới)'!$B$3:$B$2213,'Kế hoạch chèn link (mới)'!$D$3:$D$2213=$B278),3),"""")"),"https://techcombank.com/thong-tin/blog/phuong-phap-dau-tu-chung-chi-quy")</f>
        <v>https://techcombank.com/thong-tin/blog/phuong-phap-dau-tu-chung-chi-quy</v>
      </c>
      <c r="M278" s="25" t="str">
        <f>IFERROR(__xludf.DUMMYFUNCTION("IFERROR(INDEX(FILTER('Kế hoạch chèn link (mới)'!$C$3:$C$2213,'Kế hoạch chèn link (mới)'!$D$3:$D$2213=$B278),4),"""")"),"")</f>
        <v/>
      </c>
      <c r="N278" s="25" t="str">
        <f>IFERROR(__xludf.DUMMYFUNCTION("IFERROR(INDEX(FILTER('Kế hoạch chèn link (mới)'!$B$3:$B$2213,'Kế hoạch chèn link (mới)'!$D$3:$D$2213=$B278),4),"""")"),"")</f>
        <v/>
      </c>
      <c r="O278" s="25" t="str">
        <f>IFERROR(__xludf.DUMMYFUNCTION("IFERROR(INDEX(FILTER('Kế hoạch chèn link (mới)'!$C$3:$C$2213,'Kế hoạch chèn link (mới)'!$D$3:$D$2213=$B278),5),"""")"),"")</f>
        <v/>
      </c>
      <c r="P278" s="25" t="str">
        <f>IFERROR(__xludf.DUMMYFUNCTION("IFERROR(INDEX(FILTER('Kế hoạch chèn link (mới)'!$B$3:$B$2213,'Kế hoạch chèn link (mới)'!$D$3:$D$2213=$B278),5),"""")"),"")</f>
        <v/>
      </c>
    </row>
    <row r="279">
      <c r="A279" s="6">
        <f t="shared" si="1"/>
        <v>278</v>
      </c>
      <c r="B279" s="8" t="s">
        <v>2906</v>
      </c>
      <c r="C279" s="6">
        <f>COUNTIF('Kế hoạch chèn link (mới)'!$D$3:$D$2213,$B279)</f>
        <v>1</v>
      </c>
      <c r="D279" s="8" t="str">
        <f>IF(COUNTIFS('Kế hoạch chèn link (mới)'!$D$3:$D$2213,$B279,'Kế hoạch chèn link (mới)'!$I$3:$I$2213,"Đã chèn")&gt;=$C279,"Đã hoàn thành",IF(COUNTIFS('Kế hoạch chèn link (mới)'!$D$3:$D$2213,$B279,'Kế hoạch chèn link (mới)'!$I$3:$I$2213,"Đã chèn")&gt;0,"Đang làm","Chưa hoàn thành"))</f>
        <v>Chưa hoàn thành</v>
      </c>
      <c r="E279" s="8" t="b">
        <f t="shared" si="2"/>
        <v>0</v>
      </c>
      <c r="F279" s="25"/>
      <c r="G279" s="25" t="str">
        <f>IFERROR(__xludf.DUMMYFUNCTION("IFERROR(INDEX(FILTER('Kế hoạch chèn link (mới)'!$C$3:$C$2213,'Kế hoạch chèn link (mới)'!$D$3:$D$2213=$B279),1),"""")"),"mô hình kinh doanh là gì")</f>
        <v>mô hình kinh doanh là gì</v>
      </c>
      <c r="H279" s="25" t="str">
        <f>IFERROR(__xludf.DUMMYFUNCTION("IFERROR(INDEX(FILTER('Kế hoạch chèn link (mới)'!$B$3:$B$2213,'Kế hoạch chèn link (mới)'!$D$3:$D$2213=$B279),1),"""")"),"https://techcombank.com/thong-tin/blog/mo-hinh-kinh-doanh-la-gi")</f>
        <v>https://techcombank.com/thong-tin/blog/mo-hinh-kinh-doanh-la-gi</v>
      </c>
      <c r="I279" s="25" t="str">
        <f>IFERROR(__xludf.DUMMYFUNCTION("IFERROR(INDEX(FILTER('Kế hoạch chèn link (mới)'!$C$3:$C$2213,'Kế hoạch chèn link (mới)'!$D$3:$D$2213=$B279),2),"""")"),"")</f>
        <v/>
      </c>
      <c r="J279" s="25" t="str">
        <f>IFERROR(__xludf.DUMMYFUNCTION("IFERROR(INDEX(FILTER('Kế hoạch chèn link (mới)'!$B$3:$B$2213,'Kế hoạch chèn link (mới)'!$D$3:$D$2213=$B279),2),"""")"),"")</f>
        <v/>
      </c>
      <c r="K279" s="25" t="str">
        <f>IFERROR(__xludf.DUMMYFUNCTION("IFERROR(INDEX(FILTER('Kế hoạch chèn link (mới)'!$C$3:$C$2213,'Kế hoạch chèn link (mới)'!$D$3:$D$2213=$B279),3),"""")"),"")</f>
        <v/>
      </c>
      <c r="L279" s="25" t="str">
        <f>IFERROR(__xludf.DUMMYFUNCTION("IFERROR(INDEX(FILTER('Kế hoạch chèn link (mới)'!$B$3:$B$2213,'Kế hoạch chèn link (mới)'!$D$3:$D$2213=$B279),3),"""")"),"")</f>
        <v/>
      </c>
      <c r="M279" s="25" t="str">
        <f>IFERROR(__xludf.DUMMYFUNCTION("IFERROR(INDEX(FILTER('Kế hoạch chèn link (mới)'!$C$3:$C$2213,'Kế hoạch chèn link (mới)'!$D$3:$D$2213=$B279),4),"""")"),"")</f>
        <v/>
      </c>
      <c r="N279" s="25" t="str">
        <f>IFERROR(__xludf.DUMMYFUNCTION("IFERROR(INDEX(FILTER('Kế hoạch chèn link (mới)'!$B$3:$B$2213,'Kế hoạch chèn link (mới)'!$D$3:$D$2213=$B279),4),"""")"),"")</f>
        <v/>
      </c>
      <c r="O279" s="25" t="str">
        <f>IFERROR(__xludf.DUMMYFUNCTION("IFERROR(INDEX(FILTER('Kế hoạch chèn link (mới)'!$C$3:$C$2213,'Kế hoạch chèn link (mới)'!$D$3:$D$2213=$B279),5),"""")"),"")</f>
        <v/>
      </c>
      <c r="P279" s="25" t="str">
        <f>IFERROR(__xludf.DUMMYFUNCTION("IFERROR(INDEX(FILTER('Kế hoạch chèn link (mới)'!$B$3:$B$2213,'Kế hoạch chèn link (mới)'!$D$3:$D$2213=$B279),5),"""")"),"")</f>
        <v/>
      </c>
    </row>
    <row r="280">
      <c r="A280" s="6">
        <f t="shared" si="1"/>
        <v>279</v>
      </c>
      <c r="B280" s="8" t="s">
        <v>2031</v>
      </c>
      <c r="C280" s="6">
        <f>COUNTIF('Kế hoạch chèn link (mới)'!$D$3:$D$2213,$B280)</f>
        <v>2</v>
      </c>
      <c r="D280" s="8" t="str">
        <f>IF(COUNTIFS('Kế hoạch chèn link (mới)'!$D$3:$D$2213,$B280,'Kế hoạch chèn link (mới)'!$I$3:$I$2213,"Đã chèn")&gt;=$C280,"Đã hoàn thành",IF(COUNTIFS('Kế hoạch chèn link (mới)'!$D$3:$D$2213,$B280,'Kế hoạch chèn link (mới)'!$I$3:$I$2213,"Đã chèn")&gt;0,"Đang làm","Chưa hoàn thành"))</f>
        <v>Chưa hoàn thành</v>
      </c>
      <c r="E280" s="8" t="b">
        <f t="shared" si="2"/>
        <v>0</v>
      </c>
      <c r="F280" s="25"/>
      <c r="G280" s="25" t="str">
        <f>IFERROR(__xludf.DUMMYFUNCTION("IFERROR(INDEX(FILTER('Kế hoạch chèn link (mới)'!$C$3:$C$2213,'Kế hoạch chèn link (mới)'!$D$3:$D$2213=$B280),1),"""")"),"tiền chuyển khoản bị treo")</f>
        <v>tiền chuyển khoản bị treo</v>
      </c>
      <c r="H280" s="25" t="str">
        <f>IFERROR(__xludf.DUMMYFUNCTION("IFERROR(INDEX(FILTER('Kế hoạch chèn link (mới)'!$B$3:$B$2213,'Kế hoạch chèn link (mới)'!$D$3:$D$2213=$B280),1),"""")"),"https://techcombank.com/thong-tin/blog/chuyen-khoan-thanh-cong-nhung-khong-nhan-duoc-tien")</f>
        <v>https://techcombank.com/thong-tin/blog/chuyen-khoan-thanh-cong-nhung-khong-nhan-duoc-tien</v>
      </c>
      <c r="I280" s="25" t="str">
        <f>IFERROR(__xludf.DUMMYFUNCTION("IFERROR(INDEX(FILTER('Kế hoạch chèn link (mới)'!$C$3:$C$2213,'Kế hoạch chèn link (mới)'!$D$3:$D$2213=$B280),2),"""")"),"nhận tiền từ nước ngoài")</f>
        <v>nhận tiền từ nước ngoài</v>
      </c>
      <c r="J280" s="25" t="str">
        <f>IFERROR(__xludf.DUMMYFUNCTION("IFERROR(INDEX(FILTER('Kế hoạch chèn link (mới)'!$B$3:$B$2213,'Kế hoạch chèn link (mới)'!$D$3:$D$2213=$B280),2),"""")"),"https://techcombank.com/thong-tin/blog/cach-nhan-tien-tu-nuoc-ngoai-ve-viet-nam")</f>
        <v>https://techcombank.com/thong-tin/blog/cach-nhan-tien-tu-nuoc-ngoai-ve-viet-nam</v>
      </c>
      <c r="K280" s="25" t="str">
        <f>IFERROR(__xludf.DUMMYFUNCTION("IFERROR(INDEX(FILTER('Kế hoạch chèn link (mới)'!$C$3:$C$2213,'Kế hoạch chèn link (mới)'!$D$3:$D$2213=$B280),3),"""")"),"")</f>
        <v/>
      </c>
      <c r="L280" s="25" t="str">
        <f>IFERROR(__xludf.DUMMYFUNCTION("IFERROR(INDEX(FILTER('Kế hoạch chèn link (mới)'!$B$3:$B$2213,'Kế hoạch chèn link (mới)'!$D$3:$D$2213=$B280),3),"""")"),"")</f>
        <v/>
      </c>
      <c r="M280" s="25" t="str">
        <f>IFERROR(__xludf.DUMMYFUNCTION("IFERROR(INDEX(FILTER('Kế hoạch chèn link (mới)'!$C$3:$C$2213,'Kế hoạch chèn link (mới)'!$D$3:$D$2213=$B280),4),"""")"),"")</f>
        <v/>
      </c>
      <c r="N280" s="25" t="str">
        <f>IFERROR(__xludf.DUMMYFUNCTION("IFERROR(INDEX(FILTER('Kế hoạch chèn link (mới)'!$B$3:$B$2213,'Kế hoạch chèn link (mới)'!$D$3:$D$2213=$B280),4),"""")"),"")</f>
        <v/>
      </c>
      <c r="O280" s="25" t="str">
        <f>IFERROR(__xludf.DUMMYFUNCTION("IFERROR(INDEX(FILTER('Kế hoạch chèn link (mới)'!$C$3:$C$2213,'Kế hoạch chèn link (mới)'!$D$3:$D$2213=$B280),5),"""")"),"")</f>
        <v/>
      </c>
      <c r="P280" s="25" t="str">
        <f>IFERROR(__xludf.DUMMYFUNCTION("IFERROR(INDEX(FILTER('Kế hoạch chèn link (mới)'!$B$3:$B$2213,'Kế hoạch chèn link (mới)'!$D$3:$D$2213=$B280),5),"""")"),"")</f>
        <v/>
      </c>
    </row>
    <row r="281">
      <c r="A281" s="6">
        <f t="shared" si="1"/>
        <v>280</v>
      </c>
      <c r="B281" s="8" t="s">
        <v>2911</v>
      </c>
      <c r="C281" s="6">
        <f>COUNTIF('Kế hoạch chèn link (mới)'!$D$3:$D$2213,$B281)</f>
        <v>3</v>
      </c>
      <c r="D281" s="8" t="str">
        <f>IF(COUNTIFS('Kế hoạch chèn link (mới)'!$D$3:$D$2213,$B281,'Kế hoạch chèn link (mới)'!$I$3:$I$2213,"Đã chèn")&gt;=$C281,"Đã hoàn thành",IF(COUNTIFS('Kế hoạch chèn link (mới)'!$D$3:$D$2213,$B281,'Kế hoạch chèn link (mới)'!$I$3:$I$2213,"Đã chèn")&gt;0,"Đang làm","Chưa hoàn thành"))</f>
        <v>Chưa hoàn thành</v>
      </c>
      <c r="E281" s="8" t="b">
        <f t="shared" si="2"/>
        <v>0</v>
      </c>
      <c r="F281" s="25"/>
      <c r="G281" s="25" t="str">
        <f>IFERROR(__xludf.DUMMYFUNCTION("IFERROR(INDEX(FILTER('Kế hoạch chèn link (mới)'!$C$3:$C$2213,'Kế hoạch chèn link (mới)'!$D$3:$D$2213=$B281),1),"""")"),"rút tiền không cần thẻ")</f>
        <v>rút tiền không cần thẻ</v>
      </c>
      <c r="H281" s="25" t="str">
        <f>IFERROR(__xludf.DUMMYFUNCTION("IFERROR(INDEX(FILTER('Kế hoạch chèn link (mới)'!$B$3:$B$2213,'Kế hoạch chèn link (mới)'!$D$3:$D$2213=$B281),1),"""")"),"https://techcombank.com/thong-tin/blog/rut-tien-bang-ma-qr-la-gi-cach-thuc-hien-nhu-the-nao")</f>
        <v>https://techcombank.com/thong-tin/blog/rut-tien-bang-ma-qr-la-gi-cach-thuc-hien-nhu-the-nao</v>
      </c>
      <c r="I281" s="25" t="str">
        <f>IFERROR(__xludf.DUMMYFUNCTION("IFERROR(INDEX(FILTER('Kế hoạch chèn link (mới)'!$C$3:$C$2213,'Kế hoạch chèn link (mới)'!$D$3:$D$2213=$B281),2),"""")"),"rút tiền thẻ tín dụng")</f>
        <v>rút tiền thẻ tín dụng</v>
      </c>
      <c r="J281" s="25" t="str">
        <f>IFERROR(__xludf.DUMMYFUNCTION("IFERROR(INDEX(FILTER('Kế hoạch chèn link (mới)'!$B$3:$B$2213,'Kế hoạch chèn link (mới)'!$D$3:$D$2213=$B281),2),"""")"),"https://techcombank.com/thong-tin/blog/rut-tien-mat-tu-the-tin-dung")</f>
        <v>https://techcombank.com/thong-tin/blog/rut-tien-mat-tu-the-tin-dung</v>
      </c>
      <c r="K281" s="25" t="str">
        <f>IFERROR(__xludf.DUMMYFUNCTION("IFERROR(INDEX(FILTER('Kế hoạch chèn link (mới)'!$C$3:$C$2213,'Kế hoạch chèn link (mới)'!$D$3:$D$2213=$B281),3),"""")"),"cách gửi mã QR ngân hàng")</f>
        <v>cách gửi mã QR ngân hàng</v>
      </c>
      <c r="L281" s="25" t="str">
        <f>IFERROR(__xludf.DUMMYFUNCTION("IFERROR(INDEX(FILTER('Kế hoạch chèn link (mới)'!$B$3:$B$2213,'Kế hoạch chèn link (mới)'!$D$3:$D$2213=$B281),3),"""")"),"https://techcombank.com/thong-tin/blog/gui-ma-qr-ngan-hang")</f>
        <v>https://techcombank.com/thong-tin/blog/gui-ma-qr-ngan-hang</v>
      </c>
      <c r="M281" s="25" t="str">
        <f>IFERROR(__xludf.DUMMYFUNCTION("IFERROR(INDEX(FILTER('Kế hoạch chèn link (mới)'!$C$3:$C$2213,'Kế hoạch chèn link (mới)'!$D$3:$D$2213=$B281),4),"""")"),"")</f>
        <v/>
      </c>
      <c r="N281" s="25" t="str">
        <f>IFERROR(__xludf.DUMMYFUNCTION("IFERROR(INDEX(FILTER('Kế hoạch chèn link (mới)'!$B$3:$B$2213,'Kế hoạch chèn link (mới)'!$D$3:$D$2213=$B281),4),"""")"),"")</f>
        <v/>
      </c>
      <c r="O281" s="25" t="str">
        <f>IFERROR(__xludf.DUMMYFUNCTION("IFERROR(INDEX(FILTER('Kế hoạch chèn link (mới)'!$C$3:$C$2213,'Kế hoạch chèn link (mới)'!$D$3:$D$2213=$B281),5),"""")"),"")</f>
        <v/>
      </c>
      <c r="P281" s="25" t="str">
        <f>IFERROR(__xludf.DUMMYFUNCTION("IFERROR(INDEX(FILTER('Kế hoạch chèn link (mới)'!$B$3:$B$2213,'Kế hoạch chèn link (mới)'!$D$3:$D$2213=$B281),5),"""")"),"")</f>
        <v/>
      </c>
    </row>
    <row r="282">
      <c r="A282" s="6">
        <f t="shared" si="1"/>
        <v>281</v>
      </c>
      <c r="B282" s="8" t="s">
        <v>2913</v>
      </c>
      <c r="C282" s="6">
        <f>COUNTIF('Kế hoạch chèn link (mới)'!$D$3:$D$2213,$B282)</f>
        <v>1</v>
      </c>
      <c r="D282" s="8" t="str">
        <f>IF(COUNTIFS('Kế hoạch chèn link (mới)'!$D$3:$D$2213,$B282,'Kế hoạch chèn link (mới)'!$I$3:$I$2213,"Đã chèn")&gt;=$C282,"Đã hoàn thành",IF(COUNTIFS('Kế hoạch chèn link (mới)'!$D$3:$D$2213,$B282,'Kế hoạch chèn link (mới)'!$I$3:$I$2213,"Đã chèn")&gt;0,"Đang làm","Chưa hoàn thành"))</f>
        <v>Chưa hoàn thành</v>
      </c>
      <c r="E282" s="8" t="b">
        <f t="shared" si="2"/>
        <v>0</v>
      </c>
      <c r="F282" s="25"/>
      <c r="G282" s="25" t="str">
        <f>IFERROR(__xludf.DUMMYFUNCTION("IFERROR(INDEX(FILTER('Kế hoạch chèn link (mới)'!$C$3:$C$2213,'Kế hoạch chèn link (mới)'!$D$3:$D$2213=$B282),1),"""")"),"rủi ro khi gửi tiết kiệm online")</f>
        <v>rủi ro khi gửi tiết kiệm online</v>
      </c>
      <c r="H282" s="25" t="str">
        <f>IFERROR(__xludf.DUMMYFUNCTION("IFERROR(INDEX(FILTER('Kế hoạch chèn link (mới)'!$B$3:$B$2213,'Kế hoạch chèn link (mới)'!$D$3:$D$2213=$B282),1),"""")"),"https://techcombank.com/thong-tin/blog/rui-ro-khi-gui-tiet-kiem-online")</f>
        <v>https://techcombank.com/thong-tin/blog/rui-ro-khi-gui-tiet-kiem-online</v>
      </c>
      <c r="I282" s="25" t="str">
        <f>IFERROR(__xludf.DUMMYFUNCTION("IFERROR(INDEX(FILTER('Kế hoạch chèn link (mới)'!$C$3:$C$2213,'Kế hoạch chèn link (mới)'!$D$3:$D$2213=$B282),2),"""")"),"")</f>
        <v/>
      </c>
      <c r="J282" s="25" t="str">
        <f>IFERROR(__xludf.DUMMYFUNCTION("IFERROR(INDEX(FILTER('Kế hoạch chèn link (mới)'!$B$3:$B$2213,'Kế hoạch chèn link (mới)'!$D$3:$D$2213=$B282),2),"""")"),"")</f>
        <v/>
      </c>
      <c r="K282" s="25" t="str">
        <f>IFERROR(__xludf.DUMMYFUNCTION("IFERROR(INDEX(FILTER('Kế hoạch chèn link (mới)'!$C$3:$C$2213,'Kế hoạch chèn link (mới)'!$D$3:$D$2213=$B282),3),"""")"),"")</f>
        <v/>
      </c>
      <c r="L282" s="25" t="str">
        <f>IFERROR(__xludf.DUMMYFUNCTION("IFERROR(INDEX(FILTER('Kế hoạch chèn link (mới)'!$B$3:$B$2213,'Kế hoạch chèn link (mới)'!$D$3:$D$2213=$B282),3),"""")"),"")</f>
        <v/>
      </c>
      <c r="M282" s="25" t="str">
        <f>IFERROR(__xludf.DUMMYFUNCTION("IFERROR(INDEX(FILTER('Kế hoạch chèn link (mới)'!$C$3:$C$2213,'Kế hoạch chèn link (mới)'!$D$3:$D$2213=$B282),4),"""")"),"")</f>
        <v/>
      </c>
      <c r="N282" s="25" t="str">
        <f>IFERROR(__xludf.DUMMYFUNCTION("IFERROR(INDEX(FILTER('Kế hoạch chèn link (mới)'!$B$3:$B$2213,'Kế hoạch chèn link (mới)'!$D$3:$D$2213=$B282),4),"""")"),"")</f>
        <v/>
      </c>
      <c r="O282" s="25" t="str">
        <f>IFERROR(__xludf.DUMMYFUNCTION("IFERROR(INDEX(FILTER('Kế hoạch chèn link (mới)'!$C$3:$C$2213,'Kế hoạch chèn link (mới)'!$D$3:$D$2213=$B282),5),"""")"),"")</f>
        <v/>
      </c>
      <c r="P282" s="25" t="str">
        <f>IFERROR(__xludf.DUMMYFUNCTION("IFERROR(INDEX(FILTER('Kế hoạch chèn link (mới)'!$B$3:$B$2213,'Kế hoạch chèn link (mới)'!$D$3:$D$2213=$B282),5),"""")"),"")</f>
        <v/>
      </c>
    </row>
    <row r="283">
      <c r="A283" s="6">
        <f t="shared" si="1"/>
        <v>282</v>
      </c>
      <c r="B283" s="8" t="s">
        <v>2914</v>
      </c>
      <c r="C283" s="6">
        <f>COUNTIF('Kế hoạch chèn link (mới)'!$D$3:$D$2213,$B283)</f>
        <v>2</v>
      </c>
      <c r="D283" s="8" t="str">
        <f>IF(COUNTIFS('Kế hoạch chèn link (mới)'!$D$3:$D$2213,$B283,'Kế hoạch chèn link (mới)'!$I$3:$I$2213,"Đã chèn")&gt;=$C283,"Đã hoàn thành",IF(COUNTIFS('Kế hoạch chèn link (mới)'!$D$3:$D$2213,$B283,'Kế hoạch chèn link (mới)'!$I$3:$I$2213,"Đã chèn")&gt;0,"Đang làm","Chưa hoàn thành"))</f>
        <v>Chưa hoàn thành</v>
      </c>
      <c r="E283" s="8" t="b">
        <f t="shared" si="2"/>
        <v>0</v>
      </c>
      <c r="F283" s="25"/>
      <c r="G283" s="25" t="str">
        <f>IFERROR(__xludf.DUMMYFUNCTION("IFERROR(INDEX(FILTER('Kế hoạch chèn link (mới)'!$C$3:$C$2213,'Kế hoạch chèn link (mới)'!$D$3:$D$2213=$B283),1),"""")"),"tính lãi suất tiết kiệm")</f>
        <v>tính lãi suất tiết kiệm</v>
      </c>
      <c r="H283" s="25" t="str">
        <f>IFERROR(__xludf.DUMMYFUNCTION("IFERROR(INDEX(FILTER('Kế hoạch chèn link (mới)'!$B$3:$B$2213,'Kế hoạch chèn link (mới)'!$D$3:$D$2213=$B283),1),"""")"),"https://techcombank.com/thong-tin/blog/cach-tinh-lai-suat-tien-gui-tiet-kiem")</f>
        <v>https://techcombank.com/thong-tin/blog/cach-tinh-lai-suat-tien-gui-tiet-kiem</v>
      </c>
      <c r="I283" s="25" t="str">
        <f>IFERROR(__xludf.DUMMYFUNCTION("IFERROR(INDEX(FILTER('Kế hoạch chèn link (mới)'!$C$3:$C$2213,'Kế hoạch chèn link (mới)'!$D$3:$D$2213=$B283),2),"""")"),"cách tiết kiệm tiền")</f>
        <v>cách tiết kiệm tiền</v>
      </c>
      <c r="J283" s="25" t="str">
        <f>IFERROR(__xludf.DUMMYFUNCTION("IFERROR(INDEX(FILTER('Kế hoạch chèn link (mới)'!$B$3:$B$2213,'Kế hoạch chèn link (mới)'!$D$3:$D$2213=$B283),2),"""")"),"https://techcombank.com/thong-tin/blog/cach-tiet-kiem-tien")</f>
        <v>https://techcombank.com/thong-tin/blog/cach-tiet-kiem-tien</v>
      </c>
      <c r="K283" s="25" t="str">
        <f>IFERROR(__xludf.DUMMYFUNCTION("IFERROR(INDEX(FILTER('Kế hoạch chèn link (mới)'!$C$3:$C$2213,'Kế hoạch chèn link (mới)'!$D$3:$D$2213=$B283),3),"""")"),"")</f>
        <v/>
      </c>
      <c r="L283" s="25" t="str">
        <f>IFERROR(__xludf.DUMMYFUNCTION("IFERROR(INDEX(FILTER('Kế hoạch chèn link (mới)'!$B$3:$B$2213,'Kế hoạch chèn link (mới)'!$D$3:$D$2213=$B283),3),"""")"),"")</f>
        <v/>
      </c>
      <c r="M283" s="25" t="str">
        <f>IFERROR(__xludf.DUMMYFUNCTION("IFERROR(INDEX(FILTER('Kế hoạch chèn link (mới)'!$C$3:$C$2213,'Kế hoạch chèn link (mới)'!$D$3:$D$2213=$B283),4),"""")"),"")</f>
        <v/>
      </c>
      <c r="N283" s="25" t="str">
        <f>IFERROR(__xludf.DUMMYFUNCTION("IFERROR(INDEX(FILTER('Kế hoạch chèn link (mới)'!$B$3:$B$2213,'Kế hoạch chèn link (mới)'!$D$3:$D$2213=$B283),4),"""")"),"")</f>
        <v/>
      </c>
      <c r="O283" s="25" t="str">
        <f>IFERROR(__xludf.DUMMYFUNCTION("IFERROR(INDEX(FILTER('Kế hoạch chèn link (mới)'!$C$3:$C$2213,'Kế hoạch chèn link (mới)'!$D$3:$D$2213=$B283),5),"""")"),"")</f>
        <v/>
      </c>
      <c r="P283" s="25" t="str">
        <f>IFERROR(__xludf.DUMMYFUNCTION("IFERROR(INDEX(FILTER('Kế hoạch chèn link (mới)'!$B$3:$B$2213,'Kế hoạch chèn link (mới)'!$D$3:$D$2213=$B283),5),"""")"),"")</f>
        <v/>
      </c>
    </row>
    <row r="284">
      <c r="A284" s="6">
        <f t="shared" si="1"/>
        <v>283</v>
      </c>
      <c r="B284" s="8" t="s">
        <v>776</v>
      </c>
      <c r="C284" s="6">
        <f>COUNTIF('Kế hoạch chèn link (mới)'!$D$3:$D$2213,$B284)</f>
        <v>5</v>
      </c>
      <c r="D284" s="8" t="str">
        <f>IF(COUNTIFS('Kế hoạch chèn link (mới)'!$D$3:$D$2213,$B284,'Kế hoạch chèn link (mới)'!$I$3:$I$2213,"Đã chèn")&gt;=$C284,"Đã hoàn thành",IF(COUNTIFS('Kế hoạch chèn link (mới)'!$D$3:$D$2213,$B284,'Kế hoạch chèn link (mới)'!$I$3:$I$2213,"Đã chèn")&gt;0,"Đang làm","Chưa hoàn thành"))</f>
        <v>Chưa hoàn thành</v>
      </c>
      <c r="E284" s="8" t="b">
        <f t="shared" si="2"/>
        <v>0</v>
      </c>
      <c r="F284" s="25"/>
      <c r="G284" s="25" t="str">
        <f>IFERROR(__xludf.DUMMYFUNCTION("IFERROR(INDEX(FILTER('Kế hoạch chèn link (mới)'!$C$3:$C$2213,'Kế hoạch chèn link (mới)'!$D$3:$D$2213=$B284),1),"""")"),"thuế thu nhập doanh nghiệp")</f>
        <v>thuế thu nhập doanh nghiệp</v>
      </c>
      <c r="H284" s="25" t="str">
        <f>IFERROR(__xludf.DUMMYFUNCTION("IFERROR(INDEX(FILTER('Kế hoạch chèn link (mới)'!$B$3:$B$2213,'Kế hoạch chèn link (mới)'!$D$3:$D$2213=$B284),1),"""")"),"https://techcombank.com/thong-tin/blog/thue-thu-nhap-doanh-nghiep")</f>
        <v>https://techcombank.com/thong-tin/blog/thue-thu-nhap-doanh-nghiep</v>
      </c>
      <c r="I284" s="25" t="str">
        <f>IFERROR(__xludf.DUMMYFUNCTION("IFERROR(INDEX(FILTER('Kế hoạch chèn link (mới)'!$C$3:$C$2213,'Kế hoạch chèn link (mới)'!$D$3:$D$2213=$B284),2),"""")"),"thuế giá trị gia tăng")</f>
        <v>thuế giá trị gia tăng</v>
      </c>
      <c r="J284" s="25" t="str">
        <f>IFERROR(__xludf.DUMMYFUNCTION("IFERROR(INDEX(FILTER('Kế hoạch chèn link (mới)'!$B$3:$B$2213,'Kế hoạch chèn link (mới)'!$D$3:$D$2213=$B284),2),"""")"),"https://techcombank.com/thong-tin/blog/thue-vat-la-gi")</f>
        <v>https://techcombank.com/thong-tin/blog/thue-vat-la-gi</v>
      </c>
      <c r="K284" s="25" t="str">
        <f>IFERROR(__xludf.DUMMYFUNCTION("IFERROR(INDEX(FILTER('Kế hoạch chèn link (mới)'!$C$3:$C$2213,'Kế hoạch chèn link (mới)'!$D$3:$D$2213=$B284),3),"""")"),"thuế doanh nghiệp")</f>
        <v>thuế doanh nghiệp</v>
      </c>
      <c r="L284" s="25" t="str">
        <f>IFERROR(__xludf.DUMMYFUNCTION("IFERROR(INDEX(FILTER('Kế hoạch chèn link (mới)'!$B$3:$B$2213,'Kế hoạch chèn link (mới)'!$D$3:$D$2213=$B284),3),"""")"),"https://techcombank.com/thong-tin/blog/thue-doanh-nghiep")</f>
        <v>https://techcombank.com/thong-tin/blog/thue-doanh-nghiep</v>
      </c>
      <c r="M284" s="25" t="str">
        <f>IFERROR(__xludf.DUMMYFUNCTION("IFERROR(INDEX(FILTER('Kế hoạch chèn link (mới)'!$C$3:$C$2213,'Kế hoạch chèn link (mới)'!$D$3:$D$2213=$B284),4),"""")"),"thuế thu nhập cá nhân")</f>
        <v>thuế thu nhập cá nhân</v>
      </c>
      <c r="N284" s="25" t="str">
        <f>IFERROR(__xludf.DUMMYFUNCTION("IFERROR(INDEX(FILTER('Kế hoạch chèn link (mới)'!$B$3:$B$2213,'Kế hoạch chèn link (mới)'!$D$3:$D$2213=$B284),4),"""")"),"https://techcombank.com/thong-tin/blog/cach-tinh-thue-thu-nhap-ca-nhan-2025")</f>
        <v>https://techcombank.com/thong-tin/blog/cach-tinh-thue-thu-nhap-ca-nhan-2025</v>
      </c>
      <c r="O284" s="25" t="str">
        <f>IFERROR(__xludf.DUMMYFUNCTION("IFERROR(INDEX(FILTER('Kế hoạch chèn link (mới)'!$C$3:$C$2213,'Kế hoạch chèn link (mới)'!$D$3:$D$2213=$B284),5),"""")"),"thuế TNCN")</f>
        <v>thuế TNCN</v>
      </c>
      <c r="P284" s="25" t="str">
        <f>IFERROR(__xludf.DUMMYFUNCTION("IFERROR(INDEX(FILTER('Kế hoạch chèn link (mới)'!$B$3:$B$2213,'Kế hoạch chèn link (mới)'!$D$3:$D$2213=$B284),5),"""")"),"https://techcombank.com/thong-tin/blog/thue-thu-nhap-ca-nhan")</f>
        <v>https://techcombank.com/thong-tin/blog/thue-thu-nhap-ca-nhan</v>
      </c>
    </row>
    <row r="285">
      <c r="A285" s="6">
        <f t="shared" si="1"/>
        <v>284</v>
      </c>
      <c r="B285" s="8" t="s">
        <v>631</v>
      </c>
      <c r="C285" s="6">
        <f>COUNTIF('Kế hoạch chèn link (mới)'!$D$3:$D$2213,$B285)</f>
        <v>5</v>
      </c>
      <c r="D285" s="8" t="str">
        <f>IF(COUNTIFS('Kế hoạch chèn link (mới)'!$D$3:$D$2213,$B285,'Kế hoạch chèn link (mới)'!$I$3:$I$2213,"Đã chèn")&gt;=$C285,"Đã hoàn thành",IF(COUNTIFS('Kế hoạch chèn link (mới)'!$D$3:$D$2213,$B285,'Kế hoạch chèn link (mới)'!$I$3:$I$2213,"Đã chèn")&gt;0,"Đang làm","Chưa hoàn thành"))</f>
        <v>Chưa hoàn thành</v>
      </c>
      <c r="E285" s="8" t="b">
        <f t="shared" si="2"/>
        <v>0</v>
      </c>
      <c r="F285" s="25"/>
      <c r="G285" s="25" t="str">
        <f>IFERROR(__xludf.DUMMYFUNCTION("IFERROR(INDEX(FILTER('Kế hoạch chèn link (mới)'!$C$3:$C$2213,'Kế hoạch chèn link (mới)'!$D$3:$D$2213=$B285),1),"""")"),"nộp thuế online")</f>
        <v>nộp thuế online</v>
      </c>
      <c r="H285" s="25" t="str">
        <f>IFERROR(__xludf.DUMMYFUNCTION("IFERROR(INDEX(FILTER('Kế hoạch chèn link (mới)'!$B$3:$B$2213,'Kế hoạch chèn link (mới)'!$D$3:$D$2213=$B285),1),"""")"),"https://techcombank.com/thong-tin/blog/cach-nop-thue-dien-tu")</f>
        <v>https://techcombank.com/thong-tin/blog/cach-nop-thue-dien-tu</v>
      </c>
      <c r="I285" s="25" t="str">
        <f>IFERROR(__xludf.DUMMYFUNCTION("IFERROR(INDEX(FILTER('Kế hoạch chèn link (mới)'!$C$3:$C$2213,'Kế hoạch chèn link (mới)'!$D$3:$D$2213=$B285),2),"""")"),"thuế GTGT là gì")</f>
        <v>thuế GTGT là gì</v>
      </c>
      <c r="J285" s="25" t="str">
        <f>IFERROR(__xludf.DUMMYFUNCTION("IFERROR(INDEX(FILTER('Kế hoạch chèn link (mới)'!$B$3:$B$2213,'Kế hoạch chèn link (mới)'!$D$3:$D$2213=$B285),2),"""")"),"https://techcombank.com/thong-tin/blog/thue-vat-la-gi")</f>
        <v>https://techcombank.com/thong-tin/blog/thue-vat-la-gi</v>
      </c>
      <c r="K285" s="25" t="str">
        <f>IFERROR(__xludf.DUMMYFUNCTION("IFERROR(INDEX(FILTER('Kế hoạch chèn link (mới)'!$C$3:$C$2213,'Kế hoạch chèn link (mới)'!$D$3:$D$2213=$B285),3),"""")"),"thuế TNCN")</f>
        <v>thuế TNCN</v>
      </c>
      <c r="L285" s="25" t="str">
        <f>IFERROR(__xludf.DUMMYFUNCTION("IFERROR(INDEX(FILTER('Kế hoạch chèn link (mới)'!$B$3:$B$2213,'Kế hoạch chèn link (mới)'!$D$3:$D$2213=$B285),3),"""")"),"https://techcombank.com/thong-tin/blog/thue-thu-nhap-ca-nhan")</f>
        <v>https://techcombank.com/thong-tin/blog/thue-thu-nhap-ca-nhan</v>
      </c>
      <c r="M285" s="25" t="str">
        <f>IFERROR(__xludf.DUMMYFUNCTION("IFERROR(INDEX(FILTER('Kế hoạch chèn link (mới)'!$C$3:$C$2213,'Kế hoạch chèn link (mới)'!$D$3:$D$2213=$B285),4),"""")"),"thuế hộ kinh doanh")</f>
        <v>thuế hộ kinh doanh</v>
      </c>
      <c r="N285" s="25" t="str">
        <f>IFERROR(__xludf.DUMMYFUNCTION("IFERROR(INDEX(FILTER('Kế hoạch chèn link (mới)'!$B$3:$B$2213,'Kế hoạch chèn link (mới)'!$D$3:$D$2213=$B285),4),"""")"),"https://techcombank.com/thong-tin/blog/ho-kinh-doanh-dong-thue-nhu-nao")</f>
        <v>https://techcombank.com/thong-tin/blog/ho-kinh-doanh-dong-thue-nhu-nao</v>
      </c>
      <c r="O285" s="25" t="str">
        <f>IFERROR(__xludf.DUMMYFUNCTION("IFERROR(INDEX(FILTER('Kế hoạch chèn link (mới)'!$C$3:$C$2213,'Kế hoạch chèn link (mới)'!$D$3:$D$2213=$B285),5),"""")"),"cách tính thuế hộ kinh doanh")</f>
        <v>cách tính thuế hộ kinh doanh</v>
      </c>
      <c r="P285" s="25" t="str">
        <f>IFERROR(__xludf.DUMMYFUNCTION("IFERROR(INDEX(FILTER('Kế hoạch chèn link (mới)'!$B$3:$B$2213,'Kế hoạch chèn link (mới)'!$D$3:$D$2213=$B285),5),"""")"),"https://techcombank.com/thong-tin/blog/cach-tinh-thue-ho-kinh-doanh-nho-le")</f>
        <v>https://techcombank.com/thong-tin/blog/cach-tinh-thue-ho-kinh-doanh-nho-le</v>
      </c>
    </row>
    <row r="286">
      <c r="A286" s="6">
        <f t="shared" si="1"/>
        <v>285</v>
      </c>
      <c r="B286" s="8" t="s">
        <v>452</v>
      </c>
      <c r="C286" s="6">
        <f>COUNTIF('Kế hoạch chèn link (mới)'!$D$3:$D$2213,$B286)</f>
        <v>4</v>
      </c>
      <c r="D286" s="8" t="str">
        <f>IF(COUNTIFS('Kế hoạch chèn link (mới)'!$D$3:$D$2213,$B286,'Kế hoạch chèn link (mới)'!$I$3:$I$2213,"Đã chèn")&gt;=$C286,"Đã hoàn thành",IF(COUNTIFS('Kế hoạch chèn link (mới)'!$D$3:$D$2213,$B286,'Kế hoạch chèn link (mới)'!$I$3:$I$2213,"Đã chèn")&gt;0,"Đang làm","Chưa hoàn thành"))</f>
        <v>Chưa hoàn thành</v>
      </c>
      <c r="E286" s="8" t="b">
        <f t="shared" si="2"/>
        <v>0</v>
      </c>
      <c r="F286" s="25"/>
      <c r="G286" s="25" t="str">
        <f>IFERROR(__xludf.DUMMYFUNCTION("IFERROR(INDEX(FILTER('Kế hoạch chèn link (mới)'!$C$3:$C$2213,'Kế hoạch chèn link (mới)'!$D$3:$D$2213=$B286),1),"""")"),"nộp thuế đất online")</f>
        <v>nộp thuế đất online</v>
      </c>
      <c r="H286" s="25" t="str">
        <f>IFERROR(__xludf.DUMMYFUNCTION("IFERROR(INDEX(FILTER('Kế hoạch chèn link (mới)'!$B$3:$B$2213,'Kế hoạch chèn link (mới)'!$D$3:$D$2213=$B286),1),"""")"),"https://techcombank.com/thong-tin/blog/nop-thue-dat-qua-ngan-hang")</f>
        <v>https://techcombank.com/thong-tin/blog/nop-thue-dat-qua-ngan-hang</v>
      </c>
      <c r="I286" s="25" t="str">
        <f>IFERROR(__xludf.DUMMYFUNCTION("IFERROR(INDEX(FILTER('Kế hoạch chèn link (mới)'!$C$3:$C$2213,'Kế hoạch chèn link (mới)'!$D$3:$D$2213=$B286),2),"""")"),"lãi suất ngân hàng")</f>
        <v>lãi suất ngân hàng</v>
      </c>
      <c r="J286" s="25" t="str">
        <f>IFERROR(__xludf.DUMMYFUNCTION("IFERROR(INDEX(FILTER('Kế hoạch chèn link (mới)'!$B$3:$B$2213,'Kế hoạch chèn link (mới)'!$D$3:$D$2213=$B286),2),"""")"),"https://techcombank.com/thong-tin/blog/lai-suat-tiet-kiem")</f>
        <v>https://techcombank.com/thong-tin/blog/lai-suat-tiet-kiem</v>
      </c>
      <c r="K286" s="25" t="str">
        <f>IFERROR(__xludf.DUMMYFUNCTION("IFERROR(INDEX(FILTER('Kế hoạch chèn link (mới)'!$C$3:$C$2213,'Kế hoạch chèn link (mới)'!$D$3:$D$2213=$B286),3),"""")"),"tính lãi suất vay ngân hàng")</f>
        <v>tính lãi suất vay ngân hàng</v>
      </c>
      <c r="L286" s="25" t="str">
        <f>IFERROR(__xludf.DUMMYFUNCTION("IFERROR(INDEX(FILTER('Kế hoạch chèn link (mới)'!$B$3:$B$2213,'Kế hoạch chèn link (mới)'!$D$3:$D$2213=$B286),3),"""")"),"https://techcombank.com/cong-cu-tien-ich/cong-cu-tinh-toan/bang-tinh-lai-suat-vay")</f>
        <v>https://techcombank.com/cong-cu-tien-ich/cong-cu-tinh-toan/bang-tinh-lai-suat-vay</v>
      </c>
      <c r="M286" s="25" t="str">
        <f>IFERROR(__xludf.DUMMYFUNCTION("IFERROR(INDEX(FILTER('Kế hoạch chèn link (mới)'!$C$3:$C$2213,'Kế hoạch chèn link (mới)'!$D$3:$D$2213=$B286),4),"""")"),"lãi suất vay ngân hàng")</f>
        <v>lãi suất vay ngân hàng</v>
      </c>
      <c r="N286" s="25" t="str">
        <f>IFERROR(__xludf.DUMMYFUNCTION("IFERROR(INDEX(FILTER('Kế hoạch chèn link (mới)'!$B$3:$B$2213,'Kế hoạch chèn link (mới)'!$D$3:$D$2213=$B286),4),"""")"),"https://techcombank.com/thong-tin/blog/lai-suat-vay-ngan-hang")</f>
        <v>https://techcombank.com/thong-tin/blog/lai-suat-vay-ngan-hang</v>
      </c>
      <c r="O286" s="25" t="str">
        <f>IFERROR(__xludf.DUMMYFUNCTION("IFERROR(INDEX(FILTER('Kế hoạch chèn link (mới)'!$C$3:$C$2213,'Kế hoạch chèn link (mới)'!$D$3:$D$2213=$B286),5),"""")"),"")</f>
        <v/>
      </c>
      <c r="P286" s="25" t="str">
        <f>IFERROR(__xludf.DUMMYFUNCTION("IFERROR(INDEX(FILTER('Kế hoạch chèn link (mới)'!$B$3:$B$2213,'Kế hoạch chèn link (mới)'!$D$3:$D$2213=$B286),5),"""")"),"")</f>
        <v/>
      </c>
    </row>
    <row r="287">
      <c r="A287" s="6">
        <f t="shared" si="1"/>
        <v>286</v>
      </c>
      <c r="B287" s="8" t="s">
        <v>610</v>
      </c>
      <c r="C287" s="6">
        <f>COUNTIF('Kế hoạch chèn link (mới)'!$D$3:$D$2213,$B287)</f>
        <v>5</v>
      </c>
      <c r="D287" s="8" t="str">
        <f>IF(COUNTIFS('Kế hoạch chèn link (mới)'!$D$3:$D$2213,$B287,'Kế hoạch chèn link (mới)'!$I$3:$I$2213,"Đã chèn")&gt;=$C287,"Đã hoàn thành",IF(COUNTIFS('Kế hoạch chèn link (mới)'!$D$3:$D$2213,$B287,'Kế hoạch chèn link (mới)'!$I$3:$I$2213,"Đã chèn")&gt;0,"Đang làm","Chưa hoàn thành"))</f>
        <v>Chưa hoàn thành</v>
      </c>
      <c r="E287" s="8" t="b">
        <f t="shared" si="2"/>
        <v>0</v>
      </c>
      <c r="F287" s="25"/>
      <c r="G287" s="25" t="str">
        <f>IFERROR(__xludf.DUMMYFUNCTION("IFERROR(INDEX(FILTER('Kế hoạch chèn link (mới)'!$C$3:$C$2213,'Kế hoạch chèn link (mới)'!$D$3:$D$2213=$B287),1),"""")"),"nộp thuế hộ trên etax")</f>
        <v>nộp thuế hộ trên etax</v>
      </c>
      <c r="H287" s="25" t="str">
        <f>IFERROR(__xludf.DUMMYFUNCTION("IFERROR(INDEX(FILTER('Kế hoạch chèn link (mới)'!$B$3:$B$2213,'Kế hoạch chèn link (mới)'!$D$3:$D$2213=$B287),1),"""")"),"https://techcombank.com/thong-tin/blog/cach-nop-thue-dien-tu")</f>
        <v>https://techcombank.com/thong-tin/blog/cach-nop-thue-dien-tu</v>
      </c>
      <c r="I287" s="25" t="str">
        <f>IFERROR(__xludf.DUMMYFUNCTION("IFERROR(INDEX(FILTER('Kế hoạch chèn link (mới)'!$C$3:$C$2213,'Kế hoạch chèn link (mới)'!$D$3:$D$2213=$B287),2),"""")"),"cách tạo tài khoản ngân hàng")</f>
        <v>cách tạo tài khoản ngân hàng</v>
      </c>
      <c r="J287" s="25" t="str">
        <f>IFERROR(__xludf.DUMMYFUNCTION("IFERROR(INDEX(FILTER('Kế hoạch chèn link (mới)'!$B$3:$B$2213,'Kế hoạch chèn link (mới)'!$D$3:$D$2213=$B287),2),"""")"),"https://techcombank.com/thong-tin/blog/cach-mo-tai-khoan")</f>
        <v>https://techcombank.com/thong-tin/blog/cach-mo-tai-khoan</v>
      </c>
      <c r="K287" s="25" t="str">
        <f>IFERROR(__xludf.DUMMYFUNCTION("IFERROR(INDEX(FILTER('Kế hoạch chèn link (mới)'!$C$3:$C$2213,'Kế hoạch chèn link (mới)'!$D$3:$D$2213=$B287),3),"""")"),"thuế hộ kinh doanh")</f>
        <v>thuế hộ kinh doanh</v>
      </c>
      <c r="L287" s="25" t="str">
        <f>IFERROR(__xludf.DUMMYFUNCTION("IFERROR(INDEX(FILTER('Kế hoạch chèn link (mới)'!$B$3:$B$2213,'Kế hoạch chèn link (mới)'!$D$3:$D$2213=$B287),3),"""")"),"https://techcombank.com/thong-tin/blog/ho-kinh-doanh-dong-thue-nhu-nao")</f>
        <v>https://techcombank.com/thong-tin/blog/ho-kinh-doanh-dong-thue-nhu-nao</v>
      </c>
      <c r="M287" s="25" t="str">
        <f>IFERROR(__xludf.DUMMYFUNCTION("IFERROR(INDEX(FILTER('Kế hoạch chèn link (mới)'!$C$3:$C$2213,'Kế hoạch chèn link (mới)'!$D$3:$D$2213=$B287),4),"""")"),"tài khoản hộ kinh doanh")</f>
        <v>tài khoản hộ kinh doanh</v>
      </c>
      <c r="N287" s="25" t="str">
        <f>IFERROR(__xludf.DUMMYFUNCTION("IFERROR(INDEX(FILTER('Kế hoạch chèn link (mới)'!$B$3:$B$2213,'Kế hoạch chèn link (mới)'!$D$3:$D$2213=$B287),4),"""")"),"https://techcombank.com/thong-tin/blog/mo-tai-khoan-ho-kinh-doanh")</f>
        <v>https://techcombank.com/thong-tin/blog/mo-tai-khoan-ho-kinh-doanh</v>
      </c>
      <c r="O287" s="25" t="str">
        <f>IFERROR(__xludf.DUMMYFUNCTION("IFERROR(INDEX(FILTER('Kế hoạch chèn link (mới)'!$C$3:$C$2213,'Kế hoạch chèn link (mới)'!$D$3:$D$2213=$B287),5),"""")"),"vay")</f>
        <v>vay</v>
      </c>
      <c r="P287" s="25" t="str">
        <f>IFERROR(__xludf.DUMMYFUNCTION("IFERROR(INDEX(FILTER('Kế hoạch chèn link (mới)'!$B$3:$B$2213,'Kế hoạch chèn link (mới)'!$D$3:$D$2213=$B287),5),"""")"),"https://techcombank.com/thong-tin/blog/app-vay-tien-nhanh")</f>
        <v>https://techcombank.com/thong-tin/blog/app-vay-tien-nhanh</v>
      </c>
    </row>
    <row r="288">
      <c r="A288" s="6">
        <f t="shared" si="1"/>
        <v>287</v>
      </c>
      <c r="B288" s="8" t="s">
        <v>754</v>
      </c>
      <c r="C288" s="6">
        <f>COUNTIF('Kế hoạch chèn link (mới)'!$D$3:$D$2213,$B288)</f>
        <v>2</v>
      </c>
      <c r="D288" s="8" t="str">
        <f>IF(COUNTIFS('Kế hoạch chèn link (mới)'!$D$3:$D$2213,$B288,'Kế hoạch chèn link (mới)'!$I$3:$I$2213,"Đã chèn")&gt;=$C288,"Đã hoàn thành",IF(COUNTIFS('Kế hoạch chèn link (mới)'!$D$3:$D$2213,$B288,'Kế hoạch chèn link (mới)'!$I$3:$I$2213,"Đã chèn")&gt;0,"Đang làm","Chưa hoàn thành"))</f>
        <v>Chưa hoàn thành</v>
      </c>
      <c r="E288" s="8" t="b">
        <f t="shared" si="2"/>
        <v>0</v>
      </c>
      <c r="F288" s="25"/>
      <c r="G288" s="25" t="str">
        <f>IFERROR(__xludf.DUMMYFUNCTION("IFERROR(INDEX(FILTER('Kế hoạch chèn link (mới)'!$C$3:$C$2213,'Kế hoạch chèn link (mới)'!$D$3:$D$2213=$B288),1),"""")"),"thuế thu nhập doanh nghiệp")</f>
        <v>thuế thu nhập doanh nghiệp</v>
      </c>
      <c r="H288" s="25" t="str">
        <f>IFERROR(__xludf.DUMMYFUNCTION("IFERROR(INDEX(FILTER('Kế hoạch chèn link (mới)'!$B$3:$B$2213,'Kế hoạch chèn link (mới)'!$D$3:$D$2213=$B288),1),"""")"),"https://techcombank.com/thong-tin/blog/thue-thu-nhap-doanh-nghiep")</f>
        <v>https://techcombank.com/thong-tin/blog/thue-thu-nhap-doanh-nghiep</v>
      </c>
      <c r="I288" s="25" t="str">
        <f>IFERROR(__xludf.DUMMYFUNCTION("IFERROR(INDEX(FILTER('Kế hoạch chèn link (mới)'!$C$3:$C$2213,'Kế hoạch chèn link (mới)'!$D$3:$D$2213=$B288),2),"""")"),"cách tính thuế thu nhập doanh nghiệp")</f>
        <v>cách tính thuế thu nhập doanh nghiệp</v>
      </c>
      <c r="J288" s="25" t="str">
        <f>IFERROR(__xludf.DUMMYFUNCTION("IFERROR(INDEX(FILTER('Kế hoạch chèn link (mới)'!$B$3:$B$2213,'Kế hoạch chèn link (mới)'!$D$3:$D$2213=$B288),2),"""")"),"https://techcombank.com/thong-tin/blog/cach-tinh-thue-thu-nhap-doanh-nghiep")</f>
        <v>https://techcombank.com/thong-tin/blog/cach-tinh-thue-thu-nhap-doanh-nghiep</v>
      </c>
      <c r="K288" s="25" t="str">
        <f>IFERROR(__xludf.DUMMYFUNCTION("IFERROR(INDEX(FILTER('Kế hoạch chèn link (mới)'!$C$3:$C$2213,'Kế hoạch chèn link (mới)'!$D$3:$D$2213=$B288),3),"""")"),"")</f>
        <v/>
      </c>
      <c r="L288" s="25" t="str">
        <f>IFERROR(__xludf.DUMMYFUNCTION("IFERROR(INDEX(FILTER('Kế hoạch chèn link (mới)'!$B$3:$B$2213,'Kế hoạch chèn link (mới)'!$D$3:$D$2213=$B288),3),"""")"),"")</f>
        <v/>
      </c>
      <c r="M288" s="25" t="str">
        <f>IFERROR(__xludf.DUMMYFUNCTION("IFERROR(INDEX(FILTER('Kế hoạch chèn link (mới)'!$C$3:$C$2213,'Kế hoạch chèn link (mới)'!$D$3:$D$2213=$B288),4),"""")"),"")</f>
        <v/>
      </c>
      <c r="N288" s="25" t="str">
        <f>IFERROR(__xludf.DUMMYFUNCTION("IFERROR(INDEX(FILTER('Kế hoạch chèn link (mới)'!$B$3:$B$2213,'Kế hoạch chèn link (mới)'!$D$3:$D$2213=$B288),4),"""")"),"")</f>
        <v/>
      </c>
      <c r="O288" s="25" t="str">
        <f>IFERROR(__xludf.DUMMYFUNCTION("IFERROR(INDEX(FILTER('Kế hoạch chèn link (mới)'!$C$3:$C$2213,'Kế hoạch chèn link (mới)'!$D$3:$D$2213=$B288),5),"""")"),"")</f>
        <v/>
      </c>
      <c r="P288" s="25" t="str">
        <f>IFERROR(__xludf.DUMMYFUNCTION("IFERROR(INDEX(FILTER('Kế hoạch chèn link (mới)'!$B$3:$B$2213,'Kế hoạch chèn link (mới)'!$D$3:$D$2213=$B288),5),"""")"),"")</f>
        <v/>
      </c>
    </row>
    <row r="289">
      <c r="A289" s="6">
        <f t="shared" si="1"/>
        <v>288</v>
      </c>
      <c r="B289" s="8" t="s">
        <v>2919</v>
      </c>
      <c r="C289" s="6">
        <f>COUNTIF('Kế hoạch chèn link (mới)'!$D$3:$D$2213,$B289)</f>
        <v>1</v>
      </c>
      <c r="D289" s="8" t="str">
        <f>IF(COUNTIFS('Kế hoạch chèn link (mới)'!$D$3:$D$2213,$B289,'Kế hoạch chèn link (mới)'!$I$3:$I$2213,"Đã chèn")&gt;=$C289,"Đã hoàn thành",IF(COUNTIFS('Kế hoạch chèn link (mới)'!$D$3:$D$2213,$B289,'Kế hoạch chèn link (mới)'!$I$3:$I$2213,"Đã chèn")&gt;0,"Đang làm","Chưa hoàn thành"))</f>
        <v>Chưa hoàn thành</v>
      </c>
      <c r="E289" s="8" t="b">
        <f t="shared" si="2"/>
        <v>0</v>
      </c>
      <c r="F289" s="25"/>
      <c r="G289" s="25" t="str">
        <f>IFERROR(__xludf.DUMMYFUNCTION("IFERROR(INDEX(FILTER('Kế hoạch chèn link (mới)'!$C$3:$C$2213,'Kế hoạch chèn link (mới)'!$D$3:$D$2213=$B289),1),"""")"),"thuế hộ kinh doanh")</f>
        <v>thuế hộ kinh doanh</v>
      </c>
      <c r="H289" s="25" t="str">
        <f>IFERROR(__xludf.DUMMYFUNCTION("IFERROR(INDEX(FILTER('Kế hoạch chèn link (mới)'!$B$3:$B$2213,'Kế hoạch chèn link (mới)'!$D$3:$D$2213=$B289),1),"""")"),"https://techcombank.com/thong-tin/blog/ho-kinh-doanh-dong-thue-nhu-nao")</f>
        <v>https://techcombank.com/thong-tin/blog/ho-kinh-doanh-dong-thue-nhu-nao</v>
      </c>
      <c r="I289" s="25" t="str">
        <f>IFERROR(__xludf.DUMMYFUNCTION("IFERROR(INDEX(FILTER('Kế hoạch chèn link (mới)'!$C$3:$C$2213,'Kế hoạch chèn link (mới)'!$D$3:$D$2213=$B289),2),"""")"),"")</f>
        <v/>
      </c>
      <c r="J289" s="25" t="str">
        <f>IFERROR(__xludf.DUMMYFUNCTION("IFERROR(INDEX(FILTER('Kế hoạch chèn link (mới)'!$B$3:$B$2213,'Kế hoạch chèn link (mới)'!$D$3:$D$2213=$B289),2),"""")"),"")</f>
        <v/>
      </c>
      <c r="K289" s="25" t="str">
        <f>IFERROR(__xludf.DUMMYFUNCTION("IFERROR(INDEX(FILTER('Kế hoạch chèn link (mới)'!$C$3:$C$2213,'Kế hoạch chèn link (mới)'!$D$3:$D$2213=$B289),3),"""")"),"")</f>
        <v/>
      </c>
      <c r="L289" s="25" t="str">
        <f>IFERROR(__xludf.DUMMYFUNCTION("IFERROR(INDEX(FILTER('Kế hoạch chèn link (mới)'!$B$3:$B$2213,'Kế hoạch chèn link (mới)'!$D$3:$D$2213=$B289),3),"""")"),"")</f>
        <v/>
      </c>
      <c r="M289" s="25" t="str">
        <f>IFERROR(__xludf.DUMMYFUNCTION("IFERROR(INDEX(FILTER('Kế hoạch chèn link (mới)'!$C$3:$C$2213,'Kế hoạch chèn link (mới)'!$D$3:$D$2213=$B289),4),"""")"),"")</f>
        <v/>
      </c>
      <c r="N289" s="25" t="str">
        <f>IFERROR(__xludf.DUMMYFUNCTION("IFERROR(INDEX(FILTER('Kế hoạch chèn link (mới)'!$B$3:$B$2213,'Kế hoạch chèn link (mới)'!$D$3:$D$2213=$B289),4),"""")"),"")</f>
        <v/>
      </c>
      <c r="O289" s="25" t="str">
        <f>IFERROR(__xludf.DUMMYFUNCTION("IFERROR(INDEX(FILTER('Kế hoạch chèn link (mới)'!$C$3:$C$2213,'Kế hoạch chèn link (mới)'!$D$3:$D$2213=$B289),5),"""")"),"")</f>
        <v/>
      </c>
      <c r="P289" s="25" t="str">
        <f>IFERROR(__xludf.DUMMYFUNCTION("IFERROR(INDEX(FILTER('Kế hoạch chèn link (mới)'!$B$3:$B$2213,'Kế hoạch chèn link (mới)'!$D$3:$D$2213=$B289),5),"""")"),"")</f>
        <v/>
      </c>
    </row>
    <row r="290">
      <c r="A290" s="6">
        <f t="shared" si="1"/>
        <v>289</v>
      </c>
      <c r="B290" s="8" t="s">
        <v>2920</v>
      </c>
      <c r="C290" s="6">
        <f>COUNTIF('Kế hoạch chèn link (mới)'!$D$3:$D$2213,$B290)</f>
        <v>2</v>
      </c>
      <c r="D290" s="8" t="str">
        <f>IF(COUNTIFS('Kế hoạch chèn link (mới)'!$D$3:$D$2213,$B290,'Kế hoạch chèn link (mới)'!$I$3:$I$2213,"Đã chèn")&gt;=$C290,"Đã hoàn thành",IF(COUNTIFS('Kế hoạch chèn link (mới)'!$D$3:$D$2213,$B290,'Kế hoạch chèn link (mới)'!$I$3:$I$2213,"Đã chèn")&gt;0,"Đang làm","Chưa hoàn thành"))</f>
        <v>Chưa hoàn thành</v>
      </c>
      <c r="E290" s="8" t="b">
        <f t="shared" si="2"/>
        <v>0</v>
      </c>
      <c r="F290" s="25"/>
      <c r="G290" s="25" t="str">
        <f>IFERROR(__xludf.DUMMYFUNCTION("IFERROR(INDEX(FILTER('Kế hoạch chèn link (mới)'!$C$3:$C$2213,'Kế hoạch chèn link (mới)'!$D$3:$D$2213=$B290),1),"""")"),"xếp hạng tín dụng")</f>
        <v>xếp hạng tín dụng</v>
      </c>
      <c r="H290" s="25" t="str">
        <f>IFERROR(__xludf.DUMMYFUNCTION("IFERROR(INDEX(FILTER('Kế hoạch chèn link (mới)'!$B$3:$B$2213,'Kế hoạch chèn link (mới)'!$D$3:$D$2213=$B290),1),"""")"),"https://techcombank.com/thong-tin/blog/xep-hang-tin-dung")</f>
        <v>https://techcombank.com/thong-tin/blog/xep-hang-tin-dung</v>
      </c>
      <c r="I290" s="25" t="str">
        <f>IFERROR(__xludf.DUMMYFUNCTION("IFERROR(INDEX(FILTER('Kế hoạch chèn link (mới)'!$C$3:$C$2213,'Kế hoạch chèn link (mới)'!$D$3:$D$2213=$B290),2),"""")"),"lãi suất gửi tiết kiệm ngân hàng")</f>
        <v>lãi suất gửi tiết kiệm ngân hàng</v>
      </c>
      <c r="J290" s="25" t="str">
        <f>IFERROR(__xludf.DUMMYFUNCTION("IFERROR(INDEX(FILTER('Kế hoạch chèn link (mới)'!$B$3:$B$2213,'Kế hoạch chèn link (mới)'!$D$3:$D$2213=$B290),2),"""")"),"https://techcombank.com/thong-tin/blog/lai-suat-tiet-kiem")</f>
        <v>https://techcombank.com/thong-tin/blog/lai-suat-tiet-kiem</v>
      </c>
      <c r="K290" s="25" t="str">
        <f>IFERROR(__xludf.DUMMYFUNCTION("IFERROR(INDEX(FILTER('Kế hoạch chèn link (mới)'!$C$3:$C$2213,'Kế hoạch chèn link (mới)'!$D$3:$D$2213=$B290),3),"""")"),"")</f>
        <v/>
      </c>
      <c r="L290" s="25" t="str">
        <f>IFERROR(__xludf.DUMMYFUNCTION("IFERROR(INDEX(FILTER('Kế hoạch chèn link (mới)'!$B$3:$B$2213,'Kế hoạch chèn link (mới)'!$D$3:$D$2213=$B290),3),"""")"),"")</f>
        <v/>
      </c>
      <c r="M290" s="25" t="str">
        <f>IFERROR(__xludf.DUMMYFUNCTION("IFERROR(INDEX(FILTER('Kế hoạch chèn link (mới)'!$C$3:$C$2213,'Kế hoạch chèn link (mới)'!$D$3:$D$2213=$B290),4),"""")"),"")</f>
        <v/>
      </c>
      <c r="N290" s="25" t="str">
        <f>IFERROR(__xludf.DUMMYFUNCTION("IFERROR(INDEX(FILTER('Kế hoạch chèn link (mới)'!$B$3:$B$2213,'Kế hoạch chèn link (mới)'!$D$3:$D$2213=$B290),4),"""")"),"")</f>
        <v/>
      </c>
      <c r="O290" s="25" t="str">
        <f>IFERROR(__xludf.DUMMYFUNCTION("IFERROR(INDEX(FILTER('Kế hoạch chèn link (mới)'!$C$3:$C$2213,'Kế hoạch chèn link (mới)'!$D$3:$D$2213=$B290),5),"""")"),"")</f>
        <v/>
      </c>
      <c r="P290" s="25" t="str">
        <f>IFERROR(__xludf.DUMMYFUNCTION("IFERROR(INDEX(FILTER('Kế hoạch chèn link (mới)'!$B$3:$B$2213,'Kế hoạch chèn link (mới)'!$D$3:$D$2213=$B290),5),"""")"),"")</f>
        <v/>
      </c>
    </row>
    <row r="291">
      <c r="A291" s="6">
        <f t="shared" si="1"/>
        <v>290</v>
      </c>
      <c r="B291" s="8" t="s">
        <v>701</v>
      </c>
      <c r="C291" s="6">
        <f>COUNTIF('Kế hoạch chèn link (mới)'!$D$3:$D$2213,$B291)</f>
        <v>5</v>
      </c>
      <c r="D291" s="8" t="str">
        <f>IF(COUNTIFS('Kế hoạch chèn link (mới)'!$D$3:$D$2213,$B291,'Kế hoạch chèn link (mới)'!$I$3:$I$2213,"Đã chèn")&gt;=$C291,"Đã hoàn thành",IF(COUNTIFS('Kế hoạch chèn link (mới)'!$D$3:$D$2213,$B291,'Kế hoạch chèn link (mới)'!$I$3:$I$2213,"Đã chèn")&gt;0,"Đang làm","Chưa hoàn thành"))</f>
        <v>Chưa hoàn thành</v>
      </c>
      <c r="E291" s="8" t="b">
        <f t="shared" si="2"/>
        <v>0</v>
      </c>
      <c r="F291" s="25"/>
      <c r="G291" s="25" t="str">
        <f>IFERROR(__xludf.DUMMYFUNCTION("IFERROR(INDEX(FILTER('Kế hoạch chèn link (mới)'!$C$3:$C$2213,'Kế hoạch chèn link (mới)'!$D$3:$D$2213=$B291),1),"""")"),"nộp thuế hộ trên etax")</f>
        <v>nộp thuế hộ trên etax</v>
      </c>
      <c r="H291" s="25" t="str">
        <f>IFERROR(__xludf.DUMMYFUNCTION("IFERROR(INDEX(FILTER('Kế hoạch chèn link (mới)'!$B$3:$B$2213,'Kế hoạch chèn link (mới)'!$D$3:$D$2213=$B291),1),"""")"),"https://techcombank.com/thong-tin/blog/cach-nop-thue-dien-tu")</f>
        <v>https://techcombank.com/thong-tin/blog/cach-nop-thue-dien-tu</v>
      </c>
      <c r="I291" s="25" t="str">
        <f>IFERROR(__xludf.DUMMYFUNCTION("IFERROR(INDEX(FILTER('Kế hoạch chèn link (mới)'!$C$3:$C$2213,'Kế hoạch chèn link (mới)'!$D$3:$D$2213=$B291),2),"""")"),"thuế thu nhập doanh nghiệp")</f>
        <v>thuế thu nhập doanh nghiệp</v>
      </c>
      <c r="J291" s="25" t="str">
        <f>IFERROR(__xludf.DUMMYFUNCTION("IFERROR(INDEX(FILTER('Kế hoạch chèn link (mới)'!$B$3:$B$2213,'Kế hoạch chèn link (mới)'!$D$3:$D$2213=$B291),2),"""")"),"https://techcombank.com/thong-tin/blog/thue-thu-nhap-doanh-nghiep")</f>
        <v>https://techcombank.com/thong-tin/blog/thue-thu-nhap-doanh-nghiep</v>
      </c>
      <c r="K291" s="25" t="str">
        <f>IFERROR(__xludf.DUMMYFUNCTION("IFERROR(INDEX(FILTER('Kế hoạch chèn link (mới)'!$C$3:$C$2213,'Kế hoạch chèn link (mới)'!$D$3:$D$2213=$B291),3),"""")"),"cách tính thuế thu nhập doanh nghiệp")</f>
        <v>cách tính thuế thu nhập doanh nghiệp</v>
      </c>
      <c r="L291" s="25" t="str">
        <f>IFERROR(__xludf.DUMMYFUNCTION("IFERROR(INDEX(FILTER('Kế hoạch chèn link (mới)'!$B$3:$B$2213,'Kế hoạch chèn link (mới)'!$D$3:$D$2213=$B291),3),"""")"),"https://techcombank.com/thong-tin/blog/cach-tinh-thue-thu-nhap-doanh-nghiep")</f>
        <v>https://techcombank.com/thong-tin/blog/cach-tinh-thue-thu-nhap-doanh-nghiep</v>
      </c>
      <c r="M291" s="25" t="str">
        <f>IFERROR(__xludf.DUMMYFUNCTION("IFERROR(INDEX(FILTER('Kế hoạch chèn link (mới)'!$C$3:$C$2213,'Kế hoạch chèn link (mới)'!$D$3:$D$2213=$B291),4),"""")"),"thuế TNCN")</f>
        <v>thuế TNCN</v>
      </c>
      <c r="N291" s="25" t="str">
        <f>IFERROR(__xludf.DUMMYFUNCTION("IFERROR(INDEX(FILTER('Kế hoạch chèn link (mới)'!$B$3:$B$2213,'Kế hoạch chèn link (mới)'!$D$3:$D$2213=$B291),4),"""")"),"https://techcombank.com/thong-tin/blog/thue-thu-nhap-ca-nhan")</f>
        <v>https://techcombank.com/thong-tin/blog/thue-thu-nhap-ca-nhan</v>
      </c>
      <c r="O291" s="25" t="str">
        <f>IFERROR(__xludf.DUMMYFUNCTION("IFERROR(INDEX(FILTER('Kế hoạch chèn link (mới)'!$C$3:$C$2213,'Kế hoạch chèn link (mới)'!$D$3:$D$2213=$B291),5),"""")"),"thuế hộ kinh doanh")</f>
        <v>thuế hộ kinh doanh</v>
      </c>
      <c r="P291" s="25" t="str">
        <f>IFERROR(__xludf.DUMMYFUNCTION("IFERROR(INDEX(FILTER('Kế hoạch chèn link (mới)'!$B$3:$B$2213,'Kế hoạch chèn link (mới)'!$D$3:$D$2213=$B291),5),"""")"),"https://techcombank.com/thong-tin/blog/ho-kinh-doanh-dong-thue-nhu-nao")</f>
        <v>https://techcombank.com/thong-tin/blog/ho-kinh-doanh-dong-thue-nhu-nao</v>
      </c>
    </row>
    <row r="292">
      <c r="A292" s="6">
        <f t="shared" si="1"/>
        <v>291</v>
      </c>
      <c r="B292" s="8" t="s">
        <v>2921</v>
      </c>
      <c r="C292" s="6">
        <f>COUNTIF('Kế hoạch chèn link (mới)'!$D$3:$D$2213,$B292)</f>
        <v>2</v>
      </c>
      <c r="D292" s="8" t="str">
        <f>IF(COUNTIFS('Kế hoạch chèn link (mới)'!$D$3:$D$2213,$B292,'Kế hoạch chèn link (mới)'!$I$3:$I$2213,"Đã chèn")&gt;=$C292,"Đã hoàn thành",IF(COUNTIFS('Kế hoạch chèn link (mới)'!$D$3:$D$2213,$B292,'Kế hoạch chèn link (mới)'!$I$3:$I$2213,"Đã chèn")&gt;0,"Đang làm","Chưa hoàn thành"))</f>
        <v>Chưa hoàn thành</v>
      </c>
      <c r="E292" s="8" t="b">
        <f t="shared" si="2"/>
        <v>0</v>
      </c>
      <c r="F292" s="25"/>
      <c r="G292" s="25" t="str">
        <f>IFERROR(__xludf.DUMMYFUNCTION("IFERROR(INDEX(FILTER('Kế hoạch chèn link (mới)'!$C$3:$C$2213,'Kế hoạch chèn link (mới)'!$D$3:$D$2213=$B292),1),"""")"),"mở thẻ tín dụng")</f>
        <v>mở thẻ tín dụng</v>
      </c>
      <c r="H292" s="25" t="str">
        <f>IFERROR(__xludf.DUMMYFUNCTION("IFERROR(INDEX(FILTER('Kế hoạch chèn link (mới)'!$B$3:$B$2213,'Kế hoạch chèn link (mới)'!$D$3:$D$2213=$B292),1),"""")"),"https://techcombank.com/thong-tin/blog/lam-the-tin-dung")</f>
        <v>https://techcombank.com/thong-tin/blog/lam-the-tin-dung</v>
      </c>
      <c r="I292" s="25" t="str">
        <f>IFERROR(__xludf.DUMMYFUNCTION("IFERROR(INDEX(FILTER('Kế hoạch chèn link (mới)'!$C$3:$C$2213,'Kế hoạch chèn link (mới)'!$D$3:$D$2213=$B292),2),"""")"),"hủy thẻ tín dụng")</f>
        <v>hủy thẻ tín dụng</v>
      </c>
      <c r="J292" s="25" t="str">
        <f>IFERROR(__xludf.DUMMYFUNCTION("IFERROR(INDEX(FILTER('Kế hoạch chèn link (mới)'!$B$3:$B$2213,'Kế hoạch chèn link (mới)'!$D$3:$D$2213=$B292),2),"""")"),"https://techcombank.com/thong-tin/blog/cach-huy-the-tin-dung")</f>
        <v>https://techcombank.com/thong-tin/blog/cach-huy-the-tin-dung</v>
      </c>
      <c r="K292" s="25" t="str">
        <f>IFERROR(__xludf.DUMMYFUNCTION("IFERROR(INDEX(FILTER('Kế hoạch chèn link (mới)'!$C$3:$C$2213,'Kế hoạch chèn link (mới)'!$D$3:$D$2213=$B292),3),"""")"),"")</f>
        <v/>
      </c>
      <c r="L292" s="25" t="str">
        <f>IFERROR(__xludf.DUMMYFUNCTION("IFERROR(INDEX(FILTER('Kế hoạch chèn link (mới)'!$B$3:$B$2213,'Kế hoạch chèn link (mới)'!$D$3:$D$2213=$B292),3),"""")"),"")</f>
        <v/>
      </c>
      <c r="M292" s="25" t="str">
        <f>IFERROR(__xludf.DUMMYFUNCTION("IFERROR(INDEX(FILTER('Kế hoạch chèn link (mới)'!$C$3:$C$2213,'Kế hoạch chèn link (mới)'!$D$3:$D$2213=$B292),4),"""")"),"")</f>
        <v/>
      </c>
      <c r="N292" s="25" t="str">
        <f>IFERROR(__xludf.DUMMYFUNCTION("IFERROR(INDEX(FILTER('Kế hoạch chèn link (mới)'!$B$3:$B$2213,'Kế hoạch chèn link (mới)'!$D$3:$D$2213=$B292),4),"""")"),"")</f>
        <v/>
      </c>
      <c r="O292" s="25" t="str">
        <f>IFERROR(__xludf.DUMMYFUNCTION("IFERROR(INDEX(FILTER('Kế hoạch chèn link (mới)'!$C$3:$C$2213,'Kế hoạch chèn link (mới)'!$D$3:$D$2213=$B292),5),"""")"),"")</f>
        <v/>
      </c>
      <c r="P292" s="25" t="str">
        <f>IFERROR(__xludf.DUMMYFUNCTION("IFERROR(INDEX(FILTER('Kế hoạch chèn link (mới)'!$B$3:$B$2213,'Kế hoạch chèn link (mới)'!$D$3:$D$2213=$B292),5),"""")"),"")</f>
        <v/>
      </c>
    </row>
    <row r="293">
      <c r="A293" s="6">
        <f t="shared" si="1"/>
        <v>292</v>
      </c>
      <c r="B293" s="8" t="s">
        <v>2923</v>
      </c>
      <c r="C293" s="6">
        <f>COUNTIF('Kế hoạch chèn link (mới)'!$D$3:$D$2213,$B293)</f>
        <v>1</v>
      </c>
      <c r="D293" s="8" t="str">
        <f>IF(COUNTIFS('Kế hoạch chèn link (mới)'!$D$3:$D$2213,$B293,'Kế hoạch chèn link (mới)'!$I$3:$I$2213,"Đã chèn")&gt;=$C293,"Đã hoàn thành",IF(COUNTIFS('Kế hoạch chèn link (mới)'!$D$3:$D$2213,$B293,'Kế hoạch chèn link (mới)'!$I$3:$I$2213,"Đã chèn")&gt;0,"Đang làm","Chưa hoàn thành"))</f>
        <v>Chưa hoàn thành</v>
      </c>
      <c r="E293" s="8" t="b">
        <f t="shared" si="2"/>
        <v>0</v>
      </c>
      <c r="F293" s="25"/>
      <c r="G293" s="25" t="str">
        <f>IFERROR(__xludf.DUMMYFUNCTION("IFERROR(INDEX(FILTER('Kế hoạch chèn link (mới)'!$C$3:$C$2213,'Kế hoạch chèn link (mới)'!$D$3:$D$2213=$B293),1),"""")"),"cách lấy voucher Traveloka")</f>
        <v>cách lấy voucher Traveloka</v>
      </c>
      <c r="H293" s="25" t="str">
        <f>IFERROR(__xludf.DUMMYFUNCTION("IFERROR(INDEX(FILTER('Kế hoạch chèn link (mới)'!$B$3:$B$2213,'Kế hoạch chèn link (mới)'!$D$3:$D$2213=$B293),1),"""")"),"https://techcombank.com/thong-tin/blog/traveloka-voucher")</f>
        <v>https://techcombank.com/thong-tin/blog/traveloka-voucher</v>
      </c>
      <c r="I293" s="25" t="str">
        <f>IFERROR(__xludf.DUMMYFUNCTION("IFERROR(INDEX(FILTER('Kế hoạch chèn link (mới)'!$C$3:$C$2213,'Kế hoạch chèn link (mới)'!$D$3:$D$2213=$B293),2),"""")"),"")</f>
        <v/>
      </c>
      <c r="J293" s="25" t="str">
        <f>IFERROR(__xludf.DUMMYFUNCTION("IFERROR(INDEX(FILTER('Kế hoạch chèn link (mới)'!$B$3:$B$2213,'Kế hoạch chèn link (mới)'!$D$3:$D$2213=$B293),2),"""")"),"")</f>
        <v/>
      </c>
      <c r="K293" s="25" t="str">
        <f>IFERROR(__xludf.DUMMYFUNCTION("IFERROR(INDEX(FILTER('Kế hoạch chèn link (mới)'!$C$3:$C$2213,'Kế hoạch chèn link (mới)'!$D$3:$D$2213=$B293),3),"""")"),"")</f>
        <v/>
      </c>
      <c r="L293" s="25" t="str">
        <f>IFERROR(__xludf.DUMMYFUNCTION("IFERROR(INDEX(FILTER('Kế hoạch chèn link (mới)'!$B$3:$B$2213,'Kế hoạch chèn link (mới)'!$D$3:$D$2213=$B293),3),"""")"),"")</f>
        <v/>
      </c>
      <c r="M293" s="25" t="str">
        <f>IFERROR(__xludf.DUMMYFUNCTION("IFERROR(INDEX(FILTER('Kế hoạch chèn link (mới)'!$C$3:$C$2213,'Kế hoạch chèn link (mới)'!$D$3:$D$2213=$B293),4),"""")"),"")</f>
        <v/>
      </c>
      <c r="N293" s="25" t="str">
        <f>IFERROR(__xludf.DUMMYFUNCTION("IFERROR(INDEX(FILTER('Kế hoạch chèn link (mới)'!$B$3:$B$2213,'Kế hoạch chèn link (mới)'!$D$3:$D$2213=$B293),4),"""")"),"")</f>
        <v/>
      </c>
      <c r="O293" s="25" t="str">
        <f>IFERROR(__xludf.DUMMYFUNCTION("IFERROR(INDEX(FILTER('Kế hoạch chèn link (mới)'!$C$3:$C$2213,'Kế hoạch chèn link (mới)'!$D$3:$D$2213=$B293),5),"""")"),"")</f>
        <v/>
      </c>
      <c r="P293" s="25" t="str">
        <f>IFERROR(__xludf.DUMMYFUNCTION("IFERROR(INDEX(FILTER('Kế hoạch chèn link (mới)'!$B$3:$B$2213,'Kế hoạch chèn link (mới)'!$D$3:$D$2213=$B293),5),"""")"),"")</f>
        <v/>
      </c>
    </row>
    <row r="294">
      <c r="A294" s="6">
        <f t="shared" si="1"/>
        <v>293</v>
      </c>
      <c r="B294" s="8" t="s">
        <v>1029</v>
      </c>
      <c r="C294" s="6">
        <f>COUNTIF('Kế hoạch chèn link (mới)'!$D$3:$D$2213,$B294)</f>
        <v>2</v>
      </c>
      <c r="D294" s="8" t="str">
        <f>IF(COUNTIFS('Kế hoạch chèn link (mới)'!$D$3:$D$2213,$B294,'Kế hoạch chèn link (mới)'!$I$3:$I$2213,"Đã chèn")&gt;=$C294,"Đã hoàn thành",IF(COUNTIFS('Kế hoạch chèn link (mới)'!$D$3:$D$2213,$B294,'Kế hoạch chèn link (mới)'!$I$3:$I$2213,"Đã chèn")&gt;0,"Đang làm","Chưa hoàn thành"))</f>
        <v>Chưa hoàn thành</v>
      </c>
      <c r="E294" s="8" t="b">
        <f t="shared" si="2"/>
        <v>0</v>
      </c>
      <c r="F294" s="25"/>
      <c r="G294" s="25" t="str">
        <f>IFERROR(__xludf.DUMMYFUNCTION("IFERROR(INDEX(FILTER('Kế hoạch chèn link (mới)'!$C$3:$C$2213,'Kế hoạch chèn link (mới)'!$D$3:$D$2213=$B294),1),"""")"),"tra cứu nợ thuế doanh nghiệp")</f>
        <v>tra cứu nợ thuế doanh nghiệp</v>
      </c>
      <c r="H294" s="25" t="str">
        <f>IFERROR(__xludf.DUMMYFUNCTION("IFERROR(INDEX(FILTER('Kế hoạch chèn link (mới)'!$B$3:$B$2213,'Kế hoạch chèn link (mới)'!$D$3:$D$2213=$B294),1),"""")"),"https://techcombank.com/thong-tin/blog/tra-cuu-no-thue-doanh-nghiep")</f>
        <v>https://techcombank.com/thong-tin/blog/tra-cuu-no-thue-doanh-nghiep</v>
      </c>
      <c r="I294" s="25" t="str">
        <f>IFERROR(__xludf.DUMMYFUNCTION("IFERROR(INDEX(FILTER('Kế hoạch chèn link (mới)'!$C$3:$C$2213,'Kế hoạch chèn link (mới)'!$D$3:$D$2213=$B294),2),"""")"),"thuế doanh nghiệp")</f>
        <v>thuế doanh nghiệp</v>
      </c>
      <c r="J294" s="25" t="str">
        <f>IFERROR(__xludf.DUMMYFUNCTION("IFERROR(INDEX(FILTER('Kế hoạch chèn link (mới)'!$B$3:$B$2213,'Kế hoạch chèn link (mới)'!$D$3:$D$2213=$B294),2),"""")"),"https://techcombank.com/thong-tin/blog/thue-doanh-nghiep")</f>
        <v>https://techcombank.com/thong-tin/blog/thue-doanh-nghiep</v>
      </c>
      <c r="K294" s="25" t="str">
        <f>IFERROR(__xludf.DUMMYFUNCTION("IFERROR(INDEX(FILTER('Kế hoạch chèn link (mới)'!$C$3:$C$2213,'Kế hoạch chèn link (mới)'!$D$3:$D$2213=$B294),3),"""")"),"")</f>
        <v/>
      </c>
      <c r="L294" s="25" t="str">
        <f>IFERROR(__xludf.DUMMYFUNCTION("IFERROR(INDEX(FILTER('Kế hoạch chèn link (mới)'!$B$3:$B$2213,'Kế hoạch chèn link (mới)'!$D$3:$D$2213=$B294),3),"""")"),"")</f>
        <v/>
      </c>
      <c r="M294" s="25" t="str">
        <f>IFERROR(__xludf.DUMMYFUNCTION("IFERROR(INDEX(FILTER('Kế hoạch chèn link (mới)'!$C$3:$C$2213,'Kế hoạch chèn link (mới)'!$D$3:$D$2213=$B294),4),"""")"),"")</f>
        <v/>
      </c>
      <c r="N294" s="25" t="str">
        <f>IFERROR(__xludf.DUMMYFUNCTION("IFERROR(INDEX(FILTER('Kế hoạch chèn link (mới)'!$B$3:$B$2213,'Kế hoạch chèn link (mới)'!$D$3:$D$2213=$B294),4),"""")"),"")</f>
        <v/>
      </c>
      <c r="O294" s="25" t="str">
        <f>IFERROR(__xludf.DUMMYFUNCTION("IFERROR(INDEX(FILTER('Kế hoạch chèn link (mới)'!$C$3:$C$2213,'Kế hoạch chèn link (mới)'!$D$3:$D$2213=$B294),5),"""")"),"")</f>
        <v/>
      </c>
      <c r="P294" s="25" t="str">
        <f>IFERROR(__xludf.DUMMYFUNCTION("IFERROR(INDEX(FILTER('Kế hoạch chèn link (mới)'!$B$3:$B$2213,'Kế hoạch chèn link (mới)'!$D$3:$D$2213=$B294),5),"""")"),"")</f>
        <v/>
      </c>
    </row>
    <row r="295">
      <c r="A295" s="6">
        <f t="shared" si="1"/>
        <v>294</v>
      </c>
      <c r="B295" s="8" t="s">
        <v>1158</v>
      </c>
      <c r="C295" s="6">
        <f>COUNTIF('Kế hoạch chèn link (mới)'!$D$3:$D$2213,$B295)</f>
        <v>5</v>
      </c>
      <c r="D295" s="8" t="str">
        <f>IF(COUNTIFS('Kế hoạch chèn link (mới)'!$D$3:$D$2213,$B295,'Kế hoạch chèn link (mới)'!$I$3:$I$2213,"Đã chèn")&gt;=$C295,"Đã hoàn thành",IF(COUNTIFS('Kế hoạch chèn link (mới)'!$D$3:$D$2213,$B295,'Kế hoạch chèn link (mới)'!$I$3:$I$2213,"Đã chèn")&gt;0,"Đang làm","Chưa hoàn thành"))</f>
        <v>Chưa hoàn thành</v>
      </c>
      <c r="E295" s="8" t="b">
        <f t="shared" si="2"/>
        <v>0</v>
      </c>
      <c r="F295" s="25"/>
      <c r="G295" s="25" t="str">
        <f>IFERROR(__xludf.DUMMYFUNCTION("IFERROR(INDEX(FILTER('Kế hoạch chèn link (mới)'!$C$3:$C$2213,'Kế hoạch chèn link (mới)'!$D$3:$D$2213=$B295),1),"""")"),"kiểm tra cic")</f>
        <v>kiểm tra cic</v>
      </c>
      <c r="H295" s="25" t="str">
        <f>IFERROR(__xludf.DUMMYFUNCTION("IFERROR(INDEX(FILTER('Kế hoạch chèn link (mới)'!$B$3:$B$2213,'Kế hoạch chèn link (mới)'!$D$3:$D$2213=$B295),1),"""")"),"https://techcombank.com/thong-tin/blog/cic-la-gi")</f>
        <v>https://techcombank.com/thong-tin/blog/cic-la-gi</v>
      </c>
      <c r="I295" s="25" t="str">
        <f>IFERROR(__xludf.DUMMYFUNCTION("IFERROR(INDEX(FILTER('Kế hoạch chèn link (mới)'!$C$3:$C$2213,'Kế hoạch chèn link (mới)'!$D$3:$D$2213=$B295),2),"""")"),"xếp hạng tín dụng cá nhân")</f>
        <v>xếp hạng tín dụng cá nhân</v>
      </c>
      <c r="J295" s="25" t="str">
        <f>IFERROR(__xludf.DUMMYFUNCTION("IFERROR(INDEX(FILTER('Kế hoạch chèn link (mới)'!$B$3:$B$2213,'Kế hoạch chèn link (mới)'!$D$3:$D$2213=$B295),2),"""")"),"https://techcombank.com/thong-tin/blog/xep-hang-tin-dung")</f>
        <v>https://techcombank.com/thong-tin/blog/xep-hang-tin-dung</v>
      </c>
      <c r="K295" s="25" t="str">
        <f>IFERROR(__xludf.DUMMYFUNCTION("IFERROR(INDEX(FILTER('Kế hoạch chèn link (mới)'!$C$3:$C$2213,'Kế hoạch chèn link (mới)'!$D$3:$D$2213=$B295),3),"""")"),"vay")</f>
        <v>vay</v>
      </c>
      <c r="L295" s="25" t="str">
        <f>IFERROR(__xludf.DUMMYFUNCTION("IFERROR(INDEX(FILTER('Kế hoạch chèn link (mới)'!$B$3:$B$2213,'Kế hoạch chèn link (mới)'!$D$3:$D$2213=$B295),3),"""")"),"https://techcombank.com/thong-tin/blog/app-vay-tien-nhanh")</f>
        <v>https://techcombank.com/thong-tin/blog/app-vay-tien-nhanh</v>
      </c>
      <c r="M295" s="25" t="str">
        <f>IFERROR(__xludf.DUMMYFUNCTION("IFERROR(INDEX(FILTER('Kế hoạch chèn link (mới)'!$C$3:$C$2213,'Kế hoạch chèn link (mới)'!$D$3:$D$2213=$B295),4),"""")"),"thấu chi là gì")</f>
        <v>thấu chi là gì</v>
      </c>
      <c r="N295" s="25" t="str">
        <f>IFERROR(__xludf.DUMMYFUNCTION("IFERROR(INDEX(FILTER('Kế hoạch chèn link (mới)'!$B$3:$B$2213,'Kế hoạch chèn link (mới)'!$D$3:$D$2213=$B295),4),"""")"),"https://techcombank.com/thong-tin/blog/vay-thau-chi-la-gi")</f>
        <v>https://techcombank.com/thong-tin/blog/vay-thau-chi-la-gi</v>
      </c>
      <c r="O295" s="25" t="str">
        <f>IFERROR(__xludf.DUMMYFUNCTION("IFERROR(INDEX(FILTER('Kế hoạch chèn link (mới)'!$C$3:$C$2213,'Kế hoạch chèn link (mới)'!$D$3:$D$2213=$B295),5),"""")"),"nợ xấu")</f>
        <v>nợ xấu</v>
      </c>
      <c r="P295" s="25" t="str">
        <f>IFERROR(__xludf.DUMMYFUNCTION("IFERROR(INDEX(FILTER('Kế hoạch chèn link (mới)'!$B$3:$B$2213,'Kế hoạch chèn link (mới)'!$D$3:$D$2213=$B295),5),"""")"),"https://techcombank.com/thong-tin/blog/no-xau-la-gi")</f>
        <v>https://techcombank.com/thong-tin/blog/no-xau-la-gi</v>
      </c>
    </row>
    <row r="296">
      <c r="A296" s="6">
        <f t="shared" si="1"/>
        <v>295</v>
      </c>
      <c r="B296" s="8" t="s">
        <v>568</v>
      </c>
      <c r="C296" s="6">
        <f>COUNTIF('Kế hoạch chèn link (mới)'!$D$3:$D$2213,$B296)</f>
        <v>5</v>
      </c>
      <c r="D296" s="8" t="str">
        <f>IF(COUNTIFS('Kế hoạch chèn link (mới)'!$D$3:$D$2213,$B296,'Kế hoạch chèn link (mới)'!$I$3:$I$2213,"Đã chèn")&gt;=$C296,"Đã hoàn thành",IF(COUNTIFS('Kế hoạch chèn link (mới)'!$D$3:$D$2213,$B296,'Kế hoạch chèn link (mới)'!$I$3:$I$2213,"Đã chèn")&gt;0,"Đang làm","Chưa hoàn thành"))</f>
        <v>Chưa hoàn thành</v>
      </c>
      <c r="E296" s="8" t="b">
        <f t="shared" si="2"/>
        <v>0</v>
      </c>
      <c r="F296" s="25"/>
      <c r="G296" s="25" t="str">
        <f>IFERROR(__xludf.DUMMYFUNCTION("IFERROR(INDEX(FILTER('Kế hoạch chèn link (mới)'!$C$3:$C$2213,'Kế hoạch chèn link (mới)'!$D$3:$D$2213=$B296),1),"""")"),"nộp thuế hộ trên etax")</f>
        <v>nộp thuế hộ trên etax</v>
      </c>
      <c r="H296" s="25" t="str">
        <f>IFERROR(__xludf.DUMMYFUNCTION("IFERROR(INDEX(FILTER('Kế hoạch chèn link (mới)'!$B$3:$B$2213,'Kế hoạch chèn link (mới)'!$D$3:$D$2213=$B296),1),"""")"),"https://techcombank.com/thong-tin/blog/cach-nop-thue-dien-tu")</f>
        <v>https://techcombank.com/thong-tin/blog/cach-nop-thue-dien-tu</v>
      </c>
      <c r="I296" s="25" t="str">
        <f>IFERROR(__xludf.DUMMYFUNCTION("IFERROR(INDEX(FILTER('Kế hoạch chèn link (mới)'!$C$3:$C$2213,'Kế hoạch chèn link (mới)'!$D$3:$D$2213=$B296),2),"""")"),"thuế hộ kinh doanh")</f>
        <v>thuế hộ kinh doanh</v>
      </c>
      <c r="J296" s="25" t="str">
        <f>IFERROR(__xludf.DUMMYFUNCTION("IFERROR(INDEX(FILTER('Kế hoạch chèn link (mới)'!$B$3:$B$2213,'Kế hoạch chèn link (mới)'!$D$3:$D$2213=$B296),2),"""")"),"https://techcombank.com/thong-tin/blog/ho-kinh-doanh-dong-thue-nhu-nao")</f>
        <v>https://techcombank.com/thong-tin/blog/ho-kinh-doanh-dong-thue-nhu-nao</v>
      </c>
      <c r="K296" s="25" t="str">
        <f>IFERROR(__xludf.DUMMYFUNCTION("IFERROR(INDEX(FILTER('Kế hoạch chèn link (mới)'!$C$3:$C$2213,'Kế hoạch chèn link (mới)'!$D$3:$D$2213=$B296),3),"""")"),"mở tài khoản hộ kinh doanh")</f>
        <v>mở tài khoản hộ kinh doanh</v>
      </c>
      <c r="L296" s="25" t="str">
        <f>IFERROR(__xludf.DUMMYFUNCTION("IFERROR(INDEX(FILTER('Kế hoạch chèn link (mới)'!$B$3:$B$2213,'Kế hoạch chèn link (mới)'!$D$3:$D$2213=$B296),3),"""")"),"https://techcombank.com/thong-tin/blog/mo-tai-khoan-ho-kinh-doanh")</f>
        <v>https://techcombank.com/thong-tin/blog/mo-tai-khoan-ho-kinh-doanh</v>
      </c>
      <c r="M296" s="25" t="str">
        <f>IFERROR(__xludf.DUMMYFUNCTION("IFERROR(INDEX(FILTER('Kế hoạch chèn link (mới)'!$C$3:$C$2213,'Kế hoạch chèn link (mới)'!$D$3:$D$2213=$B296),4),"""")"),"cách tính thuế hộ kinh doanh")</f>
        <v>cách tính thuế hộ kinh doanh</v>
      </c>
      <c r="N296" s="25" t="str">
        <f>IFERROR(__xludf.DUMMYFUNCTION("IFERROR(INDEX(FILTER('Kế hoạch chèn link (mới)'!$B$3:$B$2213,'Kế hoạch chèn link (mới)'!$D$3:$D$2213=$B296),4),"""")"),"https://techcombank.com/thong-tin/blog/cach-tinh-thue-ho-kinh-doanh-nho-le")</f>
        <v>https://techcombank.com/thong-tin/blog/cach-tinh-thue-ho-kinh-doanh-nho-le</v>
      </c>
      <c r="O296" s="25" t="str">
        <f>IFERROR(__xludf.DUMMYFUNCTION("IFERROR(INDEX(FILTER('Kế hoạch chèn link (mới)'!$C$3:$C$2213,'Kế hoạch chèn link (mới)'!$D$3:$D$2213=$B296),5),"""")"),"vay")</f>
        <v>vay</v>
      </c>
      <c r="P296" s="25" t="str">
        <f>IFERROR(__xludf.DUMMYFUNCTION("IFERROR(INDEX(FILTER('Kế hoạch chèn link (mới)'!$B$3:$B$2213,'Kế hoạch chèn link (mới)'!$D$3:$D$2213=$B296),5),"""")"),"https://techcombank.com/thong-tin/blog/app-vay-tien-nhanh")</f>
        <v>https://techcombank.com/thong-tin/blog/app-vay-tien-nhanh</v>
      </c>
    </row>
    <row r="297">
      <c r="A297" s="6">
        <f t="shared" si="1"/>
        <v>296</v>
      </c>
      <c r="B297" s="8" t="s">
        <v>876</v>
      </c>
      <c r="C297" s="6">
        <f>COUNTIF('Kế hoạch chèn link (mới)'!$D$3:$D$2213,$B297)</f>
        <v>3</v>
      </c>
      <c r="D297" s="8" t="str">
        <f>IF(COUNTIFS('Kế hoạch chèn link (mới)'!$D$3:$D$2213,$B297,'Kế hoạch chèn link (mới)'!$I$3:$I$2213,"Đã chèn")&gt;=$C297,"Đã hoàn thành",IF(COUNTIFS('Kế hoạch chèn link (mới)'!$D$3:$D$2213,$B297,'Kế hoạch chèn link (mới)'!$I$3:$I$2213,"Đã chèn")&gt;0,"Đang làm","Chưa hoàn thành"))</f>
        <v>Chưa hoàn thành</v>
      </c>
      <c r="E297" s="8" t="b">
        <f t="shared" si="2"/>
        <v>0</v>
      </c>
      <c r="F297" s="25"/>
      <c r="G297" s="25" t="str">
        <f>IFERROR(__xludf.DUMMYFUNCTION("IFERROR(INDEX(FILTER('Kế hoạch chèn link (mới)'!$C$3:$C$2213,'Kế hoạch chèn link (mới)'!$D$3:$D$2213=$B297),1),"""")"),"tra cứu nợ thuế theo mã số thuế")</f>
        <v>tra cứu nợ thuế theo mã số thuế</v>
      </c>
      <c r="H297" s="25" t="str">
        <f>IFERROR(__xludf.DUMMYFUNCTION("IFERROR(INDEX(FILTER('Kế hoạch chèn link (mới)'!$B$3:$B$2213,'Kế hoạch chèn link (mới)'!$D$3:$D$2213=$B297),1),"""")"),"https://techcombank.com/thong-tin/blog/tra-cuu-no-thue-doanh-nghiep")</f>
        <v>https://techcombank.com/thong-tin/blog/tra-cuu-no-thue-doanh-nghiep</v>
      </c>
      <c r="I297" s="25" t="str">
        <f>IFERROR(__xludf.DUMMYFUNCTION("IFERROR(INDEX(FILTER('Kế hoạch chèn link (mới)'!$C$3:$C$2213,'Kế hoạch chèn link (mới)'!$D$3:$D$2213=$B297),2),"""")"),"thuế thu nhập cá nhân")</f>
        <v>thuế thu nhập cá nhân</v>
      </c>
      <c r="J297" s="25" t="str">
        <f>IFERROR(__xludf.DUMMYFUNCTION("IFERROR(INDEX(FILTER('Kế hoạch chèn link (mới)'!$B$3:$B$2213,'Kế hoạch chèn link (mới)'!$D$3:$D$2213=$B297),2),"""")"),"https://techcombank.com/thong-tin/blog/cach-tinh-thue-thu-nhap-ca-nhan-2025")</f>
        <v>https://techcombank.com/thong-tin/blog/cach-tinh-thue-thu-nhap-ca-nhan-2025</v>
      </c>
      <c r="K297" s="25" t="str">
        <f>IFERROR(__xludf.DUMMYFUNCTION("IFERROR(INDEX(FILTER('Kế hoạch chèn link (mới)'!$C$3:$C$2213,'Kế hoạch chèn link (mới)'!$D$3:$D$2213=$B297),3),"""")"),"thuế hộ kinh doanh")</f>
        <v>thuế hộ kinh doanh</v>
      </c>
      <c r="L297" s="25" t="str">
        <f>IFERROR(__xludf.DUMMYFUNCTION("IFERROR(INDEX(FILTER('Kế hoạch chèn link (mới)'!$B$3:$B$2213,'Kế hoạch chèn link (mới)'!$D$3:$D$2213=$B297),3),"""")"),"https://techcombank.com/thong-tin/blog/ho-kinh-doanh-dong-thue-nhu-nao")</f>
        <v>https://techcombank.com/thong-tin/blog/ho-kinh-doanh-dong-thue-nhu-nao</v>
      </c>
      <c r="M297" s="25" t="str">
        <f>IFERROR(__xludf.DUMMYFUNCTION("IFERROR(INDEX(FILTER('Kế hoạch chèn link (mới)'!$C$3:$C$2213,'Kế hoạch chèn link (mới)'!$D$3:$D$2213=$B297),4),"""")"),"")</f>
        <v/>
      </c>
      <c r="N297" s="25" t="str">
        <f>IFERROR(__xludf.DUMMYFUNCTION("IFERROR(INDEX(FILTER('Kế hoạch chèn link (mới)'!$B$3:$B$2213,'Kế hoạch chèn link (mới)'!$D$3:$D$2213=$B297),4),"""")"),"")</f>
        <v/>
      </c>
      <c r="O297" s="25" t="str">
        <f>IFERROR(__xludf.DUMMYFUNCTION("IFERROR(INDEX(FILTER('Kế hoạch chèn link (mới)'!$C$3:$C$2213,'Kế hoạch chèn link (mới)'!$D$3:$D$2213=$B297),5),"""")"),"")</f>
        <v/>
      </c>
      <c r="P297" s="25" t="str">
        <f>IFERROR(__xludf.DUMMYFUNCTION("IFERROR(INDEX(FILTER('Kế hoạch chèn link (mới)'!$B$3:$B$2213,'Kế hoạch chèn link (mới)'!$D$3:$D$2213=$B297),5),"""")"),"")</f>
        <v/>
      </c>
    </row>
    <row r="298">
      <c r="A298" s="6">
        <f t="shared" si="1"/>
        <v>297</v>
      </c>
      <c r="B298" s="8" t="s">
        <v>1569</v>
      </c>
      <c r="C298" s="6">
        <f>COUNTIF('Kế hoạch chèn link (mới)'!$D$3:$D$2213,$B298)</f>
        <v>3</v>
      </c>
      <c r="D298" s="8" t="str">
        <f>IF(COUNTIFS('Kế hoạch chèn link (mới)'!$D$3:$D$2213,$B298,'Kế hoạch chèn link (mới)'!$I$3:$I$2213,"Đã chèn")&gt;=$C298,"Đã hoàn thành",IF(COUNTIFS('Kế hoạch chèn link (mới)'!$D$3:$D$2213,$B298,'Kế hoạch chèn link (mới)'!$I$3:$I$2213,"Đã chèn")&gt;0,"Đang làm","Chưa hoàn thành"))</f>
        <v>Chưa hoàn thành</v>
      </c>
      <c r="E298" s="8" t="b">
        <f t="shared" si="2"/>
        <v>0</v>
      </c>
      <c r="F298" s="25"/>
      <c r="G298" s="25" t="str">
        <f>IFERROR(__xludf.DUMMYFUNCTION("IFERROR(INDEX(FILTER('Kế hoạch chèn link (mới)'!$C$3:$C$2213,'Kế hoạch chèn link (mới)'!$D$3:$D$2213=$B298),1),"""")"),"thuế thu nhập cá nhân")</f>
        <v>thuế thu nhập cá nhân</v>
      </c>
      <c r="H298" s="25" t="str">
        <f>IFERROR(__xludf.DUMMYFUNCTION("IFERROR(INDEX(FILTER('Kế hoạch chèn link (mới)'!$B$3:$B$2213,'Kế hoạch chèn link (mới)'!$D$3:$D$2213=$B298),1),"""")"),"https://techcombank.com/thong-tin/blog/cach-tinh-thue-thu-nhap-ca-nhan-2025")</f>
        <v>https://techcombank.com/thong-tin/blog/cach-tinh-thue-thu-nhap-ca-nhan-2025</v>
      </c>
      <c r="I298" s="25" t="str">
        <f>IFERROR(__xludf.DUMMYFUNCTION("IFERROR(INDEX(FILTER('Kế hoạch chèn link (mới)'!$C$3:$C$2213,'Kế hoạch chèn link (mới)'!$D$3:$D$2213=$B298),2),"""")"),"thuế thu nhập cá nhân")</f>
        <v>thuế thu nhập cá nhân</v>
      </c>
      <c r="J298" s="25" t="str">
        <f>IFERROR(__xludf.DUMMYFUNCTION("IFERROR(INDEX(FILTER('Kế hoạch chèn link (mới)'!$B$3:$B$2213,'Kế hoạch chèn link (mới)'!$D$3:$D$2213=$B298),2),"""")"),"https://techcombank.com/thong-tin/blog/thue-thu-nhap-ca-nhan")</f>
        <v>https://techcombank.com/thong-tin/blog/thue-thu-nhap-ca-nhan</v>
      </c>
      <c r="K298" s="25" t="str">
        <f>IFERROR(__xludf.DUMMYFUNCTION("IFERROR(INDEX(FILTER('Kế hoạch chèn link (mới)'!$C$3:$C$2213,'Kế hoạch chèn link (mới)'!$D$3:$D$2213=$B298),3),"""")"),"1 triệu đô bằng bao nhiêu tiền Việt")</f>
        <v>1 triệu đô bằng bao nhiêu tiền Việt</v>
      </c>
      <c r="L298" s="25" t="str">
        <f>IFERROR(__xludf.DUMMYFUNCTION("IFERROR(INDEX(FILTER('Kế hoạch chèn link (mới)'!$B$3:$B$2213,'Kế hoạch chèn link (mới)'!$D$3:$D$2213=$B298),3),"""")"),"https://techcombank.com/thong-tin/blog/1-trieu-do-bang-bao-nhieu-tien-viet")</f>
        <v>https://techcombank.com/thong-tin/blog/1-trieu-do-bang-bao-nhieu-tien-viet</v>
      </c>
      <c r="M298" s="25" t="str">
        <f>IFERROR(__xludf.DUMMYFUNCTION("IFERROR(INDEX(FILTER('Kế hoạch chèn link (mới)'!$C$3:$C$2213,'Kế hoạch chèn link (mới)'!$D$3:$D$2213=$B298),4),"""")"),"")</f>
        <v/>
      </c>
      <c r="N298" s="25" t="str">
        <f>IFERROR(__xludf.DUMMYFUNCTION("IFERROR(INDEX(FILTER('Kế hoạch chèn link (mới)'!$B$3:$B$2213,'Kế hoạch chèn link (mới)'!$D$3:$D$2213=$B298),4),"""")"),"")</f>
        <v/>
      </c>
      <c r="O298" s="25" t="str">
        <f>IFERROR(__xludf.DUMMYFUNCTION("IFERROR(INDEX(FILTER('Kế hoạch chèn link (mới)'!$C$3:$C$2213,'Kế hoạch chèn link (mới)'!$D$3:$D$2213=$B298),5),"""")"),"")</f>
        <v/>
      </c>
      <c r="P298" s="25" t="str">
        <f>IFERROR(__xludf.DUMMYFUNCTION("IFERROR(INDEX(FILTER('Kế hoạch chèn link (mới)'!$B$3:$B$2213,'Kế hoạch chèn link (mới)'!$D$3:$D$2213=$B298),5),"""")"),"")</f>
        <v/>
      </c>
    </row>
    <row r="299">
      <c r="A299" s="6">
        <f t="shared" si="1"/>
        <v>298</v>
      </c>
      <c r="B299" s="8" t="s">
        <v>646</v>
      </c>
      <c r="C299" s="6">
        <f>COUNTIF('Kế hoạch chèn link (mới)'!$D$3:$D$2213,$B299)</f>
        <v>3</v>
      </c>
      <c r="D299" s="8" t="str">
        <f>IF(COUNTIFS('Kế hoạch chèn link (mới)'!$D$3:$D$2213,$B299,'Kế hoạch chèn link (mới)'!$I$3:$I$2213,"Đã chèn")&gt;=$C299,"Đã hoàn thành",IF(COUNTIFS('Kế hoạch chèn link (mới)'!$D$3:$D$2213,$B299,'Kế hoạch chèn link (mới)'!$I$3:$I$2213,"Đã chèn")&gt;0,"Đang làm","Chưa hoàn thành"))</f>
        <v>Chưa hoàn thành</v>
      </c>
      <c r="E299" s="8" t="b">
        <f t="shared" si="2"/>
        <v>0</v>
      </c>
      <c r="F299" s="25"/>
      <c r="G299" s="25" t="str">
        <f>IFERROR(__xludf.DUMMYFUNCTION("IFERROR(INDEX(FILTER('Kế hoạch chèn link (mới)'!$C$3:$C$2213,'Kế hoạch chèn link (mới)'!$D$3:$D$2213=$B299),1),"""")"),"nộp thuế online")</f>
        <v>nộp thuế online</v>
      </c>
      <c r="H299" s="25" t="str">
        <f>IFERROR(__xludf.DUMMYFUNCTION("IFERROR(INDEX(FILTER('Kế hoạch chèn link (mới)'!$B$3:$B$2213,'Kế hoạch chèn link (mới)'!$D$3:$D$2213=$B299),1),"""")"),"https://techcombank.com/thong-tin/blog/cach-nop-thue-dien-tu")</f>
        <v>https://techcombank.com/thong-tin/blog/cach-nop-thue-dien-tu</v>
      </c>
      <c r="I299" s="25" t="str">
        <f>IFERROR(__xludf.DUMMYFUNCTION("IFERROR(INDEX(FILTER('Kế hoạch chèn link (mới)'!$C$3:$C$2213,'Kế hoạch chèn link (mới)'!$D$3:$D$2213=$B299),2),"""")"),"thuế thu nhập cá nhân")</f>
        <v>thuế thu nhập cá nhân</v>
      </c>
      <c r="J299" s="25" t="str">
        <f>IFERROR(__xludf.DUMMYFUNCTION("IFERROR(INDEX(FILTER('Kế hoạch chèn link (mới)'!$B$3:$B$2213,'Kế hoạch chèn link (mới)'!$D$3:$D$2213=$B299),2),"""")"),"https://techcombank.com/thong-tin/blog/cach-tinh-thue-thu-nhap-ca-nhan-2025")</f>
        <v>https://techcombank.com/thong-tin/blog/cach-tinh-thue-thu-nhap-ca-nhan-2025</v>
      </c>
      <c r="K299" s="25" t="str">
        <f>IFERROR(__xludf.DUMMYFUNCTION("IFERROR(INDEX(FILTER('Kế hoạch chèn link (mới)'!$C$3:$C$2213,'Kế hoạch chèn link (mới)'!$D$3:$D$2213=$B299),3),"""")"),"mô hình kinh doanh là gì")</f>
        <v>mô hình kinh doanh là gì</v>
      </c>
      <c r="L299" s="25" t="str">
        <f>IFERROR(__xludf.DUMMYFUNCTION("IFERROR(INDEX(FILTER('Kế hoạch chèn link (mới)'!$B$3:$B$2213,'Kế hoạch chèn link (mới)'!$D$3:$D$2213=$B299),3),"""")"),"https://techcombank.com/thong-tin/blog/mo-hinh-kinh-doanh-la-gi")</f>
        <v>https://techcombank.com/thong-tin/blog/mo-hinh-kinh-doanh-la-gi</v>
      </c>
      <c r="M299" s="25" t="str">
        <f>IFERROR(__xludf.DUMMYFUNCTION("IFERROR(INDEX(FILTER('Kế hoạch chèn link (mới)'!$C$3:$C$2213,'Kế hoạch chèn link (mới)'!$D$3:$D$2213=$B299),4),"""")"),"")</f>
        <v/>
      </c>
      <c r="N299" s="25" t="str">
        <f>IFERROR(__xludf.DUMMYFUNCTION("IFERROR(INDEX(FILTER('Kế hoạch chèn link (mới)'!$B$3:$B$2213,'Kế hoạch chèn link (mới)'!$D$3:$D$2213=$B299),4),"""")"),"")</f>
        <v/>
      </c>
      <c r="O299" s="25" t="str">
        <f>IFERROR(__xludf.DUMMYFUNCTION("IFERROR(INDEX(FILTER('Kế hoạch chèn link (mới)'!$C$3:$C$2213,'Kế hoạch chèn link (mới)'!$D$3:$D$2213=$B299),5),"""")"),"")</f>
        <v/>
      </c>
      <c r="P299" s="25" t="str">
        <f>IFERROR(__xludf.DUMMYFUNCTION("IFERROR(INDEX(FILTER('Kế hoạch chèn link (mới)'!$B$3:$B$2213,'Kế hoạch chèn link (mới)'!$D$3:$D$2213=$B299),5),"""")"),"")</f>
        <v/>
      </c>
    </row>
    <row r="300">
      <c r="A300" s="6">
        <f t="shared" si="1"/>
        <v>299</v>
      </c>
      <c r="B300" s="8" t="s">
        <v>954</v>
      </c>
      <c r="C300" s="6">
        <f>COUNTIF('Kế hoạch chèn link (mới)'!$D$3:$D$2213,$B300)</f>
        <v>4</v>
      </c>
      <c r="D300" s="8" t="str">
        <f>IF(COUNTIFS('Kế hoạch chèn link (mới)'!$D$3:$D$2213,$B300,'Kế hoạch chèn link (mới)'!$I$3:$I$2213,"Đã chèn")&gt;=$C300,"Đã hoàn thành",IF(COUNTIFS('Kế hoạch chèn link (mới)'!$D$3:$D$2213,$B300,'Kế hoạch chèn link (mới)'!$I$3:$I$2213,"Đã chèn")&gt;0,"Đang làm","Chưa hoàn thành"))</f>
        <v>Chưa hoàn thành</v>
      </c>
      <c r="E300" s="8" t="b">
        <f t="shared" si="2"/>
        <v>0</v>
      </c>
      <c r="F300" s="25"/>
      <c r="G300" s="25" t="str">
        <f>IFERROR(__xludf.DUMMYFUNCTION("IFERROR(INDEX(FILTER('Kế hoạch chèn link (mới)'!$C$3:$C$2213,'Kế hoạch chèn link (mới)'!$D$3:$D$2213=$B300),1),"""")"),"thuế giá trị gia tăng")</f>
        <v>thuế giá trị gia tăng</v>
      </c>
      <c r="H300" s="25" t="str">
        <f>IFERROR(__xludf.DUMMYFUNCTION("IFERROR(INDEX(FILTER('Kế hoạch chèn link (mới)'!$B$3:$B$2213,'Kế hoạch chèn link (mới)'!$D$3:$D$2213=$B300),1),"""")"),"https://techcombank.com/thong-tin/blog/thue-vat-la-gi")</f>
        <v>https://techcombank.com/thong-tin/blog/thue-vat-la-gi</v>
      </c>
      <c r="I300" s="25" t="str">
        <f>IFERROR(__xludf.DUMMYFUNCTION("IFERROR(INDEX(FILTER('Kế hoạch chèn link (mới)'!$C$3:$C$2213,'Kế hoạch chèn link (mới)'!$D$3:$D$2213=$B300),2),"""")"),"thuế thu nhập cá nhân")</f>
        <v>thuế thu nhập cá nhân</v>
      </c>
      <c r="J300" s="25" t="str">
        <f>IFERROR(__xludf.DUMMYFUNCTION("IFERROR(INDEX(FILTER('Kế hoạch chèn link (mới)'!$B$3:$B$2213,'Kế hoạch chèn link (mới)'!$D$3:$D$2213=$B300),2),"""")"),"https://techcombank.com/thong-tin/blog/cach-tinh-thue-thu-nhap-ca-nhan-2025")</f>
        <v>https://techcombank.com/thong-tin/blog/cach-tinh-thue-thu-nhap-ca-nhan-2025</v>
      </c>
      <c r="K300" s="25" t="str">
        <f>IFERROR(__xludf.DUMMYFUNCTION("IFERROR(INDEX(FILTER('Kế hoạch chèn link (mới)'!$C$3:$C$2213,'Kế hoạch chèn link (mới)'!$D$3:$D$2213=$B300),3),"""")"),"thuế thu nhập cá nhân")</f>
        <v>thuế thu nhập cá nhân</v>
      </c>
      <c r="L300" s="25" t="str">
        <f>IFERROR(__xludf.DUMMYFUNCTION("IFERROR(INDEX(FILTER('Kế hoạch chèn link (mới)'!$B$3:$B$2213,'Kế hoạch chèn link (mới)'!$D$3:$D$2213=$B300),3),"""")"),"https://techcombank.com/thong-tin/blog/thue-thu-nhap-ca-nhan")</f>
        <v>https://techcombank.com/thong-tin/blog/thue-thu-nhap-ca-nhan</v>
      </c>
      <c r="M300" s="25" t="str">
        <f>IFERROR(__xludf.DUMMYFUNCTION("IFERROR(INDEX(FILTER('Kế hoạch chèn link (mới)'!$C$3:$C$2213,'Kế hoạch chèn link (mới)'!$D$3:$D$2213=$B300),4),"""")"),"mô hình kinh doanh")</f>
        <v>mô hình kinh doanh</v>
      </c>
      <c r="N300" s="25" t="str">
        <f>IFERROR(__xludf.DUMMYFUNCTION("IFERROR(INDEX(FILTER('Kế hoạch chèn link (mới)'!$B$3:$B$2213,'Kế hoạch chèn link (mới)'!$D$3:$D$2213=$B300),4),"""")"),"https://techcombank.com/thong-tin/blog/mo-hinh-kinh-doanh-la-gi")</f>
        <v>https://techcombank.com/thong-tin/blog/mo-hinh-kinh-doanh-la-gi</v>
      </c>
      <c r="O300" s="25" t="str">
        <f>IFERROR(__xludf.DUMMYFUNCTION("IFERROR(INDEX(FILTER('Kế hoạch chèn link (mới)'!$C$3:$C$2213,'Kế hoạch chèn link (mới)'!$D$3:$D$2213=$B300),5),"""")"),"")</f>
        <v/>
      </c>
      <c r="P300" s="25" t="str">
        <f>IFERROR(__xludf.DUMMYFUNCTION("IFERROR(INDEX(FILTER('Kế hoạch chèn link (mới)'!$B$3:$B$2213,'Kế hoạch chèn link (mới)'!$D$3:$D$2213=$B300),5),"""")"),"")</f>
        <v/>
      </c>
    </row>
    <row r="301">
      <c r="A301" s="6">
        <f t="shared" si="1"/>
        <v>300</v>
      </c>
      <c r="B301" s="8" t="s">
        <v>1889</v>
      </c>
      <c r="C301" s="6">
        <f>COUNTIF('Kế hoạch chèn link (mới)'!$D$3:$D$2213,$B301)</f>
        <v>5</v>
      </c>
      <c r="D301" s="8" t="str">
        <f>IF(COUNTIFS('Kế hoạch chèn link (mới)'!$D$3:$D$2213,$B301,'Kế hoạch chèn link (mới)'!$I$3:$I$2213,"Đã chèn")&gt;=$C301,"Đã hoàn thành",IF(COUNTIFS('Kế hoạch chèn link (mới)'!$D$3:$D$2213,$B301,'Kế hoạch chèn link (mới)'!$I$3:$I$2213,"Đã chèn")&gt;0,"Đang làm","Chưa hoàn thành"))</f>
        <v>Chưa hoàn thành</v>
      </c>
      <c r="E301" s="8" t="b">
        <f t="shared" si="2"/>
        <v>0</v>
      </c>
      <c r="F301" s="25"/>
      <c r="G301" s="25" t="str">
        <f>IFERROR(__xludf.DUMMYFUNCTION("IFERROR(INDEX(FILTER('Kế hoạch chèn link (mới)'!$C$3:$C$2213,'Kế hoạch chèn link (mới)'!$D$3:$D$2213=$B301),1),"""")"),"ngân hàng uy tín")</f>
        <v>ngân hàng uy tín</v>
      </c>
      <c r="H301" s="25" t="str">
        <f>IFERROR(__xludf.DUMMYFUNCTION("IFERROR(INDEX(FILTER('Kế hoạch chèn link (mới)'!$B$3:$B$2213,'Kế hoạch chèn link (mới)'!$D$3:$D$2213=$B301),1),"""")"),"https://techcombank.com/thong-tin/blog/ngan-hang-uy-tin")</f>
        <v>https://techcombank.com/thong-tin/blog/ngan-hang-uy-tin</v>
      </c>
      <c r="I301" s="25" t="str">
        <f>IFERROR(__xludf.DUMMYFUNCTION("IFERROR(INDEX(FILTER('Kế hoạch chèn link (mới)'!$C$3:$C$2213,'Kế hoạch chèn link (mới)'!$D$3:$D$2213=$B301),2),"""")"),"chứng chỉ tiền gửi")</f>
        <v>chứng chỉ tiền gửi</v>
      </c>
      <c r="J301" s="25" t="str">
        <f>IFERROR(__xludf.DUMMYFUNCTION("IFERROR(INDEX(FILTER('Kế hoạch chèn link (mới)'!$B$3:$B$2213,'Kế hoạch chèn link (mới)'!$D$3:$D$2213=$B301),2),"""")"),"https://techcombank.com/thong-tin/blog/chung-chi-tien-gui-la-gi")</f>
        <v>https://techcombank.com/thong-tin/blog/chung-chi-tien-gui-la-gi</v>
      </c>
      <c r="K301" s="25" t="str">
        <f>IFERROR(__xludf.DUMMYFUNCTION("IFERROR(INDEX(FILTER('Kế hoạch chèn link (mới)'!$C$3:$C$2213,'Kế hoạch chèn link (mới)'!$D$3:$D$2213=$B301),3),"""")"),"lãi suất ngân hàng tiền gửi")</f>
        <v>lãi suất ngân hàng tiền gửi</v>
      </c>
      <c r="L301" s="25" t="str">
        <f>IFERROR(__xludf.DUMMYFUNCTION("IFERROR(INDEX(FILTER('Kế hoạch chèn link (mới)'!$B$3:$B$2213,'Kế hoạch chèn link (mới)'!$D$3:$D$2213=$B301),3),"""")"),"https://techcombank.com/thong-tin/blog/lai-suat-tiet-kiem")</f>
        <v>https://techcombank.com/thong-tin/blog/lai-suat-tiet-kiem</v>
      </c>
      <c r="M301" s="25" t="str">
        <f>IFERROR(__xludf.DUMMYFUNCTION("IFERROR(INDEX(FILTER('Kế hoạch chèn link (mới)'!$C$3:$C$2213,'Kế hoạch chèn link (mới)'!$D$3:$D$2213=$B301),4),"""")"),"tính lãi suất ngân hàng")</f>
        <v>tính lãi suất ngân hàng</v>
      </c>
      <c r="N301" s="25" t="str">
        <f>IFERROR(__xludf.DUMMYFUNCTION("IFERROR(INDEX(FILTER('Kế hoạch chèn link (mới)'!$B$3:$B$2213,'Kế hoạch chèn link (mới)'!$D$3:$D$2213=$B301),4),"""")"),"https://techcombank.com/thong-tin/blog/cach-tinh-lai-suat-tien-gui-tiet-kiem")</f>
        <v>https://techcombank.com/thong-tin/blog/cach-tinh-lai-suat-tien-gui-tiet-kiem</v>
      </c>
      <c r="O301" s="25" t="str">
        <f>IFERROR(__xludf.DUMMYFUNCTION("IFERROR(INDEX(FILTER('Kế hoạch chèn link (mới)'!$C$3:$C$2213,'Kế hoạch chèn link (mới)'!$D$3:$D$2213=$B301),5),"""")"),"gửi tiết kiệm online có an toàn không")</f>
        <v>gửi tiết kiệm online có an toàn không</v>
      </c>
      <c r="P301" s="25" t="str">
        <f>IFERROR(__xludf.DUMMYFUNCTION("IFERROR(INDEX(FILTER('Kế hoạch chèn link (mới)'!$B$3:$B$2213,'Kế hoạch chèn link (mới)'!$D$3:$D$2213=$B301),5),"""")"),"https://techcombank.com/thong-tin/blog/rui-ro-khi-gui-tiet-kiem-online")</f>
        <v>https://techcombank.com/thong-tin/blog/rui-ro-khi-gui-tiet-kiem-online</v>
      </c>
    </row>
    <row r="302">
      <c r="A302" s="6">
        <f t="shared" si="1"/>
        <v>301</v>
      </c>
      <c r="B302" s="8" t="s">
        <v>2927</v>
      </c>
      <c r="C302" s="6">
        <f>COUNTIF('Kế hoạch chèn link (mới)'!$D$3:$D$2213,$B302)</f>
        <v>2</v>
      </c>
      <c r="D302" s="8" t="str">
        <f>IF(COUNTIFS('Kế hoạch chèn link (mới)'!$D$3:$D$2213,$B302,'Kế hoạch chèn link (mới)'!$I$3:$I$2213,"Đã chèn")&gt;=$C302,"Đã hoàn thành",IF(COUNTIFS('Kế hoạch chèn link (mới)'!$D$3:$D$2213,$B302,'Kế hoạch chèn link (mới)'!$I$3:$I$2213,"Đã chèn")&gt;0,"Đang làm","Chưa hoàn thành"))</f>
        <v>Chưa hoàn thành</v>
      </c>
      <c r="E302" s="8" t="b">
        <f t="shared" si="2"/>
        <v>0</v>
      </c>
      <c r="F302" s="25"/>
      <c r="G302" s="25" t="str">
        <f>IFERROR(__xludf.DUMMYFUNCTION("IFERROR(INDEX(FILTER('Kế hoạch chèn link (mới)'!$C$3:$C$2213,'Kế hoạch chèn link (mới)'!$D$3:$D$2213=$B302),1),"""")"),"lãi suất ngân hàng")</f>
        <v>lãi suất ngân hàng</v>
      </c>
      <c r="H302" s="25" t="str">
        <f>IFERROR(__xludf.DUMMYFUNCTION("IFERROR(INDEX(FILTER('Kế hoạch chèn link (mới)'!$B$3:$B$2213,'Kế hoạch chèn link (mới)'!$D$3:$D$2213=$B302),1),"""")"),"https://techcombank.com/thong-tin/blog/lai-suat-tiet-kiem")</f>
        <v>https://techcombank.com/thong-tin/blog/lai-suat-tiet-kiem</v>
      </c>
      <c r="I302" s="25" t="str">
        <f>IFERROR(__xludf.DUMMYFUNCTION("IFERROR(INDEX(FILTER('Kế hoạch chèn link (mới)'!$C$3:$C$2213,'Kế hoạch chèn link (mới)'!$D$3:$D$2213=$B302),2),"""")"),"tính lãi suất ngân hàng")</f>
        <v>tính lãi suất ngân hàng</v>
      </c>
      <c r="J302" s="25" t="str">
        <f>IFERROR(__xludf.DUMMYFUNCTION("IFERROR(INDEX(FILTER('Kế hoạch chèn link (mới)'!$B$3:$B$2213,'Kế hoạch chèn link (mới)'!$D$3:$D$2213=$B302),2),"""")"),"https://techcombank.com/thong-tin/blog/cach-tinh-lai-suat-tien-gui-tiet-kiem")</f>
        <v>https://techcombank.com/thong-tin/blog/cach-tinh-lai-suat-tien-gui-tiet-kiem</v>
      </c>
      <c r="K302" s="25" t="str">
        <f>IFERROR(__xludf.DUMMYFUNCTION("IFERROR(INDEX(FILTER('Kế hoạch chèn link (mới)'!$C$3:$C$2213,'Kế hoạch chèn link (mới)'!$D$3:$D$2213=$B302),3),"""")"),"")</f>
        <v/>
      </c>
      <c r="L302" s="25" t="str">
        <f>IFERROR(__xludf.DUMMYFUNCTION("IFERROR(INDEX(FILTER('Kế hoạch chèn link (mới)'!$B$3:$B$2213,'Kế hoạch chèn link (mới)'!$D$3:$D$2213=$B302),3),"""")"),"")</f>
        <v/>
      </c>
      <c r="M302" s="25" t="str">
        <f>IFERROR(__xludf.DUMMYFUNCTION("IFERROR(INDEX(FILTER('Kế hoạch chèn link (mới)'!$C$3:$C$2213,'Kế hoạch chèn link (mới)'!$D$3:$D$2213=$B302),4),"""")"),"")</f>
        <v/>
      </c>
      <c r="N302" s="25" t="str">
        <f>IFERROR(__xludf.DUMMYFUNCTION("IFERROR(INDEX(FILTER('Kế hoạch chèn link (mới)'!$B$3:$B$2213,'Kế hoạch chèn link (mới)'!$D$3:$D$2213=$B302),4),"""")"),"")</f>
        <v/>
      </c>
      <c r="O302" s="25" t="str">
        <f>IFERROR(__xludf.DUMMYFUNCTION("IFERROR(INDEX(FILTER('Kế hoạch chèn link (mới)'!$C$3:$C$2213,'Kế hoạch chèn link (mới)'!$D$3:$D$2213=$B302),5),"""")"),"")</f>
        <v/>
      </c>
      <c r="P302" s="25" t="str">
        <f>IFERROR(__xludf.DUMMYFUNCTION("IFERROR(INDEX(FILTER('Kế hoạch chèn link (mới)'!$B$3:$B$2213,'Kế hoạch chèn link (mới)'!$D$3:$D$2213=$B302),5),"""")"),"")</f>
        <v/>
      </c>
    </row>
    <row r="303">
      <c r="A303" s="6">
        <f t="shared" si="1"/>
        <v>302</v>
      </c>
      <c r="B303" s="8" t="s">
        <v>2928</v>
      </c>
      <c r="C303" s="6">
        <f>COUNTIF('Kế hoạch chèn link (mới)'!$D$3:$D$2213,$B303)</f>
        <v>4</v>
      </c>
      <c r="D303" s="8" t="str">
        <f>IF(COUNTIFS('Kế hoạch chèn link (mới)'!$D$3:$D$2213,$B303,'Kế hoạch chèn link (mới)'!$I$3:$I$2213,"Đã chèn")&gt;=$C303,"Đã hoàn thành",IF(COUNTIFS('Kế hoạch chèn link (mới)'!$D$3:$D$2213,$B303,'Kế hoạch chèn link (mới)'!$I$3:$I$2213,"Đã chèn")&gt;0,"Đang làm","Chưa hoàn thành"))</f>
        <v>Chưa hoàn thành</v>
      </c>
      <c r="E303" s="8" t="b">
        <f t="shared" si="2"/>
        <v>0</v>
      </c>
      <c r="F303" s="25"/>
      <c r="G303" s="25" t="str">
        <f>IFERROR(__xludf.DUMMYFUNCTION("IFERROR(INDEX(FILTER('Kế hoạch chèn link (mới)'!$C$3:$C$2213,'Kế hoạch chèn link (mới)'!$D$3:$D$2213=$B303),1),"""")"),"tra cứu cic")</f>
        <v>tra cứu cic</v>
      </c>
      <c r="H303" s="25" t="str">
        <f>IFERROR(__xludf.DUMMYFUNCTION("IFERROR(INDEX(FILTER('Kế hoạch chèn link (mới)'!$B$3:$B$2213,'Kế hoạch chèn link (mới)'!$D$3:$D$2213=$B303),1),"""")"),"https://techcombank.com/thong-tin/blog/cic-la-gi")</f>
        <v>https://techcombank.com/thong-tin/blog/cic-la-gi</v>
      </c>
      <c r="I303" s="25" t="str">
        <f>IFERROR(__xludf.DUMMYFUNCTION("IFERROR(INDEX(FILTER('Kế hoạch chèn link (mới)'!$C$3:$C$2213,'Kế hoạch chèn link (mới)'!$D$3:$D$2213=$B303),2),"""")"),"lãi suất vay thế chấp sổ đỏ")</f>
        <v>lãi suất vay thế chấp sổ đỏ</v>
      </c>
      <c r="J303" s="25" t="str">
        <f>IFERROR(__xludf.DUMMYFUNCTION("IFERROR(INDEX(FILTER('Kế hoạch chèn link (mới)'!$B$3:$B$2213,'Kế hoạch chèn link (mới)'!$D$3:$D$2213=$B303),2),"""")"),"https://techcombank.com/thong-tin/blog/lai-suat-vay-the-chap-so-do")</f>
        <v>https://techcombank.com/thong-tin/blog/lai-suat-vay-the-chap-so-do</v>
      </c>
      <c r="K303" s="25" t="str">
        <f>IFERROR(__xludf.DUMMYFUNCTION("IFERROR(INDEX(FILTER('Kế hoạch chèn link (mới)'!$C$3:$C$2213,'Kế hoạch chèn link (mới)'!$D$3:$D$2213=$B303),3),"""")"),"lãi suất ngân hàng hiện nay")</f>
        <v>lãi suất ngân hàng hiện nay</v>
      </c>
      <c r="L303" s="25" t="str">
        <f>IFERROR(__xludf.DUMMYFUNCTION("IFERROR(INDEX(FILTER('Kế hoạch chèn link (mới)'!$B$3:$B$2213,'Kế hoạch chèn link (mới)'!$D$3:$D$2213=$B303),3),"""")"),"https://techcombank.com/thong-tin/blog/lai-suat-tiet-kiem")</f>
        <v>https://techcombank.com/thong-tin/blog/lai-suat-tiet-kiem</v>
      </c>
      <c r="M303" s="25" t="str">
        <f>IFERROR(__xludf.DUMMYFUNCTION("IFERROR(INDEX(FILTER('Kế hoạch chèn link (mới)'!$C$3:$C$2213,'Kế hoạch chèn link (mới)'!$D$3:$D$2213=$B303),4),"""")"),"cách tính lãi suất ngân hàng")</f>
        <v>cách tính lãi suất ngân hàng</v>
      </c>
      <c r="N303" s="25" t="str">
        <f>IFERROR(__xludf.DUMMYFUNCTION("IFERROR(INDEX(FILTER('Kế hoạch chèn link (mới)'!$B$3:$B$2213,'Kế hoạch chèn link (mới)'!$D$3:$D$2213=$B303),4),"""")"),"https://techcombank.com/thong-tin/blog/cach-tinh-lai-suat-tien-gui-tiet-kiem")</f>
        <v>https://techcombank.com/thong-tin/blog/cach-tinh-lai-suat-tien-gui-tiet-kiem</v>
      </c>
      <c r="O303" s="25" t="str">
        <f>IFERROR(__xludf.DUMMYFUNCTION("IFERROR(INDEX(FILTER('Kế hoạch chèn link (mới)'!$C$3:$C$2213,'Kế hoạch chèn link (mới)'!$D$3:$D$2213=$B303),5),"""")"),"")</f>
        <v/>
      </c>
      <c r="P303" s="25" t="str">
        <f>IFERROR(__xludf.DUMMYFUNCTION("IFERROR(INDEX(FILTER('Kế hoạch chèn link (mới)'!$B$3:$B$2213,'Kế hoạch chèn link (mới)'!$D$3:$D$2213=$B303),5),"""")"),"")</f>
        <v/>
      </c>
    </row>
    <row r="304">
      <c r="A304" s="6">
        <f t="shared" si="1"/>
        <v>303</v>
      </c>
      <c r="B304" s="8" t="s">
        <v>2929</v>
      </c>
      <c r="C304" s="6">
        <f>COUNTIF('Kế hoạch chèn link (mới)'!$D$3:$D$2213,$B304)</f>
        <v>3</v>
      </c>
      <c r="D304" s="8" t="str">
        <f>IF(COUNTIFS('Kế hoạch chèn link (mới)'!$D$3:$D$2213,$B304,'Kế hoạch chèn link (mới)'!$I$3:$I$2213,"Đã chèn")&gt;=$C304,"Đã hoàn thành",IF(COUNTIFS('Kế hoạch chèn link (mới)'!$D$3:$D$2213,$B304,'Kế hoạch chèn link (mới)'!$I$3:$I$2213,"Đã chèn")&gt;0,"Đang làm","Chưa hoàn thành"))</f>
        <v>Chưa hoàn thành</v>
      </c>
      <c r="E304" s="8" t="b">
        <f t="shared" si="2"/>
        <v>0</v>
      </c>
      <c r="F304" s="25"/>
      <c r="G304" s="25" t="str">
        <f>IFERROR(__xludf.DUMMYFUNCTION("IFERROR(INDEX(FILTER('Kế hoạch chèn link (mới)'!$C$3:$C$2213,'Kế hoạch chèn link (mới)'!$D$3:$D$2213=$B304),1),"""")"),"cic là gì")</f>
        <v>cic là gì</v>
      </c>
      <c r="H304" s="25" t="str">
        <f>IFERROR(__xludf.DUMMYFUNCTION("IFERROR(INDEX(FILTER('Kế hoạch chèn link (mới)'!$B$3:$B$2213,'Kế hoạch chèn link (mới)'!$D$3:$D$2213=$B304),1),"""")"),"https://techcombank.com/thong-tin/blog/cic-la-gi")</f>
        <v>https://techcombank.com/thong-tin/blog/cic-la-gi</v>
      </c>
      <c r="I304" s="25" t="str">
        <f>IFERROR(__xludf.DUMMYFUNCTION("IFERROR(INDEX(FILTER('Kế hoạch chèn link (mới)'!$C$3:$C$2213,'Kế hoạch chèn link (mới)'!$D$3:$D$2213=$B304),2),"""")"),"xếp hạng tín dụng")</f>
        <v>xếp hạng tín dụng</v>
      </c>
      <c r="J304" s="25" t="str">
        <f>IFERROR(__xludf.DUMMYFUNCTION("IFERROR(INDEX(FILTER('Kế hoạch chèn link (mới)'!$B$3:$B$2213,'Kế hoạch chèn link (mới)'!$D$3:$D$2213=$B304),2),"""")"),"https://techcombank.com/thong-tin/blog/xep-hang-tin-dung")</f>
        <v>https://techcombank.com/thong-tin/blog/xep-hang-tin-dung</v>
      </c>
      <c r="K304" s="25" t="str">
        <f>IFERROR(__xludf.DUMMYFUNCTION("IFERROR(INDEX(FILTER('Kế hoạch chèn link (mới)'!$C$3:$C$2213,'Kế hoạch chèn link (mới)'!$D$3:$D$2213=$B304),3),"""")"),"lãi suất cho vay ngân hàng")</f>
        <v>lãi suất cho vay ngân hàng</v>
      </c>
      <c r="L304" s="25" t="str">
        <f>IFERROR(__xludf.DUMMYFUNCTION("IFERROR(INDEX(FILTER('Kế hoạch chèn link (mới)'!$B$3:$B$2213,'Kế hoạch chèn link (mới)'!$D$3:$D$2213=$B304),3),"""")"),"https://techcombank.com/thong-tin/blog/lai-suat-vay-ngan-hang")</f>
        <v>https://techcombank.com/thong-tin/blog/lai-suat-vay-ngan-hang</v>
      </c>
      <c r="M304" s="25" t="str">
        <f>IFERROR(__xludf.DUMMYFUNCTION("IFERROR(INDEX(FILTER('Kế hoạch chèn link (mới)'!$C$3:$C$2213,'Kế hoạch chèn link (mới)'!$D$3:$D$2213=$B304),4),"""")"),"")</f>
        <v/>
      </c>
      <c r="N304" s="25" t="str">
        <f>IFERROR(__xludf.DUMMYFUNCTION("IFERROR(INDEX(FILTER('Kế hoạch chèn link (mới)'!$B$3:$B$2213,'Kế hoạch chèn link (mới)'!$D$3:$D$2213=$B304),4),"""")"),"")</f>
        <v/>
      </c>
      <c r="O304" s="25" t="str">
        <f>IFERROR(__xludf.DUMMYFUNCTION("IFERROR(INDEX(FILTER('Kế hoạch chèn link (mới)'!$C$3:$C$2213,'Kế hoạch chèn link (mới)'!$D$3:$D$2213=$B304),5),"""")"),"")</f>
        <v/>
      </c>
      <c r="P304" s="25" t="str">
        <f>IFERROR(__xludf.DUMMYFUNCTION("IFERROR(INDEX(FILTER('Kế hoạch chèn link (mới)'!$B$3:$B$2213,'Kế hoạch chèn link (mới)'!$D$3:$D$2213=$B304),5),"""")"),"")</f>
        <v/>
      </c>
    </row>
    <row r="305">
      <c r="A305" s="6">
        <f t="shared" si="1"/>
        <v>304</v>
      </c>
      <c r="B305" s="8" t="s">
        <v>2930</v>
      </c>
      <c r="C305" s="6">
        <f>COUNTIF('Kế hoạch chèn link (mới)'!$D$3:$D$2213,$B305)</f>
        <v>2</v>
      </c>
      <c r="D305" s="8" t="str">
        <f>IF(COUNTIFS('Kế hoạch chèn link (mới)'!$D$3:$D$2213,$B305,'Kế hoạch chèn link (mới)'!$I$3:$I$2213,"Đã chèn")&gt;=$C305,"Đã hoàn thành",IF(COUNTIFS('Kế hoạch chèn link (mới)'!$D$3:$D$2213,$B305,'Kế hoạch chèn link (mới)'!$I$3:$I$2213,"Đã chèn")&gt;0,"Đang làm","Chưa hoàn thành"))</f>
        <v>Chưa hoàn thành</v>
      </c>
      <c r="E305" s="8" t="b">
        <f t="shared" si="2"/>
        <v>0</v>
      </c>
      <c r="F305" s="25"/>
      <c r="G305" s="25" t="str">
        <f>IFERROR(__xludf.DUMMYFUNCTION("IFERROR(INDEX(FILTER('Kế hoạch chèn link (mới)'!$C$3:$C$2213,'Kế hoạch chèn link (mới)'!$D$3:$D$2213=$B305),1),"""")"),"cách tính lãi suất vay ngân hàng")</f>
        <v>cách tính lãi suất vay ngân hàng</v>
      </c>
      <c r="H305" s="25" t="str">
        <f>IFERROR(__xludf.DUMMYFUNCTION("IFERROR(INDEX(FILTER('Kế hoạch chèn link (mới)'!$B$3:$B$2213,'Kế hoạch chèn link (mới)'!$D$3:$D$2213=$B305),1),"""")"),"https://techcombank.com/thong-tin/blog/cach-tinh-lai-vay-ngan-hang")</f>
        <v>https://techcombank.com/thong-tin/blog/cach-tinh-lai-vay-ngan-hang</v>
      </c>
      <c r="I305" s="25" t="str">
        <f>IFERROR(__xludf.DUMMYFUNCTION("IFERROR(INDEX(FILTER('Kế hoạch chèn link (mới)'!$C$3:$C$2213,'Kế hoạch chèn link (mới)'!$D$3:$D$2213=$B305),2),"""")"),"tính lãi vay ngân hàng")</f>
        <v>tính lãi vay ngân hàng</v>
      </c>
      <c r="J305" s="25" t="str">
        <f>IFERROR(__xludf.DUMMYFUNCTION("IFERROR(INDEX(FILTER('Kế hoạch chèn link (mới)'!$B$3:$B$2213,'Kế hoạch chèn link (mới)'!$D$3:$D$2213=$B305),2),"""")"),"https://techcombank.com/cong-cu-tien-ich/cong-cu-tinh-toan/bang-tinh-lai-suat-vay")</f>
        <v>https://techcombank.com/cong-cu-tien-ich/cong-cu-tinh-toan/bang-tinh-lai-suat-vay</v>
      </c>
      <c r="K305" s="25" t="str">
        <f>IFERROR(__xludf.DUMMYFUNCTION("IFERROR(INDEX(FILTER('Kế hoạch chèn link (mới)'!$C$3:$C$2213,'Kế hoạch chèn link (mới)'!$D$3:$D$2213=$B305),3),"""")"),"")</f>
        <v/>
      </c>
      <c r="L305" s="25" t="str">
        <f>IFERROR(__xludf.DUMMYFUNCTION("IFERROR(INDEX(FILTER('Kế hoạch chèn link (mới)'!$B$3:$B$2213,'Kế hoạch chèn link (mới)'!$D$3:$D$2213=$B305),3),"""")"),"")</f>
        <v/>
      </c>
      <c r="M305" s="25" t="str">
        <f>IFERROR(__xludf.DUMMYFUNCTION("IFERROR(INDEX(FILTER('Kế hoạch chèn link (mới)'!$C$3:$C$2213,'Kế hoạch chèn link (mới)'!$D$3:$D$2213=$B305),4),"""")"),"")</f>
        <v/>
      </c>
      <c r="N305" s="25" t="str">
        <f>IFERROR(__xludf.DUMMYFUNCTION("IFERROR(INDEX(FILTER('Kế hoạch chèn link (mới)'!$B$3:$B$2213,'Kế hoạch chèn link (mới)'!$D$3:$D$2213=$B305),4),"""")"),"")</f>
        <v/>
      </c>
      <c r="O305" s="25" t="str">
        <f>IFERROR(__xludf.DUMMYFUNCTION("IFERROR(INDEX(FILTER('Kế hoạch chèn link (mới)'!$C$3:$C$2213,'Kế hoạch chèn link (mới)'!$D$3:$D$2213=$B305),5),"""")"),"")</f>
        <v/>
      </c>
      <c r="P305" s="25" t="str">
        <f>IFERROR(__xludf.DUMMYFUNCTION("IFERROR(INDEX(FILTER('Kế hoạch chèn link (mới)'!$B$3:$B$2213,'Kế hoạch chèn link (mới)'!$D$3:$D$2213=$B305),5),"""")"),"")</f>
        <v/>
      </c>
    </row>
    <row r="306">
      <c r="A306" s="6">
        <f t="shared" si="1"/>
        <v>305</v>
      </c>
      <c r="B306" s="8" t="s">
        <v>2932</v>
      </c>
      <c r="C306" s="6">
        <f>COUNTIF('Kế hoạch chèn link (mới)'!$D$3:$D$2213,$B306)</f>
        <v>3</v>
      </c>
      <c r="D306" s="8" t="str">
        <f>IF(COUNTIFS('Kế hoạch chèn link (mới)'!$D$3:$D$2213,$B306,'Kế hoạch chèn link (mới)'!$I$3:$I$2213,"Đã chèn")&gt;=$C306,"Đã hoàn thành",IF(COUNTIFS('Kế hoạch chèn link (mới)'!$D$3:$D$2213,$B306,'Kế hoạch chèn link (mới)'!$I$3:$I$2213,"Đã chèn")&gt;0,"Đang làm","Chưa hoàn thành"))</f>
        <v>Chưa hoàn thành</v>
      </c>
      <c r="E306" s="8" t="b">
        <f t="shared" si="2"/>
        <v>0</v>
      </c>
      <c r="F306" s="25"/>
      <c r="G306" s="25" t="str">
        <f>IFERROR(__xludf.DUMMYFUNCTION("IFERROR(INDEX(FILTER('Kế hoạch chèn link (mới)'!$C$3:$C$2213,'Kế hoạch chèn link (mới)'!$D$3:$D$2213=$B306),1),"""")"),"lãi suất chứng chỉ tiền gửi")</f>
        <v>lãi suất chứng chỉ tiền gửi</v>
      </c>
      <c r="H306" s="25" t="str">
        <f>IFERROR(__xludf.DUMMYFUNCTION("IFERROR(INDEX(FILTER('Kế hoạch chèn link (mới)'!$B$3:$B$2213,'Kế hoạch chèn link (mới)'!$D$3:$D$2213=$B306),1),"""")"),"https://techcombank.com/thong-tin/blog/lai-suat-chung-chi-tien-gui-cac-ngan-hang")</f>
        <v>https://techcombank.com/thong-tin/blog/lai-suat-chung-chi-tien-gui-cac-ngan-hang</v>
      </c>
      <c r="I306" s="25" t="str">
        <f>IFERROR(__xludf.DUMMYFUNCTION("IFERROR(INDEX(FILTER('Kế hoạch chèn link (mới)'!$C$3:$C$2213,'Kế hoạch chèn link (mới)'!$D$3:$D$2213=$B306),2),"""")"),"rút tiết kiệm trước hạn")</f>
        <v>rút tiết kiệm trước hạn</v>
      </c>
      <c r="J306" s="25" t="str">
        <f>IFERROR(__xludf.DUMMYFUNCTION("IFERROR(INDEX(FILTER('Kế hoạch chèn link (mới)'!$B$3:$B$2213,'Kế hoạch chèn link (mới)'!$D$3:$D$2213=$B306),2),"""")"),"https://techcombank.com/thong-tin/blog/rut-tien-tiet-kiem-truoc-thoi-han")</f>
        <v>https://techcombank.com/thong-tin/blog/rut-tien-tiet-kiem-truoc-thoi-han</v>
      </c>
      <c r="K306" s="25" t="str">
        <f>IFERROR(__xludf.DUMMYFUNCTION("IFERROR(INDEX(FILTER('Kế hoạch chèn link (mới)'!$C$3:$C$2213,'Kế hoạch chèn link (mới)'!$D$3:$D$2213=$B306),3),"""")"),"công cụ tính lãi tiết kiệm")</f>
        <v>công cụ tính lãi tiết kiệm</v>
      </c>
      <c r="L306" s="25" t="str">
        <f>IFERROR(__xludf.DUMMYFUNCTION("IFERROR(INDEX(FILTER('Kế hoạch chèn link (mới)'!$B$3:$B$2213,'Kế hoạch chèn link (mới)'!$D$3:$D$2213=$B306),3),"""")"),"https://techcombank.com/cong-cu-tien-ich/cong-cu-tinh-toan/bang-tinh-lai-suat-tiet-kiem")</f>
        <v>https://techcombank.com/cong-cu-tien-ich/cong-cu-tinh-toan/bang-tinh-lai-suat-tiet-kiem</v>
      </c>
      <c r="M306" s="25" t="str">
        <f>IFERROR(__xludf.DUMMYFUNCTION("IFERROR(INDEX(FILTER('Kế hoạch chèn link (mới)'!$C$3:$C$2213,'Kế hoạch chèn link (mới)'!$D$3:$D$2213=$B306),4),"""")"),"")</f>
        <v/>
      </c>
      <c r="N306" s="25" t="str">
        <f>IFERROR(__xludf.DUMMYFUNCTION("IFERROR(INDEX(FILTER('Kế hoạch chèn link (mới)'!$B$3:$B$2213,'Kế hoạch chèn link (mới)'!$D$3:$D$2213=$B306),4),"""")"),"")</f>
        <v/>
      </c>
      <c r="O306" s="25" t="str">
        <f>IFERROR(__xludf.DUMMYFUNCTION("IFERROR(INDEX(FILTER('Kế hoạch chèn link (mới)'!$C$3:$C$2213,'Kế hoạch chèn link (mới)'!$D$3:$D$2213=$B306),5),"""")"),"")</f>
        <v/>
      </c>
      <c r="P306" s="25" t="str">
        <f>IFERROR(__xludf.DUMMYFUNCTION("IFERROR(INDEX(FILTER('Kế hoạch chèn link (mới)'!$B$3:$B$2213,'Kế hoạch chèn link (mới)'!$D$3:$D$2213=$B306),5),"""")"),"")</f>
        <v/>
      </c>
    </row>
    <row r="307">
      <c r="A307" s="6">
        <f t="shared" si="1"/>
        <v>306</v>
      </c>
      <c r="B307" s="8" t="s">
        <v>2936</v>
      </c>
      <c r="C307" s="6">
        <f>COUNTIF('Kế hoạch chèn link (mới)'!$D$3:$D$2213,$B307)</f>
        <v>3</v>
      </c>
      <c r="D307" s="8" t="str">
        <f>IF(COUNTIFS('Kế hoạch chèn link (mới)'!$D$3:$D$2213,$B307,'Kế hoạch chèn link (mới)'!$I$3:$I$2213,"Đã chèn")&gt;=$C307,"Đã hoàn thành",IF(COUNTIFS('Kế hoạch chèn link (mới)'!$D$3:$D$2213,$B307,'Kế hoạch chèn link (mới)'!$I$3:$I$2213,"Đã chèn")&gt;0,"Đang làm","Chưa hoàn thành"))</f>
        <v>Chưa hoàn thành</v>
      </c>
      <c r="E307" s="8" t="b">
        <f t="shared" si="2"/>
        <v>0</v>
      </c>
      <c r="F307" s="25"/>
      <c r="G307" s="25" t="str">
        <f>IFERROR(__xludf.DUMMYFUNCTION("IFERROR(INDEX(FILTER('Kế hoạch chèn link (mới)'!$C$3:$C$2213,'Kế hoạch chèn link (mới)'!$D$3:$D$2213=$B307),1),"""")"),"lãi suất ngân hàng hiện nay")</f>
        <v>lãi suất ngân hàng hiện nay</v>
      </c>
      <c r="H307" s="25" t="str">
        <f>IFERROR(__xludf.DUMMYFUNCTION("IFERROR(INDEX(FILTER('Kế hoạch chèn link (mới)'!$B$3:$B$2213,'Kế hoạch chèn link (mới)'!$D$3:$D$2213=$B307),1),"""")"),"https://techcombank.com/thong-tin/blog/lai-suat-tiet-kiem")</f>
        <v>https://techcombank.com/thong-tin/blog/lai-suat-tiet-kiem</v>
      </c>
      <c r="I307" s="25" t="str">
        <f>IFERROR(__xludf.DUMMYFUNCTION("IFERROR(INDEX(FILTER('Kế hoạch chèn link (mới)'!$C$3:$C$2213,'Kế hoạch chèn link (mới)'!$D$3:$D$2213=$B307),2),"""")"),"tính lãi suất vay ngân hàng")</f>
        <v>tính lãi suất vay ngân hàng</v>
      </c>
      <c r="J307" s="25" t="str">
        <f>IFERROR(__xludf.DUMMYFUNCTION("IFERROR(INDEX(FILTER('Kế hoạch chèn link (mới)'!$B$3:$B$2213,'Kế hoạch chèn link (mới)'!$D$3:$D$2213=$B307),2),"""")"),"https://techcombank.com/cong-cu-tien-ich/cong-cu-tinh-toan/bang-tinh-lai-suat-vay")</f>
        <v>https://techcombank.com/cong-cu-tien-ich/cong-cu-tinh-toan/bang-tinh-lai-suat-vay</v>
      </c>
      <c r="K307" s="25" t="str">
        <f>IFERROR(__xludf.DUMMYFUNCTION("IFERROR(INDEX(FILTER('Kế hoạch chèn link (mới)'!$C$3:$C$2213,'Kế hoạch chèn link (mới)'!$D$3:$D$2213=$B307),3),"""")"),"lãi suất vay ngân hàng hiện nay")</f>
        <v>lãi suất vay ngân hàng hiện nay</v>
      </c>
      <c r="L307" s="25" t="str">
        <f>IFERROR(__xludf.DUMMYFUNCTION("IFERROR(INDEX(FILTER('Kế hoạch chèn link (mới)'!$B$3:$B$2213,'Kế hoạch chèn link (mới)'!$D$3:$D$2213=$B307),3),"""")"),"https://techcombank.com/thong-tin/blog/lai-suat-vay-ngan-hang")</f>
        <v>https://techcombank.com/thong-tin/blog/lai-suat-vay-ngan-hang</v>
      </c>
      <c r="M307" s="25" t="str">
        <f>IFERROR(__xludf.DUMMYFUNCTION("IFERROR(INDEX(FILTER('Kế hoạch chèn link (mới)'!$C$3:$C$2213,'Kế hoạch chèn link (mới)'!$D$3:$D$2213=$B307),4),"""")"),"")</f>
        <v/>
      </c>
      <c r="N307" s="25" t="str">
        <f>IFERROR(__xludf.DUMMYFUNCTION("IFERROR(INDEX(FILTER('Kế hoạch chèn link (mới)'!$B$3:$B$2213,'Kế hoạch chèn link (mới)'!$D$3:$D$2213=$B307),4),"""")"),"")</f>
        <v/>
      </c>
      <c r="O307" s="25" t="str">
        <f>IFERROR(__xludf.DUMMYFUNCTION("IFERROR(INDEX(FILTER('Kế hoạch chèn link (mới)'!$C$3:$C$2213,'Kế hoạch chèn link (mới)'!$D$3:$D$2213=$B307),5),"""")"),"")</f>
        <v/>
      </c>
      <c r="P307" s="25" t="str">
        <f>IFERROR(__xludf.DUMMYFUNCTION("IFERROR(INDEX(FILTER('Kế hoạch chèn link (mới)'!$B$3:$B$2213,'Kế hoạch chèn link (mới)'!$D$3:$D$2213=$B307),5),"""")"),"")</f>
        <v/>
      </c>
    </row>
    <row r="308">
      <c r="A308" s="6">
        <f t="shared" si="1"/>
        <v>307</v>
      </c>
      <c r="B308" s="8" t="s">
        <v>1521</v>
      </c>
      <c r="C308" s="6">
        <f>COUNTIF('Kế hoạch chèn link (mới)'!$D$3:$D$2213,$B308)</f>
        <v>5</v>
      </c>
      <c r="D308" s="8" t="str">
        <f>IF(COUNTIFS('Kế hoạch chèn link (mới)'!$D$3:$D$2213,$B308,'Kế hoạch chèn link (mới)'!$I$3:$I$2213,"Đã chèn")&gt;=$C308,"Đã hoàn thành",IF(COUNTIFS('Kế hoạch chèn link (mới)'!$D$3:$D$2213,$B308,'Kế hoạch chèn link (mới)'!$I$3:$I$2213,"Đã chèn")&gt;0,"Đang làm","Chưa hoàn thành"))</f>
        <v>Chưa hoàn thành</v>
      </c>
      <c r="E308" s="8" t="b">
        <f t="shared" si="2"/>
        <v>0</v>
      </c>
      <c r="F308" s="25"/>
      <c r="G308" s="25" t="str">
        <f>IFERROR(__xludf.DUMMYFUNCTION("IFERROR(INDEX(FILTER('Kế hoạch chèn link (mới)'!$C$3:$C$2213,'Kế hoạch chèn link (mới)'!$D$3:$D$2213=$B308),1),"""")"),"thuế thu nhập cá nhân")</f>
        <v>thuế thu nhập cá nhân</v>
      </c>
      <c r="H308" s="25" t="str">
        <f>IFERROR(__xludf.DUMMYFUNCTION("IFERROR(INDEX(FILTER('Kế hoạch chèn link (mới)'!$B$3:$B$2213,'Kế hoạch chèn link (mới)'!$D$3:$D$2213=$B308),1),"""")"),"https://techcombank.com/thong-tin/blog/cach-tinh-thue-thu-nhap-ca-nhan-2025")</f>
        <v>https://techcombank.com/thong-tin/blog/cach-tinh-thue-thu-nhap-ca-nhan-2025</v>
      </c>
      <c r="I308" s="25" t="str">
        <f>IFERROR(__xludf.DUMMYFUNCTION("IFERROR(INDEX(FILTER('Kế hoạch chèn link (mới)'!$C$3:$C$2213,'Kế hoạch chèn link (mới)'!$D$3:$D$2213=$B308),2),"""")"),"lãi suất chứng chỉ tiền gửi")</f>
        <v>lãi suất chứng chỉ tiền gửi</v>
      </c>
      <c r="J308" s="25" t="str">
        <f>IFERROR(__xludf.DUMMYFUNCTION("IFERROR(INDEX(FILTER('Kế hoạch chèn link (mới)'!$B$3:$B$2213,'Kế hoạch chèn link (mới)'!$D$3:$D$2213=$B308),2),"""")"),"https://techcombank.com/thong-tin/blog/lai-suat-chung-chi-tien-gui-cac-ngan-hang")</f>
        <v>https://techcombank.com/thong-tin/blog/lai-suat-chung-chi-tien-gui-cac-ngan-hang</v>
      </c>
      <c r="K308" s="25" t="str">
        <f>IFERROR(__xludf.DUMMYFUNCTION("IFERROR(INDEX(FILTER('Kế hoạch chèn link (mới)'!$C$3:$C$2213,'Kế hoạch chèn link (mới)'!$D$3:$D$2213=$B308),3),"""")"),"lãi suất tiền gửi ngân hàng")</f>
        <v>lãi suất tiền gửi ngân hàng</v>
      </c>
      <c r="L308" s="25" t="str">
        <f>IFERROR(__xludf.DUMMYFUNCTION("IFERROR(INDEX(FILTER('Kế hoạch chèn link (mới)'!$B$3:$B$2213,'Kế hoạch chèn link (mới)'!$D$3:$D$2213=$B308),3),"""")"),"https://techcombank.com/thong-tin/blog/lai-suat-tiet-kiem")</f>
        <v>https://techcombank.com/thong-tin/blog/lai-suat-tiet-kiem</v>
      </c>
      <c r="M308" s="25" t="str">
        <f>IFERROR(__xludf.DUMMYFUNCTION("IFERROR(INDEX(FILTER('Kế hoạch chèn link (mới)'!$C$3:$C$2213,'Kế hoạch chèn link (mới)'!$D$3:$D$2213=$B308),4),"""")"),"tính lãi suất tiết kiệm")</f>
        <v>tính lãi suất tiết kiệm</v>
      </c>
      <c r="N308" s="25" t="str">
        <f>IFERROR(__xludf.DUMMYFUNCTION("IFERROR(INDEX(FILTER('Kế hoạch chèn link (mới)'!$B$3:$B$2213,'Kế hoạch chèn link (mới)'!$D$3:$D$2213=$B308),4),"""")"),"https://techcombank.com/thong-tin/blog/cach-tinh-lai-suat-tien-gui-tiet-kiem")</f>
        <v>https://techcombank.com/thong-tin/blog/cach-tinh-lai-suat-tien-gui-tiet-kiem</v>
      </c>
      <c r="O308" s="25" t="str">
        <f>IFERROR(__xludf.DUMMYFUNCTION("IFERROR(INDEX(FILTER('Kế hoạch chèn link (mới)'!$C$3:$C$2213,'Kế hoạch chèn link (mới)'!$D$3:$D$2213=$B308),5),"""")"),"cách đầu tư chứng chỉ quỹ")</f>
        <v>cách đầu tư chứng chỉ quỹ</v>
      </c>
      <c r="P308" s="25" t="str">
        <f>IFERROR(__xludf.DUMMYFUNCTION("IFERROR(INDEX(FILTER('Kế hoạch chèn link (mới)'!$B$3:$B$2213,'Kế hoạch chèn link (mới)'!$D$3:$D$2213=$B308),5),"""")"),"https://techcombank.com/thong-tin/blog/phuong-phap-dau-tu-chung-chi-quy")</f>
        <v>https://techcombank.com/thong-tin/blog/phuong-phap-dau-tu-chung-chi-quy</v>
      </c>
    </row>
    <row r="309">
      <c r="A309" s="6">
        <f t="shared" si="1"/>
        <v>308</v>
      </c>
      <c r="B309" s="8" t="s">
        <v>961</v>
      </c>
      <c r="C309" s="6">
        <f>COUNTIF('Kế hoạch chèn link (mới)'!$D$3:$D$2213,$B309)</f>
        <v>5</v>
      </c>
      <c r="D309" s="8" t="str">
        <f>IF(COUNTIFS('Kế hoạch chèn link (mới)'!$D$3:$D$2213,$B309,'Kế hoạch chèn link (mới)'!$I$3:$I$2213,"Đã chèn")&gt;=$C309,"Đã hoàn thành",IF(COUNTIFS('Kế hoạch chèn link (mới)'!$D$3:$D$2213,$B309,'Kế hoạch chèn link (mới)'!$I$3:$I$2213,"Đã chèn")&gt;0,"Đang làm","Chưa hoàn thành"))</f>
        <v>Chưa hoàn thành</v>
      </c>
      <c r="E309" s="8" t="b">
        <f t="shared" si="2"/>
        <v>0</v>
      </c>
      <c r="F309" s="25"/>
      <c r="G309" s="25" t="str">
        <f>IFERROR(__xludf.DUMMYFUNCTION("IFERROR(INDEX(FILTER('Kế hoạch chèn link (mới)'!$C$3:$C$2213,'Kế hoạch chèn link (mới)'!$D$3:$D$2213=$B309),1),"""")"),"chọn ngân hàng uy tín")</f>
        <v>chọn ngân hàng uy tín</v>
      </c>
      <c r="H309" s="25" t="str">
        <f>IFERROR(__xludf.DUMMYFUNCTION("IFERROR(INDEX(FILTER('Kế hoạch chèn link (mới)'!$B$3:$B$2213,'Kế hoạch chèn link (mới)'!$D$3:$D$2213=$B309),1),"""")"),"https://techcombank.com/thong-tin/blog/ngan-hang-uy-tin")</f>
        <v>https://techcombank.com/thong-tin/blog/ngan-hang-uy-tin</v>
      </c>
      <c r="I309" s="25" t="str">
        <f>IFERROR(__xludf.DUMMYFUNCTION("IFERROR(INDEX(FILTER('Kế hoạch chèn link (mới)'!$C$3:$C$2213,'Kế hoạch chèn link (mới)'!$D$3:$D$2213=$B309),2),"""")"),"chứng chỉ tiền gửi")</f>
        <v>chứng chỉ tiền gửi</v>
      </c>
      <c r="J309" s="25" t="str">
        <f>IFERROR(__xludf.DUMMYFUNCTION("IFERROR(INDEX(FILTER('Kế hoạch chèn link (mới)'!$B$3:$B$2213,'Kế hoạch chèn link (mới)'!$D$3:$D$2213=$B309),2),"""")"),"https://techcombank.com/thong-tin/blog/chung-chi-tien-gui-la-gi")</f>
        <v>https://techcombank.com/thong-tin/blog/chung-chi-tien-gui-la-gi</v>
      </c>
      <c r="K309" s="25" t="str">
        <f>IFERROR(__xludf.DUMMYFUNCTION("IFERROR(INDEX(FILTER('Kế hoạch chèn link (mới)'!$C$3:$C$2213,'Kế hoạch chèn link (mới)'!$D$3:$D$2213=$B309),3),"""")"),"lãi suất ngân hàng tiền gửi")</f>
        <v>lãi suất ngân hàng tiền gửi</v>
      </c>
      <c r="L309" s="25" t="str">
        <f>IFERROR(__xludf.DUMMYFUNCTION("IFERROR(INDEX(FILTER('Kế hoạch chèn link (mới)'!$B$3:$B$2213,'Kế hoạch chèn link (mới)'!$D$3:$D$2213=$B309),3),"""")"),"https://techcombank.com/thong-tin/blog/lai-suat-tiet-kiem")</f>
        <v>https://techcombank.com/thong-tin/blog/lai-suat-tiet-kiem</v>
      </c>
      <c r="M309" s="25" t="str">
        <f>IFERROR(__xludf.DUMMYFUNCTION("IFERROR(INDEX(FILTER('Kế hoạch chèn link (mới)'!$C$3:$C$2213,'Kế hoạch chèn link (mới)'!$D$3:$D$2213=$B309),4),"""")"),"tính lãi suất ngân hàng")</f>
        <v>tính lãi suất ngân hàng</v>
      </c>
      <c r="N309" s="25" t="str">
        <f>IFERROR(__xludf.DUMMYFUNCTION("IFERROR(INDEX(FILTER('Kế hoạch chèn link (mới)'!$B$3:$B$2213,'Kế hoạch chèn link (mới)'!$D$3:$D$2213=$B309),4),"""")"),"https://techcombank.com/thong-tin/blog/cach-tinh-lai-suat-tien-gui-tiet-kiem")</f>
        <v>https://techcombank.com/thong-tin/blog/cach-tinh-lai-suat-tien-gui-tiet-kiem</v>
      </c>
      <c r="O309" s="25" t="str">
        <f>IFERROR(__xludf.DUMMYFUNCTION("IFERROR(INDEX(FILTER('Kế hoạch chèn link (mới)'!$C$3:$C$2213,'Kế hoạch chèn link (mới)'!$D$3:$D$2213=$B309),5),"""")"),"rút tiết kiệm trước hạn")</f>
        <v>rút tiết kiệm trước hạn</v>
      </c>
      <c r="P309" s="25" t="str">
        <f>IFERROR(__xludf.DUMMYFUNCTION("IFERROR(INDEX(FILTER('Kế hoạch chèn link (mới)'!$B$3:$B$2213,'Kế hoạch chèn link (mới)'!$D$3:$D$2213=$B309),5),"""")"),"https://techcombank.com/thong-tin/blog/rut-tien-tiet-kiem-truoc-thoi-han")</f>
        <v>https://techcombank.com/thong-tin/blog/rut-tien-tiet-kiem-truoc-thoi-han</v>
      </c>
    </row>
    <row r="310">
      <c r="A310" s="6">
        <f t="shared" si="1"/>
        <v>309</v>
      </c>
      <c r="B310" s="8" t="s">
        <v>2938</v>
      </c>
      <c r="C310" s="6">
        <f>COUNTIF('Kế hoạch chèn link (mới)'!$D$3:$D$2213,$B310)</f>
        <v>4</v>
      </c>
      <c r="D310" s="8" t="str">
        <f>IF(COUNTIFS('Kế hoạch chèn link (mới)'!$D$3:$D$2213,$B310,'Kế hoạch chèn link (mới)'!$I$3:$I$2213,"Đã chèn")&gt;=$C310,"Đã hoàn thành",IF(COUNTIFS('Kế hoạch chèn link (mới)'!$D$3:$D$2213,$B310,'Kế hoạch chèn link (mới)'!$I$3:$I$2213,"Đã chèn")&gt;0,"Đang làm","Chưa hoàn thành"))</f>
        <v>Chưa hoàn thành</v>
      </c>
      <c r="E310" s="8" t="b">
        <f t="shared" si="2"/>
        <v>0</v>
      </c>
      <c r="F310" s="25"/>
      <c r="G310" s="25" t="str">
        <f>IFERROR(__xludf.DUMMYFUNCTION("IFERROR(INDEX(FILTER('Kế hoạch chèn link (mới)'!$C$3:$C$2213,'Kế hoạch chèn link (mới)'!$D$3:$D$2213=$B310),1),"""")"),"tỷ giá USD/VND")</f>
        <v>tỷ giá USD/VND</v>
      </c>
      <c r="H310" s="25" t="str">
        <f>IFERROR(__xludf.DUMMYFUNCTION("IFERROR(INDEX(FILTER('Kế hoạch chèn link (mới)'!$B$3:$B$2213,'Kế hoạch chèn link (mới)'!$D$3:$D$2213=$B310),1),"""")"),"https://techcombank.com/thong-tin/blog/1-dong-do-la-my-bang-bao-nhieu-tien-viet-nam")</f>
        <v>https://techcombank.com/thong-tin/blog/1-dong-do-la-my-bang-bao-nhieu-tien-viet-nam</v>
      </c>
      <c r="I310" s="25" t="str">
        <f>IFERROR(__xludf.DUMMYFUNCTION("IFERROR(INDEX(FILTER('Kế hoạch chèn link (mới)'!$C$3:$C$2213,'Kế hoạch chèn link (mới)'!$D$3:$D$2213=$B310),2),"""")"),"lãi suất ngân hàng hiện nay")</f>
        <v>lãi suất ngân hàng hiện nay</v>
      </c>
      <c r="J310" s="25" t="str">
        <f>IFERROR(__xludf.DUMMYFUNCTION("IFERROR(INDEX(FILTER('Kế hoạch chèn link (mới)'!$B$3:$B$2213,'Kế hoạch chèn link (mới)'!$D$3:$D$2213=$B310),2),"""")"),"https://techcombank.com/thong-tin/blog/lai-suat-tiet-kiem")</f>
        <v>https://techcombank.com/thong-tin/blog/lai-suat-tiet-kiem</v>
      </c>
      <c r="K310" s="25" t="str">
        <f>IFERROR(__xludf.DUMMYFUNCTION("IFERROR(INDEX(FILTER('Kế hoạch chèn link (mới)'!$C$3:$C$2213,'Kế hoạch chèn link (mới)'!$D$3:$D$2213=$B310),3),"""")"),"tính lãi suất tiết kiệm")</f>
        <v>tính lãi suất tiết kiệm</v>
      </c>
      <c r="L310" s="25" t="str">
        <f>IFERROR(__xludf.DUMMYFUNCTION("IFERROR(INDEX(FILTER('Kế hoạch chèn link (mới)'!$B$3:$B$2213,'Kế hoạch chèn link (mới)'!$D$3:$D$2213=$B310),3),"""")"),"https://techcombank.com/thong-tin/blog/cach-tinh-lai-suat-tien-gui-tiet-kiem")</f>
        <v>https://techcombank.com/thong-tin/blog/cach-tinh-lai-suat-tien-gui-tiet-kiem</v>
      </c>
      <c r="M310" s="25" t="str">
        <f>IFERROR(__xludf.DUMMYFUNCTION("IFERROR(INDEX(FILTER('Kế hoạch chèn link (mới)'!$C$3:$C$2213,'Kế hoạch chèn link (mới)'!$D$3:$D$2213=$B310),4),"""")"),"bảng tính lãi suất tiết kiệm")</f>
        <v>bảng tính lãi suất tiết kiệm</v>
      </c>
      <c r="N310" s="25" t="str">
        <f>IFERROR(__xludf.DUMMYFUNCTION("IFERROR(INDEX(FILTER('Kế hoạch chèn link (mới)'!$B$3:$B$2213,'Kế hoạch chèn link (mới)'!$D$3:$D$2213=$B310),4),"""")"),"https://techcombank.com/cong-cu-tien-ich/cong-cu-tinh-toan/bang-tinh-lai-suat-tiet-kiem")</f>
        <v>https://techcombank.com/cong-cu-tien-ich/cong-cu-tinh-toan/bang-tinh-lai-suat-tiet-kiem</v>
      </c>
      <c r="O310" s="25" t="str">
        <f>IFERROR(__xludf.DUMMYFUNCTION("IFERROR(INDEX(FILTER('Kế hoạch chèn link (mới)'!$C$3:$C$2213,'Kế hoạch chèn link (mới)'!$D$3:$D$2213=$B310),5),"""")"),"")</f>
        <v/>
      </c>
      <c r="P310" s="25" t="str">
        <f>IFERROR(__xludf.DUMMYFUNCTION("IFERROR(INDEX(FILTER('Kế hoạch chèn link (mới)'!$B$3:$B$2213,'Kế hoạch chèn link (mới)'!$D$3:$D$2213=$B310),5),"""")"),"")</f>
        <v/>
      </c>
    </row>
    <row r="311">
      <c r="A311" s="6">
        <f t="shared" si="1"/>
        <v>310</v>
      </c>
      <c r="B311" s="8" t="s">
        <v>2939</v>
      </c>
      <c r="C311" s="6">
        <f>COUNTIF('Kế hoạch chèn link (mới)'!$D$3:$D$2213,$B311)</f>
        <v>5</v>
      </c>
      <c r="D311" s="8" t="str">
        <f>IF(COUNTIFS('Kế hoạch chèn link (mới)'!$D$3:$D$2213,$B311,'Kế hoạch chèn link (mới)'!$I$3:$I$2213,"Đã chèn")&gt;=$C311,"Đã hoàn thành",IF(COUNTIFS('Kế hoạch chèn link (mới)'!$D$3:$D$2213,$B311,'Kế hoạch chèn link (mới)'!$I$3:$I$2213,"Đã chèn")&gt;0,"Đang làm","Chưa hoàn thành"))</f>
        <v>Chưa hoàn thành</v>
      </c>
      <c r="E311" s="8" t="b">
        <f t="shared" si="2"/>
        <v>0</v>
      </c>
      <c r="F311" s="25"/>
      <c r="G311" s="25" t="str">
        <f>IFERROR(__xludf.DUMMYFUNCTION("IFERROR(INDEX(FILTER('Kế hoạch chèn link (mới)'!$C$3:$C$2213,'Kế hoạch chèn link (mới)'!$D$3:$D$2213=$B311),1),"""")"),"cách tính lãi suất vay")</f>
        <v>cách tính lãi suất vay</v>
      </c>
      <c r="H311" s="25" t="str">
        <f>IFERROR(__xludf.DUMMYFUNCTION("IFERROR(INDEX(FILTER('Kế hoạch chèn link (mới)'!$B$3:$B$2213,'Kế hoạch chèn link (mới)'!$D$3:$D$2213=$B311),1),"""")"),"https://techcombank.com/thong-tin/blog/cach-tinh-lai-vay-ngan-hang")</f>
        <v>https://techcombank.com/thong-tin/blog/cach-tinh-lai-vay-ngan-hang</v>
      </c>
      <c r="I311" s="25" t="str">
        <f>IFERROR(__xludf.DUMMYFUNCTION("IFERROR(INDEX(FILTER('Kế hoạch chèn link (mới)'!$C$3:$C$2213,'Kế hoạch chèn link (mới)'!$D$3:$D$2213=$B311),2),"""")"),"lãi suất tiền gửi ngân hàng")</f>
        <v>lãi suất tiền gửi ngân hàng</v>
      </c>
      <c r="J311" s="25" t="str">
        <f>IFERROR(__xludf.DUMMYFUNCTION("IFERROR(INDEX(FILTER('Kế hoạch chèn link (mới)'!$B$3:$B$2213,'Kế hoạch chèn link (mới)'!$D$3:$D$2213=$B311),2),"""")"),"https://techcombank.com/thong-tin/blog/lai-suat-tiet-kiem")</f>
        <v>https://techcombank.com/thong-tin/blog/lai-suat-tiet-kiem</v>
      </c>
      <c r="K311" s="25" t="str">
        <f>IFERROR(__xludf.DUMMYFUNCTION("IFERROR(INDEX(FILTER('Kế hoạch chèn link (mới)'!$C$3:$C$2213,'Kế hoạch chèn link (mới)'!$D$3:$D$2213=$B311),3),"""")"),"tính lãi suất ngân hàng")</f>
        <v>tính lãi suất ngân hàng</v>
      </c>
      <c r="L311" s="25" t="str">
        <f>IFERROR(__xludf.DUMMYFUNCTION("IFERROR(INDEX(FILTER('Kế hoạch chèn link (mới)'!$B$3:$B$2213,'Kế hoạch chèn link (mới)'!$D$3:$D$2213=$B311),3),"""")"),"https://techcombank.com/thong-tin/blog/cach-tinh-lai-suat-tien-gui-tiet-kiem")</f>
        <v>https://techcombank.com/thong-tin/blog/cach-tinh-lai-suat-tien-gui-tiet-kiem</v>
      </c>
      <c r="M311" s="25" t="str">
        <f>IFERROR(__xludf.DUMMYFUNCTION("IFERROR(INDEX(FILTER('Kế hoạch chèn link (mới)'!$C$3:$C$2213,'Kế hoạch chèn link (mới)'!$D$3:$D$2213=$B311),4),"""")"),"vay")</f>
        <v>vay</v>
      </c>
      <c r="N311" s="25" t="str">
        <f>IFERROR(__xludf.DUMMYFUNCTION("IFERROR(INDEX(FILTER('Kế hoạch chèn link (mới)'!$B$3:$B$2213,'Kế hoạch chèn link (mới)'!$D$3:$D$2213=$B311),4),"""")"),"https://techcombank.com/thong-tin/blog/app-vay-tien-nhanh")</f>
        <v>https://techcombank.com/thong-tin/blog/app-vay-tien-nhanh</v>
      </c>
      <c r="O311" s="25" t="str">
        <f>IFERROR(__xludf.DUMMYFUNCTION("IFERROR(INDEX(FILTER('Kế hoạch chèn link (mới)'!$C$3:$C$2213,'Kế hoạch chèn link (mới)'!$D$3:$D$2213=$B311),5),"""")"),"lãi suất cho vay ngân hàng")</f>
        <v>lãi suất cho vay ngân hàng</v>
      </c>
      <c r="P311" s="25" t="str">
        <f>IFERROR(__xludf.DUMMYFUNCTION("IFERROR(INDEX(FILTER('Kế hoạch chèn link (mới)'!$B$3:$B$2213,'Kế hoạch chèn link (mới)'!$D$3:$D$2213=$B311),5),"""")"),"https://techcombank.com/thong-tin/blog/lai-suat-vay-ngan-hang")</f>
        <v>https://techcombank.com/thong-tin/blog/lai-suat-vay-ngan-hang</v>
      </c>
    </row>
    <row r="312">
      <c r="A312" s="6">
        <f t="shared" si="1"/>
        <v>311</v>
      </c>
      <c r="B312" s="8" t="s">
        <v>2940</v>
      </c>
      <c r="C312" s="6">
        <f>COUNTIF('Kế hoạch chèn link (mới)'!$D$3:$D$2213,$B312)</f>
        <v>3</v>
      </c>
      <c r="D312" s="8" t="str">
        <f>IF(COUNTIFS('Kế hoạch chèn link (mới)'!$D$3:$D$2213,$B312,'Kế hoạch chèn link (mới)'!$I$3:$I$2213,"Đã chèn")&gt;=$C312,"Đã hoàn thành",IF(COUNTIFS('Kế hoạch chèn link (mới)'!$D$3:$D$2213,$B312,'Kế hoạch chèn link (mới)'!$I$3:$I$2213,"Đã chèn")&gt;0,"Đang làm","Chưa hoàn thành"))</f>
        <v>Chưa hoàn thành</v>
      </c>
      <c r="E312" s="8" t="b">
        <f t="shared" si="2"/>
        <v>0</v>
      </c>
      <c r="F312" s="25"/>
      <c r="G312" s="25" t="str">
        <f>IFERROR(__xludf.DUMMYFUNCTION("IFERROR(INDEX(FILTER('Kế hoạch chèn link (mới)'!$C$3:$C$2213,'Kế hoạch chèn link (mới)'!$D$3:$D$2213=$B312),1),"""")"),"cách tính lãi suất vay")</f>
        <v>cách tính lãi suất vay</v>
      </c>
      <c r="H312" s="25" t="str">
        <f>IFERROR(__xludf.DUMMYFUNCTION("IFERROR(INDEX(FILTER('Kế hoạch chèn link (mới)'!$B$3:$B$2213,'Kế hoạch chèn link (mới)'!$D$3:$D$2213=$B312),1),"""")"),"https://techcombank.com/thong-tin/blog/cach-tinh-lai-vay-ngan-hang")</f>
        <v>https://techcombank.com/thong-tin/blog/cach-tinh-lai-vay-ngan-hang</v>
      </c>
      <c r="I312" s="25" t="str">
        <f>IFERROR(__xludf.DUMMYFUNCTION("IFERROR(INDEX(FILTER('Kế hoạch chèn link (mới)'!$C$3:$C$2213,'Kế hoạch chèn link (mới)'!$D$3:$D$2213=$B312),2),"""")"),"tính lãi vay ngân hàng")</f>
        <v>tính lãi vay ngân hàng</v>
      </c>
      <c r="J312" s="25" t="str">
        <f>IFERROR(__xludf.DUMMYFUNCTION("IFERROR(INDEX(FILTER('Kế hoạch chèn link (mới)'!$B$3:$B$2213,'Kế hoạch chèn link (mới)'!$D$3:$D$2213=$B312),2),"""")"),"https://techcombank.com/cong-cu-tien-ich/cong-cu-tinh-toan/bang-tinh-lai-suat-vay")</f>
        <v>https://techcombank.com/cong-cu-tien-ich/cong-cu-tinh-toan/bang-tinh-lai-suat-vay</v>
      </c>
      <c r="K312" s="25" t="str">
        <f>IFERROR(__xludf.DUMMYFUNCTION("IFERROR(INDEX(FILTER('Kế hoạch chèn link (mới)'!$C$3:$C$2213,'Kế hoạch chèn link (mới)'!$D$3:$D$2213=$B312),3),"""")"),"lãi suất vay ngân hàng")</f>
        <v>lãi suất vay ngân hàng</v>
      </c>
      <c r="L312" s="25" t="str">
        <f>IFERROR(__xludf.DUMMYFUNCTION("IFERROR(INDEX(FILTER('Kế hoạch chèn link (mới)'!$B$3:$B$2213,'Kế hoạch chèn link (mới)'!$D$3:$D$2213=$B312),3),"""")"),"https://techcombank.com/thong-tin/blog/lai-suat-vay-ngan-hang")</f>
        <v>https://techcombank.com/thong-tin/blog/lai-suat-vay-ngan-hang</v>
      </c>
      <c r="M312" s="25" t="str">
        <f>IFERROR(__xludf.DUMMYFUNCTION("IFERROR(INDEX(FILTER('Kế hoạch chèn link (mới)'!$C$3:$C$2213,'Kế hoạch chèn link (mới)'!$D$3:$D$2213=$B312),4),"""")"),"")</f>
        <v/>
      </c>
      <c r="N312" s="25" t="str">
        <f>IFERROR(__xludf.DUMMYFUNCTION("IFERROR(INDEX(FILTER('Kế hoạch chèn link (mới)'!$B$3:$B$2213,'Kế hoạch chèn link (mới)'!$D$3:$D$2213=$B312),4),"""")"),"")</f>
        <v/>
      </c>
      <c r="O312" s="25" t="str">
        <f>IFERROR(__xludf.DUMMYFUNCTION("IFERROR(INDEX(FILTER('Kế hoạch chèn link (mới)'!$C$3:$C$2213,'Kế hoạch chèn link (mới)'!$D$3:$D$2213=$B312),5),"""")"),"")</f>
        <v/>
      </c>
      <c r="P312" s="25" t="str">
        <f>IFERROR(__xludf.DUMMYFUNCTION("IFERROR(INDEX(FILTER('Kế hoạch chèn link (mới)'!$B$3:$B$2213,'Kế hoạch chèn link (mới)'!$D$3:$D$2213=$B312),5),"""")"),"")</f>
        <v/>
      </c>
    </row>
    <row r="313">
      <c r="A313" s="6">
        <f t="shared" si="1"/>
        <v>312</v>
      </c>
      <c r="B313" s="8" t="s">
        <v>2941</v>
      </c>
      <c r="C313" s="6">
        <f>COUNTIF('Kế hoạch chèn link (mới)'!$D$3:$D$2213,$B313)</f>
        <v>3</v>
      </c>
      <c r="D313" s="8" t="str">
        <f>IF(COUNTIFS('Kế hoạch chèn link (mới)'!$D$3:$D$2213,$B313,'Kế hoạch chèn link (mới)'!$I$3:$I$2213,"Đã chèn")&gt;=$C313,"Đã hoàn thành",IF(COUNTIFS('Kế hoạch chèn link (mới)'!$D$3:$D$2213,$B313,'Kế hoạch chèn link (mới)'!$I$3:$I$2213,"Đã chèn")&gt;0,"Đang làm","Chưa hoàn thành"))</f>
        <v>Chưa hoàn thành</v>
      </c>
      <c r="E313" s="8" t="b">
        <f t="shared" si="2"/>
        <v>0</v>
      </c>
      <c r="F313" s="25"/>
      <c r="G313" s="25" t="str">
        <f>IFERROR(__xludf.DUMMYFUNCTION("IFERROR(INDEX(FILTER('Kế hoạch chèn link (mới)'!$C$3:$C$2213,'Kế hoạch chèn link (mới)'!$D$3:$D$2213=$B313),1),"""")"),"lãi suất cho vay ngân hàng")</f>
        <v>lãi suất cho vay ngân hàng</v>
      </c>
      <c r="H313" s="25" t="str">
        <f>IFERROR(__xludf.DUMMYFUNCTION("IFERROR(INDEX(FILTER('Kế hoạch chèn link (mới)'!$B$3:$B$2213,'Kế hoạch chèn link (mới)'!$D$3:$D$2213=$B313),1),"""")"),"https://techcombank.com/thong-tin/blog/lai-suat-vay-ngan-hang")</f>
        <v>https://techcombank.com/thong-tin/blog/lai-suat-vay-ngan-hang</v>
      </c>
      <c r="I313" s="25" t="str">
        <f>IFERROR(__xludf.DUMMYFUNCTION("IFERROR(INDEX(FILTER('Kế hoạch chèn link (mới)'!$C$3:$C$2213,'Kế hoạch chèn link (mới)'!$D$3:$D$2213=$B313),2),"""")"),"nợ xấu")</f>
        <v>nợ xấu</v>
      </c>
      <c r="J313" s="25" t="str">
        <f>IFERROR(__xludf.DUMMYFUNCTION("IFERROR(INDEX(FILTER('Kế hoạch chèn link (mới)'!$B$3:$B$2213,'Kế hoạch chèn link (mới)'!$D$3:$D$2213=$B313),2),"""")"),"https://techcombank.com/thong-tin/blog/no-xau-la-gi")</f>
        <v>https://techcombank.com/thong-tin/blog/no-xau-la-gi</v>
      </c>
      <c r="K313" s="25" t="str">
        <f>IFERROR(__xludf.DUMMYFUNCTION("IFERROR(INDEX(FILTER('Kế hoạch chèn link (mới)'!$C$3:$C$2213,'Kế hoạch chèn link (mới)'!$D$3:$D$2213=$B313),3),"""")"),"vay tín chấp không trả được có sao không")</f>
        <v>vay tín chấp không trả được có sao không</v>
      </c>
      <c r="L313" s="25" t="str">
        <f>IFERROR(__xludf.DUMMYFUNCTION("IFERROR(INDEX(FILTER('Kế hoạch chèn link (mới)'!$B$3:$B$2213,'Kế hoạch chèn link (mới)'!$D$3:$D$2213=$B313),3),"""")"),"https://techcombank.com/thong-tin/blog/vay-tin-chap-khong-tra-duoc-co-sao-khong")</f>
        <v>https://techcombank.com/thong-tin/blog/vay-tin-chap-khong-tra-duoc-co-sao-khong</v>
      </c>
      <c r="M313" s="25" t="str">
        <f>IFERROR(__xludf.DUMMYFUNCTION("IFERROR(INDEX(FILTER('Kế hoạch chèn link (mới)'!$C$3:$C$2213,'Kế hoạch chèn link (mới)'!$D$3:$D$2213=$B313),4),"""")"),"")</f>
        <v/>
      </c>
      <c r="N313" s="25" t="str">
        <f>IFERROR(__xludf.DUMMYFUNCTION("IFERROR(INDEX(FILTER('Kế hoạch chèn link (mới)'!$B$3:$B$2213,'Kế hoạch chèn link (mới)'!$D$3:$D$2213=$B313),4),"""")"),"")</f>
        <v/>
      </c>
      <c r="O313" s="25" t="str">
        <f>IFERROR(__xludf.DUMMYFUNCTION("IFERROR(INDEX(FILTER('Kế hoạch chèn link (mới)'!$C$3:$C$2213,'Kế hoạch chèn link (mới)'!$D$3:$D$2213=$B313),5),"""")"),"")</f>
        <v/>
      </c>
      <c r="P313" s="25" t="str">
        <f>IFERROR(__xludf.DUMMYFUNCTION("IFERROR(INDEX(FILTER('Kế hoạch chèn link (mới)'!$B$3:$B$2213,'Kế hoạch chèn link (mới)'!$D$3:$D$2213=$B313),5),"""")"),"")</f>
        <v/>
      </c>
    </row>
    <row r="314">
      <c r="A314" s="6">
        <f t="shared" si="1"/>
        <v>313</v>
      </c>
      <c r="B314" s="8" t="s">
        <v>2944</v>
      </c>
      <c r="C314" s="6">
        <f>COUNTIF('Kế hoạch chèn link (mới)'!$D$3:$D$2213,$B314)</f>
        <v>3</v>
      </c>
      <c r="D314" s="8" t="str">
        <f>IF(COUNTIFS('Kế hoạch chèn link (mới)'!$D$3:$D$2213,$B314,'Kế hoạch chèn link (mới)'!$I$3:$I$2213,"Đã chèn")&gt;=$C314,"Đã hoàn thành",IF(COUNTIFS('Kế hoạch chèn link (mới)'!$D$3:$D$2213,$B314,'Kế hoạch chèn link (mới)'!$I$3:$I$2213,"Đã chèn")&gt;0,"Đang làm","Chưa hoàn thành"))</f>
        <v>Chưa hoàn thành</v>
      </c>
      <c r="E314" s="8" t="b">
        <f t="shared" si="2"/>
        <v>0</v>
      </c>
      <c r="F314" s="25"/>
      <c r="G314" s="25" t="str">
        <f>IFERROR(__xludf.DUMMYFUNCTION("IFERROR(INDEX(FILTER('Kế hoạch chèn link (mới)'!$C$3:$C$2213,'Kế hoạch chèn link (mới)'!$D$3:$D$2213=$B314),1),"""")"),"cách tính lãi suất vay")</f>
        <v>cách tính lãi suất vay</v>
      </c>
      <c r="H314" s="25" t="str">
        <f>IFERROR(__xludf.DUMMYFUNCTION("IFERROR(INDEX(FILTER('Kế hoạch chèn link (mới)'!$B$3:$B$2213,'Kế hoạch chèn link (mới)'!$D$3:$D$2213=$B314),1),"""")"),"https://techcombank.com/thong-tin/blog/cach-tinh-lai-vay-ngan-hang")</f>
        <v>https://techcombank.com/thong-tin/blog/cach-tinh-lai-vay-ngan-hang</v>
      </c>
      <c r="I314" s="25" t="str">
        <f>IFERROR(__xludf.DUMMYFUNCTION("IFERROR(INDEX(FILTER('Kế hoạch chèn link (mới)'!$C$3:$C$2213,'Kế hoạch chèn link (mới)'!$D$3:$D$2213=$B314),2),"""")"),"tính lãi vay ngân hàng")</f>
        <v>tính lãi vay ngân hàng</v>
      </c>
      <c r="J314" s="25" t="str">
        <f>IFERROR(__xludf.DUMMYFUNCTION("IFERROR(INDEX(FILTER('Kế hoạch chèn link (mới)'!$B$3:$B$2213,'Kế hoạch chèn link (mới)'!$D$3:$D$2213=$B314),2),"""")"),"https://techcombank.com/cong-cu-tien-ich/cong-cu-tinh-toan/bang-tinh-lai-suat-vay")</f>
        <v>https://techcombank.com/cong-cu-tien-ich/cong-cu-tinh-toan/bang-tinh-lai-suat-vay</v>
      </c>
      <c r="K314" s="25" t="str">
        <f>IFERROR(__xludf.DUMMYFUNCTION("IFERROR(INDEX(FILTER('Kế hoạch chèn link (mới)'!$C$3:$C$2213,'Kế hoạch chèn link (mới)'!$D$3:$D$2213=$B314),3),"""")"),"lãi suất vay ngân hàng")</f>
        <v>lãi suất vay ngân hàng</v>
      </c>
      <c r="L314" s="25" t="str">
        <f>IFERROR(__xludf.DUMMYFUNCTION("IFERROR(INDEX(FILTER('Kế hoạch chèn link (mới)'!$B$3:$B$2213,'Kế hoạch chèn link (mới)'!$D$3:$D$2213=$B314),3),"""")"),"https://techcombank.com/thong-tin/blog/lai-suat-vay-ngan-hang")</f>
        <v>https://techcombank.com/thong-tin/blog/lai-suat-vay-ngan-hang</v>
      </c>
      <c r="M314" s="25" t="str">
        <f>IFERROR(__xludf.DUMMYFUNCTION("IFERROR(INDEX(FILTER('Kế hoạch chèn link (mới)'!$C$3:$C$2213,'Kế hoạch chèn link (mới)'!$D$3:$D$2213=$B314),4),"""")"),"")</f>
        <v/>
      </c>
      <c r="N314" s="25" t="str">
        <f>IFERROR(__xludf.DUMMYFUNCTION("IFERROR(INDEX(FILTER('Kế hoạch chèn link (mới)'!$B$3:$B$2213,'Kế hoạch chèn link (mới)'!$D$3:$D$2213=$B314),4),"""")"),"")</f>
        <v/>
      </c>
      <c r="O314" s="25" t="str">
        <f>IFERROR(__xludf.DUMMYFUNCTION("IFERROR(INDEX(FILTER('Kế hoạch chèn link (mới)'!$C$3:$C$2213,'Kế hoạch chèn link (mới)'!$D$3:$D$2213=$B314),5),"""")"),"")</f>
        <v/>
      </c>
      <c r="P314" s="25" t="str">
        <f>IFERROR(__xludf.DUMMYFUNCTION("IFERROR(INDEX(FILTER('Kế hoạch chèn link (mới)'!$B$3:$B$2213,'Kế hoạch chèn link (mới)'!$D$3:$D$2213=$B314),5),"""")"),"")</f>
        <v/>
      </c>
    </row>
    <row r="315">
      <c r="A315" s="6">
        <f t="shared" si="1"/>
        <v>314</v>
      </c>
      <c r="B315" s="8" t="s">
        <v>2946</v>
      </c>
      <c r="C315" s="6">
        <f>COUNTIF('Kế hoạch chèn link (mới)'!$D$3:$D$2213,$B315)</f>
        <v>3</v>
      </c>
      <c r="D315" s="8" t="str">
        <f>IF(COUNTIFS('Kế hoạch chèn link (mới)'!$D$3:$D$2213,$B315,'Kế hoạch chèn link (mới)'!$I$3:$I$2213,"Đã chèn")&gt;=$C315,"Đã hoàn thành",IF(COUNTIFS('Kế hoạch chèn link (mới)'!$D$3:$D$2213,$B315,'Kế hoạch chèn link (mới)'!$I$3:$I$2213,"Đã chèn")&gt;0,"Đang làm","Chưa hoàn thành"))</f>
        <v>Chưa hoàn thành</v>
      </c>
      <c r="E315" s="8" t="b">
        <f t="shared" si="2"/>
        <v>0</v>
      </c>
      <c r="F315" s="25"/>
      <c r="G315" s="25" t="str">
        <f>IFERROR(__xludf.DUMMYFUNCTION("IFERROR(INDEX(FILTER('Kế hoạch chèn link (mới)'!$C$3:$C$2213,'Kế hoạch chèn link (mới)'!$D$3:$D$2213=$B315),1),"""")"),"cách hủy thẻ tín dụng")</f>
        <v>cách hủy thẻ tín dụng</v>
      </c>
      <c r="H315" s="25" t="str">
        <f>IFERROR(__xludf.DUMMYFUNCTION("IFERROR(INDEX(FILTER('Kế hoạch chèn link (mới)'!$B$3:$B$2213,'Kế hoạch chèn link (mới)'!$D$3:$D$2213=$B315),1),"""")"),"https://techcombank.com/thong-tin/blog/cach-huy-the-tin-dung")</f>
        <v>https://techcombank.com/thong-tin/blog/cach-huy-the-tin-dung</v>
      </c>
      <c r="I315" s="25" t="str">
        <f>IFERROR(__xludf.DUMMYFUNCTION("IFERROR(INDEX(FILTER('Kế hoạch chèn link (mới)'!$C$3:$C$2213,'Kế hoạch chèn link (mới)'!$D$3:$D$2213=$B315),2),"""")"),"tính lãi suất vay ngân hàng")</f>
        <v>tính lãi suất vay ngân hàng</v>
      </c>
      <c r="J315" s="25" t="str">
        <f>IFERROR(__xludf.DUMMYFUNCTION("IFERROR(INDEX(FILTER('Kế hoạch chèn link (mới)'!$B$3:$B$2213,'Kế hoạch chèn link (mới)'!$D$3:$D$2213=$B315),2),"""")"),"https://techcombank.com/cong-cu-tien-ich/cong-cu-tinh-toan/bang-tinh-lai-suat-vay")</f>
        <v>https://techcombank.com/cong-cu-tien-ich/cong-cu-tinh-toan/bang-tinh-lai-suat-vay</v>
      </c>
      <c r="K315" s="25" t="str">
        <f>IFERROR(__xludf.DUMMYFUNCTION("IFERROR(INDEX(FILTER('Kế hoạch chèn link (mới)'!$C$3:$C$2213,'Kế hoạch chèn link (mới)'!$D$3:$D$2213=$B315),3),"""")"),"vay")</f>
        <v>vay</v>
      </c>
      <c r="L315" s="25" t="str">
        <f>IFERROR(__xludf.DUMMYFUNCTION("IFERROR(INDEX(FILTER('Kế hoạch chèn link (mới)'!$B$3:$B$2213,'Kế hoạch chèn link (mới)'!$D$3:$D$2213=$B315),3),"""")"),"https://techcombank.com/thong-tin/blog/app-vay-tien-nhanh")</f>
        <v>https://techcombank.com/thong-tin/blog/app-vay-tien-nhanh</v>
      </c>
      <c r="M315" s="25" t="str">
        <f>IFERROR(__xludf.DUMMYFUNCTION("IFERROR(INDEX(FILTER('Kế hoạch chèn link (mới)'!$C$3:$C$2213,'Kế hoạch chèn link (mới)'!$D$3:$D$2213=$B315),4),"""")"),"")</f>
        <v/>
      </c>
      <c r="N315" s="25" t="str">
        <f>IFERROR(__xludf.DUMMYFUNCTION("IFERROR(INDEX(FILTER('Kế hoạch chèn link (mới)'!$B$3:$B$2213,'Kế hoạch chèn link (mới)'!$D$3:$D$2213=$B315),4),"""")"),"")</f>
        <v/>
      </c>
      <c r="O315" s="25" t="str">
        <f>IFERROR(__xludf.DUMMYFUNCTION("IFERROR(INDEX(FILTER('Kế hoạch chèn link (mới)'!$C$3:$C$2213,'Kế hoạch chèn link (mới)'!$D$3:$D$2213=$B315),5),"""")"),"")</f>
        <v/>
      </c>
      <c r="P315" s="25" t="str">
        <f>IFERROR(__xludf.DUMMYFUNCTION("IFERROR(INDEX(FILTER('Kế hoạch chèn link (mới)'!$B$3:$B$2213,'Kế hoạch chèn link (mới)'!$D$3:$D$2213=$B315),5),"""")"),"")</f>
        <v/>
      </c>
    </row>
    <row r="316">
      <c r="A316" s="6">
        <f t="shared" si="1"/>
        <v>315</v>
      </c>
      <c r="B316" s="8" t="s">
        <v>231</v>
      </c>
      <c r="C316" s="6">
        <f>COUNTIF('Kế hoạch chèn link (mới)'!$D$3:$D$2213,$B316)</f>
        <v>3</v>
      </c>
      <c r="D316" s="8" t="str">
        <f>IF(COUNTIFS('Kế hoạch chèn link (mới)'!$D$3:$D$2213,$B316,'Kế hoạch chèn link (mới)'!$I$3:$I$2213,"Đã chèn")&gt;=$C316,"Đã hoàn thành",IF(COUNTIFS('Kế hoạch chèn link (mới)'!$D$3:$D$2213,$B316,'Kế hoạch chèn link (mới)'!$I$3:$I$2213,"Đã chèn")&gt;0,"Đang làm","Chưa hoàn thành"))</f>
        <v>Chưa hoàn thành</v>
      </c>
      <c r="E316" s="8" t="b">
        <f t="shared" si="2"/>
        <v>0</v>
      </c>
      <c r="F316" s="25"/>
      <c r="G316" s="25" t="str">
        <f>IFERROR(__xludf.DUMMYFUNCTION("IFERROR(INDEX(FILTER('Kế hoạch chèn link (mới)'!$C$3:$C$2213,'Kế hoạch chèn link (mới)'!$D$3:$D$2213=$B316),1),"""")"),"tính lãi suất tiết kiệm")</f>
        <v>tính lãi suất tiết kiệm</v>
      </c>
      <c r="H316" s="25" t="str">
        <f>IFERROR(__xludf.DUMMYFUNCTION("IFERROR(INDEX(FILTER('Kế hoạch chèn link (mới)'!$B$3:$B$2213,'Kế hoạch chèn link (mới)'!$D$3:$D$2213=$B316),1),"""")"),"https://techcombank.com/thong-tin/blog/cach-tinh-lai-suat-tien-gui-tiet-kiem")</f>
        <v>https://techcombank.com/thong-tin/blog/cach-tinh-lai-suat-tien-gui-tiet-kiem</v>
      </c>
      <c r="I316" s="25" t="str">
        <f>IFERROR(__xludf.DUMMYFUNCTION("IFERROR(INDEX(FILTER('Kế hoạch chèn link (mới)'!$C$3:$C$2213,'Kế hoạch chèn link (mới)'!$D$3:$D$2213=$B316),2),"""")"),"gửi tiết kiệm online có an toàn không")</f>
        <v>gửi tiết kiệm online có an toàn không</v>
      </c>
      <c r="J316" s="25" t="str">
        <f>IFERROR(__xludf.DUMMYFUNCTION("IFERROR(INDEX(FILTER('Kế hoạch chèn link (mới)'!$B$3:$B$2213,'Kế hoạch chèn link (mới)'!$D$3:$D$2213=$B316),2),"""")"),"https://techcombank.com/thong-tin/blog/rui-ro-khi-gui-tiet-kiem-online")</f>
        <v>https://techcombank.com/thong-tin/blog/rui-ro-khi-gui-tiet-kiem-online</v>
      </c>
      <c r="K316" s="25" t="str">
        <f>IFERROR(__xludf.DUMMYFUNCTION("IFERROR(INDEX(FILTER('Kế hoạch chèn link (mới)'!$C$3:$C$2213,'Kế hoạch chèn link (mới)'!$D$3:$D$2213=$B316),3),"""")"),"công cụ tính lãi tiết kiệm")</f>
        <v>công cụ tính lãi tiết kiệm</v>
      </c>
      <c r="L316" s="25" t="str">
        <f>IFERROR(__xludf.DUMMYFUNCTION("IFERROR(INDEX(FILTER('Kế hoạch chèn link (mới)'!$B$3:$B$2213,'Kế hoạch chèn link (mới)'!$D$3:$D$2213=$B316),3),"""")"),"https://techcombank.com/cong-cu-tien-ich/cong-cu-tinh-toan/bang-tinh-lai-suat-tiet-kiem")</f>
        <v>https://techcombank.com/cong-cu-tien-ich/cong-cu-tinh-toan/bang-tinh-lai-suat-tiet-kiem</v>
      </c>
      <c r="M316" s="25" t="str">
        <f>IFERROR(__xludf.DUMMYFUNCTION("IFERROR(INDEX(FILTER('Kế hoạch chèn link (mới)'!$C$3:$C$2213,'Kế hoạch chèn link (mới)'!$D$3:$D$2213=$B316),4),"""")"),"")</f>
        <v/>
      </c>
      <c r="N316" s="25" t="str">
        <f>IFERROR(__xludf.DUMMYFUNCTION("IFERROR(INDEX(FILTER('Kế hoạch chèn link (mới)'!$B$3:$B$2213,'Kế hoạch chèn link (mới)'!$D$3:$D$2213=$B316),4),"""")"),"")</f>
        <v/>
      </c>
      <c r="O316" s="25" t="str">
        <f>IFERROR(__xludf.DUMMYFUNCTION("IFERROR(INDEX(FILTER('Kế hoạch chèn link (mới)'!$C$3:$C$2213,'Kế hoạch chèn link (mới)'!$D$3:$D$2213=$B316),5),"""")"),"")</f>
        <v/>
      </c>
      <c r="P316" s="25" t="str">
        <f>IFERROR(__xludf.DUMMYFUNCTION("IFERROR(INDEX(FILTER('Kế hoạch chèn link (mới)'!$B$3:$B$2213,'Kế hoạch chèn link (mới)'!$D$3:$D$2213=$B316),5),"""")"),"")</f>
        <v/>
      </c>
    </row>
    <row r="317">
      <c r="A317" s="6">
        <f t="shared" si="1"/>
        <v>316</v>
      </c>
      <c r="B317" s="8" t="s">
        <v>2947</v>
      </c>
      <c r="C317" s="6">
        <f>COUNTIF('Kế hoạch chèn link (mới)'!$D$3:$D$2213,$B317)</f>
        <v>3</v>
      </c>
      <c r="D317" s="8" t="str">
        <f>IF(COUNTIFS('Kế hoạch chèn link (mới)'!$D$3:$D$2213,$B317,'Kế hoạch chèn link (mới)'!$I$3:$I$2213,"Đã chèn")&gt;=$C317,"Đã hoàn thành",IF(COUNTIFS('Kế hoạch chèn link (mới)'!$D$3:$D$2213,$B317,'Kế hoạch chèn link (mới)'!$I$3:$I$2213,"Đã chèn")&gt;0,"Đang làm","Chưa hoàn thành"))</f>
        <v>Chưa hoàn thành</v>
      </c>
      <c r="E317" s="8" t="b">
        <f t="shared" si="2"/>
        <v>0</v>
      </c>
      <c r="F317" s="25"/>
      <c r="G317" s="25" t="str">
        <f>IFERROR(__xludf.DUMMYFUNCTION("IFERROR(INDEX(FILTER('Kế hoạch chèn link (mới)'!$C$3:$C$2213,'Kế hoạch chèn link (mới)'!$D$3:$D$2213=$B317),1),"""")"),"tài khoản hộ kinh doanh")</f>
        <v>tài khoản hộ kinh doanh</v>
      </c>
      <c r="H317" s="25" t="str">
        <f>IFERROR(__xludf.DUMMYFUNCTION("IFERROR(INDEX(FILTER('Kế hoạch chèn link (mới)'!$B$3:$B$2213,'Kế hoạch chèn link (mới)'!$D$3:$D$2213=$B317),1),"""")"),"https://techcombank.com/thong-tin/blog/mo-tai-khoan-ho-kinh-doanh")</f>
        <v>https://techcombank.com/thong-tin/blog/mo-tai-khoan-ho-kinh-doanh</v>
      </c>
      <c r="I317" s="25" t="str">
        <f>IFERROR(__xludf.DUMMYFUNCTION("IFERROR(INDEX(FILTER('Kế hoạch chèn link (mới)'!$C$3:$C$2213,'Kế hoạch chèn link (mới)'!$D$3:$D$2213=$B317),2),"""")"),"lãi suất vay ngân hàng")</f>
        <v>lãi suất vay ngân hàng</v>
      </c>
      <c r="J317" s="25" t="str">
        <f>IFERROR(__xludf.DUMMYFUNCTION("IFERROR(INDEX(FILTER('Kế hoạch chèn link (mới)'!$B$3:$B$2213,'Kế hoạch chèn link (mới)'!$D$3:$D$2213=$B317),2),"""")"),"https://techcombank.com/thong-tin/blog/lai-suat-vay-ngan-hang")</f>
        <v>https://techcombank.com/thong-tin/blog/lai-suat-vay-ngan-hang</v>
      </c>
      <c r="K317" s="25" t="str">
        <f>IFERROR(__xludf.DUMMYFUNCTION("IFERROR(INDEX(FILTER('Kế hoạch chèn link (mới)'!$C$3:$C$2213,'Kế hoạch chèn link (mới)'!$D$3:$D$2213=$B317),3),"""")"),"vay thấu chi")</f>
        <v>vay thấu chi</v>
      </c>
      <c r="L317" s="25" t="str">
        <f>IFERROR(__xludf.DUMMYFUNCTION("IFERROR(INDEX(FILTER('Kế hoạch chèn link (mới)'!$B$3:$B$2213,'Kế hoạch chèn link (mới)'!$D$3:$D$2213=$B317),3),"""")"),"https://techcombank.com/thong-tin/blog/vay-thau-chi-la-gi")</f>
        <v>https://techcombank.com/thong-tin/blog/vay-thau-chi-la-gi</v>
      </c>
      <c r="M317" s="25" t="str">
        <f>IFERROR(__xludf.DUMMYFUNCTION("IFERROR(INDEX(FILTER('Kế hoạch chèn link (mới)'!$C$3:$C$2213,'Kế hoạch chèn link (mới)'!$D$3:$D$2213=$B317),4),"""")"),"")</f>
        <v/>
      </c>
      <c r="N317" s="25" t="str">
        <f>IFERROR(__xludf.DUMMYFUNCTION("IFERROR(INDEX(FILTER('Kế hoạch chèn link (mới)'!$B$3:$B$2213,'Kế hoạch chèn link (mới)'!$D$3:$D$2213=$B317),4),"""")"),"")</f>
        <v/>
      </c>
      <c r="O317" s="25" t="str">
        <f>IFERROR(__xludf.DUMMYFUNCTION("IFERROR(INDEX(FILTER('Kế hoạch chèn link (mới)'!$C$3:$C$2213,'Kế hoạch chèn link (mới)'!$D$3:$D$2213=$B317),5),"""")"),"")</f>
        <v/>
      </c>
      <c r="P317" s="25" t="str">
        <f>IFERROR(__xludf.DUMMYFUNCTION("IFERROR(INDEX(FILTER('Kế hoạch chèn link (mới)'!$B$3:$B$2213,'Kế hoạch chèn link (mới)'!$D$3:$D$2213=$B317),5),"""")"),"")</f>
        <v/>
      </c>
    </row>
    <row r="318">
      <c r="A318" s="6">
        <f t="shared" si="1"/>
        <v>317</v>
      </c>
      <c r="B318" s="8" t="s">
        <v>53</v>
      </c>
      <c r="C318" s="6">
        <f>COUNTIF('Kế hoạch chèn link (mới)'!$D$3:$D$2213,$B318)</f>
        <v>3</v>
      </c>
      <c r="D318" s="8" t="str">
        <f>IF(COUNTIFS('Kế hoạch chèn link (mới)'!$D$3:$D$2213,$B318,'Kế hoạch chèn link (mới)'!$I$3:$I$2213,"Đã chèn")&gt;=$C318,"Đã hoàn thành",IF(COUNTIFS('Kế hoạch chèn link (mới)'!$D$3:$D$2213,$B318,'Kế hoạch chèn link (mới)'!$I$3:$I$2213,"Đã chèn")&gt;0,"Đang làm","Chưa hoàn thành"))</f>
        <v>Chưa hoàn thành</v>
      </c>
      <c r="E318" s="8" t="b">
        <f t="shared" si="2"/>
        <v>0</v>
      </c>
      <c r="F318" s="25"/>
      <c r="G318" s="25" t="str">
        <f>IFERROR(__xludf.DUMMYFUNCTION("IFERROR(INDEX(FILTER('Kế hoạch chèn link (mới)'!$C$3:$C$2213,'Kế hoạch chèn link (mới)'!$D$3:$D$2213=$B318),1),"""")"),"chọn ngân hàng uy tín")</f>
        <v>chọn ngân hàng uy tín</v>
      </c>
      <c r="H318" s="25" t="str">
        <f>IFERROR(__xludf.DUMMYFUNCTION("IFERROR(INDEX(FILTER('Kế hoạch chèn link (mới)'!$B$3:$B$2213,'Kế hoạch chèn link (mới)'!$D$3:$D$2213=$B318),1),"""")"),"https://techcombank.com/thong-tin/blog/ngan-hang-uy-tin")</f>
        <v>https://techcombank.com/thong-tin/blog/ngan-hang-uy-tin</v>
      </c>
      <c r="I318" s="25" t="str">
        <f>IFERROR(__xludf.DUMMYFUNCTION("IFERROR(INDEX(FILTER('Kế hoạch chèn link (mới)'!$C$3:$C$2213,'Kế hoạch chèn link (mới)'!$D$3:$D$2213=$B318),2),"""")"),"tính lãi vay ngân hàng")</f>
        <v>tính lãi vay ngân hàng</v>
      </c>
      <c r="J318" s="25" t="str">
        <f>IFERROR(__xludf.DUMMYFUNCTION("IFERROR(INDEX(FILTER('Kế hoạch chèn link (mới)'!$B$3:$B$2213,'Kế hoạch chèn link (mới)'!$D$3:$D$2213=$B318),2),"""")"),"https://techcombank.com/cong-cu-tien-ich/cong-cu-tinh-toan/bang-tinh-lai-suat-vay")</f>
        <v>https://techcombank.com/cong-cu-tien-ich/cong-cu-tinh-toan/bang-tinh-lai-suat-vay</v>
      </c>
      <c r="K318" s="25" t="str">
        <f>IFERROR(__xludf.DUMMYFUNCTION("IFERROR(INDEX(FILTER('Kế hoạch chèn link (mới)'!$C$3:$C$2213,'Kế hoạch chèn link (mới)'!$D$3:$D$2213=$B318),3),"""")"),"vay")</f>
        <v>vay</v>
      </c>
      <c r="L318" s="25" t="str">
        <f>IFERROR(__xludf.DUMMYFUNCTION("IFERROR(INDEX(FILTER('Kế hoạch chèn link (mới)'!$B$3:$B$2213,'Kế hoạch chèn link (mới)'!$D$3:$D$2213=$B318),3),"""")"),"https://techcombank.com/thong-tin/blog/app-vay-tien-nhanh")</f>
        <v>https://techcombank.com/thong-tin/blog/app-vay-tien-nhanh</v>
      </c>
      <c r="M318" s="25" t="str">
        <f>IFERROR(__xludf.DUMMYFUNCTION("IFERROR(INDEX(FILTER('Kế hoạch chèn link (mới)'!$C$3:$C$2213,'Kế hoạch chèn link (mới)'!$D$3:$D$2213=$B318),4),"""")"),"")</f>
        <v/>
      </c>
      <c r="N318" s="25" t="str">
        <f>IFERROR(__xludf.DUMMYFUNCTION("IFERROR(INDEX(FILTER('Kế hoạch chèn link (mới)'!$B$3:$B$2213,'Kế hoạch chèn link (mới)'!$D$3:$D$2213=$B318),4),"""")"),"")</f>
        <v/>
      </c>
      <c r="O318" s="25" t="str">
        <f>IFERROR(__xludf.DUMMYFUNCTION("IFERROR(INDEX(FILTER('Kế hoạch chèn link (mới)'!$C$3:$C$2213,'Kế hoạch chèn link (mới)'!$D$3:$D$2213=$B318),5),"""")"),"")</f>
        <v/>
      </c>
      <c r="P318" s="25" t="str">
        <f>IFERROR(__xludf.DUMMYFUNCTION("IFERROR(INDEX(FILTER('Kế hoạch chèn link (mới)'!$B$3:$B$2213,'Kế hoạch chèn link (mới)'!$D$3:$D$2213=$B318),5),"""")"),"")</f>
        <v/>
      </c>
    </row>
    <row r="319">
      <c r="A319" s="6">
        <f t="shared" si="1"/>
        <v>318</v>
      </c>
      <c r="B319" s="8" t="s">
        <v>624</v>
      </c>
      <c r="C319" s="6">
        <f>COUNTIF('Kế hoạch chèn link (mới)'!$D$3:$D$2213,$B319)</f>
        <v>3</v>
      </c>
      <c r="D319" s="8" t="str">
        <f>IF(COUNTIFS('Kế hoạch chèn link (mới)'!$D$3:$D$2213,$B319,'Kế hoạch chèn link (mới)'!$I$3:$I$2213,"Đã chèn")&gt;=$C319,"Đã hoàn thành",IF(COUNTIFS('Kế hoạch chèn link (mới)'!$D$3:$D$2213,$B319,'Kế hoạch chèn link (mới)'!$I$3:$I$2213,"Đã chèn")&gt;0,"Đang làm","Chưa hoàn thành"))</f>
        <v>Chưa hoàn thành</v>
      </c>
      <c r="E319" s="8" t="b">
        <f t="shared" si="2"/>
        <v>0</v>
      </c>
      <c r="F319" s="25"/>
      <c r="G319" s="25" t="str">
        <f>IFERROR(__xludf.DUMMYFUNCTION("IFERROR(INDEX(FILTER('Kế hoạch chèn link (mới)'!$C$3:$C$2213,'Kế hoạch chèn link (mới)'!$D$3:$D$2213=$B319),1),"""")"),"cách tính lãi suất vay")</f>
        <v>cách tính lãi suất vay</v>
      </c>
      <c r="H319" s="25" t="str">
        <f>IFERROR(__xludf.DUMMYFUNCTION("IFERROR(INDEX(FILTER('Kế hoạch chèn link (mới)'!$B$3:$B$2213,'Kế hoạch chèn link (mới)'!$D$3:$D$2213=$B319),1),"""")"),"https://techcombank.com/thong-tin/blog/cach-tinh-lai-vay-ngan-hang")</f>
        <v>https://techcombank.com/thong-tin/blog/cach-tinh-lai-vay-ngan-hang</v>
      </c>
      <c r="I319" s="25" t="str">
        <f>IFERROR(__xludf.DUMMYFUNCTION("IFERROR(INDEX(FILTER('Kế hoạch chèn link (mới)'!$C$3:$C$2213,'Kế hoạch chèn link (mới)'!$D$3:$D$2213=$B319),2),"""")"),"tính lãi vay ngân hàng")</f>
        <v>tính lãi vay ngân hàng</v>
      </c>
      <c r="J319" s="25" t="str">
        <f>IFERROR(__xludf.DUMMYFUNCTION("IFERROR(INDEX(FILTER('Kế hoạch chèn link (mới)'!$B$3:$B$2213,'Kế hoạch chèn link (mới)'!$D$3:$D$2213=$B319),2),"""")"),"https://techcombank.com/cong-cu-tien-ich/cong-cu-tinh-toan/bang-tinh-lai-suat-vay")</f>
        <v>https://techcombank.com/cong-cu-tien-ich/cong-cu-tinh-toan/bang-tinh-lai-suat-vay</v>
      </c>
      <c r="K319" s="25" t="str">
        <f>IFERROR(__xludf.DUMMYFUNCTION("IFERROR(INDEX(FILTER('Kế hoạch chèn link (mới)'!$C$3:$C$2213,'Kế hoạch chèn link (mới)'!$D$3:$D$2213=$B319),3),"""")"),"vay tiền")</f>
        <v>vay tiền</v>
      </c>
      <c r="L319" s="25" t="str">
        <f>IFERROR(__xludf.DUMMYFUNCTION("IFERROR(INDEX(FILTER('Kế hoạch chèn link (mới)'!$B$3:$B$2213,'Kế hoạch chèn link (mới)'!$D$3:$D$2213=$B319),3),"""")"),"https://techcombank.com/thong-tin/blog/app-vay-tien-nhanh")</f>
        <v>https://techcombank.com/thong-tin/blog/app-vay-tien-nhanh</v>
      </c>
      <c r="M319" s="25" t="str">
        <f>IFERROR(__xludf.DUMMYFUNCTION("IFERROR(INDEX(FILTER('Kế hoạch chèn link (mới)'!$C$3:$C$2213,'Kế hoạch chèn link (mới)'!$D$3:$D$2213=$B319),4),"""")"),"")</f>
        <v/>
      </c>
      <c r="N319" s="25" t="str">
        <f>IFERROR(__xludf.DUMMYFUNCTION("IFERROR(INDEX(FILTER('Kế hoạch chèn link (mới)'!$B$3:$B$2213,'Kế hoạch chèn link (mới)'!$D$3:$D$2213=$B319),4),"""")"),"")</f>
        <v/>
      </c>
      <c r="O319" s="25" t="str">
        <f>IFERROR(__xludf.DUMMYFUNCTION("IFERROR(INDEX(FILTER('Kế hoạch chèn link (mới)'!$C$3:$C$2213,'Kế hoạch chèn link (mới)'!$D$3:$D$2213=$B319),5),"""")"),"")</f>
        <v/>
      </c>
      <c r="P319" s="25" t="str">
        <f>IFERROR(__xludf.DUMMYFUNCTION("IFERROR(INDEX(FILTER('Kế hoạch chèn link (mới)'!$B$3:$B$2213,'Kế hoạch chèn link (mới)'!$D$3:$D$2213=$B319),5),"""")"),"")</f>
        <v/>
      </c>
    </row>
    <row r="320">
      <c r="A320" s="6">
        <f t="shared" si="1"/>
        <v>319</v>
      </c>
      <c r="B320" s="8" t="s">
        <v>2949</v>
      </c>
      <c r="C320" s="6">
        <f>COUNTIF('Kế hoạch chèn link (mới)'!$D$3:$D$2213,$B320)</f>
        <v>4</v>
      </c>
      <c r="D320" s="8" t="str">
        <f>IF(COUNTIFS('Kế hoạch chèn link (mới)'!$D$3:$D$2213,$B320,'Kế hoạch chèn link (mới)'!$I$3:$I$2213,"Đã chèn")&gt;=$C320,"Đã hoàn thành",IF(COUNTIFS('Kế hoạch chèn link (mới)'!$D$3:$D$2213,$B320,'Kế hoạch chèn link (mới)'!$I$3:$I$2213,"Đã chèn")&gt;0,"Đang làm","Chưa hoàn thành"))</f>
        <v>Chưa hoàn thành</v>
      </c>
      <c r="E320" s="8" t="b">
        <f t="shared" si="2"/>
        <v>0</v>
      </c>
      <c r="F320" s="25"/>
      <c r="G320" s="25" t="str">
        <f>IFERROR(__xludf.DUMMYFUNCTION("IFERROR(INDEX(FILTER('Kế hoạch chèn link (mới)'!$C$3:$C$2213,'Kế hoạch chèn link (mới)'!$D$3:$D$2213=$B320),1),"""")"),"cách tính lãi suất vay")</f>
        <v>cách tính lãi suất vay</v>
      </c>
      <c r="H320" s="25" t="str">
        <f>IFERROR(__xludf.DUMMYFUNCTION("IFERROR(INDEX(FILTER('Kế hoạch chèn link (mới)'!$B$3:$B$2213,'Kế hoạch chèn link (mới)'!$D$3:$D$2213=$B320),1),"""")"),"https://techcombank.com/thong-tin/blog/cach-tinh-lai-vay-ngan-hang")</f>
        <v>https://techcombank.com/thong-tin/blog/cach-tinh-lai-vay-ngan-hang</v>
      </c>
      <c r="I320" s="25" t="str">
        <f>IFERROR(__xludf.DUMMYFUNCTION("IFERROR(INDEX(FILTER('Kế hoạch chèn link (mới)'!$C$3:$C$2213,'Kế hoạch chèn link (mới)'!$D$3:$D$2213=$B320),2),"""")"),"tính lãi suất vay ngân hàng")</f>
        <v>tính lãi suất vay ngân hàng</v>
      </c>
      <c r="J320" s="25" t="str">
        <f>IFERROR(__xludf.DUMMYFUNCTION("IFERROR(INDEX(FILTER('Kế hoạch chèn link (mới)'!$B$3:$B$2213,'Kế hoạch chèn link (mới)'!$D$3:$D$2213=$B320),2),"""")"),"https://techcombank.com/cong-cu-tien-ich/cong-cu-tinh-toan/bang-tinh-lai-suat-vay")</f>
        <v>https://techcombank.com/cong-cu-tien-ich/cong-cu-tinh-toan/bang-tinh-lai-suat-vay</v>
      </c>
      <c r="K320" s="25" t="str">
        <f>IFERROR(__xludf.DUMMYFUNCTION("IFERROR(INDEX(FILTER('Kế hoạch chèn link (mới)'!$C$3:$C$2213,'Kế hoạch chèn link (mới)'!$D$3:$D$2213=$B320),3),"""")"),"vay")</f>
        <v>vay</v>
      </c>
      <c r="L320" s="25" t="str">
        <f>IFERROR(__xludf.DUMMYFUNCTION("IFERROR(INDEX(FILTER('Kế hoạch chèn link (mới)'!$B$3:$B$2213,'Kế hoạch chèn link (mới)'!$D$3:$D$2213=$B320),3),"""")"),"https://techcombank.com/thong-tin/blog/app-vay-tien-nhanh")</f>
        <v>https://techcombank.com/thong-tin/blog/app-vay-tien-nhanh</v>
      </c>
      <c r="M320" s="25" t="str">
        <f>IFERROR(__xludf.DUMMYFUNCTION("IFERROR(INDEX(FILTER('Kế hoạch chèn link (mới)'!$C$3:$C$2213,'Kế hoạch chèn link (mới)'!$D$3:$D$2213=$B320),4),"""")"),"lãi suất vay ngân hàng hiện nay")</f>
        <v>lãi suất vay ngân hàng hiện nay</v>
      </c>
      <c r="N320" s="25" t="str">
        <f>IFERROR(__xludf.DUMMYFUNCTION("IFERROR(INDEX(FILTER('Kế hoạch chèn link (mới)'!$B$3:$B$2213,'Kế hoạch chèn link (mới)'!$D$3:$D$2213=$B320),4),"""")"),"https://techcombank.com/thong-tin/blog/lai-suat-vay-ngan-hang")</f>
        <v>https://techcombank.com/thong-tin/blog/lai-suat-vay-ngan-hang</v>
      </c>
      <c r="O320" s="25" t="str">
        <f>IFERROR(__xludf.DUMMYFUNCTION("IFERROR(INDEX(FILTER('Kế hoạch chèn link (mới)'!$C$3:$C$2213,'Kế hoạch chèn link (mới)'!$D$3:$D$2213=$B320),5),"""")"),"")</f>
        <v/>
      </c>
      <c r="P320" s="25" t="str">
        <f>IFERROR(__xludf.DUMMYFUNCTION("IFERROR(INDEX(FILTER('Kế hoạch chèn link (mới)'!$B$3:$B$2213,'Kế hoạch chèn link (mới)'!$D$3:$D$2213=$B320),5),"""")"),"")</f>
        <v/>
      </c>
    </row>
    <row r="321">
      <c r="A321" s="6">
        <f t="shared" si="1"/>
        <v>320</v>
      </c>
      <c r="B321" s="8" t="s">
        <v>2950</v>
      </c>
      <c r="C321" s="6">
        <f>COUNTIF('Kế hoạch chèn link (mới)'!$D$3:$D$2213,$B321)</f>
        <v>2</v>
      </c>
      <c r="D321" s="8" t="str">
        <f>IF(COUNTIFS('Kế hoạch chèn link (mới)'!$D$3:$D$2213,$B321,'Kế hoạch chèn link (mới)'!$I$3:$I$2213,"Đã chèn")&gt;=$C321,"Đã hoàn thành",IF(COUNTIFS('Kế hoạch chèn link (mới)'!$D$3:$D$2213,$B321,'Kế hoạch chèn link (mới)'!$I$3:$I$2213,"Đã chèn")&gt;0,"Đang làm","Chưa hoàn thành"))</f>
        <v>Chưa hoàn thành</v>
      </c>
      <c r="E321" s="8" t="b">
        <f t="shared" si="2"/>
        <v>0</v>
      </c>
      <c r="F321" s="25"/>
      <c r="G321" s="25" t="str">
        <f>IFERROR(__xludf.DUMMYFUNCTION("IFERROR(INDEX(FILTER('Kế hoạch chèn link (mới)'!$C$3:$C$2213,'Kế hoạch chèn link (mới)'!$D$3:$D$2213=$B321),1),"""")"),"vay ngân hàng 1 tỷ mỗi tháng trả bao nhiêu")</f>
        <v>vay ngân hàng 1 tỷ mỗi tháng trả bao nhiêu</v>
      </c>
      <c r="H321" s="25" t="str">
        <f>IFERROR(__xludf.DUMMYFUNCTION("IFERROR(INDEX(FILTER('Kế hoạch chèn link (mới)'!$B$3:$B$2213,'Kế hoạch chèn link (mới)'!$D$3:$D$2213=$B321),1),"""")"),"https://techcombank.com/thong-tin/blog/vay-ngan-hang-1-ty-moi-thang-tra-bao-nhieu")</f>
        <v>https://techcombank.com/thong-tin/blog/vay-ngan-hang-1-ty-moi-thang-tra-bao-nhieu</v>
      </c>
      <c r="I321" s="25" t="str">
        <f>IFERROR(__xludf.DUMMYFUNCTION("IFERROR(INDEX(FILTER('Kế hoạch chèn link (mới)'!$C$3:$C$2213,'Kế hoạch chèn link (mới)'!$D$3:$D$2213=$B321),2),"""")"),"cách tính lãi suất vay ngân hàng")</f>
        <v>cách tính lãi suất vay ngân hàng</v>
      </c>
      <c r="J321" s="25" t="str">
        <f>IFERROR(__xludf.DUMMYFUNCTION("IFERROR(INDEX(FILTER('Kế hoạch chèn link (mới)'!$B$3:$B$2213,'Kế hoạch chèn link (mới)'!$D$3:$D$2213=$B321),2),"""")"),"https://techcombank.com/thong-tin/blog/cach-tinh-lai-vay-ngan-hang")</f>
        <v>https://techcombank.com/thong-tin/blog/cach-tinh-lai-vay-ngan-hang</v>
      </c>
      <c r="K321" s="25" t="str">
        <f>IFERROR(__xludf.DUMMYFUNCTION("IFERROR(INDEX(FILTER('Kế hoạch chèn link (mới)'!$C$3:$C$2213,'Kế hoạch chèn link (mới)'!$D$3:$D$2213=$B321),3),"""")"),"")</f>
        <v/>
      </c>
      <c r="L321" s="25" t="str">
        <f>IFERROR(__xludf.DUMMYFUNCTION("IFERROR(INDEX(FILTER('Kế hoạch chèn link (mới)'!$B$3:$B$2213,'Kế hoạch chèn link (mới)'!$D$3:$D$2213=$B321),3),"""")"),"")</f>
        <v/>
      </c>
      <c r="M321" s="25" t="str">
        <f>IFERROR(__xludf.DUMMYFUNCTION("IFERROR(INDEX(FILTER('Kế hoạch chèn link (mới)'!$C$3:$C$2213,'Kế hoạch chèn link (mới)'!$D$3:$D$2213=$B321),4),"""")"),"")</f>
        <v/>
      </c>
      <c r="N321" s="25" t="str">
        <f>IFERROR(__xludf.DUMMYFUNCTION("IFERROR(INDEX(FILTER('Kế hoạch chèn link (mới)'!$B$3:$B$2213,'Kế hoạch chèn link (mới)'!$D$3:$D$2213=$B321),4),"""")"),"")</f>
        <v/>
      </c>
      <c r="O321" s="25" t="str">
        <f>IFERROR(__xludf.DUMMYFUNCTION("IFERROR(INDEX(FILTER('Kế hoạch chèn link (mới)'!$C$3:$C$2213,'Kế hoạch chèn link (mới)'!$D$3:$D$2213=$B321),5),"""")"),"")</f>
        <v/>
      </c>
      <c r="P321" s="25" t="str">
        <f>IFERROR(__xludf.DUMMYFUNCTION("IFERROR(INDEX(FILTER('Kế hoạch chèn link (mới)'!$B$3:$B$2213,'Kế hoạch chèn link (mới)'!$D$3:$D$2213=$B321),5),"""")"),"")</f>
        <v/>
      </c>
    </row>
    <row r="322">
      <c r="A322" s="6">
        <f t="shared" si="1"/>
        <v>321</v>
      </c>
      <c r="B322" s="8" t="s">
        <v>236</v>
      </c>
      <c r="C322" s="6">
        <f>COUNTIF('Kế hoạch chèn link (mới)'!$D$3:$D$2213,$B322)</f>
        <v>3</v>
      </c>
      <c r="D322" s="8" t="str">
        <f>IF(COUNTIFS('Kế hoạch chèn link (mới)'!$D$3:$D$2213,$B322,'Kế hoạch chèn link (mới)'!$I$3:$I$2213,"Đã chèn")&gt;=$C322,"Đã hoàn thành",IF(COUNTIFS('Kế hoạch chèn link (mới)'!$D$3:$D$2213,$B322,'Kế hoạch chèn link (mới)'!$I$3:$I$2213,"Đã chèn")&gt;0,"Đang làm","Chưa hoàn thành"))</f>
        <v>Chưa hoàn thành</v>
      </c>
      <c r="E322" s="8" t="b">
        <f t="shared" si="2"/>
        <v>0</v>
      </c>
      <c r="F322" s="25"/>
      <c r="G322" s="25" t="str">
        <f>IFERROR(__xludf.DUMMYFUNCTION("IFERROR(INDEX(FILTER('Kế hoạch chèn link (mới)'!$C$3:$C$2213,'Kế hoạch chèn link (mới)'!$D$3:$D$2213=$B322),1),"""")"),"lãi suất vay mua xe ô tô")</f>
        <v>lãi suất vay mua xe ô tô</v>
      </c>
      <c r="H322" s="25" t="str">
        <f>IFERROR(__xludf.DUMMYFUNCTION("IFERROR(INDEX(FILTER('Kế hoạch chèn link (mới)'!$B$3:$B$2213,'Kế hoạch chèn link (mới)'!$D$3:$D$2213=$B322),1),"""")"),"https://techcombank.com/thong-tin/blog/lai-suat-vay-mua-o-to")</f>
        <v>https://techcombank.com/thong-tin/blog/lai-suat-vay-mua-o-to</v>
      </c>
      <c r="I322" s="25" t="str">
        <f>IFERROR(__xludf.DUMMYFUNCTION("IFERROR(INDEX(FILTER('Kế hoạch chèn link (mới)'!$C$3:$C$2213,'Kế hoạch chèn link (mới)'!$D$3:$D$2213=$B322),2),"""")"),"cách tính lãi suất vay ngân hàng")</f>
        <v>cách tính lãi suất vay ngân hàng</v>
      </c>
      <c r="J322" s="25" t="str">
        <f>IFERROR(__xludf.DUMMYFUNCTION("IFERROR(INDEX(FILTER('Kế hoạch chèn link (mới)'!$B$3:$B$2213,'Kế hoạch chèn link (mới)'!$D$3:$D$2213=$B322),2),"""")"),"https://techcombank.com/thong-tin/blog/cach-tinh-lai-vay-ngan-hang")</f>
        <v>https://techcombank.com/thong-tin/blog/cach-tinh-lai-vay-ngan-hang</v>
      </c>
      <c r="K322" s="25" t="str">
        <f>IFERROR(__xludf.DUMMYFUNCTION("IFERROR(INDEX(FILTER('Kế hoạch chèn link (mới)'!$C$3:$C$2213,'Kế hoạch chèn link (mới)'!$D$3:$D$2213=$B322),3),"""")"),"vay thấu chi")</f>
        <v>vay thấu chi</v>
      </c>
      <c r="L322" s="25" t="str">
        <f>IFERROR(__xludf.DUMMYFUNCTION("IFERROR(INDEX(FILTER('Kế hoạch chèn link (mới)'!$B$3:$B$2213,'Kế hoạch chèn link (mới)'!$D$3:$D$2213=$B322),3),"""")"),"https://techcombank.com/thong-tin/blog/vay-thau-chi-la-gi")</f>
        <v>https://techcombank.com/thong-tin/blog/vay-thau-chi-la-gi</v>
      </c>
      <c r="M322" s="25" t="str">
        <f>IFERROR(__xludf.DUMMYFUNCTION("IFERROR(INDEX(FILTER('Kế hoạch chèn link (mới)'!$C$3:$C$2213,'Kế hoạch chèn link (mới)'!$D$3:$D$2213=$B322),4),"""")"),"")</f>
        <v/>
      </c>
      <c r="N322" s="25" t="str">
        <f>IFERROR(__xludf.DUMMYFUNCTION("IFERROR(INDEX(FILTER('Kế hoạch chèn link (mới)'!$B$3:$B$2213,'Kế hoạch chèn link (mới)'!$D$3:$D$2213=$B322),4),"""")"),"")</f>
        <v/>
      </c>
      <c r="O322" s="25" t="str">
        <f>IFERROR(__xludf.DUMMYFUNCTION("IFERROR(INDEX(FILTER('Kế hoạch chèn link (mới)'!$C$3:$C$2213,'Kế hoạch chèn link (mới)'!$D$3:$D$2213=$B322),5),"""")"),"")</f>
        <v/>
      </c>
      <c r="P322" s="25" t="str">
        <f>IFERROR(__xludf.DUMMYFUNCTION("IFERROR(INDEX(FILTER('Kế hoạch chèn link (mới)'!$B$3:$B$2213,'Kế hoạch chèn link (mới)'!$D$3:$D$2213=$B322),5),"""")"),"")</f>
        <v/>
      </c>
    </row>
    <row r="323">
      <c r="A323" s="6">
        <f t="shared" si="1"/>
        <v>322</v>
      </c>
      <c r="B323" s="8" t="s">
        <v>2955</v>
      </c>
      <c r="C323" s="6">
        <f>COUNTIF('Kế hoạch chèn link (mới)'!$D$3:$D$2213,$B323)</f>
        <v>4</v>
      </c>
      <c r="D323" s="8" t="str">
        <f>IF(COUNTIFS('Kế hoạch chèn link (mới)'!$D$3:$D$2213,$B323,'Kế hoạch chèn link (mới)'!$I$3:$I$2213,"Đã chèn")&gt;=$C323,"Đã hoàn thành",IF(COUNTIFS('Kế hoạch chèn link (mới)'!$D$3:$D$2213,$B323,'Kế hoạch chèn link (mới)'!$I$3:$I$2213,"Đã chèn")&gt;0,"Đang làm","Chưa hoàn thành"))</f>
        <v>Chưa hoàn thành</v>
      </c>
      <c r="E323" s="8" t="b">
        <f t="shared" si="2"/>
        <v>0</v>
      </c>
      <c r="F323" s="25"/>
      <c r="G323" s="25" t="str">
        <f>IFERROR(__xludf.DUMMYFUNCTION("IFERROR(INDEX(FILTER('Kế hoạch chèn link (mới)'!$C$3:$C$2213,'Kế hoạch chèn link (mới)'!$D$3:$D$2213=$B323),1),"""")"),"cách tính lãi suất vay ngân hàng")</f>
        <v>cách tính lãi suất vay ngân hàng</v>
      </c>
      <c r="H323" s="25" t="str">
        <f>IFERROR(__xludf.DUMMYFUNCTION("IFERROR(INDEX(FILTER('Kế hoạch chèn link (mới)'!$B$3:$B$2213,'Kế hoạch chèn link (mới)'!$D$3:$D$2213=$B323),1),"""")"),"https://techcombank.com/thong-tin/blog/cach-tinh-lai-vay-ngan-hang")</f>
        <v>https://techcombank.com/thong-tin/blog/cach-tinh-lai-vay-ngan-hang</v>
      </c>
      <c r="I323" s="25" t="str">
        <f>IFERROR(__xludf.DUMMYFUNCTION("IFERROR(INDEX(FILTER('Kế hoạch chèn link (mới)'!$C$3:$C$2213,'Kế hoạch chèn link (mới)'!$D$3:$D$2213=$B323),2),"""")"),"tính lãi vay ngân hàng")</f>
        <v>tính lãi vay ngân hàng</v>
      </c>
      <c r="J323" s="25" t="str">
        <f>IFERROR(__xludf.DUMMYFUNCTION("IFERROR(INDEX(FILTER('Kế hoạch chèn link (mới)'!$B$3:$B$2213,'Kế hoạch chèn link (mới)'!$D$3:$D$2213=$B323),2),"""")"),"https://techcombank.com/cong-cu-tien-ich/cong-cu-tinh-toan/bang-tinh-lai-suat-vay")</f>
        <v>https://techcombank.com/cong-cu-tien-ich/cong-cu-tinh-toan/bang-tinh-lai-suat-vay</v>
      </c>
      <c r="K323" s="25" t="str">
        <f>IFERROR(__xludf.DUMMYFUNCTION("IFERROR(INDEX(FILTER('Kế hoạch chèn link (mới)'!$C$3:$C$2213,'Kế hoạch chèn link (mới)'!$D$3:$D$2213=$B323),3),"""")"),"vay")</f>
        <v>vay</v>
      </c>
      <c r="L323" s="25" t="str">
        <f>IFERROR(__xludf.DUMMYFUNCTION("IFERROR(INDEX(FILTER('Kế hoạch chèn link (mới)'!$B$3:$B$2213,'Kế hoạch chèn link (mới)'!$D$3:$D$2213=$B323),3),"""")"),"https://techcombank.com/thong-tin/blog/app-vay-tien-nhanh")</f>
        <v>https://techcombank.com/thong-tin/blog/app-vay-tien-nhanh</v>
      </c>
      <c r="M323" s="25" t="str">
        <f>IFERROR(__xludf.DUMMYFUNCTION("IFERROR(INDEX(FILTER('Kế hoạch chèn link (mới)'!$C$3:$C$2213,'Kế hoạch chèn link (mới)'!$D$3:$D$2213=$B323),4),"""")"),"lãi suất vay ngân hàng hôm nay")</f>
        <v>lãi suất vay ngân hàng hôm nay</v>
      </c>
      <c r="N323" s="25" t="str">
        <f>IFERROR(__xludf.DUMMYFUNCTION("IFERROR(INDEX(FILTER('Kế hoạch chèn link (mới)'!$B$3:$B$2213,'Kế hoạch chèn link (mới)'!$D$3:$D$2213=$B323),4),"""")"),"https://techcombank.com/thong-tin/blog/lai-suat-vay-ngan-hang")</f>
        <v>https://techcombank.com/thong-tin/blog/lai-suat-vay-ngan-hang</v>
      </c>
      <c r="O323" s="25" t="str">
        <f>IFERROR(__xludf.DUMMYFUNCTION("IFERROR(INDEX(FILTER('Kế hoạch chèn link (mới)'!$C$3:$C$2213,'Kế hoạch chèn link (mới)'!$D$3:$D$2213=$B323),5),"""")"),"")</f>
        <v/>
      </c>
      <c r="P323" s="25" t="str">
        <f>IFERROR(__xludf.DUMMYFUNCTION("IFERROR(INDEX(FILTER('Kế hoạch chèn link (mới)'!$B$3:$B$2213,'Kế hoạch chèn link (mới)'!$D$3:$D$2213=$B323),5),"""")"),"")</f>
        <v/>
      </c>
    </row>
    <row r="324">
      <c r="A324" s="6">
        <f t="shared" si="1"/>
        <v>323</v>
      </c>
      <c r="B324" s="8" t="s">
        <v>2956</v>
      </c>
      <c r="C324" s="6">
        <f>COUNTIF('Kế hoạch chèn link (mới)'!$D$3:$D$2213,$B324)</f>
        <v>5</v>
      </c>
      <c r="D324" s="8" t="str">
        <f>IF(COUNTIFS('Kế hoạch chèn link (mới)'!$D$3:$D$2213,$B324,'Kế hoạch chèn link (mới)'!$I$3:$I$2213,"Đã chèn")&gt;=$C324,"Đã hoàn thành",IF(COUNTIFS('Kế hoạch chèn link (mới)'!$D$3:$D$2213,$B324,'Kế hoạch chèn link (mới)'!$I$3:$I$2213,"Đã chèn")&gt;0,"Đang làm","Chưa hoàn thành"))</f>
        <v>Chưa hoàn thành</v>
      </c>
      <c r="E324" s="8" t="b">
        <f t="shared" si="2"/>
        <v>0</v>
      </c>
      <c r="F324" s="25"/>
      <c r="G324" s="25" t="str">
        <f>IFERROR(__xludf.DUMMYFUNCTION("IFERROR(INDEX(FILTER('Kế hoạch chèn link (mới)'!$C$3:$C$2213,'Kế hoạch chèn link (mới)'!$D$3:$D$2213=$B324),1),"""")"),"cách tính lãi suất vay")</f>
        <v>cách tính lãi suất vay</v>
      </c>
      <c r="H324" s="25" t="str">
        <f>IFERROR(__xludf.DUMMYFUNCTION("IFERROR(INDEX(FILTER('Kế hoạch chèn link (mới)'!$B$3:$B$2213,'Kế hoạch chèn link (mới)'!$D$3:$D$2213=$B324),1),"""")"),"https://techcombank.com/thong-tin/blog/cach-tinh-lai-vay-ngan-hang")</f>
        <v>https://techcombank.com/thong-tin/blog/cach-tinh-lai-vay-ngan-hang</v>
      </c>
      <c r="I324" s="25" t="str">
        <f>IFERROR(__xludf.DUMMYFUNCTION("IFERROR(INDEX(FILTER('Kế hoạch chèn link (mới)'!$C$3:$C$2213,'Kế hoạch chèn link (mới)'!$D$3:$D$2213=$B324),2),"""")"),"vay")</f>
        <v>vay</v>
      </c>
      <c r="J324" s="25" t="str">
        <f>IFERROR(__xludf.DUMMYFUNCTION("IFERROR(INDEX(FILTER('Kế hoạch chèn link (mới)'!$B$3:$B$2213,'Kế hoạch chèn link (mới)'!$D$3:$D$2213=$B324),2),"""")"),"https://techcombank.com/thong-tin/blog/app-vay-tien-nhanh")</f>
        <v>https://techcombank.com/thong-tin/blog/app-vay-tien-nhanh</v>
      </c>
      <c r="K324" s="25" t="str">
        <f>IFERROR(__xludf.DUMMYFUNCTION("IFERROR(INDEX(FILTER('Kế hoạch chèn link (mới)'!$C$3:$C$2213,'Kế hoạch chèn link (mới)'!$D$3:$D$2213=$B324),3),"""")"),"lãi vay ngân hàng hiện nay")</f>
        <v>lãi vay ngân hàng hiện nay</v>
      </c>
      <c r="L324" s="25" t="str">
        <f>IFERROR(__xludf.DUMMYFUNCTION("IFERROR(INDEX(FILTER('Kế hoạch chèn link (mới)'!$B$3:$B$2213,'Kế hoạch chèn link (mới)'!$D$3:$D$2213=$B324),3),"""")"),"https://techcombank.com/thong-tin/blog/lai-suat-vay-ngan-hang")</f>
        <v>https://techcombank.com/thong-tin/blog/lai-suat-vay-ngan-hang</v>
      </c>
      <c r="M324" s="25" t="str">
        <f>IFERROR(__xludf.DUMMYFUNCTION("IFERROR(INDEX(FILTER('Kế hoạch chèn link (mới)'!$C$3:$C$2213,'Kế hoạch chèn link (mới)'!$D$3:$D$2213=$B324),4),"""")"),"nên vay tín chấp ở đâu")</f>
        <v>nên vay tín chấp ở đâu</v>
      </c>
      <c r="N324" s="25" t="str">
        <f>IFERROR(__xludf.DUMMYFUNCTION("IFERROR(INDEX(FILTER('Kế hoạch chèn link (mới)'!$B$3:$B$2213,'Kế hoạch chèn link (mới)'!$D$3:$D$2213=$B324),4),"""")"),"https://techcombank.com/thong-tin/blog/nen-vay-tin-chap-o-dau")</f>
        <v>https://techcombank.com/thong-tin/blog/nen-vay-tin-chap-o-dau</v>
      </c>
      <c r="O324" s="25" t="str">
        <f>IFERROR(__xludf.DUMMYFUNCTION("IFERROR(INDEX(FILTER('Kế hoạch chèn link (mới)'!$C$3:$C$2213,'Kế hoạch chèn link (mới)'!$D$3:$D$2213=$B324),5),"""")"),"nợ xấu")</f>
        <v>nợ xấu</v>
      </c>
      <c r="P324" s="25" t="str">
        <f>IFERROR(__xludf.DUMMYFUNCTION("IFERROR(INDEX(FILTER('Kế hoạch chèn link (mới)'!$B$3:$B$2213,'Kế hoạch chèn link (mới)'!$D$3:$D$2213=$B324),5),"""")"),"https://techcombank.com/thong-tin/blog/no-xau-la-gi")</f>
        <v>https://techcombank.com/thong-tin/blog/no-xau-la-gi</v>
      </c>
    </row>
    <row r="325">
      <c r="A325" s="6">
        <f t="shared" si="1"/>
        <v>324</v>
      </c>
      <c r="B325" s="8" t="s">
        <v>2957</v>
      </c>
      <c r="C325" s="6">
        <f>COUNTIF('Kế hoạch chèn link (mới)'!$D$3:$D$2213,$B325)</f>
        <v>3</v>
      </c>
      <c r="D325" s="8" t="str">
        <f>IF(COUNTIFS('Kế hoạch chèn link (mới)'!$D$3:$D$2213,$B325,'Kế hoạch chèn link (mới)'!$I$3:$I$2213,"Đã chèn")&gt;=$C325,"Đã hoàn thành",IF(COUNTIFS('Kế hoạch chèn link (mới)'!$D$3:$D$2213,$B325,'Kế hoạch chèn link (mới)'!$I$3:$I$2213,"Đã chèn")&gt;0,"Đang làm","Chưa hoàn thành"))</f>
        <v>Chưa hoàn thành</v>
      </c>
      <c r="E325" s="8" t="b">
        <f t="shared" si="2"/>
        <v>0</v>
      </c>
      <c r="F325" s="25"/>
      <c r="G325" s="25" t="str">
        <f>IFERROR(__xludf.DUMMYFUNCTION("IFERROR(INDEX(FILTER('Kế hoạch chèn link (mới)'!$C$3:$C$2213,'Kế hoạch chèn link (mới)'!$D$3:$D$2213=$B325),1),"""")"),"rút tiền thẻ tín dụng")</f>
        <v>rút tiền thẻ tín dụng</v>
      </c>
      <c r="H325" s="25" t="str">
        <f>IFERROR(__xludf.DUMMYFUNCTION("IFERROR(INDEX(FILTER('Kế hoạch chèn link (mới)'!$B$3:$B$2213,'Kế hoạch chèn link (mới)'!$D$3:$D$2213=$B325),1),"""")"),"https://techcombank.com/thong-tin/blog/rut-tien-mat-tu-the-tin-dung")</f>
        <v>https://techcombank.com/thong-tin/blog/rut-tien-mat-tu-the-tin-dung</v>
      </c>
      <c r="I325" s="25" t="str">
        <f>IFERROR(__xludf.DUMMYFUNCTION("IFERROR(INDEX(FILTER('Kế hoạch chèn link (mới)'!$C$3:$C$2213,'Kế hoạch chèn link (mới)'!$D$3:$D$2213=$B325),2),"""")"),"thẻ tín dụng Techcombank Everyday")</f>
        <v>thẻ tín dụng Techcombank Everyday</v>
      </c>
      <c r="J325" s="25" t="str">
        <f>IFERROR(__xludf.DUMMYFUNCTION("IFERROR(INDEX(FILTER('Kế hoạch chèn link (mới)'!$B$3:$B$2213,'Kế hoạch chèn link (mới)'!$D$3:$D$2213=$B325),2),"""")"),"https://techcombank.com/khach-hang-ca-nhan/chi-tieu/the/the-tin-dung/techcombank-everyday")</f>
        <v>https://techcombank.com/khach-hang-ca-nhan/chi-tieu/the/the-tin-dung/techcombank-everyday</v>
      </c>
      <c r="K325" s="25" t="str">
        <f>IFERROR(__xludf.DUMMYFUNCTION("IFERROR(INDEX(FILTER('Kế hoạch chèn link (mới)'!$C$3:$C$2213,'Kế hoạch chèn link (mới)'!$D$3:$D$2213=$B325),3),"""")"),"hủy thẻ tín dụng")</f>
        <v>hủy thẻ tín dụng</v>
      </c>
      <c r="L325" s="25" t="str">
        <f>IFERROR(__xludf.DUMMYFUNCTION("IFERROR(INDEX(FILTER('Kế hoạch chèn link (mới)'!$B$3:$B$2213,'Kế hoạch chèn link (mới)'!$D$3:$D$2213=$B325),3),"""")"),"https://techcombank.com/thong-tin/blog/cach-huy-the-tin-dung")</f>
        <v>https://techcombank.com/thong-tin/blog/cach-huy-the-tin-dung</v>
      </c>
      <c r="M325" s="25" t="str">
        <f>IFERROR(__xludf.DUMMYFUNCTION("IFERROR(INDEX(FILTER('Kế hoạch chèn link (mới)'!$C$3:$C$2213,'Kế hoạch chèn link (mới)'!$D$3:$D$2213=$B325),4),"""")"),"")</f>
        <v/>
      </c>
      <c r="N325" s="25" t="str">
        <f>IFERROR(__xludf.DUMMYFUNCTION("IFERROR(INDEX(FILTER('Kế hoạch chèn link (mới)'!$B$3:$B$2213,'Kế hoạch chèn link (mới)'!$D$3:$D$2213=$B325),4),"""")"),"")</f>
        <v/>
      </c>
      <c r="O325" s="25" t="str">
        <f>IFERROR(__xludf.DUMMYFUNCTION("IFERROR(INDEX(FILTER('Kế hoạch chèn link (mới)'!$C$3:$C$2213,'Kế hoạch chèn link (mới)'!$D$3:$D$2213=$B325),5),"""")"),"")</f>
        <v/>
      </c>
      <c r="P325" s="25" t="str">
        <f>IFERROR(__xludf.DUMMYFUNCTION("IFERROR(INDEX(FILTER('Kế hoạch chèn link (mới)'!$B$3:$B$2213,'Kế hoạch chèn link (mới)'!$D$3:$D$2213=$B325),5),"""")"),"")</f>
        <v/>
      </c>
    </row>
    <row r="326">
      <c r="A326" s="6">
        <f t="shared" si="1"/>
        <v>325</v>
      </c>
      <c r="B326" s="8" t="s">
        <v>2958</v>
      </c>
      <c r="C326" s="6">
        <f>COUNTIF('Kế hoạch chèn link (mới)'!$D$3:$D$2213,$B326)</f>
        <v>1</v>
      </c>
      <c r="D326" s="8" t="str">
        <f>IF(COUNTIFS('Kế hoạch chèn link (mới)'!$D$3:$D$2213,$B326,'Kế hoạch chèn link (mới)'!$I$3:$I$2213,"Đã chèn")&gt;=$C326,"Đã hoàn thành",IF(COUNTIFS('Kế hoạch chèn link (mới)'!$D$3:$D$2213,$B326,'Kế hoạch chèn link (mới)'!$I$3:$I$2213,"Đã chèn")&gt;0,"Đang làm","Chưa hoàn thành"))</f>
        <v>Chưa hoàn thành</v>
      </c>
      <c r="E326" s="8" t="b">
        <f t="shared" si="2"/>
        <v>0</v>
      </c>
      <c r="F326" s="25"/>
      <c r="G326" s="25" t="str">
        <f>IFERROR(__xludf.DUMMYFUNCTION("IFERROR(INDEX(FILTER('Kế hoạch chèn link (mới)'!$C$3:$C$2213,'Kế hoạch chèn link (mới)'!$D$3:$D$2213=$B326),1),"""")"),"gửi mã QR ngân hàng")</f>
        <v>gửi mã QR ngân hàng</v>
      </c>
      <c r="H326" s="25" t="str">
        <f>IFERROR(__xludf.DUMMYFUNCTION("IFERROR(INDEX(FILTER('Kế hoạch chèn link (mới)'!$B$3:$B$2213,'Kế hoạch chèn link (mới)'!$D$3:$D$2213=$B326),1),"""")"),"https://techcombank.com/thong-tin/blog/gui-ma-qr-ngan-hang")</f>
        <v>https://techcombank.com/thong-tin/blog/gui-ma-qr-ngan-hang</v>
      </c>
      <c r="I326" s="25" t="str">
        <f>IFERROR(__xludf.DUMMYFUNCTION("IFERROR(INDEX(FILTER('Kế hoạch chèn link (mới)'!$C$3:$C$2213,'Kế hoạch chèn link (mới)'!$D$3:$D$2213=$B326),2),"""")"),"")</f>
        <v/>
      </c>
      <c r="J326" s="25" t="str">
        <f>IFERROR(__xludf.DUMMYFUNCTION("IFERROR(INDEX(FILTER('Kế hoạch chèn link (mới)'!$B$3:$B$2213,'Kế hoạch chèn link (mới)'!$D$3:$D$2213=$B326),2),"""")"),"")</f>
        <v/>
      </c>
      <c r="K326" s="25" t="str">
        <f>IFERROR(__xludf.DUMMYFUNCTION("IFERROR(INDEX(FILTER('Kế hoạch chèn link (mới)'!$C$3:$C$2213,'Kế hoạch chèn link (mới)'!$D$3:$D$2213=$B326),3),"""")"),"")</f>
        <v/>
      </c>
      <c r="L326" s="25" t="str">
        <f>IFERROR(__xludf.DUMMYFUNCTION("IFERROR(INDEX(FILTER('Kế hoạch chèn link (mới)'!$B$3:$B$2213,'Kế hoạch chèn link (mới)'!$D$3:$D$2213=$B326),3),"""")"),"")</f>
        <v/>
      </c>
      <c r="M326" s="25" t="str">
        <f>IFERROR(__xludf.DUMMYFUNCTION("IFERROR(INDEX(FILTER('Kế hoạch chèn link (mới)'!$C$3:$C$2213,'Kế hoạch chèn link (mới)'!$D$3:$D$2213=$B326),4),"""")"),"")</f>
        <v/>
      </c>
      <c r="N326" s="25" t="str">
        <f>IFERROR(__xludf.DUMMYFUNCTION("IFERROR(INDEX(FILTER('Kế hoạch chèn link (mới)'!$B$3:$B$2213,'Kế hoạch chèn link (mới)'!$D$3:$D$2213=$B326),4),"""")"),"")</f>
        <v/>
      </c>
      <c r="O326" s="25" t="str">
        <f>IFERROR(__xludf.DUMMYFUNCTION("IFERROR(INDEX(FILTER('Kế hoạch chèn link (mới)'!$C$3:$C$2213,'Kế hoạch chèn link (mới)'!$D$3:$D$2213=$B326),5),"""")"),"")</f>
        <v/>
      </c>
      <c r="P326" s="25" t="str">
        <f>IFERROR(__xludf.DUMMYFUNCTION("IFERROR(INDEX(FILTER('Kế hoạch chèn link (mới)'!$B$3:$B$2213,'Kế hoạch chèn link (mới)'!$D$3:$D$2213=$B326),5),"""")"),"")</f>
        <v/>
      </c>
    </row>
    <row r="327">
      <c r="A327" s="6">
        <f t="shared" si="1"/>
        <v>326</v>
      </c>
      <c r="B327" s="8" t="s">
        <v>2959</v>
      </c>
      <c r="C327" s="6">
        <f>COUNTIF('Kế hoạch chèn link (mới)'!$D$3:$D$2213,$B327)</f>
        <v>2</v>
      </c>
      <c r="D327" s="8" t="str">
        <f>IF(COUNTIFS('Kế hoạch chèn link (mới)'!$D$3:$D$2213,$B327,'Kế hoạch chèn link (mới)'!$I$3:$I$2213,"Đã chèn")&gt;=$C327,"Đã hoàn thành",IF(COUNTIFS('Kế hoạch chèn link (mới)'!$D$3:$D$2213,$B327,'Kế hoạch chèn link (mới)'!$I$3:$I$2213,"Đã chèn")&gt;0,"Đang làm","Chưa hoàn thành"))</f>
        <v>Chưa hoàn thành</v>
      </c>
      <c r="E327" s="8" t="b">
        <f t="shared" si="2"/>
        <v>0</v>
      </c>
      <c r="F327" s="25"/>
      <c r="G327" s="25" t="str">
        <f>IFERROR(__xludf.DUMMYFUNCTION("IFERROR(INDEX(FILTER('Kế hoạch chèn link (mới)'!$C$3:$C$2213,'Kế hoạch chèn link (mới)'!$D$3:$D$2213=$B327),1),"""")"),"chứng chỉ tiền gửi")</f>
        <v>chứng chỉ tiền gửi</v>
      </c>
      <c r="H327" s="25" t="str">
        <f>IFERROR(__xludf.DUMMYFUNCTION("IFERROR(INDEX(FILTER('Kế hoạch chèn link (mới)'!$B$3:$B$2213,'Kế hoạch chèn link (mới)'!$D$3:$D$2213=$B327),1),"""")"),"https://techcombank.com/thong-tin/blog/chung-chi-tien-gui-la-gi")</f>
        <v>https://techcombank.com/thong-tin/blog/chung-chi-tien-gui-la-gi</v>
      </c>
      <c r="I327" s="25" t="str">
        <f>IFERROR(__xludf.DUMMYFUNCTION("IFERROR(INDEX(FILTER('Kế hoạch chèn link (mới)'!$C$3:$C$2213,'Kế hoạch chèn link (mới)'!$D$3:$D$2213=$B327),2),"""")"),"tính lãi suất tiết kiệm")</f>
        <v>tính lãi suất tiết kiệm</v>
      </c>
      <c r="J327" s="25" t="str">
        <f>IFERROR(__xludf.DUMMYFUNCTION("IFERROR(INDEX(FILTER('Kế hoạch chèn link (mới)'!$B$3:$B$2213,'Kế hoạch chèn link (mới)'!$D$3:$D$2213=$B327),2),"""")"),"https://techcombank.com/thong-tin/blog/cach-tinh-lai-suat-tien-gui-tiet-kiem")</f>
        <v>https://techcombank.com/thong-tin/blog/cach-tinh-lai-suat-tien-gui-tiet-kiem</v>
      </c>
      <c r="K327" s="25" t="str">
        <f>IFERROR(__xludf.DUMMYFUNCTION("IFERROR(INDEX(FILTER('Kế hoạch chèn link (mới)'!$C$3:$C$2213,'Kế hoạch chèn link (mới)'!$D$3:$D$2213=$B327),3),"""")"),"")</f>
        <v/>
      </c>
      <c r="L327" s="25" t="str">
        <f>IFERROR(__xludf.DUMMYFUNCTION("IFERROR(INDEX(FILTER('Kế hoạch chèn link (mới)'!$B$3:$B$2213,'Kế hoạch chèn link (mới)'!$D$3:$D$2213=$B327),3),"""")"),"")</f>
        <v/>
      </c>
      <c r="M327" s="25" t="str">
        <f>IFERROR(__xludf.DUMMYFUNCTION("IFERROR(INDEX(FILTER('Kế hoạch chèn link (mới)'!$C$3:$C$2213,'Kế hoạch chèn link (mới)'!$D$3:$D$2213=$B327),4),"""")"),"")</f>
        <v/>
      </c>
      <c r="N327" s="25" t="str">
        <f>IFERROR(__xludf.DUMMYFUNCTION("IFERROR(INDEX(FILTER('Kế hoạch chèn link (mới)'!$B$3:$B$2213,'Kế hoạch chèn link (mới)'!$D$3:$D$2213=$B327),4),"""")"),"")</f>
        <v/>
      </c>
      <c r="O327" s="25" t="str">
        <f>IFERROR(__xludf.DUMMYFUNCTION("IFERROR(INDEX(FILTER('Kế hoạch chèn link (mới)'!$C$3:$C$2213,'Kế hoạch chèn link (mới)'!$D$3:$D$2213=$B327),5),"""")"),"")</f>
        <v/>
      </c>
      <c r="P327" s="25" t="str">
        <f>IFERROR(__xludf.DUMMYFUNCTION("IFERROR(INDEX(FILTER('Kế hoạch chèn link (mới)'!$B$3:$B$2213,'Kế hoạch chèn link (mới)'!$D$3:$D$2213=$B327),5),"""")"),"")</f>
        <v/>
      </c>
    </row>
    <row r="328">
      <c r="A328" s="6">
        <f t="shared" si="1"/>
        <v>327</v>
      </c>
      <c r="B328" s="8" t="s">
        <v>2099</v>
      </c>
      <c r="C328" s="6">
        <f>COUNTIF('Kế hoạch chèn link (mới)'!$D$3:$D$2213,$B328)</f>
        <v>4</v>
      </c>
      <c r="D328" s="8" t="str">
        <f>IF(COUNTIFS('Kế hoạch chèn link (mới)'!$D$3:$D$2213,$B328,'Kế hoạch chèn link (mới)'!$I$3:$I$2213,"Đã chèn")&gt;=$C328,"Đã hoàn thành",IF(COUNTIFS('Kế hoạch chèn link (mới)'!$D$3:$D$2213,$B328,'Kế hoạch chèn link (mới)'!$I$3:$I$2213,"Đã chèn")&gt;0,"Đang làm","Chưa hoàn thành"))</f>
        <v>Chưa hoàn thành</v>
      </c>
      <c r="E328" s="8" t="b">
        <f t="shared" si="2"/>
        <v>0</v>
      </c>
      <c r="F328" s="25"/>
      <c r="G328" s="25" t="str">
        <f>IFERROR(__xludf.DUMMYFUNCTION("IFERROR(INDEX(FILTER('Kế hoạch chèn link (mới)'!$C$3:$C$2213,'Kế hoạch chèn link (mới)'!$D$3:$D$2213=$B328),1),"""")"),"bao nhiêu tuổi được mở tài khoản ngân hàng")</f>
        <v>bao nhiêu tuổi được mở tài khoản ngân hàng</v>
      </c>
      <c r="H328" s="25" t="str">
        <f>IFERROR(__xludf.DUMMYFUNCTION("IFERROR(INDEX(FILTER('Kế hoạch chèn link (mới)'!$B$3:$B$2213,'Kế hoạch chèn link (mới)'!$D$3:$D$2213=$B328),1),"""")"),"https://techcombank.com/thong-tin/blog/bao-nhieu-tuoi-duoc-mo-tai-khoan-ngan-hang")</f>
        <v>https://techcombank.com/thong-tin/blog/bao-nhieu-tuoi-duoc-mo-tai-khoan-ngan-hang</v>
      </c>
      <c r="I328" s="25" t="str">
        <f>IFERROR(__xludf.DUMMYFUNCTION("IFERROR(INDEX(FILTER('Kế hoạch chèn link (mới)'!$C$3:$C$2213,'Kế hoạch chèn link (mới)'!$D$3:$D$2213=$B328),2),"""")"),"nộp tiền vào tài khoản")</f>
        <v>nộp tiền vào tài khoản</v>
      </c>
      <c r="J328" s="25" t="str">
        <f>IFERROR(__xludf.DUMMYFUNCTION("IFERROR(INDEX(FILTER('Kế hoạch chèn link (mới)'!$B$3:$B$2213,'Kế hoạch chèn link (mới)'!$D$3:$D$2213=$B328),2),"""")"),"https://techcombank.com/thong-tin/blog/nap-tien-vao-tai-khoan-ngan-hang")</f>
        <v>https://techcombank.com/thong-tin/blog/nap-tien-vao-tai-khoan-ngan-hang</v>
      </c>
      <c r="K328" s="25" t="str">
        <f>IFERROR(__xludf.DUMMYFUNCTION("IFERROR(INDEX(FILTER('Kế hoạch chèn link (mới)'!$C$3:$C$2213,'Kế hoạch chèn link (mới)'!$D$3:$D$2213=$B328),3),"""")"),"eco card")</f>
        <v>eco card</v>
      </c>
      <c r="L328" s="25" t="str">
        <f>IFERROR(__xludf.DUMMYFUNCTION("IFERROR(INDEX(FILTER('Kế hoạch chèn link (mới)'!$B$3:$B$2213,'Kế hoạch chèn link (mới)'!$D$3:$D$2213=$B328),3),"""")"),"https://techcombank.com/thong-tin/blog/eco-card")</f>
        <v>https://techcombank.com/thong-tin/blog/eco-card</v>
      </c>
      <c r="M328" s="25" t="str">
        <f>IFERROR(__xludf.DUMMYFUNCTION("IFERROR(INDEX(FILTER('Kế hoạch chèn link (mới)'!$C$3:$C$2213,'Kế hoạch chèn link (mới)'!$D$3:$D$2213=$B328),4),"""")"),"mở thẻ tín dụng")</f>
        <v>mở thẻ tín dụng</v>
      </c>
      <c r="N328" s="25" t="str">
        <f>IFERROR(__xludf.DUMMYFUNCTION("IFERROR(INDEX(FILTER('Kế hoạch chèn link (mới)'!$B$3:$B$2213,'Kế hoạch chèn link (mới)'!$D$3:$D$2213=$B328),4),"""")"),"https://techcombank.com/thong-tin/blog/lam-the-tin-dung")</f>
        <v>https://techcombank.com/thong-tin/blog/lam-the-tin-dung</v>
      </c>
      <c r="O328" s="25" t="str">
        <f>IFERROR(__xludf.DUMMYFUNCTION("IFERROR(INDEX(FILTER('Kế hoạch chèn link (mới)'!$C$3:$C$2213,'Kế hoạch chèn link (mới)'!$D$3:$D$2213=$B328),5),"""")"),"")</f>
        <v/>
      </c>
      <c r="P328" s="25" t="str">
        <f>IFERROR(__xludf.DUMMYFUNCTION("IFERROR(INDEX(FILTER('Kế hoạch chèn link (mới)'!$B$3:$B$2213,'Kế hoạch chèn link (mới)'!$D$3:$D$2213=$B328),5),"""")"),"")</f>
        <v/>
      </c>
    </row>
    <row r="329">
      <c r="A329" s="6">
        <f t="shared" si="1"/>
        <v>328</v>
      </c>
      <c r="B329" s="8" t="s">
        <v>2107</v>
      </c>
      <c r="C329" s="6">
        <f>COUNTIF('Kế hoạch chèn link (mới)'!$D$3:$D$2213,$B329)</f>
        <v>5</v>
      </c>
      <c r="D329" s="8" t="str">
        <f>IF(COUNTIFS('Kế hoạch chèn link (mới)'!$D$3:$D$2213,$B329,'Kế hoạch chèn link (mới)'!$I$3:$I$2213,"Đã chèn")&gt;=$C329,"Đã hoàn thành",IF(COUNTIFS('Kế hoạch chèn link (mới)'!$D$3:$D$2213,$B329,'Kế hoạch chèn link (mới)'!$I$3:$I$2213,"Đã chèn")&gt;0,"Đang làm","Chưa hoàn thành"))</f>
        <v>Chưa hoàn thành</v>
      </c>
      <c r="E329" s="8" t="b">
        <f t="shared" si="2"/>
        <v>0</v>
      </c>
      <c r="F329" s="25"/>
      <c r="G329" s="25" t="str">
        <f>IFERROR(__xludf.DUMMYFUNCTION("IFERROR(INDEX(FILTER('Kế hoạch chèn link (mới)'!$C$3:$C$2213,'Kế hoạch chèn link (mới)'!$D$3:$D$2213=$B329),1),"""")"),"bao nhiêu tuổi được mở tài khoản ngân hàng")</f>
        <v>bao nhiêu tuổi được mở tài khoản ngân hàng</v>
      </c>
      <c r="H329" s="25" t="str">
        <f>IFERROR(__xludf.DUMMYFUNCTION("IFERROR(INDEX(FILTER('Kế hoạch chèn link (mới)'!$B$3:$B$2213,'Kế hoạch chèn link (mới)'!$D$3:$D$2213=$B329),1),"""")"),"https://techcombank.com/thong-tin/blog/bao-nhieu-tuoi-duoc-mo-tai-khoan-ngan-hang")</f>
        <v>https://techcombank.com/thong-tin/blog/bao-nhieu-tuoi-duoc-mo-tai-khoan-ngan-hang</v>
      </c>
      <c r="I329" s="25" t="str">
        <f>IFERROR(__xludf.DUMMYFUNCTION("IFERROR(INDEX(FILTER('Kế hoạch chèn link (mới)'!$C$3:$C$2213,'Kế hoạch chèn link (mới)'!$D$3:$D$2213=$B329),2),"""")"),"nộp tiền vào tài khoản")</f>
        <v>nộp tiền vào tài khoản</v>
      </c>
      <c r="J329" s="25" t="str">
        <f>IFERROR(__xludf.DUMMYFUNCTION("IFERROR(INDEX(FILTER('Kế hoạch chèn link (mới)'!$B$3:$B$2213,'Kế hoạch chèn link (mới)'!$D$3:$D$2213=$B329),2),"""")"),"https://techcombank.com/thong-tin/blog/nap-tien-vao-tai-khoan-ngan-hang")</f>
        <v>https://techcombank.com/thong-tin/blog/nap-tien-vao-tai-khoan-ngan-hang</v>
      </c>
      <c r="K329" s="25" t="str">
        <f>IFERROR(__xludf.DUMMYFUNCTION("IFERROR(INDEX(FILTER('Kế hoạch chèn link (mới)'!$C$3:$C$2213,'Kế hoạch chèn link (mới)'!$D$3:$D$2213=$B329),3),"""")"),"rút tiền không cần thẻ")</f>
        <v>rút tiền không cần thẻ</v>
      </c>
      <c r="L329" s="25" t="str">
        <f>IFERROR(__xludf.DUMMYFUNCTION("IFERROR(INDEX(FILTER('Kế hoạch chèn link (mới)'!$B$3:$B$2213,'Kế hoạch chèn link (mới)'!$D$3:$D$2213=$B329),3),"""")"),"https://techcombank.com/thong-tin/blog/rut-tien-bang-ma-qr-la-gi-cach-thuc-hien-nhu-the-nao")</f>
        <v>https://techcombank.com/thong-tin/blog/rut-tien-bang-ma-qr-la-gi-cach-thuc-hien-nhu-the-nao</v>
      </c>
      <c r="M329" s="25" t="str">
        <f>IFERROR(__xludf.DUMMYFUNCTION("IFERROR(INDEX(FILTER('Kế hoạch chèn link (mới)'!$C$3:$C$2213,'Kế hoạch chèn link (mới)'!$D$3:$D$2213=$B329),4),"""")"),"eco card")</f>
        <v>eco card</v>
      </c>
      <c r="N329" s="25" t="str">
        <f>IFERROR(__xludf.DUMMYFUNCTION("IFERROR(INDEX(FILTER('Kế hoạch chèn link (mới)'!$B$3:$B$2213,'Kế hoạch chèn link (mới)'!$D$3:$D$2213=$B329),4),"""")"),"https://techcombank.com/thong-tin/blog/eco-card")</f>
        <v>https://techcombank.com/thong-tin/blog/eco-card</v>
      </c>
      <c r="O329" s="25" t="str">
        <f>IFERROR(__xludf.DUMMYFUNCTION("IFERROR(INDEX(FILTER('Kế hoạch chèn link (mới)'!$C$3:$C$2213,'Kế hoạch chèn link (mới)'!$D$3:$D$2213=$B329),5),"""")"),"làm thẻ tín dụng")</f>
        <v>làm thẻ tín dụng</v>
      </c>
      <c r="P329" s="25" t="str">
        <f>IFERROR(__xludf.DUMMYFUNCTION("IFERROR(INDEX(FILTER('Kế hoạch chèn link (mới)'!$B$3:$B$2213,'Kế hoạch chèn link (mới)'!$D$3:$D$2213=$B329),5),"""")"),"https://techcombank.com/thong-tin/blog/lam-the-tin-dung")</f>
        <v>https://techcombank.com/thong-tin/blog/lam-the-tin-dung</v>
      </c>
    </row>
    <row r="330">
      <c r="A330" s="6">
        <f t="shared" si="1"/>
        <v>329</v>
      </c>
      <c r="B330" s="8" t="s">
        <v>2093</v>
      </c>
      <c r="C330" s="6">
        <f>COUNTIF('Kế hoạch chèn link (mới)'!$D$3:$D$2213,$B330)</f>
        <v>4</v>
      </c>
      <c r="D330" s="8" t="str">
        <f>IF(COUNTIFS('Kế hoạch chèn link (mới)'!$D$3:$D$2213,$B330,'Kế hoạch chèn link (mới)'!$I$3:$I$2213,"Đã chèn")&gt;=$C330,"Đã hoàn thành",IF(COUNTIFS('Kế hoạch chèn link (mới)'!$D$3:$D$2213,$B330,'Kế hoạch chèn link (mới)'!$I$3:$I$2213,"Đã chèn")&gt;0,"Đang làm","Chưa hoàn thành"))</f>
        <v>Chưa hoàn thành</v>
      </c>
      <c r="E330" s="8" t="b">
        <f t="shared" si="2"/>
        <v>0</v>
      </c>
      <c r="F330" s="25"/>
      <c r="G330" s="25" t="str">
        <f>IFERROR(__xludf.DUMMYFUNCTION("IFERROR(INDEX(FILTER('Kế hoạch chèn link (mới)'!$C$3:$C$2213,'Kế hoạch chèn link (mới)'!$D$3:$D$2213=$B330),1),"""")"),"bao nhiêu tuổi được mở tài khoản ngân hàng")</f>
        <v>bao nhiêu tuổi được mở tài khoản ngân hàng</v>
      </c>
      <c r="H330" s="25" t="str">
        <f>IFERROR(__xludf.DUMMYFUNCTION("IFERROR(INDEX(FILTER('Kế hoạch chèn link (mới)'!$B$3:$B$2213,'Kế hoạch chèn link (mới)'!$D$3:$D$2213=$B330),1),"""")"),"https://techcombank.com/thong-tin/blog/bao-nhieu-tuoi-duoc-mo-tai-khoan-ngan-hang")</f>
        <v>https://techcombank.com/thong-tin/blog/bao-nhieu-tuoi-duoc-mo-tai-khoan-ngan-hang</v>
      </c>
      <c r="I330" s="25" t="str">
        <f>IFERROR(__xludf.DUMMYFUNCTION("IFERROR(INDEX(FILTER('Kế hoạch chèn link (mới)'!$C$3:$C$2213,'Kế hoạch chèn link (mới)'!$D$3:$D$2213=$B330),2),"""")"),"cách quét NFC căn cước")</f>
        <v>cách quét NFC căn cước</v>
      </c>
      <c r="J330" s="25" t="str">
        <f>IFERROR(__xludf.DUMMYFUNCTION("IFERROR(INDEX(FILTER('Kế hoạch chèn link (mới)'!$B$3:$B$2213,'Kế hoạch chèn link (mới)'!$D$3:$D$2213=$B330),2),"""")"),"https://techcombank.com/thong-tin/blog/cach-quet-nfc-cccd-tren-iphone")</f>
        <v>https://techcombank.com/thong-tin/blog/cach-quet-nfc-cccd-tren-iphone</v>
      </c>
      <c r="K330" s="25" t="str">
        <f>IFERROR(__xludf.DUMMYFUNCTION("IFERROR(INDEX(FILTER('Kế hoạch chèn link (mới)'!$C$3:$C$2213,'Kế hoạch chèn link (mới)'!$D$3:$D$2213=$B330),3),"""")"),"eco card")</f>
        <v>eco card</v>
      </c>
      <c r="L330" s="25" t="str">
        <f>IFERROR(__xludf.DUMMYFUNCTION("IFERROR(INDEX(FILTER('Kế hoạch chèn link (mới)'!$B$3:$B$2213,'Kế hoạch chèn link (mới)'!$D$3:$D$2213=$B330),3),"""")"),"https://techcombank.com/thong-tin/blog/eco-card")</f>
        <v>https://techcombank.com/thong-tin/blog/eco-card</v>
      </c>
      <c r="M330" s="25" t="str">
        <f>IFERROR(__xludf.DUMMYFUNCTION("IFERROR(INDEX(FILTER('Kế hoạch chèn link (mới)'!$C$3:$C$2213,'Kế hoạch chèn link (mới)'!$D$3:$D$2213=$B330),4),"""")"),"nhận tiền từ nước ngoài")</f>
        <v>nhận tiền từ nước ngoài</v>
      </c>
      <c r="N330" s="25" t="str">
        <f>IFERROR(__xludf.DUMMYFUNCTION("IFERROR(INDEX(FILTER('Kế hoạch chèn link (mới)'!$B$3:$B$2213,'Kế hoạch chèn link (mới)'!$D$3:$D$2213=$B330),4),"""")"),"https://techcombank.com/thong-tin/blog/cach-nhan-tien-tu-nuoc-ngoai-ve-viet-nam")</f>
        <v>https://techcombank.com/thong-tin/blog/cach-nhan-tien-tu-nuoc-ngoai-ve-viet-nam</v>
      </c>
      <c r="O330" s="25" t="str">
        <f>IFERROR(__xludf.DUMMYFUNCTION("IFERROR(INDEX(FILTER('Kế hoạch chèn link (mới)'!$C$3:$C$2213,'Kế hoạch chèn link (mới)'!$D$3:$D$2213=$B330),5),"""")"),"")</f>
        <v/>
      </c>
      <c r="P330" s="25" t="str">
        <f>IFERROR(__xludf.DUMMYFUNCTION("IFERROR(INDEX(FILTER('Kế hoạch chèn link (mới)'!$B$3:$B$2213,'Kế hoạch chèn link (mới)'!$D$3:$D$2213=$B330),5),"""")"),"")</f>
        <v/>
      </c>
    </row>
    <row r="331">
      <c r="A331" s="6">
        <f t="shared" si="1"/>
        <v>330</v>
      </c>
      <c r="B331" s="8" t="s">
        <v>918</v>
      </c>
      <c r="C331" s="6">
        <f>COUNTIF('Kế hoạch chèn link (mới)'!$D$3:$D$2213,$B331)</f>
        <v>5</v>
      </c>
      <c r="D331" s="8" t="str">
        <f>IF(COUNTIFS('Kế hoạch chèn link (mới)'!$D$3:$D$2213,$B331,'Kế hoạch chèn link (mới)'!$I$3:$I$2213,"Đã chèn")&gt;=$C331,"Đã hoàn thành",IF(COUNTIFS('Kế hoạch chèn link (mới)'!$D$3:$D$2213,$B331,'Kế hoạch chèn link (mới)'!$I$3:$I$2213,"Đã chèn")&gt;0,"Đang làm","Chưa hoàn thành"))</f>
        <v>Chưa hoàn thành</v>
      </c>
      <c r="E331" s="8" t="b">
        <f t="shared" si="2"/>
        <v>0</v>
      </c>
      <c r="F331" s="25"/>
      <c r="G331" s="25" t="str">
        <f>IFERROR(__xludf.DUMMYFUNCTION("IFERROR(INDEX(FILTER('Kế hoạch chèn link (mới)'!$C$3:$C$2213,'Kế hoạch chèn link (mới)'!$D$3:$D$2213=$B331),1),"""")"),"bao nhiêu tuổi được mở tài khoản ngân hàng")</f>
        <v>bao nhiêu tuổi được mở tài khoản ngân hàng</v>
      </c>
      <c r="H331" s="25" t="str">
        <f>IFERROR(__xludf.DUMMYFUNCTION("IFERROR(INDEX(FILTER('Kế hoạch chèn link (mới)'!$B$3:$B$2213,'Kế hoạch chèn link (mới)'!$D$3:$D$2213=$B331),1),"""")"),"https://techcombank.com/thong-tin/blog/bao-nhieu-tuoi-duoc-mo-tai-khoan-ngan-hang")</f>
        <v>https://techcombank.com/thong-tin/blog/bao-nhieu-tuoi-duoc-mo-tai-khoan-ngan-hang</v>
      </c>
      <c r="I331" s="25" t="str">
        <f>IFERROR(__xludf.DUMMYFUNCTION("IFERROR(INDEX(FILTER('Kế hoạch chèn link (mới)'!$C$3:$C$2213,'Kế hoạch chèn link (mới)'!$D$3:$D$2213=$B331),2),"""")"),"kiểm tra cic")</f>
        <v>kiểm tra cic</v>
      </c>
      <c r="J331" s="25" t="str">
        <f>IFERROR(__xludf.DUMMYFUNCTION("IFERROR(INDEX(FILTER('Kế hoạch chèn link (mới)'!$B$3:$B$2213,'Kế hoạch chèn link (mới)'!$D$3:$D$2213=$B331),2),"""")"),"https://techcombank.com/thong-tin/blog/cic-la-gi")</f>
        <v>https://techcombank.com/thong-tin/blog/cic-la-gi</v>
      </c>
      <c r="K331" s="25" t="str">
        <f>IFERROR(__xludf.DUMMYFUNCTION("IFERROR(INDEX(FILTER('Kế hoạch chèn link (mới)'!$C$3:$C$2213,'Kế hoạch chèn link (mới)'!$D$3:$D$2213=$B331),3),"""")"),"cách hủy thẻ tín dụng")</f>
        <v>cách hủy thẻ tín dụng</v>
      </c>
      <c r="L331" s="25" t="str">
        <f>IFERROR(__xludf.DUMMYFUNCTION("IFERROR(INDEX(FILTER('Kế hoạch chèn link (mới)'!$B$3:$B$2213,'Kế hoạch chèn link (mới)'!$D$3:$D$2213=$B331),3),"""")"),"https://techcombank.com/thong-tin/blog/cach-huy-the-tin-dung")</f>
        <v>https://techcombank.com/thong-tin/blog/cach-huy-the-tin-dung</v>
      </c>
      <c r="M331" s="25" t="str">
        <f>IFERROR(__xludf.DUMMYFUNCTION("IFERROR(INDEX(FILTER('Kế hoạch chèn link (mới)'!$C$3:$C$2213,'Kế hoạch chèn link (mới)'!$D$3:$D$2213=$B331),4),"""")"),"nên vay tín chấp ở đâu")</f>
        <v>nên vay tín chấp ở đâu</v>
      </c>
      <c r="N331" s="25" t="str">
        <f>IFERROR(__xludf.DUMMYFUNCTION("IFERROR(INDEX(FILTER('Kế hoạch chèn link (mới)'!$B$3:$B$2213,'Kế hoạch chèn link (mới)'!$D$3:$D$2213=$B331),4),"""")"),"https://techcombank.com/thong-tin/blog/nen-vay-tin-chap-o-dau")</f>
        <v>https://techcombank.com/thong-tin/blog/nen-vay-tin-chap-o-dau</v>
      </c>
      <c r="O331" s="25" t="str">
        <f>IFERROR(__xludf.DUMMYFUNCTION("IFERROR(INDEX(FILTER('Kế hoạch chèn link (mới)'!$C$3:$C$2213,'Kế hoạch chèn link (mới)'!$D$3:$D$2213=$B331),5),"""")"),"nợ xấu")</f>
        <v>nợ xấu</v>
      </c>
      <c r="P331" s="25" t="str">
        <f>IFERROR(__xludf.DUMMYFUNCTION("IFERROR(INDEX(FILTER('Kế hoạch chèn link (mới)'!$B$3:$B$2213,'Kế hoạch chèn link (mới)'!$D$3:$D$2213=$B331),5),"""")"),"https://techcombank.com/thong-tin/blog/no-xau-la-gi")</f>
        <v>https://techcombank.com/thong-tin/blog/no-xau-la-gi</v>
      </c>
    </row>
    <row r="332">
      <c r="A332" s="6">
        <f t="shared" si="1"/>
        <v>331</v>
      </c>
      <c r="B332" s="8" t="s">
        <v>2967</v>
      </c>
      <c r="C332" s="6">
        <f>COUNTIF('Kế hoạch chèn link (mới)'!$D$3:$D$2213,$B332)</f>
        <v>4</v>
      </c>
      <c r="D332" s="8" t="str">
        <f>IF(COUNTIFS('Kế hoạch chèn link (mới)'!$D$3:$D$2213,$B332,'Kế hoạch chèn link (mới)'!$I$3:$I$2213,"Đã chèn")&gt;=$C332,"Đã hoàn thành",IF(COUNTIFS('Kế hoạch chèn link (mới)'!$D$3:$D$2213,$B332,'Kế hoạch chèn link (mới)'!$I$3:$I$2213,"Đã chèn")&gt;0,"Đang làm","Chưa hoàn thành"))</f>
        <v>Chưa hoàn thành</v>
      </c>
      <c r="E332" s="8" t="b">
        <f t="shared" si="2"/>
        <v>0</v>
      </c>
      <c r="F332" s="25"/>
      <c r="G332" s="25" t="str">
        <f>IFERROR(__xludf.DUMMYFUNCTION("IFERROR(INDEX(FILTER('Kế hoạch chèn link (mới)'!$C$3:$C$2213,'Kế hoạch chèn link (mới)'!$D$3:$D$2213=$B332),1),"""")"),"rút tiền thẻ tín dụng")</f>
        <v>rút tiền thẻ tín dụng</v>
      </c>
      <c r="H332" s="25" t="str">
        <f>IFERROR(__xludf.DUMMYFUNCTION("IFERROR(INDEX(FILTER('Kế hoạch chèn link (mới)'!$B$3:$B$2213,'Kế hoạch chèn link (mới)'!$D$3:$D$2213=$B332),1),"""")"),"https://techcombank.com/thong-tin/blog/rut-tien-mat-tu-the-tin-dung")</f>
        <v>https://techcombank.com/thong-tin/blog/rut-tien-mat-tu-the-tin-dung</v>
      </c>
      <c r="I332" s="25" t="str">
        <f>IFERROR(__xludf.DUMMYFUNCTION("IFERROR(INDEX(FILTER('Kế hoạch chèn link (mới)'!$C$3:$C$2213,'Kế hoạch chèn link (mới)'!$D$3:$D$2213=$B332),2),"""")"),"làm thẻ tín dụng")</f>
        <v>làm thẻ tín dụng</v>
      </c>
      <c r="J332" s="25" t="str">
        <f>IFERROR(__xludf.DUMMYFUNCTION("IFERROR(INDEX(FILTER('Kế hoạch chèn link (mới)'!$B$3:$B$2213,'Kế hoạch chèn link (mới)'!$D$3:$D$2213=$B332),2),"""")"),"https://techcombank.com/thong-tin/blog/lam-the-tin-dung")</f>
        <v>https://techcombank.com/thong-tin/blog/lam-the-tin-dung</v>
      </c>
      <c r="K332" s="25" t="str">
        <f>IFERROR(__xludf.DUMMYFUNCTION("IFERROR(INDEX(FILTER('Kế hoạch chèn link (mới)'!$C$3:$C$2213,'Kế hoạch chèn link (mới)'!$D$3:$D$2213=$B332),3),"""")"),"hủy thẻ tín dụng")</f>
        <v>hủy thẻ tín dụng</v>
      </c>
      <c r="L332" s="25" t="str">
        <f>IFERROR(__xludf.DUMMYFUNCTION("IFERROR(INDEX(FILTER('Kế hoạch chèn link (mới)'!$B$3:$B$2213,'Kế hoạch chèn link (mới)'!$D$3:$D$2213=$B332),3),"""")"),"https://techcombank.com/thong-tin/blog/cach-huy-the-tin-dung")</f>
        <v>https://techcombank.com/thong-tin/blog/cach-huy-the-tin-dung</v>
      </c>
      <c r="M332" s="25" t="str">
        <f>IFERROR(__xludf.DUMMYFUNCTION("IFERROR(INDEX(FILTER('Kế hoạch chèn link (mới)'!$C$3:$C$2213,'Kế hoạch chèn link (mới)'!$D$3:$D$2213=$B332),4),"""")"),"lãi suất ngân hàng")</f>
        <v>lãi suất ngân hàng</v>
      </c>
      <c r="N332" s="25" t="str">
        <f>IFERROR(__xludf.DUMMYFUNCTION("IFERROR(INDEX(FILTER('Kế hoạch chèn link (mới)'!$B$3:$B$2213,'Kế hoạch chèn link (mới)'!$D$3:$D$2213=$B332),4),"""")"),"https://techcombank.com/thong-tin/blog/lai-suat-tiet-kiem")</f>
        <v>https://techcombank.com/thong-tin/blog/lai-suat-tiet-kiem</v>
      </c>
      <c r="O332" s="25" t="str">
        <f>IFERROR(__xludf.DUMMYFUNCTION("IFERROR(INDEX(FILTER('Kế hoạch chèn link (mới)'!$C$3:$C$2213,'Kế hoạch chèn link (mới)'!$D$3:$D$2213=$B332),5),"""")"),"")</f>
        <v/>
      </c>
      <c r="P332" s="25" t="str">
        <f>IFERROR(__xludf.DUMMYFUNCTION("IFERROR(INDEX(FILTER('Kế hoạch chèn link (mới)'!$B$3:$B$2213,'Kế hoạch chèn link (mới)'!$D$3:$D$2213=$B332),5),"""")"),"")</f>
        <v/>
      </c>
    </row>
    <row r="333">
      <c r="A333" s="6">
        <f t="shared" si="1"/>
        <v>332</v>
      </c>
      <c r="B333" s="8" t="s">
        <v>2968</v>
      </c>
      <c r="C333" s="6">
        <f>COUNTIF('Kế hoạch chèn link (mới)'!$D$3:$D$2213,$B333)</f>
        <v>1</v>
      </c>
      <c r="D333" s="8" t="str">
        <f>IF(COUNTIFS('Kế hoạch chèn link (mới)'!$D$3:$D$2213,$B333,'Kế hoạch chèn link (mới)'!$I$3:$I$2213,"Đã chèn")&gt;=$C333,"Đã hoàn thành",IF(COUNTIFS('Kế hoạch chèn link (mới)'!$D$3:$D$2213,$B333,'Kế hoạch chèn link (mới)'!$I$3:$I$2213,"Đã chèn")&gt;0,"Đang làm","Chưa hoàn thành"))</f>
        <v>Chưa hoàn thành</v>
      </c>
      <c r="E333" s="8" t="b">
        <f t="shared" si="2"/>
        <v>0</v>
      </c>
      <c r="F333" s="25"/>
      <c r="G333" s="25" t="str">
        <f>IFERROR(__xludf.DUMMYFUNCTION("IFERROR(INDEX(FILTER('Kế hoạch chèn link (mới)'!$C$3:$C$2213,'Kế hoạch chèn link (mới)'!$D$3:$D$2213=$B333),1),"""")"),"thẻ Eco")</f>
        <v>thẻ Eco</v>
      </c>
      <c r="H333" s="25" t="str">
        <f>IFERROR(__xludf.DUMMYFUNCTION("IFERROR(INDEX(FILTER('Kế hoạch chèn link (mới)'!$B$3:$B$2213,'Kế hoạch chèn link (mới)'!$D$3:$D$2213=$B333),1),"""")"),"https://techcombank.com/thong-tin/blog/eco-card")</f>
        <v>https://techcombank.com/thong-tin/blog/eco-card</v>
      </c>
      <c r="I333" s="25" t="str">
        <f>IFERROR(__xludf.DUMMYFUNCTION("IFERROR(INDEX(FILTER('Kế hoạch chèn link (mới)'!$C$3:$C$2213,'Kế hoạch chèn link (mới)'!$D$3:$D$2213=$B333),2),"""")"),"")</f>
        <v/>
      </c>
      <c r="J333" s="25" t="str">
        <f>IFERROR(__xludf.DUMMYFUNCTION("IFERROR(INDEX(FILTER('Kế hoạch chèn link (mới)'!$B$3:$B$2213,'Kế hoạch chèn link (mới)'!$D$3:$D$2213=$B333),2),"""")"),"")</f>
        <v/>
      </c>
      <c r="K333" s="25" t="str">
        <f>IFERROR(__xludf.DUMMYFUNCTION("IFERROR(INDEX(FILTER('Kế hoạch chèn link (mới)'!$C$3:$C$2213,'Kế hoạch chèn link (mới)'!$D$3:$D$2213=$B333),3),"""")"),"")</f>
        <v/>
      </c>
      <c r="L333" s="25" t="str">
        <f>IFERROR(__xludf.DUMMYFUNCTION("IFERROR(INDEX(FILTER('Kế hoạch chèn link (mới)'!$B$3:$B$2213,'Kế hoạch chèn link (mới)'!$D$3:$D$2213=$B333),3),"""")"),"")</f>
        <v/>
      </c>
      <c r="M333" s="25" t="str">
        <f>IFERROR(__xludf.DUMMYFUNCTION("IFERROR(INDEX(FILTER('Kế hoạch chèn link (mới)'!$C$3:$C$2213,'Kế hoạch chèn link (mới)'!$D$3:$D$2213=$B333),4),"""")"),"")</f>
        <v/>
      </c>
      <c r="N333" s="25" t="str">
        <f>IFERROR(__xludf.DUMMYFUNCTION("IFERROR(INDEX(FILTER('Kế hoạch chèn link (mới)'!$B$3:$B$2213,'Kế hoạch chèn link (mới)'!$D$3:$D$2213=$B333),4),"""")"),"")</f>
        <v/>
      </c>
      <c r="O333" s="25" t="str">
        <f>IFERROR(__xludf.DUMMYFUNCTION("IFERROR(INDEX(FILTER('Kế hoạch chèn link (mới)'!$C$3:$C$2213,'Kế hoạch chèn link (mới)'!$D$3:$D$2213=$B333),5),"""")"),"")</f>
        <v/>
      </c>
      <c r="P333" s="25" t="str">
        <f>IFERROR(__xludf.DUMMYFUNCTION("IFERROR(INDEX(FILTER('Kế hoạch chèn link (mới)'!$B$3:$B$2213,'Kế hoạch chèn link (mới)'!$D$3:$D$2213=$B333),5),"""")"),"")</f>
        <v/>
      </c>
    </row>
    <row r="334">
      <c r="A334" s="6">
        <f t="shared" si="1"/>
        <v>333</v>
      </c>
      <c r="B334" s="8" t="s">
        <v>1932</v>
      </c>
      <c r="C334" s="6">
        <f>COUNTIF('Kế hoạch chèn link (mới)'!$D$3:$D$2213,$B334)</f>
        <v>4</v>
      </c>
      <c r="D334" s="8" t="str">
        <f>IF(COUNTIFS('Kế hoạch chèn link (mới)'!$D$3:$D$2213,$B334,'Kế hoạch chèn link (mới)'!$I$3:$I$2213,"Đã chèn")&gt;=$C334,"Đã hoàn thành",IF(COUNTIFS('Kế hoạch chèn link (mới)'!$D$3:$D$2213,$B334,'Kế hoạch chèn link (mới)'!$I$3:$I$2213,"Đã chèn")&gt;0,"Đang làm","Chưa hoàn thành"))</f>
        <v>Chưa hoàn thành</v>
      </c>
      <c r="E334" s="8" t="b">
        <f t="shared" si="2"/>
        <v>0</v>
      </c>
      <c r="F334" s="25"/>
      <c r="G334" s="25" t="str">
        <f>IFERROR(__xludf.DUMMYFUNCTION("IFERROR(INDEX(FILTER('Kế hoạch chèn link (mới)'!$C$3:$C$2213,'Kế hoạch chèn link (mới)'!$D$3:$D$2213=$B334),1),"""")"),"chọn ngân hàng uy tín")</f>
        <v>chọn ngân hàng uy tín</v>
      </c>
      <c r="H334" s="25" t="str">
        <f>IFERROR(__xludf.DUMMYFUNCTION("IFERROR(INDEX(FILTER('Kế hoạch chèn link (mới)'!$B$3:$B$2213,'Kế hoạch chèn link (mới)'!$D$3:$D$2213=$B334),1),"""")"),"https://techcombank.com/thong-tin/blog/ngan-hang-uy-tin")</f>
        <v>https://techcombank.com/thong-tin/blog/ngan-hang-uy-tin</v>
      </c>
      <c r="I334" s="25" t="str">
        <f>IFERROR(__xludf.DUMMYFUNCTION("IFERROR(INDEX(FILTER('Kế hoạch chèn link (mới)'!$C$3:$C$2213,'Kế hoạch chèn link (mới)'!$D$3:$D$2213=$B334),2),"""")"),"bao nhiêu tuổi được mở tài khoản ngân hàng")</f>
        <v>bao nhiêu tuổi được mở tài khoản ngân hàng</v>
      </c>
      <c r="J334" s="25" t="str">
        <f>IFERROR(__xludf.DUMMYFUNCTION("IFERROR(INDEX(FILTER('Kế hoạch chèn link (mới)'!$B$3:$B$2213,'Kế hoạch chèn link (mới)'!$D$3:$D$2213=$B334),2),"""")"),"https://techcombank.com/thong-tin/blog/bao-nhieu-tuoi-duoc-mo-tai-khoan-ngan-hang")</f>
        <v>https://techcombank.com/thong-tin/blog/bao-nhieu-tuoi-duoc-mo-tai-khoan-ngan-hang</v>
      </c>
      <c r="K334" s="25" t="str">
        <f>IFERROR(__xludf.DUMMYFUNCTION("IFERROR(INDEX(FILTER('Kế hoạch chèn link (mới)'!$C$3:$C$2213,'Kế hoạch chèn link (mới)'!$D$3:$D$2213=$B334),3),"""")"),"eco card")</f>
        <v>eco card</v>
      </c>
      <c r="L334" s="25" t="str">
        <f>IFERROR(__xludf.DUMMYFUNCTION("IFERROR(INDEX(FILTER('Kế hoạch chèn link (mới)'!$B$3:$B$2213,'Kế hoạch chèn link (mới)'!$D$3:$D$2213=$B334),3),"""")"),"https://techcombank.com/thong-tin/blog/eco-card")</f>
        <v>https://techcombank.com/thong-tin/blog/eco-card</v>
      </c>
      <c r="M334" s="25" t="str">
        <f>IFERROR(__xludf.DUMMYFUNCTION("IFERROR(INDEX(FILTER('Kế hoạch chèn link (mới)'!$C$3:$C$2213,'Kế hoạch chèn link (mới)'!$D$3:$D$2213=$B334),4),"""")"),"vay thấu chi")</f>
        <v>vay thấu chi</v>
      </c>
      <c r="N334" s="25" t="str">
        <f>IFERROR(__xludf.DUMMYFUNCTION("IFERROR(INDEX(FILTER('Kế hoạch chèn link (mới)'!$B$3:$B$2213,'Kế hoạch chèn link (mới)'!$D$3:$D$2213=$B334),4),"""")"),"https://techcombank.com/thong-tin/blog/vay-thau-chi-la-gi")</f>
        <v>https://techcombank.com/thong-tin/blog/vay-thau-chi-la-gi</v>
      </c>
      <c r="O334" s="25" t="str">
        <f>IFERROR(__xludf.DUMMYFUNCTION("IFERROR(INDEX(FILTER('Kế hoạch chèn link (mới)'!$C$3:$C$2213,'Kế hoạch chèn link (mới)'!$D$3:$D$2213=$B334),5),"""")"),"")</f>
        <v/>
      </c>
      <c r="P334" s="25" t="str">
        <f>IFERROR(__xludf.DUMMYFUNCTION("IFERROR(INDEX(FILTER('Kế hoạch chèn link (mới)'!$B$3:$B$2213,'Kế hoạch chèn link (mới)'!$D$3:$D$2213=$B334),5),"""")"),"")</f>
        <v/>
      </c>
    </row>
    <row r="335">
      <c r="A335" s="6">
        <f t="shared" si="1"/>
        <v>334</v>
      </c>
      <c r="B335" s="8" t="s">
        <v>2084</v>
      </c>
      <c r="C335" s="6">
        <f>COUNTIF('Kế hoạch chèn link (mới)'!$D$3:$D$2213,$B335)</f>
        <v>4</v>
      </c>
      <c r="D335" s="8" t="str">
        <f>IF(COUNTIFS('Kế hoạch chèn link (mới)'!$D$3:$D$2213,$B335,'Kế hoạch chèn link (mới)'!$I$3:$I$2213,"Đã chèn")&gt;=$C335,"Đã hoàn thành",IF(COUNTIFS('Kế hoạch chèn link (mới)'!$D$3:$D$2213,$B335,'Kế hoạch chèn link (mới)'!$I$3:$I$2213,"Đã chèn")&gt;0,"Đang làm","Chưa hoàn thành"))</f>
        <v>Chưa hoàn thành</v>
      </c>
      <c r="E335" s="8" t="b">
        <f t="shared" si="2"/>
        <v>0</v>
      </c>
      <c r="F335" s="25"/>
      <c r="G335" s="25" t="str">
        <f>IFERROR(__xludf.DUMMYFUNCTION("IFERROR(INDEX(FILTER('Kế hoạch chèn link (mới)'!$C$3:$C$2213,'Kế hoạch chèn link (mới)'!$D$3:$D$2213=$B335),1),"""")"),"bao nhiêu tuổi được mở tài khoản ngân hàng")</f>
        <v>bao nhiêu tuổi được mở tài khoản ngân hàng</v>
      </c>
      <c r="H335" s="25" t="str">
        <f>IFERROR(__xludf.DUMMYFUNCTION("IFERROR(INDEX(FILTER('Kế hoạch chèn link (mới)'!$B$3:$B$2213,'Kế hoạch chèn link (mới)'!$D$3:$D$2213=$B335),1),"""")"),"https://techcombank.com/thong-tin/blog/bao-nhieu-tuoi-duoc-mo-tai-khoan-ngan-hang")</f>
        <v>https://techcombank.com/thong-tin/blog/bao-nhieu-tuoi-duoc-mo-tai-khoan-ngan-hang</v>
      </c>
      <c r="I335" s="25" t="str">
        <f>IFERROR(__xludf.DUMMYFUNCTION("IFERROR(INDEX(FILTER('Kế hoạch chèn link (mới)'!$C$3:$C$2213,'Kế hoạch chèn link (mới)'!$D$3:$D$2213=$B335),2),"""")"),"rút tiền không cần thẻ")</f>
        <v>rút tiền không cần thẻ</v>
      </c>
      <c r="J335" s="25" t="str">
        <f>IFERROR(__xludf.DUMMYFUNCTION("IFERROR(INDEX(FILTER('Kế hoạch chèn link (mới)'!$B$3:$B$2213,'Kế hoạch chèn link (mới)'!$D$3:$D$2213=$B335),2),"""")"),"https://techcombank.com/thong-tin/blog/rut-tien-bang-ma-qr-la-gi-cach-thuc-hien-nhu-the-nao")</f>
        <v>https://techcombank.com/thong-tin/blog/rut-tien-bang-ma-qr-la-gi-cach-thuc-hien-nhu-the-nao</v>
      </c>
      <c r="K335" s="25" t="str">
        <f>IFERROR(__xludf.DUMMYFUNCTION("IFERROR(INDEX(FILTER('Kế hoạch chèn link (mới)'!$C$3:$C$2213,'Kế hoạch chèn link (mới)'!$D$3:$D$2213=$B335),3),"""")"),"quét NFC CCCD trên iPhone")</f>
        <v>quét NFC CCCD trên iPhone</v>
      </c>
      <c r="L335" s="25" t="str">
        <f>IFERROR(__xludf.DUMMYFUNCTION("IFERROR(INDEX(FILTER('Kế hoạch chèn link (mới)'!$B$3:$B$2213,'Kế hoạch chèn link (mới)'!$D$3:$D$2213=$B335),3),"""")"),"https://techcombank.com/thong-tin/blog/cach-quet-nfc-cccd-tren-iphone")</f>
        <v>https://techcombank.com/thong-tin/blog/cach-quet-nfc-cccd-tren-iphone</v>
      </c>
      <c r="M335" s="25" t="str">
        <f>IFERROR(__xludf.DUMMYFUNCTION("IFERROR(INDEX(FILTER('Kế hoạch chèn link (mới)'!$C$3:$C$2213,'Kế hoạch chèn link (mới)'!$D$3:$D$2213=$B335),4),"""")"),"rút tiền thẻ tín dụng")</f>
        <v>rút tiền thẻ tín dụng</v>
      </c>
      <c r="N335" s="25" t="str">
        <f>IFERROR(__xludf.DUMMYFUNCTION("IFERROR(INDEX(FILTER('Kế hoạch chèn link (mới)'!$B$3:$B$2213,'Kế hoạch chèn link (mới)'!$D$3:$D$2213=$B335),4),"""")"),"https://techcombank.com/thong-tin/blog/rut-tien-mat-tu-the-tin-dung")</f>
        <v>https://techcombank.com/thong-tin/blog/rut-tien-mat-tu-the-tin-dung</v>
      </c>
      <c r="O335" s="25" t="str">
        <f>IFERROR(__xludf.DUMMYFUNCTION("IFERROR(INDEX(FILTER('Kế hoạch chèn link (mới)'!$C$3:$C$2213,'Kế hoạch chèn link (mới)'!$D$3:$D$2213=$B335),5),"""")"),"")</f>
        <v/>
      </c>
      <c r="P335" s="25" t="str">
        <f>IFERROR(__xludf.DUMMYFUNCTION("IFERROR(INDEX(FILTER('Kế hoạch chèn link (mới)'!$B$3:$B$2213,'Kế hoạch chèn link (mới)'!$D$3:$D$2213=$B335),5),"""")"),"")</f>
        <v/>
      </c>
    </row>
    <row r="336">
      <c r="A336" s="6">
        <f t="shared" si="1"/>
        <v>335</v>
      </c>
      <c r="B336" s="8" t="s">
        <v>2969</v>
      </c>
      <c r="C336" s="6">
        <f>COUNTIF('Kế hoạch chèn link (mới)'!$D$3:$D$2213,$B336)</f>
        <v>1</v>
      </c>
      <c r="D336" s="8" t="str">
        <f>IF(COUNTIFS('Kế hoạch chèn link (mới)'!$D$3:$D$2213,$B336,'Kế hoạch chèn link (mới)'!$I$3:$I$2213,"Đã chèn")&gt;=$C336,"Đã hoàn thành",IF(COUNTIFS('Kế hoạch chèn link (mới)'!$D$3:$D$2213,$B336,'Kế hoạch chèn link (mới)'!$I$3:$I$2213,"Đã chèn")&gt;0,"Đang làm","Chưa hoàn thành"))</f>
        <v>Chưa hoàn thành</v>
      </c>
      <c r="E336" s="8" t="b">
        <f t="shared" si="2"/>
        <v>0</v>
      </c>
      <c r="F336" s="25"/>
      <c r="G336" s="25" t="str">
        <f>IFERROR(__xludf.DUMMYFUNCTION("IFERROR(INDEX(FILTER('Kế hoạch chèn link (mới)'!$C$3:$C$2213,'Kế hoạch chèn link (mới)'!$D$3:$D$2213=$B336),1),"""")"),"kiểm tra nợ xấu")</f>
        <v>kiểm tra nợ xấu</v>
      </c>
      <c r="H336" s="25" t="str">
        <f>IFERROR(__xludf.DUMMYFUNCTION("IFERROR(INDEX(FILTER('Kế hoạch chèn link (mới)'!$B$3:$B$2213,'Kế hoạch chèn link (mới)'!$D$3:$D$2213=$B336),1),"""")"),"https://techcombank.com/thong-tin/blog/kiem-tra-no-xau")</f>
        <v>https://techcombank.com/thong-tin/blog/kiem-tra-no-xau</v>
      </c>
      <c r="I336" s="25" t="str">
        <f>IFERROR(__xludf.DUMMYFUNCTION("IFERROR(INDEX(FILTER('Kế hoạch chèn link (mới)'!$C$3:$C$2213,'Kế hoạch chèn link (mới)'!$D$3:$D$2213=$B336),2),"""")"),"")</f>
        <v/>
      </c>
      <c r="J336" s="25" t="str">
        <f>IFERROR(__xludf.DUMMYFUNCTION("IFERROR(INDEX(FILTER('Kế hoạch chèn link (mới)'!$B$3:$B$2213,'Kế hoạch chèn link (mới)'!$D$3:$D$2213=$B336),2),"""")"),"")</f>
        <v/>
      </c>
      <c r="K336" s="25" t="str">
        <f>IFERROR(__xludf.DUMMYFUNCTION("IFERROR(INDEX(FILTER('Kế hoạch chèn link (mới)'!$C$3:$C$2213,'Kế hoạch chèn link (mới)'!$D$3:$D$2213=$B336),3),"""")"),"")</f>
        <v/>
      </c>
      <c r="L336" s="25" t="str">
        <f>IFERROR(__xludf.DUMMYFUNCTION("IFERROR(INDEX(FILTER('Kế hoạch chèn link (mới)'!$B$3:$B$2213,'Kế hoạch chèn link (mới)'!$D$3:$D$2213=$B336),3),"""")"),"")</f>
        <v/>
      </c>
      <c r="M336" s="25" t="str">
        <f>IFERROR(__xludf.DUMMYFUNCTION("IFERROR(INDEX(FILTER('Kế hoạch chèn link (mới)'!$C$3:$C$2213,'Kế hoạch chèn link (mới)'!$D$3:$D$2213=$B336),4),"""")"),"")</f>
        <v/>
      </c>
      <c r="N336" s="25" t="str">
        <f>IFERROR(__xludf.DUMMYFUNCTION("IFERROR(INDEX(FILTER('Kế hoạch chèn link (mới)'!$B$3:$B$2213,'Kế hoạch chèn link (mới)'!$D$3:$D$2213=$B336),4),"""")"),"")</f>
        <v/>
      </c>
      <c r="O336" s="25" t="str">
        <f>IFERROR(__xludf.DUMMYFUNCTION("IFERROR(INDEX(FILTER('Kế hoạch chèn link (mới)'!$C$3:$C$2213,'Kế hoạch chèn link (mới)'!$D$3:$D$2213=$B336),5),"""")"),"")</f>
        <v/>
      </c>
      <c r="P336" s="25" t="str">
        <f>IFERROR(__xludf.DUMMYFUNCTION("IFERROR(INDEX(FILTER('Kế hoạch chèn link (mới)'!$B$3:$B$2213,'Kế hoạch chèn link (mới)'!$D$3:$D$2213=$B336),5),"""")"),"")</f>
        <v/>
      </c>
    </row>
    <row r="337">
      <c r="A337" s="6">
        <f t="shared" si="1"/>
        <v>336</v>
      </c>
      <c r="B337" s="8" t="s">
        <v>2970</v>
      </c>
      <c r="C337" s="6">
        <f>COUNTIF('Kế hoạch chèn link (mới)'!$D$3:$D$2213,$B337)</f>
        <v>2</v>
      </c>
      <c r="D337" s="8" t="str">
        <f>IF(COUNTIFS('Kế hoạch chèn link (mới)'!$D$3:$D$2213,$B337,'Kế hoạch chèn link (mới)'!$I$3:$I$2213,"Đã chèn")&gt;=$C337,"Đã hoàn thành",IF(COUNTIFS('Kế hoạch chèn link (mới)'!$D$3:$D$2213,$B337,'Kế hoạch chèn link (mới)'!$I$3:$I$2213,"Đã chèn")&gt;0,"Đang làm","Chưa hoàn thành"))</f>
        <v>Chưa hoàn thành</v>
      </c>
      <c r="E337" s="8" t="b">
        <f t="shared" si="2"/>
        <v>0</v>
      </c>
      <c r="F337" s="25"/>
      <c r="G337" s="25" t="str">
        <f>IFERROR(__xludf.DUMMYFUNCTION("IFERROR(INDEX(FILTER('Kế hoạch chèn link (mới)'!$C$3:$C$2213,'Kế hoạch chèn link (mới)'!$D$3:$D$2213=$B337),1),"""")"),"rút tiết kiệm trước hạn")</f>
        <v>rút tiết kiệm trước hạn</v>
      </c>
      <c r="H337" s="25" t="str">
        <f>IFERROR(__xludf.DUMMYFUNCTION("IFERROR(INDEX(FILTER('Kế hoạch chèn link (mới)'!$B$3:$B$2213,'Kế hoạch chèn link (mới)'!$D$3:$D$2213=$B337),1),"""")"),"https://techcombank.com/thong-tin/blog/rut-tien-tiet-kiem-truoc-thoi-han")</f>
        <v>https://techcombank.com/thong-tin/blog/rut-tien-tiet-kiem-truoc-thoi-han</v>
      </c>
      <c r="I337" s="25" t="str">
        <f>IFERROR(__xludf.DUMMYFUNCTION("IFERROR(INDEX(FILTER('Kế hoạch chèn link (mới)'!$C$3:$C$2213,'Kế hoạch chèn link (mới)'!$D$3:$D$2213=$B337),2),"""")"),"cách đầu tư chứng chỉ quỹ")</f>
        <v>cách đầu tư chứng chỉ quỹ</v>
      </c>
      <c r="J337" s="25" t="str">
        <f>IFERROR(__xludf.DUMMYFUNCTION("IFERROR(INDEX(FILTER('Kế hoạch chèn link (mới)'!$B$3:$B$2213,'Kế hoạch chèn link (mới)'!$D$3:$D$2213=$B337),2),"""")"),"https://techcombank.com/thong-tin/blog/phuong-phap-dau-tu-chung-chi-quy")</f>
        <v>https://techcombank.com/thong-tin/blog/phuong-phap-dau-tu-chung-chi-quy</v>
      </c>
      <c r="K337" s="25" t="str">
        <f>IFERROR(__xludf.DUMMYFUNCTION("IFERROR(INDEX(FILTER('Kế hoạch chèn link (mới)'!$C$3:$C$2213,'Kế hoạch chèn link (mới)'!$D$3:$D$2213=$B337),3),"""")"),"")</f>
        <v/>
      </c>
      <c r="L337" s="25" t="str">
        <f>IFERROR(__xludf.DUMMYFUNCTION("IFERROR(INDEX(FILTER('Kế hoạch chèn link (mới)'!$B$3:$B$2213,'Kế hoạch chèn link (mới)'!$D$3:$D$2213=$B337),3),"""")"),"")</f>
        <v/>
      </c>
      <c r="M337" s="25" t="str">
        <f>IFERROR(__xludf.DUMMYFUNCTION("IFERROR(INDEX(FILTER('Kế hoạch chèn link (mới)'!$C$3:$C$2213,'Kế hoạch chèn link (mới)'!$D$3:$D$2213=$B337),4),"""")"),"")</f>
        <v/>
      </c>
      <c r="N337" s="25" t="str">
        <f>IFERROR(__xludf.DUMMYFUNCTION("IFERROR(INDEX(FILTER('Kế hoạch chèn link (mới)'!$B$3:$B$2213,'Kế hoạch chèn link (mới)'!$D$3:$D$2213=$B337),4),"""")"),"")</f>
        <v/>
      </c>
      <c r="O337" s="25" t="str">
        <f>IFERROR(__xludf.DUMMYFUNCTION("IFERROR(INDEX(FILTER('Kế hoạch chèn link (mới)'!$C$3:$C$2213,'Kế hoạch chèn link (mới)'!$D$3:$D$2213=$B337),5),"""")"),"")</f>
        <v/>
      </c>
      <c r="P337" s="25" t="str">
        <f>IFERROR(__xludf.DUMMYFUNCTION("IFERROR(INDEX(FILTER('Kế hoạch chèn link (mới)'!$B$3:$B$2213,'Kế hoạch chèn link (mới)'!$D$3:$D$2213=$B337),5),"""")"),"")</f>
        <v/>
      </c>
    </row>
    <row r="338">
      <c r="A338" s="6">
        <f t="shared" si="1"/>
        <v>337</v>
      </c>
      <c r="B338" s="8" t="s">
        <v>2497</v>
      </c>
      <c r="C338" s="6">
        <f>COUNTIF('Kế hoạch chèn link (mới)'!$D$3:$D$2213,$B338)</f>
        <v>1</v>
      </c>
      <c r="D338" s="8" t="str">
        <f>IF(COUNTIFS('Kế hoạch chèn link (mới)'!$D$3:$D$2213,$B338,'Kế hoạch chèn link (mới)'!$I$3:$I$2213,"Đã chèn")&gt;=$C338,"Đã hoàn thành",IF(COUNTIFS('Kế hoạch chèn link (mới)'!$D$3:$D$2213,$B338,'Kế hoạch chèn link (mới)'!$I$3:$I$2213,"Đã chèn")&gt;0,"Đang làm","Chưa hoàn thành"))</f>
        <v>Chưa hoàn thành</v>
      </c>
      <c r="E338" s="8" t="b">
        <f t="shared" si="2"/>
        <v>0</v>
      </c>
      <c r="F338" s="25"/>
      <c r="G338" s="25" t="str">
        <f>IFERROR(__xludf.DUMMYFUNCTION("IFERROR(INDEX(FILTER('Kế hoạch chèn link (mới)'!$C$3:$C$2213,'Kế hoạch chèn link (mới)'!$D$3:$D$2213=$B338),1),"""")"),"số tài khoản phát tài phát lộc")</f>
        <v>số tài khoản phát tài phát lộc</v>
      </c>
      <c r="H338" s="25" t="str">
        <f>IFERROR(__xludf.DUMMYFUNCTION("IFERROR(INDEX(FILTER('Kế hoạch chèn link (mới)'!$B$3:$B$2213,'Kế hoạch chèn link (mới)'!$D$3:$D$2213=$B338),1),"""")"),"https://techcombank.com/thong-tin/blog/day-so-phat-tai-phat-loc")</f>
        <v>https://techcombank.com/thong-tin/blog/day-so-phat-tai-phat-loc</v>
      </c>
      <c r="I338" s="25" t="str">
        <f>IFERROR(__xludf.DUMMYFUNCTION("IFERROR(INDEX(FILTER('Kế hoạch chèn link (mới)'!$C$3:$C$2213,'Kế hoạch chèn link (mới)'!$D$3:$D$2213=$B338),2),"""")"),"")</f>
        <v/>
      </c>
      <c r="J338" s="25" t="str">
        <f>IFERROR(__xludf.DUMMYFUNCTION("IFERROR(INDEX(FILTER('Kế hoạch chèn link (mới)'!$B$3:$B$2213,'Kế hoạch chèn link (mới)'!$D$3:$D$2213=$B338),2),"""")"),"")</f>
        <v/>
      </c>
      <c r="K338" s="25" t="str">
        <f>IFERROR(__xludf.DUMMYFUNCTION("IFERROR(INDEX(FILTER('Kế hoạch chèn link (mới)'!$C$3:$C$2213,'Kế hoạch chèn link (mới)'!$D$3:$D$2213=$B338),3),"""")"),"")</f>
        <v/>
      </c>
      <c r="L338" s="25" t="str">
        <f>IFERROR(__xludf.DUMMYFUNCTION("IFERROR(INDEX(FILTER('Kế hoạch chèn link (mới)'!$B$3:$B$2213,'Kế hoạch chèn link (mới)'!$D$3:$D$2213=$B338),3),"""")"),"")</f>
        <v/>
      </c>
      <c r="M338" s="25" t="str">
        <f>IFERROR(__xludf.DUMMYFUNCTION("IFERROR(INDEX(FILTER('Kế hoạch chèn link (mới)'!$C$3:$C$2213,'Kế hoạch chèn link (mới)'!$D$3:$D$2213=$B338),4),"""")"),"")</f>
        <v/>
      </c>
      <c r="N338" s="25" t="str">
        <f>IFERROR(__xludf.DUMMYFUNCTION("IFERROR(INDEX(FILTER('Kế hoạch chèn link (mới)'!$B$3:$B$2213,'Kế hoạch chèn link (mới)'!$D$3:$D$2213=$B338),4),"""")"),"")</f>
        <v/>
      </c>
      <c r="O338" s="25" t="str">
        <f>IFERROR(__xludf.DUMMYFUNCTION("IFERROR(INDEX(FILTER('Kế hoạch chèn link (mới)'!$C$3:$C$2213,'Kế hoạch chèn link (mới)'!$D$3:$D$2213=$B338),5),"""")"),"")</f>
        <v/>
      </c>
      <c r="P338" s="25" t="str">
        <f>IFERROR(__xludf.DUMMYFUNCTION("IFERROR(INDEX(FILTER('Kế hoạch chèn link (mới)'!$B$3:$B$2213,'Kế hoạch chèn link (mới)'!$D$3:$D$2213=$B338),5),"""")"),"")</f>
        <v/>
      </c>
    </row>
    <row r="339">
      <c r="A339" s="6">
        <f t="shared" si="1"/>
        <v>338</v>
      </c>
      <c r="B339" s="8" t="s">
        <v>2522</v>
      </c>
      <c r="C339" s="6">
        <f>COUNTIF('Kế hoạch chèn link (mới)'!$D$3:$D$2213,$B339)</f>
        <v>1</v>
      </c>
      <c r="D339" s="8" t="str">
        <f>IF(COUNTIFS('Kế hoạch chèn link (mới)'!$D$3:$D$2213,$B339,'Kế hoạch chèn link (mới)'!$I$3:$I$2213,"Đã chèn")&gt;=$C339,"Đã hoàn thành",IF(COUNTIFS('Kế hoạch chèn link (mới)'!$D$3:$D$2213,$B339,'Kế hoạch chèn link (mới)'!$I$3:$I$2213,"Đã chèn")&gt;0,"Đang làm","Chưa hoàn thành"))</f>
        <v>Chưa hoàn thành</v>
      </c>
      <c r="E339" s="8" t="b">
        <f t="shared" si="2"/>
        <v>0</v>
      </c>
      <c r="F339" s="25"/>
      <c r="G339" s="25" t="str">
        <f>IFERROR(__xludf.DUMMYFUNCTION("IFERROR(INDEX(FILTER('Kế hoạch chèn link (mới)'!$C$3:$C$2213,'Kế hoạch chèn link (mới)'!$D$3:$D$2213=$B339),1),"""")"),"số tài khoản phát tài phát lộc")</f>
        <v>số tài khoản phát tài phát lộc</v>
      </c>
      <c r="H339" s="25" t="str">
        <f>IFERROR(__xludf.DUMMYFUNCTION("IFERROR(INDEX(FILTER('Kế hoạch chèn link (mới)'!$B$3:$B$2213,'Kế hoạch chèn link (mới)'!$D$3:$D$2213=$B339),1),"""")"),"https://techcombank.com/thong-tin/blog/day-so-phat-tai-phat-loc")</f>
        <v>https://techcombank.com/thong-tin/blog/day-so-phat-tai-phat-loc</v>
      </c>
      <c r="I339" s="25" t="str">
        <f>IFERROR(__xludf.DUMMYFUNCTION("IFERROR(INDEX(FILTER('Kế hoạch chèn link (mới)'!$C$3:$C$2213,'Kế hoạch chèn link (mới)'!$D$3:$D$2213=$B339),2),"""")"),"")</f>
        <v/>
      </c>
      <c r="J339" s="25" t="str">
        <f>IFERROR(__xludf.DUMMYFUNCTION("IFERROR(INDEX(FILTER('Kế hoạch chèn link (mới)'!$B$3:$B$2213,'Kế hoạch chèn link (mới)'!$D$3:$D$2213=$B339),2),"""")"),"")</f>
        <v/>
      </c>
      <c r="K339" s="25" t="str">
        <f>IFERROR(__xludf.DUMMYFUNCTION("IFERROR(INDEX(FILTER('Kế hoạch chèn link (mới)'!$C$3:$C$2213,'Kế hoạch chèn link (mới)'!$D$3:$D$2213=$B339),3),"""")"),"")</f>
        <v/>
      </c>
      <c r="L339" s="25" t="str">
        <f>IFERROR(__xludf.DUMMYFUNCTION("IFERROR(INDEX(FILTER('Kế hoạch chèn link (mới)'!$B$3:$B$2213,'Kế hoạch chèn link (mới)'!$D$3:$D$2213=$B339),3),"""")"),"")</f>
        <v/>
      </c>
      <c r="M339" s="25" t="str">
        <f>IFERROR(__xludf.DUMMYFUNCTION("IFERROR(INDEX(FILTER('Kế hoạch chèn link (mới)'!$C$3:$C$2213,'Kế hoạch chèn link (mới)'!$D$3:$D$2213=$B339),4),"""")"),"")</f>
        <v/>
      </c>
      <c r="N339" s="25" t="str">
        <f>IFERROR(__xludf.DUMMYFUNCTION("IFERROR(INDEX(FILTER('Kế hoạch chèn link (mới)'!$B$3:$B$2213,'Kế hoạch chèn link (mới)'!$D$3:$D$2213=$B339),4),"""")"),"")</f>
        <v/>
      </c>
      <c r="O339" s="25" t="str">
        <f>IFERROR(__xludf.DUMMYFUNCTION("IFERROR(INDEX(FILTER('Kế hoạch chèn link (mới)'!$C$3:$C$2213,'Kế hoạch chèn link (mới)'!$D$3:$D$2213=$B339),5),"""")"),"")</f>
        <v/>
      </c>
      <c r="P339" s="25" t="str">
        <f>IFERROR(__xludf.DUMMYFUNCTION("IFERROR(INDEX(FILTER('Kế hoạch chèn link (mới)'!$B$3:$B$2213,'Kế hoạch chèn link (mới)'!$D$3:$D$2213=$B339),5),"""")"),"")</f>
        <v/>
      </c>
    </row>
    <row r="340">
      <c r="A340" s="6">
        <f t="shared" si="1"/>
        <v>339</v>
      </c>
      <c r="B340" s="8" t="s">
        <v>2973</v>
      </c>
      <c r="C340" s="6">
        <f>COUNTIF('Kế hoạch chèn link (mới)'!$D$3:$D$2213,$B340)</f>
        <v>4</v>
      </c>
      <c r="D340" s="8" t="str">
        <f>IF(COUNTIFS('Kế hoạch chèn link (mới)'!$D$3:$D$2213,$B340,'Kế hoạch chèn link (mới)'!$I$3:$I$2213,"Đã chèn")&gt;=$C340,"Đã hoàn thành",IF(COUNTIFS('Kế hoạch chèn link (mới)'!$D$3:$D$2213,$B340,'Kế hoạch chèn link (mới)'!$I$3:$I$2213,"Đã chèn")&gt;0,"Đang làm","Chưa hoàn thành"))</f>
        <v>Chưa hoàn thành</v>
      </c>
      <c r="E340" s="8" t="b">
        <f t="shared" si="2"/>
        <v>0</v>
      </c>
      <c r="F340" s="25"/>
      <c r="G340" s="25" t="str">
        <f>IFERROR(__xludf.DUMMYFUNCTION("IFERROR(INDEX(FILTER('Kế hoạch chèn link (mới)'!$C$3:$C$2213,'Kế hoạch chèn link (mới)'!$D$3:$D$2213=$B340),1),"""")"),"tra cứu cic")</f>
        <v>tra cứu cic</v>
      </c>
      <c r="H340" s="25" t="str">
        <f>IFERROR(__xludf.DUMMYFUNCTION("IFERROR(INDEX(FILTER('Kế hoạch chèn link (mới)'!$B$3:$B$2213,'Kế hoạch chèn link (mới)'!$D$3:$D$2213=$B340),1),"""")"),"https://techcombank.com/thong-tin/blog/cic-la-gi")</f>
        <v>https://techcombank.com/thong-tin/blog/cic-la-gi</v>
      </c>
      <c r="I340" s="25" t="str">
        <f>IFERROR(__xludf.DUMMYFUNCTION("IFERROR(INDEX(FILTER('Kế hoạch chèn link (mới)'!$C$3:$C$2213,'Kế hoạch chèn link (mới)'!$D$3:$D$2213=$B340),2),"""")"),"xếp hạng tín dụng cá nhân")</f>
        <v>xếp hạng tín dụng cá nhân</v>
      </c>
      <c r="J340" s="25" t="str">
        <f>IFERROR(__xludf.DUMMYFUNCTION("IFERROR(INDEX(FILTER('Kế hoạch chèn link (mới)'!$B$3:$B$2213,'Kế hoạch chèn link (mới)'!$D$3:$D$2213=$B340),2),"""")"),"https://techcombank.com/thong-tin/blog/xep-hang-tin-dung")</f>
        <v>https://techcombank.com/thong-tin/blog/xep-hang-tin-dung</v>
      </c>
      <c r="K340" s="25" t="str">
        <f>IFERROR(__xludf.DUMMYFUNCTION("IFERROR(INDEX(FILTER('Kế hoạch chèn link (mới)'!$C$3:$C$2213,'Kế hoạch chèn link (mới)'!$D$3:$D$2213=$B340),3),"""")"),"vay")</f>
        <v>vay</v>
      </c>
      <c r="L340" s="25" t="str">
        <f>IFERROR(__xludf.DUMMYFUNCTION("IFERROR(INDEX(FILTER('Kế hoạch chèn link (mới)'!$B$3:$B$2213,'Kế hoạch chèn link (mới)'!$D$3:$D$2213=$B340),3),"""")"),"https://techcombank.com/thong-tin/blog/app-vay-tien-nhanh")</f>
        <v>https://techcombank.com/thong-tin/blog/app-vay-tien-nhanh</v>
      </c>
      <c r="M340" s="25" t="str">
        <f>IFERROR(__xludf.DUMMYFUNCTION("IFERROR(INDEX(FILTER('Kế hoạch chèn link (mới)'!$C$3:$C$2213,'Kế hoạch chèn link (mới)'!$D$3:$D$2213=$B340),4),"""")"),"nên vay tín chấp ở đâu")</f>
        <v>nên vay tín chấp ở đâu</v>
      </c>
      <c r="N340" s="25" t="str">
        <f>IFERROR(__xludf.DUMMYFUNCTION("IFERROR(INDEX(FILTER('Kế hoạch chèn link (mới)'!$B$3:$B$2213,'Kế hoạch chèn link (mới)'!$D$3:$D$2213=$B340),4),"""")"),"https://techcombank.com/thong-tin/blog/nen-vay-tin-chap-o-dau")</f>
        <v>https://techcombank.com/thong-tin/blog/nen-vay-tin-chap-o-dau</v>
      </c>
      <c r="O340" s="25" t="str">
        <f>IFERROR(__xludf.DUMMYFUNCTION("IFERROR(INDEX(FILTER('Kế hoạch chèn link (mới)'!$C$3:$C$2213,'Kế hoạch chèn link (mới)'!$D$3:$D$2213=$B340),5),"""")"),"")</f>
        <v/>
      </c>
      <c r="P340" s="25" t="str">
        <f>IFERROR(__xludf.DUMMYFUNCTION("IFERROR(INDEX(FILTER('Kế hoạch chèn link (mới)'!$B$3:$B$2213,'Kế hoạch chèn link (mới)'!$D$3:$D$2213=$B340),5),"""")"),"")</f>
        <v/>
      </c>
    </row>
    <row r="341">
      <c r="A341" s="6">
        <f t="shared" si="1"/>
        <v>340</v>
      </c>
      <c r="B341" s="8" t="s">
        <v>548</v>
      </c>
      <c r="C341" s="6">
        <f>COUNTIF('Kế hoạch chèn link (mới)'!$D$3:$D$2213,$B341)</f>
        <v>5</v>
      </c>
      <c r="D341" s="8" t="str">
        <f>IF(COUNTIFS('Kế hoạch chèn link (mới)'!$D$3:$D$2213,$B341,'Kế hoạch chèn link (mới)'!$I$3:$I$2213,"Đã chèn")&gt;=$C341,"Đã hoàn thành",IF(COUNTIFS('Kế hoạch chèn link (mới)'!$D$3:$D$2213,$B341,'Kế hoạch chèn link (mới)'!$I$3:$I$2213,"Đã chèn")&gt;0,"Đang làm","Chưa hoàn thành"))</f>
        <v>Chưa hoàn thành</v>
      </c>
      <c r="E341" s="8" t="b">
        <f t="shared" si="2"/>
        <v>0</v>
      </c>
      <c r="F341" s="25"/>
      <c r="G341" s="25" t="str">
        <f>IFERROR(__xludf.DUMMYFUNCTION("IFERROR(INDEX(FILTER('Kế hoạch chèn link (mới)'!$C$3:$C$2213,'Kế hoạch chèn link (mới)'!$D$3:$D$2213=$B341),1),"""")"),"nộp thuế hộ trên etax")</f>
        <v>nộp thuế hộ trên etax</v>
      </c>
      <c r="H341" s="25" t="str">
        <f>IFERROR(__xludf.DUMMYFUNCTION("IFERROR(INDEX(FILTER('Kế hoạch chèn link (mới)'!$B$3:$B$2213,'Kế hoạch chèn link (mới)'!$D$3:$D$2213=$B341),1),"""")"),"https://techcombank.com/thong-tin/blog/cach-nop-thue-dien-tu")</f>
        <v>https://techcombank.com/thong-tin/blog/cach-nop-thue-dien-tu</v>
      </c>
      <c r="I341" s="25" t="str">
        <f>IFERROR(__xludf.DUMMYFUNCTION("IFERROR(INDEX(FILTER('Kế hoạch chèn link (mới)'!$C$3:$C$2213,'Kế hoạch chèn link (mới)'!$D$3:$D$2213=$B341),2),"""")"),"cách tạo tài khoản ngân hàng")</f>
        <v>cách tạo tài khoản ngân hàng</v>
      </c>
      <c r="J341" s="25" t="str">
        <f>IFERROR(__xludf.DUMMYFUNCTION("IFERROR(INDEX(FILTER('Kế hoạch chèn link (mới)'!$B$3:$B$2213,'Kế hoạch chèn link (mới)'!$D$3:$D$2213=$B341),2),"""")"),"https://techcombank.com/thong-tin/blog/cach-mo-tai-khoan")</f>
        <v>https://techcombank.com/thong-tin/blog/cach-mo-tai-khoan</v>
      </c>
      <c r="K341" s="25" t="str">
        <f>IFERROR(__xludf.DUMMYFUNCTION("IFERROR(INDEX(FILTER('Kế hoạch chèn link (mới)'!$C$3:$C$2213,'Kế hoạch chèn link (mới)'!$D$3:$D$2213=$B341),3),"""")"),"kiểm tra thuế TNCN online")</f>
        <v>kiểm tra thuế TNCN online</v>
      </c>
      <c r="L341" s="25" t="str">
        <f>IFERROR(__xludf.DUMMYFUNCTION("IFERROR(INDEX(FILTER('Kế hoạch chèn link (mới)'!$B$3:$B$2213,'Kế hoạch chèn link (mới)'!$D$3:$D$2213=$B341),3),"""")"),"https://techcombank.com/thong-tin/blog/kiem-tra-thue-thu-nhap-ca-nhan")</f>
        <v>https://techcombank.com/thong-tin/blog/kiem-tra-thue-thu-nhap-ca-nhan</v>
      </c>
      <c r="M341" s="25" t="str">
        <f>IFERROR(__xludf.DUMMYFUNCTION("IFERROR(INDEX(FILTER('Kế hoạch chèn link (mới)'!$C$3:$C$2213,'Kế hoạch chèn link (mới)'!$D$3:$D$2213=$B341),4),"""")"),"thuế hộ kinh doanh")</f>
        <v>thuế hộ kinh doanh</v>
      </c>
      <c r="N341" s="25" t="str">
        <f>IFERROR(__xludf.DUMMYFUNCTION("IFERROR(INDEX(FILTER('Kế hoạch chèn link (mới)'!$B$3:$B$2213,'Kế hoạch chèn link (mới)'!$D$3:$D$2213=$B341),4),"""")"),"https://techcombank.com/thong-tin/blog/ho-kinh-doanh-dong-thue-nhu-nao")</f>
        <v>https://techcombank.com/thong-tin/blog/ho-kinh-doanh-dong-thue-nhu-nao</v>
      </c>
      <c r="O341" s="25" t="str">
        <f>IFERROR(__xludf.DUMMYFUNCTION("IFERROR(INDEX(FILTER('Kế hoạch chèn link (mới)'!$C$3:$C$2213,'Kế hoạch chèn link (mới)'!$D$3:$D$2213=$B341),5),"""")"),"cách tính thuế hộ kinh doanh")</f>
        <v>cách tính thuế hộ kinh doanh</v>
      </c>
      <c r="P341" s="25" t="str">
        <f>IFERROR(__xludf.DUMMYFUNCTION("IFERROR(INDEX(FILTER('Kế hoạch chèn link (mới)'!$B$3:$B$2213,'Kế hoạch chèn link (mới)'!$D$3:$D$2213=$B341),5),"""")"),"https://techcombank.com/thong-tin/blog/cach-tinh-thue-ho-kinh-doanh-nho-le")</f>
        <v>https://techcombank.com/thong-tin/blog/cach-tinh-thue-ho-kinh-doanh-nho-le</v>
      </c>
    </row>
    <row r="342">
      <c r="A342" s="6">
        <f t="shared" si="1"/>
        <v>341</v>
      </c>
      <c r="B342" s="8" t="s">
        <v>1670</v>
      </c>
      <c r="C342" s="6">
        <f>COUNTIF('Kế hoạch chèn link (mới)'!$D$3:$D$2213,$B342)</f>
        <v>3</v>
      </c>
      <c r="D342" s="8" t="str">
        <f>IF(COUNTIFS('Kế hoạch chèn link (mới)'!$D$3:$D$2213,$B342,'Kế hoạch chèn link (mới)'!$I$3:$I$2213,"Đã chèn")&gt;=$C342,"Đã hoàn thành",IF(COUNTIFS('Kế hoạch chèn link (mới)'!$D$3:$D$2213,$B342,'Kế hoạch chèn link (mới)'!$I$3:$I$2213,"Đã chèn")&gt;0,"Đang làm","Chưa hoàn thành"))</f>
        <v>Chưa hoàn thành</v>
      </c>
      <c r="E342" s="8" t="b">
        <f t="shared" si="2"/>
        <v>0</v>
      </c>
      <c r="F342" s="25"/>
      <c r="G342" s="25" t="str">
        <f>IFERROR(__xludf.DUMMYFUNCTION("IFERROR(INDEX(FILTER('Kế hoạch chèn link (mới)'!$C$3:$C$2213,'Kế hoạch chèn link (mới)'!$D$3:$D$2213=$B342),1),"""")"),"tra tài khoản ngân hàng")</f>
        <v>tra tài khoản ngân hàng</v>
      </c>
      <c r="H342" s="25" t="str">
        <f>IFERROR(__xludf.DUMMYFUNCTION("IFERROR(INDEX(FILTER('Kế hoạch chèn link (mới)'!$B$3:$B$2213,'Kế hoạch chèn link (mới)'!$D$3:$D$2213=$B342),1),"""")"),"https://techcombank.com/thong-tin/blog/cach-kiem-tra-tai-khoan-ngan-hang")</f>
        <v>https://techcombank.com/thong-tin/blog/cach-kiem-tra-tai-khoan-ngan-hang</v>
      </c>
      <c r="I342" s="25" t="str">
        <f>IFERROR(__xludf.DUMMYFUNCTION("IFERROR(INDEX(FILTER('Kế hoạch chèn link (mới)'!$C$3:$C$2213,'Kế hoạch chèn link (mới)'!$D$3:$D$2213=$B342),2),"""")"),"tên đăng nhập")</f>
        <v>tên đăng nhập</v>
      </c>
      <c r="J342" s="25" t="str">
        <f>IFERROR(__xludf.DUMMYFUNCTION("IFERROR(INDEX(FILTER('Kế hoạch chèn link (mới)'!$B$3:$B$2213,'Kế hoạch chèn link (mới)'!$D$3:$D$2213=$B342),2),"""")"),"https://techcombank.com/thong-tin/blog/ten-dang-nhap-tai-khoan-ngan-hang-la-gi")</f>
        <v>https://techcombank.com/thong-tin/blog/ten-dang-nhap-tai-khoan-ngan-hang-la-gi</v>
      </c>
      <c r="K342" s="25" t="str">
        <f>IFERROR(__xludf.DUMMYFUNCTION("IFERROR(INDEX(FILTER('Kế hoạch chèn link (mới)'!$C$3:$C$2213,'Kế hoạch chèn link (mới)'!$D$3:$D$2213=$B342),3),"""")"),"cách gửi mã QR ngân hàng")</f>
        <v>cách gửi mã QR ngân hàng</v>
      </c>
      <c r="L342" s="25" t="str">
        <f>IFERROR(__xludf.DUMMYFUNCTION("IFERROR(INDEX(FILTER('Kế hoạch chèn link (mới)'!$B$3:$B$2213,'Kế hoạch chèn link (mới)'!$D$3:$D$2213=$B342),3),"""")"),"https://techcombank.com/thong-tin/blog/gui-ma-qr-ngan-hang")</f>
        <v>https://techcombank.com/thong-tin/blog/gui-ma-qr-ngan-hang</v>
      </c>
      <c r="M342" s="25" t="str">
        <f>IFERROR(__xludf.DUMMYFUNCTION("IFERROR(INDEX(FILTER('Kế hoạch chèn link (mới)'!$C$3:$C$2213,'Kế hoạch chèn link (mới)'!$D$3:$D$2213=$B342),4),"""")"),"")</f>
        <v/>
      </c>
      <c r="N342" s="25" t="str">
        <f>IFERROR(__xludf.DUMMYFUNCTION("IFERROR(INDEX(FILTER('Kế hoạch chèn link (mới)'!$B$3:$B$2213,'Kế hoạch chèn link (mới)'!$D$3:$D$2213=$B342),4),"""")"),"")</f>
        <v/>
      </c>
      <c r="O342" s="25" t="str">
        <f>IFERROR(__xludf.DUMMYFUNCTION("IFERROR(INDEX(FILTER('Kế hoạch chèn link (mới)'!$C$3:$C$2213,'Kế hoạch chèn link (mới)'!$D$3:$D$2213=$B342),5),"""")"),"")</f>
        <v/>
      </c>
      <c r="P342" s="25" t="str">
        <f>IFERROR(__xludf.DUMMYFUNCTION("IFERROR(INDEX(FILTER('Kế hoạch chèn link (mới)'!$B$3:$B$2213,'Kế hoạch chèn link (mới)'!$D$3:$D$2213=$B342),5),"""")"),"")</f>
        <v/>
      </c>
    </row>
    <row r="343">
      <c r="A343" s="6">
        <f t="shared" si="1"/>
        <v>342</v>
      </c>
      <c r="B343" s="8" t="s">
        <v>1637</v>
      </c>
      <c r="C343" s="6">
        <f>COUNTIF('Kế hoạch chèn link (mới)'!$D$3:$D$2213,$B343)</f>
        <v>3</v>
      </c>
      <c r="D343" s="8" t="str">
        <f>IF(COUNTIFS('Kế hoạch chèn link (mới)'!$D$3:$D$2213,$B343,'Kế hoạch chèn link (mới)'!$I$3:$I$2213,"Đã chèn")&gt;=$C343,"Đã hoàn thành",IF(COUNTIFS('Kế hoạch chèn link (mới)'!$D$3:$D$2213,$B343,'Kế hoạch chèn link (mới)'!$I$3:$I$2213,"Đã chèn")&gt;0,"Đang làm","Chưa hoàn thành"))</f>
        <v>Chưa hoàn thành</v>
      </c>
      <c r="E343" s="8" t="b">
        <f t="shared" si="2"/>
        <v>0</v>
      </c>
      <c r="F343" s="25"/>
      <c r="G343" s="25" t="str">
        <f>IFERROR(__xludf.DUMMYFUNCTION("IFERROR(INDEX(FILTER('Kế hoạch chèn link (mới)'!$C$3:$C$2213,'Kế hoạch chèn link (mới)'!$D$3:$D$2213=$B343),1),"""")"),"tra số tài khoản ngân hàng")</f>
        <v>tra số tài khoản ngân hàng</v>
      </c>
      <c r="H343" s="25" t="str">
        <f>IFERROR(__xludf.DUMMYFUNCTION("IFERROR(INDEX(FILTER('Kế hoạch chèn link (mới)'!$B$3:$B$2213,'Kế hoạch chèn link (mới)'!$D$3:$D$2213=$B343),1),"""")"),"https://techcombank.com/thong-tin/blog/cach-kiem-tra-tai-khoan-ngan-hang")</f>
        <v>https://techcombank.com/thong-tin/blog/cach-kiem-tra-tai-khoan-ngan-hang</v>
      </c>
      <c r="I343" s="25" t="str">
        <f>IFERROR(__xludf.DUMMYFUNCTION("IFERROR(INDEX(FILTER('Kế hoạch chèn link (mới)'!$C$3:$C$2213,'Kế hoạch chèn link (mới)'!$D$3:$D$2213=$B343),2),"""")"),"cách tạo tài khoản ngân hàng")</f>
        <v>cách tạo tài khoản ngân hàng</v>
      </c>
      <c r="J343" s="25" t="str">
        <f>IFERROR(__xludf.DUMMYFUNCTION("IFERROR(INDEX(FILTER('Kế hoạch chèn link (mới)'!$B$3:$B$2213,'Kế hoạch chèn link (mới)'!$D$3:$D$2213=$B343),2),"""")"),"https://techcombank.com/thong-tin/blog/cach-mo-tai-khoan")</f>
        <v>https://techcombank.com/thong-tin/blog/cach-mo-tai-khoan</v>
      </c>
      <c r="K343" s="25" t="str">
        <f>IFERROR(__xludf.DUMMYFUNCTION("IFERROR(INDEX(FILTER('Kế hoạch chèn link (mới)'!$C$3:$C$2213,'Kế hoạch chèn link (mới)'!$D$3:$D$2213=$B343),3),"""")"),"tên đăng nhập")</f>
        <v>tên đăng nhập</v>
      </c>
      <c r="L343" s="25" t="str">
        <f>IFERROR(__xludf.DUMMYFUNCTION("IFERROR(INDEX(FILTER('Kế hoạch chèn link (mới)'!$B$3:$B$2213,'Kế hoạch chèn link (mới)'!$D$3:$D$2213=$B343),3),"""")"),"https://techcombank.com/thong-tin/blog/ten-dang-nhap-tai-khoan-ngan-hang-la-gi")</f>
        <v>https://techcombank.com/thong-tin/blog/ten-dang-nhap-tai-khoan-ngan-hang-la-gi</v>
      </c>
      <c r="M343" s="25" t="str">
        <f>IFERROR(__xludf.DUMMYFUNCTION("IFERROR(INDEX(FILTER('Kế hoạch chèn link (mới)'!$C$3:$C$2213,'Kế hoạch chèn link (mới)'!$D$3:$D$2213=$B343),4),"""")"),"")</f>
        <v/>
      </c>
      <c r="N343" s="25" t="str">
        <f>IFERROR(__xludf.DUMMYFUNCTION("IFERROR(INDEX(FILTER('Kế hoạch chèn link (mới)'!$B$3:$B$2213,'Kế hoạch chèn link (mới)'!$D$3:$D$2213=$B343),4),"""")"),"")</f>
        <v/>
      </c>
      <c r="O343" s="25" t="str">
        <f>IFERROR(__xludf.DUMMYFUNCTION("IFERROR(INDEX(FILTER('Kế hoạch chèn link (mới)'!$C$3:$C$2213,'Kế hoạch chèn link (mới)'!$D$3:$D$2213=$B343),5),"""")"),"")</f>
        <v/>
      </c>
      <c r="P343" s="25" t="str">
        <f>IFERROR(__xludf.DUMMYFUNCTION("IFERROR(INDEX(FILTER('Kế hoạch chèn link (mới)'!$B$3:$B$2213,'Kế hoạch chèn link (mới)'!$D$3:$D$2213=$B343),5),"""")"),"")</f>
        <v/>
      </c>
    </row>
    <row r="344">
      <c r="A344" s="6">
        <f t="shared" si="1"/>
        <v>343</v>
      </c>
      <c r="B344" s="8" t="s">
        <v>2012</v>
      </c>
      <c r="C344" s="6">
        <f>COUNTIF('Kế hoạch chèn link (mới)'!$D$3:$D$2213,$B344)</f>
        <v>3</v>
      </c>
      <c r="D344" s="8" t="str">
        <f>IF(COUNTIFS('Kế hoạch chèn link (mới)'!$D$3:$D$2213,$B344,'Kế hoạch chèn link (mới)'!$I$3:$I$2213,"Đã chèn")&gt;=$C344,"Đã hoàn thành",IF(COUNTIFS('Kế hoạch chèn link (mới)'!$D$3:$D$2213,$B344,'Kế hoạch chèn link (mới)'!$I$3:$I$2213,"Đã chèn")&gt;0,"Đang làm","Chưa hoàn thành"))</f>
        <v>Chưa hoàn thành</v>
      </c>
      <c r="E344" s="8" t="b">
        <f t="shared" si="2"/>
        <v>0</v>
      </c>
      <c r="F344" s="25"/>
      <c r="G344" s="25" t="str">
        <f>IFERROR(__xludf.DUMMYFUNCTION("IFERROR(INDEX(FILTER('Kế hoạch chèn link (mới)'!$C$3:$C$2213,'Kế hoạch chèn link (mới)'!$D$3:$D$2213=$B344),1),"""")"),"tiền chuyển khoản bị treo")</f>
        <v>tiền chuyển khoản bị treo</v>
      </c>
      <c r="H344" s="25" t="str">
        <f>IFERROR(__xludf.DUMMYFUNCTION("IFERROR(INDEX(FILTER('Kế hoạch chèn link (mới)'!$B$3:$B$2213,'Kế hoạch chèn link (mới)'!$D$3:$D$2213=$B344),1),"""")"),"https://techcombank.com/thong-tin/blog/chuyen-khoan-thanh-cong-nhung-khong-nhan-duoc-tien")</f>
        <v>https://techcombank.com/thong-tin/blog/chuyen-khoan-thanh-cong-nhung-khong-nhan-duoc-tien</v>
      </c>
      <c r="I344" s="25" t="str">
        <f>IFERROR(__xludf.DUMMYFUNCTION("IFERROR(INDEX(FILTER('Kế hoạch chèn link (mới)'!$C$3:$C$2213,'Kế hoạch chèn link (mới)'!$D$3:$D$2213=$B344),2),"""")"),"mô hình kinh doanh")</f>
        <v>mô hình kinh doanh</v>
      </c>
      <c r="J344" s="25" t="str">
        <f>IFERROR(__xludf.DUMMYFUNCTION("IFERROR(INDEX(FILTER('Kế hoạch chèn link (mới)'!$B$3:$B$2213,'Kế hoạch chèn link (mới)'!$D$3:$D$2213=$B344),2),"""")"),"https://techcombank.com/thong-tin/blog/mo-hinh-kinh-doanh-la-gi")</f>
        <v>https://techcombank.com/thong-tin/blog/mo-hinh-kinh-doanh-la-gi</v>
      </c>
      <c r="K344" s="25" t="str">
        <f>IFERROR(__xludf.DUMMYFUNCTION("IFERROR(INDEX(FILTER('Kế hoạch chèn link (mới)'!$C$3:$C$2213,'Kế hoạch chèn link (mới)'!$D$3:$D$2213=$B344),3),"""")"),"cách gửi mã QR ngân hàng")</f>
        <v>cách gửi mã QR ngân hàng</v>
      </c>
      <c r="L344" s="25" t="str">
        <f>IFERROR(__xludf.DUMMYFUNCTION("IFERROR(INDEX(FILTER('Kế hoạch chèn link (mới)'!$B$3:$B$2213,'Kế hoạch chèn link (mới)'!$D$3:$D$2213=$B344),3),"""")"),"https://techcombank.com/thong-tin/blog/gui-ma-qr-ngan-hang")</f>
        <v>https://techcombank.com/thong-tin/blog/gui-ma-qr-ngan-hang</v>
      </c>
      <c r="M344" s="25" t="str">
        <f>IFERROR(__xludf.DUMMYFUNCTION("IFERROR(INDEX(FILTER('Kế hoạch chèn link (mới)'!$C$3:$C$2213,'Kế hoạch chèn link (mới)'!$D$3:$D$2213=$B344),4),"""")"),"")</f>
        <v/>
      </c>
      <c r="N344" s="25" t="str">
        <f>IFERROR(__xludf.DUMMYFUNCTION("IFERROR(INDEX(FILTER('Kế hoạch chèn link (mới)'!$B$3:$B$2213,'Kế hoạch chèn link (mới)'!$D$3:$D$2213=$B344),4),"""")"),"")</f>
        <v/>
      </c>
      <c r="O344" s="25" t="str">
        <f>IFERROR(__xludf.DUMMYFUNCTION("IFERROR(INDEX(FILTER('Kế hoạch chèn link (mới)'!$C$3:$C$2213,'Kế hoạch chèn link (mới)'!$D$3:$D$2213=$B344),5),"""")"),"")</f>
        <v/>
      </c>
      <c r="P344" s="25" t="str">
        <f>IFERROR(__xludf.DUMMYFUNCTION("IFERROR(INDEX(FILTER('Kế hoạch chèn link (mới)'!$B$3:$B$2213,'Kế hoạch chèn link (mới)'!$D$3:$D$2213=$B344),5),"""")"),"")</f>
        <v/>
      </c>
    </row>
    <row r="345">
      <c r="A345" s="6">
        <f t="shared" si="1"/>
        <v>344</v>
      </c>
      <c r="B345" s="8" t="s">
        <v>1980</v>
      </c>
      <c r="C345" s="6">
        <f>COUNTIF('Kế hoạch chèn link (mới)'!$D$3:$D$2213,$B345)</f>
        <v>3</v>
      </c>
      <c r="D345" s="8" t="str">
        <f>IF(COUNTIFS('Kế hoạch chèn link (mới)'!$D$3:$D$2213,$B345,'Kế hoạch chèn link (mới)'!$I$3:$I$2213,"Đã chèn")&gt;=$C345,"Đã hoàn thành",IF(COUNTIFS('Kế hoạch chèn link (mới)'!$D$3:$D$2213,$B345,'Kế hoạch chèn link (mới)'!$I$3:$I$2213,"Đã chèn")&gt;0,"Đang làm","Chưa hoàn thành"))</f>
        <v>Chưa hoàn thành</v>
      </c>
      <c r="E345" s="8" t="b">
        <f t="shared" si="2"/>
        <v>0</v>
      </c>
      <c r="F345" s="25"/>
      <c r="G345" s="25" t="str">
        <f>IFERROR(__xludf.DUMMYFUNCTION("IFERROR(INDEX(FILTER('Kế hoạch chèn link (mới)'!$C$3:$C$2213,'Kế hoạch chèn link (mới)'!$D$3:$D$2213=$B345),1),"""")"),"chuyển khoản thành công nhưng không nhận được tiền")</f>
        <v>chuyển khoản thành công nhưng không nhận được tiền</v>
      </c>
      <c r="H345" s="25" t="str">
        <f>IFERROR(__xludf.DUMMYFUNCTION("IFERROR(INDEX(FILTER('Kế hoạch chèn link (mới)'!$B$3:$B$2213,'Kế hoạch chèn link (mới)'!$D$3:$D$2213=$B345),1),"""")"),"https://techcombank.com/thong-tin/blog/chuyen-khoan-thanh-cong-nhung-khong-nhan-duoc-tien")</f>
        <v>https://techcombank.com/thong-tin/blog/chuyen-khoan-thanh-cong-nhung-khong-nhan-duoc-tien</v>
      </c>
      <c r="I345" s="25" t="str">
        <f>IFERROR(__xludf.DUMMYFUNCTION("IFERROR(INDEX(FILTER('Kế hoạch chèn link (mới)'!$C$3:$C$2213,'Kế hoạch chèn link (mới)'!$D$3:$D$2213=$B345),2),"""")"),"mô hình kinh doanh")</f>
        <v>mô hình kinh doanh</v>
      </c>
      <c r="J345" s="25" t="str">
        <f>IFERROR(__xludf.DUMMYFUNCTION("IFERROR(INDEX(FILTER('Kế hoạch chèn link (mới)'!$B$3:$B$2213,'Kế hoạch chèn link (mới)'!$D$3:$D$2213=$B345),2),"""")"),"https://techcombank.com/thong-tin/blog/mo-hinh-kinh-doanh-la-gi")</f>
        <v>https://techcombank.com/thong-tin/blog/mo-hinh-kinh-doanh-la-gi</v>
      </c>
      <c r="K345" s="25" t="str">
        <f>IFERROR(__xludf.DUMMYFUNCTION("IFERROR(INDEX(FILTER('Kế hoạch chèn link (mới)'!$C$3:$C$2213,'Kế hoạch chèn link (mới)'!$D$3:$D$2213=$B345),3),"""")"),"gửi mã QR ngân hàng")</f>
        <v>gửi mã QR ngân hàng</v>
      </c>
      <c r="L345" s="25" t="str">
        <f>IFERROR(__xludf.DUMMYFUNCTION("IFERROR(INDEX(FILTER('Kế hoạch chèn link (mới)'!$B$3:$B$2213,'Kế hoạch chèn link (mới)'!$D$3:$D$2213=$B345),3),"""")"),"https://techcombank.com/thong-tin/blog/gui-ma-qr-ngan-hang")</f>
        <v>https://techcombank.com/thong-tin/blog/gui-ma-qr-ngan-hang</v>
      </c>
      <c r="M345" s="25" t="str">
        <f>IFERROR(__xludf.DUMMYFUNCTION("IFERROR(INDEX(FILTER('Kế hoạch chèn link (mới)'!$C$3:$C$2213,'Kế hoạch chèn link (mới)'!$D$3:$D$2213=$B345),4),"""")"),"")</f>
        <v/>
      </c>
      <c r="N345" s="25" t="str">
        <f>IFERROR(__xludf.DUMMYFUNCTION("IFERROR(INDEX(FILTER('Kế hoạch chèn link (mới)'!$B$3:$B$2213,'Kế hoạch chèn link (mới)'!$D$3:$D$2213=$B345),4),"""")"),"")</f>
        <v/>
      </c>
      <c r="O345" s="25" t="str">
        <f>IFERROR(__xludf.DUMMYFUNCTION("IFERROR(INDEX(FILTER('Kế hoạch chèn link (mới)'!$C$3:$C$2213,'Kế hoạch chèn link (mới)'!$D$3:$D$2213=$B345),5),"""")"),"")</f>
        <v/>
      </c>
      <c r="P345" s="25" t="str">
        <f>IFERROR(__xludf.DUMMYFUNCTION("IFERROR(INDEX(FILTER('Kế hoạch chèn link (mới)'!$B$3:$B$2213,'Kế hoạch chèn link (mới)'!$D$3:$D$2213=$B345),5),"""")"),"")</f>
        <v/>
      </c>
    </row>
    <row r="346">
      <c r="A346" s="6">
        <f t="shared" si="1"/>
        <v>345</v>
      </c>
      <c r="B346" s="8" t="s">
        <v>2976</v>
      </c>
      <c r="C346" s="6">
        <f>COUNTIF('Kế hoạch chèn link (mới)'!$D$3:$D$2213,$B346)</f>
        <v>1</v>
      </c>
      <c r="D346" s="8" t="str">
        <f>IF(COUNTIFS('Kế hoạch chèn link (mới)'!$D$3:$D$2213,$B346,'Kế hoạch chèn link (mới)'!$I$3:$I$2213,"Đã chèn")&gt;=$C346,"Đã hoàn thành",IF(COUNTIFS('Kế hoạch chèn link (mới)'!$D$3:$D$2213,$B346,'Kế hoạch chèn link (mới)'!$I$3:$I$2213,"Đã chèn")&gt;0,"Đang làm","Chưa hoàn thành"))</f>
        <v>Chưa hoàn thành</v>
      </c>
      <c r="E346" s="8" t="b">
        <f t="shared" si="2"/>
        <v>0</v>
      </c>
      <c r="F346" s="25"/>
      <c r="G346" s="25" t="str">
        <f>IFERROR(__xludf.DUMMYFUNCTION("IFERROR(INDEX(FILTER('Kế hoạch chèn link (mới)'!$C$3:$C$2213,'Kế hoạch chèn link (mới)'!$D$3:$D$2213=$B346),1),"""")"),"cách tính lãi suất vay")</f>
        <v>cách tính lãi suất vay</v>
      </c>
      <c r="H346" s="25" t="str">
        <f>IFERROR(__xludf.DUMMYFUNCTION("IFERROR(INDEX(FILTER('Kế hoạch chèn link (mới)'!$B$3:$B$2213,'Kế hoạch chèn link (mới)'!$D$3:$D$2213=$B346),1),"""")"),"https://techcombank.com/thong-tin/blog/cach-tinh-lai-vay-ngan-hang")</f>
        <v>https://techcombank.com/thong-tin/blog/cach-tinh-lai-vay-ngan-hang</v>
      </c>
      <c r="I346" s="25" t="str">
        <f>IFERROR(__xludf.DUMMYFUNCTION("IFERROR(INDEX(FILTER('Kế hoạch chèn link (mới)'!$C$3:$C$2213,'Kế hoạch chèn link (mới)'!$D$3:$D$2213=$B346),2),"""")"),"")</f>
        <v/>
      </c>
      <c r="J346" s="25" t="str">
        <f>IFERROR(__xludf.DUMMYFUNCTION("IFERROR(INDEX(FILTER('Kế hoạch chèn link (mới)'!$B$3:$B$2213,'Kế hoạch chèn link (mới)'!$D$3:$D$2213=$B346),2),"""")"),"")</f>
        <v/>
      </c>
      <c r="K346" s="25" t="str">
        <f>IFERROR(__xludf.DUMMYFUNCTION("IFERROR(INDEX(FILTER('Kế hoạch chèn link (mới)'!$C$3:$C$2213,'Kế hoạch chèn link (mới)'!$D$3:$D$2213=$B346),3),"""")"),"")</f>
        <v/>
      </c>
      <c r="L346" s="25" t="str">
        <f>IFERROR(__xludf.DUMMYFUNCTION("IFERROR(INDEX(FILTER('Kế hoạch chèn link (mới)'!$B$3:$B$2213,'Kế hoạch chèn link (mới)'!$D$3:$D$2213=$B346),3),"""")"),"")</f>
        <v/>
      </c>
      <c r="M346" s="25" t="str">
        <f>IFERROR(__xludf.DUMMYFUNCTION("IFERROR(INDEX(FILTER('Kế hoạch chèn link (mới)'!$C$3:$C$2213,'Kế hoạch chèn link (mới)'!$D$3:$D$2213=$B346),4),"""")"),"")</f>
        <v/>
      </c>
      <c r="N346" s="25" t="str">
        <f>IFERROR(__xludf.DUMMYFUNCTION("IFERROR(INDEX(FILTER('Kế hoạch chèn link (mới)'!$B$3:$B$2213,'Kế hoạch chèn link (mới)'!$D$3:$D$2213=$B346),4),"""")"),"")</f>
        <v/>
      </c>
      <c r="O346" s="25" t="str">
        <f>IFERROR(__xludf.DUMMYFUNCTION("IFERROR(INDEX(FILTER('Kế hoạch chèn link (mới)'!$C$3:$C$2213,'Kế hoạch chèn link (mới)'!$D$3:$D$2213=$B346),5),"""")"),"")</f>
        <v/>
      </c>
      <c r="P346" s="25" t="str">
        <f>IFERROR(__xludf.DUMMYFUNCTION("IFERROR(INDEX(FILTER('Kế hoạch chèn link (mới)'!$B$3:$B$2213,'Kế hoạch chèn link (mới)'!$D$3:$D$2213=$B346),5),"""")"),"")</f>
        <v/>
      </c>
    </row>
    <row r="347">
      <c r="A347" s="6">
        <f t="shared" si="1"/>
        <v>346</v>
      </c>
      <c r="B347" s="8" t="s">
        <v>2379</v>
      </c>
      <c r="C347" s="6">
        <f>COUNTIF('Kế hoạch chèn link (mới)'!$D$3:$D$2213,$B347)</f>
        <v>4</v>
      </c>
      <c r="D347" s="8" t="str">
        <f>IF(COUNTIFS('Kế hoạch chèn link (mới)'!$D$3:$D$2213,$B347,'Kế hoạch chèn link (mới)'!$I$3:$I$2213,"Đã chèn")&gt;=$C347,"Đã hoàn thành",IF(COUNTIFS('Kế hoạch chèn link (mới)'!$D$3:$D$2213,$B347,'Kế hoạch chèn link (mới)'!$I$3:$I$2213,"Đã chèn")&gt;0,"Đang làm","Chưa hoàn thành"))</f>
        <v>Chưa hoàn thành</v>
      </c>
      <c r="E347" s="8" t="b">
        <f t="shared" si="2"/>
        <v>0</v>
      </c>
      <c r="F347" s="25"/>
      <c r="G347" s="25" t="str">
        <f>IFERROR(__xludf.DUMMYFUNCTION("IFERROR(INDEX(FILTER('Kế hoạch chèn link (mới)'!$C$3:$C$2213,'Kế hoạch chèn link (mới)'!$D$3:$D$2213=$B347),1),"""")"),"sao kê tài khoản ngân hàng")</f>
        <v>sao kê tài khoản ngân hàng</v>
      </c>
      <c r="H347" s="25" t="str">
        <f>IFERROR(__xludf.DUMMYFUNCTION("IFERROR(INDEX(FILTER('Kế hoạch chèn link (mới)'!$B$3:$B$2213,'Kế hoạch chèn link (mới)'!$D$3:$D$2213=$B347),1),"""")"),"https://techcombank.com/thong-tin/blog/cach-sao-ke-tai-khoan-ngan-hang")</f>
        <v>https://techcombank.com/thong-tin/blog/cach-sao-ke-tai-khoan-ngan-hang</v>
      </c>
      <c r="I347" s="25" t="str">
        <f>IFERROR(__xludf.DUMMYFUNCTION("IFERROR(INDEX(FILTER('Kế hoạch chèn link (mới)'!$C$3:$C$2213,'Kế hoạch chèn link (mới)'!$D$3:$D$2213=$B347),2),"""")"),"lãi suất gửi tiết kiệm ngân hàng")</f>
        <v>lãi suất gửi tiết kiệm ngân hàng</v>
      </c>
      <c r="J347" s="25" t="str">
        <f>IFERROR(__xludf.DUMMYFUNCTION("IFERROR(INDEX(FILTER('Kế hoạch chèn link (mới)'!$B$3:$B$2213,'Kế hoạch chèn link (mới)'!$D$3:$D$2213=$B347),2),"""")"),"https://techcombank.com/thong-tin/blog/lai-suat-tiet-kiem")</f>
        <v>https://techcombank.com/thong-tin/blog/lai-suat-tiet-kiem</v>
      </c>
      <c r="K347" s="25" t="str">
        <f>IFERROR(__xludf.DUMMYFUNCTION("IFERROR(INDEX(FILTER('Kế hoạch chèn link (mới)'!$C$3:$C$2213,'Kế hoạch chèn link (mới)'!$D$3:$D$2213=$B347),3),"""")"),"tính lãi suất tiết kiệm")</f>
        <v>tính lãi suất tiết kiệm</v>
      </c>
      <c r="L347" s="25" t="str">
        <f>IFERROR(__xludf.DUMMYFUNCTION("IFERROR(INDEX(FILTER('Kế hoạch chèn link (mới)'!$B$3:$B$2213,'Kế hoạch chèn link (mới)'!$D$3:$D$2213=$B347),3),"""")"),"https://techcombank.com/thong-tin/blog/cach-tinh-lai-suat-tien-gui-tiet-kiem")</f>
        <v>https://techcombank.com/thong-tin/blog/cach-tinh-lai-suat-tien-gui-tiet-kiem</v>
      </c>
      <c r="M347" s="25" t="str">
        <f>IFERROR(__xludf.DUMMYFUNCTION("IFERROR(INDEX(FILTER('Kế hoạch chèn link (mới)'!$C$3:$C$2213,'Kế hoạch chèn link (mới)'!$D$3:$D$2213=$B347),4),"""")"),"cách tiết kiệm tiền")</f>
        <v>cách tiết kiệm tiền</v>
      </c>
      <c r="N347" s="25" t="str">
        <f>IFERROR(__xludf.DUMMYFUNCTION("IFERROR(INDEX(FILTER('Kế hoạch chèn link (mới)'!$B$3:$B$2213,'Kế hoạch chèn link (mới)'!$D$3:$D$2213=$B347),4),"""")"),"https://techcombank.com/thong-tin/blog/cach-tiet-kiem-tien")</f>
        <v>https://techcombank.com/thong-tin/blog/cach-tiet-kiem-tien</v>
      </c>
      <c r="O347" s="25" t="str">
        <f>IFERROR(__xludf.DUMMYFUNCTION("IFERROR(INDEX(FILTER('Kế hoạch chèn link (mới)'!$C$3:$C$2213,'Kế hoạch chèn link (mới)'!$D$3:$D$2213=$B347),5),"""")"),"")</f>
        <v/>
      </c>
      <c r="P347" s="25" t="str">
        <f>IFERROR(__xludf.DUMMYFUNCTION("IFERROR(INDEX(FILTER('Kế hoạch chèn link (mới)'!$B$3:$B$2213,'Kế hoạch chèn link (mới)'!$D$3:$D$2213=$B347),5),"""")"),"")</f>
        <v/>
      </c>
    </row>
    <row r="348">
      <c r="A348" s="6">
        <f t="shared" si="1"/>
        <v>347</v>
      </c>
      <c r="B348" s="8" t="s">
        <v>795</v>
      </c>
      <c r="C348" s="6">
        <f>COUNTIF('Kế hoạch chèn link (mới)'!$D$3:$D$2213,$B348)</f>
        <v>3</v>
      </c>
      <c r="D348" s="8" t="str">
        <f>IF(COUNTIFS('Kế hoạch chèn link (mới)'!$D$3:$D$2213,$B348,'Kế hoạch chèn link (mới)'!$I$3:$I$2213,"Đã chèn")&gt;=$C348,"Đã hoàn thành",IF(COUNTIFS('Kế hoạch chèn link (mới)'!$D$3:$D$2213,$B348,'Kế hoạch chèn link (mới)'!$I$3:$I$2213,"Đã chèn")&gt;0,"Đang làm","Chưa hoàn thành"))</f>
        <v>Chưa hoàn thành</v>
      </c>
      <c r="E348" s="8" t="b">
        <f t="shared" si="2"/>
        <v>0</v>
      </c>
      <c r="F348" s="25"/>
      <c r="G348" s="25" t="str">
        <f>IFERROR(__xludf.DUMMYFUNCTION("IFERROR(INDEX(FILTER('Kế hoạch chèn link (mới)'!$C$3:$C$2213,'Kế hoạch chèn link (mới)'!$D$3:$D$2213=$B348),1),"""")"),"thuế thu nhập doanh nghiệp")</f>
        <v>thuế thu nhập doanh nghiệp</v>
      </c>
      <c r="H348" s="25" t="str">
        <f>IFERROR(__xludf.DUMMYFUNCTION("IFERROR(INDEX(FILTER('Kế hoạch chèn link (mới)'!$B$3:$B$2213,'Kế hoạch chèn link (mới)'!$D$3:$D$2213=$B348),1),"""")"),"https://techcombank.com/thong-tin/blog/thue-thu-nhap-doanh-nghiep")</f>
        <v>https://techcombank.com/thong-tin/blog/thue-thu-nhap-doanh-nghiep</v>
      </c>
      <c r="I348" s="25" t="str">
        <f>IFERROR(__xludf.DUMMYFUNCTION("IFERROR(INDEX(FILTER('Kế hoạch chèn link (mới)'!$C$3:$C$2213,'Kế hoạch chèn link (mới)'!$D$3:$D$2213=$B348),2),"""")"),"thuế hộ kinh doanh")</f>
        <v>thuế hộ kinh doanh</v>
      </c>
      <c r="J348" s="25" t="str">
        <f>IFERROR(__xludf.DUMMYFUNCTION("IFERROR(INDEX(FILTER('Kế hoạch chèn link (mới)'!$B$3:$B$2213,'Kế hoạch chèn link (mới)'!$D$3:$D$2213=$B348),2),"""")"),"https://techcombank.com/thong-tin/blog/ho-kinh-doanh-dong-thue-nhu-nao")</f>
        <v>https://techcombank.com/thong-tin/blog/ho-kinh-doanh-dong-thue-nhu-nao</v>
      </c>
      <c r="K348" s="25" t="str">
        <f>IFERROR(__xludf.DUMMYFUNCTION("IFERROR(INDEX(FILTER('Kế hoạch chèn link (mới)'!$C$3:$C$2213,'Kế hoạch chèn link (mới)'!$D$3:$D$2213=$B348),3),"""")"),"cách tính thuế hộ kinh doanh")</f>
        <v>cách tính thuế hộ kinh doanh</v>
      </c>
      <c r="L348" s="25" t="str">
        <f>IFERROR(__xludf.DUMMYFUNCTION("IFERROR(INDEX(FILTER('Kế hoạch chèn link (mới)'!$B$3:$B$2213,'Kế hoạch chèn link (mới)'!$D$3:$D$2213=$B348),3),"""")"),"https://techcombank.com/thong-tin/blog/cach-tinh-thue-ho-kinh-doanh-nho-le")</f>
        <v>https://techcombank.com/thong-tin/blog/cach-tinh-thue-ho-kinh-doanh-nho-le</v>
      </c>
      <c r="M348" s="25" t="str">
        <f>IFERROR(__xludf.DUMMYFUNCTION("IFERROR(INDEX(FILTER('Kế hoạch chèn link (mới)'!$C$3:$C$2213,'Kế hoạch chèn link (mới)'!$D$3:$D$2213=$B348),4),"""")"),"")</f>
        <v/>
      </c>
      <c r="N348" s="25" t="str">
        <f>IFERROR(__xludf.DUMMYFUNCTION("IFERROR(INDEX(FILTER('Kế hoạch chèn link (mới)'!$B$3:$B$2213,'Kế hoạch chèn link (mới)'!$D$3:$D$2213=$B348),4),"""")"),"")</f>
        <v/>
      </c>
      <c r="O348" s="25" t="str">
        <f>IFERROR(__xludf.DUMMYFUNCTION("IFERROR(INDEX(FILTER('Kế hoạch chèn link (mới)'!$C$3:$C$2213,'Kế hoạch chèn link (mới)'!$D$3:$D$2213=$B348),5),"""")"),"")</f>
        <v/>
      </c>
      <c r="P348" s="25" t="str">
        <f>IFERROR(__xludf.DUMMYFUNCTION("IFERROR(INDEX(FILTER('Kế hoạch chèn link (mới)'!$B$3:$B$2213,'Kế hoạch chèn link (mới)'!$D$3:$D$2213=$B348),5),"""")"),"")</f>
        <v/>
      </c>
    </row>
    <row r="349">
      <c r="A349" s="6">
        <f t="shared" si="1"/>
        <v>348</v>
      </c>
      <c r="B349" s="8" t="s">
        <v>736</v>
      </c>
      <c r="C349" s="6">
        <f>COUNTIF('Kế hoạch chèn link (mới)'!$D$3:$D$2213,$B349)</f>
        <v>2</v>
      </c>
      <c r="D349" s="8" t="str">
        <f>IF(COUNTIFS('Kế hoạch chèn link (mới)'!$D$3:$D$2213,$B349,'Kế hoạch chèn link (mới)'!$I$3:$I$2213,"Đã chèn")&gt;=$C349,"Đã hoàn thành",IF(COUNTIFS('Kế hoạch chèn link (mới)'!$D$3:$D$2213,$B349,'Kế hoạch chèn link (mới)'!$I$3:$I$2213,"Đã chèn")&gt;0,"Đang làm","Chưa hoàn thành"))</f>
        <v>Chưa hoàn thành</v>
      </c>
      <c r="E349" s="8" t="b">
        <f t="shared" si="2"/>
        <v>0</v>
      </c>
      <c r="F349" s="25"/>
      <c r="G349" s="25" t="str">
        <f>IFERROR(__xludf.DUMMYFUNCTION("IFERROR(INDEX(FILTER('Kế hoạch chèn link (mới)'!$C$3:$C$2213,'Kế hoạch chèn link (mới)'!$D$3:$D$2213=$B349),1),"""")"),"thuế thu nhập doanh nghiệp")</f>
        <v>thuế thu nhập doanh nghiệp</v>
      </c>
      <c r="H349" s="25" t="str">
        <f>IFERROR(__xludf.DUMMYFUNCTION("IFERROR(INDEX(FILTER('Kế hoạch chèn link (mới)'!$B$3:$B$2213,'Kế hoạch chèn link (mới)'!$D$3:$D$2213=$B349),1),"""")"),"https://techcombank.com/thong-tin/blog/thue-thu-nhap-doanh-nghiep")</f>
        <v>https://techcombank.com/thong-tin/blog/thue-thu-nhap-doanh-nghiep</v>
      </c>
      <c r="I349" s="25" t="str">
        <f>IFERROR(__xludf.DUMMYFUNCTION("IFERROR(INDEX(FILTER('Kế hoạch chèn link (mới)'!$C$3:$C$2213,'Kế hoạch chèn link (mới)'!$D$3:$D$2213=$B349),2),"""")"),"công thức tính thuế TNDN")</f>
        <v>công thức tính thuế TNDN</v>
      </c>
      <c r="J349" s="25" t="str">
        <f>IFERROR(__xludf.DUMMYFUNCTION("IFERROR(INDEX(FILTER('Kế hoạch chèn link (mới)'!$B$3:$B$2213,'Kế hoạch chèn link (mới)'!$D$3:$D$2213=$B349),2),"""")"),"https://techcombank.com/thong-tin/blog/cach-tinh-thue-thu-nhap-doanh-nghiep")</f>
        <v>https://techcombank.com/thong-tin/blog/cach-tinh-thue-thu-nhap-doanh-nghiep</v>
      </c>
      <c r="K349" s="25" t="str">
        <f>IFERROR(__xludf.DUMMYFUNCTION("IFERROR(INDEX(FILTER('Kế hoạch chèn link (mới)'!$C$3:$C$2213,'Kế hoạch chèn link (mới)'!$D$3:$D$2213=$B349),3),"""")"),"")</f>
        <v/>
      </c>
      <c r="L349" s="25" t="str">
        <f>IFERROR(__xludf.DUMMYFUNCTION("IFERROR(INDEX(FILTER('Kế hoạch chèn link (mới)'!$B$3:$B$2213,'Kế hoạch chèn link (mới)'!$D$3:$D$2213=$B349),3),"""")"),"")</f>
        <v/>
      </c>
      <c r="M349" s="25" t="str">
        <f>IFERROR(__xludf.DUMMYFUNCTION("IFERROR(INDEX(FILTER('Kế hoạch chèn link (mới)'!$C$3:$C$2213,'Kế hoạch chèn link (mới)'!$D$3:$D$2213=$B349),4),"""")"),"")</f>
        <v/>
      </c>
      <c r="N349" s="25" t="str">
        <f>IFERROR(__xludf.DUMMYFUNCTION("IFERROR(INDEX(FILTER('Kế hoạch chèn link (mới)'!$B$3:$B$2213,'Kế hoạch chèn link (mới)'!$D$3:$D$2213=$B349),4),"""")"),"")</f>
        <v/>
      </c>
      <c r="O349" s="25" t="str">
        <f>IFERROR(__xludf.DUMMYFUNCTION("IFERROR(INDEX(FILTER('Kế hoạch chèn link (mới)'!$C$3:$C$2213,'Kế hoạch chèn link (mới)'!$D$3:$D$2213=$B349),5),"""")"),"")</f>
        <v/>
      </c>
      <c r="P349" s="25" t="str">
        <f>IFERROR(__xludf.DUMMYFUNCTION("IFERROR(INDEX(FILTER('Kế hoạch chèn link (mới)'!$B$3:$B$2213,'Kế hoạch chèn link (mới)'!$D$3:$D$2213=$B349),5),"""")"),"")</f>
        <v/>
      </c>
    </row>
    <row r="350">
      <c r="A350" s="6">
        <f t="shared" si="1"/>
        <v>349</v>
      </c>
      <c r="B350" s="8" t="s">
        <v>766</v>
      </c>
      <c r="C350" s="6">
        <f>COUNTIF('Kế hoạch chèn link (mới)'!$D$3:$D$2213,$B350)</f>
        <v>2</v>
      </c>
      <c r="D350" s="8" t="str">
        <f>IF(COUNTIFS('Kế hoạch chèn link (mới)'!$D$3:$D$2213,$B350,'Kế hoạch chèn link (mới)'!$I$3:$I$2213,"Đã chèn")&gt;=$C350,"Đã hoàn thành",IF(COUNTIFS('Kế hoạch chèn link (mới)'!$D$3:$D$2213,$B350,'Kế hoạch chèn link (mới)'!$I$3:$I$2213,"Đã chèn")&gt;0,"Đang làm","Chưa hoàn thành"))</f>
        <v>Chưa hoàn thành</v>
      </c>
      <c r="E350" s="8" t="b">
        <f t="shared" si="2"/>
        <v>0</v>
      </c>
      <c r="F350" s="25"/>
      <c r="G350" s="25" t="str">
        <f>IFERROR(__xludf.DUMMYFUNCTION("IFERROR(INDEX(FILTER('Kế hoạch chèn link (mới)'!$C$3:$C$2213,'Kế hoạch chèn link (mới)'!$D$3:$D$2213=$B350),1),"""")"),"thuế thu nhập doanh nghiệp")</f>
        <v>thuế thu nhập doanh nghiệp</v>
      </c>
      <c r="H350" s="25" t="str">
        <f>IFERROR(__xludf.DUMMYFUNCTION("IFERROR(INDEX(FILTER('Kế hoạch chèn link (mới)'!$B$3:$B$2213,'Kế hoạch chèn link (mới)'!$D$3:$D$2213=$B350),1),"""")"),"https://techcombank.com/thong-tin/blog/thue-thu-nhap-doanh-nghiep")</f>
        <v>https://techcombank.com/thong-tin/blog/thue-thu-nhap-doanh-nghiep</v>
      </c>
      <c r="I350" s="25" t="str">
        <f>IFERROR(__xludf.DUMMYFUNCTION("IFERROR(INDEX(FILTER('Kế hoạch chèn link (mới)'!$C$3:$C$2213,'Kế hoạch chèn link (mới)'!$D$3:$D$2213=$B350),2),"""")"),"cách tính thuế TNDN")</f>
        <v>cách tính thuế TNDN</v>
      </c>
      <c r="J350" s="25" t="str">
        <f>IFERROR(__xludf.DUMMYFUNCTION("IFERROR(INDEX(FILTER('Kế hoạch chèn link (mới)'!$B$3:$B$2213,'Kế hoạch chèn link (mới)'!$D$3:$D$2213=$B350),2),"""")"),"https://techcombank.com/thong-tin/blog/cach-tinh-thue-thu-nhap-doanh-nghiep")</f>
        <v>https://techcombank.com/thong-tin/blog/cach-tinh-thue-thu-nhap-doanh-nghiep</v>
      </c>
      <c r="K350" s="25" t="str">
        <f>IFERROR(__xludf.DUMMYFUNCTION("IFERROR(INDEX(FILTER('Kế hoạch chèn link (mới)'!$C$3:$C$2213,'Kế hoạch chèn link (mới)'!$D$3:$D$2213=$B350),3),"""")"),"")</f>
        <v/>
      </c>
      <c r="L350" s="25" t="str">
        <f>IFERROR(__xludf.DUMMYFUNCTION("IFERROR(INDEX(FILTER('Kế hoạch chèn link (mới)'!$B$3:$B$2213,'Kế hoạch chèn link (mới)'!$D$3:$D$2213=$B350),3),"""")"),"")</f>
        <v/>
      </c>
      <c r="M350" s="25" t="str">
        <f>IFERROR(__xludf.DUMMYFUNCTION("IFERROR(INDEX(FILTER('Kế hoạch chèn link (mới)'!$C$3:$C$2213,'Kế hoạch chèn link (mới)'!$D$3:$D$2213=$B350),4),"""")"),"")</f>
        <v/>
      </c>
      <c r="N350" s="25" t="str">
        <f>IFERROR(__xludf.DUMMYFUNCTION("IFERROR(INDEX(FILTER('Kế hoạch chèn link (mới)'!$B$3:$B$2213,'Kế hoạch chèn link (mới)'!$D$3:$D$2213=$B350),4),"""")"),"")</f>
        <v/>
      </c>
      <c r="O350" s="25" t="str">
        <f>IFERROR(__xludf.DUMMYFUNCTION("IFERROR(INDEX(FILTER('Kế hoạch chèn link (mới)'!$C$3:$C$2213,'Kế hoạch chèn link (mới)'!$D$3:$D$2213=$B350),5),"""")"),"")</f>
        <v/>
      </c>
      <c r="P350" s="25" t="str">
        <f>IFERROR(__xludf.DUMMYFUNCTION("IFERROR(INDEX(FILTER('Kế hoạch chèn link (mới)'!$B$3:$B$2213,'Kế hoạch chèn link (mới)'!$D$3:$D$2213=$B350),5),"""")"),"")</f>
        <v/>
      </c>
    </row>
    <row r="351">
      <c r="A351" s="6">
        <f t="shared" si="1"/>
        <v>350</v>
      </c>
      <c r="B351" s="8" t="s">
        <v>2982</v>
      </c>
      <c r="C351" s="6">
        <f>COUNTIF('Kế hoạch chèn link (mới)'!$D$3:$D$2213,$B351)</f>
        <v>4</v>
      </c>
      <c r="D351" s="8" t="str">
        <f>IF(COUNTIFS('Kế hoạch chèn link (mới)'!$D$3:$D$2213,$B351,'Kế hoạch chèn link (mới)'!$I$3:$I$2213,"Đã chèn")&gt;=$C351,"Đã hoàn thành",IF(COUNTIFS('Kế hoạch chèn link (mới)'!$D$3:$D$2213,$B351,'Kế hoạch chèn link (mới)'!$I$3:$I$2213,"Đã chèn")&gt;0,"Đang làm","Chưa hoàn thành"))</f>
        <v>Chưa hoàn thành</v>
      </c>
      <c r="E351" s="8" t="b">
        <f t="shared" si="2"/>
        <v>0</v>
      </c>
      <c r="F351" s="25"/>
      <c r="G351" s="25" t="str">
        <f>IFERROR(__xludf.DUMMYFUNCTION("IFERROR(INDEX(FILTER('Kế hoạch chèn link (mới)'!$C$3:$C$2213,'Kế hoạch chèn link (mới)'!$D$3:$D$2213=$B351),1),"""")"),"thẻ tín dụng Techcombank Everyday")</f>
        <v>thẻ tín dụng Techcombank Everyday</v>
      </c>
      <c r="H351" s="25" t="str">
        <f>IFERROR(__xludf.DUMMYFUNCTION("IFERROR(INDEX(FILTER('Kế hoạch chèn link (mới)'!$B$3:$B$2213,'Kế hoạch chèn link (mới)'!$D$3:$D$2213=$B351),1),"""")"),"https://techcombank.com/khach-hang-ca-nhan/chi-tieu/the/the-tin-dung/techcombank-everyday")</f>
        <v>https://techcombank.com/khach-hang-ca-nhan/chi-tieu/the/the-tin-dung/techcombank-everyday</v>
      </c>
      <c r="I351" s="25" t="str">
        <f>IFERROR(__xludf.DUMMYFUNCTION("IFERROR(INDEX(FILTER('Kế hoạch chèn link (mới)'!$C$3:$C$2213,'Kế hoạch chèn link (mới)'!$D$3:$D$2213=$B351),2),"""")"),"tính lãi suất tiết kiệm")</f>
        <v>tính lãi suất tiết kiệm</v>
      </c>
      <c r="J351" s="25" t="str">
        <f>IFERROR(__xludf.DUMMYFUNCTION("IFERROR(INDEX(FILTER('Kế hoạch chèn link (mới)'!$B$3:$B$2213,'Kế hoạch chèn link (mới)'!$D$3:$D$2213=$B351),2),"""")"),"https://techcombank.com/thong-tin/blog/cach-tinh-lai-suat-tien-gui-tiet-kiem")</f>
        <v>https://techcombank.com/thong-tin/blog/cach-tinh-lai-suat-tien-gui-tiet-kiem</v>
      </c>
      <c r="K351" s="25" t="str">
        <f>IFERROR(__xludf.DUMMYFUNCTION("IFERROR(INDEX(FILTER('Kế hoạch chèn link (mới)'!$C$3:$C$2213,'Kế hoạch chèn link (mới)'!$D$3:$D$2213=$B351),3),"""")"),"bảng tính lãi suất tiết kiệm")</f>
        <v>bảng tính lãi suất tiết kiệm</v>
      </c>
      <c r="L351" s="25" t="str">
        <f>IFERROR(__xludf.DUMMYFUNCTION("IFERROR(INDEX(FILTER('Kế hoạch chèn link (mới)'!$B$3:$B$2213,'Kế hoạch chèn link (mới)'!$D$3:$D$2213=$B351),3),"""")"),"https://techcombank.com/cong-cu-tien-ich/cong-cu-tinh-toan/bang-tinh-lai-suat-tiet-kiem")</f>
        <v>https://techcombank.com/cong-cu-tien-ich/cong-cu-tinh-toan/bang-tinh-lai-suat-tiet-kiem</v>
      </c>
      <c r="M351" s="25" t="str">
        <f>IFERROR(__xludf.DUMMYFUNCTION("IFERROR(INDEX(FILTER('Kế hoạch chèn link (mới)'!$C$3:$C$2213,'Kế hoạch chèn link (mới)'!$D$3:$D$2213=$B351),4),"""")"),"lãi suất vay ngân hàng")</f>
        <v>lãi suất vay ngân hàng</v>
      </c>
      <c r="N351" s="25" t="str">
        <f>IFERROR(__xludf.DUMMYFUNCTION("IFERROR(INDEX(FILTER('Kế hoạch chèn link (mới)'!$B$3:$B$2213,'Kế hoạch chèn link (mới)'!$D$3:$D$2213=$B351),4),"""")"),"https://techcombank.com/thong-tin/blog/lai-suat-vay-ngan-hang")</f>
        <v>https://techcombank.com/thong-tin/blog/lai-suat-vay-ngan-hang</v>
      </c>
      <c r="O351" s="25" t="str">
        <f>IFERROR(__xludf.DUMMYFUNCTION("IFERROR(INDEX(FILTER('Kế hoạch chèn link (mới)'!$C$3:$C$2213,'Kế hoạch chèn link (mới)'!$D$3:$D$2213=$B351),5),"""")"),"")</f>
        <v/>
      </c>
      <c r="P351" s="25" t="str">
        <f>IFERROR(__xludf.DUMMYFUNCTION("IFERROR(INDEX(FILTER('Kế hoạch chèn link (mới)'!$B$3:$B$2213,'Kế hoạch chèn link (mới)'!$D$3:$D$2213=$B351),5),"""")"),"")</f>
        <v/>
      </c>
    </row>
    <row r="352">
      <c r="A352" s="6">
        <f t="shared" si="1"/>
        <v>351</v>
      </c>
      <c r="B352" s="8" t="s">
        <v>615</v>
      </c>
      <c r="C352" s="6">
        <f>COUNTIF('Kế hoạch chèn link (mới)'!$D$3:$D$2213,$B352)</f>
        <v>3</v>
      </c>
      <c r="D352" s="8" t="str">
        <f>IF(COUNTIFS('Kế hoạch chèn link (mới)'!$D$3:$D$2213,$B352,'Kế hoạch chèn link (mới)'!$I$3:$I$2213,"Đã chèn")&gt;=$C352,"Đã hoàn thành",IF(COUNTIFS('Kế hoạch chèn link (mới)'!$D$3:$D$2213,$B352,'Kế hoạch chèn link (mới)'!$I$3:$I$2213,"Đã chèn")&gt;0,"Đang làm","Chưa hoàn thành"))</f>
        <v>Chưa hoàn thành</v>
      </c>
      <c r="E352" s="8" t="b">
        <f t="shared" si="2"/>
        <v>0</v>
      </c>
      <c r="F352" s="25"/>
      <c r="G352" s="25" t="str">
        <f>IFERROR(__xludf.DUMMYFUNCTION("IFERROR(INDEX(FILTER('Kế hoạch chèn link (mới)'!$C$3:$C$2213,'Kế hoạch chèn link (mới)'!$D$3:$D$2213=$B352),1),"""")"),"nộp thuế hộ trên etax")</f>
        <v>nộp thuế hộ trên etax</v>
      </c>
      <c r="H352" s="25" t="str">
        <f>IFERROR(__xludf.DUMMYFUNCTION("IFERROR(INDEX(FILTER('Kế hoạch chèn link (mới)'!$B$3:$B$2213,'Kế hoạch chèn link (mới)'!$D$3:$D$2213=$B352),1),"""")"),"https://techcombank.com/thong-tin/blog/cach-nop-thue-dien-tu")</f>
        <v>https://techcombank.com/thong-tin/blog/cach-nop-thue-dien-tu</v>
      </c>
      <c r="I352" s="25" t="str">
        <f>IFERROR(__xludf.DUMMYFUNCTION("IFERROR(INDEX(FILTER('Kế hoạch chèn link (mới)'!$C$3:$C$2213,'Kế hoạch chèn link (mới)'!$D$3:$D$2213=$B352),2),"""")"),"thuế thu nhập doanh nghiệp 2026")</f>
        <v>thuế thu nhập doanh nghiệp 2026</v>
      </c>
      <c r="J352" s="25" t="str">
        <f>IFERROR(__xludf.DUMMYFUNCTION("IFERROR(INDEX(FILTER('Kế hoạch chèn link (mới)'!$B$3:$B$2213,'Kế hoạch chèn link (mới)'!$D$3:$D$2213=$B352),2),"""")"),"https://techcombank.com/thong-tin/blog/thue-thu-nhap-doanh-nghiep")</f>
        <v>https://techcombank.com/thong-tin/blog/thue-thu-nhap-doanh-nghiep</v>
      </c>
      <c r="K352" s="25" t="str">
        <f>IFERROR(__xludf.DUMMYFUNCTION("IFERROR(INDEX(FILTER('Kế hoạch chèn link (mới)'!$C$3:$C$2213,'Kế hoạch chèn link (mới)'!$D$3:$D$2213=$B352),3),"""")"),"thuế hộ kinh doanh")</f>
        <v>thuế hộ kinh doanh</v>
      </c>
      <c r="L352" s="25" t="str">
        <f>IFERROR(__xludf.DUMMYFUNCTION("IFERROR(INDEX(FILTER('Kế hoạch chèn link (mới)'!$B$3:$B$2213,'Kế hoạch chèn link (mới)'!$D$3:$D$2213=$B352),3),"""")"),"https://techcombank.com/thong-tin/blog/ho-kinh-doanh-dong-thue-nhu-nao")</f>
        <v>https://techcombank.com/thong-tin/blog/ho-kinh-doanh-dong-thue-nhu-nao</v>
      </c>
      <c r="M352" s="25" t="str">
        <f>IFERROR(__xludf.DUMMYFUNCTION("IFERROR(INDEX(FILTER('Kế hoạch chèn link (mới)'!$C$3:$C$2213,'Kế hoạch chèn link (mới)'!$D$3:$D$2213=$B352),4),"""")"),"")</f>
        <v/>
      </c>
      <c r="N352" s="25" t="str">
        <f>IFERROR(__xludf.DUMMYFUNCTION("IFERROR(INDEX(FILTER('Kế hoạch chèn link (mới)'!$B$3:$B$2213,'Kế hoạch chèn link (mới)'!$D$3:$D$2213=$B352),4),"""")"),"")</f>
        <v/>
      </c>
      <c r="O352" s="25" t="str">
        <f>IFERROR(__xludf.DUMMYFUNCTION("IFERROR(INDEX(FILTER('Kế hoạch chèn link (mới)'!$C$3:$C$2213,'Kế hoạch chèn link (mới)'!$D$3:$D$2213=$B352),5),"""")"),"")</f>
        <v/>
      </c>
      <c r="P352" s="25" t="str">
        <f>IFERROR(__xludf.DUMMYFUNCTION("IFERROR(INDEX(FILTER('Kế hoạch chèn link (mới)'!$B$3:$B$2213,'Kế hoạch chèn link (mới)'!$D$3:$D$2213=$B352),5),"""")"),"")</f>
        <v/>
      </c>
    </row>
    <row r="353">
      <c r="A353" s="6">
        <f t="shared" si="1"/>
        <v>352</v>
      </c>
      <c r="B353" s="8" t="s">
        <v>811</v>
      </c>
      <c r="C353" s="6">
        <f>COUNTIF('Kế hoạch chèn link (mới)'!$D$3:$D$2213,$B353)</f>
        <v>4</v>
      </c>
      <c r="D353" s="8" t="str">
        <f>IF(COUNTIFS('Kế hoạch chèn link (mới)'!$D$3:$D$2213,$B353,'Kế hoạch chèn link (mới)'!$I$3:$I$2213,"Đã chèn")&gt;=$C353,"Đã hoàn thành",IF(COUNTIFS('Kế hoạch chèn link (mới)'!$D$3:$D$2213,$B353,'Kế hoạch chèn link (mới)'!$I$3:$I$2213,"Đã chèn")&gt;0,"Đang làm","Chưa hoàn thành"))</f>
        <v>Chưa hoàn thành</v>
      </c>
      <c r="E353" s="8" t="b">
        <f t="shared" si="2"/>
        <v>0</v>
      </c>
      <c r="F353" s="25"/>
      <c r="G353" s="25" t="str">
        <f>IFERROR(__xludf.DUMMYFUNCTION("IFERROR(INDEX(FILTER('Kế hoạch chèn link (mới)'!$C$3:$C$2213,'Kế hoạch chèn link (mới)'!$D$3:$D$2213=$B353),1),"""")"),"thuế thu nhập doanh nghiệp")</f>
        <v>thuế thu nhập doanh nghiệp</v>
      </c>
      <c r="H353" s="25" t="str">
        <f>IFERROR(__xludf.DUMMYFUNCTION("IFERROR(INDEX(FILTER('Kế hoạch chèn link (mới)'!$B$3:$B$2213,'Kế hoạch chèn link (mới)'!$D$3:$D$2213=$B353),1),"""")"),"https://techcombank.com/thong-tin/blog/thue-thu-nhap-doanh-nghiep")</f>
        <v>https://techcombank.com/thong-tin/blog/thue-thu-nhap-doanh-nghiep</v>
      </c>
      <c r="I353" s="25" t="str">
        <f>IFERROR(__xludf.DUMMYFUNCTION("IFERROR(INDEX(FILTER('Kế hoạch chèn link (mới)'!$C$3:$C$2213,'Kế hoạch chèn link (mới)'!$D$3:$D$2213=$B353),2),"""")"),"thuế thu nhập cá nhân")</f>
        <v>thuế thu nhập cá nhân</v>
      </c>
      <c r="J353" s="25" t="str">
        <f>IFERROR(__xludf.DUMMYFUNCTION("IFERROR(INDEX(FILTER('Kế hoạch chèn link (mới)'!$B$3:$B$2213,'Kế hoạch chèn link (mới)'!$D$3:$D$2213=$B353),2),"""")"),"https://techcombank.com/thong-tin/blog/cach-tinh-thue-thu-nhap-ca-nhan-2025")</f>
        <v>https://techcombank.com/thong-tin/blog/cach-tinh-thue-thu-nhap-ca-nhan-2025</v>
      </c>
      <c r="K353" s="25" t="str">
        <f>IFERROR(__xludf.DUMMYFUNCTION("IFERROR(INDEX(FILTER('Kế hoạch chèn link (mới)'!$C$3:$C$2213,'Kế hoạch chèn link (mới)'!$D$3:$D$2213=$B353),3),"""")"),"thuế hộ kinh doanh")</f>
        <v>thuế hộ kinh doanh</v>
      </c>
      <c r="L353" s="25" t="str">
        <f>IFERROR(__xludf.DUMMYFUNCTION("IFERROR(INDEX(FILTER('Kế hoạch chèn link (mới)'!$B$3:$B$2213,'Kế hoạch chèn link (mới)'!$D$3:$D$2213=$B353),3),"""")"),"https://techcombank.com/thong-tin/blog/ho-kinh-doanh-dong-thue-nhu-nao")</f>
        <v>https://techcombank.com/thong-tin/blog/ho-kinh-doanh-dong-thue-nhu-nao</v>
      </c>
      <c r="M353" s="25" t="str">
        <f>IFERROR(__xludf.DUMMYFUNCTION("IFERROR(INDEX(FILTER('Kế hoạch chèn link (mới)'!$C$3:$C$2213,'Kế hoạch chèn link (mới)'!$D$3:$D$2213=$B353),4),"""")"),"cách tính thuế hộ kinh doanh")</f>
        <v>cách tính thuế hộ kinh doanh</v>
      </c>
      <c r="N353" s="25" t="str">
        <f>IFERROR(__xludf.DUMMYFUNCTION("IFERROR(INDEX(FILTER('Kế hoạch chèn link (mới)'!$B$3:$B$2213,'Kế hoạch chèn link (mới)'!$D$3:$D$2213=$B353),4),"""")"),"https://techcombank.com/thong-tin/blog/cach-tinh-thue-ho-kinh-doanh-nho-le")</f>
        <v>https://techcombank.com/thong-tin/blog/cach-tinh-thue-ho-kinh-doanh-nho-le</v>
      </c>
      <c r="O353" s="25" t="str">
        <f>IFERROR(__xludf.DUMMYFUNCTION("IFERROR(INDEX(FILTER('Kế hoạch chèn link (mới)'!$C$3:$C$2213,'Kế hoạch chèn link (mới)'!$D$3:$D$2213=$B353),5),"""")"),"")</f>
        <v/>
      </c>
      <c r="P353" s="25" t="str">
        <f>IFERROR(__xludf.DUMMYFUNCTION("IFERROR(INDEX(FILTER('Kế hoạch chèn link (mới)'!$B$3:$B$2213,'Kế hoạch chèn link (mới)'!$D$3:$D$2213=$B353),5),"""")"),"")</f>
        <v/>
      </c>
    </row>
    <row r="354">
      <c r="A354" s="6">
        <f t="shared" si="1"/>
        <v>353</v>
      </c>
      <c r="B354" s="8" t="s">
        <v>494</v>
      </c>
      <c r="C354" s="6">
        <f>COUNTIF('Kế hoạch chèn link (mới)'!$D$3:$D$2213,$B354)</f>
        <v>5</v>
      </c>
      <c r="D354" s="8" t="str">
        <f>IF(COUNTIFS('Kế hoạch chèn link (mới)'!$D$3:$D$2213,$B354,'Kế hoạch chèn link (mới)'!$I$3:$I$2213,"Đã chèn")&gt;=$C354,"Đã hoàn thành",IF(COUNTIFS('Kế hoạch chèn link (mới)'!$D$3:$D$2213,$B354,'Kế hoạch chèn link (mới)'!$I$3:$I$2213,"Đã chèn")&gt;0,"Đang làm","Chưa hoàn thành"))</f>
        <v>Chưa hoàn thành</v>
      </c>
      <c r="E354" s="8" t="b">
        <f t="shared" si="2"/>
        <v>0</v>
      </c>
      <c r="F354" s="25"/>
      <c r="G354" s="25" t="str">
        <f>IFERROR(__xludf.DUMMYFUNCTION("IFERROR(INDEX(FILTER('Kế hoạch chèn link (mới)'!$C$3:$C$2213,'Kế hoạch chèn link (mới)'!$D$3:$D$2213=$B354),1),"""")"),"nộp thuế đất online")</f>
        <v>nộp thuế đất online</v>
      </c>
      <c r="H354" s="25" t="str">
        <f>IFERROR(__xludf.DUMMYFUNCTION("IFERROR(INDEX(FILTER('Kế hoạch chèn link (mới)'!$B$3:$B$2213,'Kế hoạch chèn link (mới)'!$D$3:$D$2213=$B354),1),"""")"),"https://techcombank.com/thong-tin/blog/nop-thue-dat-qua-ngan-hang")</f>
        <v>https://techcombank.com/thong-tin/blog/nop-thue-dat-qua-ngan-hang</v>
      </c>
      <c r="I354" s="25" t="str">
        <f>IFERROR(__xludf.DUMMYFUNCTION("IFERROR(INDEX(FILTER('Kế hoạch chèn link (mới)'!$C$3:$C$2213,'Kế hoạch chèn link (mới)'!$D$3:$D$2213=$B354),2),"""")"),"thuế thu nhập doanh nghiệp")</f>
        <v>thuế thu nhập doanh nghiệp</v>
      </c>
      <c r="J354" s="25" t="str">
        <f>IFERROR(__xludf.DUMMYFUNCTION("IFERROR(INDEX(FILTER('Kế hoạch chèn link (mới)'!$B$3:$B$2213,'Kế hoạch chèn link (mới)'!$D$3:$D$2213=$B354),2),"""")"),"https://techcombank.com/thong-tin/blog/thue-thu-nhap-doanh-nghiep")</f>
        <v>https://techcombank.com/thong-tin/blog/thue-thu-nhap-doanh-nghiep</v>
      </c>
      <c r="K354" s="25" t="str">
        <f>IFERROR(__xludf.DUMMYFUNCTION("IFERROR(INDEX(FILTER('Kế hoạch chèn link (mới)'!$C$3:$C$2213,'Kế hoạch chèn link (mới)'!$D$3:$D$2213=$B354),3),"""")"),"công ty dùng tài khoản cá nhân có được không")</f>
        <v>công ty dùng tài khoản cá nhân có được không</v>
      </c>
      <c r="L354" s="25" t="str">
        <f>IFERROR(__xludf.DUMMYFUNCTION("IFERROR(INDEX(FILTER('Kế hoạch chèn link (mới)'!$B$3:$B$2213,'Kế hoạch chèn link (mới)'!$D$3:$D$2213=$B354),3),"""")"),"https://techcombank.com/thong-tin/blog/cong-ty-su-dung-tai-khoan-ca-nhan")</f>
        <v>https://techcombank.com/thong-tin/blog/cong-ty-su-dung-tai-khoan-ca-nhan</v>
      </c>
      <c r="M354" s="25" t="str">
        <f>IFERROR(__xludf.DUMMYFUNCTION("IFERROR(INDEX(FILTER('Kế hoạch chèn link (mới)'!$C$3:$C$2213,'Kế hoạch chèn link (mới)'!$D$3:$D$2213=$B354),4),"""")"),"cách tính thuế thu nhập doanh nghiệp")</f>
        <v>cách tính thuế thu nhập doanh nghiệp</v>
      </c>
      <c r="N354" s="25" t="str">
        <f>IFERROR(__xludf.DUMMYFUNCTION("IFERROR(INDEX(FILTER('Kế hoạch chèn link (mới)'!$B$3:$B$2213,'Kế hoạch chèn link (mới)'!$D$3:$D$2213=$B354),4),"""")"),"https://techcombank.com/thong-tin/blog/cach-tinh-thue-thu-nhap-doanh-nghiep")</f>
        <v>https://techcombank.com/thong-tin/blog/cach-tinh-thue-thu-nhap-doanh-nghiep</v>
      </c>
      <c r="O354" s="25" t="str">
        <f>IFERROR(__xludf.DUMMYFUNCTION("IFERROR(INDEX(FILTER('Kế hoạch chèn link (mới)'!$C$3:$C$2213,'Kế hoạch chèn link (mới)'!$D$3:$D$2213=$B354),5),"""")"),"chuyển khoản thành công nhưng không nhận được tiền")</f>
        <v>chuyển khoản thành công nhưng không nhận được tiền</v>
      </c>
      <c r="P354" s="25" t="str">
        <f>IFERROR(__xludf.DUMMYFUNCTION("IFERROR(INDEX(FILTER('Kế hoạch chèn link (mới)'!$B$3:$B$2213,'Kế hoạch chèn link (mới)'!$D$3:$D$2213=$B354),5),"""")"),"https://techcombank.com/thong-tin/blog/chuyen-khoan-thanh-cong-nhung-khong-nhan-duoc-tien")</f>
        <v>https://techcombank.com/thong-tin/blog/chuyen-khoan-thanh-cong-nhung-khong-nhan-duoc-tien</v>
      </c>
    </row>
    <row r="355">
      <c r="A355" s="6">
        <f t="shared" si="1"/>
        <v>354</v>
      </c>
      <c r="B355" s="8" t="s">
        <v>2985</v>
      </c>
      <c r="C355" s="6">
        <f>COUNTIF('Kế hoạch chèn link (mới)'!$D$3:$D$2213,$B355)</f>
        <v>2</v>
      </c>
      <c r="D355" s="8" t="str">
        <f>IF(COUNTIFS('Kế hoạch chèn link (mới)'!$D$3:$D$2213,$B355,'Kế hoạch chèn link (mới)'!$I$3:$I$2213,"Đã chèn")&gt;=$C355,"Đã hoàn thành",IF(COUNTIFS('Kế hoạch chèn link (mới)'!$D$3:$D$2213,$B355,'Kế hoạch chèn link (mới)'!$I$3:$I$2213,"Đã chèn")&gt;0,"Đang làm","Chưa hoàn thành"))</f>
        <v>Chưa hoàn thành</v>
      </c>
      <c r="E355" s="8" t="b">
        <f t="shared" si="2"/>
        <v>0</v>
      </c>
      <c r="F355" s="25"/>
      <c r="G355" s="25" t="str">
        <f>IFERROR(__xludf.DUMMYFUNCTION("IFERROR(INDEX(FILTER('Kế hoạch chèn link (mới)'!$C$3:$C$2213,'Kế hoạch chèn link (mới)'!$D$3:$D$2213=$B355),1),"""")"),"cic là gì")</f>
        <v>cic là gì</v>
      </c>
      <c r="H355" s="25" t="str">
        <f>IFERROR(__xludf.DUMMYFUNCTION("IFERROR(INDEX(FILTER('Kế hoạch chèn link (mới)'!$B$3:$B$2213,'Kế hoạch chèn link (mới)'!$D$3:$D$2213=$B355),1),"""")"),"https://techcombank.com/thong-tin/blog/cic-la-gi")</f>
        <v>https://techcombank.com/thong-tin/blog/cic-la-gi</v>
      </c>
      <c r="I355" s="25" t="str">
        <f>IFERROR(__xludf.DUMMYFUNCTION("IFERROR(INDEX(FILTER('Kế hoạch chèn link (mới)'!$C$3:$C$2213,'Kế hoạch chèn link (mới)'!$D$3:$D$2213=$B355),2),"""")"),"xếp hạng tín dụng cá nhân")</f>
        <v>xếp hạng tín dụng cá nhân</v>
      </c>
      <c r="J355" s="25" t="str">
        <f>IFERROR(__xludf.DUMMYFUNCTION("IFERROR(INDEX(FILTER('Kế hoạch chèn link (mới)'!$B$3:$B$2213,'Kế hoạch chèn link (mới)'!$D$3:$D$2213=$B355),2),"""")"),"https://techcombank.com/thong-tin/blog/xep-hang-tin-dung")</f>
        <v>https://techcombank.com/thong-tin/blog/xep-hang-tin-dung</v>
      </c>
      <c r="K355" s="25" t="str">
        <f>IFERROR(__xludf.DUMMYFUNCTION("IFERROR(INDEX(FILTER('Kế hoạch chèn link (mới)'!$C$3:$C$2213,'Kế hoạch chèn link (mới)'!$D$3:$D$2213=$B355),3),"""")"),"")</f>
        <v/>
      </c>
      <c r="L355" s="25" t="str">
        <f>IFERROR(__xludf.DUMMYFUNCTION("IFERROR(INDEX(FILTER('Kế hoạch chèn link (mới)'!$B$3:$B$2213,'Kế hoạch chèn link (mới)'!$D$3:$D$2213=$B355),3),"""")"),"")</f>
        <v/>
      </c>
      <c r="M355" s="25" t="str">
        <f>IFERROR(__xludf.DUMMYFUNCTION("IFERROR(INDEX(FILTER('Kế hoạch chèn link (mới)'!$C$3:$C$2213,'Kế hoạch chèn link (mới)'!$D$3:$D$2213=$B355),4),"""")"),"")</f>
        <v/>
      </c>
      <c r="N355" s="25" t="str">
        <f>IFERROR(__xludf.DUMMYFUNCTION("IFERROR(INDEX(FILTER('Kế hoạch chèn link (mới)'!$B$3:$B$2213,'Kế hoạch chèn link (mới)'!$D$3:$D$2213=$B355),4),"""")"),"")</f>
        <v/>
      </c>
      <c r="O355" s="25" t="str">
        <f>IFERROR(__xludf.DUMMYFUNCTION("IFERROR(INDEX(FILTER('Kế hoạch chèn link (mới)'!$C$3:$C$2213,'Kế hoạch chèn link (mới)'!$D$3:$D$2213=$B355),5),"""")"),"")</f>
        <v/>
      </c>
      <c r="P355" s="25" t="str">
        <f>IFERROR(__xludf.DUMMYFUNCTION("IFERROR(INDEX(FILTER('Kế hoạch chèn link (mới)'!$B$3:$B$2213,'Kế hoạch chèn link (mới)'!$D$3:$D$2213=$B355),5),"""")"),"")</f>
        <v/>
      </c>
    </row>
    <row r="356">
      <c r="A356" s="6">
        <f t="shared" si="1"/>
        <v>355</v>
      </c>
      <c r="B356" s="8" t="s">
        <v>2987</v>
      </c>
      <c r="C356" s="6">
        <f>COUNTIF('Kế hoạch chèn link (mới)'!$D$3:$D$2213,$B356)</f>
        <v>2</v>
      </c>
      <c r="D356" s="8" t="str">
        <f>IF(COUNTIFS('Kế hoạch chèn link (mới)'!$D$3:$D$2213,$B356,'Kế hoạch chèn link (mới)'!$I$3:$I$2213,"Đã chèn")&gt;=$C356,"Đã hoàn thành",IF(COUNTIFS('Kế hoạch chèn link (mới)'!$D$3:$D$2213,$B356,'Kế hoạch chèn link (mới)'!$I$3:$I$2213,"Đã chèn")&gt;0,"Đang làm","Chưa hoàn thành"))</f>
        <v>Chưa hoàn thành</v>
      </c>
      <c r="E356" s="8" t="b">
        <f t="shared" si="2"/>
        <v>0</v>
      </c>
      <c r="F356" s="25"/>
      <c r="G356" s="25" t="str">
        <f>IFERROR(__xludf.DUMMYFUNCTION("IFERROR(INDEX(FILTER('Kế hoạch chèn link (mới)'!$C$3:$C$2213,'Kế hoạch chèn link (mới)'!$D$3:$D$2213=$B356),1),"""")"),"lãi suất tiền gửi ngân hàng")</f>
        <v>lãi suất tiền gửi ngân hàng</v>
      </c>
      <c r="H356" s="25" t="str">
        <f>IFERROR(__xludf.DUMMYFUNCTION("IFERROR(INDEX(FILTER('Kế hoạch chèn link (mới)'!$B$3:$B$2213,'Kế hoạch chèn link (mới)'!$D$3:$D$2213=$B356),1),"""")"),"https://techcombank.com/thong-tin/blog/lai-suat-tiet-kiem")</f>
        <v>https://techcombank.com/thong-tin/blog/lai-suat-tiet-kiem</v>
      </c>
      <c r="I356" s="25" t="str">
        <f>IFERROR(__xludf.DUMMYFUNCTION("IFERROR(INDEX(FILTER('Kế hoạch chèn link (mới)'!$C$3:$C$2213,'Kế hoạch chèn link (mới)'!$D$3:$D$2213=$B356),2),"""")"),"tính lãi suất ngân hàng")</f>
        <v>tính lãi suất ngân hàng</v>
      </c>
      <c r="J356" s="25" t="str">
        <f>IFERROR(__xludf.DUMMYFUNCTION("IFERROR(INDEX(FILTER('Kế hoạch chèn link (mới)'!$B$3:$B$2213,'Kế hoạch chèn link (mới)'!$D$3:$D$2213=$B356),2),"""")"),"https://techcombank.com/thong-tin/blog/cach-tinh-lai-suat-tien-gui-tiet-kiem")</f>
        <v>https://techcombank.com/thong-tin/blog/cach-tinh-lai-suat-tien-gui-tiet-kiem</v>
      </c>
      <c r="K356" s="25" t="str">
        <f>IFERROR(__xludf.DUMMYFUNCTION("IFERROR(INDEX(FILTER('Kế hoạch chèn link (mới)'!$C$3:$C$2213,'Kế hoạch chèn link (mới)'!$D$3:$D$2213=$B356),3),"""")"),"")</f>
        <v/>
      </c>
      <c r="L356" s="25" t="str">
        <f>IFERROR(__xludf.DUMMYFUNCTION("IFERROR(INDEX(FILTER('Kế hoạch chèn link (mới)'!$B$3:$B$2213,'Kế hoạch chèn link (mới)'!$D$3:$D$2213=$B356),3),"""")"),"")</f>
        <v/>
      </c>
      <c r="M356" s="25" t="str">
        <f>IFERROR(__xludf.DUMMYFUNCTION("IFERROR(INDEX(FILTER('Kế hoạch chèn link (mới)'!$C$3:$C$2213,'Kế hoạch chèn link (mới)'!$D$3:$D$2213=$B356),4),"""")"),"")</f>
        <v/>
      </c>
      <c r="N356" s="25" t="str">
        <f>IFERROR(__xludf.DUMMYFUNCTION("IFERROR(INDEX(FILTER('Kế hoạch chèn link (mới)'!$B$3:$B$2213,'Kế hoạch chèn link (mới)'!$D$3:$D$2213=$B356),4),"""")"),"")</f>
        <v/>
      </c>
      <c r="O356" s="25" t="str">
        <f>IFERROR(__xludf.DUMMYFUNCTION("IFERROR(INDEX(FILTER('Kế hoạch chèn link (mới)'!$C$3:$C$2213,'Kế hoạch chèn link (mới)'!$D$3:$D$2213=$B356),5),"""")"),"")</f>
        <v/>
      </c>
      <c r="P356" s="25" t="str">
        <f>IFERROR(__xludf.DUMMYFUNCTION("IFERROR(INDEX(FILTER('Kế hoạch chèn link (mới)'!$B$3:$B$2213,'Kế hoạch chèn link (mới)'!$D$3:$D$2213=$B356),5),"""")"),"")</f>
        <v/>
      </c>
    </row>
    <row r="357">
      <c r="A357" s="6">
        <f t="shared" si="1"/>
        <v>356</v>
      </c>
      <c r="B357" s="8" t="s">
        <v>2988</v>
      </c>
      <c r="C357" s="6">
        <f>COUNTIF('Kế hoạch chèn link (mới)'!$D$3:$D$2213,$B357)</f>
        <v>3</v>
      </c>
      <c r="D357" s="8" t="str">
        <f>IF(COUNTIFS('Kế hoạch chèn link (mới)'!$D$3:$D$2213,$B357,'Kế hoạch chèn link (mới)'!$I$3:$I$2213,"Đã chèn")&gt;=$C357,"Đã hoàn thành",IF(COUNTIFS('Kế hoạch chèn link (mới)'!$D$3:$D$2213,$B357,'Kế hoạch chèn link (mới)'!$I$3:$I$2213,"Đã chèn")&gt;0,"Đang làm","Chưa hoàn thành"))</f>
        <v>Chưa hoàn thành</v>
      </c>
      <c r="E357" s="8" t="b">
        <f t="shared" si="2"/>
        <v>0</v>
      </c>
      <c r="F357" s="25"/>
      <c r="G357" s="25" t="str">
        <f>IFERROR(__xludf.DUMMYFUNCTION("IFERROR(INDEX(FILTER('Kế hoạch chèn link (mới)'!$C$3:$C$2213,'Kế hoạch chèn link (mới)'!$D$3:$D$2213=$B357),1),"""")"),"mở thẻ tín dụng")</f>
        <v>mở thẻ tín dụng</v>
      </c>
      <c r="H357" s="25" t="str">
        <f>IFERROR(__xludf.DUMMYFUNCTION("IFERROR(INDEX(FILTER('Kế hoạch chèn link (mới)'!$B$3:$B$2213,'Kế hoạch chèn link (mới)'!$D$3:$D$2213=$B357),1),"""")"),"https://techcombank.com/thong-tin/blog/lam-the-tin-dung")</f>
        <v>https://techcombank.com/thong-tin/blog/lam-the-tin-dung</v>
      </c>
      <c r="I357" s="25" t="str">
        <f>IFERROR(__xludf.DUMMYFUNCTION("IFERROR(INDEX(FILTER('Kế hoạch chèn link (mới)'!$C$3:$C$2213,'Kế hoạch chèn link (mới)'!$D$3:$D$2213=$B357),2),"""")"),"thẻ tín dụng Techcombank Everyday")</f>
        <v>thẻ tín dụng Techcombank Everyday</v>
      </c>
      <c r="J357" s="25" t="str">
        <f>IFERROR(__xludf.DUMMYFUNCTION("IFERROR(INDEX(FILTER('Kế hoạch chèn link (mới)'!$B$3:$B$2213,'Kế hoạch chèn link (mới)'!$D$3:$D$2213=$B357),2),"""")"),"https://techcombank.com/khach-hang-ca-nhan/chi-tieu/the/the-tin-dung/techcombank-everyday")</f>
        <v>https://techcombank.com/khach-hang-ca-nhan/chi-tieu/the/the-tin-dung/techcombank-everyday</v>
      </c>
      <c r="K357" s="25" t="str">
        <f>IFERROR(__xludf.DUMMYFUNCTION("IFERROR(INDEX(FILTER('Kế hoạch chèn link (mới)'!$C$3:$C$2213,'Kế hoạch chèn link (mới)'!$D$3:$D$2213=$B357),3),"""")"),"thẻ tín dụng hoàn tiền")</f>
        <v>thẻ tín dụng hoàn tiền</v>
      </c>
      <c r="L357" s="25" t="str">
        <f>IFERROR(__xludf.DUMMYFUNCTION("IFERROR(INDEX(FILTER('Kế hoạch chèn link (mới)'!$B$3:$B$2213,'Kế hoạch chèn link (mới)'!$D$3:$D$2213=$B357),3),"""")"),"https://techcombank.com/thong-tin/blog/the-tin-dung-hoan-tien")</f>
        <v>https://techcombank.com/thong-tin/blog/the-tin-dung-hoan-tien</v>
      </c>
      <c r="M357" s="25" t="str">
        <f>IFERROR(__xludf.DUMMYFUNCTION("IFERROR(INDEX(FILTER('Kế hoạch chèn link (mới)'!$C$3:$C$2213,'Kế hoạch chèn link (mới)'!$D$3:$D$2213=$B357),4),"""")"),"")</f>
        <v/>
      </c>
      <c r="N357" s="25" t="str">
        <f>IFERROR(__xludf.DUMMYFUNCTION("IFERROR(INDEX(FILTER('Kế hoạch chèn link (mới)'!$B$3:$B$2213,'Kế hoạch chèn link (mới)'!$D$3:$D$2213=$B357),4),"""")"),"")</f>
        <v/>
      </c>
      <c r="O357" s="25" t="str">
        <f>IFERROR(__xludf.DUMMYFUNCTION("IFERROR(INDEX(FILTER('Kế hoạch chèn link (mới)'!$C$3:$C$2213,'Kế hoạch chèn link (mới)'!$D$3:$D$2213=$B357),5),"""")"),"")</f>
        <v/>
      </c>
      <c r="P357" s="25" t="str">
        <f>IFERROR(__xludf.DUMMYFUNCTION("IFERROR(INDEX(FILTER('Kế hoạch chèn link (mới)'!$B$3:$B$2213,'Kế hoạch chèn link (mới)'!$D$3:$D$2213=$B357),5),"""")"),"")</f>
        <v/>
      </c>
    </row>
    <row r="358">
      <c r="A358" s="6">
        <f t="shared" si="1"/>
        <v>357</v>
      </c>
      <c r="B358" s="8" t="s">
        <v>2989</v>
      </c>
      <c r="C358" s="6">
        <f>COUNTIF('Kế hoạch chèn link (mới)'!$D$3:$D$2213,$B358)</f>
        <v>1</v>
      </c>
      <c r="D358" s="8" t="str">
        <f>IF(COUNTIFS('Kế hoạch chèn link (mới)'!$D$3:$D$2213,$B358,'Kế hoạch chèn link (mới)'!$I$3:$I$2213,"Đã chèn")&gt;=$C358,"Đã hoàn thành",IF(COUNTIFS('Kế hoạch chèn link (mới)'!$D$3:$D$2213,$B358,'Kế hoạch chèn link (mới)'!$I$3:$I$2213,"Đã chèn")&gt;0,"Đang làm","Chưa hoàn thành"))</f>
        <v>Chưa hoàn thành</v>
      </c>
      <c r="E358" s="8" t="b">
        <f t="shared" si="2"/>
        <v>0</v>
      </c>
      <c r="F358" s="25"/>
      <c r="G358" s="25" t="str">
        <f>IFERROR(__xludf.DUMMYFUNCTION("IFERROR(INDEX(FILTER('Kế hoạch chèn link (mới)'!$C$3:$C$2213,'Kế hoạch chèn link (mới)'!$D$3:$D$2213=$B358),1),"""")"),"cách lấy voucher Traveloka")</f>
        <v>cách lấy voucher Traveloka</v>
      </c>
      <c r="H358" s="25" t="str">
        <f>IFERROR(__xludf.DUMMYFUNCTION("IFERROR(INDEX(FILTER('Kế hoạch chèn link (mới)'!$B$3:$B$2213,'Kế hoạch chèn link (mới)'!$D$3:$D$2213=$B358),1),"""")"),"https://techcombank.com/thong-tin/blog/traveloka-voucher")</f>
        <v>https://techcombank.com/thong-tin/blog/traveloka-voucher</v>
      </c>
      <c r="I358" s="25" t="str">
        <f>IFERROR(__xludf.DUMMYFUNCTION("IFERROR(INDEX(FILTER('Kế hoạch chèn link (mới)'!$C$3:$C$2213,'Kế hoạch chèn link (mới)'!$D$3:$D$2213=$B358),2),"""")"),"")</f>
        <v/>
      </c>
      <c r="J358" s="25" t="str">
        <f>IFERROR(__xludf.DUMMYFUNCTION("IFERROR(INDEX(FILTER('Kế hoạch chèn link (mới)'!$B$3:$B$2213,'Kế hoạch chèn link (mới)'!$D$3:$D$2213=$B358),2),"""")"),"")</f>
        <v/>
      </c>
      <c r="K358" s="25" t="str">
        <f>IFERROR(__xludf.DUMMYFUNCTION("IFERROR(INDEX(FILTER('Kế hoạch chèn link (mới)'!$C$3:$C$2213,'Kế hoạch chèn link (mới)'!$D$3:$D$2213=$B358),3),"""")"),"")</f>
        <v/>
      </c>
      <c r="L358" s="25" t="str">
        <f>IFERROR(__xludf.DUMMYFUNCTION("IFERROR(INDEX(FILTER('Kế hoạch chèn link (mới)'!$B$3:$B$2213,'Kế hoạch chèn link (mới)'!$D$3:$D$2213=$B358),3),"""")"),"")</f>
        <v/>
      </c>
      <c r="M358" s="25" t="str">
        <f>IFERROR(__xludf.DUMMYFUNCTION("IFERROR(INDEX(FILTER('Kế hoạch chèn link (mới)'!$C$3:$C$2213,'Kế hoạch chèn link (mới)'!$D$3:$D$2213=$B358),4),"""")"),"")</f>
        <v/>
      </c>
      <c r="N358" s="25" t="str">
        <f>IFERROR(__xludf.DUMMYFUNCTION("IFERROR(INDEX(FILTER('Kế hoạch chèn link (mới)'!$B$3:$B$2213,'Kế hoạch chèn link (mới)'!$D$3:$D$2213=$B358),4),"""")"),"")</f>
        <v/>
      </c>
      <c r="O358" s="25" t="str">
        <f>IFERROR(__xludf.DUMMYFUNCTION("IFERROR(INDEX(FILTER('Kế hoạch chèn link (mới)'!$C$3:$C$2213,'Kế hoạch chèn link (mới)'!$D$3:$D$2213=$B358),5),"""")"),"")</f>
        <v/>
      </c>
      <c r="P358" s="25" t="str">
        <f>IFERROR(__xludf.DUMMYFUNCTION("IFERROR(INDEX(FILTER('Kế hoạch chèn link (mới)'!$B$3:$B$2213,'Kế hoạch chèn link (mới)'!$D$3:$D$2213=$B358),5),"""")"),"")</f>
        <v/>
      </c>
    </row>
    <row r="359">
      <c r="A359" s="6">
        <f t="shared" si="1"/>
        <v>358</v>
      </c>
      <c r="B359" s="8" t="s">
        <v>2990</v>
      </c>
      <c r="C359" s="6">
        <f>COUNTIF('Kế hoạch chèn link (mới)'!$D$3:$D$2213,$B359)</f>
        <v>1</v>
      </c>
      <c r="D359" s="8" t="str">
        <f>IF(COUNTIFS('Kế hoạch chèn link (mới)'!$D$3:$D$2213,$B359,'Kế hoạch chèn link (mới)'!$I$3:$I$2213,"Đã chèn")&gt;=$C359,"Đã hoàn thành",IF(COUNTIFS('Kế hoạch chèn link (mới)'!$D$3:$D$2213,$B359,'Kế hoạch chèn link (mới)'!$I$3:$I$2213,"Đã chèn")&gt;0,"Đang làm","Chưa hoàn thành"))</f>
        <v>Chưa hoàn thành</v>
      </c>
      <c r="E359" s="8" t="b">
        <f t="shared" si="2"/>
        <v>0</v>
      </c>
      <c r="F359" s="25"/>
      <c r="G359" s="25" t="str">
        <f>IFERROR(__xludf.DUMMYFUNCTION("IFERROR(INDEX(FILTER('Kế hoạch chèn link (mới)'!$C$3:$C$2213,'Kế hoạch chèn link (mới)'!$D$3:$D$2213=$B359),1),"""")"),"cách lấy voucher Traveloka")</f>
        <v>cách lấy voucher Traveloka</v>
      </c>
      <c r="H359" s="25" t="str">
        <f>IFERROR(__xludf.DUMMYFUNCTION("IFERROR(INDEX(FILTER('Kế hoạch chèn link (mới)'!$B$3:$B$2213,'Kế hoạch chèn link (mới)'!$D$3:$D$2213=$B359),1),"""")"),"https://techcombank.com/thong-tin/blog/traveloka-voucher")</f>
        <v>https://techcombank.com/thong-tin/blog/traveloka-voucher</v>
      </c>
      <c r="I359" s="25" t="str">
        <f>IFERROR(__xludf.DUMMYFUNCTION("IFERROR(INDEX(FILTER('Kế hoạch chèn link (mới)'!$C$3:$C$2213,'Kế hoạch chèn link (mới)'!$D$3:$D$2213=$B359),2),"""")"),"")</f>
        <v/>
      </c>
      <c r="J359" s="25" t="str">
        <f>IFERROR(__xludf.DUMMYFUNCTION("IFERROR(INDEX(FILTER('Kế hoạch chèn link (mới)'!$B$3:$B$2213,'Kế hoạch chèn link (mới)'!$D$3:$D$2213=$B359),2),"""")"),"")</f>
        <v/>
      </c>
      <c r="K359" s="25" t="str">
        <f>IFERROR(__xludf.DUMMYFUNCTION("IFERROR(INDEX(FILTER('Kế hoạch chèn link (mới)'!$C$3:$C$2213,'Kế hoạch chèn link (mới)'!$D$3:$D$2213=$B359),3),"""")"),"")</f>
        <v/>
      </c>
      <c r="L359" s="25" t="str">
        <f>IFERROR(__xludf.DUMMYFUNCTION("IFERROR(INDEX(FILTER('Kế hoạch chèn link (mới)'!$B$3:$B$2213,'Kế hoạch chèn link (mới)'!$D$3:$D$2213=$B359),3),"""")"),"")</f>
        <v/>
      </c>
      <c r="M359" s="25" t="str">
        <f>IFERROR(__xludf.DUMMYFUNCTION("IFERROR(INDEX(FILTER('Kế hoạch chèn link (mới)'!$C$3:$C$2213,'Kế hoạch chèn link (mới)'!$D$3:$D$2213=$B359),4),"""")"),"")</f>
        <v/>
      </c>
      <c r="N359" s="25" t="str">
        <f>IFERROR(__xludf.DUMMYFUNCTION("IFERROR(INDEX(FILTER('Kế hoạch chèn link (mới)'!$B$3:$B$2213,'Kế hoạch chèn link (mới)'!$D$3:$D$2213=$B359),4),"""")"),"")</f>
        <v/>
      </c>
      <c r="O359" s="25" t="str">
        <f>IFERROR(__xludf.DUMMYFUNCTION("IFERROR(INDEX(FILTER('Kế hoạch chèn link (mới)'!$C$3:$C$2213,'Kế hoạch chèn link (mới)'!$D$3:$D$2213=$B359),5),"""")"),"")</f>
        <v/>
      </c>
      <c r="P359" s="25" t="str">
        <f>IFERROR(__xludf.DUMMYFUNCTION("IFERROR(INDEX(FILTER('Kế hoạch chèn link (mới)'!$B$3:$B$2213,'Kế hoạch chèn link (mới)'!$D$3:$D$2213=$B359),5),"""")"),"")</f>
        <v/>
      </c>
    </row>
    <row r="360">
      <c r="A360" s="6">
        <f t="shared" si="1"/>
        <v>359</v>
      </c>
      <c r="B360" s="8" t="s">
        <v>2991</v>
      </c>
      <c r="C360" s="6">
        <f>COUNTIF('Kế hoạch chèn link (mới)'!$D$3:$D$2213,$B360)</f>
        <v>1</v>
      </c>
      <c r="D360" s="8" t="str">
        <f>IF(COUNTIFS('Kế hoạch chèn link (mới)'!$D$3:$D$2213,$B360,'Kế hoạch chèn link (mới)'!$I$3:$I$2213,"Đã chèn")&gt;=$C360,"Đã hoàn thành",IF(COUNTIFS('Kế hoạch chèn link (mới)'!$D$3:$D$2213,$B360,'Kế hoạch chèn link (mới)'!$I$3:$I$2213,"Đã chèn")&gt;0,"Đang làm","Chưa hoàn thành"))</f>
        <v>Chưa hoàn thành</v>
      </c>
      <c r="E360" s="8" t="b">
        <f t="shared" si="2"/>
        <v>0</v>
      </c>
      <c r="F360" s="25"/>
      <c r="G360" s="25" t="str">
        <f>IFERROR(__xludf.DUMMYFUNCTION("IFERROR(INDEX(FILTER('Kế hoạch chèn link (mới)'!$C$3:$C$2213,'Kế hoạch chèn link (mới)'!$D$3:$D$2213=$B360),1),"""")"),"cách lấy voucher Traveloka")</f>
        <v>cách lấy voucher Traveloka</v>
      </c>
      <c r="H360" s="25" t="str">
        <f>IFERROR(__xludf.DUMMYFUNCTION("IFERROR(INDEX(FILTER('Kế hoạch chèn link (mới)'!$B$3:$B$2213,'Kế hoạch chèn link (mới)'!$D$3:$D$2213=$B360),1),"""")"),"https://techcombank.com/thong-tin/blog/traveloka-voucher")</f>
        <v>https://techcombank.com/thong-tin/blog/traveloka-voucher</v>
      </c>
      <c r="I360" s="25" t="str">
        <f>IFERROR(__xludf.DUMMYFUNCTION("IFERROR(INDEX(FILTER('Kế hoạch chèn link (mới)'!$C$3:$C$2213,'Kế hoạch chèn link (mới)'!$D$3:$D$2213=$B360),2),"""")"),"")</f>
        <v/>
      </c>
      <c r="J360" s="25" t="str">
        <f>IFERROR(__xludf.DUMMYFUNCTION("IFERROR(INDEX(FILTER('Kế hoạch chèn link (mới)'!$B$3:$B$2213,'Kế hoạch chèn link (mới)'!$D$3:$D$2213=$B360),2),"""")"),"")</f>
        <v/>
      </c>
      <c r="K360" s="25" t="str">
        <f>IFERROR(__xludf.DUMMYFUNCTION("IFERROR(INDEX(FILTER('Kế hoạch chèn link (mới)'!$C$3:$C$2213,'Kế hoạch chèn link (mới)'!$D$3:$D$2213=$B360),3),"""")"),"")</f>
        <v/>
      </c>
      <c r="L360" s="25" t="str">
        <f>IFERROR(__xludf.DUMMYFUNCTION("IFERROR(INDEX(FILTER('Kế hoạch chèn link (mới)'!$B$3:$B$2213,'Kế hoạch chèn link (mới)'!$D$3:$D$2213=$B360),3),"""")"),"")</f>
        <v/>
      </c>
      <c r="M360" s="25" t="str">
        <f>IFERROR(__xludf.DUMMYFUNCTION("IFERROR(INDEX(FILTER('Kế hoạch chèn link (mới)'!$C$3:$C$2213,'Kế hoạch chèn link (mới)'!$D$3:$D$2213=$B360),4),"""")"),"")</f>
        <v/>
      </c>
      <c r="N360" s="25" t="str">
        <f>IFERROR(__xludf.DUMMYFUNCTION("IFERROR(INDEX(FILTER('Kế hoạch chèn link (mới)'!$B$3:$B$2213,'Kế hoạch chèn link (mới)'!$D$3:$D$2213=$B360),4),"""")"),"")</f>
        <v/>
      </c>
      <c r="O360" s="25" t="str">
        <f>IFERROR(__xludf.DUMMYFUNCTION("IFERROR(INDEX(FILTER('Kế hoạch chèn link (mới)'!$C$3:$C$2213,'Kế hoạch chèn link (mới)'!$D$3:$D$2213=$B360),5),"""")"),"")</f>
        <v/>
      </c>
      <c r="P360" s="25" t="str">
        <f>IFERROR(__xludf.DUMMYFUNCTION("IFERROR(INDEX(FILTER('Kế hoạch chèn link (mới)'!$B$3:$B$2213,'Kế hoạch chèn link (mới)'!$D$3:$D$2213=$B360),5),"""")"),"")</f>
        <v/>
      </c>
    </row>
    <row r="361">
      <c r="A361" s="6">
        <f t="shared" si="1"/>
        <v>360</v>
      </c>
      <c r="B361" s="8" t="s">
        <v>2992</v>
      </c>
      <c r="C361" s="6">
        <f>COUNTIF('Kế hoạch chèn link (mới)'!$D$3:$D$2213,$B361)</f>
        <v>1</v>
      </c>
      <c r="D361" s="8" t="str">
        <f>IF(COUNTIFS('Kế hoạch chèn link (mới)'!$D$3:$D$2213,$B361,'Kế hoạch chèn link (mới)'!$I$3:$I$2213,"Đã chèn")&gt;=$C361,"Đã hoàn thành",IF(COUNTIFS('Kế hoạch chèn link (mới)'!$D$3:$D$2213,$B361,'Kế hoạch chèn link (mới)'!$I$3:$I$2213,"Đã chèn")&gt;0,"Đang làm","Chưa hoàn thành"))</f>
        <v>Chưa hoàn thành</v>
      </c>
      <c r="E361" s="8" t="b">
        <f t="shared" si="2"/>
        <v>0</v>
      </c>
      <c r="F361" s="25"/>
      <c r="G361" s="25" t="str">
        <f>IFERROR(__xludf.DUMMYFUNCTION("IFERROR(INDEX(FILTER('Kế hoạch chèn link (mới)'!$C$3:$C$2213,'Kế hoạch chèn link (mới)'!$D$3:$D$2213=$B361),1),"""")"),"cách lấy voucher Traveloka")</f>
        <v>cách lấy voucher Traveloka</v>
      </c>
      <c r="H361" s="25" t="str">
        <f>IFERROR(__xludf.DUMMYFUNCTION("IFERROR(INDEX(FILTER('Kế hoạch chèn link (mới)'!$B$3:$B$2213,'Kế hoạch chèn link (mới)'!$D$3:$D$2213=$B361),1),"""")"),"https://techcombank.com/thong-tin/blog/traveloka-voucher")</f>
        <v>https://techcombank.com/thong-tin/blog/traveloka-voucher</v>
      </c>
      <c r="I361" s="25" t="str">
        <f>IFERROR(__xludf.DUMMYFUNCTION("IFERROR(INDEX(FILTER('Kế hoạch chèn link (mới)'!$C$3:$C$2213,'Kế hoạch chèn link (mới)'!$D$3:$D$2213=$B361),2),"""")"),"")</f>
        <v/>
      </c>
      <c r="J361" s="25" t="str">
        <f>IFERROR(__xludf.DUMMYFUNCTION("IFERROR(INDEX(FILTER('Kế hoạch chèn link (mới)'!$B$3:$B$2213,'Kế hoạch chèn link (mới)'!$D$3:$D$2213=$B361),2),"""")"),"")</f>
        <v/>
      </c>
      <c r="K361" s="25" t="str">
        <f>IFERROR(__xludf.DUMMYFUNCTION("IFERROR(INDEX(FILTER('Kế hoạch chèn link (mới)'!$C$3:$C$2213,'Kế hoạch chèn link (mới)'!$D$3:$D$2213=$B361),3),"""")"),"")</f>
        <v/>
      </c>
      <c r="L361" s="25" t="str">
        <f>IFERROR(__xludf.DUMMYFUNCTION("IFERROR(INDEX(FILTER('Kế hoạch chèn link (mới)'!$B$3:$B$2213,'Kế hoạch chèn link (mới)'!$D$3:$D$2213=$B361),3),"""")"),"")</f>
        <v/>
      </c>
      <c r="M361" s="25" t="str">
        <f>IFERROR(__xludf.DUMMYFUNCTION("IFERROR(INDEX(FILTER('Kế hoạch chèn link (mới)'!$C$3:$C$2213,'Kế hoạch chèn link (mới)'!$D$3:$D$2213=$B361),4),"""")"),"")</f>
        <v/>
      </c>
      <c r="N361" s="25" t="str">
        <f>IFERROR(__xludf.DUMMYFUNCTION("IFERROR(INDEX(FILTER('Kế hoạch chèn link (mới)'!$B$3:$B$2213,'Kế hoạch chèn link (mới)'!$D$3:$D$2213=$B361),4),"""")"),"")</f>
        <v/>
      </c>
      <c r="O361" s="25" t="str">
        <f>IFERROR(__xludf.DUMMYFUNCTION("IFERROR(INDEX(FILTER('Kế hoạch chèn link (mới)'!$C$3:$C$2213,'Kế hoạch chèn link (mới)'!$D$3:$D$2213=$B361),5),"""")"),"")</f>
        <v/>
      </c>
      <c r="P361" s="25" t="str">
        <f>IFERROR(__xludf.DUMMYFUNCTION("IFERROR(INDEX(FILTER('Kế hoạch chèn link (mới)'!$B$3:$B$2213,'Kế hoạch chèn link (mới)'!$D$3:$D$2213=$B361),5),"""")"),"")</f>
        <v/>
      </c>
    </row>
    <row r="362">
      <c r="A362" s="6">
        <f t="shared" si="1"/>
        <v>361</v>
      </c>
      <c r="B362" s="8" t="s">
        <v>1726</v>
      </c>
      <c r="C362" s="6">
        <f>COUNTIF('Kế hoạch chèn link (mới)'!$D$3:$D$2213,$B362)</f>
        <v>2</v>
      </c>
      <c r="D362" s="8" t="str">
        <f>IF(COUNTIFS('Kế hoạch chèn link (mới)'!$D$3:$D$2213,$B362,'Kế hoạch chèn link (mới)'!$I$3:$I$2213,"Đã chèn")&gt;=$C362,"Đã hoàn thành",IF(COUNTIFS('Kế hoạch chèn link (mới)'!$D$3:$D$2213,$B362,'Kế hoạch chèn link (mới)'!$I$3:$I$2213,"Đã chèn")&gt;0,"Đang làm","Chưa hoàn thành"))</f>
        <v>Chưa hoàn thành</v>
      </c>
      <c r="E362" s="8" t="b">
        <f t="shared" si="2"/>
        <v>0</v>
      </c>
      <c r="F362" s="25"/>
      <c r="G362" s="25" t="str">
        <f>IFERROR(__xludf.DUMMYFUNCTION("IFERROR(INDEX(FILTER('Kế hoạch chèn link (mới)'!$C$3:$C$2213,'Kế hoạch chèn link (mới)'!$D$3:$D$2213=$B362),1),"""")"),"tra tài khoản ngân hàng")</f>
        <v>tra tài khoản ngân hàng</v>
      </c>
      <c r="H362" s="25" t="str">
        <f>IFERROR(__xludf.DUMMYFUNCTION("IFERROR(INDEX(FILTER('Kế hoạch chèn link (mới)'!$B$3:$B$2213,'Kế hoạch chèn link (mới)'!$D$3:$D$2213=$B362),1),"""")"),"https://techcombank.com/thong-tin/blog/cach-kiem-tra-tai-khoan-ngan-hang")</f>
        <v>https://techcombank.com/thong-tin/blog/cach-kiem-tra-tai-khoan-ngan-hang</v>
      </c>
      <c r="I362" s="25" t="str">
        <f>IFERROR(__xludf.DUMMYFUNCTION("IFERROR(INDEX(FILTER('Kế hoạch chèn link (mới)'!$C$3:$C$2213,'Kế hoạch chèn link (mới)'!$D$3:$D$2213=$B362),2),"""")"),"chuyển tiền thành công nhưng chưa nhận được")</f>
        <v>chuyển tiền thành công nhưng chưa nhận được</v>
      </c>
      <c r="J362" s="25" t="str">
        <f>IFERROR(__xludf.DUMMYFUNCTION("IFERROR(INDEX(FILTER('Kế hoạch chèn link (mới)'!$B$3:$B$2213,'Kế hoạch chèn link (mới)'!$D$3:$D$2213=$B362),2),"""")"),"https://techcombank.com/thong-tin/blog/chuyen-khoan-thanh-cong-nhung-khong-nhan-duoc-tien")</f>
        <v>https://techcombank.com/thong-tin/blog/chuyen-khoan-thanh-cong-nhung-khong-nhan-duoc-tien</v>
      </c>
      <c r="K362" s="25" t="str">
        <f>IFERROR(__xludf.DUMMYFUNCTION("IFERROR(INDEX(FILTER('Kế hoạch chèn link (mới)'!$C$3:$C$2213,'Kế hoạch chèn link (mới)'!$D$3:$D$2213=$B362),3),"""")"),"")</f>
        <v/>
      </c>
      <c r="L362" s="25" t="str">
        <f>IFERROR(__xludf.DUMMYFUNCTION("IFERROR(INDEX(FILTER('Kế hoạch chèn link (mới)'!$B$3:$B$2213,'Kế hoạch chèn link (mới)'!$D$3:$D$2213=$B362),3),"""")"),"")</f>
        <v/>
      </c>
      <c r="M362" s="25" t="str">
        <f>IFERROR(__xludf.DUMMYFUNCTION("IFERROR(INDEX(FILTER('Kế hoạch chèn link (mới)'!$C$3:$C$2213,'Kế hoạch chèn link (mới)'!$D$3:$D$2213=$B362),4),"""")"),"")</f>
        <v/>
      </c>
      <c r="N362" s="25" t="str">
        <f>IFERROR(__xludf.DUMMYFUNCTION("IFERROR(INDEX(FILTER('Kế hoạch chèn link (mới)'!$B$3:$B$2213,'Kế hoạch chèn link (mới)'!$D$3:$D$2213=$B362),4),"""")"),"")</f>
        <v/>
      </c>
      <c r="O362" s="25" t="str">
        <f>IFERROR(__xludf.DUMMYFUNCTION("IFERROR(INDEX(FILTER('Kế hoạch chèn link (mới)'!$C$3:$C$2213,'Kế hoạch chèn link (mới)'!$D$3:$D$2213=$B362),5),"""")"),"")</f>
        <v/>
      </c>
      <c r="P362" s="25" t="str">
        <f>IFERROR(__xludf.DUMMYFUNCTION("IFERROR(INDEX(FILTER('Kế hoạch chèn link (mới)'!$B$3:$B$2213,'Kế hoạch chèn link (mới)'!$D$3:$D$2213=$B362),5),"""")"),"")</f>
        <v/>
      </c>
    </row>
    <row r="363">
      <c r="A363" s="6">
        <f t="shared" si="1"/>
        <v>362</v>
      </c>
      <c r="B363" s="8" t="s">
        <v>2111</v>
      </c>
      <c r="C363" s="6">
        <f>COUNTIF('Kế hoạch chèn link (mới)'!$D$3:$D$2213,$B363)</f>
        <v>3</v>
      </c>
      <c r="D363" s="8" t="str">
        <f>IF(COUNTIFS('Kế hoạch chèn link (mới)'!$D$3:$D$2213,$B363,'Kế hoạch chèn link (mới)'!$I$3:$I$2213,"Đã chèn")&gt;=$C363,"Đã hoàn thành",IF(COUNTIFS('Kế hoạch chèn link (mới)'!$D$3:$D$2213,$B363,'Kế hoạch chèn link (mới)'!$I$3:$I$2213,"Đã chèn")&gt;0,"Đang làm","Chưa hoàn thành"))</f>
        <v>Chưa hoàn thành</v>
      </c>
      <c r="E363" s="8" t="b">
        <f t="shared" si="2"/>
        <v>0</v>
      </c>
      <c r="F363" s="25"/>
      <c r="G363" s="25" t="str">
        <f>IFERROR(__xludf.DUMMYFUNCTION("IFERROR(INDEX(FILTER('Kế hoạch chèn link (mới)'!$C$3:$C$2213,'Kế hoạch chèn link (mới)'!$D$3:$D$2213=$B363),1),"""")"),"bao nhiêu tuổi được mở tài khoản ngân hàng")</f>
        <v>bao nhiêu tuổi được mở tài khoản ngân hàng</v>
      </c>
      <c r="H363" s="25" t="str">
        <f>IFERROR(__xludf.DUMMYFUNCTION("IFERROR(INDEX(FILTER('Kế hoạch chèn link (mới)'!$B$3:$B$2213,'Kế hoạch chèn link (mới)'!$D$3:$D$2213=$B363),1),"""")"),"https://techcombank.com/thong-tin/blog/bao-nhieu-tuoi-duoc-mo-tai-khoan-ngan-hang")</f>
        <v>https://techcombank.com/thong-tin/blog/bao-nhieu-tuoi-duoc-mo-tai-khoan-ngan-hang</v>
      </c>
      <c r="I363" s="25" t="str">
        <f>IFERROR(__xludf.DUMMYFUNCTION("IFERROR(INDEX(FILTER('Kế hoạch chèn link (mới)'!$C$3:$C$2213,'Kế hoạch chèn link (mới)'!$D$3:$D$2213=$B363),2),"""")"),"mở tài khoản ngân hàng cho học sinh")</f>
        <v>mở tài khoản ngân hàng cho học sinh</v>
      </c>
      <c r="J363" s="25" t="str">
        <f>IFERROR(__xludf.DUMMYFUNCTION("IFERROR(INDEX(FILTER('Kế hoạch chèn link (mới)'!$B$3:$B$2213,'Kế hoạch chèn link (mới)'!$D$3:$D$2213=$B363),2),"""")"),"https://techcombank.com/thong-tin/blog/mo-tai-khoan-ngan-hang-duoi-18-tuoi")</f>
        <v>https://techcombank.com/thong-tin/blog/mo-tai-khoan-ngan-hang-duoi-18-tuoi</v>
      </c>
      <c r="K363" s="25" t="str">
        <f>IFERROR(__xludf.DUMMYFUNCTION("IFERROR(INDEX(FILTER('Kế hoạch chèn link (mới)'!$C$3:$C$2213,'Kế hoạch chèn link (mới)'!$D$3:$D$2213=$B363),3),"""")"),"tên đăng nhập")</f>
        <v>tên đăng nhập</v>
      </c>
      <c r="L363" s="25" t="str">
        <f>IFERROR(__xludf.DUMMYFUNCTION("IFERROR(INDEX(FILTER('Kế hoạch chèn link (mới)'!$B$3:$B$2213,'Kế hoạch chèn link (mới)'!$D$3:$D$2213=$B363),3),"""")"),"https://techcombank.com/thong-tin/blog/ten-dang-nhap-tai-khoan-ngan-hang-la-gi")</f>
        <v>https://techcombank.com/thong-tin/blog/ten-dang-nhap-tai-khoan-ngan-hang-la-gi</v>
      </c>
      <c r="M363" s="25" t="str">
        <f>IFERROR(__xludf.DUMMYFUNCTION("IFERROR(INDEX(FILTER('Kế hoạch chèn link (mới)'!$C$3:$C$2213,'Kế hoạch chèn link (mới)'!$D$3:$D$2213=$B363),4),"""")"),"")</f>
        <v/>
      </c>
      <c r="N363" s="25" t="str">
        <f>IFERROR(__xludf.DUMMYFUNCTION("IFERROR(INDEX(FILTER('Kế hoạch chèn link (mới)'!$B$3:$B$2213,'Kế hoạch chèn link (mới)'!$D$3:$D$2213=$B363),4),"""")"),"")</f>
        <v/>
      </c>
      <c r="O363" s="25" t="str">
        <f>IFERROR(__xludf.DUMMYFUNCTION("IFERROR(INDEX(FILTER('Kế hoạch chèn link (mới)'!$C$3:$C$2213,'Kế hoạch chèn link (mới)'!$D$3:$D$2213=$B363),5),"""")"),"")</f>
        <v/>
      </c>
      <c r="P363" s="25" t="str">
        <f>IFERROR(__xludf.DUMMYFUNCTION("IFERROR(INDEX(FILTER('Kế hoạch chèn link (mới)'!$B$3:$B$2213,'Kế hoạch chèn link (mới)'!$D$3:$D$2213=$B363),5),"""")"),"")</f>
        <v/>
      </c>
    </row>
    <row r="364">
      <c r="A364" s="6">
        <f t="shared" si="1"/>
        <v>363</v>
      </c>
      <c r="B364" s="8" t="s">
        <v>2996</v>
      </c>
      <c r="C364" s="6">
        <f>COUNTIF('Kế hoạch chèn link (mới)'!$D$3:$D$2213,$B364)</f>
        <v>1</v>
      </c>
      <c r="D364" s="8" t="str">
        <f>IF(COUNTIFS('Kế hoạch chèn link (mới)'!$D$3:$D$2213,$B364,'Kế hoạch chèn link (mới)'!$I$3:$I$2213,"Đã chèn")&gt;=$C364,"Đã hoàn thành",IF(COUNTIFS('Kế hoạch chèn link (mới)'!$D$3:$D$2213,$B364,'Kế hoạch chèn link (mới)'!$I$3:$I$2213,"Đã chèn")&gt;0,"Đang làm","Chưa hoàn thành"))</f>
        <v>Chưa hoàn thành</v>
      </c>
      <c r="E364" s="8" t="b">
        <f t="shared" si="2"/>
        <v>0</v>
      </c>
      <c r="F364" s="25"/>
      <c r="G364" s="25" t="str">
        <f>IFERROR(__xludf.DUMMYFUNCTION("IFERROR(INDEX(FILTER('Kế hoạch chèn link (mới)'!$C$3:$C$2213,'Kế hoạch chèn link (mới)'!$D$3:$D$2213=$B364),1),"""")"),"kiểm tra cic")</f>
        <v>kiểm tra cic</v>
      </c>
      <c r="H364" s="25" t="str">
        <f>IFERROR(__xludf.DUMMYFUNCTION("IFERROR(INDEX(FILTER('Kế hoạch chèn link (mới)'!$B$3:$B$2213,'Kế hoạch chèn link (mới)'!$D$3:$D$2213=$B364),1),"""")"),"https://techcombank.com/thong-tin/blog/cic-la-gi")</f>
        <v>https://techcombank.com/thong-tin/blog/cic-la-gi</v>
      </c>
      <c r="I364" s="25" t="str">
        <f>IFERROR(__xludf.DUMMYFUNCTION("IFERROR(INDEX(FILTER('Kế hoạch chèn link (mới)'!$C$3:$C$2213,'Kế hoạch chèn link (mới)'!$D$3:$D$2213=$B364),2),"""")"),"")</f>
        <v/>
      </c>
      <c r="J364" s="25" t="str">
        <f>IFERROR(__xludf.DUMMYFUNCTION("IFERROR(INDEX(FILTER('Kế hoạch chèn link (mới)'!$B$3:$B$2213,'Kế hoạch chèn link (mới)'!$D$3:$D$2213=$B364),2),"""")"),"")</f>
        <v/>
      </c>
      <c r="K364" s="25" t="str">
        <f>IFERROR(__xludf.DUMMYFUNCTION("IFERROR(INDEX(FILTER('Kế hoạch chèn link (mới)'!$C$3:$C$2213,'Kế hoạch chèn link (mới)'!$D$3:$D$2213=$B364),3),"""")"),"")</f>
        <v/>
      </c>
      <c r="L364" s="25" t="str">
        <f>IFERROR(__xludf.DUMMYFUNCTION("IFERROR(INDEX(FILTER('Kế hoạch chèn link (mới)'!$B$3:$B$2213,'Kế hoạch chèn link (mới)'!$D$3:$D$2213=$B364),3),"""")"),"")</f>
        <v/>
      </c>
      <c r="M364" s="25" t="str">
        <f>IFERROR(__xludf.DUMMYFUNCTION("IFERROR(INDEX(FILTER('Kế hoạch chèn link (mới)'!$C$3:$C$2213,'Kế hoạch chèn link (mới)'!$D$3:$D$2213=$B364),4),"""")"),"")</f>
        <v/>
      </c>
      <c r="N364" s="25" t="str">
        <f>IFERROR(__xludf.DUMMYFUNCTION("IFERROR(INDEX(FILTER('Kế hoạch chèn link (mới)'!$B$3:$B$2213,'Kế hoạch chèn link (mới)'!$D$3:$D$2213=$B364),4),"""")"),"")</f>
        <v/>
      </c>
      <c r="O364" s="25" t="str">
        <f>IFERROR(__xludf.DUMMYFUNCTION("IFERROR(INDEX(FILTER('Kế hoạch chèn link (mới)'!$C$3:$C$2213,'Kế hoạch chèn link (mới)'!$D$3:$D$2213=$B364),5),"""")"),"")</f>
        <v/>
      </c>
      <c r="P364" s="25" t="str">
        <f>IFERROR(__xludf.DUMMYFUNCTION("IFERROR(INDEX(FILTER('Kế hoạch chèn link (mới)'!$B$3:$B$2213,'Kế hoạch chèn link (mới)'!$D$3:$D$2213=$B364),5),"""")"),"")</f>
        <v/>
      </c>
    </row>
    <row r="365">
      <c r="A365" s="6">
        <f t="shared" si="1"/>
        <v>364</v>
      </c>
      <c r="B365" s="8" t="s">
        <v>2612</v>
      </c>
      <c r="C365" s="6">
        <f>COUNTIF('Kế hoạch chèn link (mới)'!$D$3:$D$2213,$B365)</f>
        <v>1</v>
      </c>
      <c r="D365" s="8" t="str">
        <f>IF(COUNTIFS('Kế hoạch chèn link (mới)'!$D$3:$D$2213,$B365,'Kế hoạch chèn link (mới)'!$I$3:$I$2213,"Đã chèn")&gt;=$C365,"Đã hoàn thành",IF(COUNTIFS('Kế hoạch chèn link (mới)'!$D$3:$D$2213,$B365,'Kế hoạch chèn link (mới)'!$I$3:$I$2213,"Đã chèn")&gt;0,"Đang làm","Chưa hoàn thành"))</f>
        <v>Chưa hoàn thành</v>
      </c>
      <c r="E365" s="8" t="b">
        <f t="shared" si="2"/>
        <v>0</v>
      </c>
      <c r="F365" s="25"/>
      <c r="G365" s="25" t="str">
        <f>IFERROR(__xludf.DUMMYFUNCTION("IFERROR(INDEX(FILTER('Kế hoạch chèn link (mới)'!$C$3:$C$2213,'Kế hoạch chèn link (mới)'!$D$3:$D$2213=$B365),1),"""")"),"tên đăng nhập tài khoản ngân hàng")</f>
        <v>tên đăng nhập tài khoản ngân hàng</v>
      </c>
      <c r="H365" s="25" t="str">
        <f>IFERROR(__xludf.DUMMYFUNCTION("IFERROR(INDEX(FILTER('Kế hoạch chèn link (mới)'!$B$3:$B$2213,'Kế hoạch chèn link (mới)'!$D$3:$D$2213=$B365),1),"""")"),"https://techcombank.com/thong-tin/blog/ten-dang-nhap-tai-khoan-ngan-hang-la-gi")</f>
        <v>https://techcombank.com/thong-tin/blog/ten-dang-nhap-tai-khoan-ngan-hang-la-gi</v>
      </c>
      <c r="I365" s="25" t="str">
        <f>IFERROR(__xludf.DUMMYFUNCTION("IFERROR(INDEX(FILTER('Kế hoạch chèn link (mới)'!$C$3:$C$2213,'Kế hoạch chèn link (mới)'!$D$3:$D$2213=$B365),2),"""")"),"")</f>
        <v/>
      </c>
      <c r="J365" s="25" t="str">
        <f>IFERROR(__xludf.DUMMYFUNCTION("IFERROR(INDEX(FILTER('Kế hoạch chèn link (mới)'!$B$3:$B$2213,'Kế hoạch chèn link (mới)'!$D$3:$D$2213=$B365),2),"""")"),"")</f>
        <v/>
      </c>
      <c r="K365" s="25" t="str">
        <f>IFERROR(__xludf.DUMMYFUNCTION("IFERROR(INDEX(FILTER('Kế hoạch chèn link (mới)'!$C$3:$C$2213,'Kế hoạch chèn link (mới)'!$D$3:$D$2213=$B365),3),"""")"),"")</f>
        <v/>
      </c>
      <c r="L365" s="25" t="str">
        <f>IFERROR(__xludf.DUMMYFUNCTION("IFERROR(INDEX(FILTER('Kế hoạch chèn link (mới)'!$B$3:$B$2213,'Kế hoạch chèn link (mới)'!$D$3:$D$2213=$B365),3),"""")"),"")</f>
        <v/>
      </c>
      <c r="M365" s="25" t="str">
        <f>IFERROR(__xludf.DUMMYFUNCTION("IFERROR(INDEX(FILTER('Kế hoạch chèn link (mới)'!$C$3:$C$2213,'Kế hoạch chèn link (mới)'!$D$3:$D$2213=$B365),4),"""")"),"")</f>
        <v/>
      </c>
      <c r="N365" s="25" t="str">
        <f>IFERROR(__xludf.DUMMYFUNCTION("IFERROR(INDEX(FILTER('Kế hoạch chèn link (mới)'!$B$3:$B$2213,'Kế hoạch chèn link (mới)'!$D$3:$D$2213=$B365),4),"""")"),"")</f>
        <v/>
      </c>
      <c r="O365" s="25" t="str">
        <f>IFERROR(__xludf.DUMMYFUNCTION("IFERROR(INDEX(FILTER('Kế hoạch chèn link (mới)'!$C$3:$C$2213,'Kế hoạch chèn link (mới)'!$D$3:$D$2213=$B365),5),"""")"),"")</f>
        <v/>
      </c>
      <c r="P365" s="25" t="str">
        <f>IFERROR(__xludf.DUMMYFUNCTION("IFERROR(INDEX(FILTER('Kế hoạch chèn link (mới)'!$B$3:$B$2213,'Kế hoạch chèn link (mới)'!$D$3:$D$2213=$B365),5),"""")"),"")</f>
        <v/>
      </c>
    </row>
    <row r="366">
      <c r="A366" s="6">
        <f t="shared" si="1"/>
        <v>365</v>
      </c>
      <c r="B366" s="8" t="s">
        <v>1973</v>
      </c>
      <c r="C366" s="6">
        <f>COUNTIF('Kế hoạch chèn link (mới)'!$D$3:$D$2213,$B366)</f>
        <v>2</v>
      </c>
      <c r="D366" s="8" t="str">
        <f>IF(COUNTIFS('Kế hoạch chèn link (mới)'!$D$3:$D$2213,$B366,'Kế hoạch chèn link (mới)'!$I$3:$I$2213,"Đã chèn")&gt;=$C366,"Đã hoàn thành",IF(COUNTIFS('Kế hoạch chèn link (mới)'!$D$3:$D$2213,$B366,'Kế hoạch chèn link (mới)'!$I$3:$I$2213,"Đã chèn")&gt;0,"Đang làm","Chưa hoàn thành"))</f>
        <v>Chưa hoàn thành</v>
      </c>
      <c r="E366" s="8" t="b">
        <f t="shared" si="2"/>
        <v>0</v>
      </c>
      <c r="F366" s="25"/>
      <c r="G366" s="25" t="str">
        <f>IFERROR(__xludf.DUMMYFUNCTION("IFERROR(INDEX(FILTER('Kế hoạch chèn link (mới)'!$C$3:$C$2213,'Kế hoạch chèn link (mới)'!$D$3:$D$2213=$B366),1),"""")"),"chuyển khoản thành công nhưng không nhận được tiền")</f>
        <v>chuyển khoản thành công nhưng không nhận được tiền</v>
      </c>
      <c r="H366" s="25" t="str">
        <f>IFERROR(__xludf.DUMMYFUNCTION("IFERROR(INDEX(FILTER('Kế hoạch chèn link (mới)'!$B$3:$B$2213,'Kế hoạch chèn link (mới)'!$D$3:$D$2213=$B366),1),"""")"),"https://techcombank.com/thong-tin/blog/chuyen-khoan-thanh-cong-nhung-khong-nhan-duoc-tien")</f>
        <v>https://techcombank.com/thong-tin/blog/chuyen-khoan-thanh-cong-nhung-khong-nhan-duoc-tien</v>
      </c>
      <c r="I366" s="25" t="str">
        <f>IFERROR(__xludf.DUMMYFUNCTION("IFERROR(INDEX(FILTER('Kế hoạch chèn link (mới)'!$C$3:$C$2213,'Kế hoạch chèn link (mới)'!$D$3:$D$2213=$B366),2),"""")"),"cách gửi mã QR ngân hàng")</f>
        <v>cách gửi mã QR ngân hàng</v>
      </c>
      <c r="J366" s="25" t="str">
        <f>IFERROR(__xludf.DUMMYFUNCTION("IFERROR(INDEX(FILTER('Kế hoạch chèn link (mới)'!$B$3:$B$2213,'Kế hoạch chèn link (mới)'!$D$3:$D$2213=$B366),2),"""")"),"https://techcombank.com/thong-tin/blog/gui-ma-qr-ngan-hang")</f>
        <v>https://techcombank.com/thong-tin/blog/gui-ma-qr-ngan-hang</v>
      </c>
      <c r="K366" s="25" t="str">
        <f>IFERROR(__xludf.DUMMYFUNCTION("IFERROR(INDEX(FILTER('Kế hoạch chèn link (mới)'!$C$3:$C$2213,'Kế hoạch chèn link (mới)'!$D$3:$D$2213=$B366),3),"""")"),"")</f>
        <v/>
      </c>
      <c r="L366" s="25" t="str">
        <f>IFERROR(__xludf.DUMMYFUNCTION("IFERROR(INDEX(FILTER('Kế hoạch chèn link (mới)'!$B$3:$B$2213,'Kế hoạch chèn link (mới)'!$D$3:$D$2213=$B366),3),"""")"),"")</f>
        <v/>
      </c>
      <c r="M366" s="25" t="str">
        <f>IFERROR(__xludf.DUMMYFUNCTION("IFERROR(INDEX(FILTER('Kế hoạch chèn link (mới)'!$C$3:$C$2213,'Kế hoạch chèn link (mới)'!$D$3:$D$2213=$B366),4),"""")"),"")</f>
        <v/>
      </c>
      <c r="N366" s="25" t="str">
        <f>IFERROR(__xludf.DUMMYFUNCTION("IFERROR(INDEX(FILTER('Kế hoạch chèn link (mới)'!$B$3:$B$2213,'Kế hoạch chèn link (mới)'!$D$3:$D$2213=$B366),4),"""")"),"")</f>
        <v/>
      </c>
      <c r="O366" s="25" t="str">
        <f>IFERROR(__xludf.DUMMYFUNCTION("IFERROR(INDEX(FILTER('Kế hoạch chèn link (mới)'!$C$3:$C$2213,'Kế hoạch chèn link (mới)'!$D$3:$D$2213=$B366),5),"""")"),"")</f>
        <v/>
      </c>
      <c r="P366" s="25" t="str">
        <f>IFERROR(__xludf.DUMMYFUNCTION("IFERROR(INDEX(FILTER('Kế hoạch chèn link (mới)'!$B$3:$B$2213,'Kế hoạch chèn link (mới)'!$D$3:$D$2213=$B366),5),"""")"),"")</f>
        <v/>
      </c>
    </row>
    <row r="367">
      <c r="A367" s="6">
        <f t="shared" si="1"/>
        <v>366</v>
      </c>
      <c r="B367" s="8" t="s">
        <v>2998</v>
      </c>
      <c r="C367" s="6">
        <f>COUNTIF('Kế hoạch chèn link (mới)'!$D$3:$D$2213,$B367)</f>
        <v>1</v>
      </c>
      <c r="D367" s="8" t="str">
        <f>IF(COUNTIFS('Kế hoạch chèn link (mới)'!$D$3:$D$2213,$B367,'Kế hoạch chèn link (mới)'!$I$3:$I$2213,"Đã chèn")&gt;=$C367,"Đã hoàn thành",IF(COUNTIFS('Kế hoạch chèn link (mới)'!$D$3:$D$2213,$B367,'Kế hoạch chèn link (mới)'!$I$3:$I$2213,"Đã chèn")&gt;0,"Đang làm","Chưa hoàn thành"))</f>
        <v>Chưa hoàn thành</v>
      </c>
      <c r="E367" s="8" t="b">
        <f t="shared" si="2"/>
        <v>0</v>
      </c>
      <c r="F367" s="25"/>
      <c r="G367" s="25" t="str">
        <f>IFERROR(__xludf.DUMMYFUNCTION("IFERROR(INDEX(FILTER('Kế hoạch chèn link (mới)'!$C$3:$C$2213,'Kế hoạch chèn link (mới)'!$D$3:$D$2213=$B367),1),"""")"),"gửi mã QR ngân hàng")</f>
        <v>gửi mã QR ngân hàng</v>
      </c>
      <c r="H367" s="25" t="str">
        <f>IFERROR(__xludf.DUMMYFUNCTION("IFERROR(INDEX(FILTER('Kế hoạch chèn link (mới)'!$B$3:$B$2213,'Kế hoạch chèn link (mới)'!$D$3:$D$2213=$B367),1),"""")"),"https://techcombank.com/thong-tin/blog/gui-ma-qr-ngan-hang")</f>
        <v>https://techcombank.com/thong-tin/blog/gui-ma-qr-ngan-hang</v>
      </c>
      <c r="I367" s="25" t="str">
        <f>IFERROR(__xludf.DUMMYFUNCTION("IFERROR(INDEX(FILTER('Kế hoạch chèn link (mới)'!$C$3:$C$2213,'Kế hoạch chèn link (mới)'!$D$3:$D$2213=$B367),2),"""")"),"")</f>
        <v/>
      </c>
      <c r="J367" s="25" t="str">
        <f>IFERROR(__xludf.DUMMYFUNCTION("IFERROR(INDEX(FILTER('Kế hoạch chèn link (mới)'!$B$3:$B$2213,'Kế hoạch chèn link (mới)'!$D$3:$D$2213=$B367),2),"""")"),"")</f>
        <v/>
      </c>
      <c r="K367" s="25" t="str">
        <f>IFERROR(__xludf.DUMMYFUNCTION("IFERROR(INDEX(FILTER('Kế hoạch chèn link (mới)'!$C$3:$C$2213,'Kế hoạch chèn link (mới)'!$D$3:$D$2213=$B367),3),"""")"),"")</f>
        <v/>
      </c>
      <c r="L367" s="25" t="str">
        <f>IFERROR(__xludf.DUMMYFUNCTION("IFERROR(INDEX(FILTER('Kế hoạch chèn link (mới)'!$B$3:$B$2213,'Kế hoạch chèn link (mới)'!$D$3:$D$2213=$B367),3),"""")"),"")</f>
        <v/>
      </c>
      <c r="M367" s="25" t="str">
        <f>IFERROR(__xludf.DUMMYFUNCTION("IFERROR(INDEX(FILTER('Kế hoạch chèn link (mới)'!$C$3:$C$2213,'Kế hoạch chèn link (mới)'!$D$3:$D$2213=$B367),4),"""")"),"")</f>
        <v/>
      </c>
      <c r="N367" s="25" t="str">
        <f>IFERROR(__xludf.DUMMYFUNCTION("IFERROR(INDEX(FILTER('Kế hoạch chèn link (mới)'!$B$3:$B$2213,'Kế hoạch chèn link (mới)'!$D$3:$D$2213=$B367),4),"""")"),"")</f>
        <v/>
      </c>
      <c r="O367" s="25" t="str">
        <f>IFERROR(__xludf.DUMMYFUNCTION("IFERROR(INDEX(FILTER('Kế hoạch chèn link (mới)'!$C$3:$C$2213,'Kế hoạch chèn link (mới)'!$D$3:$D$2213=$B367),5),"""")"),"")</f>
        <v/>
      </c>
      <c r="P367" s="25" t="str">
        <f>IFERROR(__xludf.DUMMYFUNCTION("IFERROR(INDEX(FILTER('Kế hoạch chèn link (mới)'!$B$3:$B$2213,'Kế hoạch chèn link (mới)'!$D$3:$D$2213=$B367),5),"""")"),"")</f>
        <v/>
      </c>
    </row>
    <row r="368">
      <c r="A368" s="6">
        <f t="shared" si="1"/>
        <v>367</v>
      </c>
      <c r="B368" s="8" t="s">
        <v>2999</v>
      </c>
      <c r="C368" s="6">
        <f>COUNTIF('Kế hoạch chèn link (mới)'!$D$3:$D$2213,$B368)</f>
        <v>1</v>
      </c>
      <c r="D368" s="8" t="str">
        <f>IF(COUNTIFS('Kế hoạch chèn link (mới)'!$D$3:$D$2213,$B368,'Kế hoạch chèn link (mới)'!$I$3:$I$2213,"Đã chèn")&gt;=$C368,"Đã hoàn thành",IF(COUNTIFS('Kế hoạch chèn link (mới)'!$D$3:$D$2213,$B368,'Kế hoạch chèn link (mới)'!$I$3:$I$2213,"Đã chèn")&gt;0,"Đang làm","Chưa hoàn thành"))</f>
        <v>Chưa hoàn thành</v>
      </c>
      <c r="E368" s="8" t="b">
        <f t="shared" si="2"/>
        <v>0</v>
      </c>
      <c r="F368" s="25"/>
      <c r="G368" s="25" t="str">
        <f>IFERROR(__xludf.DUMMYFUNCTION("IFERROR(INDEX(FILTER('Kế hoạch chèn link (mới)'!$C$3:$C$2213,'Kế hoạch chèn link (mới)'!$D$3:$D$2213=$B368),1),"""")"),"nhận tiền từ nước ngoài")</f>
        <v>nhận tiền từ nước ngoài</v>
      </c>
      <c r="H368" s="25" t="str">
        <f>IFERROR(__xludf.DUMMYFUNCTION("IFERROR(INDEX(FILTER('Kế hoạch chèn link (mới)'!$B$3:$B$2213,'Kế hoạch chèn link (mới)'!$D$3:$D$2213=$B368),1),"""")"),"https://techcombank.com/thong-tin/blog/cach-nhan-tien-tu-nuoc-ngoai-ve-viet-nam")</f>
        <v>https://techcombank.com/thong-tin/blog/cach-nhan-tien-tu-nuoc-ngoai-ve-viet-nam</v>
      </c>
      <c r="I368" s="25" t="str">
        <f>IFERROR(__xludf.DUMMYFUNCTION("IFERROR(INDEX(FILTER('Kế hoạch chèn link (mới)'!$C$3:$C$2213,'Kế hoạch chèn link (mới)'!$D$3:$D$2213=$B368),2),"""")"),"")</f>
        <v/>
      </c>
      <c r="J368" s="25" t="str">
        <f>IFERROR(__xludf.DUMMYFUNCTION("IFERROR(INDEX(FILTER('Kế hoạch chèn link (mới)'!$B$3:$B$2213,'Kế hoạch chèn link (mới)'!$D$3:$D$2213=$B368),2),"""")"),"")</f>
        <v/>
      </c>
      <c r="K368" s="25" t="str">
        <f>IFERROR(__xludf.DUMMYFUNCTION("IFERROR(INDEX(FILTER('Kế hoạch chèn link (mới)'!$C$3:$C$2213,'Kế hoạch chèn link (mới)'!$D$3:$D$2213=$B368),3),"""")"),"")</f>
        <v/>
      </c>
      <c r="L368" s="25" t="str">
        <f>IFERROR(__xludf.DUMMYFUNCTION("IFERROR(INDEX(FILTER('Kế hoạch chèn link (mới)'!$B$3:$B$2213,'Kế hoạch chèn link (mới)'!$D$3:$D$2213=$B368),3),"""")"),"")</f>
        <v/>
      </c>
      <c r="M368" s="25" t="str">
        <f>IFERROR(__xludf.DUMMYFUNCTION("IFERROR(INDEX(FILTER('Kế hoạch chèn link (mới)'!$C$3:$C$2213,'Kế hoạch chèn link (mới)'!$D$3:$D$2213=$B368),4),"""")"),"")</f>
        <v/>
      </c>
      <c r="N368" s="25" t="str">
        <f>IFERROR(__xludf.DUMMYFUNCTION("IFERROR(INDEX(FILTER('Kế hoạch chèn link (mới)'!$B$3:$B$2213,'Kế hoạch chèn link (mới)'!$D$3:$D$2213=$B368),4),"""")"),"")</f>
        <v/>
      </c>
      <c r="O368" s="25" t="str">
        <f>IFERROR(__xludf.DUMMYFUNCTION("IFERROR(INDEX(FILTER('Kế hoạch chèn link (mới)'!$C$3:$C$2213,'Kế hoạch chèn link (mới)'!$D$3:$D$2213=$B368),5),"""")"),"")</f>
        <v/>
      </c>
      <c r="P368" s="25" t="str">
        <f>IFERROR(__xludf.DUMMYFUNCTION("IFERROR(INDEX(FILTER('Kế hoạch chèn link (mới)'!$B$3:$B$2213,'Kế hoạch chèn link (mới)'!$D$3:$D$2213=$B368),5),"""")"),"")</f>
        <v/>
      </c>
    </row>
    <row r="369">
      <c r="A369" s="6">
        <f t="shared" si="1"/>
        <v>368</v>
      </c>
      <c r="B369" s="8" t="s">
        <v>1391</v>
      </c>
      <c r="C369" s="6">
        <f>COUNTIF('Kế hoạch chèn link (mới)'!$D$3:$D$2213,$B369)</f>
        <v>3</v>
      </c>
      <c r="D369" s="8" t="str">
        <f>IF(COUNTIFS('Kế hoạch chèn link (mới)'!$D$3:$D$2213,$B369,'Kế hoạch chèn link (mới)'!$I$3:$I$2213,"Đã chèn")&gt;=$C369,"Đã hoàn thành",IF(COUNTIFS('Kế hoạch chèn link (mới)'!$D$3:$D$2213,$B369,'Kế hoạch chèn link (mới)'!$I$3:$I$2213,"Đã chèn")&gt;0,"Đang làm","Chưa hoàn thành"))</f>
        <v>Chưa hoàn thành</v>
      </c>
      <c r="E369" s="8" t="b">
        <f t="shared" si="2"/>
        <v>0</v>
      </c>
      <c r="F369" s="25"/>
      <c r="G369" s="25" t="str">
        <f>IFERROR(__xludf.DUMMYFUNCTION("IFERROR(INDEX(FILTER('Kế hoạch chèn link (mới)'!$C$3:$C$2213,'Kế hoạch chèn link (mới)'!$D$3:$D$2213=$B369),1),"""")"),"nạp thẻ viettel")</f>
        <v>nạp thẻ viettel</v>
      </c>
      <c r="H369" s="25" t="str">
        <f>IFERROR(__xludf.DUMMYFUNCTION("IFERROR(INDEX(FILTER('Kế hoạch chèn link (mới)'!$B$3:$B$2213,'Kế hoạch chèn link (mới)'!$D$3:$D$2213=$B369),1),"""")"),"https://techcombank.com/thong-tin/blog/cach-nap-the-viettel")</f>
        <v>https://techcombank.com/thong-tin/blog/cach-nap-the-viettel</v>
      </c>
      <c r="I369" s="25" t="str">
        <f>IFERROR(__xludf.DUMMYFUNCTION("IFERROR(INDEX(FILTER('Kế hoạch chèn link (mới)'!$C$3:$C$2213,'Kế hoạch chèn link (mới)'!$D$3:$D$2213=$B369),2),"""")"),"bao nhiêu tuổi được mở tài khoản ngân hàng")</f>
        <v>bao nhiêu tuổi được mở tài khoản ngân hàng</v>
      </c>
      <c r="J369" s="25" t="str">
        <f>IFERROR(__xludf.DUMMYFUNCTION("IFERROR(INDEX(FILTER('Kế hoạch chèn link (mới)'!$B$3:$B$2213,'Kế hoạch chèn link (mới)'!$D$3:$D$2213=$B369),2),"""")"),"https://techcombank.com/thong-tin/blog/bao-nhieu-tuoi-duoc-mo-tai-khoan-ngan-hang")</f>
        <v>https://techcombank.com/thong-tin/blog/bao-nhieu-tuoi-duoc-mo-tai-khoan-ngan-hang</v>
      </c>
      <c r="K369" s="25" t="str">
        <f>IFERROR(__xludf.DUMMYFUNCTION("IFERROR(INDEX(FILTER('Kế hoạch chèn link (mới)'!$C$3:$C$2213,'Kế hoạch chèn link (mới)'!$D$3:$D$2213=$B369),3),"""")"),"tên đăng nhập tài khoản ngân hàng")</f>
        <v>tên đăng nhập tài khoản ngân hàng</v>
      </c>
      <c r="L369" s="25" t="str">
        <f>IFERROR(__xludf.DUMMYFUNCTION("IFERROR(INDEX(FILTER('Kế hoạch chèn link (mới)'!$B$3:$B$2213,'Kế hoạch chèn link (mới)'!$D$3:$D$2213=$B369),3),"""")"),"https://techcombank.com/thong-tin/blog/ten-dang-nhap-tai-khoan-ngan-hang-la-gi")</f>
        <v>https://techcombank.com/thong-tin/blog/ten-dang-nhap-tai-khoan-ngan-hang-la-gi</v>
      </c>
      <c r="M369" s="25" t="str">
        <f>IFERROR(__xludf.DUMMYFUNCTION("IFERROR(INDEX(FILTER('Kế hoạch chèn link (mới)'!$C$3:$C$2213,'Kế hoạch chèn link (mới)'!$D$3:$D$2213=$B369),4),"""")"),"")</f>
        <v/>
      </c>
      <c r="N369" s="25" t="str">
        <f>IFERROR(__xludf.DUMMYFUNCTION("IFERROR(INDEX(FILTER('Kế hoạch chèn link (mới)'!$B$3:$B$2213,'Kế hoạch chèn link (mới)'!$D$3:$D$2213=$B369),4),"""")"),"")</f>
        <v/>
      </c>
      <c r="O369" s="25" t="str">
        <f>IFERROR(__xludf.DUMMYFUNCTION("IFERROR(INDEX(FILTER('Kế hoạch chèn link (mới)'!$C$3:$C$2213,'Kế hoạch chèn link (mới)'!$D$3:$D$2213=$B369),5),"""")"),"")</f>
        <v/>
      </c>
      <c r="P369" s="25" t="str">
        <f>IFERROR(__xludf.DUMMYFUNCTION("IFERROR(INDEX(FILTER('Kế hoạch chèn link (mới)'!$B$3:$B$2213,'Kế hoạch chèn link (mới)'!$D$3:$D$2213=$B369),5),"""")"),"")</f>
        <v/>
      </c>
    </row>
    <row r="370">
      <c r="A370" s="6">
        <f t="shared" si="1"/>
        <v>369</v>
      </c>
      <c r="B370" s="8" t="s">
        <v>3002</v>
      </c>
      <c r="C370" s="6">
        <f>COUNTIF('Kế hoạch chèn link (mới)'!$D$3:$D$2213,$B370)</f>
        <v>5</v>
      </c>
      <c r="D370" s="8" t="str">
        <f>IF(COUNTIFS('Kế hoạch chèn link (mới)'!$D$3:$D$2213,$B370,'Kế hoạch chèn link (mới)'!$I$3:$I$2213,"Đã chèn")&gt;=$C370,"Đã hoàn thành",IF(COUNTIFS('Kế hoạch chèn link (mới)'!$D$3:$D$2213,$B370,'Kế hoạch chèn link (mới)'!$I$3:$I$2213,"Đã chèn")&gt;0,"Đang làm","Chưa hoàn thành"))</f>
        <v>Chưa hoàn thành</v>
      </c>
      <c r="E370" s="8" t="b">
        <f t="shared" si="2"/>
        <v>0</v>
      </c>
      <c r="F370" s="25"/>
      <c r="G370" s="25" t="str">
        <f>IFERROR(__xludf.DUMMYFUNCTION("IFERROR(INDEX(FILTER('Kế hoạch chèn link (mới)'!$C$3:$C$2213,'Kế hoạch chèn link (mới)'!$D$3:$D$2213=$B370),1),"""")"),"lãi suất ngân hàng tiền gửi")</f>
        <v>lãi suất ngân hàng tiền gửi</v>
      </c>
      <c r="H370" s="25" t="str">
        <f>IFERROR(__xludf.DUMMYFUNCTION("IFERROR(INDEX(FILTER('Kế hoạch chèn link (mới)'!$B$3:$B$2213,'Kế hoạch chèn link (mới)'!$D$3:$D$2213=$B370),1),"""")"),"https://techcombank.com/thong-tin/blog/lai-suat-tiet-kiem")</f>
        <v>https://techcombank.com/thong-tin/blog/lai-suat-tiet-kiem</v>
      </c>
      <c r="I370" s="25" t="str">
        <f>IFERROR(__xludf.DUMMYFUNCTION("IFERROR(INDEX(FILTER('Kế hoạch chèn link (mới)'!$C$3:$C$2213,'Kế hoạch chèn link (mới)'!$D$3:$D$2213=$B370),2),"""")"),"tính lãi suất tiết kiệm")</f>
        <v>tính lãi suất tiết kiệm</v>
      </c>
      <c r="J370" s="25" t="str">
        <f>IFERROR(__xludf.DUMMYFUNCTION("IFERROR(INDEX(FILTER('Kế hoạch chèn link (mới)'!$B$3:$B$2213,'Kế hoạch chèn link (mới)'!$D$3:$D$2213=$B370),2),"""")"),"https://techcombank.com/thong-tin/blog/cach-tinh-lai-suat-tien-gui-tiet-kiem")</f>
        <v>https://techcombank.com/thong-tin/blog/cach-tinh-lai-suat-tien-gui-tiet-kiem</v>
      </c>
      <c r="K370" s="25" t="str">
        <f>IFERROR(__xludf.DUMMYFUNCTION("IFERROR(INDEX(FILTER('Kế hoạch chèn link (mới)'!$C$3:$C$2213,'Kế hoạch chèn link (mới)'!$D$3:$D$2213=$B370),3),"""")"),"rút tiết kiệm trước hạn")</f>
        <v>rút tiết kiệm trước hạn</v>
      </c>
      <c r="L370" s="25" t="str">
        <f>IFERROR(__xludf.DUMMYFUNCTION("IFERROR(INDEX(FILTER('Kế hoạch chèn link (mới)'!$B$3:$B$2213,'Kế hoạch chèn link (mới)'!$D$3:$D$2213=$B370),3),"""")"),"https://techcombank.com/thong-tin/blog/rut-tien-tiet-kiem-truoc-thoi-han")</f>
        <v>https://techcombank.com/thong-tin/blog/rut-tien-tiet-kiem-truoc-thoi-han</v>
      </c>
      <c r="M370" s="25" t="str">
        <f>IFERROR(__xludf.DUMMYFUNCTION("IFERROR(INDEX(FILTER('Kế hoạch chèn link (mới)'!$C$3:$C$2213,'Kế hoạch chèn link (mới)'!$D$3:$D$2213=$B370),4),"""")"),"sổ tiết kiệm")</f>
        <v>sổ tiết kiệm</v>
      </c>
      <c r="N370" s="25" t="str">
        <f>IFERROR(__xludf.DUMMYFUNCTION("IFERROR(INDEX(FILTER('Kế hoạch chèn link (mới)'!$B$3:$B$2213,'Kế hoạch chèn link (mới)'!$D$3:$D$2213=$B370),4),"""")"),"https://techcombank.com/thong-tin/blog/so-tiet-kiem-ngan-hang")</f>
        <v>https://techcombank.com/thong-tin/blog/so-tiet-kiem-ngan-hang</v>
      </c>
      <c r="O370" s="25" t="str">
        <f>IFERROR(__xludf.DUMMYFUNCTION("IFERROR(INDEX(FILTER('Kế hoạch chèn link (mới)'!$C$3:$C$2213,'Kế hoạch chèn link (mới)'!$D$3:$D$2213=$B370),5),"""")"),"gửi tiết kiệm online có an toàn không")</f>
        <v>gửi tiết kiệm online có an toàn không</v>
      </c>
      <c r="P370" s="25" t="str">
        <f>IFERROR(__xludf.DUMMYFUNCTION("IFERROR(INDEX(FILTER('Kế hoạch chèn link (mới)'!$B$3:$B$2213,'Kế hoạch chèn link (mới)'!$D$3:$D$2213=$B370),5),"""")"),"https://techcombank.com/thong-tin/blog/rui-ro-khi-gui-tiet-kiem-online")</f>
        <v>https://techcombank.com/thong-tin/blog/rui-ro-khi-gui-tiet-kiem-online</v>
      </c>
    </row>
    <row r="371">
      <c r="A371" s="6">
        <f t="shared" si="1"/>
        <v>370</v>
      </c>
      <c r="B371" s="8" t="s">
        <v>3004</v>
      </c>
      <c r="C371" s="6">
        <f>COUNTIF('Kế hoạch chèn link (mới)'!$D$3:$D$2213,$B371)</f>
        <v>4</v>
      </c>
      <c r="D371" s="8" t="str">
        <f>IF(COUNTIFS('Kế hoạch chèn link (mới)'!$D$3:$D$2213,$B371,'Kế hoạch chèn link (mới)'!$I$3:$I$2213,"Đã chèn")&gt;=$C371,"Đã hoàn thành",IF(COUNTIFS('Kế hoạch chèn link (mới)'!$D$3:$D$2213,$B371,'Kế hoạch chèn link (mới)'!$I$3:$I$2213,"Đã chèn")&gt;0,"Đang làm","Chưa hoàn thành"))</f>
        <v>Chưa hoàn thành</v>
      </c>
      <c r="E371" s="8" t="b">
        <f t="shared" si="2"/>
        <v>0</v>
      </c>
      <c r="F371" s="25"/>
      <c r="G371" s="25" t="str">
        <f>IFERROR(__xludf.DUMMYFUNCTION("IFERROR(INDEX(FILTER('Kế hoạch chèn link (mới)'!$C$3:$C$2213,'Kế hoạch chèn link (mới)'!$D$3:$D$2213=$B371),1),"""")"),"rút tiền thẻ tín dụng")</f>
        <v>rút tiền thẻ tín dụng</v>
      </c>
      <c r="H371" s="25" t="str">
        <f>IFERROR(__xludf.DUMMYFUNCTION("IFERROR(INDEX(FILTER('Kế hoạch chèn link (mới)'!$B$3:$B$2213,'Kế hoạch chèn link (mới)'!$D$3:$D$2213=$B371),1),"""")"),"https://techcombank.com/thong-tin/blog/rut-tien-mat-tu-the-tin-dung")</f>
        <v>https://techcombank.com/thong-tin/blog/rut-tien-mat-tu-the-tin-dung</v>
      </c>
      <c r="I371" s="25" t="str">
        <f>IFERROR(__xludf.DUMMYFUNCTION("IFERROR(INDEX(FILTER('Kế hoạch chèn link (mới)'!$C$3:$C$2213,'Kế hoạch chèn link (mới)'!$D$3:$D$2213=$B371),2),"""")"),"mở thẻ tín dụng")</f>
        <v>mở thẻ tín dụng</v>
      </c>
      <c r="J371" s="25" t="str">
        <f>IFERROR(__xludf.DUMMYFUNCTION("IFERROR(INDEX(FILTER('Kế hoạch chèn link (mới)'!$B$3:$B$2213,'Kế hoạch chèn link (mới)'!$D$3:$D$2213=$B371),2),"""")"),"https://techcombank.com/thong-tin/blog/lam-the-tin-dung")</f>
        <v>https://techcombank.com/thong-tin/blog/lam-the-tin-dung</v>
      </c>
      <c r="K371" s="25" t="str">
        <f>IFERROR(__xludf.DUMMYFUNCTION("IFERROR(INDEX(FILTER('Kế hoạch chèn link (mới)'!$C$3:$C$2213,'Kế hoạch chèn link (mới)'!$D$3:$D$2213=$B371),3),"""")"),"thẻ tín dụng Techcombank Everyday")</f>
        <v>thẻ tín dụng Techcombank Everyday</v>
      </c>
      <c r="L371" s="25" t="str">
        <f>IFERROR(__xludf.DUMMYFUNCTION("IFERROR(INDEX(FILTER('Kế hoạch chèn link (mới)'!$B$3:$B$2213,'Kế hoạch chèn link (mới)'!$D$3:$D$2213=$B371),3),"""")"),"https://techcombank.com/khach-hang-ca-nhan/chi-tieu/the/the-tin-dung/techcombank-everyday")</f>
        <v>https://techcombank.com/khach-hang-ca-nhan/chi-tieu/the/the-tin-dung/techcombank-everyday</v>
      </c>
      <c r="M371" s="25" t="str">
        <f>IFERROR(__xludf.DUMMYFUNCTION("IFERROR(INDEX(FILTER('Kế hoạch chèn link (mới)'!$C$3:$C$2213,'Kế hoạch chèn link (mới)'!$D$3:$D$2213=$B371),4),"""")"),"hủy thẻ tín dụng")</f>
        <v>hủy thẻ tín dụng</v>
      </c>
      <c r="N371" s="25" t="str">
        <f>IFERROR(__xludf.DUMMYFUNCTION("IFERROR(INDEX(FILTER('Kế hoạch chèn link (mới)'!$B$3:$B$2213,'Kế hoạch chèn link (mới)'!$D$3:$D$2213=$B371),4),"""")"),"https://techcombank.com/thong-tin/blog/cach-huy-the-tin-dung")</f>
        <v>https://techcombank.com/thong-tin/blog/cach-huy-the-tin-dung</v>
      </c>
      <c r="O371" s="25" t="str">
        <f>IFERROR(__xludf.DUMMYFUNCTION("IFERROR(INDEX(FILTER('Kế hoạch chèn link (mới)'!$C$3:$C$2213,'Kế hoạch chèn link (mới)'!$D$3:$D$2213=$B371),5),"""")"),"")</f>
        <v/>
      </c>
      <c r="P371" s="25" t="str">
        <f>IFERROR(__xludf.DUMMYFUNCTION("IFERROR(INDEX(FILTER('Kế hoạch chèn link (mới)'!$B$3:$B$2213,'Kế hoạch chèn link (mới)'!$D$3:$D$2213=$B371),5),"""")"),"")</f>
        <v/>
      </c>
    </row>
    <row r="372">
      <c r="A372" s="6">
        <f t="shared" si="1"/>
        <v>371</v>
      </c>
      <c r="B372" s="8" t="s">
        <v>1243</v>
      </c>
      <c r="C372" s="6">
        <f>COUNTIF('Kế hoạch chèn link (mới)'!$D$3:$D$2213,$B372)</f>
        <v>3</v>
      </c>
      <c r="D372" s="8" t="str">
        <f>IF(COUNTIFS('Kế hoạch chèn link (mới)'!$D$3:$D$2213,$B372,'Kế hoạch chèn link (mới)'!$I$3:$I$2213,"Đã chèn")&gt;=$C372,"Đã hoàn thành",IF(COUNTIFS('Kế hoạch chèn link (mới)'!$D$3:$D$2213,$B372,'Kế hoạch chèn link (mới)'!$I$3:$I$2213,"Đã chèn")&gt;0,"Đang làm","Chưa hoàn thành"))</f>
        <v>Chưa hoàn thành</v>
      </c>
      <c r="E372" s="8" t="b">
        <f t="shared" si="2"/>
        <v>0</v>
      </c>
      <c r="F372" s="25"/>
      <c r="G372" s="25" t="str">
        <f>IFERROR(__xludf.DUMMYFUNCTION("IFERROR(INDEX(FILTER('Kế hoạch chèn link (mới)'!$C$3:$C$2213,'Kế hoạch chèn link (mới)'!$D$3:$D$2213=$B372),1),"""")"),"công ty sử dụng tài khoản cá nhân")</f>
        <v>công ty sử dụng tài khoản cá nhân</v>
      </c>
      <c r="H372" s="25" t="str">
        <f>IFERROR(__xludf.DUMMYFUNCTION("IFERROR(INDEX(FILTER('Kế hoạch chèn link (mới)'!$B$3:$B$2213,'Kế hoạch chèn link (mới)'!$D$3:$D$2213=$B372),1),"""")"),"https://techcombank.com/thong-tin/blog/cong-ty-su-dung-tai-khoan-ca-nhan")</f>
        <v>https://techcombank.com/thong-tin/blog/cong-ty-su-dung-tai-khoan-ca-nhan</v>
      </c>
      <c r="I372" s="25" t="str">
        <f>IFERROR(__xludf.DUMMYFUNCTION("IFERROR(INDEX(FILTER('Kế hoạch chèn link (mới)'!$C$3:$C$2213,'Kế hoạch chèn link (mới)'!$D$3:$D$2213=$B372),2),"""")"),"mở tài khoản ngân hàng online")</f>
        <v>mở tài khoản ngân hàng online</v>
      </c>
      <c r="J372" s="25" t="str">
        <f>IFERROR(__xludf.DUMMYFUNCTION("IFERROR(INDEX(FILTER('Kế hoạch chèn link (mới)'!$B$3:$B$2213,'Kế hoạch chèn link (mới)'!$D$3:$D$2213=$B372),2),"""")"),"https://techcombank.com/thong-tin/blog/cach-mo-tai-khoan")</f>
        <v>https://techcombank.com/thong-tin/blog/cach-mo-tai-khoan</v>
      </c>
      <c r="K372" s="25" t="str">
        <f>IFERROR(__xludf.DUMMYFUNCTION("IFERROR(INDEX(FILTER('Kế hoạch chèn link (mới)'!$C$3:$C$2213,'Kế hoạch chèn link (mới)'!$D$3:$D$2213=$B372),3),"""")"),"tên đăng nhập")</f>
        <v>tên đăng nhập</v>
      </c>
      <c r="L372" s="25" t="str">
        <f>IFERROR(__xludf.DUMMYFUNCTION("IFERROR(INDEX(FILTER('Kế hoạch chèn link (mới)'!$B$3:$B$2213,'Kế hoạch chèn link (mới)'!$D$3:$D$2213=$B372),3),"""")"),"https://techcombank.com/thong-tin/blog/ten-dang-nhap-tai-khoan-ngan-hang-la-gi")</f>
        <v>https://techcombank.com/thong-tin/blog/ten-dang-nhap-tai-khoan-ngan-hang-la-gi</v>
      </c>
      <c r="M372" s="25" t="str">
        <f>IFERROR(__xludf.DUMMYFUNCTION("IFERROR(INDEX(FILTER('Kế hoạch chèn link (mới)'!$C$3:$C$2213,'Kế hoạch chèn link (mới)'!$D$3:$D$2213=$B372),4),"""")"),"")</f>
        <v/>
      </c>
      <c r="N372" s="25" t="str">
        <f>IFERROR(__xludf.DUMMYFUNCTION("IFERROR(INDEX(FILTER('Kế hoạch chèn link (mới)'!$B$3:$B$2213,'Kế hoạch chèn link (mới)'!$D$3:$D$2213=$B372),4),"""")"),"")</f>
        <v/>
      </c>
      <c r="O372" s="25" t="str">
        <f>IFERROR(__xludf.DUMMYFUNCTION("IFERROR(INDEX(FILTER('Kế hoạch chèn link (mới)'!$C$3:$C$2213,'Kế hoạch chèn link (mới)'!$D$3:$D$2213=$B372),5),"""")"),"")</f>
        <v/>
      </c>
      <c r="P372" s="25" t="str">
        <f>IFERROR(__xludf.DUMMYFUNCTION("IFERROR(INDEX(FILTER('Kế hoạch chèn link (mới)'!$B$3:$B$2213,'Kế hoạch chèn link (mới)'!$D$3:$D$2213=$B372),5),"""")"),"")</f>
        <v/>
      </c>
    </row>
    <row r="373">
      <c r="A373" s="6">
        <f t="shared" si="1"/>
        <v>372</v>
      </c>
      <c r="B373" s="8" t="s">
        <v>3005</v>
      </c>
      <c r="C373" s="6">
        <f>COUNTIF('Kế hoạch chèn link (mới)'!$D$3:$D$2213,$B373)</f>
        <v>2</v>
      </c>
      <c r="D373" s="8" t="str">
        <f>IF(COUNTIFS('Kế hoạch chèn link (mới)'!$D$3:$D$2213,$B373,'Kế hoạch chèn link (mới)'!$I$3:$I$2213,"Đã chèn")&gt;=$C373,"Đã hoàn thành",IF(COUNTIFS('Kế hoạch chèn link (mới)'!$D$3:$D$2213,$B373,'Kế hoạch chèn link (mới)'!$I$3:$I$2213,"Đã chèn")&gt;0,"Đang làm","Chưa hoàn thành"))</f>
        <v>Chưa hoàn thành</v>
      </c>
      <c r="E373" s="8" t="b">
        <f t="shared" si="2"/>
        <v>0</v>
      </c>
      <c r="F373" s="25"/>
      <c r="G373" s="25" t="str">
        <f>IFERROR(__xludf.DUMMYFUNCTION("IFERROR(INDEX(FILTER('Kế hoạch chèn link (mới)'!$C$3:$C$2213,'Kế hoạch chèn link (mới)'!$D$3:$D$2213=$B373),1),"""")"),"thuế hộ kinh doanh")</f>
        <v>thuế hộ kinh doanh</v>
      </c>
      <c r="H373" s="25" t="str">
        <f>IFERROR(__xludf.DUMMYFUNCTION("IFERROR(INDEX(FILTER('Kế hoạch chèn link (mới)'!$B$3:$B$2213,'Kế hoạch chèn link (mới)'!$D$3:$D$2213=$B373),1),"""")"),"https://techcombank.com/thong-tin/blog/ho-kinh-doanh-dong-thue-nhu-nao")</f>
        <v>https://techcombank.com/thong-tin/blog/ho-kinh-doanh-dong-thue-nhu-nao</v>
      </c>
      <c r="I373" s="25" t="str">
        <f>IFERROR(__xludf.DUMMYFUNCTION("IFERROR(INDEX(FILTER('Kế hoạch chèn link (mới)'!$C$3:$C$2213,'Kế hoạch chèn link (mới)'!$D$3:$D$2213=$B373),2),"""")"),"mở tài khoản hộ kinh doanh")</f>
        <v>mở tài khoản hộ kinh doanh</v>
      </c>
      <c r="J373" s="25" t="str">
        <f>IFERROR(__xludf.DUMMYFUNCTION("IFERROR(INDEX(FILTER('Kế hoạch chèn link (mới)'!$B$3:$B$2213,'Kế hoạch chèn link (mới)'!$D$3:$D$2213=$B373),2),"""")"),"https://techcombank.com/thong-tin/blog/mo-tai-khoan-ho-kinh-doanh")</f>
        <v>https://techcombank.com/thong-tin/blog/mo-tai-khoan-ho-kinh-doanh</v>
      </c>
      <c r="K373" s="25" t="str">
        <f>IFERROR(__xludf.DUMMYFUNCTION("IFERROR(INDEX(FILTER('Kế hoạch chèn link (mới)'!$C$3:$C$2213,'Kế hoạch chèn link (mới)'!$D$3:$D$2213=$B373),3),"""")"),"")</f>
        <v/>
      </c>
      <c r="L373" s="25" t="str">
        <f>IFERROR(__xludf.DUMMYFUNCTION("IFERROR(INDEX(FILTER('Kế hoạch chèn link (mới)'!$B$3:$B$2213,'Kế hoạch chèn link (mới)'!$D$3:$D$2213=$B373),3),"""")"),"")</f>
        <v/>
      </c>
      <c r="M373" s="25" t="str">
        <f>IFERROR(__xludf.DUMMYFUNCTION("IFERROR(INDEX(FILTER('Kế hoạch chèn link (mới)'!$C$3:$C$2213,'Kế hoạch chèn link (mới)'!$D$3:$D$2213=$B373),4),"""")"),"")</f>
        <v/>
      </c>
      <c r="N373" s="25" t="str">
        <f>IFERROR(__xludf.DUMMYFUNCTION("IFERROR(INDEX(FILTER('Kế hoạch chèn link (mới)'!$B$3:$B$2213,'Kế hoạch chèn link (mới)'!$D$3:$D$2213=$B373),4),"""")"),"")</f>
        <v/>
      </c>
      <c r="O373" s="25" t="str">
        <f>IFERROR(__xludf.DUMMYFUNCTION("IFERROR(INDEX(FILTER('Kế hoạch chèn link (mới)'!$C$3:$C$2213,'Kế hoạch chèn link (mới)'!$D$3:$D$2213=$B373),5),"""")"),"")</f>
        <v/>
      </c>
      <c r="P373" s="25" t="str">
        <f>IFERROR(__xludf.DUMMYFUNCTION("IFERROR(INDEX(FILTER('Kế hoạch chèn link (mới)'!$B$3:$B$2213,'Kế hoạch chèn link (mới)'!$D$3:$D$2213=$B373),5),"""")"),"")</f>
        <v/>
      </c>
    </row>
    <row r="374">
      <c r="A374" s="6">
        <f t="shared" si="1"/>
        <v>373</v>
      </c>
      <c r="B374" s="8" t="s">
        <v>980</v>
      </c>
      <c r="C374" s="6">
        <f>COUNTIF('Kế hoạch chèn link (mới)'!$D$3:$D$2213,$B374)</f>
        <v>2</v>
      </c>
      <c r="D374" s="8" t="str">
        <f>IF(COUNTIFS('Kế hoạch chèn link (mới)'!$D$3:$D$2213,$B374,'Kế hoạch chèn link (mới)'!$I$3:$I$2213,"Đã chèn")&gt;=$C374,"Đã hoàn thành",IF(COUNTIFS('Kế hoạch chèn link (mới)'!$D$3:$D$2213,$B374,'Kế hoạch chèn link (mới)'!$I$3:$I$2213,"Đã chèn")&gt;0,"Đang làm","Chưa hoàn thành"))</f>
        <v>Chưa hoàn thành</v>
      </c>
      <c r="E374" s="8" t="b">
        <f t="shared" si="2"/>
        <v>0</v>
      </c>
      <c r="F374" s="25"/>
      <c r="G374" s="25" t="str">
        <f>IFERROR(__xludf.DUMMYFUNCTION("IFERROR(INDEX(FILTER('Kế hoạch chèn link (mới)'!$C$3:$C$2213,'Kế hoạch chèn link (mới)'!$D$3:$D$2213=$B374),1),"""")"),"thuế VAT")</f>
        <v>thuế VAT</v>
      </c>
      <c r="H374" s="25" t="str">
        <f>IFERROR(__xludf.DUMMYFUNCTION("IFERROR(INDEX(FILTER('Kế hoạch chèn link (mới)'!$B$3:$B$2213,'Kế hoạch chèn link (mới)'!$D$3:$D$2213=$B374),1),"""")"),"https://techcombank.com/thong-tin/blog/thue-vat-la-gi")</f>
        <v>https://techcombank.com/thong-tin/blog/thue-vat-la-gi</v>
      </c>
      <c r="I374" s="25" t="str">
        <f>IFERROR(__xludf.DUMMYFUNCTION("IFERROR(INDEX(FILTER('Kế hoạch chèn link (mới)'!$C$3:$C$2213,'Kế hoạch chèn link (mới)'!$D$3:$D$2213=$B374),2),"""")"),"thuế hộ kinh doanh")</f>
        <v>thuế hộ kinh doanh</v>
      </c>
      <c r="J374" s="25" t="str">
        <f>IFERROR(__xludf.DUMMYFUNCTION("IFERROR(INDEX(FILTER('Kế hoạch chèn link (mới)'!$B$3:$B$2213,'Kế hoạch chèn link (mới)'!$D$3:$D$2213=$B374),2),"""")"),"https://techcombank.com/thong-tin/blog/ho-kinh-doanh-dong-thue-nhu-nao")</f>
        <v>https://techcombank.com/thong-tin/blog/ho-kinh-doanh-dong-thue-nhu-nao</v>
      </c>
      <c r="K374" s="25" t="str">
        <f>IFERROR(__xludf.DUMMYFUNCTION("IFERROR(INDEX(FILTER('Kế hoạch chèn link (mới)'!$C$3:$C$2213,'Kế hoạch chèn link (mới)'!$D$3:$D$2213=$B374),3),"""")"),"")</f>
        <v/>
      </c>
      <c r="L374" s="25" t="str">
        <f>IFERROR(__xludf.DUMMYFUNCTION("IFERROR(INDEX(FILTER('Kế hoạch chèn link (mới)'!$B$3:$B$2213,'Kế hoạch chèn link (mới)'!$D$3:$D$2213=$B374),3),"""")"),"")</f>
        <v/>
      </c>
      <c r="M374" s="25" t="str">
        <f>IFERROR(__xludf.DUMMYFUNCTION("IFERROR(INDEX(FILTER('Kế hoạch chèn link (mới)'!$C$3:$C$2213,'Kế hoạch chèn link (mới)'!$D$3:$D$2213=$B374),4),"""")"),"")</f>
        <v/>
      </c>
      <c r="N374" s="25" t="str">
        <f>IFERROR(__xludf.DUMMYFUNCTION("IFERROR(INDEX(FILTER('Kế hoạch chèn link (mới)'!$B$3:$B$2213,'Kế hoạch chèn link (mới)'!$D$3:$D$2213=$B374),4),"""")"),"")</f>
        <v/>
      </c>
      <c r="O374" s="25" t="str">
        <f>IFERROR(__xludf.DUMMYFUNCTION("IFERROR(INDEX(FILTER('Kế hoạch chèn link (mới)'!$C$3:$C$2213,'Kế hoạch chèn link (mới)'!$D$3:$D$2213=$B374),5),"""")"),"")</f>
        <v/>
      </c>
      <c r="P374" s="25" t="str">
        <f>IFERROR(__xludf.DUMMYFUNCTION("IFERROR(INDEX(FILTER('Kế hoạch chèn link (mới)'!$B$3:$B$2213,'Kế hoạch chèn link (mới)'!$D$3:$D$2213=$B374),5),"""")"),"")</f>
        <v/>
      </c>
    </row>
    <row r="375">
      <c r="A375" s="6">
        <f t="shared" si="1"/>
        <v>374</v>
      </c>
      <c r="B375" s="8" t="s">
        <v>3007</v>
      </c>
      <c r="C375" s="6">
        <f>COUNTIF('Kế hoạch chèn link (mới)'!$D$3:$D$2213,$B375)</f>
        <v>4</v>
      </c>
      <c r="D375" s="8" t="str">
        <f>IF(COUNTIFS('Kế hoạch chèn link (mới)'!$D$3:$D$2213,$B375,'Kế hoạch chèn link (mới)'!$I$3:$I$2213,"Đã chèn")&gt;=$C375,"Đã hoàn thành",IF(COUNTIFS('Kế hoạch chèn link (mới)'!$D$3:$D$2213,$B375,'Kế hoạch chèn link (mới)'!$I$3:$I$2213,"Đã chèn")&gt;0,"Đang làm","Chưa hoàn thành"))</f>
        <v>Chưa hoàn thành</v>
      </c>
      <c r="E375" s="8" t="b">
        <f t="shared" si="2"/>
        <v>0</v>
      </c>
      <c r="F375" s="25"/>
      <c r="G375" s="25" t="str">
        <f>IFERROR(__xludf.DUMMYFUNCTION("IFERROR(INDEX(FILTER('Kế hoạch chèn link (mới)'!$C$3:$C$2213,'Kế hoạch chèn link (mới)'!$D$3:$D$2213=$B375),1),"""")"),"rút tiền thẻ tín dụng")</f>
        <v>rút tiền thẻ tín dụng</v>
      </c>
      <c r="H375" s="25" t="str">
        <f>IFERROR(__xludf.DUMMYFUNCTION("IFERROR(INDEX(FILTER('Kế hoạch chèn link (mới)'!$B$3:$B$2213,'Kế hoạch chèn link (mới)'!$D$3:$D$2213=$B375),1),"""")"),"https://techcombank.com/thong-tin/blog/rut-tien-mat-tu-the-tin-dung")</f>
        <v>https://techcombank.com/thong-tin/blog/rut-tien-mat-tu-the-tin-dung</v>
      </c>
      <c r="I375" s="25" t="str">
        <f>IFERROR(__xludf.DUMMYFUNCTION("IFERROR(INDEX(FILTER('Kế hoạch chèn link (mới)'!$C$3:$C$2213,'Kế hoạch chèn link (mới)'!$D$3:$D$2213=$B375),2),"""")"),"thuế hộ kinh doanh")</f>
        <v>thuế hộ kinh doanh</v>
      </c>
      <c r="J375" s="25" t="str">
        <f>IFERROR(__xludf.DUMMYFUNCTION("IFERROR(INDEX(FILTER('Kế hoạch chèn link (mới)'!$B$3:$B$2213,'Kế hoạch chèn link (mới)'!$D$3:$D$2213=$B375),2),"""")"),"https://techcombank.com/thong-tin/blog/ho-kinh-doanh-dong-thue-nhu-nao")</f>
        <v>https://techcombank.com/thong-tin/blog/ho-kinh-doanh-dong-thue-nhu-nao</v>
      </c>
      <c r="K375" s="25" t="str">
        <f>IFERROR(__xludf.DUMMYFUNCTION("IFERROR(INDEX(FILTER('Kế hoạch chèn link (mới)'!$C$3:$C$2213,'Kế hoạch chèn link (mới)'!$D$3:$D$2213=$B375),3),"""")"),"gửi mã QR ngân hàng")</f>
        <v>gửi mã QR ngân hàng</v>
      </c>
      <c r="L375" s="25" t="str">
        <f>IFERROR(__xludf.DUMMYFUNCTION("IFERROR(INDEX(FILTER('Kế hoạch chèn link (mới)'!$B$3:$B$2213,'Kế hoạch chèn link (mới)'!$D$3:$D$2213=$B375),3),"""")"),"https://techcombank.com/thong-tin/blog/gui-ma-qr-ngan-hang")</f>
        <v>https://techcombank.com/thong-tin/blog/gui-ma-qr-ngan-hang</v>
      </c>
      <c r="M375" s="25" t="str">
        <f>IFERROR(__xludf.DUMMYFUNCTION("IFERROR(INDEX(FILTER('Kế hoạch chèn link (mới)'!$C$3:$C$2213,'Kế hoạch chèn link (mới)'!$D$3:$D$2213=$B375),4),"""")"),"thủ tục xóa thế chấp")</f>
        <v>thủ tục xóa thế chấp</v>
      </c>
      <c r="N375" s="25" t="str">
        <f>IFERROR(__xludf.DUMMYFUNCTION("IFERROR(INDEX(FILTER('Kế hoạch chèn link (mới)'!$B$3:$B$2213,'Kế hoạch chèn link (mới)'!$D$3:$D$2213=$B375),4),"""")"),"https://techcombank.com/thong-tin/blog/ho-so-thu-tuc-xoa-the-chap")</f>
        <v>https://techcombank.com/thong-tin/blog/ho-so-thu-tuc-xoa-the-chap</v>
      </c>
      <c r="O375" s="25" t="str">
        <f>IFERROR(__xludf.DUMMYFUNCTION("IFERROR(INDEX(FILTER('Kế hoạch chèn link (mới)'!$C$3:$C$2213,'Kế hoạch chèn link (mới)'!$D$3:$D$2213=$B375),5),"""")"),"")</f>
        <v/>
      </c>
      <c r="P375" s="25" t="str">
        <f>IFERROR(__xludf.DUMMYFUNCTION("IFERROR(INDEX(FILTER('Kế hoạch chèn link (mới)'!$B$3:$B$2213,'Kế hoạch chèn link (mới)'!$D$3:$D$2213=$B375),5),"""")"),"")</f>
        <v/>
      </c>
    </row>
    <row r="376">
      <c r="A376" s="6">
        <f t="shared" si="1"/>
        <v>375</v>
      </c>
      <c r="B376" s="8" t="s">
        <v>2671</v>
      </c>
      <c r="C376" s="6">
        <f>COUNTIF('Kế hoạch chèn link (mới)'!$D$3:$D$2213,$B376)</f>
        <v>1</v>
      </c>
      <c r="D376" s="8" t="str">
        <f>IF(COUNTIFS('Kế hoạch chèn link (mới)'!$D$3:$D$2213,$B376,'Kế hoạch chèn link (mới)'!$I$3:$I$2213,"Đã chèn")&gt;=$C376,"Đã hoàn thành",IF(COUNTIFS('Kế hoạch chèn link (mới)'!$D$3:$D$2213,$B376,'Kế hoạch chèn link (mới)'!$I$3:$I$2213,"Đã chèn")&gt;0,"Đang làm","Chưa hoàn thành"))</f>
        <v>Chưa hoàn thành</v>
      </c>
      <c r="E376" s="8" t="b">
        <f t="shared" si="2"/>
        <v>0</v>
      </c>
      <c r="F376" s="25"/>
      <c r="G376" s="25" t="str">
        <f>IFERROR(__xludf.DUMMYFUNCTION("IFERROR(INDEX(FILTER('Kế hoạch chèn link (mới)'!$C$3:$C$2213,'Kế hoạch chèn link (mới)'!$D$3:$D$2213=$B376),1),"""")"),"tên đăng nhập")</f>
        <v>tên đăng nhập</v>
      </c>
      <c r="H376" s="25" t="str">
        <f>IFERROR(__xludf.DUMMYFUNCTION("IFERROR(INDEX(FILTER('Kế hoạch chèn link (mới)'!$B$3:$B$2213,'Kế hoạch chèn link (mới)'!$D$3:$D$2213=$B376),1),"""")"),"https://techcombank.com/thong-tin/blog/ten-dang-nhap-tai-khoan-ngan-hang-la-gi")</f>
        <v>https://techcombank.com/thong-tin/blog/ten-dang-nhap-tai-khoan-ngan-hang-la-gi</v>
      </c>
      <c r="I376" s="25" t="str">
        <f>IFERROR(__xludf.DUMMYFUNCTION("IFERROR(INDEX(FILTER('Kế hoạch chèn link (mới)'!$C$3:$C$2213,'Kế hoạch chèn link (mới)'!$D$3:$D$2213=$B376),2),"""")"),"")</f>
        <v/>
      </c>
      <c r="J376" s="25" t="str">
        <f>IFERROR(__xludf.DUMMYFUNCTION("IFERROR(INDEX(FILTER('Kế hoạch chèn link (mới)'!$B$3:$B$2213,'Kế hoạch chèn link (mới)'!$D$3:$D$2213=$B376),2),"""")"),"")</f>
        <v/>
      </c>
      <c r="K376" s="25" t="str">
        <f>IFERROR(__xludf.DUMMYFUNCTION("IFERROR(INDEX(FILTER('Kế hoạch chèn link (mới)'!$C$3:$C$2213,'Kế hoạch chèn link (mới)'!$D$3:$D$2213=$B376),3),"""")"),"")</f>
        <v/>
      </c>
      <c r="L376" s="25" t="str">
        <f>IFERROR(__xludf.DUMMYFUNCTION("IFERROR(INDEX(FILTER('Kế hoạch chèn link (mới)'!$B$3:$B$2213,'Kế hoạch chèn link (mới)'!$D$3:$D$2213=$B376),3),"""")"),"")</f>
        <v/>
      </c>
      <c r="M376" s="25" t="str">
        <f>IFERROR(__xludf.DUMMYFUNCTION("IFERROR(INDEX(FILTER('Kế hoạch chèn link (mới)'!$C$3:$C$2213,'Kế hoạch chèn link (mới)'!$D$3:$D$2213=$B376),4),"""")"),"")</f>
        <v/>
      </c>
      <c r="N376" s="25" t="str">
        <f>IFERROR(__xludf.DUMMYFUNCTION("IFERROR(INDEX(FILTER('Kế hoạch chèn link (mới)'!$B$3:$B$2213,'Kế hoạch chèn link (mới)'!$D$3:$D$2213=$B376),4),"""")"),"")</f>
        <v/>
      </c>
      <c r="O376" s="25" t="str">
        <f>IFERROR(__xludf.DUMMYFUNCTION("IFERROR(INDEX(FILTER('Kế hoạch chèn link (mới)'!$C$3:$C$2213,'Kế hoạch chèn link (mới)'!$D$3:$D$2213=$B376),5),"""")"),"")</f>
        <v/>
      </c>
      <c r="P376" s="25" t="str">
        <f>IFERROR(__xludf.DUMMYFUNCTION("IFERROR(INDEX(FILTER('Kế hoạch chèn link (mới)'!$B$3:$B$2213,'Kế hoạch chèn link (mới)'!$D$3:$D$2213=$B376),5),"""")"),"")</f>
        <v/>
      </c>
    </row>
    <row r="377">
      <c r="A377" s="6">
        <f t="shared" si="1"/>
        <v>376</v>
      </c>
      <c r="B377" s="8" t="s">
        <v>2915</v>
      </c>
      <c r="C377" s="6">
        <f>COUNTIF('Kế hoạch chèn link (mới)'!$D$3:$D$2213,$B377)</f>
        <v>2</v>
      </c>
      <c r="D377" s="8" t="str">
        <f>IF(COUNTIFS('Kế hoạch chèn link (mới)'!$D$3:$D$2213,$B377,'Kế hoạch chèn link (mới)'!$I$3:$I$2213,"Đã chèn")&gt;=$C377,"Đã hoàn thành",IF(COUNTIFS('Kế hoạch chèn link (mới)'!$D$3:$D$2213,$B377,'Kế hoạch chèn link (mới)'!$I$3:$I$2213,"Đã chèn")&gt;0,"Đang làm","Chưa hoàn thành"))</f>
        <v>Chưa hoàn thành</v>
      </c>
      <c r="E377" s="8" t="b">
        <f t="shared" si="2"/>
        <v>0</v>
      </c>
      <c r="F377" s="25"/>
      <c r="G377" s="25" t="str">
        <f>IFERROR(__xludf.DUMMYFUNCTION("IFERROR(INDEX(FILTER('Kế hoạch chèn link (mới)'!$C$3:$C$2213,'Kế hoạch chèn link (mới)'!$D$3:$D$2213=$B377),1),"""")"),"rút tiền không cần thẻ")</f>
        <v>rút tiền không cần thẻ</v>
      </c>
      <c r="H377" s="25" t="str">
        <f>IFERROR(__xludf.DUMMYFUNCTION("IFERROR(INDEX(FILTER('Kế hoạch chèn link (mới)'!$B$3:$B$2213,'Kế hoạch chèn link (mới)'!$D$3:$D$2213=$B377),1),"""")"),"https://techcombank.com/thong-tin/blog/rut-tien-bang-ma-qr-la-gi-cach-thuc-hien-nhu-the-nao")</f>
        <v>https://techcombank.com/thong-tin/blog/rut-tien-bang-ma-qr-la-gi-cach-thuc-hien-nhu-the-nao</v>
      </c>
      <c r="I377" s="25" t="str">
        <f>IFERROR(__xludf.DUMMYFUNCTION("IFERROR(INDEX(FILTER('Kế hoạch chèn link (mới)'!$C$3:$C$2213,'Kế hoạch chèn link (mới)'!$D$3:$D$2213=$B377),2),"""")"),"làm thẻ tín dụng")</f>
        <v>làm thẻ tín dụng</v>
      </c>
      <c r="J377" s="25" t="str">
        <f>IFERROR(__xludf.DUMMYFUNCTION("IFERROR(INDEX(FILTER('Kế hoạch chèn link (mới)'!$B$3:$B$2213,'Kế hoạch chèn link (mới)'!$D$3:$D$2213=$B377),2),"""")"),"https://techcombank.com/thong-tin/blog/lam-the-tin-dung")</f>
        <v>https://techcombank.com/thong-tin/blog/lam-the-tin-dung</v>
      </c>
      <c r="K377" s="25" t="str">
        <f>IFERROR(__xludf.DUMMYFUNCTION("IFERROR(INDEX(FILTER('Kế hoạch chèn link (mới)'!$C$3:$C$2213,'Kế hoạch chèn link (mới)'!$D$3:$D$2213=$B377),3),"""")"),"")</f>
        <v/>
      </c>
      <c r="L377" s="25" t="str">
        <f>IFERROR(__xludf.DUMMYFUNCTION("IFERROR(INDEX(FILTER('Kế hoạch chèn link (mới)'!$B$3:$B$2213,'Kế hoạch chèn link (mới)'!$D$3:$D$2213=$B377),3),"""")"),"")</f>
        <v/>
      </c>
      <c r="M377" s="25" t="str">
        <f>IFERROR(__xludf.DUMMYFUNCTION("IFERROR(INDEX(FILTER('Kế hoạch chèn link (mới)'!$C$3:$C$2213,'Kế hoạch chèn link (mới)'!$D$3:$D$2213=$B377),4),"""")"),"")</f>
        <v/>
      </c>
      <c r="N377" s="25" t="str">
        <f>IFERROR(__xludf.DUMMYFUNCTION("IFERROR(INDEX(FILTER('Kế hoạch chèn link (mới)'!$B$3:$B$2213,'Kế hoạch chèn link (mới)'!$D$3:$D$2213=$B377),4),"""")"),"")</f>
        <v/>
      </c>
      <c r="O377" s="25" t="str">
        <f>IFERROR(__xludf.DUMMYFUNCTION("IFERROR(INDEX(FILTER('Kế hoạch chèn link (mới)'!$C$3:$C$2213,'Kế hoạch chèn link (mới)'!$D$3:$D$2213=$B377),5),"""")"),"")</f>
        <v/>
      </c>
      <c r="P377" s="25" t="str">
        <f>IFERROR(__xludf.DUMMYFUNCTION("IFERROR(INDEX(FILTER('Kế hoạch chèn link (mới)'!$B$3:$B$2213,'Kế hoạch chèn link (mới)'!$D$3:$D$2213=$B377),5),"""")"),"")</f>
        <v/>
      </c>
    </row>
    <row r="378">
      <c r="A378" s="6">
        <f t="shared" si="1"/>
        <v>377</v>
      </c>
      <c r="B378" s="8" t="s">
        <v>3013</v>
      </c>
      <c r="C378" s="6">
        <f>COUNTIF('Kế hoạch chèn link (mới)'!$D$3:$D$2213,$B378)</f>
        <v>4</v>
      </c>
      <c r="D378" s="8" t="str">
        <f>IF(COUNTIFS('Kế hoạch chèn link (mới)'!$D$3:$D$2213,$B378,'Kế hoạch chèn link (mới)'!$I$3:$I$2213,"Đã chèn")&gt;=$C378,"Đã hoàn thành",IF(COUNTIFS('Kế hoạch chèn link (mới)'!$D$3:$D$2213,$B378,'Kế hoạch chèn link (mới)'!$I$3:$I$2213,"Đã chèn")&gt;0,"Đang làm","Chưa hoàn thành"))</f>
        <v>Chưa hoàn thành</v>
      </c>
      <c r="E378" s="8" t="b">
        <f t="shared" si="2"/>
        <v>0</v>
      </c>
      <c r="F378" s="25"/>
      <c r="G378" s="25" t="str">
        <f>IFERROR(__xludf.DUMMYFUNCTION("IFERROR(INDEX(FILTER('Kế hoạch chèn link (mới)'!$C$3:$C$2213,'Kế hoạch chèn link (mới)'!$D$3:$D$2213=$B378),1),"""")"),"chứng chỉ tiền gửi")</f>
        <v>chứng chỉ tiền gửi</v>
      </c>
      <c r="H378" s="25" t="str">
        <f>IFERROR(__xludf.DUMMYFUNCTION("IFERROR(INDEX(FILTER('Kế hoạch chèn link (mới)'!$B$3:$B$2213,'Kế hoạch chèn link (mới)'!$D$3:$D$2213=$B378),1),"""")"),"https://techcombank.com/thong-tin/blog/chung-chi-tien-gui-la-gi")</f>
        <v>https://techcombank.com/thong-tin/blog/chung-chi-tien-gui-la-gi</v>
      </c>
      <c r="I378" s="25" t="str">
        <f>IFERROR(__xludf.DUMMYFUNCTION("IFERROR(INDEX(FILTER('Kế hoạch chèn link (mới)'!$C$3:$C$2213,'Kế hoạch chèn link (mới)'!$D$3:$D$2213=$B378),2),"""")"),"tính lãi suất ngân hàng")</f>
        <v>tính lãi suất ngân hàng</v>
      </c>
      <c r="J378" s="25" t="str">
        <f>IFERROR(__xludf.DUMMYFUNCTION("IFERROR(INDEX(FILTER('Kế hoạch chèn link (mới)'!$B$3:$B$2213,'Kế hoạch chèn link (mới)'!$D$3:$D$2213=$B378),2),"""")"),"https://techcombank.com/thong-tin/blog/cach-tinh-lai-suat-tien-gui-tiet-kiem")</f>
        <v>https://techcombank.com/thong-tin/blog/cach-tinh-lai-suat-tien-gui-tiet-kiem</v>
      </c>
      <c r="K378" s="25" t="str">
        <f>IFERROR(__xludf.DUMMYFUNCTION("IFERROR(INDEX(FILTER('Kế hoạch chèn link (mới)'!$C$3:$C$2213,'Kế hoạch chèn link (mới)'!$D$3:$D$2213=$B378),3),"""")"),"sổ tiết kiệm")</f>
        <v>sổ tiết kiệm</v>
      </c>
      <c r="L378" s="25" t="str">
        <f>IFERROR(__xludf.DUMMYFUNCTION("IFERROR(INDEX(FILTER('Kế hoạch chèn link (mới)'!$B$3:$B$2213,'Kế hoạch chèn link (mới)'!$D$3:$D$2213=$B378),3),"""")"),"https://techcombank.com/thong-tin/blog/so-tiet-kiem-ngan-hang")</f>
        <v>https://techcombank.com/thong-tin/blog/so-tiet-kiem-ngan-hang</v>
      </c>
      <c r="M378" s="25" t="str">
        <f>IFERROR(__xludf.DUMMYFUNCTION("IFERROR(INDEX(FILTER('Kế hoạch chèn link (mới)'!$C$3:$C$2213,'Kế hoạch chèn link (mới)'!$D$3:$D$2213=$B378),4),"""")"),"bảng tính lãi suất tiết kiệm")</f>
        <v>bảng tính lãi suất tiết kiệm</v>
      </c>
      <c r="N378" s="25" t="str">
        <f>IFERROR(__xludf.DUMMYFUNCTION("IFERROR(INDEX(FILTER('Kế hoạch chèn link (mới)'!$B$3:$B$2213,'Kế hoạch chèn link (mới)'!$D$3:$D$2213=$B378),4),"""")"),"https://techcombank.com/cong-cu-tien-ich/cong-cu-tinh-toan/bang-tinh-lai-suat-tiet-kiem")</f>
        <v>https://techcombank.com/cong-cu-tien-ich/cong-cu-tinh-toan/bang-tinh-lai-suat-tiet-kiem</v>
      </c>
      <c r="O378" s="25" t="str">
        <f>IFERROR(__xludf.DUMMYFUNCTION("IFERROR(INDEX(FILTER('Kế hoạch chèn link (mới)'!$C$3:$C$2213,'Kế hoạch chèn link (mới)'!$D$3:$D$2213=$B378),5),"""")"),"")</f>
        <v/>
      </c>
      <c r="P378" s="25" t="str">
        <f>IFERROR(__xludf.DUMMYFUNCTION("IFERROR(INDEX(FILTER('Kế hoạch chèn link (mới)'!$B$3:$B$2213,'Kế hoạch chèn link (mới)'!$D$3:$D$2213=$B378),5),"""")"),"")</f>
        <v/>
      </c>
    </row>
    <row r="379">
      <c r="A379" s="6">
        <f t="shared" si="1"/>
        <v>378</v>
      </c>
      <c r="B379" s="8" t="s">
        <v>829</v>
      </c>
      <c r="C379" s="6">
        <f>COUNTIF('Kế hoạch chèn link (mới)'!$D$3:$D$2213,$B379)</f>
        <v>4</v>
      </c>
      <c r="D379" s="8" t="str">
        <f>IF(COUNTIFS('Kế hoạch chèn link (mới)'!$D$3:$D$2213,$B379,'Kế hoạch chèn link (mới)'!$I$3:$I$2213,"Đã chèn")&gt;=$C379,"Đã hoàn thành",IF(COUNTIFS('Kế hoạch chèn link (mới)'!$D$3:$D$2213,$B379,'Kế hoạch chèn link (mới)'!$I$3:$I$2213,"Đã chèn")&gt;0,"Đang làm","Chưa hoàn thành"))</f>
        <v>Chưa hoàn thành</v>
      </c>
      <c r="E379" s="8" t="b">
        <f t="shared" si="2"/>
        <v>0</v>
      </c>
      <c r="F379" s="25"/>
      <c r="G379" s="25" t="str">
        <f>IFERROR(__xludf.DUMMYFUNCTION("IFERROR(INDEX(FILTER('Kế hoạch chèn link (mới)'!$C$3:$C$2213,'Kế hoạch chèn link (mới)'!$D$3:$D$2213=$B379),1),"""")"),"thuế thu nhập doanh nghiệp")</f>
        <v>thuế thu nhập doanh nghiệp</v>
      </c>
      <c r="H379" s="25" t="str">
        <f>IFERROR(__xludf.DUMMYFUNCTION("IFERROR(INDEX(FILTER('Kế hoạch chèn link (mới)'!$B$3:$B$2213,'Kế hoạch chèn link (mới)'!$D$3:$D$2213=$B379),1),"""")"),"https://techcombank.com/thong-tin/blog/thue-thu-nhap-doanh-nghiep")</f>
        <v>https://techcombank.com/thong-tin/blog/thue-thu-nhap-doanh-nghiep</v>
      </c>
      <c r="I379" s="25" t="str">
        <f>IFERROR(__xludf.DUMMYFUNCTION("IFERROR(INDEX(FILTER('Kế hoạch chèn link (mới)'!$C$3:$C$2213,'Kế hoạch chèn link (mới)'!$D$3:$D$2213=$B379),2),"""")"),"công ty sử dụng tài khoản cá nhân")</f>
        <v>công ty sử dụng tài khoản cá nhân</v>
      </c>
      <c r="J379" s="25" t="str">
        <f>IFERROR(__xludf.DUMMYFUNCTION("IFERROR(INDEX(FILTER('Kế hoạch chèn link (mới)'!$B$3:$B$2213,'Kế hoạch chèn link (mới)'!$D$3:$D$2213=$B379),2),"""")"),"https://techcombank.com/thong-tin/blog/cong-ty-su-dung-tai-khoan-ca-nhan")</f>
        <v>https://techcombank.com/thong-tin/blog/cong-ty-su-dung-tai-khoan-ca-nhan</v>
      </c>
      <c r="K379" s="25" t="str">
        <f>IFERROR(__xludf.DUMMYFUNCTION("IFERROR(INDEX(FILTER('Kế hoạch chèn link (mới)'!$C$3:$C$2213,'Kế hoạch chèn link (mới)'!$D$3:$D$2213=$B379),3),"""")"),"mở tài khoản ngân hàng online")</f>
        <v>mở tài khoản ngân hàng online</v>
      </c>
      <c r="L379" s="25" t="str">
        <f>IFERROR(__xludf.DUMMYFUNCTION("IFERROR(INDEX(FILTER('Kế hoạch chèn link (mới)'!$B$3:$B$2213,'Kế hoạch chèn link (mới)'!$D$3:$D$2213=$B379),3),"""")"),"https://techcombank.com/thong-tin/blog/cach-mo-tai-khoan")</f>
        <v>https://techcombank.com/thong-tin/blog/cach-mo-tai-khoan</v>
      </c>
      <c r="M379" s="25" t="str">
        <f>IFERROR(__xludf.DUMMYFUNCTION("IFERROR(INDEX(FILTER('Kế hoạch chèn link (mới)'!$C$3:$C$2213,'Kế hoạch chèn link (mới)'!$D$3:$D$2213=$B379),4),"""")"),"số tài khoản phát tài phát lộc")</f>
        <v>số tài khoản phát tài phát lộc</v>
      </c>
      <c r="N379" s="25" t="str">
        <f>IFERROR(__xludf.DUMMYFUNCTION("IFERROR(INDEX(FILTER('Kế hoạch chèn link (mới)'!$B$3:$B$2213,'Kế hoạch chèn link (mới)'!$D$3:$D$2213=$B379),4),"""")"),"https://techcombank.com/thong-tin/blog/day-so-phat-tai-phat-loc")</f>
        <v>https://techcombank.com/thong-tin/blog/day-so-phat-tai-phat-loc</v>
      </c>
      <c r="O379" s="25" t="str">
        <f>IFERROR(__xludf.DUMMYFUNCTION("IFERROR(INDEX(FILTER('Kế hoạch chèn link (mới)'!$C$3:$C$2213,'Kế hoạch chèn link (mới)'!$D$3:$D$2213=$B379),5),"""")"),"")</f>
        <v/>
      </c>
      <c r="P379" s="25" t="str">
        <f>IFERROR(__xludf.DUMMYFUNCTION("IFERROR(INDEX(FILTER('Kế hoạch chèn link (mới)'!$B$3:$B$2213,'Kế hoạch chèn link (mới)'!$D$3:$D$2213=$B379),5),"""")"),"")</f>
        <v/>
      </c>
    </row>
    <row r="380">
      <c r="A380" s="6">
        <f t="shared" si="1"/>
        <v>379</v>
      </c>
      <c r="B380" s="8" t="s">
        <v>1100</v>
      </c>
      <c r="C380" s="6">
        <f>COUNTIF('Kế hoạch chèn link (mới)'!$D$3:$D$2213,$B380)</f>
        <v>5</v>
      </c>
      <c r="D380" s="8" t="str">
        <f>IF(COUNTIFS('Kế hoạch chèn link (mới)'!$D$3:$D$2213,$B380,'Kế hoạch chèn link (mới)'!$I$3:$I$2213,"Đã chèn")&gt;=$C380,"Đã hoàn thành",IF(COUNTIFS('Kế hoạch chèn link (mới)'!$D$3:$D$2213,$B380,'Kế hoạch chèn link (mới)'!$I$3:$I$2213,"Đã chèn")&gt;0,"Đang làm","Chưa hoàn thành"))</f>
        <v>Chưa hoàn thành</v>
      </c>
      <c r="E380" s="8" t="b">
        <f t="shared" si="2"/>
        <v>0</v>
      </c>
      <c r="F380" s="25"/>
      <c r="G380" s="25" t="str">
        <f>IFERROR(__xludf.DUMMYFUNCTION("IFERROR(INDEX(FILTER('Kế hoạch chèn link (mới)'!$C$3:$C$2213,'Kế hoạch chèn link (mới)'!$D$3:$D$2213=$B380),1),"""")"),"mở tài khoản ngân hàng online")</f>
        <v>mở tài khoản ngân hàng online</v>
      </c>
      <c r="H380" s="25" t="str">
        <f>IFERROR(__xludf.DUMMYFUNCTION("IFERROR(INDEX(FILTER('Kế hoạch chèn link (mới)'!$B$3:$B$2213,'Kế hoạch chèn link (mới)'!$D$3:$D$2213=$B380),1),"""")"),"https://techcombank.com/thong-tin/blog/cach-mo-tai-khoan")</f>
        <v>https://techcombank.com/thong-tin/blog/cach-mo-tai-khoan</v>
      </c>
      <c r="I380" s="25" t="str">
        <f>IFERROR(__xludf.DUMMYFUNCTION("IFERROR(INDEX(FILTER('Kế hoạch chèn link (mới)'!$C$3:$C$2213,'Kế hoạch chèn link (mới)'!$D$3:$D$2213=$B380),2),"""")"),"bao nhiêu tuổi được mở tài khoản ngân hàng")</f>
        <v>bao nhiêu tuổi được mở tài khoản ngân hàng</v>
      </c>
      <c r="J380" s="25" t="str">
        <f>IFERROR(__xludf.DUMMYFUNCTION("IFERROR(INDEX(FILTER('Kế hoạch chèn link (mới)'!$B$3:$B$2213,'Kế hoạch chèn link (mới)'!$D$3:$D$2213=$B380),2),"""")"),"https://techcombank.com/thong-tin/blog/bao-nhieu-tuoi-duoc-mo-tai-khoan-ngan-hang")</f>
        <v>https://techcombank.com/thong-tin/blog/bao-nhieu-tuoi-duoc-mo-tai-khoan-ngan-hang</v>
      </c>
      <c r="K380" s="25" t="str">
        <f>IFERROR(__xludf.DUMMYFUNCTION("IFERROR(INDEX(FILTER('Kế hoạch chèn link (mới)'!$C$3:$C$2213,'Kế hoạch chèn link (mới)'!$D$3:$D$2213=$B380),3),"""")"),"mở tài khoản ngân hàng cho học sinh")</f>
        <v>mở tài khoản ngân hàng cho học sinh</v>
      </c>
      <c r="L380" s="25" t="str">
        <f>IFERROR(__xludf.DUMMYFUNCTION("IFERROR(INDEX(FILTER('Kế hoạch chèn link (mới)'!$B$3:$B$2213,'Kế hoạch chèn link (mới)'!$D$3:$D$2213=$B380),3),"""")"),"https://techcombank.com/thong-tin/blog/mo-tai-khoan-ngan-hang-duoi-18-tuoi")</f>
        <v>https://techcombank.com/thong-tin/blog/mo-tai-khoan-ngan-hang-duoi-18-tuoi</v>
      </c>
      <c r="M380" s="25" t="str">
        <f>IFERROR(__xludf.DUMMYFUNCTION("IFERROR(INDEX(FILTER('Kế hoạch chèn link (mới)'!$C$3:$C$2213,'Kế hoạch chèn link (mới)'!$D$3:$D$2213=$B380),4),"""")"),"số tài khoản phát tài phát lộc")</f>
        <v>số tài khoản phát tài phát lộc</v>
      </c>
      <c r="N380" s="25" t="str">
        <f>IFERROR(__xludf.DUMMYFUNCTION("IFERROR(INDEX(FILTER('Kế hoạch chèn link (mới)'!$B$3:$B$2213,'Kế hoạch chèn link (mới)'!$D$3:$D$2213=$B380),4),"""")"),"https://techcombank.com/thong-tin/blog/day-so-phat-tai-phat-loc")</f>
        <v>https://techcombank.com/thong-tin/blog/day-so-phat-tai-phat-loc</v>
      </c>
      <c r="O380" s="25" t="str">
        <f>IFERROR(__xludf.DUMMYFUNCTION("IFERROR(INDEX(FILTER('Kế hoạch chèn link (mới)'!$C$3:$C$2213,'Kế hoạch chèn link (mới)'!$D$3:$D$2213=$B380),5),"""")"),"thuế hộ kinh doanh")</f>
        <v>thuế hộ kinh doanh</v>
      </c>
      <c r="P380" s="25" t="str">
        <f>IFERROR(__xludf.DUMMYFUNCTION("IFERROR(INDEX(FILTER('Kế hoạch chèn link (mới)'!$B$3:$B$2213,'Kế hoạch chèn link (mới)'!$D$3:$D$2213=$B380),5),"""")"),"https://techcombank.com/thong-tin/blog/ho-kinh-doanh-dong-thue-nhu-nao")</f>
        <v>https://techcombank.com/thong-tin/blog/ho-kinh-doanh-dong-thue-nhu-nao</v>
      </c>
    </row>
    <row r="381">
      <c r="A381" s="6">
        <f t="shared" si="1"/>
        <v>380</v>
      </c>
      <c r="B381" s="8" t="s">
        <v>1476</v>
      </c>
      <c r="C381" s="6">
        <f>COUNTIF('Kế hoạch chèn link (mới)'!$D$3:$D$2213,$B381)</f>
        <v>4</v>
      </c>
      <c r="D381" s="8" t="str">
        <f>IF(COUNTIFS('Kế hoạch chèn link (mới)'!$D$3:$D$2213,$B381,'Kế hoạch chèn link (mới)'!$I$3:$I$2213,"Đã chèn")&gt;=$C381,"Đã hoàn thành",IF(COUNTIFS('Kế hoạch chèn link (mới)'!$D$3:$D$2213,$B381,'Kế hoạch chèn link (mới)'!$I$3:$I$2213,"Đã chèn")&gt;0,"Đang làm","Chưa hoàn thành"))</f>
        <v>Chưa hoàn thành</v>
      </c>
      <c r="E381" s="8" t="b">
        <f t="shared" si="2"/>
        <v>0</v>
      </c>
      <c r="F381" s="25"/>
      <c r="G381" s="25" t="str">
        <f>IFERROR(__xludf.DUMMYFUNCTION("IFERROR(INDEX(FILTER('Kế hoạch chèn link (mới)'!$C$3:$C$2213,'Kế hoạch chèn link (mới)'!$D$3:$D$2213=$B381),1),"""")"),"giá điện sinh hoạt mới nhất")</f>
        <v>giá điện sinh hoạt mới nhất</v>
      </c>
      <c r="H381" s="25" t="str">
        <f>IFERROR(__xludf.DUMMYFUNCTION("IFERROR(INDEX(FILTER('Kế hoạch chèn link (mới)'!$B$3:$B$2213,'Kế hoạch chèn link (mới)'!$D$3:$D$2213=$B381),1),"""")"),"https://techcombank.com/thong-tin/blog/cach-tinh-tien-dien-sinh-hoat")</f>
        <v>https://techcombank.com/thong-tin/blog/cach-tinh-tien-dien-sinh-hoat</v>
      </c>
      <c r="I381" s="25" t="str">
        <f>IFERROR(__xludf.DUMMYFUNCTION("IFERROR(INDEX(FILTER('Kế hoạch chèn link (mới)'!$C$3:$C$2213,'Kế hoạch chèn link (mới)'!$D$3:$D$2213=$B381),2),"""")"),"mở tài khoản ngân hàng dưới 18 tuổi")</f>
        <v>mở tài khoản ngân hàng dưới 18 tuổi</v>
      </c>
      <c r="J381" s="25" t="str">
        <f>IFERROR(__xludf.DUMMYFUNCTION("IFERROR(INDEX(FILTER('Kế hoạch chèn link (mới)'!$B$3:$B$2213,'Kế hoạch chèn link (mới)'!$D$3:$D$2213=$B381),2),"""")"),"https://techcombank.com/thong-tin/blog/mo-tai-khoan-ngan-hang-duoi-18-tuoi")</f>
        <v>https://techcombank.com/thong-tin/blog/mo-tai-khoan-ngan-hang-duoi-18-tuoi</v>
      </c>
      <c r="K381" s="25" t="str">
        <f>IFERROR(__xludf.DUMMYFUNCTION("IFERROR(INDEX(FILTER('Kế hoạch chèn link (mới)'!$C$3:$C$2213,'Kế hoạch chèn link (mới)'!$D$3:$D$2213=$B381),3),"""")"),"tên đăng nhập")</f>
        <v>tên đăng nhập</v>
      </c>
      <c r="L381" s="25" t="str">
        <f>IFERROR(__xludf.DUMMYFUNCTION("IFERROR(INDEX(FILTER('Kế hoạch chèn link (mới)'!$B$3:$B$2213,'Kế hoạch chèn link (mới)'!$D$3:$D$2213=$B381),3),"""")"),"https://techcombank.com/thong-tin/blog/ten-dang-nhap-tai-khoan-ngan-hang-la-gi")</f>
        <v>https://techcombank.com/thong-tin/blog/ten-dang-nhap-tai-khoan-ngan-hang-la-gi</v>
      </c>
      <c r="M381" s="25" t="str">
        <f>IFERROR(__xludf.DUMMYFUNCTION("IFERROR(INDEX(FILTER('Kế hoạch chèn link (mới)'!$C$3:$C$2213,'Kế hoạch chèn link (mới)'!$D$3:$D$2213=$B381),4),"""")"),"quét NFC CCCD")</f>
        <v>quét NFC CCCD</v>
      </c>
      <c r="N381" s="25" t="str">
        <f>IFERROR(__xludf.DUMMYFUNCTION("IFERROR(INDEX(FILTER('Kế hoạch chèn link (mới)'!$B$3:$B$2213,'Kế hoạch chèn link (mới)'!$D$3:$D$2213=$B381),4),"""")"),"https://techcombank.com/thong-tin/blog/cach-quet-nfc-cccd-tren-iphone")</f>
        <v>https://techcombank.com/thong-tin/blog/cach-quet-nfc-cccd-tren-iphone</v>
      </c>
      <c r="O381" s="25" t="str">
        <f>IFERROR(__xludf.DUMMYFUNCTION("IFERROR(INDEX(FILTER('Kế hoạch chèn link (mới)'!$C$3:$C$2213,'Kế hoạch chèn link (mới)'!$D$3:$D$2213=$B381),5),"""")"),"")</f>
        <v/>
      </c>
      <c r="P381" s="25" t="str">
        <f>IFERROR(__xludf.DUMMYFUNCTION("IFERROR(INDEX(FILTER('Kế hoạch chèn link (mới)'!$B$3:$B$2213,'Kế hoạch chèn link (mới)'!$D$3:$D$2213=$B381),5),"""")"),"")</f>
        <v/>
      </c>
    </row>
    <row r="382">
      <c r="A382" s="6">
        <f t="shared" si="1"/>
        <v>381</v>
      </c>
      <c r="B382" s="8" t="s">
        <v>2053</v>
      </c>
      <c r="C382" s="6">
        <f>COUNTIF('Kế hoạch chèn link (mới)'!$D$3:$D$2213,$B382)</f>
        <v>2</v>
      </c>
      <c r="D382" s="8" t="str">
        <f>IF(COUNTIFS('Kế hoạch chèn link (mới)'!$D$3:$D$2213,$B382,'Kế hoạch chèn link (mới)'!$I$3:$I$2213,"Đã chèn")&gt;=$C382,"Đã hoàn thành",IF(COUNTIFS('Kế hoạch chèn link (mới)'!$D$3:$D$2213,$B382,'Kế hoạch chèn link (mới)'!$I$3:$I$2213,"Đã chèn")&gt;0,"Đang làm","Chưa hoàn thành"))</f>
        <v>Chưa hoàn thành</v>
      </c>
      <c r="E382" s="8" t="b">
        <f t="shared" si="2"/>
        <v>0</v>
      </c>
      <c r="F382" s="25"/>
      <c r="G382" s="25" t="str">
        <f>IFERROR(__xludf.DUMMYFUNCTION("IFERROR(INDEX(FILTER('Kế hoạch chèn link (mới)'!$C$3:$C$2213,'Kế hoạch chèn link (mới)'!$D$3:$D$2213=$B382),1),"""")"),"độ tuổi mở tài khoản ngân hàng")</f>
        <v>độ tuổi mở tài khoản ngân hàng</v>
      </c>
      <c r="H382" s="25" t="str">
        <f>IFERROR(__xludf.DUMMYFUNCTION("IFERROR(INDEX(FILTER('Kế hoạch chèn link (mới)'!$B$3:$B$2213,'Kế hoạch chèn link (mới)'!$D$3:$D$2213=$B382),1),"""")"),"https://techcombank.com/thong-tin/blog/bao-nhieu-tuoi-duoc-mo-tai-khoan-ngan-hang")</f>
        <v>https://techcombank.com/thong-tin/blog/bao-nhieu-tuoi-duoc-mo-tai-khoan-ngan-hang</v>
      </c>
      <c r="I382" s="25" t="str">
        <f>IFERROR(__xludf.DUMMYFUNCTION("IFERROR(INDEX(FILTER('Kế hoạch chèn link (mới)'!$C$3:$C$2213,'Kế hoạch chèn link (mới)'!$D$3:$D$2213=$B382),2),"""")"),"mở tài khoản ngân hàng dưới 18 tuổi")</f>
        <v>mở tài khoản ngân hàng dưới 18 tuổi</v>
      </c>
      <c r="J382" s="25" t="str">
        <f>IFERROR(__xludf.DUMMYFUNCTION("IFERROR(INDEX(FILTER('Kế hoạch chèn link (mới)'!$B$3:$B$2213,'Kế hoạch chèn link (mới)'!$D$3:$D$2213=$B382),2),"""")"),"https://techcombank.com/thong-tin/blog/mo-tai-khoan-ngan-hang-duoi-18-tuoi")</f>
        <v>https://techcombank.com/thong-tin/blog/mo-tai-khoan-ngan-hang-duoi-18-tuoi</v>
      </c>
      <c r="K382" s="25" t="str">
        <f>IFERROR(__xludf.DUMMYFUNCTION("IFERROR(INDEX(FILTER('Kế hoạch chèn link (mới)'!$C$3:$C$2213,'Kế hoạch chèn link (mới)'!$D$3:$D$2213=$B382),3),"""")"),"")</f>
        <v/>
      </c>
      <c r="L382" s="25" t="str">
        <f>IFERROR(__xludf.DUMMYFUNCTION("IFERROR(INDEX(FILTER('Kế hoạch chèn link (mới)'!$B$3:$B$2213,'Kế hoạch chèn link (mới)'!$D$3:$D$2213=$B382),3),"""")"),"")</f>
        <v/>
      </c>
      <c r="M382" s="25" t="str">
        <f>IFERROR(__xludf.DUMMYFUNCTION("IFERROR(INDEX(FILTER('Kế hoạch chèn link (mới)'!$C$3:$C$2213,'Kế hoạch chèn link (mới)'!$D$3:$D$2213=$B382),4),"""")"),"")</f>
        <v/>
      </c>
      <c r="N382" s="25" t="str">
        <f>IFERROR(__xludf.DUMMYFUNCTION("IFERROR(INDEX(FILTER('Kế hoạch chèn link (mới)'!$B$3:$B$2213,'Kế hoạch chèn link (mới)'!$D$3:$D$2213=$B382),4),"""")"),"")</f>
        <v/>
      </c>
      <c r="O382" s="25" t="str">
        <f>IFERROR(__xludf.DUMMYFUNCTION("IFERROR(INDEX(FILTER('Kế hoạch chèn link (mới)'!$C$3:$C$2213,'Kế hoạch chèn link (mới)'!$D$3:$D$2213=$B382),5),"""")"),"")</f>
        <v/>
      </c>
      <c r="P382" s="25" t="str">
        <f>IFERROR(__xludf.DUMMYFUNCTION("IFERROR(INDEX(FILTER('Kế hoạch chèn link (mới)'!$B$3:$B$2213,'Kế hoạch chèn link (mới)'!$D$3:$D$2213=$B382),5),"""")"),"")</f>
        <v/>
      </c>
    </row>
    <row r="383">
      <c r="A383" s="6">
        <f t="shared" si="1"/>
        <v>382</v>
      </c>
      <c r="B383" s="8" t="s">
        <v>1721</v>
      </c>
      <c r="C383" s="6">
        <f>COUNTIF('Kế hoạch chèn link (mới)'!$D$3:$D$2213,$B383)</f>
        <v>2</v>
      </c>
      <c r="D383" s="8" t="str">
        <f>IF(COUNTIFS('Kế hoạch chèn link (mới)'!$D$3:$D$2213,$B383,'Kế hoạch chèn link (mới)'!$I$3:$I$2213,"Đã chèn")&gt;=$C383,"Đã hoàn thành",IF(COUNTIFS('Kế hoạch chèn link (mới)'!$D$3:$D$2213,$B383,'Kế hoạch chèn link (mới)'!$I$3:$I$2213,"Đã chèn")&gt;0,"Đang làm","Chưa hoàn thành"))</f>
        <v>Chưa hoàn thành</v>
      </c>
      <c r="E383" s="8" t="b">
        <f t="shared" si="2"/>
        <v>0</v>
      </c>
      <c r="F383" s="25"/>
      <c r="G383" s="25" t="str">
        <f>IFERROR(__xludf.DUMMYFUNCTION("IFERROR(INDEX(FILTER('Kế hoạch chèn link (mới)'!$C$3:$C$2213,'Kế hoạch chèn link (mới)'!$D$3:$D$2213=$B383),1),"""")"),"tra số tài khoản ngân hàng")</f>
        <v>tra số tài khoản ngân hàng</v>
      </c>
      <c r="H383" s="25" t="str">
        <f>IFERROR(__xludf.DUMMYFUNCTION("IFERROR(INDEX(FILTER('Kế hoạch chèn link (mới)'!$B$3:$B$2213,'Kế hoạch chèn link (mới)'!$D$3:$D$2213=$B383),1),"""")"),"https://techcombank.com/thong-tin/blog/cach-kiem-tra-tai-khoan-ngan-hang")</f>
        <v>https://techcombank.com/thong-tin/blog/cach-kiem-tra-tai-khoan-ngan-hang</v>
      </c>
      <c r="I383" s="25" t="str">
        <f>IFERROR(__xludf.DUMMYFUNCTION("IFERROR(INDEX(FILTER('Kế hoạch chèn link (mới)'!$C$3:$C$2213,'Kế hoạch chèn link (mới)'!$D$3:$D$2213=$B383),2),"""")"),"cách tạo tài khoản ngân hàng")</f>
        <v>cách tạo tài khoản ngân hàng</v>
      </c>
      <c r="J383" s="25" t="str">
        <f>IFERROR(__xludf.DUMMYFUNCTION("IFERROR(INDEX(FILTER('Kế hoạch chèn link (mới)'!$B$3:$B$2213,'Kế hoạch chèn link (mới)'!$D$3:$D$2213=$B383),2),"""")"),"https://techcombank.com/thong-tin/blog/cach-mo-tai-khoan")</f>
        <v>https://techcombank.com/thong-tin/blog/cach-mo-tai-khoan</v>
      </c>
      <c r="K383" s="25" t="str">
        <f>IFERROR(__xludf.DUMMYFUNCTION("IFERROR(INDEX(FILTER('Kế hoạch chèn link (mới)'!$C$3:$C$2213,'Kế hoạch chèn link (mới)'!$D$3:$D$2213=$B383),3),"""")"),"")</f>
        <v/>
      </c>
      <c r="L383" s="25" t="str">
        <f>IFERROR(__xludf.DUMMYFUNCTION("IFERROR(INDEX(FILTER('Kế hoạch chèn link (mới)'!$B$3:$B$2213,'Kế hoạch chèn link (mới)'!$D$3:$D$2213=$B383),3),"""")"),"")</f>
        <v/>
      </c>
      <c r="M383" s="25" t="str">
        <f>IFERROR(__xludf.DUMMYFUNCTION("IFERROR(INDEX(FILTER('Kế hoạch chèn link (mới)'!$C$3:$C$2213,'Kế hoạch chèn link (mới)'!$D$3:$D$2213=$B383),4),"""")"),"")</f>
        <v/>
      </c>
      <c r="N383" s="25" t="str">
        <f>IFERROR(__xludf.DUMMYFUNCTION("IFERROR(INDEX(FILTER('Kế hoạch chèn link (mới)'!$B$3:$B$2213,'Kế hoạch chèn link (mới)'!$D$3:$D$2213=$B383),4),"""")"),"")</f>
        <v/>
      </c>
      <c r="O383" s="25" t="str">
        <f>IFERROR(__xludf.DUMMYFUNCTION("IFERROR(INDEX(FILTER('Kế hoạch chèn link (mới)'!$C$3:$C$2213,'Kế hoạch chèn link (mới)'!$D$3:$D$2213=$B383),5),"""")"),"")</f>
        <v/>
      </c>
      <c r="P383" s="25" t="str">
        <f>IFERROR(__xludf.DUMMYFUNCTION("IFERROR(INDEX(FILTER('Kế hoạch chèn link (mới)'!$B$3:$B$2213,'Kế hoạch chèn link (mới)'!$D$3:$D$2213=$B383),5),"""")"),"")</f>
        <v/>
      </c>
    </row>
    <row r="384">
      <c r="A384" s="6">
        <f t="shared" si="1"/>
        <v>383</v>
      </c>
      <c r="B384" s="8" t="s">
        <v>835</v>
      </c>
      <c r="C384" s="6">
        <f>COUNTIF('Kế hoạch chèn link (mới)'!$D$3:$D$2213,$B384)</f>
        <v>2</v>
      </c>
      <c r="D384" s="8" t="str">
        <f>IF(COUNTIFS('Kế hoạch chèn link (mới)'!$D$3:$D$2213,$B384,'Kế hoạch chèn link (mới)'!$I$3:$I$2213,"Đã chèn")&gt;=$C384,"Đã hoàn thành",IF(COUNTIFS('Kế hoạch chèn link (mới)'!$D$3:$D$2213,$B384,'Kế hoạch chèn link (mới)'!$I$3:$I$2213,"Đã chèn")&gt;0,"Đang làm","Chưa hoàn thành"))</f>
        <v>Chưa hoàn thành</v>
      </c>
      <c r="E384" s="8" t="b">
        <f t="shared" si="2"/>
        <v>0</v>
      </c>
      <c r="F384" s="25"/>
      <c r="G384" s="25" t="str">
        <f>IFERROR(__xludf.DUMMYFUNCTION("IFERROR(INDEX(FILTER('Kế hoạch chèn link (mới)'!$C$3:$C$2213,'Kế hoạch chèn link (mới)'!$D$3:$D$2213=$B384),1),"""")"),"mở tài khoản ngân hàng online")</f>
        <v>mở tài khoản ngân hàng online</v>
      </c>
      <c r="H384" s="25" t="str">
        <f>IFERROR(__xludf.DUMMYFUNCTION("IFERROR(INDEX(FILTER('Kế hoạch chèn link (mới)'!$B$3:$B$2213,'Kế hoạch chèn link (mới)'!$D$3:$D$2213=$B384),1),"""")"),"https://techcombank.com/thong-tin/blog/cach-mo-tai-khoan")</f>
        <v>https://techcombank.com/thong-tin/blog/cach-mo-tai-khoan</v>
      </c>
      <c r="I384" s="25" t="str">
        <f>IFERROR(__xludf.DUMMYFUNCTION("IFERROR(INDEX(FILTER('Kế hoạch chèn link (mới)'!$C$3:$C$2213,'Kế hoạch chèn link (mới)'!$D$3:$D$2213=$B384),2),"""")"),"bao nhiêu tuổi được mở tài khoản ngân hàng")</f>
        <v>bao nhiêu tuổi được mở tài khoản ngân hàng</v>
      </c>
      <c r="J384" s="25" t="str">
        <f>IFERROR(__xludf.DUMMYFUNCTION("IFERROR(INDEX(FILTER('Kế hoạch chèn link (mới)'!$B$3:$B$2213,'Kế hoạch chèn link (mới)'!$D$3:$D$2213=$B384),2),"""")"),"https://techcombank.com/thong-tin/blog/bao-nhieu-tuoi-duoc-mo-tai-khoan-ngan-hang")</f>
        <v>https://techcombank.com/thong-tin/blog/bao-nhieu-tuoi-duoc-mo-tai-khoan-ngan-hang</v>
      </c>
      <c r="K384" s="25" t="str">
        <f>IFERROR(__xludf.DUMMYFUNCTION("IFERROR(INDEX(FILTER('Kế hoạch chèn link (mới)'!$C$3:$C$2213,'Kế hoạch chèn link (mới)'!$D$3:$D$2213=$B384),3),"""")"),"")</f>
        <v/>
      </c>
      <c r="L384" s="25" t="str">
        <f>IFERROR(__xludf.DUMMYFUNCTION("IFERROR(INDEX(FILTER('Kế hoạch chèn link (mới)'!$B$3:$B$2213,'Kế hoạch chèn link (mới)'!$D$3:$D$2213=$B384),3),"""")"),"")</f>
        <v/>
      </c>
      <c r="M384" s="25" t="str">
        <f>IFERROR(__xludf.DUMMYFUNCTION("IFERROR(INDEX(FILTER('Kế hoạch chèn link (mới)'!$C$3:$C$2213,'Kế hoạch chèn link (mới)'!$D$3:$D$2213=$B384),4),"""")"),"")</f>
        <v/>
      </c>
      <c r="N384" s="25" t="str">
        <f>IFERROR(__xludf.DUMMYFUNCTION("IFERROR(INDEX(FILTER('Kế hoạch chèn link (mới)'!$B$3:$B$2213,'Kế hoạch chèn link (mới)'!$D$3:$D$2213=$B384),4),"""")"),"")</f>
        <v/>
      </c>
      <c r="O384" s="25" t="str">
        <f>IFERROR(__xludf.DUMMYFUNCTION("IFERROR(INDEX(FILTER('Kế hoạch chèn link (mới)'!$C$3:$C$2213,'Kế hoạch chèn link (mới)'!$D$3:$D$2213=$B384),5),"""")"),"")</f>
        <v/>
      </c>
      <c r="P384" s="25" t="str">
        <f>IFERROR(__xludf.DUMMYFUNCTION("IFERROR(INDEX(FILTER('Kế hoạch chèn link (mới)'!$B$3:$B$2213,'Kế hoạch chèn link (mới)'!$D$3:$D$2213=$B384),5),"""")"),"")</f>
        <v/>
      </c>
    </row>
    <row r="385">
      <c r="A385" s="6">
        <f t="shared" si="1"/>
        <v>384</v>
      </c>
      <c r="B385" s="8" t="s">
        <v>1716</v>
      </c>
      <c r="C385" s="6">
        <f>COUNTIF('Kế hoạch chèn link (mới)'!$D$3:$D$2213,$B385)</f>
        <v>5</v>
      </c>
      <c r="D385" s="8" t="str">
        <f>IF(COUNTIFS('Kế hoạch chèn link (mới)'!$D$3:$D$2213,$B385,'Kế hoạch chèn link (mới)'!$I$3:$I$2213,"Đã chèn")&gt;=$C385,"Đã hoàn thành",IF(COUNTIFS('Kế hoạch chèn link (mới)'!$D$3:$D$2213,$B385,'Kế hoạch chèn link (mới)'!$I$3:$I$2213,"Đã chèn")&gt;0,"Đang làm","Chưa hoàn thành"))</f>
        <v>Chưa hoàn thành</v>
      </c>
      <c r="E385" s="8" t="b">
        <f t="shared" si="2"/>
        <v>0</v>
      </c>
      <c r="F385" s="25"/>
      <c r="G385" s="25" t="str">
        <f>IFERROR(__xludf.DUMMYFUNCTION("IFERROR(INDEX(FILTER('Kế hoạch chèn link (mới)'!$C$3:$C$2213,'Kế hoạch chèn link (mới)'!$D$3:$D$2213=$B385),1),"""")"),"tra số tài khoản ngân hàng")</f>
        <v>tra số tài khoản ngân hàng</v>
      </c>
      <c r="H385" s="25" t="str">
        <f>IFERROR(__xludf.DUMMYFUNCTION("IFERROR(INDEX(FILTER('Kế hoạch chèn link (mới)'!$B$3:$B$2213,'Kế hoạch chèn link (mới)'!$D$3:$D$2213=$B385),1),"""")"),"https://techcombank.com/thong-tin/blog/cach-kiem-tra-tai-khoan-ngan-hang")</f>
        <v>https://techcombank.com/thong-tin/blog/cach-kiem-tra-tai-khoan-ngan-hang</v>
      </c>
      <c r="I385" s="25" t="str">
        <f>IFERROR(__xludf.DUMMYFUNCTION("IFERROR(INDEX(FILTER('Kế hoạch chèn link (mới)'!$C$3:$C$2213,'Kế hoạch chèn link (mới)'!$D$3:$D$2213=$B385),2),"""")"),"mở tài khoản ngân hàng online")</f>
        <v>mở tài khoản ngân hàng online</v>
      </c>
      <c r="J385" s="25" t="str">
        <f>IFERROR(__xludf.DUMMYFUNCTION("IFERROR(INDEX(FILTER('Kế hoạch chèn link (mới)'!$B$3:$B$2213,'Kế hoạch chèn link (mới)'!$D$3:$D$2213=$B385),2),"""")"),"https://techcombank.com/thong-tin/blog/cach-mo-tai-khoan")</f>
        <v>https://techcombank.com/thong-tin/blog/cach-mo-tai-khoan</v>
      </c>
      <c r="K385" s="25" t="str">
        <f>IFERROR(__xludf.DUMMYFUNCTION("IFERROR(INDEX(FILTER('Kế hoạch chèn link (mới)'!$C$3:$C$2213,'Kế hoạch chèn link (mới)'!$D$3:$D$2213=$B385),3),"""")"),"mở tài khoản ngân hàng cho học sinh")</f>
        <v>mở tài khoản ngân hàng cho học sinh</v>
      </c>
      <c r="L385" s="25" t="str">
        <f>IFERROR(__xludf.DUMMYFUNCTION("IFERROR(INDEX(FILTER('Kế hoạch chèn link (mới)'!$B$3:$B$2213,'Kế hoạch chèn link (mới)'!$D$3:$D$2213=$B385),3),"""")"),"https://techcombank.com/thong-tin/blog/mo-tai-khoan-ngan-hang-duoi-18-tuoi")</f>
        <v>https://techcombank.com/thong-tin/blog/mo-tai-khoan-ngan-hang-duoi-18-tuoi</v>
      </c>
      <c r="M385" s="25" t="str">
        <f>IFERROR(__xludf.DUMMYFUNCTION("IFERROR(INDEX(FILTER('Kế hoạch chèn link (mới)'!$C$3:$C$2213,'Kế hoạch chèn link (mới)'!$D$3:$D$2213=$B385),4),"""")"),"quét NFC CCCD")</f>
        <v>quét NFC CCCD</v>
      </c>
      <c r="N385" s="25" t="str">
        <f>IFERROR(__xludf.DUMMYFUNCTION("IFERROR(INDEX(FILTER('Kế hoạch chèn link (mới)'!$B$3:$B$2213,'Kế hoạch chèn link (mới)'!$D$3:$D$2213=$B385),4),"""")"),"https://techcombank.com/thong-tin/blog/cach-quet-nfc-cccd-tren-iphone")</f>
        <v>https://techcombank.com/thong-tin/blog/cach-quet-nfc-cccd-tren-iphone</v>
      </c>
      <c r="O385" s="25" t="str">
        <f>IFERROR(__xludf.DUMMYFUNCTION("IFERROR(INDEX(FILTER('Kế hoạch chèn link (mới)'!$C$3:$C$2213,'Kế hoạch chèn link (mới)'!$D$3:$D$2213=$B385),5),"""")"),"tính lãi vay ngân hàng")</f>
        <v>tính lãi vay ngân hàng</v>
      </c>
      <c r="P385" s="25" t="str">
        <f>IFERROR(__xludf.DUMMYFUNCTION("IFERROR(INDEX(FILTER('Kế hoạch chèn link (mới)'!$B$3:$B$2213,'Kế hoạch chèn link (mới)'!$D$3:$D$2213=$B385),5),"""")"),"https://techcombank.com/cong-cu-tien-ich/cong-cu-tinh-toan/bang-tinh-lai-suat-vay")</f>
        <v>https://techcombank.com/cong-cu-tien-ich/cong-cu-tinh-toan/bang-tinh-lai-suat-vay</v>
      </c>
    </row>
    <row r="386">
      <c r="A386" s="6">
        <f t="shared" si="1"/>
        <v>385</v>
      </c>
      <c r="B386" s="8" t="s">
        <v>2193</v>
      </c>
      <c r="C386" s="6">
        <f>COUNTIF('Kế hoạch chèn link (mới)'!$D$3:$D$2213,$B386)</f>
        <v>2</v>
      </c>
      <c r="D386" s="8" t="str">
        <f>IF(COUNTIFS('Kế hoạch chèn link (mới)'!$D$3:$D$2213,$B386,'Kế hoạch chèn link (mới)'!$I$3:$I$2213,"Đã chèn")&gt;=$C386,"Đã hoàn thành",IF(COUNTIFS('Kế hoạch chèn link (mới)'!$D$3:$D$2213,$B386,'Kế hoạch chèn link (mới)'!$I$3:$I$2213,"Đã chèn")&gt;0,"Đang làm","Chưa hoàn thành"))</f>
        <v>Chưa hoàn thành</v>
      </c>
      <c r="E386" s="8" t="b">
        <f t="shared" si="2"/>
        <v>0</v>
      </c>
      <c r="F386" s="25"/>
      <c r="G386" s="25" t="str">
        <f>IFERROR(__xludf.DUMMYFUNCTION("IFERROR(INDEX(FILTER('Kế hoạch chèn link (mới)'!$C$3:$C$2213,'Kế hoạch chèn link (mới)'!$D$3:$D$2213=$B386),1),"""")"),"mở tài khoản ngân hàng cho học sinh")</f>
        <v>mở tài khoản ngân hàng cho học sinh</v>
      </c>
      <c r="H386" s="25" t="str">
        <f>IFERROR(__xludf.DUMMYFUNCTION("IFERROR(INDEX(FILTER('Kế hoạch chèn link (mới)'!$B$3:$B$2213,'Kế hoạch chèn link (mới)'!$D$3:$D$2213=$B386),1),"""")"),"https://techcombank.com/thong-tin/blog/mo-tai-khoan-ngan-hang-duoi-18-tuoi")</f>
        <v>https://techcombank.com/thong-tin/blog/mo-tai-khoan-ngan-hang-duoi-18-tuoi</v>
      </c>
      <c r="I386" s="25" t="str">
        <f>IFERROR(__xludf.DUMMYFUNCTION("IFERROR(INDEX(FILTER('Kế hoạch chèn link (mới)'!$C$3:$C$2213,'Kế hoạch chèn link (mới)'!$D$3:$D$2213=$B386),2),"""")"),"lãi suất vay ngân hàng")</f>
        <v>lãi suất vay ngân hàng</v>
      </c>
      <c r="J386" s="25" t="str">
        <f>IFERROR(__xludf.DUMMYFUNCTION("IFERROR(INDEX(FILTER('Kế hoạch chèn link (mới)'!$B$3:$B$2213,'Kế hoạch chèn link (mới)'!$D$3:$D$2213=$B386),2),"""")"),"https://techcombank.com/thong-tin/blog/lai-suat-vay-ngan-hang")</f>
        <v>https://techcombank.com/thong-tin/blog/lai-suat-vay-ngan-hang</v>
      </c>
      <c r="K386" s="25" t="str">
        <f>IFERROR(__xludf.DUMMYFUNCTION("IFERROR(INDEX(FILTER('Kế hoạch chèn link (mới)'!$C$3:$C$2213,'Kế hoạch chèn link (mới)'!$D$3:$D$2213=$B386),3),"""")"),"")</f>
        <v/>
      </c>
      <c r="L386" s="25" t="str">
        <f>IFERROR(__xludf.DUMMYFUNCTION("IFERROR(INDEX(FILTER('Kế hoạch chèn link (mới)'!$B$3:$B$2213,'Kế hoạch chèn link (mới)'!$D$3:$D$2213=$B386),3),"""")"),"")</f>
        <v/>
      </c>
      <c r="M386" s="25" t="str">
        <f>IFERROR(__xludf.DUMMYFUNCTION("IFERROR(INDEX(FILTER('Kế hoạch chèn link (mới)'!$C$3:$C$2213,'Kế hoạch chèn link (mới)'!$D$3:$D$2213=$B386),4),"""")"),"")</f>
        <v/>
      </c>
      <c r="N386" s="25" t="str">
        <f>IFERROR(__xludf.DUMMYFUNCTION("IFERROR(INDEX(FILTER('Kế hoạch chèn link (mới)'!$B$3:$B$2213,'Kế hoạch chèn link (mới)'!$D$3:$D$2213=$B386),4),"""")"),"")</f>
        <v/>
      </c>
      <c r="O386" s="25" t="str">
        <f>IFERROR(__xludf.DUMMYFUNCTION("IFERROR(INDEX(FILTER('Kế hoạch chèn link (mới)'!$C$3:$C$2213,'Kế hoạch chèn link (mới)'!$D$3:$D$2213=$B386),5),"""")"),"")</f>
        <v/>
      </c>
      <c r="P386" s="25" t="str">
        <f>IFERROR(__xludf.DUMMYFUNCTION("IFERROR(INDEX(FILTER('Kế hoạch chèn link (mới)'!$B$3:$B$2213,'Kế hoạch chèn link (mới)'!$D$3:$D$2213=$B386),5),"""")"),"")</f>
        <v/>
      </c>
    </row>
    <row r="387">
      <c r="A387" s="6">
        <f t="shared" si="1"/>
        <v>386</v>
      </c>
      <c r="B387" s="8" t="s">
        <v>2719</v>
      </c>
      <c r="C387" s="6">
        <f>COUNTIF('Kế hoạch chèn link (mới)'!$D$3:$D$2213,$B387)</f>
        <v>4</v>
      </c>
      <c r="D387" s="8" t="str">
        <f>IF(COUNTIFS('Kế hoạch chèn link (mới)'!$D$3:$D$2213,$B387,'Kế hoạch chèn link (mới)'!$I$3:$I$2213,"Đã chèn")&gt;=$C387,"Đã hoàn thành",IF(COUNTIFS('Kế hoạch chèn link (mới)'!$D$3:$D$2213,$B387,'Kế hoạch chèn link (mới)'!$I$3:$I$2213,"Đã chèn")&gt;0,"Đang làm","Chưa hoàn thành"))</f>
        <v>Chưa hoàn thành</v>
      </c>
      <c r="E387" s="8" t="b">
        <f t="shared" si="2"/>
        <v>0</v>
      </c>
      <c r="F387" s="25"/>
      <c r="G387" s="25" t="str">
        <f>IFERROR(__xludf.DUMMYFUNCTION("IFERROR(INDEX(FILTER('Kế hoạch chèn link (mới)'!$C$3:$C$2213,'Kế hoạch chèn link (mới)'!$D$3:$D$2213=$B387),1),"""")"),"lãi suất gửi tiết kiệm ngân hàng")</f>
        <v>lãi suất gửi tiết kiệm ngân hàng</v>
      </c>
      <c r="H387" s="25" t="str">
        <f>IFERROR(__xludf.DUMMYFUNCTION("IFERROR(INDEX(FILTER('Kế hoạch chèn link (mới)'!$B$3:$B$2213,'Kế hoạch chèn link (mới)'!$D$3:$D$2213=$B387),1),"""")"),"https://techcombank.com/thong-tin/blog/lai-suat-tiet-kiem")</f>
        <v>https://techcombank.com/thong-tin/blog/lai-suat-tiet-kiem</v>
      </c>
      <c r="I387" s="25" t="str">
        <f>IFERROR(__xludf.DUMMYFUNCTION("IFERROR(INDEX(FILTER('Kế hoạch chèn link (mới)'!$C$3:$C$2213,'Kế hoạch chèn link (mới)'!$D$3:$D$2213=$B387),2),"""")"),"tính lãi suất tiết kiệm")</f>
        <v>tính lãi suất tiết kiệm</v>
      </c>
      <c r="J387" s="25" t="str">
        <f>IFERROR(__xludf.DUMMYFUNCTION("IFERROR(INDEX(FILTER('Kế hoạch chèn link (mới)'!$B$3:$B$2213,'Kế hoạch chèn link (mới)'!$D$3:$D$2213=$B387),2),"""")"),"https://techcombank.com/thong-tin/blog/cach-tinh-lai-suat-tien-gui-tiet-kiem")</f>
        <v>https://techcombank.com/thong-tin/blog/cach-tinh-lai-suat-tien-gui-tiet-kiem</v>
      </c>
      <c r="K387" s="25" t="str">
        <f>IFERROR(__xludf.DUMMYFUNCTION("IFERROR(INDEX(FILTER('Kế hoạch chèn link (mới)'!$C$3:$C$2213,'Kế hoạch chèn link (mới)'!$D$3:$D$2213=$B387),3),"""")"),"sổ tiết kiệm")</f>
        <v>sổ tiết kiệm</v>
      </c>
      <c r="L387" s="25" t="str">
        <f>IFERROR(__xludf.DUMMYFUNCTION("IFERROR(INDEX(FILTER('Kế hoạch chèn link (mới)'!$B$3:$B$2213,'Kế hoạch chèn link (mới)'!$D$3:$D$2213=$B387),3),"""")"),"https://techcombank.com/thong-tin/blog/so-tiet-kiem-ngan-hang")</f>
        <v>https://techcombank.com/thong-tin/blog/so-tiet-kiem-ngan-hang</v>
      </c>
      <c r="M387" s="25" t="str">
        <f>IFERROR(__xludf.DUMMYFUNCTION("IFERROR(INDEX(FILTER('Kế hoạch chèn link (mới)'!$C$3:$C$2213,'Kế hoạch chèn link (mới)'!$D$3:$D$2213=$B387),4),"""")"),"bảng tính lãi suất tiết kiệm")</f>
        <v>bảng tính lãi suất tiết kiệm</v>
      </c>
      <c r="N387" s="25" t="str">
        <f>IFERROR(__xludf.DUMMYFUNCTION("IFERROR(INDEX(FILTER('Kế hoạch chèn link (mới)'!$B$3:$B$2213,'Kế hoạch chèn link (mới)'!$D$3:$D$2213=$B387),4),"""")"),"https://techcombank.com/cong-cu-tien-ich/cong-cu-tinh-toan/bang-tinh-lai-suat-tiet-kiem")</f>
        <v>https://techcombank.com/cong-cu-tien-ich/cong-cu-tinh-toan/bang-tinh-lai-suat-tiet-kiem</v>
      </c>
      <c r="O387" s="25" t="str">
        <f>IFERROR(__xludf.DUMMYFUNCTION("IFERROR(INDEX(FILTER('Kế hoạch chèn link (mới)'!$C$3:$C$2213,'Kế hoạch chèn link (mới)'!$D$3:$D$2213=$B387),5),"""")"),"")</f>
        <v/>
      </c>
      <c r="P387" s="25" t="str">
        <f>IFERROR(__xludf.DUMMYFUNCTION("IFERROR(INDEX(FILTER('Kế hoạch chèn link (mới)'!$B$3:$B$2213,'Kế hoạch chèn link (mới)'!$D$3:$D$2213=$B387),5),"""")"),"")</f>
        <v/>
      </c>
    </row>
    <row r="388">
      <c r="A388" s="6">
        <f t="shared" si="1"/>
        <v>387</v>
      </c>
      <c r="B388" s="8" t="s">
        <v>3017</v>
      </c>
      <c r="C388" s="6">
        <f>COUNTIF('Kế hoạch chèn link (mới)'!$D$3:$D$2213,$B388)</f>
        <v>1</v>
      </c>
      <c r="D388" s="8" t="str">
        <f>IF(COUNTIFS('Kế hoạch chèn link (mới)'!$D$3:$D$2213,$B388,'Kế hoạch chèn link (mới)'!$I$3:$I$2213,"Đã chèn")&gt;=$C388,"Đã hoàn thành",IF(COUNTIFS('Kế hoạch chèn link (mới)'!$D$3:$D$2213,$B388,'Kế hoạch chèn link (mới)'!$I$3:$I$2213,"Đã chèn")&gt;0,"Đang làm","Chưa hoàn thành"))</f>
        <v>Chưa hoàn thành</v>
      </c>
      <c r="E388" s="8" t="b">
        <f t="shared" si="2"/>
        <v>0</v>
      </c>
      <c r="F388" s="25"/>
      <c r="G388" s="25" t="str">
        <f>IFERROR(__xludf.DUMMYFUNCTION("IFERROR(INDEX(FILTER('Kế hoạch chèn link (mới)'!$C$3:$C$2213,'Kế hoạch chèn link (mới)'!$D$3:$D$2213=$B388),1),"""")"),"Techcombank Eco")</f>
        <v>Techcombank Eco</v>
      </c>
      <c r="H388" s="25" t="str">
        <f>IFERROR(__xludf.DUMMYFUNCTION("IFERROR(INDEX(FILTER('Kế hoạch chèn link (mới)'!$B$3:$B$2213,'Kế hoạch chèn link (mới)'!$D$3:$D$2213=$B388),1),"""")"),"https://techcombank.com/thong-tin/blog/eco-card")</f>
        <v>https://techcombank.com/thong-tin/blog/eco-card</v>
      </c>
      <c r="I388" s="25" t="str">
        <f>IFERROR(__xludf.DUMMYFUNCTION("IFERROR(INDEX(FILTER('Kế hoạch chèn link (mới)'!$C$3:$C$2213,'Kế hoạch chèn link (mới)'!$D$3:$D$2213=$B388),2),"""")"),"")</f>
        <v/>
      </c>
      <c r="J388" s="25" t="str">
        <f>IFERROR(__xludf.DUMMYFUNCTION("IFERROR(INDEX(FILTER('Kế hoạch chèn link (mới)'!$B$3:$B$2213,'Kế hoạch chèn link (mới)'!$D$3:$D$2213=$B388),2),"""")"),"")</f>
        <v/>
      </c>
      <c r="K388" s="25" t="str">
        <f>IFERROR(__xludf.DUMMYFUNCTION("IFERROR(INDEX(FILTER('Kế hoạch chèn link (mới)'!$C$3:$C$2213,'Kế hoạch chèn link (mới)'!$D$3:$D$2213=$B388),3),"""")"),"")</f>
        <v/>
      </c>
      <c r="L388" s="25" t="str">
        <f>IFERROR(__xludf.DUMMYFUNCTION("IFERROR(INDEX(FILTER('Kế hoạch chèn link (mới)'!$B$3:$B$2213,'Kế hoạch chèn link (mới)'!$D$3:$D$2213=$B388),3),"""")"),"")</f>
        <v/>
      </c>
      <c r="M388" s="25" t="str">
        <f>IFERROR(__xludf.DUMMYFUNCTION("IFERROR(INDEX(FILTER('Kế hoạch chèn link (mới)'!$C$3:$C$2213,'Kế hoạch chèn link (mới)'!$D$3:$D$2213=$B388),4),"""")"),"")</f>
        <v/>
      </c>
      <c r="N388" s="25" t="str">
        <f>IFERROR(__xludf.DUMMYFUNCTION("IFERROR(INDEX(FILTER('Kế hoạch chèn link (mới)'!$B$3:$B$2213,'Kế hoạch chèn link (mới)'!$D$3:$D$2213=$B388),4),"""")"),"")</f>
        <v/>
      </c>
      <c r="O388" s="25" t="str">
        <f>IFERROR(__xludf.DUMMYFUNCTION("IFERROR(INDEX(FILTER('Kế hoạch chèn link (mới)'!$C$3:$C$2213,'Kế hoạch chèn link (mới)'!$D$3:$D$2213=$B388),5),"""")"),"")</f>
        <v/>
      </c>
      <c r="P388" s="25" t="str">
        <f>IFERROR(__xludf.DUMMYFUNCTION("IFERROR(INDEX(FILTER('Kế hoạch chèn link (mới)'!$B$3:$B$2213,'Kế hoạch chèn link (mới)'!$D$3:$D$2213=$B388),5),"""")"),"")</f>
        <v/>
      </c>
    </row>
    <row r="389">
      <c r="A389" s="6">
        <f t="shared" si="1"/>
        <v>388</v>
      </c>
      <c r="B389" s="8" t="s">
        <v>2400</v>
      </c>
      <c r="C389" s="6">
        <f>COUNTIF('Kế hoạch chèn link (mới)'!$D$3:$D$2213,$B389)</f>
        <v>1</v>
      </c>
      <c r="D389" s="8" t="str">
        <f>IF(COUNTIFS('Kế hoạch chèn link (mới)'!$D$3:$D$2213,$B389,'Kế hoạch chèn link (mới)'!$I$3:$I$2213,"Đã chèn")&gt;=$C389,"Đã hoàn thành",IF(COUNTIFS('Kế hoạch chèn link (mới)'!$D$3:$D$2213,$B389,'Kế hoạch chèn link (mới)'!$I$3:$I$2213,"Đã chèn")&gt;0,"Đang làm","Chưa hoàn thành"))</f>
        <v>Chưa hoàn thành</v>
      </c>
      <c r="E389" s="8" t="b">
        <f t="shared" si="2"/>
        <v>0</v>
      </c>
      <c r="F389" s="25"/>
      <c r="G389" s="25" t="str">
        <f>IFERROR(__xludf.DUMMYFUNCTION("IFERROR(INDEX(FILTER('Kế hoạch chèn link (mới)'!$C$3:$C$2213,'Kế hoạch chèn link (mới)'!$D$3:$D$2213=$B389),1),"""")"),"sao kê tài khoản ngân hàng")</f>
        <v>sao kê tài khoản ngân hàng</v>
      </c>
      <c r="H389" s="25" t="str">
        <f>IFERROR(__xludf.DUMMYFUNCTION("IFERROR(INDEX(FILTER('Kế hoạch chèn link (mới)'!$B$3:$B$2213,'Kế hoạch chèn link (mới)'!$D$3:$D$2213=$B389),1),"""")"),"https://techcombank.com/thong-tin/blog/cach-sao-ke-tai-khoan-ngan-hang")</f>
        <v>https://techcombank.com/thong-tin/blog/cach-sao-ke-tai-khoan-ngan-hang</v>
      </c>
      <c r="I389" s="25" t="str">
        <f>IFERROR(__xludf.DUMMYFUNCTION("IFERROR(INDEX(FILTER('Kế hoạch chèn link (mới)'!$C$3:$C$2213,'Kế hoạch chèn link (mới)'!$D$3:$D$2213=$B389),2),"""")"),"")</f>
        <v/>
      </c>
      <c r="J389" s="25" t="str">
        <f>IFERROR(__xludf.DUMMYFUNCTION("IFERROR(INDEX(FILTER('Kế hoạch chèn link (mới)'!$B$3:$B$2213,'Kế hoạch chèn link (mới)'!$D$3:$D$2213=$B389),2),"""")"),"")</f>
        <v/>
      </c>
      <c r="K389" s="25" t="str">
        <f>IFERROR(__xludf.DUMMYFUNCTION("IFERROR(INDEX(FILTER('Kế hoạch chèn link (mới)'!$C$3:$C$2213,'Kế hoạch chèn link (mới)'!$D$3:$D$2213=$B389),3),"""")"),"")</f>
        <v/>
      </c>
      <c r="L389" s="25" t="str">
        <f>IFERROR(__xludf.DUMMYFUNCTION("IFERROR(INDEX(FILTER('Kế hoạch chèn link (mới)'!$B$3:$B$2213,'Kế hoạch chèn link (mới)'!$D$3:$D$2213=$B389),3),"""")"),"")</f>
        <v/>
      </c>
      <c r="M389" s="25" t="str">
        <f>IFERROR(__xludf.DUMMYFUNCTION("IFERROR(INDEX(FILTER('Kế hoạch chèn link (mới)'!$C$3:$C$2213,'Kế hoạch chèn link (mới)'!$D$3:$D$2213=$B389),4),"""")"),"")</f>
        <v/>
      </c>
      <c r="N389" s="25" t="str">
        <f>IFERROR(__xludf.DUMMYFUNCTION("IFERROR(INDEX(FILTER('Kế hoạch chèn link (mới)'!$B$3:$B$2213,'Kế hoạch chèn link (mới)'!$D$3:$D$2213=$B389),4),"""")"),"")</f>
        <v/>
      </c>
      <c r="O389" s="25" t="str">
        <f>IFERROR(__xludf.DUMMYFUNCTION("IFERROR(INDEX(FILTER('Kế hoạch chèn link (mới)'!$C$3:$C$2213,'Kế hoạch chèn link (mới)'!$D$3:$D$2213=$B389),5),"""")"),"")</f>
        <v/>
      </c>
      <c r="P389" s="25" t="str">
        <f>IFERROR(__xludf.DUMMYFUNCTION("IFERROR(INDEX(FILTER('Kế hoạch chèn link (mới)'!$B$3:$B$2213,'Kế hoạch chèn link (mới)'!$D$3:$D$2213=$B389),5),"""")"),"")</f>
        <v/>
      </c>
    </row>
    <row r="390">
      <c r="A390" s="6">
        <f t="shared" si="1"/>
        <v>389</v>
      </c>
      <c r="B390" s="8" t="s">
        <v>259</v>
      </c>
      <c r="C390" s="6">
        <f>COUNTIF('Kế hoạch chèn link (mới)'!$D$3:$D$2213,$B390)</f>
        <v>4</v>
      </c>
      <c r="D390" s="8" t="str">
        <f>IF(COUNTIFS('Kế hoạch chèn link (mới)'!$D$3:$D$2213,$B390,'Kế hoạch chèn link (mới)'!$I$3:$I$2213,"Đã chèn")&gt;=$C390,"Đã hoàn thành",IF(COUNTIFS('Kế hoạch chèn link (mới)'!$D$3:$D$2213,$B390,'Kế hoạch chèn link (mới)'!$I$3:$I$2213,"Đã chèn")&gt;0,"Đang làm","Chưa hoàn thành"))</f>
        <v>Chưa hoàn thành</v>
      </c>
      <c r="E390" s="8" t="b">
        <f t="shared" si="2"/>
        <v>0</v>
      </c>
      <c r="F390" s="25"/>
      <c r="G390" s="25" t="str">
        <f>IFERROR(__xludf.DUMMYFUNCTION("IFERROR(INDEX(FILTER('Kế hoạch chèn link (mới)'!$C$3:$C$2213,'Kế hoạch chèn link (mới)'!$D$3:$D$2213=$B390),1),"""")"),"mua xe trả góp lãi suất bao nhiêu")</f>
        <v>mua xe trả góp lãi suất bao nhiêu</v>
      </c>
      <c r="H390" s="25" t="str">
        <f>IFERROR(__xludf.DUMMYFUNCTION("IFERROR(INDEX(FILTER('Kế hoạch chèn link (mới)'!$B$3:$B$2213,'Kế hoạch chèn link (mới)'!$D$3:$D$2213=$B390),1),"""")"),"https://techcombank.com/thong-tin/blog/lai-suat-vay-mua-o-to")</f>
        <v>https://techcombank.com/thong-tin/blog/lai-suat-vay-mua-o-to</v>
      </c>
      <c r="I390" s="25" t="str">
        <f>IFERROR(__xludf.DUMMYFUNCTION("IFERROR(INDEX(FILTER('Kế hoạch chèn link (mới)'!$C$3:$C$2213,'Kế hoạch chèn link (mới)'!$D$3:$D$2213=$B390),2),"""")"),"rút tiền thẻ tín dụng")</f>
        <v>rút tiền thẻ tín dụng</v>
      </c>
      <c r="J390" s="25" t="str">
        <f>IFERROR(__xludf.DUMMYFUNCTION("IFERROR(INDEX(FILTER('Kế hoạch chèn link (mới)'!$B$3:$B$2213,'Kế hoạch chèn link (mới)'!$D$3:$D$2213=$B390),2),"""")"),"https://techcombank.com/thong-tin/blog/rut-tien-mat-tu-the-tin-dung")</f>
        <v>https://techcombank.com/thong-tin/blog/rut-tien-mat-tu-the-tin-dung</v>
      </c>
      <c r="K390" s="25" t="str">
        <f>IFERROR(__xludf.DUMMYFUNCTION("IFERROR(INDEX(FILTER('Kế hoạch chèn link (mới)'!$C$3:$C$2213,'Kế hoạch chèn link (mới)'!$D$3:$D$2213=$B390),3),"""")"),"thẻ tín dụng Techcombank Everyday")</f>
        <v>thẻ tín dụng Techcombank Everyday</v>
      </c>
      <c r="L390" s="25" t="str">
        <f>IFERROR(__xludf.DUMMYFUNCTION("IFERROR(INDEX(FILTER('Kế hoạch chèn link (mới)'!$B$3:$B$2213,'Kế hoạch chèn link (mới)'!$D$3:$D$2213=$B390),3),"""")"),"https://techcombank.com/khach-hang-ca-nhan/chi-tieu/the/the-tin-dung/techcombank-everyday")</f>
        <v>https://techcombank.com/khach-hang-ca-nhan/chi-tieu/the/the-tin-dung/techcombank-everyday</v>
      </c>
      <c r="M390" s="25" t="str">
        <f>IFERROR(__xludf.DUMMYFUNCTION("IFERROR(INDEX(FILTER('Kế hoạch chèn link (mới)'!$C$3:$C$2213,'Kế hoạch chèn link (mới)'!$D$3:$D$2213=$B390),4),"""")"),"cách hủy thẻ tín dụng")</f>
        <v>cách hủy thẻ tín dụng</v>
      </c>
      <c r="N390" s="25" t="str">
        <f>IFERROR(__xludf.DUMMYFUNCTION("IFERROR(INDEX(FILTER('Kế hoạch chèn link (mới)'!$B$3:$B$2213,'Kế hoạch chèn link (mới)'!$D$3:$D$2213=$B390),4),"""")"),"https://techcombank.com/thong-tin/blog/cach-huy-the-tin-dung")</f>
        <v>https://techcombank.com/thong-tin/blog/cach-huy-the-tin-dung</v>
      </c>
      <c r="O390" s="25" t="str">
        <f>IFERROR(__xludf.DUMMYFUNCTION("IFERROR(INDEX(FILTER('Kế hoạch chèn link (mới)'!$C$3:$C$2213,'Kế hoạch chèn link (mới)'!$D$3:$D$2213=$B390),5),"""")"),"")</f>
        <v/>
      </c>
      <c r="P390" s="25" t="str">
        <f>IFERROR(__xludf.DUMMYFUNCTION("IFERROR(INDEX(FILTER('Kế hoạch chèn link (mới)'!$B$3:$B$2213,'Kế hoạch chèn link (mới)'!$D$3:$D$2213=$B390),5),"""")"),"")</f>
        <v/>
      </c>
    </row>
    <row r="391">
      <c r="A391" s="6">
        <f t="shared" si="1"/>
        <v>390</v>
      </c>
      <c r="B391" s="8" t="s">
        <v>3019</v>
      </c>
      <c r="C391" s="6">
        <f>COUNTIF('Kế hoạch chèn link (mới)'!$D$3:$D$2213,$B391)</f>
        <v>4</v>
      </c>
      <c r="D391" s="8" t="str">
        <f>IF(COUNTIFS('Kế hoạch chèn link (mới)'!$D$3:$D$2213,$B391,'Kế hoạch chèn link (mới)'!$I$3:$I$2213,"Đã chèn")&gt;=$C391,"Đã hoàn thành",IF(COUNTIFS('Kế hoạch chèn link (mới)'!$D$3:$D$2213,$B391,'Kế hoạch chèn link (mới)'!$I$3:$I$2213,"Đã chèn")&gt;0,"Đang làm","Chưa hoàn thành"))</f>
        <v>Chưa hoàn thành</v>
      </c>
      <c r="E391" s="8" t="b">
        <f t="shared" si="2"/>
        <v>0</v>
      </c>
      <c r="F391" s="25"/>
      <c r="G391" s="25" t="str">
        <f>IFERROR(__xludf.DUMMYFUNCTION("IFERROR(INDEX(FILTER('Kế hoạch chèn link (mới)'!$C$3:$C$2213,'Kế hoạch chèn link (mới)'!$D$3:$D$2213=$B391),1),"""")"),"mở thẻ tín dụng")</f>
        <v>mở thẻ tín dụng</v>
      </c>
      <c r="H391" s="25" t="str">
        <f>IFERROR(__xludf.DUMMYFUNCTION("IFERROR(INDEX(FILTER('Kế hoạch chèn link (mới)'!$B$3:$B$2213,'Kế hoạch chèn link (mới)'!$D$3:$D$2213=$B391),1),"""")"),"https://techcombank.com/thong-tin/blog/lam-the-tin-dung")</f>
        <v>https://techcombank.com/thong-tin/blog/lam-the-tin-dung</v>
      </c>
      <c r="I391" s="25" t="str">
        <f>IFERROR(__xludf.DUMMYFUNCTION("IFERROR(INDEX(FILTER('Kế hoạch chèn link (mới)'!$C$3:$C$2213,'Kế hoạch chèn link (mới)'!$D$3:$D$2213=$B391),2),"""")"),"cách hủy thẻ tín dụng")</f>
        <v>cách hủy thẻ tín dụng</v>
      </c>
      <c r="J391" s="25" t="str">
        <f>IFERROR(__xludf.DUMMYFUNCTION("IFERROR(INDEX(FILTER('Kế hoạch chèn link (mới)'!$B$3:$B$2213,'Kế hoạch chèn link (mới)'!$D$3:$D$2213=$B391),2),"""")"),"https://techcombank.com/thong-tin/blog/cach-huy-the-tin-dung")</f>
        <v>https://techcombank.com/thong-tin/blog/cach-huy-the-tin-dung</v>
      </c>
      <c r="K391" s="25" t="str">
        <f>IFERROR(__xludf.DUMMYFUNCTION("IFERROR(INDEX(FILTER('Kế hoạch chèn link (mới)'!$C$3:$C$2213,'Kế hoạch chèn link (mới)'!$D$3:$D$2213=$B391),3),"""")"),"sổ tiết kiệm")</f>
        <v>sổ tiết kiệm</v>
      </c>
      <c r="L391" s="25" t="str">
        <f>IFERROR(__xludf.DUMMYFUNCTION("IFERROR(INDEX(FILTER('Kế hoạch chèn link (mới)'!$B$3:$B$2213,'Kế hoạch chèn link (mới)'!$D$3:$D$2213=$B391),3),"""")"),"https://techcombank.com/thong-tin/blog/so-tiet-kiem-ngan-hang")</f>
        <v>https://techcombank.com/thong-tin/blog/so-tiet-kiem-ngan-hang</v>
      </c>
      <c r="M391" s="25" t="str">
        <f>IFERROR(__xludf.DUMMYFUNCTION("IFERROR(INDEX(FILTER('Kế hoạch chèn link (mới)'!$C$3:$C$2213,'Kế hoạch chèn link (mới)'!$D$3:$D$2213=$B391),4),"""")"),"vay")</f>
        <v>vay</v>
      </c>
      <c r="N391" s="25" t="str">
        <f>IFERROR(__xludf.DUMMYFUNCTION("IFERROR(INDEX(FILTER('Kế hoạch chèn link (mới)'!$B$3:$B$2213,'Kế hoạch chèn link (mới)'!$D$3:$D$2213=$B391),4),"""")"),"https://techcombank.com/thong-tin/blog/app-vay-tien-nhanh")</f>
        <v>https://techcombank.com/thong-tin/blog/app-vay-tien-nhanh</v>
      </c>
      <c r="O391" s="25" t="str">
        <f>IFERROR(__xludf.DUMMYFUNCTION("IFERROR(INDEX(FILTER('Kế hoạch chèn link (mới)'!$C$3:$C$2213,'Kế hoạch chèn link (mới)'!$D$3:$D$2213=$B391),5),"""")"),"")</f>
        <v/>
      </c>
      <c r="P391" s="25" t="str">
        <f>IFERROR(__xludf.DUMMYFUNCTION("IFERROR(INDEX(FILTER('Kế hoạch chèn link (mới)'!$B$3:$B$2213,'Kế hoạch chèn link (mới)'!$D$3:$D$2213=$B391),5),"""")"),"")</f>
        <v/>
      </c>
    </row>
    <row r="392">
      <c r="A392" s="6">
        <f t="shared" si="1"/>
        <v>391</v>
      </c>
      <c r="B392" s="8" t="s">
        <v>3020</v>
      </c>
      <c r="C392" s="6">
        <f>COUNTIF('Kế hoạch chèn link (mới)'!$D$3:$D$2213,$B392)</f>
        <v>2</v>
      </c>
      <c r="D392" s="8" t="str">
        <f>IF(COUNTIFS('Kế hoạch chèn link (mới)'!$D$3:$D$2213,$B392,'Kế hoạch chèn link (mới)'!$I$3:$I$2213,"Đã chèn")&gt;=$C392,"Đã hoàn thành",IF(COUNTIFS('Kế hoạch chèn link (mới)'!$D$3:$D$2213,$B392,'Kế hoạch chèn link (mới)'!$I$3:$I$2213,"Đã chèn")&gt;0,"Đang làm","Chưa hoàn thành"))</f>
        <v>Chưa hoàn thành</v>
      </c>
      <c r="E392" s="8" t="b">
        <f t="shared" si="2"/>
        <v>0</v>
      </c>
      <c r="F392" s="25"/>
      <c r="G392" s="25" t="str">
        <f>IFERROR(__xludf.DUMMYFUNCTION("IFERROR(INDEX(FILTER('Kế hoạch chèn link (mới)'!$C$3:$C$2213,'Kế hoạch chèn link (mới)'!$D$3:$D$2213=$B392),1),"""")"),"rút tiết kiệm trước hạn")</f>
        <v>rút tiết kiệm trước hạn</v>
      </c>
      <c r="H392" s="25" t="str">
        <f>IFERROR(__xludf.DUMMYFUNCTION("IFERROR(INDEX(FILTER('Kế hoạch chèn link (mới)'!$B$3:$B$2213,'Kế hoạch chèn link (mới)'!$D$3:$D$2213=$B392),1),"""")"),"https://techcombank.com/thong-tin/blog/rut-tien-tiet-kiem-truoc-thoi-han")</f>
        <v>https://techcombank.com/thong-tin/blog/rut-tien-tiet-kiem-truoc-thoi-han</v>
      </c>
      <c r="I392" s="25" t="str">
        <f>IFERROR(__xludf.DUMMYFUNCTION("IFERROR(INDEX(FILTER('Kế hoạch chèn link (mới)'!$C$3:$C$2213,'Kế hoạch chèn link (mới)'!$D$3:$D$2213=$B392),2),"""")"),"sổ tiết kiệm")</f>
        <v>sổ tiết kiệm</v>
      </c>
      <c r="J392" s="25" t="str">
        <f>IFERROR(__xludf.DUMMYFUNCTION("IFERROR(INDEX(FILTER('Kế hoạch chèn link (mới)'!$B$3:$B$2213,'Kế hoạch chèn link (mới)'!$D$3:$D$2213=$B392),2),"""")"),"https://techcombank.com/thong-tin/blog/so-tiet-kiem-ngan-hang")</f>
        <v>https://techcombank.com/thong-tin/blog/so-tiet-kiem-ngan-hang</v>
      </c>
      <c r="K392" s="25" t="str">
        <f>IFERROR(__xludf.DUMMYFUNCTION("IFERROR(INDEX(FILTER('Kế hoạch chèn link (mới)'!$C$3:$C$2213,'Kế hoạch chèn link (mới)'!$D$3:$D$2213=$B392),3),"""")"),"")</f>
        <v/>
      </c>
      <c r="L392" s="25" t="str">
        <f>IFERROR(__xludf.DUMMYFUNCTION("IFERROR(INDEX(FILTER('Kế hoạch chèn link (mới)'!$B$3:$B$2213,'Kế hoạch chèn link (mới)'!$D$3:$D$2213=$B392),3),"""")"),"")</f>
        <v/>
      </c>
      <c r="M392" s="25" t="str">
        <f>IFERROR(__xludf.DUMMYFUNCTION("IFERROR(INDEX(FILTER('Kế hoạch chèn link (mới)'!$C$3:$C$2213,'Kế hoạch chèn link (mới)'!$D$3:$D$2213=$B392),4),"""")"),"")</f>
        <v/>
      </c>
      <c r="N392" s="25" t="str">
        <f>IFERROR(__xludf.DUMMYFUNCTION("IFERROR(INDEX(FILTER('Kế hoạch chèn link (mới)'!$B$3:$B$2213,'Kế hoạch chèn link (mới)'!$D$3:$D$2213=$B392),4),"""")"),"")</f>
        <v/>
      </c>
      <c r="O392" s="25" t="str">
        <f>IFERROR(__xludf.DUMMYFUNCTION("IFERROR(INDEX(FILTER('Kế hoạch chèn link (mới)'!$C$3:$C$2213,'Kế hoạch chèn link (mới)'!$D$3:$D$2213=$B392),5),"""")"),"")</f>
        <v/>
      </c>
      <c r="P392" s="25" t="str">
        <f>IFERROR(__xludf.DUMMYFUNCTION("IFERROR(INDEX(FILTER('Kế hoạch chèn link (mới)'!$B$3:$B$2213,'Kế hoạch chèn link (mới)'!$D$3:$D$2213=$B392),5),"""")"),"")</f>
        <v/>
      </c>
    </row>
    <row r="393">
      <c r="A393" s="6">
        <f t="shared" si="1"/>
        <v>392</v>
      </c>
      <c r="B393" s="8" t="s">
        <v>1069</v>
      </c>
      <c r="C393" s="6">
        <f>COUNTIF('Kế hoạch chèn link (mới)'!$D$3:$D$2213,$B393)</f>
        <v>5</v>
      </c>
      <c r="D393" s="8" t="str">
        <f>IF(COUNTIFS('Kế hoạch chèn link (mới)'!$D$3:$D$2213,$B393,'Kế hoạch chèn link (mới)'!$I$3:$I$2213,"Đã chèn")&gt;=$C393,"Đã hoàn thành",IF(COUNTIFS('Kế hoạch chèn link (mới)'!$D$3:$D$2213,$B393,'Kế hoạch chèn link (mới)'!$I$3:$I$2213,"Đã chèn")&gt;0,"Đang làm","Chưa hoàn thành"))</f>
        <v>Chưa hoàn thành</v>
      </c>
      <c r="E393" s="8" t="b">
        <f t="shared" si="2"/>
        <v>0</v>
      </c>
      <c r="F393" s="25"/>
      <c r="G393" s="25" t="str">
        <f>IFERROR(__xludf.DUMMYFUNCTION("IFERROR(INDEX(FILTER('Kế hoạch chèn link (mới)'!$C$3:$C$2213,'Kế hoạch chèn link (mới)'!$D$3:$D$2213=$B393),1),"""")"),"tra cứu nợ thuế theo mã số thuế")</f>
        <v>tra cứu nợ thuế theo mã số thuế</v>
      </c>
      <c r="H393" s="25" t="str">
        <f>IFERROR(__xludf.DUMMYFUNCTION("IFERROR(INDEX(FILTER('Kế hoạch chèn link (mới)'!$B$3:$B$2213,'Kế hoạch chèn link (mới)'!$D$3:$D$2213=$B393),1),"""")"),"https://techcombank.com/thong-tin/blog/tra-cuu-no-thue-doanh-nghiep")</f>
        <v>https://techcombank.com/thong-tin/blog/tra-cuu-no-thue-doanh-nghiep</v>
      </c>
      <c r="I393" s="25" t="str">
        <f>IFERROR(__xludf.DUMMYFUNCTION("IFERROR(INDEX(FILTER('Kế hoạch chèn link (mới)'!$C$3:$C$2213,'Kế hoạch chèn link (mới)'!$D$3:$D$2213=$B393),2),"""")"),"mở tài khoản ngân hàng online")</f>
        <v>mở tài khoản ngân hàng online</v>
      </c>
      <c r="J393" s="25" t="str">
        <f>IFERROR(__xludf.DUMMYFUNCTION("IFERROR(INDEX(FILTER('Kế hoạch chèn link (mới)'!$B$3:$B$2213,'Kế hoạch chèn link (mới)'!$D$3:$D$2213=$B393),2),"""")"),"https://techcombank.com/thong-tin/blog/cach-mo-tai-khoan")</f>
        <v>https://techcombank.com/thong-tin/blog/cach-mo-tai-khoan</v>
      </c>
      <c r="K393" s="25" t="str">
        <f>IFERROR(__xludf.DUMMYFUNCTION("IFERROR(INDEX(FILTER('Kế hoạch chèn link (mới)'!$C$3:$C$2213,'Kế hoạch chèn link (mới)'!$D$3:$D$2213=$B393),3),"""")"),"số tài khoản phát tài phát lộc")</f>
        <v>số tài khoản phát tài phát lộc</v>
      </c>
      <c r="L393" s="25" t="str">
        <f>IFERROR(__xludf.DUMMYFUNCTION("IFERROR(INDEX(FILTER('Kế hoạch chèn link (mới)'!$B$3:$B$2213,'Kế hoạch chèn link (mới)'!$D$3:$D$2213=$B393),3),"""")"),"https://techcombank.com/thong-tin/blog/day-so-phat-tai-phat-loc")</f>
        <v>https://techcombank.com/thong-tin/blog/day-so-phat-tai-phat-loc</v>
      </c>
      <c r="M393" s="25" t="str">
        <f>IFERROR(__xludf.DUMMYFUNCTION("IFERROR(INDEX(FILTER('Kế hoạch chèn link (mới)'!$C$3:$C$2213,'Kế hoạch chèn link (mới)'!$D$3:$D$2213=$B393),4),"""")"),"vay")</f>
        <v>vay</v>
      </c>
      <c r="N393" s="25" t="str">
        <f>IFERROR(__xludf.DUMMYFUNCTION("IFERROR(INDEX(FILTER('Kế hoạch chèn link (mới)'!$B$3:$B$2213,'Kế hoạch chèn link (mới)'!$D$3:$D$2213=$B393),4),"""")"),"https://techcombank.com/thong-tin/blog/app-vay-tien-nhanh")</f>
        <v>https://techcombank.com/thong-tin/blog/app-vay-tien-nhanh</v>
      </c>
      <c r="O393" s="25" t="str">
        <f>IFERROR(__xludf.DUMMYFUNCTION("IFERROR(INDEX(FILTER('Kế hoạch chèn link (mới)'!$C$3:$C$2213,'Kế hoạch chèn link (mới)'!$D$3:$D$2213=$B393),5),"""")"),"nên vay tín chấp ở đâu")</f>
        <v>nên vay tín chấp ở đâu</v>
      </c>
      <c r="P393" s="25" t="str">
        <f>IFERROR(__xludf.DUMMYFUNCTION("IFERROR(INDEX(FILTER('Kế hoạch chèn link (mới)'!$B$3:$B$2213,'Kế hoạch chèn link (mới)'!$D$3:$D$2213=$B393),5),"""")"),"https://techcombank.com/thong-tin/blog/nen-vay-tin-chap-o-dau")</f>
        <v>https://techcombank.com/thong-tin/blog/nen-vay-tin-chap-o-dau</v>
      </c>
    </row>
    <row r="394">
      <c r="A394" s="6">
        <f t="shared" si="1"/>
        <v>393</v>
      </c>
      <c r="B394" s="8" t="s">
        <v>2603</v>
      </c>
      <c r="C394" s="6">
        <f>COUNTIF('Kế hoạch chèn link (mới)'!$D$3:$D$2213,$B394)</f>
        <v>4</v>
      </c>
      <c r="D394" s="8" t="str">
        <f>IF(COUNTIFS('Kế hoạch chèn link (mới)'!$D$3:$D$2213,$B394,'Kế hoạch chèn link (mới)'!$I$3:$I$2213,"Đã chèn")&gt;=$C394,"Đã hoàn thành",IF(COUNTIFS('Kế hoạch chèn link (mới)'!$D$3:$D$2213,$B394,'Kế hoạch chèn link (mới)'!$I$3:$I$2213,"Đã chèn")&gt;0,"Đang làm","Chưa hoàn thành"))</f>
        <v>Chưa hoàn thành</v>
      </c>
      <c r="E394" s="8" t="b">
        <f t="shared" si="2"/>
        <v>0</v>
      </c>
      <c r="F394" s="25"/>
      <c r="G394" s="25" t="str">
        <f>IFERROR(__xludf.DUMMYFUNCTION("IFERROR(INDEX(FILTER('Kế hoạch chèn link (mới)'!$C$3:$C$2213,'Kế hoạch chèn link (mới)'!$D$3:$D$2213=$B394),1),"""")"),"tên đăng nhập")</f>
        <v>tên đăng nhập</v>
      </c>
      <c r="H394" s="25" t="str">
        <f>IFERROR(__xludf.DUMMYFUNCTION("IFERROR(INDEX(FILTER('Kế hoạch chèn link (mới)'!$B$3:$B$2213,'Kế hoạch chèn link (mới)'!$D$3:$D$2213=$B394),1),"""")"),"https://techcombank.com/thong-tin/blog/ten-dang-nhap-tai-khoan-ngan-hang-la-gi")</f>
        <v>https://techcombank.com/thong-tin/blog/ten-dang-nhap-tai-khoan-ngan-hang-la-gi</v>
      </c>
      <c r="I394" s="25" t="str">
        <f>IFERROR(__xludf.DUMMYFUNCTION("IFERROR(INDEX(FILTER('Kế hoạch chèn link (mới)'!$C$3:$C$2213,'Kế hoạch chèn link (mới)'!$D$3:$D$2213=$B394),2),"""")"),"thanh toán dư nợ thẻ tín dụng")</f>
        <v>thanh toán dư nợ thẻ tín dụng</v>
      </c>
      <c r="J394" s="25" t="str">
        <f>IFERROR(__xludf.DUMMYFUNCTION("IFERROR(INDEX(FILTER('Kế hoạch chèn link (mới)'!$B$3:$B$2213,'Kế hoạch chèn link (mới)'!$D$3:$D$2213=$B394),2),"""")"),"https://techcombank.com/thong-tin/blog/cach-thanh-toan-the-tin-dung")</f>
        <v>https://techcombank.com/thong-tin/blog/cach-thanh-toan-the-tin-dung</v>
      </c>
      <c r="K394" s="25" t="str">
        <f>IFERROR(__xludf.DUMMYFUNCTION("IFERROR(INDEX(FILTER('Kế hoạch chèn link (mới)'!$C$3:$C$2213,'Kế hoạch chèn link (mới)'!$D$3:$D$2213=$B394),3),"""")"),"lãi suất ngân hàng")</f>
        <v>lãi suất ngân hàng</v>
      </c>
      <c r="L394" s="25" t="str">
        <f>IFERROR(__xludf.DUMMYFUNCTION("IFERROR(INDEX(FILTER('Kế hoạch chèn link (mới)'!$B$3:$B$2213,'Kế hoạch chèn link (mới)'!$D$3:$D$2213=$B394),3),"""")"),"https://techcombank.com/thong-tin/blog/lai-suat-tiet-kiem")</f>
        <v>https://techcombank.com/thong-tin/blog/lai-suat-tiet-kiem</v>
      </c>
      <c r="M394" s="25" t="str">
        <f>IFERROR(__xludf.DUMMYFUNCTION("IFERROR(INDEX(FILTER('Kế hoạch chèn link (mới)'!$C$3:$C$2213,'Kế hoạch chèn link (mới)'!$D$3:$D$2213=$B394),4),"""")"),"tính lãi suất ngân hàng")</f>
        <v>tính lãi suất ngân hàng</v>
      </c>
      <c r="N394" s="25" t="str">
        <f>IFERROR(__xludf.DUMMYFUNCTION("IFERROR(INDEX(FILTER('Kế hoạch chèn link (mới)'!$B$3:$B$2213,'Kế hoạch chèn link (mới)'!$D$3:$D$2213=$B394),4),"""")"),"https://techcombank.com/thong-tin/blog/cach-tinh-lai-suat-tien-gui-tiet-kiem")</f>
        <v>https://techcombank.com/thong-tin/blog/cach-tinh-lai-suat-tien-gui-tiet-kiem</v>
      </c>
      <c r="O394" s="25" t="str">
        <f>IFERROR(__xludf.DUMMYFUNCTION("IFERROR(INDEX(FILTER('Kế hoạch chèn link (mới)'!$C$3:$C$2213,'Kế hoạch chèn link (mới)'!$D$3:$D$2213=$B394),5),"""")"),"")</f>
        <v/>
      </c>
      <c r="P394" s="25" t="str">
        <f>IFERROR(__xludf.DUMMYFUNCTION("IFERROR(INDEX(FILTER('Kế hoạch chèn link (mới)'!$B$3:$B$2213,'Kế hoạch chèn link (mới)'!$D$3:$D$2213=$B394),5),"""")"),"")</f>
        <v/>
      </c>
    </row>
    <row r="395">
      <c r="A395" s="6">
        <f t="shared" si="1"/>
        <v>394</v>
      </c>
      <c r="B395" s="8" t="s">
        <v>3023</v>
      </c>
      <c r="C395" s="6">
        <f>COUNTIF('Kế hoạch chèn link (mới)'!$D$3:$D$2213,$B395)</f>
        <v>2</v>
      </c>
      <c r="D395" s="8" t="str">
        <f>IF(COUNTIFS('Kế hoạch chèn link (mới)'!$D$3:$D$2213,$B395,'Kế hoạch chèn link (mới)'!$I$3:$I$2213,"Đã chèn")&gt;=$C395,"Đã hoàn thành",IF(COUNTIFS('Kế hoạch chèn link (mới)'!$D$3:$D$2213,$B395,'Kế hoạch chèn link (mới)'!$I$3:$I$2213,"Đã chèn")&gt;0,"Đang làm","Chưa hoàn thành"))</f>
        <v>Chưa hoàn thành</v>
      </c>
      <c r="E395" s="8" t="b">
        <f t="shared" si="2"/>
        <v>0</v>
      </c>
      <c r="F395" s="25"/>
      <c r="G395" s="25" t="str">
        <f>IFERROR(__xludf.DUMMYFUNCTION("IFERROR(INDEX(FILTER('Kế hoạch chèn link (mới)'!$C$3:$C$2213,'Kế hoạch chèn link (mới)'!$D$3:$D$2213=$B395),1),"""")"),"Techcombank Eco")</f>
        <v>Techcombank Eco</v>
      </c>
      <c r="H395" s="25" t="str">
        <f>IFERROR(__xludf.DUMMYFUNCTION("IFERROR(INDEX(FILTER('Kế hoạch chèn link (mới)'!$B$3:$B$2213,'Kế hoạch chèn link (mới)'!$D$3:$D$2213=$B395),1),"""")"),"https://techcombank.com/thong-tin/blog/eco-card")</f>
        <v>https://techcombank.com/thong-tin/blog/eco-card</v>
      </c>
      <c r="I395" s="25" t="str">
        <f>IFERROR(__xludf.DUMMYFUNCTION("IFERROR(INDEX(FILTER('Kế hoạch chèn link (mới)'!$C$3:$C$2213,'Kế hoạch chèn link (mới)'!$D$3:$D$2213=$B395),2),"""")"),"cách lấy voucher Traveloka")</f>
        <v>cách lấy voucher Traveloka</v>
      </c>
      <c r="J395" s="25" t="str">
        <f>IFERROR(__xludf.DUMMYFUNCTION("IFERROR(INDEX(FILTER('Kế hoạch chèn link (mới)'!$B$3:$B$2213,'Kế hoạch chèn link (mới)'!$D$3:$D$2213=$B395),2),"""")"),"https://techcombank.com/thong-tin/blog/traveloka-voucher")</f>
        <v>https://techcombank.com/thong-tin/blog/traveloka-voucher</v>
      </c>
      <c r="K395" s="25" t="str">
        <f>IFERROR(__xludf.DUMMYFUNCTION("IFERROR(INDEX(FILTER('Kế hoạch chèn link (mới)'!$C$3:$C$2213,'Kế hoạch chèn link (mới)'!$D$3:$D$2213=$B395),3),"""")"),"")</f>
        <v/>
      </c>
      <c r="L395" s="25" t="str">
        <f>IFERROR(__xludf.DUMMYFUNCTION("IFERROR(INDEX(FILTER('Kế hoạch chèn link (mới)'!$B$3:$B$2213,'Kế hoạch chèn link (mới)'!$D$3:$D$2213=$B395),3),"""")"),"")</f>
        <v/>
      </c>
      <c r="M395" s="25" t="str">
        <f>IFERROR(__xludf.DUMMYFUNCTION("IFERROR(INDEX(FILTER('Kế hoạch chèn link (mới)'!$C$3:$C$2213,'Kế hoạch chèn link (mới)'!$D$3:$D$2213=$B395),4),"""")"),"")</f>
        <v/>
      </c>
      <c r="N395" s="25" t="str">
        <f>IFERROR(__xludf.DUMMYFUNCTION("IFERROR(INDEX(FILTER('Kế hoạch chèn link (mới)'!$B$3:$B$2213,'Kế hoạch chèn link (mới)'!$D$3:$D$2213=$B395),4),"""")"),"")</f>
        <v/>
      </c>
      <c r="O395" s="25" t="str">
        <f>IFERROR(__xludf.DUMMYFUNCTION("IFERROR(INDEX(FILTER('Kế hoạch chèn link (mới)'!$C$3:$C$2213,'Kế hoạch chèn link (mới)'!$D$3:$D$2213=$B395),5),"""")"),"")</f>
        <v/>
      </c>
      <c r="P395" s="25" t="str">
        <f>IFERROR(__xludf.DUMMYFUNCTION("IFERROR(INDEX(FILTER('Kế hoạch chèn link (mới)'!$B$3:$B$2213,'Kế hoạch chèn link (mới)'!$D$3:$D$2213=$B395),5),"""")"),"")</f>
        <v/>
      </c>
    </row>
    <row r="396">
      <c r="A396" s="6">
        <f t="shared" si="1"/>
        <v>395</v>
      </c>
      <c r="B396" s="8" t="s">
        <v>222</v>
      </c>
      <c r="C396" s="6">
        <f>COUNTIF('Kế hoạch chèn link (mới)'!$D$3:$D$2213,$B396)</f>
        <v>1</v>
      </c>
      <c r="D396" s="8" t="str">
        <f>IF(COUNTIFS('Kế hoạch chèn link (mới)'!$D$3:$D$2213,$B396,'Kế hoạch chèn link (mới)'!$I$3:$I$2213,"Đã chèn")&gt;=$C396,"Đã hoàn thành",IF(COUNTIFS('Kế hoạch chèn link (mới)'!$D$3:$D$2213,$B396,'Kế hoạch chèn link (mới)'!$I$3:$I$2213,"Đã chèn")&gt;0,"Đang làm","Chưa hoàn thành"))</f>
        <v>Chưa hoàn thành</v>
      </c>
      <c r="E396" s="8" t="b">
        <f t="shared" si="2"/>
        <v>0</v>
      </c>
      <c r="F396" s="25"/>
      <c r="G396" s="25" t="str">
        <f>IFERROR(__xludf.DUMMYFUNCTION("IFERROR(INDEX(FILTER('Kế hoạch chèn link (mới)'!$C$3:$C$2213,'Kế hoạch chèn link (mới)'!$D$3:$D$2213=$B396),1),"""")"),"lãi suất vay mua ô tô các ngân hàng")</f>
        <v>lãi suất vay mua ô tô các ngân hàng</v>
      </c>
      <c r="H396" s="25" t="str">
        <f>IFERROR(__xludf.DUMMYFUNCTION("IFERROR(INDEX(FILTER('Kế hoạch chèn link (mới)'!$B$3:$B$2213,'Kế hoạch chèn link (mới)'!$D$3:$D$2213=$B396),1),"""")"),"https://techcombank.com/thong-tin/blog/lai-suat-vay-mua-o-to")</f>
        <v>https://techcombank.com/thong-tin/blog/lai-suat-vay-mua-o-to</v>
      </c>
      <c r="I396" s="25" t="str">
        <f>IFERROR(__xludf.DUMMYFUNCTION("IFERROR(INDEX(FILTER('Kế hoạch chèn link (mới)'!$C$3:$C$2213,'Kế hoạch chèn link (mới)'!$D$3:$D$2213=$B396),2),"""")"),"")</f>
        <v/>
      </c>
      <c r="J396" s="25" t="str">
        <f>IFERROR(__xludf.DUMMYFUNCTION("IFERROR(INDEX(FILTER('Kế hoạch chèn link (mới)'!$B$3:$B$2213,'Kế hoạch chèn link (mới)'!$D$3:$D$2213=$B396),2),"""")"),"")</f>
        <v/>
      </c>
      <c r="K396" s="25" t="str">
        <f>IFERROR(__xludf.DUMMYFUNCTION("IFERROR(INDEX(FILTER('Kế hoạch chèn link (mới)'!$C$3:$C$2213,'Kế hoạch chèn link (mới)'!$D$3:$D$2213=$B396),3),"""")"),"")</f>
        <v/>
      </c>
      <c r="L396" s="25" t="str">
        <f>IFERROR(__xludf.DUMMYFUNCTION("IFERROR(INDEX(FILTER('Kế hoạch chèn link (mới)'!$B$3:$B$2213,'Kế hoạch chèn link (mới)'!$D$3:$D$2213=$B396),3),"""")"),"")</f>
        <v/>
      </c>
      <c r="M396" s="25" t="str">
        <f>IFERROR(__xludf.DUMMYFUNCTION("IFERROR(INDEX(FILTER('Kế hoạch chèn link (mới)'!$C$3:$C$2213,'Kế hoạch chèn link (mới)'!$D$3:$D$2213=$B396),4),"""")"),"")</f>
        <v/>
      </c>
      <c r="N396" s="25" t="str">
        <f>IFERROR(__xludf.DUMMYFUNCTION("IFERROR(INDEX(FILTER('Kế hoạch chèn link (mới)'!$B$3:$B$2213,'Kế hoạch chèn link (mới)'!$D$3:$D$2213=$B396),4),"""")"),"")</f>
        <v/>
      </c>
      <c r="O396" s="25" t="str">
        <f>IFERROR(__xludf.DUMMYFUNCTION("IFERROR(INDEX(FILTER('Kế hoạch chèn link (mới)'!$C$3:$C$2213,'Kế hoạch chèn link (mới)'!$D$3:$D$2213=$B396),5),"""")"),"")</f>
        <v/>
      </c>
      <c r="P396" s="25" t="str">
        <f>IFERROR(__xludf.DUMMYFUNCTION("IFERROR(INDEX(FILTER('Kế hoạch chèn link (mới)'!$B$3:$B$2213,'Kế hoạch chèn link (mới)'!$D$3:$D$2213=$B396),5),"""")"),"")</f>
        <v/>
      </c>
    </row>
    <row r="397">
      <c r="A397" s="6">
        <f t="shared" si="1"/>
        <v>396</v>
      </c>
      <c r="B397" s="8" t="s">
        <v>3025</v>
      </c>
      <c r="C397" s="6">
        <f>COUNTIF('Kế hoạch chèn link (mới)'!$D$3:$D$2213,$B397)</f>
        <v>2</v>
      </c>
      <c r="D397" s="8" t="str">
        <f>IF(COUNTIFS('Kế hoạch chèn link (mới)'!$D$3:$D$2213,$B397,'Kế hoạch chèn link (mới)'!$I$3:$I$2213,"Đã chèn")&gt;=$C397,"Đã hoàn thành",IF(COUNTIFS('Kế hoạch chèn link (mới)'!$D$3:$D$2213,$B397,'Kế hoạch chèn link (mới)'!$I$3:$I$2213,"Đã chèn")&gt;0,"Đang làm","Chưa hoàn thành"))</f>
        <v>Chưa hoàn thành</v>
      </c>
      <c r="E397" s="8" t="b">
        <f t="shared" si="2"/>
        <v>0</v>
      </c>
      <c r="F397" s="25"/>
      <c r="G397" s="25" t="str">
        <f>IFERROR(__xludf.DUMMYFUNCTION("IFERROR(INDEX(FILTER('Kế hoạch chèn link (mới)'!$C$3:$C$2213,'Kế hoạch chèn link (mới)'!$D$3:$D$2213=$B397),1),"""")"),"tính lãi suất tiết kiệm")</f>
        <v>tính lãi suất tiết kiệm</v>
      </c>
      <c r="H397" s="25" t="str">
        <f>IFERROR(__xludf.DUMMYFUNCTION("IFERROR(INDEX(FILTER('Kế hoạch chèn link (mới)'!$B$3:$B$2213,'Kế hoạch chèn link (mới)'!$D$3:$D$2213=$B397),1),"""")"),"https://techcombank.com/thong-tin/blog/cach-tinh-lai-suat-tien-gui-tiet-kiem")</f>
        <v>https://techcombank.com/thong-tin/blog/cach-tinh-lai-suat-tien-gui-tiet-kiem</v>
      </c>
      <c r="I397" s="25" t="str">
        <f>IFERROR(__xludf.DUMMYFUNCTION("IFERROR(INDEX(FILTER('Kế hoạch chèn link (mới)'!$C$3:$C$2213,'Kế hoạch chèn link (mới)'!$D$3:$D$2213=$B397),2),"""")"),"cách đầu tư chứng chỉ quỹ")</f>
        <v>cách đầu tư chứng chỉ quỹ</v>
      </c>
      <c r="J397" s="25" t="str">
        <f>IFERROR(__xludf.DUMMYFUNCTION("IFERROR(INDEX(FILTER('Kế hoạch chèn link (mới)'!$B$3:$B$2213,'Kế hoạch chèn link (mới)'!$D$3:$D$2213=$B397),2),"""")"),"https://techcombank.com/thong-tin/blog/phuong-phap-dau-tu-chung-chi-quy")</f>
        <v>https://techcombank.com/thong-tin/blog/phuong-phap-dau-tu-chung-chi-quy</v>
      </c>
      <c r="K397" s="25" t="str">
        <f>IFERROR(__xludf.DUMMYFUNCTION("IFERROR(INDEX(FILTER('Kế hoạch chèn link (mới)'!$C$3:$C$2213,'Kế hoạch chèn link (mới)'!$D$3:$D$2213=$B397),3),"""")"),"")</f>
        <v/>
      </c>
      <c r="L397" s="25" t="str">
        <f>IFERROR(__xludf.DUMMYFUNCTION("IFERROR(INDEX(FILTER('Kế hoạch chèn link (mới)'!$B$3:$B$2213,'Kế hoạch chèn link (mới)'!$D$3:$D$2213=$B397),3),"""")"),"")</f>
        <v/>
      </c>
      <c r="M397" s="25" t="str">
        <f>IFERROR(__xludf.DUMMYFUNCTION("IFERROR(INDEX(FILTER('Kế hoạch chèn link (mới)'!$C$3:$C$2213,'Kế hoạch chèn link (mới)'!$D$3:$D$2213=$B397),4),"""")"),"")</f>
        <v/>
      </c>
      <c r="N397" s="25" t="str">
        <f>IFERROR(__xludf.DUMMYFUNCTION("IFERROR(INDEX(FILTER('Kế hoạch chèn link (mới)'!$B$3:$B$2213,'Kế hoạch chèn link (mới)'!$D$3:$D$2213=$B397),4),"""")"),"")</f>
        <v/>
      </c>
      <c r="O397" s="25" t="str">
        <f>IFERROR(__xludf.DUMMYFUNCTION("IFERROR(INDEX(FILTER('Kế hoạch chèn link (mới)'!$C$3:$C$2213,'Kế hoạch chèn link (mới)'!$D$3:$D$2213=$B397),5),"""")"),"")</f>
        <v/>
      </c>
      <c r="P397" s="25" t="str">
        <f>IFERROR(__xludf.DUMMYFUNCTION("IFERROR(INDEX(FILTER('Kế hoạch chèn link (mới)'!$B$3:$B$2213,'Kế hoạch chèn link (mới)'!$D$3:$D$2213=$B397),5),"""")"),"")</f>
        <v/>
      </c>
    </row>
    <row r="398">
      <c r="A398" s="6">
        <f t="shared" si="1"/>
        <v>397</v>
      </c>
      <c r="B398" s="8" t="s">
        <v>3026</v>
      </c>
      <c r="C398" s="6">
        <f>COUNTIF('Kế hoạch chèn link (mới)'!$D$3:$D$2213,$B398)</f>
        <v>4</v>
      </c>
      <c r="D398" s="8" t="str">
        <f>IF(COUNTIFS('Kế hoạch chèn link (mới)'!$D$3:$D$2213,$B398,'Kế hoạch chèn link (mới)'!$I$3:$I$2213,"Đã chèn")&gt;=$C398,"Đã hoàn thành",IF(COUNTIFS('Kế hoạch chèn link (mới)'!$D$3:$D$2213,$B398,'Kế hoạch chèn link (mới)'!$I$3:$I$2213,"Đã chèn")&gt;0,"Đang làm","Chưa hoàn thành"))</f>
        <v>Chưa hoàn thành</v>
      </c>
      <c r="E398" s="8" t="b">
        <f t="shared" si="2"/>
        <v>0</v>
      </c>
      <c r="F398" s="25"/>
      <c r="G398" s="25" t="str">
        <f>IFERROR(__xludf.DUMMYFUNCTION("IFERROR(INDEX(FILTER('Kế hoạch chèn link (mới)'!$C$3:$C$2213,'Kế hoạch chèn link (mới)'!$D$3:$D$2213=$B398),1),"""")"),"làm thẻ tín dụng")</f>
        <v>làm thẻ tín dụng</v>
      </c>
      <c r="H398" s="25" t="str">
        <f>IFERROR(__xludf.DUMMYFUNCTION("IFERROR(INDEX(FILTER('Kế hoạch chèn link (mới)'!$B$3:$B$2213,'Kế hoạch chèn link (mới)'!$D$3:$D$2213=$B398),1),"""")"),"https://techcombank.com/thong-tin/blog/lam-the-tin-dung")</f>
        <v>https://techcombank.com/thong-tin/blog/lam-the-tin-dung</v>
      </c>
      <c r="I398" s="25" t="str">
        <f>IFERROR(__xludf.DUMMYFUNCTION("IFERROR(INDEX(FILTER('Kế hoạch chèn link (mới)'!$C$3:$C$2213,'Kế hoạch chèn link (mới)'!$D$3:$D$2213=$B398),2),"""")"),"thẻ tín dụng Techcombank Everyday")</f>
        <v>thẻ tín dụng Techcombank Everyday</v>
      </c>
      <c r="J398" s="25" t="str">
        <f>IFERROR(__xludf.DUMMYFUNCTION("IFERROR(INDEX(FILTER('Kế hoạch chèn link (mới)'!$B$3:$B$2213,'Kế hoạch chèn link (mới)'!$D$3:$D$2213=$B398),2),"""")"),"https://techcombank.com/khach-hang-ca-nhan/chi-tieu/the/the-tin-dung/techcombank-everyday")</f>
        <v>https://techcombank.com/khach-hang-ca-nhan/chi-tieu/the/the-tin-dung/techcombank-everyday</v>
      </c>
      <c r="K398" s="25" t="str">
        <f>IFERROR(__xludf.DUMMYFUNCTION("IFERROR(INDEX(FILTER('Kế hoạch chèn link (mới)'!$C$3:$C$2213,'Kế hoạch chèn link (mới)'!$D$3:$D$2213=$B398),3),"""")"),"thẻ tín dụng hoàn tiền")</f>
        <v>thẻ tín dụng hoàn tiền</v>
      </c>
      <c r="L398" s="25" t="str">
        <f>IFERROR(__xludf.DUMMYFUNCTION("IFERROR(INDEX(FILTER('Kế hoạch chèn link (mới)'!$B$3:$B$2213,'Kế hoạch chèn link (mới)'!$D$3:$D$2213=$B398),3),"""")"),"https://techcombank.com/thong-tin/blog/the-tin-dung-hoan-tien")</f>
        <v>https://techcombank.com/thong-tin/blog/the-tin-dung-hoan-tien</v>
      </c>
      <c r="M398" s="25" t="str">
        <f>IFERROR(__xludf.DUMMYFUNCTION("IFERROR(INDEX(FILTER('Kế hoạch chèn link (mới)'!$C$3:$C$2213,'Kế hoạch chèn link (mới)'!$D$3:$D$2213=$B398),4),"""")"),"cách thanh toán thẻ tín dụng")</f>
        <v>cách thanh toán thẻ tín dụng</v>
      </c>
      <c r="N398" s="25" t="str">
        <f>IFERROR(__xludf.DUMMYFUNCTION("IFERROR(INDEX(FILTER('Kế hoạch chèn link (mới)'!$B$3:$B$2213,'Kế hoạch chèn link (mới)'!$D$3:$D$2213=$B398),4),"""")"),"https://techcombank.com/thong-tin/blog/cach-thanh-toan-the-tin-dung")</f>
        <v>https://techcombank.com/thong-tin/blog/cach-thanh-toan-the-tin-dung</v>
      </c>
      <c r="O398" s="25" t="str">
        <f>IFERROR(__xludf.DUMMYFUNCTION("IFERROR(INDEX(FILTER('Kế hoạch chèn link (mới)'!$C$3:$C$2213,'Kế hoạch chèn link (mới)'!$D$3:$D$2213=$B398),5),"""")"),"")</f>
        <v/>
      </c>
      <c r="P398" s="25" t="str">
        <f>IFERROR(__xludf.DUMMYFUNCTION("IFERROR(INDEX(FILTER('Kế hoạch chèn link (mới)'!$B$3:$B$2213,'Kế hoạch chèn link (mới)'!$D$3:$D$2213=$B398),5),"""")"),"")</f>
        <v/>
      </c>
    </row>
    <row r="399">
      <c r="A399" s="6">
        <f t="shared" si="1"/>
        <v>398</v>
      </c>
      <c r="B399" s="8" t="s">
        <v>3029</v>
      </c>
      <c r="C399" s="6">
        <f>COUNTIF('Kế hoạch chèn link (mới)'!$D$3:$D$2213,$B399)</f>
        <v>3</v>
      </c>
      <c r="D399" s="8" t="str">
        <f>IF(COUNTIFS('Kế hoạch chèn link (mới)'!$D$3:$D$2213,$B399,'Kế hoạch chèn link (mới)'!$I$3:$I$2213,"Đã chèn")&gt;=$C399,"Đã hoàn thành",IF(COUNTIFS('Kế hoạch chèn link (mới)'!$D$3:$D$2213,$B399,'Kế hoạch chèn link (mới)'!$I$3:$I$2213,"Đã chèn")&gt;0,"Đang làm","Chưa hoàn thành"))</f>
        <v>Chưa hoàn thành</v>
      </c>
      <c r="E399" s="8" t="b">
        <f t="shared" si="2"/>
        <v>0</v>
      </c>
      <c r="F399" s="25"/>
      <c r="G399" s="25" t="str">
        <f>IFERROR(__xludf.DUMMYFUNCTION("IFERROR(INDEX(FILTER('Kế hoạch chèn link (mới)'!$C$3:$C$2213,'Kế hoạch chèn link (mới)'!$D$3:$D$2213=$B399),1),"""")"),"kiểm tra cic")</f>
        <v>kiểm tra cic</v>
      </c>
      <c r="H399" s="25" t="str">
        <f>IFERROR(__xludf.DUMMYFUNCTION("IFERROR(INDEX(FILTER('Kế hoạch chèn link (mới)'!$B$3:$B$2213,'Kế hoạch chèn link (mới)'!$D$3:$D$2213=$B399),1),"""")"),"https://techcombank.com/thong-tin/blog/cic-la-gi")</f>
        <v>https://techcombank.com/thong-tin/blog/cic-la-gi</v>
      </c>
      <c r="I399" s="25" t="str">
        <f>IFERROR(__xludf.DUMMYFUNCTION("IFERROR(INDEX(FILTER('Kế hoạch chèn link (mới)'!$C$3:$C$2213,'Kế hoạch chèn link (mới)'!$D$3:$D$2213=$B399),2),"""")"),"tính lãi suất vay ngân hàng")</f>
        <v>tính lãi suất vay ngân hàng</v>
      </c>
      <c r="J399" s="25" t="str">
        <f>IFERROR(__xludf.DUMMYFUNCTION("IFERROR(INDEX(FILTER('Kế hoạch chèn link (mới)'!$B$3:$B$2213,'Kế hoạch chèn link (mới)'!$D$3:$D$2213=$B399),2),"""")"),"https://techcombank.com/cong-cu-tien-ich/cong-cu-tinh-toan/bang-tinh-lai-suat-vay")</f>
        <v>https://techcombank.com/cong-cu-tien-ich/cong-cu-tinh-toan/bang-tinh-lai-suat-vay</v>
      </c>
      <c r="K399" s="25" t="str">
        <f>IFERROR(__xludf.DUMMYFUNCTION("IFERROR(INDEX(FILTER('Kế hoạch chèn link (mới)'!$C$3:$C$2213,'Kế hoạch chèn link (mới)'!$D$3:$D$2213=$B399),3),"""")"),"lãi suất cho vay ngân hàng")</f>
        <v>lãi suất cho vay ngân hàng</v>
      </c>
      <c r="L399" s="25" t="str">
        <f>IFERROR(__xludf.DUMMYFUNCTION("IFERROR(INDEX(FILTER('Kế hoạch chèn link (mới)'!$B$3:$B$2213,'Kế hoạch chèn link (mới)'!$D$3:$D$2213=$B399),3),"""")"),"https://techcombank.com/thong-tin/blog/lai-suat-vay-ngan-hang")</f>
        <v>https://techcombank.com/thong-tin/blog/lai-suat-vay-ngan-hang</v>
      </c>
      <c r="M399" s="25" t="str">
        <f>IFERROR(__xludf.DUMMYFUNCTION("IFERROR(INDEX(FILTER('Kế hoạch chèn link (mới)'!$C$3:$C$2213,'Kế hoạch chèn link (mới)'!$D$3:$D$2213=$B399),4),"""")"),"")</f>
        <v/>
      </c>
      <c r="N399" s="25" t="str">
        <f>IFERROR(__xludf.DUMMYFUNCTION("IFERROR(INDEX(FILTER('Kế hoạch chèn link (mới)'!$B$3:$B$2213,'Kế hoạch chèn link (mới)'!$D$3:$D$2213=$B399),4),"""")"),"")</f>
        <v/>
      </c>
      <c r="O399" s="25" t="str">
        <f>IFERROR(__xludf.DUMMYFUNCTION("IFERROR(INDEX(FILTER('Kế hoạch chèn link (mới)'!$C$3:$C$2213,'Kế hoạch chèn link (mới)'!$D$3:$D$2213=$B399),5),"""")"),"")</f>
        <v/>
      </c>
      <c r="P399" s="25" t="str">
        <f>IFERROR(__xludf.DUMMYFUNCTION("IFERROR(INDEX(FILTER('Kế hoạch chèn link (mới)'!$B$3:$B$2213,'Kế hoạch chèn link (mới)'!$D$3:$D$2213=$B399),5),"""")"),"")</f>
        <v/>
      </c>
    </row>
    <row r="400">
      <c r="A400" s="6">
        <f t="shared" si="1"/>
        <v>399</v>
      </c>
      <c r="B400" s="8" t="s">
        <v>3032</v>
      </c>
      <c r="C400" s="6">
        <f>COUNTIF('Kế hoạch chèn link (mới)'!$D$3:$D$2213,$B400)</f>
        <v>4</v>
      </c>
      <c r="D400" s="8" t="str">
        <f>IF(COUNTIFS('Kế hoạch chèn link (mới)'!$D$3:$D$2213,$B400,'Kế hoạch chèn link (mới)'!$I$3:$I$2213,"Đã chèn")&gt;=$C400,"Đã hoàn thành",IF(COUNTIFS('Kế hoạch chèn link (mới)'!$D$3:$D$2213,$B400,'Kế hoạch chèn link (mới)'!$I$3:$I$2213,"Đã chèn")&gt;0,"Đang làm","Chưa hoàn thành"))</f>
        <v>Chưa hoàn thành</v>
      </c>
      <c r="E400" s="8" t="b">
        <f t="shared" si="2"/>
        <v>0</v>
      </c>
      <c r="F400" s="25"/>
      <c r="G400" s="25" t="str">
        <f>IFERROR(__xludf.DUMMYFUNCTION("IFERROR(INDEX(FILTER('Kế hoạch chèn link (mới)'!$C$3:$C$2213,'Kế hoạch chèn link (mới)'!$D$3:$D$2213=$B400),1),"""")"),"làm thẻ tín dụng")</f>
        <v>làm thẻ tín dụng</v>
      </c>
      <c r="H400" s="25" t="str">
        <f>IFERROR(__xludf.DUMMYFUNCTION("IFERROR(INDEX(FILTER('Kế hoạch chèn link (mới)'!$B$3:$B$2213,'Kế hoạch chèn link (mới)'!$D$3:$D$2213=$B400),1),"""")"),"https://techcombank.com/thong-tin/blog/lam-the-tin-dung")</f>
        <v>https://techcombank.com/thong-tin/blog/lam-the-tin-dung</v>
      </c>
      <c r="I400" s="25" t="str">
        <f>IFERROR(__xludf.DUMMYFUNCTION("IFERROR(INDEX(FILTER('Kế hoạch chèn link (mới)'!$C$3:$C$2213,'Kế hoạch chèn link (mới)'!$D$3:$D$2213=$B400),2),"""")"),"thẻ tín dụng Techcombank Everyday")</f>
        <v>thẻ tín dụng Techcombank Everyday</v>
      </c>
      <c r="J400" s="25" t="str">
        <f>IFERROR(__xludf.DUMMYFUNCTION("IFERROR(INDEX(FILTER('Kế hoạch chèn link (mới)'!$B$3:$B$2213,'Kế hoạch chèn link (mới)'!$D$3:$D$2213=$B400),2),"""")"),"https://techcombank.com/khach-hang-ca-nhan/chi-tieu/the/the-tin-dung/techcombank-everyday")</f>
        <v>https://techcombank.com/khach-hang-ca-nhan/chi-tieu/the/the-tin-dung/techcombank-everyday</v>
      </c>
      <c r="K400" s="25" t="str">
        <f>IFERROR(__xludf.DUMMYFUNCTION("IFERROR(INDEX(FILTER('Kế hoạch chèn link (mới)'!$C$3:$C$2213,'Kế hoạch chèn link (mới)'!$D$3:$D$2213=$B400),3),"""")"),"thẻ tín dụng hoàn tiền")</f>
        <v>thẻ tín dụng hoàn tiền</v>
      </c>
      <c r="L400" s="25" t="str">
        <f>IFERROR(__xludf.DUMMYFUNCTION("IFERROR(INDEX(FILTER('Kế hoạch chèn link (mới)'!$B$3:$B$2213,'Kế hoạch chèn link (mới)'!$D$3:$D$2213=$B400),3),"""")"),"https://techcombank.com/thong-tin/blog/the-tin-dung-hoan-tien")</f>
        <v>https://techcombank.com/thong-tin/blog/the-tin-dung-hoan-tien</v>
      </c>
      <c r="M400" s="25" t="str">
        <f>IFERROR(__xludf.DUMMYFUNCTION("IFERROR(INDEX(FILTER('Kế hoạch chèn link (mới)'!$C$3:$C$2213,'Kế hoạch chèn link (mới)'!$D$3:$D$2213=$B400),4),"""")"),"cách thanh toán thẻ tín dụng")</f>
        <v>cách thanh toán thẻ tín dụng</v>
      </c>
      <c r="N400" s="25" t="str">
        <f>IFERROR(__xludf.DUMMYFUNCTION("IFERROR(INDEX(FILTER('Kế hoạch chèn link (mới)'!$B$3:$B$2213,'Kế hoạch chèn link (mới)'!$D$3:$D$2213=$B400),4),"""")"),"https://techcombank.com/thong-tin/blog/cach-thanh-toan-the-tin-dung")</f>
        <v>https://techcombank.com/thong-tin/blog/cach-thanh-toan-the-tin-dung</v>
      </c>
      <c r="O400" s="25" t="str">
        <f>IFERROR(__xludf.DUMMYFUNCTION("IFERROR(INDEX(FILTER('Kế hoạch chèn link (mới)'!$C$3:$C$2213,'Kế hoạch chèn link (mới)'!$D$3:$D$2213=$B400),5),"""")"),"")</f>
        <v/>
      </c>
      <c r="P400" s="25" t="str">
        <f>IFERROR(__xludf.DUMMYFUNCTION("IFERROR(INDEX(FILTER('Kế hoạch chèn link (mới)'!$B$3:$B$2213,'Kế hoạch chèn link (mới)'!$D$3:$D$2213=$B400),5),"""")"),"")</f>
        <v/>
      </c>
    </row>
    <row r="401">
      <c r="A401" s="6">
        <f t="shared" si="1"/>
        <v>400</v>
      </c>
      <c r="B401" s="8" t="s">
        <v>3033</v>
      </c>
      <c r="C401" s="6">
        <f>COUNTIF('Kế hoạch chèn link (mới)'!$D$3:$D$2213,$B401)</f>
        <v>1</v>
      </c>
      <c r="D401" s="8" t="str">
        <f>IF(COUNTIFS('Kế hoạch chèn link (mới)'!$D$3:$D$2213,$B401,'Kế hoạch chèn link (mới)'!$I$3:$I$2213,"Đã chèn")&gt;=$C401,"Đã hoàn thành",IF(COUNTIFS('Kế hoạch chèn link (mới)'!$D$3:$D$2213,$B401,'Kế hoạch chèn link (mới)'!$I$3:$I$2213,"Đã chèn")&gt;0,"Đang làm","Chưa hoàn thành"))</f>
        <v>Chưa hoàn thành</v>
      </c>
      <c r="E401" s="8" t="b">
        <f t="shared" si="2"/>
        <v>0</v>
      </c>
      <c r="F401" s="25"/>
      <c r="G401" s="25" t="str">
        <f>IFERROR(__xludf.DUMMYFUNCTION("IFERROR(INDEX(FILTER('Kế hoạch chèn link (mới)'!$C$3:$C$2213,'Kế hoạch chèn link (mới)'!$D$3:$D$2213=$B401),1),"""")"),"voucher Traveloka")</f>
        <v>voucher Traveloka</v>
      </c>
      <c r="H401" s="25" t="str">
        <f>IFERROR(__xludf.DUMMYFUNCTION("IFERROR(INDEX(FILTER('Kế hoạch chèn link (mới)'!$B$3:$B$2213,'Kế hoạch chèn link (mới)'!$D$3:$D$2213=$B401),1),"""")"),"https://techcombank.com/thong-tin/blog/traveloka-voucher")</f>
        <v>https://techcombank.com/thong-tin/blog/traveloka-voucher</v>
      </c>
      <c r="I401" s="25" t="str">
        <f>IFERROR(__xludf.DUMMYFUNCTION("IFERROR(INDEX(FILTER('Kế hoạch chèn link (mới)'!$C$3:$C$2213,'Kế hoạch chèn link (mới)'!$D$3:$D$2213=$B401),2),"""")"),"")</f>
        <v/>
      </c>
      <c r="J401" s="25" t="str">
        <f>IFERROR(__xludf.DUMMYFUNCTION("IFERROR(INDEX(FILTER('Kế hoạch chèn link (mới)'!$B$3:$B$2213,'Kế hoạch chèn link (mới)'!$D$3:$D$2213=$B401),2),"""")"),"")</f>
        <v/>
      </c>
      <c r="K401" s="25" t="str">
        <f>IFERROR(__xludf.DUMMYFUNCTION("IFERROR(INDEX(FILTER('Kế hoạch chèn link (mới)'!$C$3:$C$2213,'Kế hoạch chèn link (mới)'!$D$3:$D$2213=$B401),3),"""")"),"")</f>
        <v/>
      </c>
      <c r="L401" s="25" t="str">
        <f>IFERROR(__xludf.DUMMYFUNCTION("IFERROR(INDEX(FILTER('Kế hoạch chèn link (mới)'!$B$3:$B$2213,'Kế hoạch chèn link (mới)'!$D$3:$D$2213=$B401),3),"""")"),"")</f>
        <v/>
      </c>
      <c r="M401" s="25" t="str">
        <f>IFERROR(__xludf.DUMMYFUNCTION("IFERROR(INDEX(FILTER('Kế hoạch chèn link (mới)'!$C$3:$C$2213,'Kế hoạch chèn link (mới)'!$D$3:$D$2213=$B401),4),"""")"),"")</f>
        <v/>
      </c>
      <c r="N401" s="25" t="str">
        <f>IFERROR(__xludf.DUMMYFUNCTION("IFERROR(INDEX(FILTER('Kế hoạch chèn link (mới)'!$B$3:$B$2213,'Kế hoạch chèn link (mới)'!$D$3:$D$2213=$B401),4),"""")"),"")</f>
        <v/>
      </c>
      <c r="O401" s="25" t="str">
        <f>IFERROR(__xludf.DUMMYFUNCTION("IFERROR(INDEX(FILTER('Kế hoạch chèn link (mới)'!$C$3:$C$2213,'Kế hoạch chèn link (mới)'!$D$3:$D$2213=$B401),5),"""")"),"")</f>
        <v/>
      </c>
      <c r="P401" s="25" t="str">
        <f>IFERROR(__xludf.DUMMYFUNCTION("IFERROR(INDEX(FILTER('Kế hoạch chèn link (mới)'!$B$3:$B$2213,'Kế hoạch chèn link (mới)'!$D$3:$D$2213=$B401),5),"""")"),"")</f>
        <v/>
      </c>
    </row>
    <row r="402">
      <c r="A402" s="6">
        <f t="shared" si="1"/>
        <v>401</v>
      </c>
      <c r="B402" s="8" t="s">
        <v>3034</v>
      </c>
      <c r="C402" s="6">
        <f>COUNTIF('Kế hoạch chèn link (mới)'!$D$3:$D$2213,$B402)</f>
        <v>1</v>
      </c>
      <c r="D402" s="8" t="str">
        <f>IF(COUNTIFS('Kế hoạch chèn link (mới)'!$D$3:$D$2213,$B402,'Kế hoạch chèn link (mới)'!$I$3:$I$2213,"Đã chèn")&gt;=$C402,"Đã hoàn thành",IF(COUNTIFS('Kế hoạch chèn link (mới)'!$D$3:$D$2213,$B402,'Kế hoạch chèn link (mới)'!$I$3:$I$2213,"Đã chèn")&gt;0,"Đang làm","Chưa hoàn thành"))</f>
        <v>Chưa hoàn thành</v>
      </c>
      <c r="E402" s="8" t="b">
        <f t="shared" si="2"/>
        <v>0</v>
      </c>
      <c r="F402" s="25"/>
      <c r="G402" s="25" t="str">
        <f>IFERROR(__xludf.DUMMYFUNCTION("IFERROR(INDEX(FILTER('Kế hoạch chèn link (mới)'!$C$3:$C$2213,'Kế hoạch chèn link (mới)'!$D$3:$D$2213=$B402),1),"""")"),"voucher Traveloka")</f>
        <v>voucher Traveloka</v>
      </c>
      <c r="H402" s="25" t="str">
        <f>IFERROR(__xludf.DUMMYFUNCTION("IFERROR(INDEX(FILTER('Kế hoạch chèn link (mới)'!$B$3:$B$2213,'Kế hoạch chèn link (mới)'!$D$3:$D$2213=$B402),1),"""")"),"https://techcombank.com/thong-tin/blog/traveloka-voucher")</f>
        <v>https://techcombank.com/thong-tin/blog/traveloka-voucher</v>
      </c>
      <c r="I402" s="25" t="str">
        <f>IFERROR(__xludf.DUMMYFUNCTION("IFERROR(INDEX(FILTER('Kế hoạch chèn link (mới)'!$C$3:$C$2213,'Kế hoạch chèn link (mới)'!$D$3:$D$2213=$B402),2),"""")"),"")</f>
        <v/>
      </c>
      <c r="J402" s="25" t="str">
        <f>IFERROR(__xludf.DUMMYFUNCTION("IFERROR(INDEX(FILTER('Kế hoạch chèn link (mới)'!$B$3:$B$2213,'Kế hoạch chèn link (mới)'!$D$3:$D$2213=$B402),2),"""")"),"")</f>
        <v/>
      </c>
      <c r="K402" s="25" t="str">
        <f>IFERROR(__xludf.DUMMYFUNCTION("IFERROR(INDEX(FILTER('Kế hoạch chèn link (mới)'!$C$3:$C$2213,'Kế hoạch chèn link (mới)'!$D$3:$D$2213=$B402),3),"""")"),"")</f>
        <v/>
      </c>
      <c r="L402" s="25" t="str">
        <f>IFERROR(__xludf.DUMMYFUNCTION("IFERROR(INDEX(FILTER('Kế hoạch chèn link (mới)'!$B$3:$B$2213,'Kế hoạch chèn link (mới)'!$D$3:$D$2213=$B402),3),"""")"),"")</f>
        <v/>
      </c>
      <c r="M402" s="25" t="str">
        <f>IFERROR(__xludf.DUMMYFUNCTION("IFERROR(INDEX(FILTER('Kế hoạch chèn link (mới)'!$C$3:$C$2213,'Kế hoạch chèn link (mới)'!$D$3:$D$2213=$B402),4),"""")"),"")</f>
        <v/>
      </c>
      <c r="N402" s="25" t="str">
        <f>IFERROR(__xludf.DUMMYFUNCTION("IFERROR(INDEX(FILTER('Kế hoạch chèn link (mới)'!$B$3:$B$2213,'Kế hoạch chèn link (mới)'!$D$3:$D$2213=$B402),4),"""")"),"")</f>
        <v/>
      </c>
      <c r="O402" s="25" t="str">
        <f>IFERROR(__xludf.DUMMYFUNCTION("IFERROR(INDEX(FILTER('Kế hoạch chèn link (mới)'!$C$3:$C$2213,'Kế hoạch chèn link (mới)'!$D$3:$D$2213=$B402),5),"""")"),"")</f>
        <v/>
      </c>
      <c r="P402" s="25" t="str">
        <f>IFERROR(__xludf.DUMMYFUNCTION("IFERROR(INDEX(FILTER('Kế hoạch chèn link (mới)'!$B$3:$B$2213,'Kế hoạch chèn link (mới)'!$D$3:$D$2213=$B402),5),"""")"),"")</f>
        <v/>
      </c>
    </row>
    <row r="403">
      <c r="A403" s="6">
        <f t="shared" si="1"/>
        <v>402</v>
      </c>
      <c r="B403" s="8" t="s">
        <v>2352</v>
      </c>
      <c r="C403" s="6">
        <f>COUNTIF('Kế hoạch chèn link (mới)'!$D$3:$D$2213,$B403)</f>
        <v>4</v>
      </c>
      <c r="D403" s="8" t="str">
        <f>IF(COUNTIFS('Kế hoạch chèn link (mới)'!$D$3:$D$2213,$B403,'Kế hoạch chèn link (mới)'!$I$3:$I$2213,"Đã chèn")&gt;=$C403,"Đã hoàn thành",IF(COUNTIFS('Kế hoạch chèn link (mới)'!$D$3:$D$2213,$B403,'Kế hoạch chèn link (mới)'!$I$3:$I$2213,"Đã chèn")&gt;0,"Đang làm","Chưa hoàn thành"))</f>
        <v>Chưa hoàn thành</v>
      </c>
      <c r="E403" s="8" t="b">
        <f t="shared" si="2"/>
        <v>0</v>
      </c>
      <c r="F403" s="25"/>
      <c r="G403" s="25" t="str">
        <f>IFERROR(__xludf.DUMMYFUNCTION("IFERROR(INDEX(FILTER('Kế hoạch chèn link (mới)'!$C$3:$C$2213,'Kế hoạch chèn link (mới)'!$D$3:$D$2213=$B403),1),"""")"),"cách sao kê tài khoản ngân hàng")</f>
        <v>cách sao kê tài khoản ngân hàng</v>
      </c>
      <c r="H403" s="25" t="str">
        <f>IFERROR(__xludf.DUMMYFUNCTION("IFERROR(INDEX(FILTER('Kế hoạch chèn link (mới)'!$B$3:$B$2213,'Kế hoạch chèn link (mới)'!$D$3:$D$2213=$B403),1),"""")"),"https://techcombank.com/thong-tin/blog/cach-sao-ke-tai-khoan-ngan-hang")</f>
        <v>https://techcombank.com/thong-tin/blog/cach-sao-ke-tai-khoan-ngan-hang</v>
      </c>
      <c r="I403" s="25" t="str">
        <f>IFERROR(__xludf.DUMMYFUNCTION("IFERROR(INDEX(FILTER('Kế hoạch chèn link (mới)'!$C$3:$C$2213,'Kế hoạch chèn link (mới)'!$D$3:$D$2213=$B403),2),"""")"),"xếp hạng tín dụng cá nhân")</f>
        <v>xếp hạng tín dụng cá nhân</v>
      </c>
      <c r="J403" s="25" t="str">
        <f>IFERROR(__xludf.DUMMYFUNCTION("IFERROR(INDEX(FILTER('Kế hoạch chèn link (mới)'!$B$3:$B$2213,'Kế hoạch chèn link (mới)'!$D$3:$D$2213=$B403),2),"""")"),"https://techcombank.com/thong-tin/blog/xep-hang-tin-dung")</f>
        <v>https://techcombank.com/thong-tin/blog/xep-hang-tin-dung</v>
      </c>
      <c r="K403" s="25" t="str">
        <f>IFERROR(__xludf.DUMMYFUNCTION("IFERROR(INDEX(FILTER('Kế hoạch chèn link (mới)'!$C$3:$C$2213,'Kế hoạch chèn link (mới)'!$D$3:$D$2213=$B403),3),"""")"),"vay")</f>
        <v>vay</v>
      </c>
      <c r="L403" s="25" t="str">
        <f>IFERROR(__xludf.DUMMYFUNCTION("IFERROR(INDEX(FILTER('Kế hoạch chèn link (mới)'!$B$3:$B$2213,'Kế hoạch chèn link (mới)'!$D$3:$D$2213=$B403),3),"""")"),"https://techcombank.com/thong-tin/blog/app-vay-tien-nhanh")</f>
        <v>https://techcombank.com/thong-tin/blog/app-vay-tien-nhanh</v>
      </c>
      <c r="M403" s="25" t="str">
        <f>IFERROR(__xludf.DUMMYFUNCTION("IFERROR(INDEX(FILTER('Kế hoạch chèn link (mới)'!$C$3:$C$2213,'Kế hoạch chèn link (mới)'!$D$3:$D$2213=$B403),4),"""")"),"nợ xấu")</f>
        <v>nợ xấu</v>
      </c>
      <c r="N403" s="25" t="str">
        <f>IFERROR(__xludf.DUMMYFUNCTION("IFERROR(INDEX(FILTER('Kế hoạch chèn link (mới)'!$B$3:$B$2213,'Kế hoạch chèn link (mới)'!$D$3:$D$2213=$B403),4),"""")"),"https://techcombank.com/thong-tin/blog/no-xau-la-gi")</f>
        <v>https://techcombank.com/thong-tin/blog/no-xau-la-gi</v>
      </c>
      <c r="O403" s="25" t="str">
        <f>IFERROR(__xludf.DUMMYFUNCTION("IFERROR(INDEX(FILTER('Kế hoạch chèn link (mới)'!$C$3:$C$2213,'Kế hoạch chèn link (mới)'!$D$3:$D$2213=$B403),5),"""")"),"")</f>
        <v/>
      </c>
      <c r="P403" s="25" t="str">
        <f>IFERROR(__xludf.DUMMYFUNCTION("IFERROR(INDEX(FILTER('Kế hoạch chèn link (mới)'!$B$3:$B$2213,'Kế hoạch chèn link (mới)'!$D$3:$D$2213=$B403),5),"""")"),"")</f>
        <v/>
      </c>
    </row>
    <row r="404">
      <c r="A404" s="6">
        <f t="shared" si="1"/>
        <v>403</v>
      </c>
      <c r="B404" s="8" t="s">
        <v>1327</v>
      </c>
      <c r="C404" s="6">
        <f>COUNTIF('Kế hoạch chèn link (mới)'!$D$3:$D$2213,$B404)</f>
        <v>2</v>
      </c>
      <c r="D404" s="8" t="str">
        <f>IF(COUNTIFS('Kế hoạch chèn link (mới)'!$D$3:$D$2213,$B404,'Kế hoạch chèn link (mới)'!$I$3:$I$2213,"Đã chèn")&gt;=$C404,"Đã hoàn thành",IF(COUNTIFS('Kế hoạch chèn link (mới)'!$D$3:$D$2213,$B404,'Kế hoạch chèn link (mới)'!$I$3:$I$2213,"Đã chèn")&gt;0,"Đang làm","Chưa hoàn thành"))</f>
        <v>Chưa hoàn thành</v>
      </c>
      <c r="E404" s="8" t="b">
        <f t="shared" si="2"/>
        <v>0</v>
      </c>
      <c r="F404" s="25"/>
      <c r="G404" s="25" t="str">
        <f>IFERROR(__xludf.DUMMYFUNCTION("IFERROR(INDEX(FILTER('Kế hoạch chèn link (mới)'!$C$3:$C$2213,'Kế hoạch chèn link (mới)'!$D$3:$D$2213=$B404),1),"""")"),"cách nạp tiền điện thoại viettel")</f>
        <v>cách nạp tiền điện thoại viettel</v>
      </c>
      <c r="H404" s="25" t="str">
        <f>IFERROR(__xludf.DUMMYFUNCTION("IFERROR(INDEX(FILTER('Kế hoạch chèn link (mới)'!$B$3:$B$2213,'Kế hoạch chèn link (mới)'!$D$3:$D$2213=$B404),1),"""")"),"https://techcombank.com/thong-tin/blog/cach-nap-the-viettel")</f>
        <v>https://techcombank.com/thong-tin/blog/cach-nap-the-viettel</v>
      </c>
      <c r="I404" s="25" t="str">
        <f>IFERROR(__xludf.DUMMYFUNCTION("IFERROR(INDEX(FILTER('Kế hoạch chèn link (mới)'!$C$3:$C$2213,'Kế hoạch chèn link (mới)'!$D$3:$D$2213=$B404),2),"""")"),"nạp tiền vào tài khoản ngân hàng")</f>
        <v>nạp tiền vào tài khoản ngân hàng</v>
      </c>
      <c r="J404" s="25" t="str">
        <f>IFERROR(__xludf.DUMMYFUNCTION("IFERROR(INDEX(FILTER('Kế hoạch chèn link (mới)'!$B$3:$B$2213,'Kế hoạch chèn link (mới)'!$D$3:$D$2213=$B404),2),"""")"),"https://techcombank.com/thong-tin/blog/nap-tien-vao-tai-khoan-ngan-hang")</f>
        <v>https://techcombank.com/thong-tin/blog/nap-tien-vao-tai-khoan-ngan-hang</v>
      </c>
      <c r="K404" s="25" t="str">
        <f>IFERROR(__xludf.DUMMYFUNCTION("IFERROR(INDEX(FILTER('Kế hoạch chèn link (mới)'!$C$3:$C$2213,'Kế hoạch chèn link (mới)'!$D$3:$D$2213=$B404),3),"""")"),"")</f>
        <v/>
      </c>
      <c r="L404" s="25" t="str">
        <f>IFERROR(__xludf.DUMMYFUNCTION("IFERROR(INDEX(FILTER('Kế hoạch chèn link (mới)'!$B$3:$B$2213,'Kế hoạch chèn link (mới)'!$D$3:$D$2213=$B404),3),"""")"),"")</f>
        <v/>
      </c>
      <c r="M404" s="25" t="str">
        <f>IFERROR(__xludf.DUMMYFUNCTION("IFERROR(INDEX(FILTER('Kế hoạch chèn link (mới)'!$C$3:$C$2213,'Kế hoạch chèn link (mới)'!$D$3:$D$2213=$B404),4),"""")"),"")</f>
        <v/>
      </c>
      <c r="N404" s="25" t="str">
        <f>IFERROR(__xludf.DUMMYFUNCTION("IFERROR(INDEX(FILTER('Kế hoạch chèn link (mới)'!$B$3:$B$2213,'Kế hoạch chèn link (mới)'!$D$3:$D$2213=$B404),4),"""")"),"")</f>
        <v/>
      </c>
      <c r="O404" s="25" t="str">
        <f>IFERROR(__xludf.DUMMYFUNCTION("IFERROR(INDEX(FILTER('Kế hoạch chèn link (mới)'!$C$3:$C$2213,'Kế hoạch chèn link (mới)'!$D$3:$D$2213=$B404),5),"""")"),"")</f>
        <v/>
      </c>
      <c r="P404" s="25" t="str">
        <f>IFERROR(__xludf.DUMMYFUNCTION("IFERROR(INDEX(FILTER('Kế hoạch chèn link (mới)'!$B$3:$B$2213,'Kế hoạch chèn link (mới)'!$D$3:$D$2213=$B404),5),"""")"),"")</f>
        <v/>
      </c>
    </row>
    <row r="405">
      <c r="A405" s="6">
        <f t="shared" si="1"/>
        <v>404</v>
      </c>
      <c r="B405" s="8" t="s">
        <v>840</v>
      </c>
      <c r="C405" s="6">
        <f>COUNTIF('Kế hoạch chèn link (mới)'!$D$3:$D$2213,$B405)</f>
        <v>4</v>
      </c>
      <c r="D405" s="8" t="str">
        <f>IF(COUNTIFS('Kế hoạch chèn link (mới)'!$D$3:$D$2213,$B405,'Kế hoạch chèn link (mới)'!$I$3:$I$2213,"Đã chèn")&gt;=$C405,"Đã hoàn thành",IF(COUNTIFS('Kế hoạch chèn link (mới)'!$D$3:$D$2213,$B405,'Kế hoạch chèn link (mới)'!$I$3:$I$2213,"Đã chèn")&gt;0,"Đang làm","Chưa hoàn thành"))</f>
        <v>Chưa hoàn thành</v>
      </c>
      <c r="E405" s="8" t="b">
        <f t="shared" si="2"/>
        <v>0</v>
      </c>
      <c r="F405" s="25"/>
      <c r="G405" s="25" t="str">
        <f>IFERROR(__xludf.DUMMYFUNCTION("IFERROR(INDEX(FILTER('Kế hoạch chèn link (mới)'!$C$3:$C$2213,'Kế hoạch chèn link (mới)'!$D$3:$D$2213=$B405),1),"""")"),"tra số tài khoản ngân hàng")</f>
        <v>tra số tài khoản ngân hàng</v>
      </c>
      <c r="H405" s="25" t="str">
        <f>IFERROR(__xludf.DUMMYFUNCTION("IFERROR(INDEX(FILTER('Kế hoạch chèn link (mới)'!$B$3:$B$2213,'Kế hoạch chèn link (mới)'!$D$3:$D$2213=$B405),1),"""")"),"https://techcombank.com/thong-tin/blog/cach-kiem-tra-tai-khoan-ngan-hang")</f>
        <v>https://techcombank.com/thong-tin/blog/cach-kiem-tra-tai-khoan-ngan-hang</v>
      </c>
      <c r="I405" s="25" t="str">
        <f>IFERROR(__xludf.DUMMYFUNCTION("IFERROR(INDEX(FILTER('Kế hoạch chèn link (mới)'!$C$3:$C$2213,'Kế hoạch chèn link (mới)'!$D$3:$D$2213=$B405),2),"""")"),"mở tài khoản ngân hàng online")</f>
        <v>mở tài khoản ngân hàng online</v>
      </c>
      <c r="J405" s="25" t="str">
        <f>IFERROR(__xludf.DUMMYFUNCTION("IFERROR(INDEX(FILTER('Kế hoạch chèn link (mới)'!$B$3:$B$2213,'Kế hoạch chèn link (mới)'!$D$3:$D$2213=$B405),2),"""")"),"https://techcombank.com/thong-tin/blog/cach-mo-tai-khoan")</f>
        <v>https://techcombank.com/thong-tin/blog/cach-mo-tai-khoan</v>
      </c>
      <c r="K405" s="25" t="str">
        <f>IFERROR(__xludf.DUMMYFUNCTION("IFERROR(INDEX(FILTER('Kế hoạch chèn link (mới)'!$C$3:$C$2213,'Kế hoạch chèn link (mới)'!$D$3:$D$2213=$B405),3),"""")"),"lãi suất ngân hàng")</f>
        <v>lãi suất ngân hàng</v>
      </c>
      <c r="L405" s="25" t="str">
        <f>IFERROR(__xludf.DUMMYFUNCTION("IFERROR(INDEX(FILTER('Kế hoạch chèn link (mới)'!$B$3:$B$2213,'Kế hoạch chèn link (mới)'!$D$3:$D$2213=$B405),3),"""")"),"https://techcombank.com/thong-tin/blog/lai-suat-tiet-kiem")</f>
        <v>https://techcombank.com/thong-tin/blog/lai-suat-tiet-kiem</v>
      </c>
      <c r="M405" s="25" t="str">
        <f>IFERROR(__xludf.DUMMYFUNCTION("IFERROR(INDEX(FILTER('Kế hoạch chèn link (mới)'!$C$3:$C$2213,'Kế hoạch chèn link (mới)'!$D$3:$D$2213=$B405),4),"""")"),"tính lãi suất ngân hàng")</f>
        <v>tính lãi suất ngân hàng</v>
      </c>
      <c r="N405" s="25" t="str">
        <f>IFERROR(__xludf.DUMMYFUNCTION("IFERROR(INDEX(FILTER('Kế hoạch chèn link (mới)'!$B$3:$B$2213,'Kế hoạch chèn link (mới)'!$D$3:$D$2213=$B405),4),"""")"),"https://techcombank.com/thong-tin/blog/cach-tinh-lai-suat-tien-gui-tiet-kiem")</f>
        <v>https://techcombank.com/thong-tin/blog/cach-tinh-lai-suat-tien-gui-tiet-kiem</v>
      </c>
      <c r="O405" s="25" t="str">
        <f>IFERROR(__xludf.DUMMYFUNCTION("IFERROR(INDEX(FILTER('Kế hoạch chèn link (mới)'!$C$3:$C$2213,'Kế hoạch chèn link (mới)'!$D$3:$D$2213=$B405),5),"""")"),"")</f>
        <v/>
      </c>
      <c r="P405" s="25" t="str">
        <f>IFERROR(__xludf.DUMMYFUNCTION("IFERROR(INDEX(FILTER('Kế hoạch chèn link (mới)'!$B$3:$B$2213,'Kế hoạch chèn link (mới)'!$D$3:$D$2213=$B405),5),"""")"),"")</f>
        <v/>
      </c>
    </row>
    <row r="406">
      <c r="A406" s="6">
        <f t="shared" si="1"/>
        <v>405</v>
      </c>
      <c r="B406" s="8" t="s">
        <v>2177</v>
      </c>
      <c r="C406" s="6">
        <f>COUNTIF('Kế hoạch chèn link (mới)'!$D$3:$D$2213,$B406)</f>
        <v>1</v>
      </c>
      <c r="D406" s="8" t="str">
        <f>IF(COUNTIFS('Kế hoạch chèn link (mới)'!$D$3:$D$2213,$B406,'Kế hoạch chèn link (mới)'!$I$3:$I$2213,"Đã chèn")&gt;=$C406,"Đã hoàn thành",IF(COUNTIFS('Kế hoạch chèn link (mới)'!$D$3:$D$2213,$B406,'Kế hoạch chèn link (mới)'!$I$3:$I$2213,"Đã chèn")&gt;0,"Đang làm","Chưa hoàn thành"))</f>
        <v>Chưa hoàn thành</v>
      </c>
      <c r="E406" s="8" t="b">
        <f t="shared" si="2"/>
        <v>0</v>
      </c>
      <c r="F406" s="25"/>
      <c r="G406" s="25" t="str">
        <f>IFERROR(__xludf.DUMMYFUNCTION("IFERROR(INDEX(FILTER('Kế hoạch chèn link (mới)'!$C$3:$C$2213,'Kế hoạch chèn link (mới)'!$D$3:$D$2213=$B406),1),"""")"),"mở tài khoản ngân hàng cho học sinh")</f>
        <v>mở tài khoản ngân hàng cho học sinh</v>
      </c>
      <c r="H406" s="25" t="str">
        <f>IFERROR(__xludf.DUMMYFUNCTION("IFERROR(INDEX(FILTER('Kế hoạch chèn link (mới)'!$B$3:$B$2213,'Kế hoạch chèn link (mới)'!$D$3:$D$2213=$B406),1),"""")"),"https://techcombank.com/thong-tin/blog/mo-tai-khoan-ngan-hang-duoi-18-tuoi")</f>
        <v>https://techcombank.com/thong-tin/blog/mo-tai-khoan-ngan-hang-duoi-18-tuoi</v>
      </c>
      <c r="I406" s="25" t="str">
        <f>IFERROR(__xludf.DUMMYFUNCTION("IFERROR(INDEX(FILTER('Kế hoạch chèn link (mới)'!$C$3:$C$2213,'Kế hoạch chèn link (mới)'!$D$3:$D$2213=$B406),2),"""")"),"")</f>
        <v/>
      </c>
      <c r="J406" s="25" t="str">
        <f>IFERROR(__xludf.DUMMYFUNCTION("IFERROR(INDEX(FILTER('Kế hoạch chèn link (mới)'!$B$3:$B$2213,'Kế hoạch chèn link (mới)'!$D$3:$D$2213=$B406),2),"""")"),"")</f>
        <v/>
      </c>
      <c r="K406" s="25" t="str">
        <f>IFERROR(__xludf.DUMMYFUNCTION("IFERROR(INDEX(FILTER('Kế hoạch chèn link (mới)'!$C$3:$C$2213,'Kế hoạch chèn link (mới)'!$D$3:$D$2213=$B406),3),"""")"),"")</f>
        <v/>
      </c>
      <c r="L406" s="25" t="str">
        <f>IFERROR(__xludf.DUMMYFUNCTION("IFERROR(INDEX(FILTER('Kế hoạch chèn link (mới)'!$B$3:$B$2213,'Kế hoạch chèn link (mới)'!$D$3:$D$2213=$B406),3),"""")"),"")</f>
        <v/>
      </c>
      <c r="M406" s="25" t="str">
        <f>IFERROR(__xludf.DUMMYFUNCTION("IFERROR(INDEX(FILTER('Kế hoạch chèn link (mới)'!$C$3:$C$2213,'Kế hoạch chèn link (mới)'!$D$3:$D$2213=$B406),4),"""")"),"")</f>
        <v/>
      </c>
      <c r="N406" s="25" t="str">
        <f>IFERROR(__xludf.DUMMYFUNCTION("IFERROR(INDEX(FILTER('Kế hoạch chèn link (mới)'!$B$3:$B$2213,'Kế hoạch chèn link (mới)'!$D$3:$D$2213=$B406),4),"""")"),"")</f>
        <v/>
      </c>
      <c r="O406" s="25" t="str">
        <f>IFERROR(__xludf.DUMMYFUNCTION("IFERROR(INDEX(FILTER('Kế hoạch chèn link (mới)'!$C$3:$C$2213,'Kế hoạch chèn link (mới)'!$D$3:$D$2213=$B406),5),"""")"),"")</f>
        <v/>
      </c>
      <c r="P406" s="25" t="str">
        <f>IFERROR(__xludf.DUMMYFUNCTION("IFERROR(INDEX(FILTER('Kế hoạch chèn link (mới)'!$B$3:$B$2213,'Kế hoạch chèn link (mới)'!$D$3:$D$2213=$B406),5),"""")"),"")</f>
        <v/>
      </c>
    </row>
    <row r="407">
      <c r="A407" s="6">
        <f t="shared" si="1"/>
        <v>406</v>
      </c>
      <c r="B407" s="8" t="s">
        <v>3038</v>
      </c>
      <c r="C407" s="6">
        <f>COUNTIF('Kế hoạch chèn link (mới)'!$D$3:$D$2213,$B407)</f>
        <v>4</v>
      </c>
      <c r="D407" s="8" t="str">
        <f>IF(COUNTIFS('Kế hoạch chèn link (mới)'!$D$3:$D$2213,$B407,'Kế hoạch chèn link (mới)'!$I$3:$I$2213,"Đã chèn")&gt;=$C407,"Đã hoàn thành",IF(COUNTIFS('Kế hoạch chèn link (mới)'!$D$3:$D$2213,$B407,'Kế hoạch chèn link (mới)'!$I$3:$I$2213,"Đã chèn")&gt;0,"Đang làm","Chưa hoàn thành"))</f>
        <v>Chưa hoàn thành</v>
      </c>
      <c r="E407" s="8" t="b">
        <f t="shared" si="2"/>
        <v>0</v>
      </c>
      <c r="F407" s="25"/>
      <c r="G407" s="25" t="str">
        <f>IFERROR(__xludf.DUMMYFUNCTION("IFERROR(INDEX(FILTER('Kế hoạch chèn link (mới)'!$C$3:$C$2213,'Kế hoạch chèn link (mới)'!$D$3:$D$2213=$B407),1),"""")"),"lãi suất gửi tiết kiệm ngân hàng")</f>
        <v>lãi suất gửi tiết kiệm ngân hàng</v>
      </c>
      <c r="H407" s="25" t="str">
        <f>IFERROR(__xludf.DUMMYFUNCTION("IFERROR(INDEX(FILTER('Kế hoạch chèn link (mới)'!$B$3:$B$2213,'Kế hoạch chèn link (mới)'!$D$3:$D$2213=$B407),1),"""")"),"https://techcombank.com/thong-tin/blog/lai-suat-tiet-kiem")</f>
        <v>https://techcombank.com/thong-tin/blog/lai-suat-tiet-kiem</v>
      </c>
      <c r="I407" s="25" t="str">
        <f>IFERROR(__xludf.DUMMYFUNCTION("IFERROR(INDEX(FILTER('Kế hoạch chèn link (mới)'!$C$3:$C$2213,'Kế hoạch chèn link (mới)'!$D$3:$D$2213=$B407),2),"""")"),"tính lãi suất ngân hàng")</f>
        <v>tính lãi suất ngân hàng</v>
      </c>
      <c r="J407" s="25" t="str">
        <f>IFERROR(__xludf.DUMMYFUNCTION("IFERROR(INDEX(FILTER('Kế hoạch chèn link (mới)'!$B$3:$B$2213,'Kế hoạch chèn link (mới)'!$D$3:$D$2213=$B407),2),"""")"),"https://techcombank.com/thong-tin/blog/cach-tinh-lai-suat-tien-gui-tiet-kiem")</f>
        <v>https://techcombank.com/thong-tin/blog/cach-tinh-lai-suat-tien-gui-tiet-kiem</v>
      </c>
      <c r="K407" s="25" t="str">
        <f>IFERROR(__xludf.DUMMYFUNCTION("IFERROR(INDEX(FILTER('Kế hoạch chèn link (mới)'!$C$3:$C$2213,'Kế hoạch chèn link (mới)'!$D$3:$D$2213=$B407),3),"""")"),"gửi tiết kiệm online có an toàn không")</f>
        <v>gửi tiết kiệm online có an toàn không</v>
      </c>
      <c r="L407" s="25" t="str">
        <f>IFERROR(__xludf.DUMMYFUNCTION("IFERROR(INDEX(FILTER('Kế hoạch chèn link (mới)'!$B$3:$B$2213,'Kế hoạch chèn link (mới)'!$D$3:$D$2213=$B407),3),"""")"),"https://techcombank.com/thong-tin/blog/rui-ro-khi-gui-tiet-kiem-online")</f>
        <v>https://techcombank.com/thong-tin/blog/rui-ro-khi-gui-tiet-kiem-online</v>
      </c>
      <c r="M407" s="25" t="str">
        <f>IFERROR(__xludf.DUMMYFUNCTION("IFERROR(INDEX(FILTER('Kế hoạch chèn link (mới)'!$C$3:$C$2213,'Kế hoạch chèn link (mới)'!$D$3:$D$2213=$B407),4),"""")"),"bảng tính lãi suất tiết kiệm")</f>
        <v>bảng tính lãi suất tiết kiệm</v>
      </c>
      <c r="N407" s="25" t="str">
        <f>IFERROR(__xludf.DUMMYFUNCTION("IFERROR(INDEX(FILTER('Kế hoạch chèn link (mới)'!$B$3:$B$2213,'Kế hoạch chèn link (mới)'!$D$3:$D$2213=$B407),4),"""")"),"https://techcombank.com/cong-cu-tien-ich/cong-cu-tinh-toan/bang-tinh-lai-suat-tiet-kiem")</f>
        <v>https://techcombank.com/cong-cu-tien-ich/cong-cu-tinh-toan/bang-tinh-lai-suat-tiet-kiem</v>
      </c>
      <c r="O407" s="25" t="str">
        <f>IFERROR(__xludf.DUMMYFUNCTION("IFERROR(INDEX(FILTER('Kế hoạch chèn link (mới)'!$C$3:$C$2213,'Kế hoạch chèn link (mới)'!$D$3:$D$2213=$B407),5),"""")"),"")</f>
        <v/>
      </c>
      <c r="P407" s="25" t="str">
        <f>IFERROR(__xludf.DUMMYFUNCTION("IFERROR(INDEX(FILTER('Kế hoạch chèn link (mới)'!$B$3:$B$2213,'Kế hoạch chèn link (mới)'!$D$3:$D$2213=$B407),5),"""")"),"")</f>
        <v/>
      </c>
    </row>
    <row r="408">
      <c r="A408" s="6">
        <f t="shared" si="1"/>
        <v>407</v>
      </c>
      <c r="B408" s="8" t="s">
        <v>3039</v>
      </c>
      <c r="C408" s="6">
        <f>COUNTIF('Kế hoạch chèn link (mới)'!$D$3:$D$2213,$B408)</f>
        <v>4</v>
      </c>
      <c r="D408" s="8" t="str">
        <f>IF(COUNTIFS('Kế hoạch chèn link (mới)'!$D$3:$D$2213,$B408,'Kế hoạch chèn link (mới)'!$I$3:$I$2213,"Đã chèn")&gt;=$C408,"Đã hoàn thành",IF(COUNTIFS('Kế hoạch chèn link (mới)'!$D$3:$D$2213,$B408,'Kế hoạch chèn link (mới)'!$I$3:$I$2213,"Đã chèn")&gt;0,"Đang làm","Chưa hoàn thành"))</f>
        <v>Chưa hoàn thành</v>
      </c>
      <c r="E408" s="8" t="b">
        <f t="shared" si="2"/>
        <v>0</v>
      </c>
      <c r="F408" s="25"/>
      <c r="G408" s="25" t="str">
        <f>IFERROR(__xludf.DUMMYFUNCTION("IFERROR(INDEX(FILTER('Kế hoạch chèn link (mới)'!$C$3:$C$2213,'Kế hoạch chèn link (mới)'!$D$3:$D$2213=$B408),1),"""")"),"cách tính lãi suất vay")</f>
        <v>cách tính lãi suất vay</v>
      </c>
      <c r="H408" s="25" t="str">
        <f>IFERROR(__xludf.DUMMYFUNCTION("IFERROR(INDEX(FILTER('Kế hoạch chèn link (mới)'!$B$3:$B$2213,'Kế hoạch chèn link (mới)'!$D$3:$D$2213=$B408),1),"""")"),"https://techcombank.com/thong-tin/blog/cach-tinh-lai-vay-ngan-hang")</f>
        <v>https://techcombank.com/thong-tin/blog/cach-tinh-lai-vay-ngan-hang</v>
      </c>
      <c r="I408" s="25" t="str">
        <f>IFERROR(__xludf.DUMMYFUNCTION("IFERROR(INDEX(FILTER('Kế hoạch chèn link (mới)'!$C$3:$C$2213,'Kế hoạch chèn link (mới)'!$D$3:$D$2213=$B408),2),"""")"),"cách tính lãi suất tiết kiệm ngân hàng")</f>
        <v>cách tính lãi suất tiết kiệm ngân hàng</v>
      </c>
      <c r="J408" s="25" t="str">
        <f>IFERROR(__xludf.DUMMYFUNCTION("IFERROR(INDEX(FILTER('Kế hoạch chèn link (mới)'!$B$3:$B$2213,'Kế hoạch chèn link (mới)'!$D$3:$D$2213=$B408),2),"""")"),"https://techcombank.com/thong-tin/blog/cach-tinh-lai-suat-tien-gui-tiet-kiem")</f>
        <v>https://techcombank.com/thong-tin/blog/cach-tinh-lai-suat-tien-gui-tiet-kiem</v>
      </c>
      <c r="K408" s="25" t="str">
        <f>IFERROR(__xludf.DUMMYFUNCTION("IFERROR(INDEX(FILTER('Kế hoạch chèn link (mới)'!$C$3:$C$2213,'Kế hoạch chèn link (mới)'!$D$3:$D$2213=$B408),3),"""")"),"rút tiết kiệm trước hạn")</f>
        <v>rút tiết kiệm trước hạn</v>
      </c>
      <c r="L408" s="25" t="str">
        <f>IFERROR(__xludf.DUMMYFUNCTION("IFERROR(INDEX(FILTER('Kế hoạch chèn link (mới)'!$B$3:$B$2213,'Kế hoạch chèn link (mới)'!$D$3:$D$2213=$B408),3),"""")"),"https://techcombank.com/thong-tin/blog/rut-tien-tiet-kiem-truoc-thoi-han")</f>
        <v>https://techcombank.com/thong-tin/blog/rut-tien-tiet-kiem-truoc-thoi-han</v>
      </c>
      <c r="M408" s="25" t="str">
        <f>IFERROR(__xludf.DUMMYFUNCTION("IFERROR(INDEX(FILTER('Kế hoạch chèn link (mới)'!$C$3:$C$2213,'Kế hoạch chèn link (mới)'!$D$3:$D$2213=$B408),4),"""")"),"sổ tiết kiệm")</f>
        <v>sổ tiết kiệm</v>
      </c>
      <c r="N408" s="25" t="str">
        <f>IFERROR(__xludf.DUMMYFUNCTION("IFERROR(INDEX(FILTER('Kế hoạch chèn link (mới)'!$B$3:$B$2213,'Kế hoạch chèn link (mới)'!$D$3:$D$2213=$B408),4),"""")"),"https://techcombank.com/thong-tin/blog/so-tiet-kiem-ngan-hang")</f>
        <v>https://techcombank.com/thong-tin/blog/so-tiet-kiem-ngan-hang</v>
      </c>
      <c r="O408" s="25" t="str">
        <f>IFERROR(__xludf.DUMMYFUNCTION("IFERROR(INDEX(FILTER('Kế hoạch chèn link (mới)'!$C$3:$C$2213,'Kế hoạch chèn link (mới)'!$D$3:$D$2213=$B408),5),"""")"),"")</f>
        <v/>
      </c>
      <c r="P408" s="25" t="str">
        <f>IFERROR(__xludf.DUMMYFUNCTION("IFERROR(INDEX(FILTER('Kế hoạch chèn link (mới)'!$B$3:$B$2213,'Kế hoạch chèn link (mới)'!$D$3:$D$2213=$B408),5),"""")"),"")</f>
        <v/>
      </c>
    </row>
    <row r="409">
      <c r="A409" s="6">
        <f t="shared" si="1"/>
        <v>408</v>
      </c>
      <c r="B409" s="8" t="s">
        <v>3040</v>
      </c>
      <c r="C409" s="6">
        <f>COUNTIF('Kế hoạch chèn link (mới)'!$D$3:$D$2213,$B409)</f>
        <v>5</v>
      </c>
      <c r="D409" s="8" t="str">
        <f>IF(COUNTIFS('Kế hoạch chèn link (mới)'!$D$3:$D$2213,$B409,'Kế hoạch chèn link (mới)'!$I$3:$I$2213,"Đã chèn")&gt;=$C409,"Đã hoàn thành",IF(COUNTIFS('Kế hoạch chèn link (mới)'!$D$3:$D$2213,$B409,'Kế hoạch chèn link (mới)'!$I$3:$I$2213,"Đã chèn")&gt;0,"Đang làm","Chưa hoàn thành"))</f>
        <v>Chưa hoàn thành</v>
      </c>
      <c r="E409" s="8" t="b">
        <f t="shared" si="2"/>
        <v>0</v>
      </c>
      <c r="F409" s="25"/>
      <c r="G409" s="25" t="str">
        <f>IFERROR(__xludf.DUMMYFUNCTION("IFERROR(INDEX(FILTER('Kế hoạch chèn link (mới)'!$C$3:$C$2213,'Kế hoạch chèn link (mới)'!$D$3:$D$2213=$B409),1),"""")"),"chứng chỉ tiền gửi là gì")</f>
        <v>chứng chỉ tiền gửi là gì</v>
      </c>
      <c r="H409" s="25" t="str">
        <f>IFERROR(__xludf.DUMMYFUNCTION("IFERROR(INDEX(FILTER('Kế hoạch chèn link (mới)'!$B$3:$B$2213,'Kế hoạch chèn link (mới)'!$D$3:$D$2213=$B409),1),"""")"),"https://techcombank.com/thong-tin/blog/chung-chi-tien-gui-la-gi")</f>
        <v>https://techcombank.com/thong-tin/blog/chung-chi-tien-gui-la-gi</v>
      </c>
      <c r="I409" s="25" t="str">
        <f>IFERROR(__xludf.DUMMYFUNCTION("IFERROR(INDEX(FILTER('Kế hoạch chèn link (mới)'!$C$3:$C$2213,'Kế hoạch chèn link (mới)'!$D$3:$D$2213=$B409),2),"""")"),"lãi suất gửi tiết kiệm ngân hàng")</f>
        <v>lãi suất gửi tiết kiệm ngân hàng</v>
      </c>
      <c r="J409" s="25" t="str">
        <f>IFERROR(__xludf.DUMMYFUNCTION("IFERROR(INDEX(FILTER('Kế hoạch chèn link (mới)'!$B$3:$B$2213,'Kế hoạch chèn link (mới)'!$D$3:$D$2213=$B409),2),"""")"),"https://techcombank.com/thong-tin/blog/lai-suat-tiet-kiem")</f>
        <v>https://techcombank.com/thong-tin/blog/lai-suat-tiet-kiem</v>
      </c>
      <c r="K409" s="25" t="str">
        <f>IFERROR(__xludf.DUMMYFUNCTION("IFERROR(INDEX(FILTER('Kế hoạch chèn link (mới)'!$C$3:$C$2213,'Kế hoạch chèn link (mới)'!$D$3:$D$2213=$B409),3),"""")"),"tính lãi suất tiết kiệm")</f>
        <v>tính lãi suất tiết kiệm</v>
      </c>
      <c r="L409" s="25" t="str">
        <f>IFERROR(__xludf.DUMMYFUNCTION("IFERROR(INDEX(FILTER('Kế hoạch chèn link (mới)'!$B$3:$B$2213,'Kế hoạch chèn link (mới)'!$D$3:$D$2213=$B409),3),"""")"),"https://techcombank.com/thong-tin/blog/cach-tinh-lai-suat-tien-gui-tiet-kiem")</f>
        <v>https://techcombank.com/thong-tin/blog/cach-tinh-lai-suat-tien-gui-tiet-kiem</v>
      </c>
      <c r="M409" s="25" t="str">
        <f>IFERROR(__xludf.DUMMYFUNCTION("IFERROR(INDEX(FILTER('Kế hoạch chèn link (mới)'!$C$3:$C$2213,'Kế hoạch chèn link (mới)'!$D$3:$D$2213=$B409),4),"""")"),"sổ tiết kiệm")</f>
        <v>sổ tiết kiệm</v>
      </c>
      <c r="N409" s="25" t="str">
        <f>IFERROR(__xludf.DUMMYFUNCTION("IFERROR(INDEX(FILTER('Kế hoạch chèn link (mới)'!$B$3:$B$2213,'Kế hoạch chèn link (mới)'!$D$3:$D$2213=$B409),4),"""")"),"https://techcombank.com/thong-tin/blog/so-tiet-kiem-ngan-hang")</f>
        <v>https://techcombank.com/thong-tin/blog/so-tiet-kiem-ngan-hang</v>
      </c>
      <c r="O409" s="25" t="str">
        <f>IFERROR(__xludf.DUMMYFUNCTION("IFERROR(INDEX(FILTER('Kế hoạch chèn link (mới)'!$C$3:$C$2213,'Kế hoạch chèn link (mới)'!$D$3:$D$2213=$B409),5),"""")"),"công cụ tính lãi tiết kiệm")</f>
        <v>công cụ tính lãi tiết kiệm</v>
      </c>
      <c r="P409" s="25" t="str">
        <f>IFERROR(__xludf.DUMMYFUNCTION("IFERROR(INDEX(FILTER('Kế hoạch chèn link (mới)'!$B$3:$B$2213,'Kế hoạch chèn link (mới)'!$D$3:$D$2213=$B409),5),"""")"),"https://techcombank.com/cong-cu-tien-ich/cong-cu-tinh-toan/bang-tinh-lai-suat-tiet-kiem")</f>
        <v>https://techcombank.com/cong-cu-tien-ich/cong-cu-tinh-toan/bang-tinh-lai-suat-tiet-kiem</v>
      </c>
    </row>
    <row r="410">
      <c r="A410" s="6">
        <f t="shared" si="1"/>
        <v>409</v>
      </c>
      <c r="B410" s="8" t="s">
        <v>3041</v>
      </c>
      <c r="C410" s="6">
        <f>COUNTIF('Kế hoạch chèn link (mới)'!$D$3:$D$2213,$B410)</f>
        <v>3</v>
      </c>
      <c r="D410" s="8" t="str">
        <f>IF(COUNTIFS('Kế hoạch chèn link (mới)'!$D$3:$D$2213,$B410,'Kế hoạch chèn link (mới)'!$I$3:$I$2213,"Đã chèn")&gt;=$C410,"Đã hoàn thành",IF(COUNTIFS('Kế hoạch chèn link (mới)'!$D$3:$D$2213,$B410,'Kế hoạch chèn link (mới)'!$I$3:$I$2213,"Đã chèn")&gt;0,"Đang làm","Chưa hoàn thành"))</f>
        <v>Chưa hoàn thành</v>
      </c>
      <c r="E410" s="8" t="b">
        <f t="shared" si="2"/>
        <v>0</v>
      </c>
      <c r="F410" s="25"/>
      <c r="G410" s="25" t="str">
        <f>IFERROR(__xludf.DUMMYFUNCTION("IFERROR(INDEX(FILTER('Kế hoạch chèn link (mới)'!$C$3:$C$2213,'Kế hoạch chèn link (mới)'!$D$3:$D$2213=$B410),1),"""")"),"nhận tiền từ nước ngoài")</f>
        <v>nhận tiền từ nước ngoài</v>
      </c>
      <c r="H410" s="25" t="str">
        <f>IFERROR(__xludf.DUMMYFUNCTION("IFERROR(INDEX(FILTER('Kế hoạch chèn link (mới)'!$B$3:$B$2213,'Kế hoạch chèn link (mới)'!$D$3:$D$2213=$B410),1),"""")"),"https://techcombank.com/thong-tin/blog/cach-nhan-tien-tu-nuoc-ngoai-ve-viet-nam")</f>
        <v>https://techcombank.com/thong-tin/blog/cach-nhan-tien-tu-nuoc-ngoai-ve-viet-nam</v>
      </c>
      <c r="I410" s="25" t="str">
        <f>IFERROR(__xludf.DUMMYFUNCTION("IFERROR(INDEX(FILTER('Kế hoạch chèn link (mới)'!$C$3:$C$2213,'Kế hoạch chèn link (mới)'!$D$3:$D$2213=$B410),2),"""")"),"tính lãi suất ngân hàng")</f>
        <v>tính lãi suất ngân hàng</v>
      </c>
      <c r="J410" s="25" t="str">
        <f>IFERROR(__xludf.DUMMYFUNCTION("IFERROR(INDEX(FILTER('Kế hoạch chèn link (mới)'!$B$3:$B$2213,'Kế hoạch chèn link (mới)'!$D$3:$D$2213=$B410),2),"""")"),"https://techcombank.com/thong-tin/blog/cach-tinh-lai-suat-tien-gui-tiet-kiem")</f>
        <v>https://techcombank.com/thong-tin/blog/cach-tinh-lai-suat-tien-gui-tiet-kiem</v>
      </c>
      <c r="K410" s="25" t="str">
        <f>IFERROR(__xludf.DUMMYFUNCTION("IFERROR(INDEX(FILTER('Kế hoạch chèn link (mới)'!$C$3:$C$2213,'Kế hoạch chèn link (mới)'!$D$3:$D$2213=$B410),3),"""")"),"bảng tính lãi suất tiết kiệm")</f>
        <v>bảng tính lãi suất tiết kiệm</v>
      </c>
      <c r="L410" s="25" t="str">
        <f>IFERROR(__xludf.DUMMYFUNCTION("IFERROR(INDEX(FILTER('Kế hoạch chèn link (mới)'!$B$3:$B$2213,'Kế hoạch chèn link (mới)'!$D$3:$D$2213=$B410),3),"""")"),"https://techcombank.com/cong-cu-tien-ich/cong-cu-tinh-toan/bang-tinh-lai-suat-tiet-kiem")</f>
        <v>https://techcombank.com/cong-cu-tien-ich/cong-cu-tinh-toan/bang-tinh-lai-suat-tiet-kiem</v>
      </c>
      <c r="M410" s="25" t="str">
        <f>IFERROR(__xludf.DUMMYFUNCTION("IFERROR(INDEX(FILTER('Kế hoạch chèn link (mới)'!$C$3:$C$2213,'Kế hoạch chèn link (mới)'!$D$3:$D$2213=$B410),4),"""")"),"")</f>
        <v/>
      </c>
      <c r="N410" s="25" t="str">
        <f>IFERROR(__xludf.DUMMYFUNCTION("IFERROR(INDEX(FILTER('Kế hoạch chèn link (mới)'!$B$3:$B$2213,'Kế hoạch chèn link (mới)'!$D$3:$D$2213=$B410),4),"""")"),"")</f>
        <v/>
      </c>
      <c r="O410" s="25" t="str">
        <f>IFERROR(__xludf.DUMMYFUNCTION("IFERROR(INDEX(FILTER('Kế hoạch chèn link (mới)'!$C$3:$C$2213,'Kế hoạch chèn link (mới)'!$D$3:$D$2213=$B410),5),"""")"),"")</f>
        <v/>
      </c>
      <c r="P410" s="25" t="str">
        <f>IFERROR(__xludf.DUMMYFUNCTION("IFERROR(INDEX(FILTER('Kế hoạch chèn link (mới)'!$B$3:$B$2213,'Kế hoạch chèn link (mới)'!$D$3:$D$2213=$B410),5),"""")"),"")</f>
        <v/>
      </c>
    </row>
    <row r="411">
      <c r="A411" s="6">
        <f t="shared" si="1"/>
        <v>410</v>
      </c>
      <c r="B411" s="8" t="s">
        <v>1836</v>
      </c>
      <c r="C411" s="6">
        <f>COUNTIF('Kế hoạch chèn link (mới)'!$D$3:$D$2213,$B411)</f>
        <v>3</v>
      </c>
      <c r="D411" s="8" t="str">
        <f>IF(COUNTIFS('Kế hoạch chèn link (mới)'!$D$3:$D$2213,$B411,'Kế hoạch chèn link (mới)'!$I$3:$I$2213,"Đã chèn")&gt;=$C411,"Đã hoàn thành",IF(COUNTIFS('Kế hoạch chèn link (mới)'!$D$3:$D$2213,$B411,'Kế hoạch chèn link (mới)'!$I$3:$I$2213,"Đã chèn")&gt;0,"Đang làm","Chưa hoàn thành"))</f>
        <v>Chưa hoàn thành</v>
      </c>
      <c r="E411" s="8" t="b">
        <f t="shared" si="2"/>
        <v>0</v>
      </c>
      <c r="F411" s="25"/>
      <c r="G411" s="25" t="str">
        <f>IFERROR(__xludf.DUMMYFUNCTION("IFERROR(INDEX(FILTER('Kế hoạch chèn link (mới)'!$C$3:$C$2213,'Kế hoạch chèn link (mới)'!$D$3:$D$2213=$B411),1),"""")"),"mở tài khoản ngân hàng online")</f>
        <v>mở tài khoản ngân hàng online</v>
      </c>
      <c r="H411" s="25" t="str">
        <f>IFERROR(__xludf.DUMMYFUNCTION("IFERROR(INDEX(FILTER('Kế hoạch chèn link (mới)'!$B$3:$B$2213,'Kế hoạch chèn link (mới)'!$D$3:$D$2213=$B411),1),"""")"),"https://techcombank.com/thong-tin/blog/cach-mo-tai-khoan")</f>
        <v>https://techcombank.com/thong-tin/blog/cach-mo-tai-khoan</v>
      </c>
      <c r="I411" s="25" t="str">
        <f>IFERROR(__xludf.DUMMYFUNCTION("IFERROR(INDEX(FILTER('Kế hoạch chèn link (mới)'!$C$3:$C$2213,'Kế hoạch chèn link (mới)'!$D$3:$D$2213=$B411),2),"""")"),"ngân hàng uy tín")</f>
        <v>ngân hàng uy tín</v>
      </c>
      <c r="J411" s="25" t="str">
        <f>IFERROR(__xludf.DUMMYFUNCTION("IFERROR(INDEX(FILTER('Kế hoạch chèn link (mới)'!$B$3:$B$2213,'Kế hoạch chèn link (mới)'!$D$3:$D$2213=$B411),2),"""")"),"https://techcombank.com/thong-tin/blog/ngan-hang-uy-tin")</f>
        <v>https://techcombank.com/thong-tin/blog/ngan-hang-uy-tin</v>
      </c>
      <c r="K411" s="25" t="str">
        <f>IFERROR(__xludf.DUMMYFUNCTION("IFERROR(INDEX(FILTER('Kế hoạch chèn link (mới)'!$C$3:$C$2213,'Kế hoạch chèn link (mới)'!$D$3:$D$2213=$B411),3),"""")"),"số tài khoản phát tài phát lộc")</f>
        <v>số tài khoản phát tài phát lộc</v>
      </c>
      <c r="L411" s="25" t="str">
        <f>IFERROR(__xludf.DUMMYFUNCTION("IFERROR(INDEX(FILTER('Kế hoạch chèn link (mới)'!$B$3:$B$2213,'Kế hoạch chèn link (mới)'!$D$3:$D$2213=$B411),3),"""")"),"https://techcombank.com/thong-tin/blog/day-so-phat-tai-phat-loc")</f>
        <v>https://techcombank.com/thong-tin/blog/day-so-phat-tai-phat-loc</v>
      </c>
      <c r="M411" s="25" t="str">
        <f>IFERROR(__xludf.DUMMYFUNCTION("IFERROR(INDEX(FILTER('Kế hoạch chèn link (mới)'!$C$3:$C$2213,'Kế hoạch chèn link (mới)'!$D$3:$D$2213=$B411),4),"""")"),"")</f>
        <v/>
      </c>
      <c r="N411" s="25" t="str">
        <f>IFERROR(__xludf.DUMMYFUNCTION("IFERROR(INDEX(FILTER('Kế hoạch chèn link (mới)'!$B$3:$B$2213,'Kế hoạch chèn link (mới)'!$D$3:$D$2213=$B411),4),"""")"),"")</f>
        <v/>
      </c>
      <c r="O411" s="25" t="str">
        <f>IFERROR(__xludf.DUMMYFUNCTION("IFERROR(INDEX(FILTER('Kế hoạch chèn link (mới)'!$C$3:$C$2213,'Kế hoạch chèn link (mới)'!$D$3:$D$2213=$B411),5),"""")"),"")</f>
        <v/>
      </c>
      <c r="P411" s="25" t="str">
        <f>IFERROR(__xludf.DUMMYFUNCTION("IFERROR(INDEX(FILTER('Kế hoạch chèn link (mới)'!$B$3:$B$2213,'Kế hoạch chèn link (mới)'!$D$3:$D$2213=$B411),5),"""")"),"")</f>
        <v/>
      </c>
    </row>
    <row r="412">
      <c r="A412" s="6">
        <f t="shared" si="1"/>
        <v>411</v>
      </c>
      <c r="B412" s="8" t="s">
        <v>195</v>
      </c>
      <c r="C412" s="6">
        <f>COUNTIF('Kế hoạch chèn link (mới)'!$D$3:$D$2213,$B412)</f>
        <v>3</v>
      </c>
      <c r="D412" s="8" t="str">
        <f>IF(COUNTIFS('Kế hoạch chèn link (mới)'!$D$3:$D$2213,$B412,'Kế hoạch chèn link (mới)'!$I$3:$I$2213,"Đã chèn")&gt;=$C412,"Đã hoàn thành",IF(COUNTIFS('Kế hoạch chèn link (mới)'!$D$3:$D$2213,$B412,'Kế hoạch chèn link (mới)'!$I$3:$I$2213,"Đã chèn")&gt;0,"Đang làm","Chưa hoàn thành"))</f>
        <v>Chưa hoàn thành</v>
      </c>
      <c r="E412" s="8" t="b">
        <f t="shared" si="2"/>
        <v>0</v>
      </c>
      <c r="F412" s="25"/>
      <c r="G412" s="25" t="str">
        <f>IFERROR(__xludf.DUMMYFUNCTION("IFERROR(INDEX(FILTER('Kế hoạch chèn link (mới)'!$C$3:$C$2213,'Kế hoạch chèn link (mới)'!$D$3:$D$2213=$B412),1),"""")"),"mua xe trả góp lãi suất bao nhiêu")</f>
        <v>mua xe trả góp lãi suất bao nhiêu</v>
      </c>
      <c r="H412" s="25" t="str">
        <f>IFERROR(__xludf.DUMMYFUNCTION("IFERROR(INDEX(FILTER('Kế hoạch chèn link (mới)'!$B$3:$B$2213,'Kế hoạch chèn link (mới)'!$D$3:$D$2213=$B412),1),"""")"),"https://techcombank.com/thong-tin/blog/lai-suat-vay-mua-o-to")</f>
        <v>https://techcombank.com/thong-tin/blog/lai-suat-vay-mua-o-to</v>
      </c>
      <c r="I412" s="25" t="str">
        <f>IFERROR(__xludf.DUMMYFUNCTION("IFERROR(INDEX(FILTER('Kế hoạch chèn link (mới)'!$C$3:$C$2213,'Kế hoạch chèn link (mới)'!$D$3:$D$2213=$B412),2),"""")"),"tính lãi vay ngân hàng")</f>
        <v>tính lãi vay ngân hàng</v>
      </c>
      <c r="J412" s="25" t="str">
        <f>IFERROR(__xludf.DUMMYFUNCTION("IFERROR(INDEX(FILTER('Kế hoạch chèn link (mới)'!$B$3:$B$2213,'Kế hoạch chèn link (mới)'!$D$3:$D$2213=$B412),2),"""")"),"https://techcombank.com/cong-cu-tien-ich/cong-cu-tinh-toan/bang-tinh-lai-suat-vay")</f>
        <v>https://techcombank.com/cong-cu-tien-ich/cong-cu-tinh-toan/bang-tinh-lai-suat-vay</v>
      </c>
      <c r="K412" s="25" t="str">
        <f>IFERROR(__xludf.DUMMYFUNCTION("IFERROR(INDEX(FILTER('Kế hoạch chèn link (mới)'!$C$3:$C$2213,'Kế hoạch chèn link (mới)'!$D$3:$D$2213=$B412),3),"""")"),"vay")</f>
        <v>vay</v>
      </c>
      <c r="L412" s="25" t="str">
        <f>IFERROR(__xludf.DUMMYFUNCTION("IFERROR(INDEX(FILTER('Kế hoạch chèn link (mới)'!$B$3:$B$2213,'Kế hoạch chèn link (mới)'!$D$3:$D$2213=$B412),3),"""")"),"https://techcombank.com/thong-tin/blog/app-vay-tien-nhanh")</f>
        <v>https://techcombank.com/thong-tin/blog/app-vay-tien-nhanh</v>
      </c>
      <c r="M412" s="25" t="str">
        <f>IFERROR(__xludf.DUMMYFUNCTION("IFERROR(INDEX(FILTER('Kế hoạch chèn link (mới)'!$C$3:$C$2213,'Kế hoạch chèn link (mới)'!$D$3:$D$2213=$B412),4),"""")"),"")</f>
        <v/>
      </c>
      <c r="N412" s="25" t="str">
        <f>IFERROR(__xludf.DUMMYFUNCTION("IFERROR(INDEX(FILTER('Kế hoạch chèn link (mới)'!$B$3:$B$2213,'Kế hoạch chèn link (mới)'!$D$3:$D$2213=$B412),4),"""")"),"")</f>
        <v/>
      </c>
      <c r="O412" s="25" t="str">
        <f>IFERROR(__xludf.DUMMYFUNCTION("IFERROR(INDEX(FILTER('Kế hoạch chèn link (mới)'!$C$3:$C$2213,'Kế hoạch chèn link (mới)'!$D$3:$D$2213=$B412),5),"""")"),"")</f>
        <v/>
      </c>
      <c r="P412" s="25" t="str">
        <f>IFERROR(__xludf.DUMMYFUNCTION("IFERROR(INDEX(FILTER('Kế hoạch chèn link (mới)'!$B$3:$B$2213,'Kế hoạch chèn link (mới)'!$D$3:$D$2213=$B412),5),"""")"),"")</f>
        <v/>
      </c>
    </row>
    <row r="413">
      <c r="A413" s="6">
        <f t="shared" si="1"/>
        <v>412</v>
      </c>
      <c r="B413" s="8" t="s">
        <v>62</v>
      </c>
      <c r="C413" s="6">
        <f>COUNTIF('Kế hoạch chèn link (mới)'!$D$3:$D$2213,$B413)</f>
        <v>3</v>
      </c>
      <c r="D413" s="8" t="str">
        <f>IF(COUNTIFS('Kế hoạch chèn link (mới)'!$D$3:$D$2213,$B413,'Kế hoạch chèn link (mới)'!$I$3:$I$2213,"Đã chèn")&gt;=$C413,"Đã hoàn thành",IF(COUNTIFS('Kế hoạch chèn link (mới)'!$D$3:$D$2213,$B413,'Kế hoạch chèn link (mới)'!$I$3:$I$2213,"Đã chèn")&gt;0,"Đang làm","Chưa hoàn thành"))</f>
        <v>Chưa hoàn thành</v>
      </c>
      <c r="E413" s="8" t="b">
        <f t="shared" si="2"/>
        <v>0</v>
      </c>
      <c r="F413" s="25"/>
      <c r="G413" s="25" t="str">
        <f>IFERROR(__xludf.DUMMYFUNCTION("IFERROR(INDEX(FILTER('Kế hoạch chèn link (mới)'!$C$3:$C$2213,'Kế hoạch chèn link (mới)'!$D$3:$D$2213=$B413),1),"""")"),"lãi suất vay mua ô tô")</f>
        <v>lãi suất vay mua ô tô</v>
      </c>
      <c r="H413" s="25" t="str">
        <f>IFERROR(__xludf.DUMMYFUNCTION("IFERROR(INDEX(FILTER('Kế hoạch chèn link (mới)'!$B$3:$B$2213,'Kế hoạch chèn link (mới)'!$D$3:$D$2213=$B413),1),"""")"),"https://techcombank.com/thong-tin/blog/lai-suat-vay-mua-o-to")</f>
        <v>https://techcombank.com/thong-tin/blog/lai-suat-vay-mua-o-to</v>
      </c>
      <c r="I413" s="25" t="str">
        <f>IFERROR(__xludf.DUMMYFUNCTION("IFERROR(INDEX(FILTER('Kế hoạch chèn link (mới)'!$C$3:$C$2213,'Kế hoạch chèn link (mới)'!$D$3:$D$2213=$B413),2),"""")"),"tính lãi suất vay ngân hàng")</f>
        <v>tính lãi suất vay ngân hàng</v>
      </c>
      <c r="J413" s="25" t="str">
        <f>IFERROR(__xludf.DUMMYFUNCTION("IFERROR(INDEX(FILTER('Kế hoạch chèn link (mới)'!$B$3:$B$2213,'Kế hoạch chèn link (mới)'!$D$3:$D$2213=$B413),2),"""")"),"https://techcombank.com/cong-cu-tien-ich/cong-cu-tinh-toan/bang-tinh-lai-suat-vay")</f>
        <v>https://techcombank.com/cong-cu-tien-ich/cong-cu-tinh-toan/bang-tinh-lai-suat-vay</v>
      </c>
      <c r="K413" s="25" t="str">
        <f>IFERROR(__xludf.DUMMYFUNCTION("IFERROR(INDEX(FILTER('Kế hoạch chèn link (mới)'!$C$3:$C$2213,'Kế hoạch chèn link (mới)'!$D$3:$D$2213=$B413),3),"""")"),"lãi suất vay ngân hàng")</f>
        <v>lãi suất vay ngân hàng</v>
      </c>
      <c r="L413" s="25" t="str">
        <f>IFERROR(__xludf.DUMMYFUNCTION("IFERROR(INDEX(FILTER('Kế hoạch chèn link (mới)'!$B$3:$B$2213,'Kế hoạch chèn link (mới)'!$D$3:$D$2213=$B413),3),"""")"),"https://techcombank.com/thong-tin/blog/lai-suat-vay-ngan-hang")</f>
        <v>https://techcombank.com/thong-tin/blog/lai-suat-vay-ngan-hang</v>
      </c>
      <c r="M413" s="25" t="str">
        <f>IFERROR(__xludf.DUMMYFUNCTION("IFERROR(INDEX(FILTER('Kế hoạch chèn link (mới)'!$C$3:$C$2213,'Kế hoạch chèn link (mới)'!$D$3:$D$2213=$B413),4),"""")"),"")</f>
        <v/>
      </c>
      <c r="N413" s="25" t="str">
        <f>IFERROR(__xludf.DUMMYFUNCTION("IFERROR(INDEX(FILTER('Kế hoạch chèn link (mới)'!$B$3:$B$2213,'Kế hoạch chèn link (mới)'!$D$3:$D$2213=$B413),4),"""")"),"")</f>
        <v/>
      </c>
      <c r="O413" s="25" t="str">
        <f>IFERROR(__xludf.DUMMYFUNCTION("IFERROR(INDEX(FILTER('Kế hoạch chèn link (mới)'!$C$3:$C$2213,'Kế hoạch chèn link (mới)'!$D$3:$D$2213=$B413),5),"""")"),"")</f>
        <v/>
      </c>
      <c r="P413" s="25" t="str">
        <f>IFERROR(__xludf.DUMMYFUNCTION("IFERROR(INDEX(FILTER('Kế hoạch chèn link (mới)'!$B$3:$B$2213,'Kế hoạch chèn link (mới)'!$D$3:$D$2213=$B413),5),"""")"),"")</f>
        <v/>
      </c>
    </row>
    <row r="414">
      <c r="A414" s="6">
        <f t="shared" si="1"/>
        <v>413</v>
      </c>
      <c r="B414" s="8" t="s">
        <v>779</v>
      </c>
      <c r="C414" s="6">
        <f>COUNTIF('Kế hoạch chèn link (mới)'!$D$3:$D$2213,$B414)</f>
        <v>5</v>
      </c>
      <c r="D414" s="8" t="str">
        <f>IF(COUNTIFS('Kế hoạch chèn link (mới)'!$D$3:$D$2213,$B414,'Kế hoạch chèn link (mới)'!$I$3:$I$2213,"Đã chèn")&gt;=$C414,"Đã hoàn thành",IF(COUNTIFS('Kế hoạch chèn link (mới)'!$D$3:$D$2213,$B414,'Kế hoạch chèn link (mới)'!$I$3:$I$2213,"Đã chèn")&gt;0,"Đang làm","Chưa hoàn thành"))</f>
        <v>Chưa hoàn thành</v>
      </c>
      <c r="E414" s="8" t="b">
        <f t="shared" si="2"/>
        <v>0</v>
      </c>
      <c r="F414" s="25"/>
      <c r="G414" s="25" t="str">
        <f>IFERROR(__xludf.DUMMYFUNCTION("IFERROR(INDEX(FILTER('Kế hoạch chèn link (mới)'!$C$3:$C$2213,'Kế hoạch chèn link (mới)'!$D$3:$D$2213=$B414),1),"""")"),"thuế thu nhập doanh nghiệp")</f>
        <v>thuế thu nhập doanh nghiệp</v>
      </c>
      <c r="H414" s="25" t="str">
        <f>IFERROR(__xludf.DUMMYFUNCTION("IFERROR(INDEX(FILTER('Kế hoạch chèn link (mới)'!$B$3:$B$2213,'Kế hoạch chèn link (mới)'!$D$3:$D$2213=$B414),1),"""")"),"https://techcombank.com/thong-tin/blog/thue-thu-nhap-doanh-nghiep")</f>
        <v>https://techcombank.com/thong-tin/blog/thue-thu-nhap-doanh-nghiep</v>
      </c>
      <c r="I414" s="25" t="str">
        <f>IFERROR(__xludf.DUMMYFUNCTION("IFERROR(INDEX(FILTER('Kế hoạch chèn link (mới)'!$C$3:$C$2213,'Kế hoạch chèn link (mới)'!$D$3:$D$2213=$B414),2),"""")"),"thuế giá trị gia tăng")</f>
        <v>thuế giá trị gia tăng</v>
      </c>
      <c r="J414" s="25" t="str">
        <f>IFERROR(__xludf.DUMMYFUNCTION("IFERROR(INDEX(FILTER('Kế hoạch chèn link (mới)'!$B$3:$B$2213,'Kế hoạch chèn link (mới)'!$D$3:$D$2213=$B414),2),"""")"),"https://techcombank.com/thong-tin/blog/thue-vat-la-gi")</f>
        <v>https://techcombank.com/thong-tin/blog/thue-vat-la-gi</v>
      </c>
      <c r="K414" s="25" t="str">
        <f>IFERROR(__xludf.DUMMYFUNCTION("IFERROR(INDEX(FILTER('Kế hoạch chèn link (mới)'!$C$3:$C$2213,'Kế hoạch chèn link (mới)'!$D$3:$D$2213=$B414),3),"""")"),"thuế doanh nghiệp")</f>
        <v>thuế doanh nghiệp</v>
      </c>
      <c r="L414" s="25" t="str">
        <f>IFERROR(__xludf.DUMMYFUNCTION("IFERROR(INDEX(FILTER('Kế hoạch chèn link (mới)'!$B$3:$B$2213,'Kế hoạch chèn link (mới)'!$D$3:$D$2213=$B414),3),"""")"),"https://techcombank.com/thong-tin/blog/thue-doanh-nghiep")</f>
        <v>https://techcombank.com/thong-tin/blog/thue-doanh-nghiep</v>
      </c>
      <c r="M414" s="25" t="str">
        <f>IFERROR(__xludf.DUMMYFUNCTION("IFERROR(INDEX(FILTER('Kế hoạch chèn link (mới)'!$C$3:$C$2213,'Kế hoạch chèn link (mới)'!$D$3:$D$2213=$B414),4),"""")"),"mô hình kinh doanh")</f>
        <v>mô hình kinh doanh</v>
      </c>
      <c r="N414" s="25" t="str">
        <f>IFERROR(__xludf.DUMMYFUNCTION("IFERROR(INDEX(FILTER('Kế hoạch chèn link (mới)'!$B$3:$B$2213,'Kế hoạch chèn link (mới)'!$D$3:$D$2213=$B414),4),"""")"),"https://techcombank.com/thong-tin/blog/mo-hinh-kinh-doanh-la-gi")</f>
        <v>https://techcombank.com/thong-tin/blog/mo-hinh-kinh-doanh-la-gi</v>
      </c>
      <c r="O414" s="25" t="str">
        <f>IFERROR(__xludf.DUMMYFUNCTION("IFERROR(INDEX(FILTER('Kế hoạch chèn link (mới)'!$C$3:$C$2213,'Kế hoạch chèn link (mới)'!$D$3:$D$2213=$B414),5),"""")"),"tài khoản hộ kinh doanh")</f>
        <v>tài khoản hộ kinh doanh</v>
      </c>
      <c r="P414" s="25" t="str">
        <f>IFERROR(__xludf.DUMMYFUNCTION("IFERROR(INDEX(FILTER('Kế hoạch chèn link (mới)'!$B$3:$B$2213,'Kế hoạch chèn link (mới)'!$D$3:$D$2213=$B414),5),"""")"),"https://techcombank.com/thong-tin/blog/mo-tai-khoan-ho-kinh-doanh")</f>
        <v>https://techcombank.com/thong-tin/blog/mo-tai-khoan-ho-kinh-doanh</v>
      </c>
    </row>
    <row r="415">
      <c r="A415" s="6">
        <f t="shared" si="1"/>
        <v>414</v>
      </c>
      <c r="B415" s="8" t="s">
        <v>1898</v>
      </c>
      <c r="C415" s="6">
        <f>COUNTIF('Kế hoạch chèn link (mới)'!$D$3:$D$2213,$B415)</f>
        <v>5</v>
      </c>
      <c r="D415" s="8" t="str">
        <f>IF(COUNTIFS('Kế hoạch chèn link (mới)'!$D$3:$D$2213,$B415,'Kế hoạch chèn link (mới)'!$I$3:$I$2213,"Đã chèn")&gt;=$C415,"Đã hoàn thành",IF(COUNTIFS('Kế hoạch chèn link (mới)'!$D$3:$D$2213,$B415,'Kế hoạch chèn link (mới)'!$I$3:$I$2213,"Đã chèn")&gt;0,"Đang làm","Chưa hoàn thành"))</f>
        <v>Chưa hoàn thành</v>
      </c>
      <c r="E415" s="8" t="b">
        <f t="shared" si="2"/>
        <v>0</v>
      </c>
      <c r="F415" s="25"/>
      <c r="G415" s="25" t="str">
        <f>IFERROR(__xludf.DUMMYFUNCTION("IFERROR(INDEX(FILTER('Kế hoạch chèn link (mới)'!$C$3:$C$2213,'Kế hoạch chèn link (mới)'!$D$3:$D$2213=$B415),1),"""")"),"ngân hàng uy tín")</f>
        <v>ngân hàng uy tín</v>
      </c>
      <c r="H415" s="25" t="str">
        <f>IFERROR(__xludf.DUMMYFUNCTION("IFERROR(INDEX(FILTER('Kế hoạch chèn link (mới)'!$B$3:$B$2213,'Kế hoạch chèn link (mới)'!$D$3:$D$2213=$B415),1),"""")"),"https://techcombank.com/thong-tin/blog/ngan-hang-uy-tin")</f>
        <v>https://techcombank.com/thong-tin/blog/ngan-hang-uy-tin</v>
      </c>
      <c r="I415" s="25" t="str">
        <f>IFERROR(__xludf.DUMMYFUNCTION("IFERROR(INDEX(FILTER('Kế hoạch chèn link (mới)'!$C$3:$C$2213,'Kế hoạch chèn link (mới)'!$D$3:$D$2213=$B415),2),"""")"),"vay thế chấp sổ đỏ ngân hàng")</f>
        <v>vay thế chấp sổ đỏ ngân hàng</v>
      </c>
      <c r="J415" s="25" t="str">
        <f>IFERROR(__xludf.DUMMYFUNCTION("IFERROR(INDEX(FILTER('Kế hoạch chèn link (mới)'!$B$3:$B$2213,'Kế hoạch chèn link (mới)'!$D$3:$D$2213=$B415),2),"""")"),"https://techcombank.com/thong-tin/blog/lai-suat-vay-the-chap-so-do")</f>
        <v>https://techcombank.com/thong-tin/blog/lai-suat-vay-the-chap-so-do</v>
      </c>
      <c r="K415" s="25" t="str">
        <f>IFERROR(__xludf.DUMMYFUNCTION("IFERROR(INDEX(FILTER('Kế hoạch chèn link (mới)'!$C$3:$C$2213,'Kế hoạch chèn link (mới)'!$D$3:$D$2213=$B415),3),"""")"),"tính lãi suất vay ngân hàng")</f>
        <v>tính lãi suất vay ngân hàng</v>
      </c>
      <c r="L415" s="25" t="str">
        <f>IFERROR(__xludf.DUMMYFUNCTION("IFERROR(INDEX(FILTER('Kế hoạch chèn link (mới)'!$B$3:$B$2213,'Kế hoạch chèn link (mới)'!$D$3:$D$2213=$B415),3),"""")"),"https://techcombank.com/cong-cu-tien-ich/cong-cu-tinh-toan/bang-tinh-lai-suat-vay")</f>
        <v>https://techcombank.com/cong-cu-tien-ich/cong-cu-tinh-toan/bang-tinh-lai-suat-vay</v>
      </c>
      <c r="M415" s="25" t="str">
        <f>IFERROR(__xludf.DUMMYFUNCTION("IFERROR(INDEX(FILTER('Kế hoạch chèn link (mới)'!$C$3:$C$2213,'Kế hoạch chèn link (mới)'!$D$3:$D$2213=$B415),4),"""")"),"vay nhanh")</f>
        <v>vay nhanh</v>
      </c>
      <c r="N415" s="25" t="str">
        <f>IFERROR(__xludf.DUMMYFUNCTION("IFERROR(INDEX(FILTER('Kế hoạch chèn link (mới)'!$B$3:$B$2213,'Kế hoạch chèn link (mới)'!$D$3:$D$2213=$B415),4),"""")"),"https://techcombank.com/thong-tin/blog/app-vay-tien-nhanh")</f>
        <v>https://techcombank.com/thong-tin/blog/app-vay-tien-nhanh</v>
      </c>
      <c r="O415" s="25" t="str">
        <f>IFERROR(__xludf.DUMMYFUNCTION("IFERROR(INDEX(FILTER('Kế hoạch chèn link (mới)'!$C$3:$C$2213,'Kế hoạch chèn link (mới)'!$D$3:$D$2213=$B415),5),"""")"),"lãi suất cho vay ngân hàng")</f>
        <v>lãi suất cho vay ngân hàng</v>
      </c>
      <c r="P415" s="25" t="str">
        <f>IFERROR(__xludf.DUMMYFUNCTION("IFERROR(INDEX(FILTER('Kế hoạch chèn link (mới)'!$B$3:$B$2213,'Kế hoạch chèn link (mới)'!$D$3:$D$2213=$B415),5),"""")"),"https://techcombank.com/thong-tin/blog/lai-suat-vay-ngan-hang")</f>
        <v>https://techcombank.com/thong-tin/blog/lai-suat-vay-ngan-hang</v>
      </c>
    </row>
    <row r="416">
      <c r="A416" s="6">
        <f t="shared" si="1"/>
        <v>415</v>
      </c>
      <c r="B416" s="8" t="s">
        <v>1160</v>
      </c>
      <c r="C416" s="6">
        <f>COUNTIF('Kế hoạch chèn link (mới)'!$D$3:$D$2213,$B416)</f>
        <v>4</v>
      </c>
      <c r="D416" s="8" t="str">
        <f>IF(COUNTIFS('Kế hoạch chèn link (mới)'!$D$3:$D$2213,$B416,'Kế hoạch chèn link (mới)'!$I$3:$I$2213,"Đã chèn")&gt;=$C416,"Đã hoàn thành",IF(COUNTIFS('Kế hoạch chèn link (mới)'!$D$3:$D$2213,$B416,'Kế hoạch chèn link (mới)'!$I$3:$I$2213,"Đã chèn")&gt;0,"Đang làm","Chưa hoàn thành"))</f>
        <v>Chưa hoàn thành</v>
      </c>
      <c r="E416" s="8" t="b">
        <f t="shared" si="2"/>
        <v>0</v>
      </c>
      <c r="F416" s="25"/>
      <c r="G416" s="25" t="str">
        <f>IFERROR(__xludf.DUMMYFUNCTION("IFERROR(INDEX(FILTER('Kế hoạch chèn link (mới)'!$C$3:$C$2213,'Kế hoạch chèn link (mới)'!$D$3:$D$2213=$B416),1),"""")"),"ngân hàng uy tín")</f>
        <v>ngân hàng uy tín</v>
      </c>
      <c r="H416" s="25" t="str">
        <f>IFERROR(__xludf.DUMMYFUNCTION("IFERROR(INDEX(FILTER('Kế hoạch chèn link (mới)'!$B$3:$B$2213,'Kế hoạch chèn link (mới)'!$D$3:$D$2213=$B416),1),"""")"),"https://techcombank.com/thong-tin/blog/ngan-hang-uy-tin")</f>
        <v>https://techcombank.com/thong-tin/blog/ngan-hang-uy-tin</v>
      </c>
      <c r="I416" s="25" t="str">
        <f>IFERROR(__xludf.DUMMYFUNCTION("IFERROR(INDEX(FILTER('Kế hoạch chèn link (mới)'!$C$3:$C$2213,'Kế hoạch chèn link (mới)'!$D$3:$D$2213=$B416),2),"""")"),"vay tiền")</f>
        <v>vay tiền</v>
      </c>
      <c r="J416" s="25" t="str">
        <f>IFERROR(__xludf.DUMMYFUNCTION("IFERROR(INDEX(FILTER('Kế hoạch chèn link (mới)'!$B$3:$B$2213,'Kế hoạch chèn link (mới)'!$D$3:$D$2213=$B416),2),"""")"),"https://techcombank.com/thong-tin/blog/app-vay-tien-nhanh")</f>
        <v>https://techcombank.com/thong-tin/blog/app-vay-tien-nhanh</v>
      </c>
      <c r="K416" s="25" t="str">
        <f>IFERROR(__xludf.DUMMYFUNCTION("IFERROR(INDEX(FILTER('Kế hoạch chèn link (mới)'!$C$3:$C$2213,'Kế hoạch chèn link (mới)'!$D$3:$D$2213=$B416),3),"""")"),"lãi suất vay ngân hàng")</f>
        <v>lãi suất vay ngân hàng</v>
      </c>
      <c r="L416" s="25" t="str">
        <f>IFERROR(__xludf.DUMMYFUNCTION("IFERROR(INDEX(FILTER('Kế hoạch chèn link (mới)'!$B$3:$B$2213,'Kế hoạch chèn link (mới)'!$D$3:$D$2213=$B416),3),"""")"),"https://techcombank.com/thong-tin/blog/lai-suat-vay-ngan-hang")</f>
        <v>https://techcombank.com/thong-tin/blog/lai-suat-vay-ngan-hang</v>
      </c>
      <c r="M416" s="25" t="str">
        <f>IFERROR(__xludf.DUMMYFUNCTION("IFERROR(INDEX(FILTER('Kế hoạch chèn link (mới)'!$C$3:$C$2213,'Kế hoạch chèn link (mới)'!$D$3:$D$2213=$B416),4),"""")"),"vay thấu chi")</f>
        <v>vay thấu chi</v>
      </c>
      <c r="N416" s="25" t="str">
        <f>IFERROR(__xludf.DUMMYFUNCTION("IFERROR(INDEX(FILTER('Kế hoạch chèn link (mới)'!$B$3:$B$2213,'Kế hoạch chèn link (mới)'!$D$3:$D$2213=$B416),4),"""")"),"https://techcombank.com/thong-tin/blog/vay-thau-chi-la-gi")</f>
        <v>https://techcombank.com/thong-tin/blog/vay-thau-chi-la-gi</v>
      </c>
      <c r="O416" s="25" t="str">
        <f>IFERROR(__xludf.DUMMYFUNCTION("IFERROR(INDEX(FILTER('Kế hoạch chèn link (mới)'!$C$3:$C$2213,'Kế hoạch chèn link (mới)'!$D$3:$D$2213=$B416),5),"""")"),"")</f>
        <v/>
      </c>
      <c r="P416" s="25" t="str">
        <f>IFERROR(__xludf.DUMMYFUNCTION("IFERROR(INDEX(FILTER('Kế hoạch chèn link (mới)'!$B$3:$B$2213,'Kế hoạch chèn link (mới)'!$D$3:$D$2213=$B416),5),"""")"),"")</f>
        <v/>
      </c>
    </row>
    <row r="417">
      <c r="A417" s="6">
        <f t="shared" si="1"/>
        <v>416</v>
      </c>
      <c r="B417" s="8" t="s">
        <v>1458</v>
      </c>
      <c r="C417" s="6">
        <f>COUNTIF('Kế hoạch chèn link (mới)'!$D$3:$D$2213,$B417)</f>
        <v>4</v>
      </c>
      <c r="D417" s="8" t="str">
        <f>IF(COUNTIFS('Kế hoạch chèn link (mới)'!$D$3:$D$2213,$B417,'Kế hoạch chèn link (mới)'!$I$3:$I$2213,"Đã chèn")&gt;=$C417,"Đã hoàn thành",IF(COUNTIFS('Kế hoạch chèn link (mới)'!$D$3:$D$2213,$B417,'Kế hoạch chèn link (mới)'!$I$3:$I$2213,"Đã chèn")&gt;0,"Đang làm","Chưa hoàn thành"))</f>
        <v>Chưa hoàn thành</v>
      </c>
      <c r="E417" s="8" t="b">
        <f t="shared" si="2"/>
        <v>0</v>
      </c>
      <c r="F417" s="25"/>
      <c r="G417" s="25" t="str">
        <f>IFERROR(__xludf.DUMMYFUNCTION("IFERROR(INDEX(FILTER('Kế hoạch chèn link (mới)'!$C$3:$C$2213,'Kế hoạch chèn link (mới)'!$D$3:$D$2213=$B417),1),"""")"),"giá điện sinh hoạt mới nhất")</f>
        <v>giá điện sinh hoạt mới nhất</v>
      </c>
      <c r="H417" s="25" t="str">
        <f>IFERROR(__xludf.DUMMYFUNCTION("IFERROR(INDEX(FILTER('Kế hoạch chèn link (mới)'!$B$3:$B$2213,'Kế hoạch chèn link (mới)'!$D$3:$D$2213=$B417),1),"""")"),"https://techcombank.com/thong-tin/blog/cach-tinh-tien-dien-sinh-hoat")</f>
        <v>https://techcombank.com/thong-tin/blog/cach-tinh-tien-dien-sinh-hoat</v>
      </c>
      <c r="I417" s="25" t="str">
        <f>IFERROR(__xludf.DUMMYFUNCTION("IFERROR(INDEX(FILTER('Kế hoạch chèn link (mới)'!$C$3:$C$2213,'Kế hoạch chèn link (mới)'!$D$3:$D$2213=$B417),2),"""")"),"lãi suất gửi tiết kiệm ngân hàng")</f>
        <v>lãi suất gửi tiết kiệm ngân hàng</v>
      </c>
      <c r="J417" s="25" t="str">
        <f>IFERROR(__xludf.DUMMYFUNCTION("IFERROR(INDEX(FILTER('Kế hoạch chèn link (mới)'!$B$3:$B$2213,'Kế hoạch chèn link (mới)'!$D$3:$D$2213=$B417),2),"""")"),"https://techcombank.com/thong-tin/blog/lai-suat-tiet-kiem")</f>
        <v>https://techcombank.com/thong-tin/blog/lai-suat-tiet-kiem</v>
      </c>
      <c r="K417" s="25" t="str">
        <f>IFERROR(__xludf.DUMMYFUNCTION("IFERROR(INDEX(FILTER('Kế hoạch chèn link (mới)'!$C$3:$C$2213,'Kế hoạch chèn link (mới)'!$D$3:$D$2213=$B417),3),"""")"),"cách tính lãi suất ngân hàng")</f>
        <v>cách tính lãi suất ngân hàng</v>
      </c>
      <c r="L417" s="25" t="str">
        <f>IFERROR(__xludf.DUMMYFUNCTION("IFERROR(INDEX(FILTER('Kế hoạch chèn link (mới)'!$B$3:$B$2213,'Kế hoạch chèn link (mới)'!$D$3:$D$2213=$B417),3),"""")"),"https://techcombank.com/thong-tin/blog/cach-tinh-lai-suat-tien-gui-tiet-kiem")</f>
        <v>https://techcombank.com/thong-tin/blog/cach-tinh-lai-suat-tien-gui-tiet-kiem</v>
      </c>
      <c r="M417" s="25" t="str">
        <f>IFERROR(__xludf.DUMMYFUNCTION("IFERROR(INDEX(FILTER('Kế hoạch chèn link (mới)'!$C$3:$C$2213,'Kế hoạch chèn link (mới)'!$D$3:$D$2213=$B417),4),"""")"),"vay thấu chi là gì")</f>
        <v>vay thấu chi là gì</v>
      </c>
      <c r="N417" s="25" t="str">
        <f>IFERROR(__xludf.DUMMYFUNCTION("IFERROR(INDEX(FILTER('Kế hoạch chèn link (mới)'!$B$3:$B$2213,'Kế hoạch chèn link (mới)'!$D$3:$D$2213=$B417),4),"""")"),"https://techcombank.com/thong-tin/blog/vay-thau-chi-la-gi")</f>
        <v>https://techcombank.com/thong-tin/blog/vay-thau-chi-la-gi</v>
      </c>
      <c r="O417" s="25" t="str">
        <f>IFERROR(__xludf.DUMMYFUNCTION("IFERROR(INDEX(FILTER('Kế hoạch chèn link (mới)'!$C$3:$C$2213,'Kế hoạch chèn link (mới)'!$D$3:$D$2213=$B417),5),"""")"),"")</f>
        <v/>
      </c>
      <c r="P417" s="25" t="str">
        <f>IFERROR(__xludf.DUMMYFUNCTION("IFERROR(INDEX(FILTER('Kế hoạch chèn link (mới)'!$B$3:$B$2213,'Kế hoạch chèn link (mới)'!$D$3:$D$2213=$B417),5),"""")"),"")</f>
        <v/>
      </c>
    </row>
    <row r="418">
      <c r="A418" s="6">
        <f t="shared" si="1"/>
        <v>417</v>
      </c>
      <c r="B418" s="8" t="s">
        <v>3046</v>
      </c>
      <c r="C418" s="6">
        <f>COUNTIF('Kế hoạch chèn link (mới)'!$D$3:$D$2213,$B418)</f>
        <v>3</v>
      </c>
      <c r="D418" s="8" t="str">
        <f>IF(COUNTIFS('Kế hoạch chèn link (mới)'!$D$3:$D$2213,$B418,'Kế hoạch chèn link (mới)'!$I$3:$I$2213,"Đã chèn")&gt;=$C418,"Đã hoàn thành",IF(COUNTIFS('Kế hoạch chèn link (mới)'!$D$3:$D$2213,$B418,'Kế hoạch chèn link (mới)'!$I$3:$I$2213,"Đã chèn")&gt;0,"Đang làm","Chưa hoàn thành"))</f>
        <v>Chưa hoàn thành</v>
      </c>
      <c r="E418" s="8" t="b">
        <f t="shared" si="2"/>
        <v>0</v>
      </c>
      <c r="F418" s="25"/>
      <c r="G418" s="25" t="str">
        <f>IFERROR(__xludf.DUMMYFUNCTION("IFERROR(INDEX(FILTER('Kế hoạch chèn link (mới)'!$C$3:$C$2213,'Kế hoạch chèn link (mới)'!$D$3:$D$2213=$B418),1),"""")"),"lãi suất ngân hàng")</f>
        <v>lãi suất ngân hàng</v>
      </c>
      <c r="H418" s="25" t="str">
        <f>IFERROR(__xludf.DUMMYFUNCTION("IFERROR(INDEX(FILTER('Kế hoạch chèn link (mới)'!$B$3:$B$2213,'Kế hoạch chèn link (mới)'!$D$3:$D$2213=$B418),1),"""")"),"https://techcombank.com/thong-tin/blog/lai-suat-tiet-kiem")</f>
        <v>https://techcombank.com/thong-tin/blog/lai-suat-tiet-kiem</v>
      </c>
      <c r="I418" s="25" t="str">
        <f>IFERROR(__xludf.DUMMYFUNCTION("IFERROR(INDEX(FILTER('Kế hoạch chèn link (mới)'!$C$3:$C$2213,'Kế hoạch chèn link (mới)'!$D$3:$D$2213=$B418),2),"""")"),"tính lãi suất ngân hàng")</f>
        <v>tính lãi suất ngân hàng</v>
      </c>
      <c r="J418" s="25" t="str">
        <f>IFERROR(__xludf.DUMMYFUNCTION("IFERROR(INDEX(FILTER('Kế hoạch chèn link (mới)'!$B$3:$B$2213,'Kế hoạch chèn link (mới)'!$D$3:$D$2213=$B418),2),"""")"),"https://techcombank.com/thong-tin/blog/cach-tinh-lai-suat-tien-gui-tiet-kiem")</f>
        <v>https://techcombank.com/thong-tin/blog/cach-tinh-lai-suat-tien-gui-tiet-kiem</v>
      </c>
      <c r="K418" s="25" t="str">
        <f>IFERROR(__xludf.DUMMYFUNCTION("IFERROR(INDEX(FILTER('Kế hoạch chèn link (mới)'!$C$3:$C$2213,'Kế hoạch chèn link (mới)'!$D$3:$D$2213=$B418),3),"""")"),"thấu chi là gì")</f>
        <v>thấu chi là gì</v>
      </c>
      <c r="L418" s="25" t="str">
        <f>IFERROR(__xludf.DUMMYFUNCTION("IFERROR(INDEX(FILTER('Kế hoạch chèn link (mới)'!$B$3:$B$2213,'Kế hoạch chèn link (mới)'!$D$3:$D$2213=$B418),3),"""")"),"https://techcombank.com/thong-tin/blog/vay-thau-chi-la-gi")</f>
        <v>https://techcombank.com/thong-tin/blog/vay-thau-chi-la-gi</v>
      </c>
      <c r="M418" s="25" t="str">
        <f>IFERROR(__xludf.DUMMYFUNCTION("IFERROR(INDEX(FILTER('Kế hoạch chèn link (mới)'!$C$3:$C$2213,'Kế hoạch chèn link (mới)'!$D$3:$D$2213=$B418),4),"""")"),"")</f>
        <v/>
      </c>
      <c r="N418" s="25" t="str">
        <f>IFERROR(__xludf.DUMMYFUNCTION("IFERROR(INDEX(FILTER('Kế hoạch chèn link (mới)'!$B$3:$B$2213,'Kế hoạch chèn link (mới)'!$D$3:$D$2213=$B418),4),"""")"),"")</f>
        <v/>
      </c>
      <c r="O418" s="25" t="str">
        <f>IFERROR(__xludf.DUMMYFUNCTION("IFERROR(INDEX(FILTER('Kế hoạch chèn link (mới)'!$C$3:$C$2213,'Kế hoạch chèn link (mới)'!$D$3:$D$2213=$B418),5),"""")"),"")</f>
        <v/>
      </c>
      <c r="P418" s="25" t="str">
        <f>IFERROR(__xludf.DUMMYFUNCTION("IFERROR(INDEX(FILTER('Kế hoạch chèn link (mới)'!$B$3:$B$2213,'Kế hoạch chèn link (mới)'!$D$3:$D$2213=$B418),5),"""")"),"")</f>
        <v/>
      </c>
    </row>
    <row r="419">
      <c r="A419" s="6">
        <f t="shared" si="1"/>
        <v>418</v>
      </c>
      <c r="B419" s="8" t="s">
        <v>1962</v>
      </c>
      <c r="C419" s="6">
        <f>COUNTIF('Kế hoạch chèn link (mới)'!$D$3:$D$2213,$B419)</f>
        <v>1</v>
      </c>
      <c r="D419" s="8" t="str">
        <f>IF(COUNTIFS('Kế hoạch chèn link (mới)'!$D$3:$D$2213,$B419,'Kế hoạch chèn link (mới)'!$I$3:$I$2213,"Đã chèn")&gt;=$C419,"Đã hoàn thành",IF(COUNTIFS('Kế hoạch chèn link (mới)'!$D$3:$D$2213,$B419,'Kế hoạch chèn link (mới)'!$I$3:$I$2213,"Đã chèn")&gt;0,"Đang làm","Chưa hoàn thành"))</f>
        <v>Chưa hoàn thành</v>
      </c>
      <c r="E419" s="8" t="b">
        <f t="shared" si="2"/>
        <v>0</v>
      </c>
      <c r="F419" s="25"/>
      <c r="G419" s="25" t="str">
        <f>IFERROR(__xludf.DUMMYFUNCTION("IFERROR(INDEX(FILTER('Kế hoạch chèn link (mới)'!$C$3:$C$2213,'Kế hoạch chèn link (mới)'!$D$3:$D$2213=$B419),1),"""")"),"chuyển khoản thành công nhưng không nhận được tiền")</f>
        <v>chuyển khoản thành công nhưng không nhận được tiền</v>
      </c>
      <c r="H419" s="25" t="str">
        <f>IFERROR(__xludf.DUMMYFUNCTION("IFERROR(INDEX(FILTER('Kế hoạch chèn link (mới)'!$B$3:$B$2213,'Kế hoạch chèn link (mới)'!$D$3:$D$2213=$B419),1),"""")"),"https://techcombank.com/thong-tin/blog/chuyen-khoan-thanh-cong-nhung-khong-nhan-duoc-tien")</f>
        <v>https://techcombank.com/thong-tin/blog/chuyen-khoan-thanh-cong-nhung-khong-nhan-duoc-tien</v>
      </c>
      <c r="I419" s="25" t="str">
        <f>IFERROR(__xludf.DUMMYFUNCTION("IFERROR(INDEX(FILTER('Kế hoạch chèn link (mới)'!$C$3:$C$2213,'Kế hoạch chèn link (mới)'!$D$3:$D$2213=$B419),2),"""")"),"")</f>
        <v/>
      </c>
      <c r="J419" s="25" t="str">
        <f>IFERROR(__xludf.DUMMYFUNCTION("IFERROR(INDEX(FILTER('Kế hoạch chèn link (mới)'!$B$3:$B$2213,'Kế hoạch chèn link (mới)'!$D$3:$D$2213=$B419),2),"""")"),"")</f>
        <v/>
      </c>
      <c r="K419" s="25" t="str">
        <f>IFERROR(__xludf.DUMMYFUNCTION("IFERROR(INDEX(FILTER('Kế hoạch chèn link (mới)'!$C$3:$C$2213,'Kế hoạch chèn link (mới)'!$D$3:$D$2213=$B419),3),"""")"),"")</f>
        <v/>
      </c>
      <c r="L419" s="25" t="str">
        <f>IFERROR(__xludf.DUMMYFUNCTION("IFERROR(INDEX(FILTER('Kế hoạch chèn link (mới)'!$B$3:$B$2213,'Kế hoạch chèn link (mới)'!$D$3:$D$2213=$B419),3),"""")"),"")</f>
        <v/>
      </c>
      <c r="M419" s="25" t="str">
        <f>IFERROR(__xludf.DUMMYFUNCTION("IFERROR(INDEX(FILTER('Kế hoạch chèn link (mới)'!$C$3:$C$2213,'Kế hoạch chèn link (mới)'!$D$3:$D$2213=$B419),4),"""")"),"")</f>
        <v/>
      </c>
      <c r="N419" s="25" t="str">
        <f>IFERROR(__xludf.DUMMYFUNCTION("IFERROR(INDEX(FILTER('Kế hoạch chèn link (mới)'!$B$3:$B$2213,'Kế hoạch chèn link (mới)'!$D$3:$D$2213=$B419),4),"""")"),"")</f>
        <v/>
      </c>
      <c r="O419" s="25" t="str">
        <f>IFERROR(__xludf.DUMMYFUNCTION("IFERROR(INDEX(FILTER('Kế hoạch chèn link (mới)'!$C$3:$C$2213,'Kế hoạch chèn link (mới)'!$D$3:$D$2213=$B419),5),"""")"),"")</f>
        <v/>
      </c>
      <c r="P419" s="25" t="str">
        <f>IFERROR(__xludf.DUMMYFUNCTION("IFERROR(INDEX(FILTER('Kế hoạch chèn link (mới)'!$B$3:$B$2213,'Kế hoạch chèn link (mới)'!$D$3:$D$2213=$B419),5),"""")"),"")</f>
        <v/>
      </c>
    </row>
    <row r="420">
      <c r="A420" s="6">
        <f t="shared" si="1"/>
        <v>419</v>
      </c>
      <c r="B420" s="8" t="s">
        <v>3047</v>
      </c>
      <c r="C420" s="6">
        <f>COUNTIF('Kế hoạch chèn link (mới)'!$D$3:$D$2213,$B420)</f>
        <v>1</v>
      </c>
      <c r="D420" s="8" t="str">
        <f>IF(COUNTIFS('Kế hoạch chèn link (mới)'!$D$3:$D$2213,$B420,'Kế hoạch chèn link (mới)'!$I$3:$I$2213,"Đã chèn")&gt;=$C420,"Đã hoàn thành",IF(COUNTIFS('Kế hoạch chèn link (mới)'!$D$3:$D$2213,$B420,'Kế hoạch chèn link (mới)'!$I$3:$I$2213,"Đã chèn")&gt;0,"Đang làm","Chưa hoàn thành"))</f>
        <v>Chưa hoàn thành</v>
      </c>
      <c r="E420" s="8" t="b">
        <f t="shared" si="2"/>
        <v>0</v>
      </c>
      <c r="F420" s="25"/>
      <c r="G420" s="25" t="str">
        <f>IFERROR(__xludf.DUMMYFUNCTION("IFERROR(INDEX(FILTER('Kế hoạch chèn link (mới)'!$C$3:$C$2213,'Kế hoạch chèn link (mới)'!$D$3:$D$2213=$B420),1),"""")"),"vay")</f>
        <v>vay</v>
      </c>
      <c r="H420" s="25" t="str">
        <f>IFERROR(__xludf.DUMMYFUNCTION("IFERROR(INDEX(FILTER('Kế hoạch chèn link (mới)'!$B$3:$B$2213,'Kế hoạch chèn link (mới)'!$D$3:$D$2213=$B420),1),"""")"),"https://techcombank.com/thong-tin/blog/app-vay-tien-nhanh")</f>
        <v>https://techcombank.com/thong-tin/blog/app-vay-tien-nhanh</v>
      </c>
      <c r="I420" s="25" t="str">
        <f>IFERROR(__xludf.DUMMYFUNCTION("IFERROR(INDEX(FILTER('Kế hoạch chèn link (mới)'!$C$3:$C$2213,'Kế hoạch chèn link (mới)'!$D$3:$D$2213=$B420),2),"""")"),"")</f>
        <v/>
      </c>
      <c r="J420" s="25" t="str">
        <f>IFERROR(__xludf.DUMMYFUNCTION("IFERROR(INDEX(FILTER('Kế hoạch chèn link (mới)'!$B$3:$B$2213,'Kế hoạch chèn link (mới)'!$D$3:$D$2213=$B420),2),"""")"),"")</f>
        <v/>
      </c>
      <c r="K420" s="25" t="str">
        <f>IFERROR(__xludf.DUMMYFUNCTION("IFERROR(INDEX(FILTER('Kế hoạch chèn link (mới)'!$C$3:$C$2213,'Kế hoạch chèn link (mới)'!$D$3:$D$2213=$B420),3),"""")"),"")</f>
        <v/>
      </c>
      <c r="L420" s="25" t="str">
        <f>IFERROR(__xludf.DUMMYFUNCTION("IFERROR(INDEX(FILTER('Kế hoạch chèn link (mới)'!$B$3:$B$2213,'Kế hoạch chèn link (mới)'!$D$3:$D$2213=$B420),3),"""")"),"")</f>
        <v/>
      </c>
      <c r="M420" s="25" t="str">
        <f>IFERROR(__xludf.DUMMYFUNCTION("IFERROR(INDEX(FILTER('Kế hoạch chèn link (mới)'!$C$3:$C$2213,'Kế hoạch chèn link (mới)'!$D$3:$D$2213=$B420),4),"""")"),"")</f>
        <v/>
      </c>
      <c r="N420" s="25" t="str">
        <f>IFERROR(__xludf.DUMMYFUNCTION("IFERROR(INDEX(FILTER('Kế hoạch chèn link (mới)'!$B$3:$B$2213,'Kế hoạch chèn link (mới)'!$D$3:$D$2213=$B420),4),"""")"),"")</f>
        <v/>
      </c>
      <c r="O420" s="25" t="str">
        <f>IFERROR(__xludf.DUMMYFUNCTION("IFERROR(INDEX(FILTER('Kế hoạch chèn link (mới)'!$C$3:$C$2213,'Kế hoạch chèn link (mới)'!$D$3:$D$2213=$B420),5),"""")"),"")</f>
        <v/>
      </c>
      <c r="P420" s="25" t="str">
        <f>IFERROR(__xludf.DUMMYFUNCTION("IFERROR(INDEX(FILTER('Kế hoạch chèn link (mới)'!$B$3:$B$2213,'Kế hoạch chèn link (mới)'!$D$3:$D$2213=$B420),5),"""")"),"")</f>
        <v/>
      </c>
    </row>
    <row r="421">
      <c r="A421" s="6">
        <f t="shared" si="1"/>
        <v>420</v>
      </c>
      <c r="B421" s="8" t="s">
        <v>3048</v>
      </c>
      <c r="C421" s="6">
        <f>COUNTIF('Kế hoạch chèn link (mới)'!$D$3:$D$2213,$B421)</f>
        <v>2</v>
      </c>
      <c r="D421" s="8" t="str">
        <f>IF(COUNTIFS('Kế hoạch chèn link (mới)'!$D$3:$D$2213,$B421,'Kế hoạch chèn link (mới)'!$I$3:$I$2213,"Đã chèn")&gt;=$C421,"Đã hoàn thành",IF(COUNTIFS('Kế hoạch chèn link (mới)'!$D$3:$D$2213,$B421,'Kế hoạch chèn link (mới)'!$I$3:$I$2213,"Đã chèn")&gt;0,"Đang làm","Chưa hoàn thành"))</f>
        <v>Chưa hoàn thành</v>
      </c>
      <c r="E421" s="8" t="b">
        <f t="shared" si="2"/>
        <v>0</v>
      </c>
      <c r="F421" s="25"/>
      <c r="G421" s="25" t="str">
        <f>IFERROR(__xludf.DUMMYFUNCTION("IFERROR(INDEX(FILTER('Kế hoạch chèn link (mới)'!$C$3:$C$2213,'Kế hoạch chèn link (mới)'!$D$3:$D$2213=$B421),1),"""")"),"xếp hạng tín dụng")</f>
        <v>xếp hạng tín dụng</v>
      </c>
      <c r="H421" s="25" t="str">
        <f>IFERROR(__xludf.DUMMYFUNCTION("IFERROR(INDEX(FILTER('Kế hoạch chèn link (mới)'!$B$3:$B$2213,'Kế hoạch chèn link (mới)'!$D$3:$D$2213=$B421),1),"""")"),"https://techcombank.com/thong-tin/blog/xep-hang-tin-dung")</f>
        <v>https://techcombank.com/thong-tin/blog/xep-hang-tin-dung</v>
      </c>
      <c r="I421" s="25" t="str">
        <f>IFERROR(__xludf.DUMMYFUNCTION("IFERROR(INDEX(FILTER('Kế hoạch chèn link (mới)'!$C$3:$C$2213,'Kế hoạch chèn link (mới)'!$D$3:$D$2213=$B421),2),"""")"),"lãi suất ngân hàng hiện nay")</f>
        <v>lãi suất ngân hàng hiện nay</v>
      </c>
      <c r="J421" s="25" t="str">
        <f>IFERROR(__xludf.DUMMYFUNCTION("IFERROR(INDEX(FILTER('Kế hoạch chèn link (mới)'!$B$3:$B$2213,'Kế hoạch chèn link (mới)'!$D$3:$D$2213=$B421),2),"""")"),"https://techcombank.com/thong-tin/blog/lai-suat-tiet-kiem")</f>
        <v>https://techcombank.com/thong-tin/blog/lai-suat-tiet-kiem</v>
      </c>
      <c r="K421" s="25" t="str">
        <f>IFERROR(__xludf.DUMMYFUNCTION("IFERROR(INDEX(FILTER('Kế hoạch chèn link (mới)'!$C$3:$C$2213,'Kế hoạch chèn link (mới)'!$D$3:$D$2213=$B421),3),"""")"),"")</f>
        <v/>
      </c>
      <c r="L421" s="25" t="str">
        <f>IFERROR(__xludf.DUMMYFUNCTION("IFERROR(INDEX(FILTER('Kế hoạch chèn link (mới)'!$B$3:$B$2213,'Kế hoạch chèn link (mới)'!$D$3:$D$2213=$B421),3),"""")"),"")</f>
        <v/>
      </c>
      <c r="M421" s="25" t="str">
        <f>IFERROR(__xludf.DUMMYFUNCTION("IFERROR(INDEX(FILTER('Kế hoạch chèn link (mới)'!$C$3:$C$2213,'Kế hoạch chèn link (mới)'!$D$3:$D$2213=$B421),4),"""")"),"")</f>
        <v/>
      </c>
      <c r="N421" s="25" t="str">
        <f>IFERROR(__xludf.DUMMYFUNCTION("IFERROR(INDEX(FILTER('Kế hoạch chèn link (mới)'!$B$3:$B$2213,'Kế hoạch chèn link (mới)'!$D$3:$D$2213=$B421),4),"""")"),"")</f>
        <v/>
      </c>
      <c r="O421" s="25" t="str">
        <f>IFERROR(__xludf.DUMMYFUNCTION("IFERROR(INDEX(FILTER('Kế hoạch chèn link (mới)'!$C$3:$C$2213,'Kế hoạch chèn link (mới)'!$D$3:$D$2213=$B421),5),"""")"),"")</f>
        <v/>
      </c>
      <c r="P421" s="25" t="str">
        <f>IFERROR(__xludf.DUMMYFUNCTION("IFERROR(INDEX(FILTER('Kế hoạch chèn link (mới)'!$B$3:$B$2213,'Kế hoạch chèn link (mới)'!$D$3:$D$2213=$B421),5),"""")"),"")</f>
        <v/>
      </c>
    </row>
    <row r="422">
      <c r="A422" s="6">
        <f t="shared" si="1"/>
        <v>421</v>
      </c>
      <c r="B422" s="8" t="s">
        <v>3049</v>
      </c>
      <c r="C422" s="6">
        <f>COUNTIF('Kế hoạch chèn link (mới)'!$D$3:$D$2213,$B422)</f>
        <v>2</v>
      </c>
      <c r="D422" s="8" t="str">
        <f>IF(COUNTIFS('Kế hoạch chèn link (mới)'!$D$3:$D$2213,$B422,'Kế hoạch chèn link (mới)'!$I$3:$I$2213,"Đã chèn")&gt;=$C422,"Đã hoàn thành",IF(COUNTIFS('Kế hoạch chèn link (mới)'!$D$3:$D$2213,$B422,'Kế hoạch chèn link (mới)'!$I$3:$I$2213,"Đã chèn")&gt;0,"Đang làm","Chưa hoàn thành"))</f>
        <v>Chưa hoàn thành</v>
      </c>
      <c r="E422" s="8" t="b">
        <f t="shared" si="2"/>
        <v>0</v>
      </c>
      <c r="F422" s="25"/>
      <c r="G422" s="25" t="str">
        <f>IFERROR(__xludf.DUMMYFUNCTION("IFERROR(INDEX(FILTER('Kế hoạch chèn link (mới)'!$C$3:$C$2213,'Kế hoạch chèn link (mới)'!$D$3:$D$2213=$B422),1),"""")"),"tỷ giá Nhân dân tệ")</f>
        <v>tỷ giá Nhân dân tệ</v>
      </c>
      <c r="H422" s="25" t="str">
        <f>IFERROR(__xludf.DUMMYFUNCTION("IFERROR(INDEX(FILTER('Kế hoạch chèn link (mới)'!$B$3:$B$2213,'Kế hoạch chèn link (mới)'!$D$3:$D$2213=$B422),1),"""")"),"https://techcombank.com/thong-tin/blog/1-te-bang-bao-nhieu-tien-viet-nam")</f>
        <v>https://techcombank.com/thong-tin/blog/1-te-bang-bao-nhieu-tien-viet-nam</v>
      </c>
      <c r="I422" s="25" t="str">
        <f>IFERROR(__xludf.DUMMYFUNCTION("IFERROR(INDEX(FILTER('Kế hoạch chèn link (mới)'!$C$3:$C$2213,'Kế hoạch chèn link (mới)'!$D$3:$D$2213=$B422),2),"""")"),"1 triệu đô bằng bao nhiêu tiền Việt")</f>
        <v>1 triệu đô bằng bao nhiêu tiền Việt</v>
      </c>
      <c r="J422" s="25" t="str">
        <f>IFERROR(__xludf.DUMMYFUNCTION("IFERROR(INDEX(FILTER('Kế hoạch chèn link (mới)'!$B$3:$B$2213,'Kế hoạch chèn link (mới)'!$D$3:$D$2213=$B422),2),"""")"),"https://techcombank.com/thong-tin/blog/1-trieu-do-bang-bao-nhieu-tien-viet")</f>
        <v>https://techcombank.com/thong-tin/blog/1-trieu-do-bang-bao-nhieu-tien-viet</v>
      </c>
      <c r="K422" s="25" t="str">
        <f>IFERROR(__xludf.DUMMYFUNCTION("IFERROR(INDEX(FILTER('Kế hoạch chèn link (mới)'!$C$3:$C$2213,'Kế hoạch chèn link (mới)'!$D$3:$D$2213=$B422),3),"""")"),"")</f>
        <v/>
      </c>
      <c r="L422" s="25" t="str">
        <f>IFERROR(__xludf.DUMMYFUNCTION("IFERROR(INDEX(FILTER('Kế hoạch chèn link (mới)'!$B$3:$B$2213,'Kế hoạch chèn link (mới)'!$D$3:$D$2213=$B422),3),"""")"),"")</f>
        <v/>
      </c>
      <c r="M422" s="25" t="str">
        <f>IFERROR(__xludf.DUMMYFUNCTION("IFERROR(INDEX(FILTER('Kế hoạch chèn link (mới)'!$C$3:$C$2213,'Kế hoạch chèn link (mới)'!$D$3:$D$2213=$B422),4),"""")"),"")</f>
        <v/>
      </c>
      <c r="N422" s="25" t="str">
        <f>IFERROR(__xludf.DUMMYFUNCTION("IFERROR(INDEX(FILTER('Kế hoạch chèn link (mới)'!$B$3:$B$2213,'Kế hoạch chèn link (mới)'!$D$3:$D$2213=$B422),4),"""")"),"")</f>
        <v/>
      </c>
      <c r="O422" s="25" t="str">
        <f>IFERROR(__xludf.DUMMYFUNCTION("IFERROR(INDEX(FILTER('Kế hoạch chèn link (mới)'!$C$3:$C$2213,'Kế hoạch chèn link (mới)'!$D$3:$D$2213=$B422),5),"""")"),"")</f>
        <v/>
      </c>
      <c r="P422" s="25" t="str">
        <f>IFERROR(__xludf.DUMMYFUNCTION("IFERROR(INDEX(FILTER('Kế hoạch chèn link (mới)'!$B$3:$B$2213,'Kế hoạch chèn link (mới)'!$D$3:$D$2213=$B422),5),"""")"),"")</f>
        <v/>
      </c>
    </row>
    <row r="423">
      <c r="A423" s="6">
        <f t="shared" si="1"/>
        <v>422</v>
      </c>
      <c r="B423" s="8" t="s">
        <v>3050</v>
      </c>
      <c r="C423" s="6">
        <f>COUNTIF('Kế hoạch chèn link (mới)'!$D$3:$D$2213,$B423)</f>
        <v>5</v>
      </c>
      <c r="D423" s="8" t="str">
        <f>IF(COUNTIFS('Kế hoạch chèn link (mới)'!$D$3:$D$2213,$B423,'Kế hoạch chèn link (mới)'!$I$3:$I$2213,"Đã chèn")&gt;=$C423,"Đã hoàn thành",IF(COUNTIFS('Kế hoạch chèn link (mới)'!$D$3:$D$2213,$B423,'Kế hoạch chèn link (mới)'!$I$3:$I$2213,"Đã chèn")&gt;0,"Đang làm","Chưa hoàn thành"))</f>
        <v>Chưa hoàn thành</v>
      </c>
      <c r="E423" s="8" t="b">
        <f t="shared" si="2"/>
        <v>0</v>
      </c>
      <c r="F423" s="25"/>
      <c r="G423" s="25" t="str">
        <f>IFERROR(__xludf.DUMMYFUNCTION("IFERROR(INDEX(FILTER('Kế hoạch chèn link (mới)'!$C$3:$C$2213,'Kế hoạch chèn link (mới)'!$D$3:$D$2213=$B423),1),"""")"),"tỷ giá Nhân dân tệ")</f>
        <v>tỷ giá Nhân dân tệ</v>
      </c>
      <c r="H423" s="25" t="str">
        <f>IFERROR(__xludf.DUMMYFUNCTION("IFERROR(INDEX(FILTER('Kế hoạch chèn link (mới)'!$B$3:$B$2213,'Kế hoạch chèn link (mới)'!$D$3:$D$2213=$B423),1),"""")"),"https://techcombank.com/thong-tin/blog/1-te-bang-bao-nhieu-tien-viet-nam")</f>
        <v>https://techcombank.com/thong-tin/blog/1-te-bang-bao-nhieu-tien-viet-nam</v>
      </c>
      <c r="I423" s="25" t="str">
        <f>IFERROR(__xludf.DUMMYFUNCTION("IFERROR(INDEX(FILTER('Kế hoạch chèn link (mới)'!$C$3:$C$2213,'Kế hoạch chèn link (mới)'!$D$3:$D$2213=$B423),2),"""")"),"tỷ giá Đài tệ")</f>
        <v>tỷ giá Đài tệ</v>
      </c>
      <c r="J423" s="25" t="str">
        <f>IFERROR(__xludf.DUMMYFUNCTION("IFERROR(INDEX(FILTER('Kế hoạch chèn link (mới)'!$B$3:$B$2213,'Kế hoạch chèn link (mới)'!$D$3:$D$2213=$B423),2),"""")"),"https://techcombank.com/thong-tin/blog/tien-dai-loan")</f>
        <v>https://techcombank.com/thong-tin/blog/tien-dai-loan</v>
      </c>
      <c r="K423" s="25" t="str">
        <f>IFERROR(__xludf.DUMMYFUNCTION("IFERROR(INDEX(FILTER('Kế hoạch chèn link (mới)'!$C$3:$C$2213,'Kế hoạch chèn link (mới)'!$D$3:$D$2213=$B423),3),"""")"),"1 triệu đô bằng bao nhiêu tiền Việt")</f>
        <v>1 triệu đô bằng bao nhiêu tiền Việt</v>
      </c>
      <c r="L423" s="25" t="str">
        <f>IFERROR(__xludf.DUMMYFUNCTION("IFERROR(INDEX(FILTER('Kế hoạch chèn link (mới)'!$B$3:$B$2213,'Kế hoạch chèn link (mới)'!$D$3:$D$2213=$B423),3),"""")"),"https://techcombank.com/thong-tin/blog/1-trieu-do-bang-bao-nhieu-tien-viet")</f>
        <v>https://techcombank.com/thong-tin/blog/1-trieu-do-bang-bao-nhieu-tien-viet</v>
      </c>
      <c r="M423" s="25" t="str">
        <f>IFERROR(__xludf.DUMMYFUNCTION("IFERROR(INDEX(FILTER('Kế hoạch chèn link (mới)'!$C$3:$C$2213,'Kế hoạch chèn link (mới)'!$D$3:$D$2213=$B423),4),"""")"),"nhận tiền từ nước ngoài")</f>
        <v>nhận tiền từ nước ngoài</v>
      </c>
      <c r="N423" s="25" t="str">
        <f>IFERROR(__xludf.DUMMYFUNCTION("IFERROR(INDEX(FILTER('Kế hoạch chèn link (mới)'!$B$3:$B$2213,'Kế hoạch chèn link (mới)'!$D$3:$D$2213=$B423),4),"""")"),"https://techcombank.com/thong-tin/blog/cach-nhan-tien-tu-nuoc-ngoai-ve-viet-nam")</f>
        <v>https://techcombank.com/thong-tin/blog/cach-nhan-tien-tu-nuoc-ngoai-ve-viet-nam</v>
      </c>
      <c r="O423" s="25" t="str">
        <f>IFERROR(__xludf.DUMMYFUNCTION("IFERROR(INDEX(FILTER('Kế hoạch chèn link (mới)'!$C$3:$C$2213,'Kế hoạch chèn link (mới)'!$D$3:$D$2213=$B423),5),"""")"),"lãi suất tiền gửi ngân hàng")</f>
        <v>lãi suất tiền gửi ngân hàng</v>
      </c>
      <c r="P423" s="25" t="str">
        <f>IFERROR(__xludf.DUMMYFUNCTION("IFERROR(INDEX(FILTER('Kế hoạch chèn link (mới)'!$B$3:$B$2213,'Kế hoạch chèn link (mới)'!$D$3:$D$2213=$B423),5),"""")"),"https://techcombank.com/thong-tin/blog/lai-suat-tiet-kiem")</f>
        <v>https://techcombank.com/thong-tin/blog/lai-suat-tiet-kiem</v>
      </c>
    </row>
    <row r="424">
      <c r="A424" s="6">
        <f t="shared" si="1"/>
        <v>423</v>
      </c>
      <c r="B424" s="8" t="s">
        <v>3051</v>
      </c>
      <c r="C424" s="6">
        <f>COUNTIF('Kế hoạch chèn link (mới)'!$D$3:$D$2213,$B424)</f>
        <v>4</v>
      </c>
      <c r="D424" s="8" t="str">
        <f>IF(COUNTIFS('Kế hoạch chèn link (mới)'!$D$3:$D$2213,$B424,'Kế hoạch chèn link (mới)'!$I$3:$I$2213,"Đã chèn")&gt;=$C424,"Đã hoàn thành",IF(COUNTIFS('Kế hoạch chèn link (mới)'!$D$3:$D$2213,$B424,'Kế hoạch chèn link (mới)'!$I$3:$I$2213,"Đã chèn")&gt;0,"Đang làm","Chưa hoàn thành"))</f>
        <v>Chưa hoàn thành</v>
      </c>
      <c r="E424" s="8" t="b">
        <f t="shared" si="2"/>
        <v>0</v>
      </c>
      <c r="F424" s="25"/>
      <c r="G424" s="25" t="str">
        <f>IFERROR(__xludf.DUMMYFUNCTION("IFERROR(INDEX(FILTER('Kế hoạch chèn link (mới)'!$C$3:$C$2213,'Kế hoạch chèn link (mới)'!$D$3:$D$2213=$B424),1),"""")"),"chứng chỉ tiền gửi")</f>
        <v>chứng chỉ tiền gửi</v>
      </c>
      <c r="H424" s="25" t="str">
        <f>IFERROR(__xludf.DUMMYFUNCTION("IFERROR(INDEX(FILTER('Kế hoạch chèn link (mới)'!$B$3:$B$2213,'Kế hoạch chèn link (mới)'!$D$3:$D$2213=$B424),1),"""")"),"https://techcombank.com/thong-tin/blog/chung-chi-tien-gui-la-gi")</f>
        <v>https://techcombank.com/thong-tin/blog/chung-chi-tien-gui-la-gi</v>
      </c>
      <c r="I424" s="25" t="str">
        <f>IFERROR(__xludf.DUMMYFUNCTION("IFERROR(INDEX(FILTER('Kế hoạch chèn link (mới)'!$C$3:$C$2213,'Kế hoạch chèn link (mới)'!$D$3:$D$2213=$B424),2),"""")"),"lợi suất chứng chỉ tiền gửi")</f>
        <v>lợi suất chứng chỉ tiền gửi</v>
      </c>
      <c r="J424" s="25" t="str">
        <f>IFERROR(__xludf.DUMMYFUNCTION("IFERROR(INDEX(FILTER('Kế hoạch chèn link (mới)'!$B$3:$B$2213,'Kế hoạch chèn link (mới)'!$D$3:$D$2213=$B424),2),"""")"),"https://techcombank.com/thong-tin/blog/lai-suat-chung-chi-tien-gui-cac-ngan-hang")</f>
        <v>https://techcombank.com/thong-tin/blog/lai-suat-chung-chi-tien-gui-cac-ngan-hang</v>
      </c>
      <c r="K424" s="25" t="str">
        <f>IFERROR(__xludf.DUMMYFUNCTION("IFERROR(INDEX(FILTER('Kế hoạch chèn link (mới)'!$C$3:$C$2213,'Kế hoạch chèn link (mới)'!$D$3:$D$2213=$B424),3),"""")"),"lãi suất tiền gửi ngân hàng")</f>
        <v>lãi suất tiền gửi ngân hàng</v>
      </c>
      <c r="L424" s="25" t="str">
        <f>IFERROR(__xludf.DUMMYFUNCTION("IFERROR(INDEX(FILTER('Kế hoạch chèn link (mới)'!$B$3:$B$2213,'Kế hoạch chèn link (mới)'!$D$3:$D$2213=$B424),3),"""")"),"https://techcombank.com/thong-tin/blog/lai-suat-tiet-kiem")</f>
        <v>https://techcombank.com/thong-tin/blog/lai-suat-tiet-kiem</v>
      </c>
      <c r="M424" s="25" t="str">
        <f>IFERROR(__xludf.DUMMYFUNCTION("IFERROR(INDEX(FILTER('Kế hoạch chèn link (mới)'!$C$3:$C$2213,'Kế hoạch chèn link (mới)'!$D$3:$D$2213=$B424),4),"""")"),"tính lãi suất tiết kiệm")</f>
        <v>tính lãi suất tiết kiệm</v>
      </c>
      <c r="N424" s="25" t="str">
        <f>IFERROR(__xludf.DUMMYFUNCTION("IFERROR(INDEX(FILTER('Kế hoạch chèn link (mới)'!$B$3:$B$2213,'Kế hoạch chèn link (mới)'!$D$3:$D$2213=$B424),4),"""")"),"https://techcombank.com/thong-tin/blog/cach-tinh-lai-suat-tien-gui-tiet-kiem")</f>
        <v>https://techcombank.com/thong-tin/blog/cach-tinh-lai-suat-tien-gui-tiet-kiem</v>
      </c>
      <c r="O424" s="25" t="str">
        <f>IFERROR(__xludf.DUMMYFUNCTION("IFERROR(INDEX(FILTER('Kế hoạch chèn link (mới)'!$C$3:$C$2213,'Kế hoạch chèn link (mới)'!$D$3:$D$2213=$B424),5),"""")"),"")</f>
        <v/>
      </c>
      <c r="P424" s="25" t="str">
        <f>IFERROR(__xludf.DUMMYFUNCTION("IFERROR(INDEX(FILTER('Kế hoạch chèn link (mới)'!$B$3:$B$2213,'Kế hoạch chèn link (mới)'!$D$3:$D$2213=$B424),5),"""")"),"")</f>
        <v/>
      </c>
    </row>
    <row r="425">
      <c r="A425" s="6">
        <f t="shared" si="1"/>
        <v>424</v>
      </c>
      <c r="B425" s="8" t="s">
        <v>3052</v>
      </c>
      <c r="C425" s="6">
        <f>COUNTIF('Kế hoạch chèn link (mới)'!$D$3:$D$2213,$B425)</f>
        <v>1</v>
      </c>
      <c r="D425" s="8" t="str">
        <f>IF(COUNTIFS('Kế hoạch chèn link (mới)'!$D$3:$D$2213,$B425,'Kế hoạch chèn link (mới)'!$I$3:$I$2213,"Đã chèn")&gt;=$C425,"Đã hoàn thành",IF(COUNTIFS('Kế hoạch chèn link (mới)'!$D$3:$D$2213,$B425,'Kế hoạch chèn link (mới)'!$I$3:$I$2213,"Đã chèn")&gt;0,"Đang làm","Chưa hoàn thành"))</f>
        <v>Chưa hoàn thành</v>
      </c>
      <c r="E425" s="8" t="b">
        <f t="shared" si="2"/>
        <v>0</v>
      </c>
      <c r="F425" s="25"/>
      <c r="G425" s="25" t="str">
        <f>IFERROR(__xludf.DUMMYFUNCTION("IFERROR(INDEX(FILTER('Kế hoạch chèn link (mới)'!$C$3:$C$2213,'Kế hoạch chèn link (mới)'!$D$3:$D$2213=$B425),1),"""")"),"xếp hạng tín dụng")</f>
        <v>xếp hạng tín dụng</v>
      </c>
      <c r="H425" s="25" t="str">
        <f>IFERROR(__xludf.DUMMYFUNCTION("IFERROR(INDEX(FILTER('Kế hoạch chèn link (mới)'!$B$3:$B$2213,'Kế hoạch chèn link (mới)'!$D$3:$D$2213=$B425),1),"""")"),"https://techcombank.com/thong-tin/blog/xep-hang-tin-dung")</f>
        <v>https://techcombank.com/thong-tin/blog/xep-hang-tin-dung</v>
      </c>
      <c r="I425" s="25" t="str">
        <f>IFERROR(__xludf.DUMMYFUNCTION("IFERROR(INDEX(FILTER('Kế hoạch chèn link (mới)'!$C$3:$C$2213,'Kế hoạch chèn link (mới)'!$D$3:$D$2213=$B425),2),"""")"),"")</f>
        <v/>
      </c>
      <c r="J425" s="25" t="str">
        <f>IFERROR(__xludf.DUMMYFUNCTION("IFERROR(INDEX(FILTER('Kế hoạch chèn link (mới)'!$B$3:$B$2213,'Kế hoạch chèn link (mới)'!$D$3:$D$2213=$B425),2),"""")"),"")</f>
        <v/>
      </c>
      <c r="K425" s="25" t="str">
        <f>IFERROR(__xludf.DUMMYFUNCTION("IFERROR(INDEX(FILTER('Kế hoạch chèn link (mới)'!$C$3:$C$2213,'Kế hoạch chèn link (mới)'!$D$3:$D$2213=$B425),3),"""")"),"")</f>
        <v/>
      </c>
      <c r="L425" s="25" t="str">
        <f>IFERROR(__xludf.DUMMYFUNCTION("IFERROR(INDEX(FILTER('Kế hoạch chèn link (mới)'!$B$3:$B$2213,'Kế hoạch chèn link (mới)'!$D$3:$D$2213=$B425),3),"""")"),"")</f>
        <v/>
      </c>
      <c r="M425" s="25" t="str">
        <f>IFERROR(__xludf.DUMMYFUNCTION("IFERROR(INDEX(FILTER('Kế hoạch chèn link (mới)'!$C$3:$C$2213,'Kế hoạch chèn link (mới)'!$D$3:$D$2213=$B425),4),"""")"),"")</f>
        <v/>
      </c>
      <c r="N425" s="25" t="str">
        <f>IFERROR(__xludf.DUMMYFUNCTION("IFERROR(INDEX(FILTER('Kế hoạch chèn link (mới)'!$B$3:$B$2213,'Kế hoạch chèn link (mới)'!$D$3:$D$2213=$B425),4),"""")"),"")</f>
        <v/>
      </c>
      <c r="O425" s="25" t="str">
        <f>IFERROR(__xludf.DUMMYFUNCTION("IFERROR(INDEX(FILTER('Kế hoạch chèn link (mới)'!$C$3:$C$2213,'Kế hoạch chèn link (mới)'!$D$3:$D$2213=$B425),5),"""")"),"")</f>
        <v/>
      </c>
      <c r="P425" s="25" t="str">
        <f>IFERROR(__xludf.DUMMYFUNCTION("IFERROR(INDEX(FILTER('Kế hoạch chèn link (mới)'!$B$3:$B$2213,'Kế hoạch chèn link (mới)'!$D$3:$D$2213=$B425),5),"""")"),"")</f>
        <v/>
      </c>
    </row>
    <row r="426">
      <c r="A426" s="6">
        <f t="shared" si="1"/>
        <v>425</v>
      </c>
      <c r="B426" s="8" t="s">
        <v>3053</v>
      </c>
      <c r="C426" s="6">
        <f>COUNTIF('Kế hoạch chèn link (mới)'!$D$3:$D$2213,$B426)</f>
        <v>2</v>
      </c>
      <c r="D426" s="8" t="str">
        <f>IF(COUNTIFS('Kế hoạch chèn link (mới)'!$D$3:$D$2213,$B426,'Kế hoạch chèn link (mới)'!$I$3:$I$2213,"Đã chèn")&gt;=$C426,"Đã hoàn thành",IF(COUNTIFS('Kế hoạch chèn link (mới)'!$D$3:$D$2213,$B426,'Kế hoạch chèn link (mới)'!$I$3:$I$2213,"Đã chèn")&gt;0,"Đang làm","Chưa hoàn thành"))</f>
        <v>Chưa hoàn thành</v>
      </c>
      <c r="E426" s="8" t="b">
        <f t="shared" si="2"/>
        <v>0</v>
      </c>
      <c r="F426" s="25"/>
      <c r="G426" s="25" t="str">
        <f>IFERROR(__xludf.DUMMYFUNCTION("IFERROR(INDEX(FILTER('Kế hoạch chèn link (mới)'!$C$3:$C$2213,'Kế hoạch chèn link (mới)'!$D$3:$D$2213=$B426),1),"""")"),"nhận tiền từ nước ngoài")</f>
        <v>nhận tiền từ nước ngoài</v>
      </c>
      <c r="H426" s="25" t="str">
        <f>IFERROR(__xludf.DUMMYFUNCTION("IFERROR(INDEX(FILTER('Kế hoạch chèn link (mới)'!$B$3:$B$2213,'Kế hoạch chèn link (mới)'!$D$3:$D$2213=$B426),1),"""")"),"https://techcombank.com/thong-tin/blog/cach-nhan-tien-tu-nuoc-ngoai-ve-viet-nam")</f>
        <v>https://techcombank.com/thong-tin/blog/cach-nhan-tien-tu-nuoc-ngoai-ve-viet-nam</v>
      </c>
      <c r="I426" s="25" t="str">
        <f>IFERROR(__xludf.DUMMYFUNCTION("IFERROR(INDEX(FILTER('Kế hoạch chèn link (mới)'!$C$3:$C$2213,'Kế hoạch chèn link (mới)'!$D$3:$D$2213=$B426),2),"""")"),"đổi tiền đô ở đâu")</f>
        <v>đổi tiền đô ở đâu</v>
      </c>
      <c r="J426" s="25" t="str">
        <f>IFERROR(__xludf.DUMMYFUNCTION("IFERROR(INDEX(FILTER('Kế hoạch chèn link (mới)'!$B$3:$B$2213,'Kế hoạch chèn link (mới)'!$D$3:$D$2213=$B426),2),"""")"),"https://techcombank.com/thong-tin/blog/doi-tien-do-o-dau")</f>
        <v>https://techcombank.com/thong-tin/blog/doi-tien-do-o-dau</v>
      </c>
      <c r="K426" s="25" t="str">
        <f>IFERROR(__xludf.DUMMYFUNCTION("IFERROR(INDEX(FILTER('Kế hoạch chèn link (mới)'!$C$3:$C$2213,'Kế hoạch chèn link (mới)'!$D$3:$D$2213=$B426),3),"""")"),"")</f>
        <v/>
      </c>
      <c r="L426" s="25" t="str">
        <f>IFERROR(__xludf.DUMMYFUNCTION("IFERROR(INDEX(FILTER('Kế hoạch chèn link (mới)'!$B$3:$B$2213,'Kế hoạch chèn link (mới)'!$D$3:$D$2213=$B426),3),"""")"),"")</f>
        <v/>
      </c>
      <c r="M426" s="25" t="str">
        <f>IFERROR(__xludf.DUMMYFUNCTION("IFERROR(INDEX(FILTER('Kế hoạch chèn link (mới)'!$C$3:$C$2213,'Kế hoạch chèn link (mới)'!$D$3:$D$2213=$B426),4),"""")"),"")</f>
        <v/>
      </c>
      <c r="N426" s="25" t="str">
        <f>IFERROR(__xludf.DUMMYFUNCTION("IFERROR(INDEX(FILTER('Kế hoạch chèn link (mới)'!$B$3:$B$2213,'Kế hoạch chèn link (mới)'!$D$3:$D$2213=$B426),4),"""")"),"")</f>
        <v/>
      </c>
      <c r="O426" s="25" t="str">
        <f>IFERROR(__xludf.DUMMYFUNCTION("IFERROR(INDEX(FILTER('Kế hoạch chèn link (mới)'!$C$3:$C$2213,'Kế hoạch chèn link (mới)'!$D$3:$D$2213=$B426),5),"""")"),"")</f>
        <v/>
      </c>
      <c r="P426" s="25" t="str">
        <f>IFERROR(__xludf.DUMMYFUNCTION("IFERROR(INDEX(FILTER('Kế hoạch chèn link (mới)'!$B$3:$B$2213,'Kế hoạch chèn link (mới)'!$D$3:$D$2213=$B426),5),"""")"),"")</f>
        <v/>
      </c>
    </row>
    <row r="427">
      <c r="A427" s="6">
        <f t="shared" si="1"/>
        <v>426</v>
      </c>
      <c r="B427" s="8" t="s">
        <v>1738</v>
      </c>
      <c r="C427" s="6">
        <f>COUNTIF('Kế hoạch chèn link (mới)'!$D$3:$D$2213,$B427)</f>
        <v>2</v>
      </c>
      <c r="D427" s="8" t="str">
        <f>IF(COUNTIFS('Kế hoạch chèn link (mới)'!$D$3:$D$2213,$B427,'Kế hoạch chèn link (mới)'!$I$3:$I$2213,"Đã chèn")&gt;=$C427,"Đã hoàn thành",IF(COUNTIFS('Kế hoạch chèn link (mới)'!$D$3:$D$2213,$B427,'Kế hoạch chèn link (mới)'!$I$3:$I$2213,"Đã chèn")&gt;0,"Đang làm","Chưa hoàn thành"))</f>
        <v>Chưa hoàn thành</v>
      </c>
      <c r="E427" s="8" t="b">
        <f t="shared" si="2"/>
        <v>0</v>
      </c>
      <c r="F427" s="25"/>
      <c r="G427" s="25" t="str">
        <f>IFERROR(__xludf.DUMMYFUNCTION("IFERROR(INDEX(FILTER('Kế hoạch chèn link (mới)'!$C$3:$C$2213,'Kế hoạch chèn link (mới)'!$D$3:$D$2213=$B427),1),"""")"),"mở tài khoản ngân hàng online")</f>
        <v>mở tài khoản ngân hàng online</v>
      </c>
      <c r="H427" s="25" t="str">
        <f>IFERROR(__xludf.DUMMYFUNCTION("IFERROR(INDEX(FILTER('Kế hoạch chèn link (mới)'!$B$3:$B$2213,'Kế hoạch chèn link (mới)'!$D$3:$D$2213=$B427),1),"""")"),"https://techcombank.com/thong-tin/blog/cach-mo-tai-khoan")</f>
        <v>https://techcombank.com/thong-tin/blog/cach-mo-tai-khoan</v>
      </c>
      <c r="I427" s="25" t="str">
        <f>IFERROR(__xludf.DUMMYFUNCTION("IFERROR(INDEX(FILTER('Kế hoạch chèn link (mới)'!$C$3:$C$2213,'Kế hoạch chèn link (mới)'!$D$3:$D$2213=$B427),2),"""")"),"bao nhiêu tuổi được mở tài khoản ngân hàng")</f>
        <v>bao nhiêu tuổi được mở tài khoản ngân hàng</v>
      </c>
      <c r="J427" s="25" t="str">
        <f>IFERROR(__xludf.DUMMYFUNCTION("IFERROR(INDEX(FILTER('Kế hoạch chèn link (mới)'!$B$3:$B$2213,'Kế hoạch chèn link (mới)'!$D$3:$D$2213=$B427),2),"""")"),"https://techcombank.com/thong-tin/blog/bao-nhieu-tuoi-duoc-mo-tai-khoan-ngan-hang")</f>
        <v>https://techcombank.com/thong-tin/blog/bao-nhieu-tuoi-duoc-mo-tai-khoan-ngan-hang</v>
      </c>
      <c r="K427" s="25" t="str">
        <f>IFERROR(__xludf.DUMMYFUNCTION("IFERROR(INDEX(FILTER('Kế hoạch chèn link (mới)'!$C$3:$C$2213,'Kế hoạch chèn link (mới)'!$D$3:$D$2213=$B427),3),"""")"),"")</f>
        <v/>
      </c>
      <c r="L427" s="25" t="str">
        <f>IFERROR(__xludf.DUMMYFUNCTION("IFERROR(INDEX(FILTER('Kế hoạch chèn link (mới)'!$B$3:$B$2213,'Kế hoạch chèn link (mới)'!$D$3:$D$2213=$B427),3),"""")"),"")</f>
        <v/>
      </c>
      <c r="M427" s="25" t="str">
        <f>IFERROR(__xludf.DUMMYFUNCTION("IFERROR(INDEX(FILTER('Kế hoạch chèn link (mới)'!$C$3:$C$2213,'Kế hoạch chèn link (mới)'!$D$3:$D$2213=$B427),4),"""")"),"")</f>
        <v/>
      </c>
      <c r="N427" s="25" t="str">
        <f>IFERROR(__xludf.DUMMYFUNCTION("IFERROR(INDEX(FILTER('Kế hoạch chèn link (mới)'!$B$3:$B$2213,'Kế hoạch chèn link (mới)'!$D$3:$D$2213=$B427),4),"""")"),"")</f>
        <v/>
      </c>
      <c r="O427" s="25" t="str">
        <f>IFERROR(__xludf.DUMMYFUNCTION("IFERROR(INDEX(FILTER('Kế hoạch chèn link (mới)'!$C$3:$C$2213,'Kế hoạch chèn link (mới)'!$D$3:$D$2213=$B427),5),"""")"),"")</f>
        <v/>
      </c>
      <c r="P427" s="25" t="str">
        <f>IFERROR(__xludf.DUMMYFUNCTION("IFERROR(INDEX(FILTER('Kế hoạch chèn link (mới)'!$B$3:$B$2213,'Kế hoạch chèn link (mới)'!$D$3:$D$2213=$B427),5),"""")"),"")</f>
        <v/>
      </c>
    </row>
    <row r="428">
      <c r="A428" s="6">
        <f t="shared" si="1"/>
        <v>427</v>
      </c>
      <c r="B428" s="8" t="s">
        <v>3055</v>
      </c>
      <c r="C428" s="6">
        <f>COUNTIF('Kế hoạch chèn link (mới)'!$D$3:$D$2213,$B428)</f>
        <v>5</v>
      </c>
      <c r="D428" s="8" t="str">
        <f>IF(COUNTIFS('Kế hoạch chèn link (mới)'!$D$3:$D$2213,$B428,'Kế hoạch chèn link (mới)'!$I$3:$I$2213,"Đã chèn")&gt;=$C428,"Đã hoàn thành",IF(COUNTIFS('Kế hoạch chèn link (mới)'!$D$3:$D$2213,$B428,'Kế hoạch chèn link (mới)'!$I$3:$I$2213,"Đã chèn")&gt;0,"Đang làm","Chưa hoàn thành"))</f>
        <v>Chưa hoàn thành</v>
      </c>
      <c r="E428" s="8" t="b">
        <f t="shared" si="2"/>
        <v>0</v>
      </c>
      <c r="F428" s="25"/>
      <c r="G428" s="25" t="str">
        <f>IFERROR(__xludf.DUMMYFUNCTION("IFERROR(INDEX(FILTER('Kế hoạch chèn link (mới)'!$C$3:$C$2213,'Kế hoạch chèn link (mới)'!$D$3:$D$2213=$B428),1),"""")"),"vay 1 tỷ mỗi tháng trả bao nhiêu")</f>
        <v>vay 1 tỷ mỗi tháng trả bao nhiêu</v>
      </c>
      <c r="H428" s="25" t="str">
        <f>IFERROR(__xludf.DUMMYFUNCTION("IFERROR(INDEX(FILTER('Kế hoạch chèn link (mới)'!$B$3:$B$2213,'Kế hoạch chèn link (mới)'!$D$3:$D$2213=$B428),1),"""")"),"https://techcombank.com/thong-tin/blog/vay-ngan-hang-1-ty-moi-thang-tra-bao-nhieu")</f>
        <v>https://techcombank.com/thong-tin/blog/vay-ngan-hang-1-ty-moi-thang-tra-bao-nhieu</v>
      </c>
      <c r="I428" s="25" t="str">
        <f>IFERROR(__xludf.DUMMYFUNCTION("IFERROR(INDEX(FILTER('Kế hoạch chèn link (mới)'!$C$3:$C$2213,'Kế hoạch chèn link (mới)'!$D$3:$D$2213=$B428),2),"""")"),"tính lãi suất vay ngân hàng")</f>
        <v>tính lãi suất vay ngân hàng</v>
      </c>
      <c r="J428" s="25" t="str">
        <f>IFERROR(__xludf.DUMMYFUNCTION("IFERROR(INDEX(FILTER('Kế hoạch chèn link (mới)'!$B$3:$B$2213,'Kế hoạch chèn link (mới)'!$D$3:$D$2213=$B428),2),"""")"),"https://techcombank.com/cong-cu-tien-ich/cong-cu-tinh-toan/bang-tinh-lai-suat-vay")</f>
        <v>https://techcombank.com/cong-cu-tien-ich/cong-cu-tinh-toan/bang-tinh-lai-suat-vay</v>
      </c>
      <c r="K428" s="25" t="str">
        <f>IFERROR(__xludf.DUMMYFUNCTION("IFERROR(INDEX(FILTER('Kế hoạch chèn link (mới)'!$C$3:$C$2213,'Kế hoạch chèn link (mới)'!$D$3:$D$2213=$B428),3),"""")"),"vay")</f>
        <v>vay</v>
      </c>
      <c r="L428" s="25" t="str">
        <f>IFERROR(__xludf.DUMMYFUNCTION("IFERROR(INDEX(FILTER('Kế hoạch chèn link (mới)'!$B$3:$B$2213,'Kế hoạch chèn link (mới)'!$D$3:$D$2213=$B428),3),"""")"),"https://techcombank.com/thong-tin/blog/app-vay-tien-nhanh")</f>
        <v>https://techcombank.com/thong-tin/blog/app-vay-tien-nhanh</v>
      </c>
      <c r="M428" s="25" t="str">
        <f>IFERROR(__xludf.DUMMYFUNCTION("IFERROR(INDEX(FILTER('Kế hoạch chèn link (mới)'!$C$3:$C$2213,'Kế hoạch chèn link (mới)'!$D$3:$D$2213=$B428),4),"""")"),"lãi suất vay ngân hàng")</f>
        <v>lãi suất vay ngân hàng</v>
      </c>
      <c r="N428" s="25" t="str">
        <f>IFERROR(__xludf.DUMMYFUNCTION("IFERROR(INDEX(FILTER('Kế hoạch chèn link (mới)'!$B$3:$B$2213,'Kế hoạch chèn link (mới)'!$D$3:$D$2213=$B428),4),"""")"),"https://techcombank.com/thong-tin/blog/lai-suat-vay-ngan-hang")</f>
        <v>https://techcombank.com/thong-tin/blog/lai-suat-vay-ngan-hang</v>
      </c>
      <c r="O428" s="25" t="str">
        <f>IFERROR(__xludf.DUMMYFUNCTION("IFERROR(INDEX(FILTER('Kế hoạch chèn link (mới)'!$C$3:$C$2213,'Kế hoạch chèn link (mới)'!$D$3:$D$2213=$B428),5),"""")"),"vay thấu chi")</f>
        <v>vay thấu chi</v>
      </c>
      <c r="P428" s="25" t="str">
        <f>IFERROR(__xludf.DUMMYFUNCTION("IFERROR(INDEX(FILTER('Kế hoạch chèn link (mới)'!$B$3:$B$2213,'Kế hoạch chèn link (mới)'!$D$3:$D$2213=$B428),5),"""")"),"https://techcombank.com/thong-tin/blog/vay-thau-chi-la-gi")</f>
        <v>https://techcombank.com/thong-tin/blog/vay-thau-chi-la-gi</v>
      </c>
    </row>
    <row r="429">
      <c r="A429" s="6">
        <f t="shared" si="1"/>
        <v>428</v>
      </c>
      <c r="B429" s="8" t="s">
        <v>726</v>
      </c>
      <c r="C429" s="6">
        <f>COUNTIF('Kế hoạch chèn link (mới)'!$D$3:$D$2213,$B429)</f>
        <v>4</v>
      </c>
      <c r="D429" s="8" t="str">
        <f>IF(COUNTIFS('Kế hoạch chèn link (mới)'!$D$3:$D$2213,$B429,'Kế hoạch chèn link (mới)'!$I$3:$I$2213,"Đã chèn")&gt;=$C429,"Đã hoàn thành",IF(COUNTIFS('Kế hoạch chèn link (mới)'!$D$3:$D$2213,$B429,'Kế hoạch chèn link (mới)'!$I$3:$I$2213,"Đã chèn")&gt;0,"Đang làm","Chưa hoàn thành"))</f>
        <v>Chưa hoàn thành</v>
      </c>
      <c r="E429" s="8" t="b">
        <f t="shared" si="2"/>
        <v>0</v>
      </c>
      <c r="F429" s="25"/>
      <c r="G429" s="25" t="str">
        <f>IFERROR(__xludf.DUMMYFUNCTION("IFERROR(INDEX(FILTER('Kế hoạch chèn link (mới)'!$C$3:$C$2213,'Kế hoạch chèn link (mới)'!$D$3:$D$2213=$B429),1),"""")"),"thuế thu nhập doanh nghiệp")</f>
        <v>thuế thu nhập doanh nghiệp</v>
      </c>
      <c r="H429" s="25" t="str">
        <f>IFERROR(__xludf.DUMMYFUNCTION("IFERROR(INDEX(FILTER('Kế hoạch chèn link (mới)'!$B$3:$B$2213,'Kế hoạch chèn link (mới)'!$D$3:$D$2213=$B429),1),"""")"),"https://techcombank.com/thong-tin/blog/thue-thu-nhap-doanh-nghiep")</f>
        <v>https://techcombank.com/thong-tin/blog/thue-thu-nhap-doanh-nghiep</v>
      </c>
      <c r="I429" s="25" t="str">
        <f>IFERROR(__xludf.DUMMYFUNCTION("IFERROR(INDEX(FILTER('Kế hoạch chèn link (mới)'!$C$3:$C$2213,'Kế hoạch chèn link (mới)'!$D$3:$D$2213=$B429),2),"""")"),"thuế giá trị gia tăng")</f>
        <v>thuế giá trị gia tăng</v>
      </c>
      <c r="J429" s="25" t="str">
        <f>IFERROR(__xludf.DUMMYFUNCTION("IFERROR(INDEX(FILTER('Kế hoạch chèn link (mới)'!$B$3:$B$2213,'Kế hoạch chèn link (mới)'!$D$3:$D$2213=$B429),2),"""")"),"https://techcombank.com/thong-tin/blog/thue-vat-la-gi")</f>
        <v>https://techcombank.com/thong-tin/blog/thue-vat-la-gi</v>
      </c>
      <c r="K429" s="25" t="str">
        <f>IFERROR(__xludf.DUMMYFUNCTION("IFERROR(INDEX(FILTER('Kế hoạch chèn link (mới)'!$C$3:$C$2213,'Kế hoạch chèn link (mới)'!$D$3:$D$2213=$B429),3),"""")"),"các loại thuế doanh nghiệp phải nộp")</f>
        <v>các loại thuế doanh nghiệp phải nộp</v>
      </c>
      <c r="L429" s="25" t="str">
        <f>IFERROR(__xludf.DUMMYFUNCTION("IFERROR(INDEX(FILTER('Kế hoạch chèn link (mới)'!$B$3:$B$2213,'Kế hoạch chèn link (mới)'!$D$3:$D$2213=$B429),3),"""")"),"https://techcombank.com/thong-tin/blog/thue-doanh-nghiep")</f>
        <v>https://techcombank.com/thong-tin/blog/thue-doanh-nghiep</v>
      </c>
      <c r="M429" s="25" t="str">
        <f>IFERROR(__xludf.DUMMYFUNCTION("IFERROR(INDEX(FILTER('Kế hoạch chèn link (mới)'!$C$3:$C$2213,'Kế hoạch chèn link (mới)'!$D$3:$D$2213=$B429),4),"""")"),"cách tính thuế thu nhập doanh nghiệp")</f>
        <v>cách tính thuế thu nhập doanh nghiệp</v>
      </c>
      <c r="N429" s="25" t="str">
        <f>IFERROR(__xludf.DUMMYFUNCTION("IFERROR(INDEX(FILTER('Kế hoạch chèn link (mới)'!$B$3:$B$2213,'Kế hoạch chèn link (mới)'!$D$3:$D$2213=$B429),4),"""")"),"https://techcombank.com/thong-tin/blog/cach-tinh-thue-thu-nhap-doanh-nghiep")</f>
        <v>https://techcombank.com/thong-tin/blog/cach-tinh-thue-thu-nhap-doanh-nghiep</v>
      </c>
      <c r="O429" s="25" t="str">
        <f>IFERROR(__xludf.DUMMYFUNCTION("IFERROR(INDEX(FILTER('Kế hoạch chèn link (mới)'!$C$3:$C$2213,'Kế hoạch chèn link (mới)'!$D$3:$D$2213=$B429),5),"""")"),"")</f>
        <v/>
      </c>
      <c r="P429" s="25" t="str">
        <f>IFERROR(__xludf.DUMMYFUNCTION("IFERROR(INDEX(FILTER('Kế hoạch chèn link (mới)'!$B$3:$B$2213,'Kế hoạch chèn link (mới)'!$D$3:$D$2213=$B429),5),"""")"),"")</f>
        <v/>
      </c>
    </row>
    <row r="430">
      <c r="A430" s="6">
        <f t="shared" si="1"/>
        <v>429</v>
      </c>
      <c r="B430" s="8" t="s">
        <v>972</v>
      </c>
      <c r="C430" s="6">
        <f>COUNTIF('Kế hoạch chèn link (mới)'!$D$3:$D$2213,$B430)</f>
        <v>4</v>
      </c>
      <c r="D430" s="8" t="str">
        <f>IF(COUNTIFS('Kế hoạch chèn link (mới)'!$D$3:$D$2213,$B430,'Kế hoạch chèn link (mới)'!$I$3:$I$2213,"Đã chèn")&gt;=$C430,"Đã hoàn thành",IF(COUNTIFS('Kế hoạch chèn link (mới)'!$D$3:$D$2213,$B430,'Kế hoạch chèn link (mới)'!$I$3:$I$2213,"Đã chèn")&gt;0,"Đang làm","Chưa hoàn thành"))</f>
        <v>Chưa hoàn thành</v>
      </c>
      <c r="E430" s="8" t="b">
        <f t="shared" si="2"/>
        <v>0</v>
      </c>
      <c r="F430" s="25"/>
      <c r="G430" s="25" t="str">
        <f>IFERROR(__xludf.DUMMYFUNCTION("IFERROR(INDEX(FILTER('Kế hoạch chèn link (mới)'!$C$3:$C$2213,'Kế hoạch chèn link (mới)'!$D$3:$D$2213=$B430),1),"""")"),"thuế giá trị gia tăng")</f>
        <v>thuế giá trị gia tăng</v>
      </c>
      <c r="H430" s="25" t="str">
        <f>IFERROR(__xludf.DUMMYFUNCTION("IFERROR(INDEX(FILTER('Kế hoạch chèn link (mới)'!$B$3:$B$2213,'Kế hoạch chèn link (mới)'!$D$3:$D$2213=$B430),1),"""")"),"https://techcombank.com/thong-tin/blog/thue-vat-la-gi")</f>
        <v>https://techcombank.com/thong-tin/blog/thue-vat-la-gi</v>
      </c>
      <c r="I430" s="25" t="str">
        <f>IFERROR(__xludf.DUMMYFUNCTION("IFERROR(INDEX(FILTER('Kế hoạch chèn link (mới)'!$C$3:$C$2213,'Kế hoạch chèn link (mới)'!$D$3:$D$2213=$B430),2),"""")"),"thuế thu nhập cá nhân")</f>
        <v>thuế thu nhập cá nhân</v>
      </c>
      <c r="J430" s="25" t="str">
        <f>IFERROR(__xludf.DUMMYFUNCTION("IFERROR(INDEX(FILTER('Kế hoạch chèn link (mới)'!$B$3:$B$2213,'Kế hoạch chèn link (mới)'!$D$3:$D$2213=$B430),2),"""")"),"https://techcombank.com/thong-tin/blog/cach-tinh-thue-thu-nhap-ca-nhan-2025")</f>
        <v>https://techcombank.com/thong-tin/blog/cach-tinh-thue-thu-nhap-ca-nhan-2025</v>
      </c>
      <c r="K430" s="25" t="str">
        <f>IFERROR(__xludf.DUMMYFUNCTION("IFERROR(INDEX(FILTER('Kế hoạch chèn link (mới)'!$C$3:$C$2213,'Kế hoạch chèn link (mới)'!$D$3:$D$2213=$B430),3),"""")"),"thuế TNCN")</f>
        <v>thuế TNCN</v>
      </c>
      <c r="L430" s="25" t="str">
        <f>IFERROR(__xludf.DUMMYFUNCTION("IFERROR(INDEX(FILTER('Kế hoạch chèn link (mới)'!$B$3:$B$2213,'Kế hoạch chèn link (mới)'!$D$3:$D$2213=$B430),3),"""")"),"https://techcombank.com/thong-tin/blog/thue-thu-nhap-ca-nhan")</f>
        <v>https://techcombank.com/thong-tin/blog/thue-thu-nhap-ca-nhan</v>
      </c>
      <c r="M430" s="25" t="str">
        <f>IFERROR(__xludf.DUMMYFUNCTION("IFERROR(INDEX(FILTER('Kế hoạch chèn link (mới)'!$C$3:$C$2213,'Kế hoạch chèn link (mới)'!$D$3:$D$2213=$B430),4),"""")"),"tài khoản hộ kinh doanh")</f>
        <v>tài khoản hộ kinh doanh</v>
      </c>
      <c r="N430" s="25" t="str">
        <f>IFERROR(__xludf.DUMMYFUNCTION("IFERROR(INDEX(FILTER('Kế hoạch chèn link (mới)'!$B$3:$B$2213,'Kế hoạch chèn link (mới)'!$D$3:$D$2213=$B430),4),"""")"),"https://techcombank.com/thong-tin/blog/mo-tai-khoan-ho-kinh-doanh")</f>
        <v>https://techcombank.com/thong-tin/blog/mo-tai-khoan-ho-kinh-doanh</v>
      </c>
      <c r="O430" s="25" t="str">
        <f>IFERROR(__xludf.DUMMYFUNCTION("IFERROR(INDEX(FILTER('Kế hoạch chèn link (mới)'!$C$3:$C$2213,'Kế hoạch chèn link (mới)'!$D$3:$D$2213=$B430),5),"""")"),"")</f>
        <v/>
      </c>
      <c r="P430" s="25" t="str">
        <f>IFERROR(__xludf.DUMMYFUNCTION("IFERROR(INDEX(FILTER('Kế hoạch chèn link (mới)'!$B$3:$B$2213,'Kế hoạch chèn link (mới)'!$D$3:$D$2213=$B430),5),"""")"),"")</f>
        <v/>
      </c>
    </row>
    <row r="431">
      <c r="A431" s="6">
        <f t="shared" si="1"/>
        <v>430</v>
      </c>
      <c r="B431" s="8" t="s">
        <v>3056</v>
      </c>
      <c r="C431" s="6">
        <f>COUNTIF('Kế hoạch chèn link (mới)'!$D$3:$D$2213,$B431)</f>
        <v>2</v>
      </c>
      <c r="D431" s="8" t="str">
        <f>IF(COUNTIFS('Kế hoạch chèn link (mới)'!$D$3:$D$2213,$B431,'Kế hoạch chèn link (mới)'!$I$3:$I$2213,"Đã chèn")&gt;=$C431,"Đã hoàn thành",IF(COUNTIFS('Kế hoạch chèn link (mới)'!$D$3:$D$2213,$B431,'Kế hoạch chèn link (mới)'!$I$3:$I$2213,"Đã chèn")&gt;0,"Đang làm","Chưa hoàn thành"))</f>
        <v>Chưa hoàn thành</v>
      </c>
      <c r="E431" s="8" t="b">
        <f t="shared" si="2"/>
        <v>0</v>
      </c>
      <c r="F431" s="25"/>
      <c r="G431" s="25" t="str">
        <f>IFERROR(__xludf.DUMMYFUNCTION("IFERROR(INDEX(FILTER('Kế hoạch chèn link (mới)'!$C$3:$C$2213,'Kế hoạch chèn link (mới)'!$D$3:$D$2213=$B431),1),"""")"),"lãi suất gửi tiết kiệm ngân hàng")</f>
        <v>lãi suất gửi tiết kiệm ngân hàng</v>
      </c>
      <c r="H431" s="25" t="str">
        <f>IFERROR(__xludf.DUMMYFUNCTION("IFERROR(INDEX(FILTER('Kế hoạch chèn link (mới)'!$B$3:$B$2213,'Kế hoạch chèn link (mới)'!$D$3:$D$2213=$B431),1),"""")"),"https://techcombank.com/thong-tin/blog/lai-suat-tiet-kiem")</f>
        <v>https://techcombank.com/thong-tin/blog/lai-suat-tiet-kiem</v>
      </c>
      <c r="I431" s="25" t="str">
        <f>IFERROR(__xludf.DUMMYFUNCTION("IFERROR(INDEX(FILTER('Kế hoạch chèn link (mới)'!$C$3:$C$2213,'Kế hoạch chèn link (mới)'!$D$3:$D$2213=$B431),2),"""")"),"tính lãi suất tiết kiệm")</f>
        <v>tính lãi suất tiết kiệm</v>
      </c>
      <c r="J431" s="25" t="str">
        <f>IFERROR(__xludf.DUMMYFUNCTION("IFERROR(INDEX(FILTER('Kế hoạch chèn link (mới)'!$B$3:$B$2213,'Kế hoạch chèn link (mới)'!$D$3:$D$2213=$B431),2),"""")"),"https://techcombank.com/thong-tin/blog/cach-tinh-lai-suat-tien-gui-tiet-kiem")</f>
        <v>https://techcombank.com/thong-tin/blog/cach-tinh-lai-suat-tien-gui-tiet-kiem</v>
      </c>
      <c r="K431" s="25" t="str">
        <f>IFERROR(__xludf.DUMMYFUNCTION("IFERROR(INDEX(FILTER('Kế hoạch chèn link (mới)'!$C$3:$C$2213,'Kế hoạch chèn link (mới)'!$D$3:$D$2213=$B431),3),"""")"),"")</f>
        <v/>
      </c>
      <c r="L431" s="25" t="str">
        <f>IFERROR(__xludf.DUMMYFUNCTION("IFERROR(INDEX(FILTER('Kế hoạch chèn link (mới)'!$B$3:$B$2213,'Kế hoạch chèn link (mới)'!$D$3:$D$2213=$B431),3),"""")"),"")</f>
        <v/>
      </c>
      <c r="M431" s="25" t="str">
        <f>IFERROR(__xludf.DUMMYFUNCTION("IFERROR(INDEX(FILTER('Kế hoạch chèn link (mới)'!$C$3:$C$2213,'Kế hoạch chèn link (mới)'!$D$3:$D$2213=$B431),4),"""")"),"")</f>
        <v/>
      </c>
      <c r="N431" s="25" t="str">
        <f>IFERROR(__xludf.DUMMYFUNCTION("IFERROR(INDEX(FILTER('Kế hoạch chèn link (mới)'!$B$3:$B$2213,'Kế hoạch chèn link (mới)'!$D$3:$D$2213=$B431),4),"""")"),"")</f>
        <v/>
      </c>
      <c r="O431" s="25" t="str">
        <f>IFERROR(__xludf.DUMMYFUNCTION("IFERROR(INDEX(FILTER('Kế hoạch chèn link (mới)'!$C$3:$C$2213,'Kế hoạch chèn link (mới)'!$D$3:$D$2213=$B431),5),"""")"),"")</f>
        <v/>
      </c>
      <c r="P431" s="25" t="str">
        <f>IFERROR(__xludf.DUMMYFUNCTION("IFERROR(INDEX(FILTER('Kế hoạch chèn link (mới)'!$B$3:$B$2213,'Kế hoạch chèn link (mới)'!$D$3:$D$2213=$B431),5),"""")"),"")</f>
        <v/>
      </c>
    </row>
    <row r="432">
      <c r="A432" s="6">
        <f t="shared" si="1"/>
        <v>431</v>
      </c>
      <c r="B432" s="8" t="s">
        <v>3057</v>
      </c>
      <c r="C432" s="6">
        <f>COUNTIF('Kế hoạch chèn link (mới)'!$D$3:$D$2213,$B432)</f>
        <v>1</v>
      </c>
      <c r="D432" s="8" t="str">
        <f>IF(COUNTIFS('Kế hoạch chèn link (mới)'!$D$3:$D$2213,$B432,'Kế hoạch chèn link (mới)'!$I$3:$I$2213,"Đã chèn")&gt;=$C432,"Đã hoàn thành",IF(COUNTIFS('Kế hoạch chèn link (mới)'!$D$3:$D$2213,$B432,'Kế hoạch chèn link (mới)'!$I$3:$I$2213,"Đã chèn")&gt;0,"Đang làm","Chưa hoàn thành"))</f>
        <v>Chưa hoàn thành</v>
      </c>
      <c r="E432" s="8" t="b">
        <f t="shared" si="2"/>
        <v>0</v>
      </c>
      <c r="F432" s="25"/>
      <c r="G432" s="25" t="str">
        <f>IFERROR(__xludf.DUMMYFUNCTION("IFERROR(INDEX(FILTER('Kế hoạch chèn link (mới)'!$C$3:$C$2213,'Kế hoạch chèn link (mới)'!$D$3:$D$2213=$B432),1),"""")"),"mô hình kinh doanh")</f>
        <v>mô hình kinh doanh</v>
      </c>
      <c r="H432" s="25" t="str">
        <f>IFERROR(__xludf.DUMMYFUNCTION("IFERROR(INDEX(FILTER('Kế hoạch chèn link (mới)'!$B$3:$B$2213,'Kế hoạch chèn link (mới)'!$D$3:$D$2213=$B432),1),"""")"),"https://techcombank.com/thong-tin/blog/mo-hinh-kinh-doanh-la-gi")</f>
        <v>https://techcombank.com/thong-tin/blog/mo-hinh-kinh-doanh-la-gi</v>
      </c>
      <c r="I432" s="25" t="str">
        <f>IFERROR(__xludf.DUMMYFUNCTION("IFERROR(INDEX(FILTER('Kế hoạch chèn link (mới)'!$C$3:$C$2213,'Kế hoạch chèn link (mới)'!$D$3:$D$2213=$B432),2),"""")"),"")</f>
        <v/>
      </c>
      <c r="J432" s="25" t="str">
        <f>IFERROR(__xludf.DUMMYFUNCTION("IFERROR(INDEX(FILTER('Kế hoạch chèn link (mới)'!$B$3:$B$2213,'Kế hoạch chèn link (mới)'!$D$3:$D$2213=$B432),2),"""")"),"")</f>
        <v/>
      </c>
      <c r="K432" s="25" t="str">
        <f>IFERROR(__xludf.DUMMYFUNCTION("IFERROR(INDEX(FILTER('Kế hoạch chèn link (mới)'!$C$3:$C$2213,'Kế hoạch chèn link (mới)'!$D$3:$D$2213=$B432),3),"""")"),"")</f>
        <v/>
      </c>
      <c r="L432" s="25" t="str">
        <f>IFERROR(__xludf.DUMMYFUNCTION("IFERROR(INDEX(FILTER('Kế hoạch chèn link (mới)'!$B$3:$B$2213,'Kế hoạch chèn link (mới)'!$D$3:$D$2213=$B432),3),"""")"),"")</f>
        <v/>
      </c>
      <c r="M432" s="25" t="str">
        <f>IFERROR(__xludf.DUMMYFUNCTION("IFERROR(INDEX(FILTER('Kế hoạch chèn link (mới)'!$C$3:$C$2213,'Kế hoạch chèn link (mới)'!$D$3:$D$2213=$B432),4),"""")"),"")</f>
        <v/>
      </c>
      <c r="N432" s="25" t="str">
        <f>IFERROR(__xludf.DUMMYFUNCTION("IFERROR(INDEX(FILTER('Kế hoạch chèn link (mới)'!$B$3:$B$2213,'Kế hoạch chèn link (mới)'!$D$3:$D$2213=$B432),4),"""")"),"")</f>
        <v/>
      </c>
      <c r="O432" s="25" t="str">
        <f>IFERROR(__xludf.DUMMYFUNCTION("IFERROR(INDEX(FILTER('Kế hoạch chèn link (mới)'!$C$3:$C$2213,'Kế hoạch chèn link (mới)'!$D$3:$D$2213=$B432),5),"""")"),"")</f>
        <v/>
      </c>
      <c r="P432" s="25" t="str">
        <f>IFERROR(__xludf.DUMMYFUNCTION("IFERROR(INDEX(FILTER('Kế hoạch chèn link (mới)'!$B$3:$B$2213,'Kế hoạch chèn link (mới)'!$D$3:$D$2213=$B432),5),"""")"),"")</f>
        <v/>
      </c>
    </row>
    <row r="433">
      <c r="A433" s="6">
        <f t="shared" si="1"/>
        <v>432</v>
      </c>
      <c r="B433" s="8" t="s">
        <v>3058</v>
      </c>
      <c r="C433" s="6">
        <f>COUNTIF('Kế hoạch chèn link (mới)'!$D$3:$D$2213,$B433)</f>
        <v>2</v>
      </c>
      <c r="D433" s="8" t="str">
        <f>IF(COUNTIFS('Kế hoạch chèn link (mới)'!$D$3:$D$2213,$B433,'Kế hoạch chèn link (mới)'!$I$3:$I$2213,"Đã chèn")&gt;=$C433,"Đã hoàn thành",IF(COUNTIFS('Kế hoạch chèn link (mới)'!$D$3:$D$2213,$B433,'Kế hoạch chèn link (mới)'!$I$3:$I$2213,"Đã chèn")&gt;0,"Đang làm","Chưa hoàn thành"))</f>
        <v>Chưa hoàn thành</v>
      </c>
      <c r="E433" s="8" t="b">
        <f t="shared" si="2"/>
        <v>0</v>
      </c>
      <c r="F433" s="25"/>
      <c r="G433" s="25" t="str">
        <f>IFERROR(__xludf.DUMMYFUNCTION("IFERROR(INDEX(FILTER('Kế hoạch chèn link (mới)'!$C$3:$C$2213,'Kế hoạch chèn link (mới)'!$D$3:$D$2213=$B433),1),"""")"),"mô hình kinh doanh")</f>
        <v>mô hình kinh doanh</v>
      </c>
      <c r="H433" s="25" t="str">
        <f>IFERROR(__xludf.DUMMYFUNCTION("IFERROR(INDEX(FILTER('Kế hoạch chèn link (mới)'!$B$3:$B$2213,'Kế hoạch chèn link (mới)'!$D$3:$D$2213=$B433),1),"""")"),"https://techcombank.com/thong-tin/blog/mo-hinh-kinh-doanh-la-gi")</f>
        <v>https://techcombank.com/thong-tin/blog/mo-hinh-kinh-doanh-la-gi</v>
      </c>
      <c r="I433" s="25" t="str">
        <f>IFERROR(__xludf.DUMMYFUNCTION("IFERROR(INDEX(FILTER('Kế hoạch chèn link (mới)'!$C$3:$C$2213,'Kế hoạch chèn link (mới)'!$D$3:$D$2213=$B433),2),"""")"),"nợ xấu")</f>
        <v>nợ xấu</v>
      </c>
      <c r="J433" s="25" t="str">
        <f>IFERROR(__xludf.DUMMYFUNCTION("IFERROR(INDEX(FILTER('Kế hoạch chèn link (mới)'!$B$3:$B$2213,'Kế hoạch chèn link (mới)'!$D$3:$D$2213=$B433),2),"""")"),"https://techcombank.com/thong-tin/blog/no-xau-la-gi")</f>
        <v>https://techcombank.com/thong-tin/blog/no-xau-la-gi</v>
      </c>
      <c r="K433" s="25" t="str">
        <f>IFERROR(__xludf.DUMMYFUNCTION("IFERROR(INDEX(FILTER('Kế hoạch chèn link (mới)'!$C$3:$C$2213,'Kế hoạch chèn link (mới)'!$D$3:$D$2213=$B433),3),"""")"),"")</f>
        <v/>
      </c>
      <c r="L433" s="25" t="str">
        <f>IFERROR(__xludf.DUMMYFUNCTION("IFERROR(INDEX(FILTER('Kế hoạch chèn link (mới)'!$B$3:$B$2213,'Kế hoạch chèn link (mới)'!$D$3:$D$2213=$B433),3),"""")"),"")</f>
        <v/>
      </c>
      <c r="M433" s="25" t="str">
        <f>IFERROR(__xludf.DUMMYFUNCTION("IFERROR(INDEX(FILTER('Kế hoạch chèn link (mới)'!$C$3:$C$2213,'Kế hoạch chèn link (mới)'!$D$3:$D$2213=$B433),4),"""")"),"")</f>
        <v/>
      </c>
      <c r="N433" s="25" t="str">
        <f>IFERROR(__xludf.DUMMYFUNCTION("IFERROR(INDEX(FILTER('Kế hoạch chèn link (mới)'!$B$3:$B$2213,'Kế hoạch chèn link (mới)'!$D$3:$D$2213=$B433),4),"""")"),"")</f>
        <v/>
      </c>
      <c r="O433" s="25" t="str">
        <f>IFERROR(__xludf.DUMMYFUNCTION("IFERROR(INDEX(FILTER('Kế hoạch chèn link (mới)'!$C$3:$C$2213,'Kế hoạch chèn link (mới)'!$D$3:$D$2213=$B433),5),"""")"),"")</f>
        <v/>
      </c>
      <c r="P433" s="25" t="str">
        <f>IFERROR(__xludf.DUMMYFUNCTION("IFERROR(INDEX(FILTER('Kế hoạch chèn link (mới)'!$B$3:$B$2213,'Kế hoạch chèn link (mới)'!$D$3:$D$2213=$B433),5),"""")"),"")</f>
        <v/>
      </c>
    </row>
    <row r="434">
      <c r="A434" s="6">
        <f t="shared" si="1"/>
        <v>433</v>
      </c>
      <c r="B434" s="8" t="s">
        <v>3059</v>
      </c>
      <c r="C434" s="6">
        <f>COUNTIF('Kế hoạch chèn link (mới)'!$D$3:$D$2213,$B434)</f>
        <v>4</v>
      </c>
      <c r="D434" s="8" t="str">
        <f>IF(COUNTIFS('Kế hoạch chèn link (mới)'!$D$3:$D$2213,$B434,'Kế hoạch chèn link (mới)'!$I$3:$I$2213,"Đã chèn")&gt;=$C434,"Đã hoàn thành",IF(COUNTIFS('Kế hoạch chèn link (mới)'!$D$3:$D$2213,$B434,'Kế hoạch chèn link (mới)'!$I$3:$I$2213,"Đã chèn")&gt;0,"Đang làm","Chưa hoàn thành"))</f>
        <v>Chưa hoàn thành</v>
      </c>
      <c r="E434" s="8" t="b">
        <f t="shared" si="2"/>
        <v>0</v>
      </c>
      <c r="F434" s="25"/>
      <c r="G434" s="25" t="str">
        <f>IFERROR(__xludf.DUMMYFUNCTION("IFERROR(INDEX(FILTER('Kế hoạch chèn link (mới)'!$C$3:$C$2213,'Kế hoạch chèn link (mới)'!$D$3:$D$2213=$B434),1),"""")"),"cic là gì")</f>
        <v>cic là gì</v>
      </c>
      <c r="H434" s="25" t="str">
        <f>IFERROR(__xludf.DUMMYFUNCTION("IFERROR(INDEX(FILTER('Kế hoạch chèn link (mới)'!$B$3:$B$2213,'Kế hoạch chèn link (mới)'!$D$3:$D$2213=$B434),1),"""")"),"https://techcombank.com/thong-tin/blog/cic-la-gi")</f>
        <v>https://techcombank.com/thong-tin/blog/cic-la-gi</v>
      </c>
      <c r="I434" s="25" t="str">
        <f>IFERROR(__xludf.DUMMYFUNCTION("IFERROR(INDEX(FILTER('Kế hoạch chèn link (mới)'!$C$3:$C$2213,'Kế hoạch chèn link (mới)'!$D$3:$D$2213=$B434),2),"""")"),"tính lãi vay ngân hàng")</f>
        <v>tính lãi vay ngân hàng</v>
      </c>
      <c r="J434" s="25" t="str">
        <f>IFERROR(__xludf.DUMMYFUNCTION("IFERROR(INDEX(FILTER('Kế hoạch chèn link (mới)'!$B$3:$B$2213,'Kế hoạch chèn link (mới)'!$D$3:$D$2213=$B434),2),"""")"),"https://techcombank.com/cong-cu-tien-ich/cong-cu-tinh-toan/bang-tinh-lai-suat-vay")</f>
        <v>https://techcombank.com/cong-cu-tien-ich/cong-cu-tinh-toan/bang-tinh-lai-suat-vay</v>
      </c>
      <c r="K434" s="25" t="str">
        <f>IFERROR(__xludf.DUMMYFUNCTION("IFERROR(INDEX(FILTER('Kế hoạch chèn link (mới)'!$C$3:$C$2213,'Kế hoạch chèn link (mới)'!$D$3:$D$2213=$B434),3),"""")"),"vay")</f>
        <v>vay</v>
      </c>
      <c r="L434" s="25" t="str">
        <f>IFERROR(__xludf.DUMMYFUNCTION("IFERROR(INDEX(FILTER('Kế hoạch chèn link (mới)'!$B$3:$B$2213,'Kế hoạch chèn link (mới)'!$D$3:$D$2213=$B434),3),"""")"),"https://techcombank.com/thong-tin/blog/app-vay-tien-nhanh")</f>
        <v>https://techcombank.com/thong-tin/blog/app-vay-tien-nhanh</v>
      </c>
      <c r="M434" s="25" t="str">
        <f>IFERROR(__xludf.DUMMYFUNCTION("IFERROR(INDEX(FILTER('Kế hoạch chèn link (mới)'!$C$3:$C$2213,'Kế hoạch chèn link (mới)'!$D$3:$D$2213=$B434),4),"""")"),"kiểm tra nợ xấu")</f>
        <v>kiểm tra nợ xấu</v>
      </c>
      <c r="N434" s="25" t="str">
        <f>IFERROR(__xludf.DUMMYFUNCTION("IFERROR(INDEX(FILTER('Kế hoạch chèn link (mới)'!$B$3:$B$2213,'Kế hoạch chèn link (mới)'!$D$3:$D$2213=$B434),4),"""")"),"https://techcombank.com/thong-tin/blog/kiem-tra-no-xau")</f>
        <v>https://techcombank.com/thong-tin/blog/kiem-tra-no-xau</v>
      </c>
      <c r="O434" s="25" t="str">
        <f>IFERROR(__xludf.DUMMYFUNCTION("IFERROR(INDEX(FILTER('Kế hoạch chèn link (mới)'!$C$3:$C$2213,'Kế hoạch chèn link (mới)'!$D$3:$D$2213=$B434),5),"""")"),"")</f>
        <v/>
      </c>
      <c r="P434" s="25" t="str">
        <f>IFERROR(__xludf.DUMMYFUNCTION("IFERROR(INDEX(FILTER('Kế hoạch chèn link (mới)'!$B$3:$B$2213,'Kế hoạch chèn link (mới)'!$D$3:$D$2213=$B434),5),"""")"),"")</f>
        <v/>
      </c>
    </row>
    <row r="435">
      <c r="A435" s="6">
        <f t="shared" si="1"/>
        <v>434</v>
      </c>
      <c r="B435" s="8" t="s">
        <v>3063</v>
      </c>
      <c r="C435" s="6">
        <f>COUNTIF('Kế hoạch chèn link (mới)'!$D$3:$D$2213,$B435)</f>
        <v>4</v>
      </c>
      <c r="D435" s="8" t="str">
        <f>IF(COUNTIFS('Kế hoạch chèn link (mới)'!$D$3:$D$2213,$B435,'Kế hoạch chèn link (mới)'!$I$3:$I$2213,"Đã chèn")&gt;=$C435,"Đã hoàn thành",IF(COUNTIFS('Kế hoạch chèn link (mới)'!$D$3:$D$2213,$B435,'Kế hoạch chèn link (mới)'!$I$3:$I$2213,"Đã chèn")&gt;0,"Đang làm","Chưa hoàn thành"))</f>
        <v>Chưa hoàn thành</v>
      </c>
      <c r="E435" s="8" t="b">
        <f t="shared" si="2"/>
        <v>0</v>
      </c>
      <c r="F435" s="25"/>
      <c r="G435" s="25" t="str">
        <f>IFERROR(__xludf.DUMMYFUNCTION("IFERROR(INDEX(FILTER('Kế hoạch chèn link (mới)'!$C$3:$C$2213,'Kế hoạch chèn link (mới)'!$D$3:$D$2213=$B435),1),"""")"),"kiểm tra cic")</f>
        <v>kiểm tra cic</v>
      </c>
      <c r="H435" s="25" t="str">
        <f>IFERROR(__xludf.DUMMYFUNCTION("IFERROR(INDEX(FILTER('Kế hoạch chèn link (mới)'!$B$3:$B$2213,'Kế hoạch chèn link (mới)'!$D$3:$D$2213=$B435),1),"""")"),"https://techcombank.com/thong-tin/blog/cic-la-gi")</f>
        <v>https://techcombank.com/thong-tin/blog/cic-la-gi</v>
      </c>
      <c r="I435" s="25" t="str">
        <f>IFERROR(__xludf.DUMMYFUNCTION("IFERROR(INDEX(FILTER('Kế hoạch chèn link (mới)'!$C$3:$C$2213,'Kế hoạch chèn link (mới)'!$D$3:$D$2213=$B435),2),"""")"),"tính lãi vay ngân hàng")</f>
        <v>tính lãi vay ngân hàng</v>
      </c>
      <c r="J435" s="25" t="str">
        <f>IFERROR(__xludf.DUMMYFUNCTION("IFERROR(INDEX(FILTER('Kế hoạch chèn link (mới)'!$B$3:$B$2213,'Kế hoạch chèn link (mới)'!$D$3:$D$2213=$B435),2),"""")"),"https://techcombank.com/cong-cu-tien-ich/cong-cu-tinh-toan/bang-tinh-lai-suat-vay")</f>
        <v>https://techcombank.com/cong-cu-tien-ich/cong-cu-tinh-toan/bang-tinh-lai-suat-vay</v>
      </c>
      <c r="K435" s="25" t="str">
        <f>IFERROR(__xludf.DUMMYFUNCTION("IFERROR(INDEX(FILTER('Kế hoạch chèn link (mới)'!$C$3:$C$2213,'Kế hoạch chèn link (mới)'!$D$3:$D$2213=$B435),3),"""")"),"vay")</f>
        <v>vay</v>
      </c>
      <c r="L435" s="25" t="str">
        <f>IFERROR(__xludf.DUMMYFUNCTION("IFERROR(INDEX(FILTER('Kế hoạch chèn link (mới)'!$B$3:$B$2213,'Kế hoạch chèn link (mới)'!$D$3:$D$2213=$B435),3),"""")"),"https://techcombank.com/thong-tin/blog/app-vay-tien-nhanh")</f>
        <v>https://techcombank.com/thong-tin/blog/app-vay-tien-nhanh</v>
      </c>
      <c r="M435" s="25" t="str">
        <f>IFERROR(__xludf.DUMMYFUNCTION("IFERROR(INDEX(FILTER('Kế hoạch chèn link (mới)'!$C$3:$C$2213,'Kế hoạch chèn link (mới)'!$D$3:$D$2213=$B435),4),"""")"),"nợ xấu")</f>
        <v>nợ xấu</v>
      </c>
      <c r="N435" s="25" t="str">
        <f>IFERROR(__xludf.DUMMYFUNCTION("IFERROR(INDEX(FILTER('Kế hoạch chèn link (mới)'!$B$3:$B$2213,'Kế hoạch chèn link (mới)'!$D$3:$D$2213=$B435),4),"""")"),"https://techcombank.com/thong-tin/blog/no-xau-la-gi")</f>
        <v>https://techcombank.com/thong-tin/blog/no-xau-la-gi</v>
      </c>
      <c r="O435" s="25" t="str">
        <f>IFERROR(__xludf.DUMMYFUNCTION("IFERROR(INDEX(FILTER('Kế hoạch chèn link (mới)'!$C$3:$C$2213,'Kế hoạch chèn link (mới)'!$D$3:$D$2213=$B435),5),"""")"),"")</f>
        <v/>
      </c>
      <c r="P435" s="25" t="str">
        <f>IFERROR(__xludf.DUMMYFUNCTION("IFERROR(INDEX(FILTER('Kế hoạch chèn link (mới)'!$B$3:$B$2213,'Kế hoạch chèn link (mới)'!$D$3:$D$2213=$B435),5),"""")"),"")</f>
        <v/>
      </c>
    </row>
    <row r="436">
      <c r="A436" s="6">
        <f t="shared" si="1"/>
        <v>435</v>
      </c>
      <c r="B436" s="8" t="s">
        <v>3064</v>
      </c>
      <c r="C436" s="6">
        <f>COUNTIF('Kế hoạch chèn link (mới)'!$D$3:$D$2213,$B436)</f>
        <v>5</v>
      </c>
      <c r="D436" s="8" t="str">
        <f>IF(COUNTIFS('Kế hoạch chèn link (mới)'!$D$3:$D$2213,$B436,'Kế hoạch chèn link (mới)'!$I$3:$I$2213,"Đã chèn")&gt;=$C436,"Đã hoàn thành",IF(COUNTIFS('Kế hoạch chèn link (mới)'!$D$3:$D$2213,$B436,'Kế hoạch chèn link (mới)'!$I$3:$I$2213,"Đã chèn")&gt;0,"Đang làm","Chưa hoàn thành"))</f>
        <v>Chưa hoàn thành</v>
      </c>
      <c r="E436" s="8" t="b">
        <f t="shared" si="2"/>
        <v>0</v>
      </c>
      <c r="F436" s="25"/>
      <c r="G436" s="25" t="str">
        <f>IFERROR(__xludf.DUMMYFUNCTION("IFERROR(INDEX(FILTER('Kế hoạch chèn link (mới)'!$C$3:$C$2213,'Kế hoạch chèn link (mới)'!$D$3:$D$2213=$B436),1),"""")"),"cic là gì")</f>
        <v>cic là gì</v>
      </c>
      <c r="H436" s="25" t="str">
        <f>IFERROR(__xludf.DUMMYFUNCTION("IFERROR(INDEX(FILTER('Kế hoạch chèn link (mới)'!$B$3:$B$2213,'Kế hoạch chèn link (mới)'!$D$3:$D$2213=$B436),1),"""")"),"https://techcombank.com/thong-tin/blog/cic-la-gi")</f>
        <v>https://techcombank.com/thong-tin/blog/cic-la-gi</v>
      </c>
      <c r="I436" s="25" t="str">
        <f>IFERROR(__xludf.DUMMYFUNCTION("IFERROR(INDEX(FILTER('Kế hoạch chèn link (mới)'!$C$3:$C$2213,'Kế hoạch chèn link (mới)'!$D$3:$D$2213=$B436),2),"""")"),"xếp hạng tín dụng")</f>
        <v>xếp hạng tín dụng</v>
      </c>
      <c r="J436" s="25" t="str">
        <f>IFERROR(__xludf.DUMMYFUNCTION("IFERROR(INDEX(FILTER('Kế hoạch chèn link (mới)'!$B$3:$B$2213,'Kế hoạch chèn link (mới)'!$D$3:$D$2213=$B436),2),"""")"),"https://techcombank.com/thong-tin/blog/xep-hang-tin-dung")</f>
        <v>https://techcombank.com/thong-tin/blog/xep-hang-tin-dung</v>
      </c>
      <c r="K436" s="25" t="str">
        <f>IFERROR(__xludf.DUMMYFUNCTION("IFERROR(INDEX(FILTER('Kế hoạch chèn link (mới)'!$C$3:$C$2213,'Kế hoạch chèn link (mới)'!$D$3:$D$2213=$B436),3),"""")"),"vay")</f>
        <v>vay</v>
      </c>
      <c r="L436" s="25" t="str">
        <f>IFERROR(__xludf.DUMMYFUNCTION("IFERROR(INDEX(FILTER('Kế hoạch chèn link (mới)'!$B$3:$B$2213,'Kế hoạch chèn link (mới)'!$D$3:$D$2213=$B436),3),"""")"),"https://techcombank.com/thong-tin/blog/app-vay-tien-nhanh")</f>
        <v>https://techcombank.com/thong-tin/blog/app-vay-tien-nhanh</v>
      </c>
      <c r="M436" s="25" t="str">
        <f>IFERROR(__xludf.DUMMYFUNCTION("IFERROR(INDEX(FILTER('Kế hoạch chèn link (mới)'!$C$3:$C$2213,'Kế hoạch chèn link (mới)'!$D$3:$D$2213=$B436),4),"""")"),"nợ xấu")</f>
        <v>nợ xấu</v>
      </c>
      <c r="N436" s="25" t="str">
        <f>IFERROR(__xludf.DUMMYFUNCTION("IFERROR(INDEX(FILTER('Kế hoạch chèn link (mới)'!$B$3:$B$2213,'Kế hoạch chèn link (mới)'!$D$3:$D$2213=$B436),4),"""")"),"https://techcombank.com/thong-tin/blog/no-xau-la-gi")</f>
        <v>https://techcombank.com/thong-tin/blog/no-xau-la-gi</v>
      </c>
      <c r="O436" s="25" t="str">
        <f>IFERROR(__xludf.DUMMYFUNCTION("IFERROR(INDEX(FILTER('Kế hoạch chèn link (mới)'!$C$3:$C$2213,'Kế hoạch chèn link (mới)'!$D$3:$D$2213=$B436),5),"""")"),"vay tín chấp không trả được có sao không")</f>
        <v>vay tín chấp không trả được có sao không</v>
      </c>
      <c r="P436" s="25" t="str">
        <f>IFERROR(__xludf.DUMMYFUNCTION("IFERROR(INDEX(FILTER('Kế hoạch chèn link (mới)'!$B$3:$B$2213,'Kế hoạch chèn link (mới)'!$D$3:$D$2213=$B436),5),"""")"),"https://techcombank.com/thong-tin/blog/vay-tin-chap-khong-tra-duoc-co-sao-khong")</f>
        <v>https://techcombank.com/thong-tin/blog/vay-tin-chap-khong-tra-duoc-co-sao-khong</v>
      </c>
    </row>
    <row r="437">
      <c r="A437" s="6">
        <f t="shared" si="1"/>
        <v>436</v>
      </c>
      <c r="B437" s="8" t="s">
        <v>3065</v>
      </c>
      <c r="C437" s="6">
        <f>COUNTIF('Kế hoạch chèn link (mới)'!$D$3:$D$2213,$B437)</f>
        <v>5</v>
      </c>
      <c r="D437" s="8" t="str">
        <f>IF(COUNTIFS('Kế hoạch chèn link (mới)'!$D$3:$D$2213,$B437,'Kế hoạch chèn link (mới)'!$I$3:$I$2213,"Đã chèn")&gt;=$C437,"Đã hoàn thành",IF(COUNTIFS('Kế hoạch chèn link (mới)'!$D$3:$D$2213,$B437,'Kế hoạch chèn link (mới)'!$I$3:$I$2213,"Đã chèn")&gt;0,"Đang làm","Chưa hoàn thành"))</f>
        <v>Chưa hoàn thành</v>
      </c>
      <c r="E437" s="8" t="b">
        <f t="shared" si="2"/>
        <v>0</v>
      </c>
      <c r="F437" s="25"/>
      <c r="G437" s="25" t="str">
        <f>IFERROR(__xludf.DUMMYFUNCTION("IFERROR(INDEX(FILTER('Kế hoạch chèn link (mới)'!$C$3:$C$2213,'Kế hoạch chèn link (mới)'!$D$3:$D$2213=$B437),1),"""")"),"kiểm tra cic")</f>
        <v>kiểm tra cic</v>
      </c>
      <c r="H437" s="25" t="str">
        <f>IFERROR(__xludf.DUMMYFUNCTION("IFERROR(INDEX(FILTER('Kế hoạch chèn link (mới)'!$B$3:$B$2213,'Kế hoạch chèn link (mới)'!$D$3:$D$2213=$B437),1),"""")"),"https://techcombank.com/thong-tin/blog/cic-la-gi")</f>
        <v>https://techcombank.com/thong-tin/blog/cic-la-gi</v>
      </c>
      <c r="I437" s="25" t="str">
        <f>IFERROR(__xludf.DUMMYFUNCTION("IFERROR(INDEX(FILTER('Kế hoạch chèn link (mới)'!$C$3:$C$2213,'Kế hoạch chèn link (mới)'!$D$3:$D$2213=$B437),2),"""")"),"xếp hạng tín dụng")</f>
        <v>xếp hạng tín dụng</v>
      </c>
      <c r="J437" s="25" t="str">
        <f>IFERROR(__xludf.DUMMYFUNCTION("IFERROR(INDEX(FILTER('Kế hoạch chèn link (mới)'!$B$3:$B$2213,'Kế hoạch chèn link (mới)'!$D$3:$D$2213=$B437),2),"""")"),"https://techcombank.com/thong-tin/blog/xep-hang-tin-dung")</f>
        <v>https://techcombank.com/thong-tin/blog/xep-hang-tin-dung</v>
      </c>
      <c r="K437" s="25" t="str">
        <f>IFERROR(__xludf.DUMMYFUNCTION("IFERROR(INDEX(FILTER('Kế hoạch chèn link (mới)'!$C$3:$C$2213,'Kế hoạch chèn link (mới)'!$D$3:$D$2213=$B437),3),"""")"),"vay")</f>
        <v>vay</v>
      </c>
      <c r="L437" s="25" t="str">
        <f>IFERROR(__xludf.DUMMYFUNCTION("IFERROR(INDEX(FILTER('Kế hoạch chèn link (mới)'!$B$3:$B$2213,'Kế hoạch chèn link (mới)'!$D$3:$D$2213=$B437),3),"""")"),"https://techcombank.com/thong-tin/blog/app-vay-tien-nhanh")</f>
        <v>https://techcombank.com/thong-tin/blog/app-vay-tien-nhanh</v>
      </c>
      <c r="M437" s="25" t="str">
        <f>IFERROR(__xludf.DUMMYFUNCTION("IFERROR(INDEX(FILTER('Kế hoạch chèn link (mới)'!$C$3:$C$2213,'Kế hoạch chèn link (mới)'!$D$3:$D$2213=$B437),4),"""")"),"kiểm tra nợ xấu")</f>
        <v>kiểm tra nợ xấu</v>
      </c>
      <c r="N437" s="25" t="str">
        <f>IFERROR(__xludf.DUMMYFUNCTION("IFERROR(INDEX(FILTER('Kế hoạch chèn link (mới)'!$B$3:$B$2213,'Kế hoạch chèn link (mới)'!$D$3:$D$2213=$B437),4),"""")"),"https://techcombank.com/thong-tin/blog/kiem-tra-no-xau")</f>
        <v>https://techcombank.com/thong-tin/blog/kiem-tra-no-xau</v>
      </c>
      <c r="O437" s="25" t="str">
        <f>IFERROR(__xludf.DUMMYFUNCTION("IFERROR(INDEX(FILTER('Kế hoạch chèn link (mới)'!$C$3:$C$2213,'Kế hoạch chèn link (mới)'!$D$3:$D$2213=$B437),5),"""")"),"nợ xấu")</f>
        <v>nợ xấu</v>
      </c>
      <c r="P437" s="25" t="str">
        <f>IFERROR(__xludf.DUMMYFUNCTION("IFERROR(INDEX(FILTER('Kế hoạch chèn link (mới)'!$B$3:$B$2213,'Kế hoạch chèn link (mới)'!$D$3:$D$2213=$B437),5),"""")"),"https://techcombank.com/thong-tin/blog/no-xau-la-gi")</f>
        <v>https://techcombank.com/thong-tin/blog/no-xau-la-gi</v>
      </c>
    </row>
    <row r="438">
      <c r="A438" s="6">
        <f t="shared" si="1"/>
        <v>437</v>
      </c>
      <c r="B438" s="8" t="s">
        <v>3066</v>
      </c>
      <c r="C438" s="6">
        <f>COUNTIF('Kế hoạch chèn link (mới)'!$D$3:$D$2213,$B438)</f>
        <v>5</v>
      </c>
      <c r="D438" s="8" t="str">
        <f>IF(COUNTIFS('Kế hoạch chèn link (mới)'!$D$3:$D$2213,$B438,'Kế hoạch chèn link (mới)'!$I$3:$I$2213,"Đã chèn")&gt;=$C438,"Đã hoàn thành",IF(COUNTIFS('Kế hoạch chèn link (mới)'!$D$3:$D$2213,$B438,'Kế hoạch chèn link (mới)'!$I$3:$I$2213,"Đã chèn")&gt;0,"Đang làm","Chưa hoàn thành"))</f>
        <v>Chưa hoàn thành</v>
      </c>
      <c r="E438" s="8" t="b">
        <f t="shared" si="2"/>
        <v>0</v>
      </c>
      <c r="F438" s="25"/>
      <c r="G438" s="25" t="str">
        <f>IFERROR(__xludf.DUMMYFUNCTION("IFERROR(INDEX(FILTER('Kế hoạch chèn link (mới)'!$C$3:$C$2213,'Kế hoạch chèn link (mới)'!$D$3:$D$2213=$B438),1),"""")"),"cic là gì")</f>
        <v>cic là gì</v>
      </c>
      <c r="H438" s="25" t="str">
        <f>IFERROR(__xludf.DUMMYFUNCTION("IFERROR(INDEX(FILTER('Kế hoạch chèn link (mới)'!$B$3:$B$2213,'Kế hoạch chèn link (mới)'!$D$3:$D$2213=$B438),1),"""")"),"https://techcombank.com/thong-tin/blog/cic-la-gi")</f>
        <v>https://techcombank.com/thong-tin/blog/cic-la-gi</v>
      </c>
      <c r="I438" s="25" t="str">
        <f>IFERROR(__xludf.DUMMYFUNCTION("IFERROR(INDEX(FILTER('Kế hoạch chèn link (mới)'!$C$3:$C$2213,'Kế hoạch chèn link (mới)'!$D$3:$D$2213=$B438),2),"""")"),"mở thẻ tín dụng")</f>
        <v>mở thẻ tín dụng</v>
      </c>
      <c r="J438" s="25" t="str">
        <f>IFERROR(__xludf.DUMMYFUNCTION("IFERROR(INDEX(FILTER('Kế hoạch chèn link (mới)'!$B$3:$B$2213,'Kế hoạch chèn link (mới)'!$D$3:$D$2213=$B438),2),"""")"),"https://techcombank.com/thong-tin/blog/lam-the-tin-dung")</f>
        <v>https://techcombank.com/thong-tin/blog/lam-the-tin-dung</v>
      </c>
      <c r="K438" s="25" t="str">
        <f>IFERROR(__xludf.DUMMYFUNCTION("IFERROR(INDEX(FILTER('Kế hoạch chèn link (mới)'!$C$3:$C$2213,'Kế hoạch chèn link (mới)'!$D$3:$D$2213=$B438),3),"""")"),"lãi suất ngân hàng")</f>
        <v>lãi suất ngân hàng</v>
      </c>
      <c r="L438" s="25" t="str">
        <f>IFERROR(__xludf.DUMMYFUNCTION("IFERROR(INDEX(FILTER('Kế hoạch chèn link (mới)'!$B$3:$B$2213,'Kế hoạch chèn link (mới)'!$D$3:$D$2213=$B438),3),"""")"),"https://techcombank.com/thong-tin/blog/lai-suat-tiet-kiem")</f>
        <v>https://techcombank.com/thong-tin/blog/lai-suat-tiet-kiem</v>
      </c>
      <c r="M438" s="25" t="str">
        <f>IFERROR(__xludf.DUMMYFUNCTION("IFERROR(INDEX(FILTER('Kế hoạch chèn link (mới)'!$C$3:$C$2213,'Kế hoạch chèn link (mới)'!$D$3:$D$2213=$B438),4),"""")"),"vay")</f>
        <v>vay</v>
      </c>
      <c r="N438" s="25" t="str">
        <f>IFERROR(__xludf.DUMMYFUNCTION("IFERROR(INDEX(FILTER('Kế hoạch chèn link (mới)'!$B$3:$B$2213,'Kế hoạch chèn link (mới)'!$D$3:$D$2213=$B438),4),"""")"),"https://techcombank.com/thong-tin/blog/app-vay-tien-nhanh")</f>
        <v>https://techcombank.com/thong-tin/blog/app-vay-tien-nhanh</v>
      </c>
      <c r="O438" s="25" t="str">
        <f>IFERROR(__xludf.DUMMYFUNCTION("IFERROR(INDEX(FILTER('Kế hoạch chèn link (mới)'!$C$3:$C$2213,'Kế hoạch chèn link (mới)'!$D$3:$D$2213=$B438),5),"""")"),"nợ xấu")</f>
        <v>nợ xấu</v>
      </c>
      <c r="P438" s="25" t="str">
        <f>IFERROR(__xludf.DUMMYFUNCTION("IFERROR(INDEX(FILTER('Kế hoạch chèn link (mới)'!$B$3:$B$2213,'Kế hoạch chèn link (mới)'!$D$3:$D$2213=$B438),5),"""")"),"https://techcombank.com/thong-tin/blog/no-xau-la-gi")</f>
        <v>https://techcombank.com/thong-tin/blog/no-xau-la-gi</v>
      </c>
    </row>
    <row r="439">
      <c r="A439" s="6">
        <f t="shared" si="1"/>
        <v>438</v>
      </c>
      <c r="B439" s="8" t="s">
        <v>3067</v>
      </c>
      <c r="C439" s="6">
        <f>COUNTIF('Kế hoạch chèn link (mới)'!$D$3:$D$2213,$B439)</f>
        <v>5</v>
      </c>
      <c r="D439" s="8" t="str">
        <f>IF(COUNTIFS('Kế hoạch chèn link (mới)'!$D$3:$D$2213,$B439,'Kế hoạch chèn link (mới)'!$I$3:$I$2213,"Đã chèn")&gt;=$C439,"Đã hoàn thành",IF(COUNTIFS('Kế hoạch chèn link (mới)'!$D$3:$D$2213,$B439,'Kế hoạch chèn link (mới)'!$I$3:$I$2213,"Đã chèn")&gt;0,"Đang làm","Chưa hoàn thành"))</f>
        <v>Chưa hoàn thành</v>
      </c>
      <c r="E439" s="8" t="b">
        <f t="shared" si="2"/>
        <v>0</v>
      </c>
      <c r="F439" s="25"/>
      <c r="G439" s="25" t="str">
        <f>IFERROR(__xludf.DUMMYFUNCTION("IFERROR(INDEX(FILTER('Kế hoạch chèn link (mới)'!$C$3:$C$2213,'Kế hoạch chèn link (mới)'!$D$3:$D$2213=$B439),1),"""")"),"cic là gì")</f>
        <v>cic là gì</v>
      </c>
      <c r="H439" s="25" t="str">
        <f>IFERROR(__xludf.DUMMYFUNCTION("IFERROR(INDEX(FILTER('Kế hoạch chèn link (mới)'!$B$3:$B$2213,'Kế hoạch chèn link (mới)'!$D$3:$D$2213=$B439),1),"""")"),"https://techcombank.com/thong-tin/blog/cic-la-gi")</f>
        <v>https://techcombank.com/thong-tin/blog/cic-la-gi</v>
      </c>
      <c r="I439" s="25" t="str">
        <f>IFERROR(__xludf.DUMMYFUNCTION("IFERROR(INDEX(FILTER('Kế hoạch chèn link (mới)'!$C$3:$C$2213,'Kế hoạch chèn link (mới)'!$D$3:$D$2213=$B439),2),"""")"),"xếp hạng tín dụng")</f>
        <v>xếp hạng tín dụng</v>
      </c>
      <c r="J439" s="25" t="str">
        <f>IFERROR(__xludf.DUMMYFUNCTION("IFERROR(INDEX(FILTER('Kế hoạch chèn link (mới)'!$B$3:$B$2213,'Kế hoạch chèn link (mới)'!$D$3:$D$2213=$B439),2),"""")"),"https://techcombank.com/thong-tin/blog/xep-hang-tin-dung")</f>
        <v>https://techcombank.com/thong-tin/blog/xep-hang-tin-dung</v>
      </c>
      <c r="K439" s="25" t="str">
        <f>IFERROR(__xludf.DUMMYFUNCTION("IFERROR(INDEX(FILTER('Kế hoạch chèn link (mới)'!$C$3:$C$2213,'Kế hoạch chèn link (mới)'!$D$3:$D$2213=$B439),3),"""")"),"vay")</f>
        <v>vay</v>
      </c>
      <c r="L439" s="25" t="str">
        <f>IFERROR(__xludf.DUMMYFUNCTION("IFERROR(INDEX(FILTER('Kế hoạch chèn link (mới)'!$B$3:$B$2213,'Kế hoạch chèn link (mới)'!$D$3:$D$2213=$B439),3),"""")"),"https://techcombank.com/thong-tin/blog/app-vay-tien-nhanh")</f>
        <v>https://techcombank.com/thong-tin/blog/app-vay-tien-nhanh</v>
      </c>
      <c r="M439" s="25" t="str">
        <f>IFERROR(__xludf.DUMMYFUNCTION("IFERROR(INDEX(FILTER('Kế hoạch chèn link (mới)'!$C$3:$C$2213,'Kế hoạch chèn link (mới)'!$D$3:$D$2213=$B439),4),"""")"),"lãi vay ngân hàng hiện nay")</f>
        <v>lãi vay ngân hàng hiện nay</v>
      </c>
      <c r="N439" s="25" t="str">
        <f>IFERROR(__xludf.DUMMYFUNCTION("IFERROR(INDEX(FILTER('Kế hoạch chèn link (mới)'!$B$3:$B$2213,'Kế hoạch chèn link (mới)'!$D$3:$D$2213=$B439),4),"""")"),"https://techcombank.com/thong-tin/blog/lai-suat-vay-ngan-hang")</f>
        <v>https://techcombank.com/thong-tin/blog/lai-suat-vay-ngan-hang</v>
      </c>
      <c r="O439" s="25" t="str">
        <f>IFERROR(__xludf.DUMMYFUNCTION("IFERROR(INDEX(FILTER('Kế hoạch chèn link (mới)'!$C$3:$C$2213,'Kế hoạch chèn link (mới)'!$D$3:$D$2213=$B439),5),"""")"),"nợ xấu")</f>
        <v>nợ xấu</v>
      </c>
      <c r="P439" s="25" t="str">
        <f>IFERROR(__xludf.DUMMYFUNCTION("IFERROR(INDEX(FILTER('Kế hoạch chèn link (mới)'!$B$3:$B$2213,'Kế hoạch chèn link (mới)'!$D$3:$D$2213=$B439),5),"""")"),"https://techcombank.com/thong-tin/blog/no-xau-la-gi")</f>
        <v>https://techcombank.com/thong-tin/blog/no-xau-la-gi</v>
      </c>
    </row>
    <row r="440">
      <c r="A440" s="6">
        <f t="shared" si="1"/>
        <v>439</v>
      </c>
      <c r="B440" s="8" t="s">
        <v>1164</v>
      </c>
      <c r="C440" s="6">
        <f>COUNTIF('Kế hoạch chèn link (mới)'!$D$3:$D$2213,$B440)</f>
        <v>5</v>
      </c>
      <c r="D440" s="8" t="str">
        <f>IF(COUNTIFS('Kế hoạch chèn link (mới)'!$D$3:$D$2213,$B440,'Kế hoạch chèn link (mới)'!$I$3:$I$2213,"Đã chèn")&gt;=$C440,"Đã hoàn thành",IF(COUNTIFS('Kế hoạch chèn link (mới)'!$D$3:$D$2213,$B440,'Kế hoạch chèn link (mới)'!$I$3:$I$2213,"Đã chèn")&gt;0,"Đang làm","Chưa hoàn thành"))</f>
        <v>Chưa hoàn thành</v>
      </c>
      <c r="E440" s="8" t="b">
        <f t="shared" si="2"/>
        <v>0</v>
      </c>
      <c r="F440" s="25"/>
      <c r="G440" s="25" t="str">
        <f>IFERROR(__xludf.DUMMYFUNCTION("IFERROR(INDEX(FILTER('Kế hoạch chèn link (mới)'!$C$3:$C$2213,'Kế hoạch chèn link (mới)'!$D$3:$D$2213=$B440),1),"""")"),"kiểm tra cic")</f>
        <v>kiểm tra cic</v>
      </c>
      <c r="H440" s="25" t="str">
        <f>IFERROR(__xludf.DUMMYFUNCTION("IFERROR(INDEX(FILTER('Kế hoạch chèn link (mới)'!$B$3:$B$2213,'Kế hoạch chèn link (mới)'!$D$3:$D$2213=$B440),1),"""")"),"https://techcombank.com/thong-tin/blog/cic-la-gi")</f>
        <v>https://techcombank.com/thong-tin/blog/cic-la-gi</v>
      </c>
      <c r="I440" s="25" t="str">
        <f>IFERROR(__xludf.DUMMYFUNCTION("IFERROR(INDEX(FILTER('Kế hoạch chèn link (mới)'!$C$3:$C$2213,'Kế hoạch chèn link (mới)'!$D$3:$D$2213=$B440),2),"""")"),"xếp hạng tín dụng")</f>
        <v>xếp hạng tín dụng</v>
      </c>
      <c r="J440" s="25" t="str">
        <f>IFERROR(__xludf.DUMMYFUNCTION("IFERROR(INDEX(FILTER('Kế hoạch chèn link (mới)'!$B$3:$B$2213,'Kế hoạch chèn link (mới)'!$D$3:$D$2213=$B440),2),"""")"),"https://techcombank.com/thong-tin/blog/xep-hang-tin-dung")</f>
        <v>https://techcombank.com/thong-tin/blog/xep-hang-tin-dung</v>
      </c>
      <c r="K440" s="25" t="str">
        <f>IFERROR(__xludf.DUMMYFUNCTION("IFERROR(INDEX(FILTER('Kế hoạch chèn link (mới)'!$C$3:$C$2213,'Kế hoạch chèn link (mới)'!$D$3:$D$2213=$B440),3),"""")"),"tính lãi vay ngân hàng")</f>
        <v>tính lãi vay ngân hàng</v>
      </c>
      <c r="L440" s="25" t="str">
        <f>IFERROR(__xludf.DUMMYFUNCTION("IFERROR(INDEX(FILTER('Kế hoạch chèn link (mới)'!$B$3:$B$2213,'Kế hoạch chèn link (mới)'!$D$3:$D$2213=$B440),3),"""")"),"https://techcombank.com/cong-cu-tien-ich/cong-cu-tinh-toan/bang-tinh-lai-suat-vay")</f>
        <v>https://techcombank.com/cong-cu-tien-ich/cong-cu-tinh-toan/bang-tinh-lai-suat-vay</v>
      </c>
      <c r="M440" s="25" t="str">
        <f>IFERROR(__xludf.DUMMYFUNCTION("IFERROR(INDEX(FILTER('Kế hoạch chèn link (mới)'!$C$3:$C$2213,'Kế hoạch chèn link (mới)'!$D$3:$D$2213=$B440),4),"""")"),"vay")</f>
        <v>vay</v>
      </c>
      <c r="N440" s="25" t="str">
        <f>IFERROR(__xludf.DUMMYFUNCTION("IFERROR(INDEX(FILTER('Kế hoạch chèn link (mới)'!$B$3:$B$2213,'Kế hoạch chèn link (mới)'!$D$3:$D$2213=$B440),4),"""")"),"https://techcombank.com/thong-tin/blog/app-vay-tien-nhanh")</f>
        <v>https://techcombank.com/thong-tin/blog/app-vay-tien-nhanh</v>
      </c>
      <c r="O440" s="25" t="str">
        <f>IFERROR(__xludf.DUMMYFUNCTION("IFERROR(INDEX(FILTER('Kế hoạch chèn link (mới)'!$C$3:$C$2213,'Kế hoạch chèn link (mới)'!$D$3:$D$2213=$B440),5),"""")"),"kiểm tra nợ xấu")</f>
        <v>kiểm tra nợ xấu</v>
      </c>
      <c r="P440" s="25" t="str">
        <f>IFERROR(__xludf.DUMMYFUNCTION("IFERROR(INDEX(FILTER('Kế hoạch chèn link (mới)'!$B$3:$B$2213,'Kế hoạch chèn link (mới)'!$D$3:$D$2213=$B440),5),"""")"),"https://techcombank.com/thong-tin/blog/kiem-tra-no-xau")</f>
        <v>https://techcombank.com/thong-tin/blog/kiem-tra-no-xau</v>
      </c>
    </row>
    <row r="441">
      <c r="A441" s="6">
        <f t="shared" si="1"/>
        <v>440</v>
      </c>
      <c r="B441" s="8" t="s">
        <v>3071</v>
      </c>
      <c r="C441" s="6">
        <f>COUNTIF('Kế hoạch chèn link (mới)'!$D$3:$D$2213,$B441)</f>
        <v>5</v>
      </c>
      <c r="D441" s="8" t="str">
        <f>IF(COUNTIFS('Kế hoạch chèn link (mới)'!$D$3:$D$2213,$B441,'Kế hoạch chèn link (mới)'!$I$3:$I$2213,"Đã chèn")&gt;=$C441,"Đã hoàn thành",IF(COUNTIFS('Kế hoạch chèn link (mới)'!$D$3:$D$2213,$B441,'Kế hoạch chèn link (mới)'!$I$3:$I$2213,"Đã chèn")&gt;0,"Đang làm","Chưa hoàn thành"))</f>
        <v>Chưa hoàn thành</v>
      </c>
      <c r="E441" s="8" t="b">
        <f t="shared" si="2"/>
        <v>0</v>
      </c>
      <c r="F441" s="25"/>
      <c r="G441" s="25" t="str">
        <f>IFERROR(__xludf.DUMMYFUNCTION("IFERROR(INDEX(FILTER('Kế hoạch chèn link (mới)'!$C$3:$C$2213,'Kế hoạch chèn link (mới)'!$D$3:$D$2213=$B441),1),"""")"),"kiểm tra cic")</f>
        <v>kiểm tra cic</v>
      </c>
      <c r="H441" s="25" t="str">
        <f>IFERROR(__xludf.DUMMYFUNCTION("IFERROR(INDEX(FILTER('Kế hoạch chèn link (mới)'!$B$3:$B$2213,'Kế hoạch chèn link (mới)'!$D$3:$D$2213=$B441),1),"""")"),"https://techcombank.com/thong-tin/blog/cic-la-gi")</f>
        <v>https://techcombank.com/thong-tin/blog/cic-la-gi</v>
      </c>
      <c r="I441" s="25" t="str">
        <f>IFERROR(__xludf.DUMMYFUNCTION("IFERROR(INDEX(FILTER('Kế hoạch chèn link (mới)'!$C$3:$C$2213,'Kế hoạch chèn link (mới)'!$D$3:$D$2213=$B441),2),"""")"),"làm thẻ tín dụng")</f>
        <v>làm thẻ tín dụng</v>
      </c>
      <c r="J441" s="25" t="str">
        <f>IFERROR(__xludf.DUMMYFUNCTION("IFERROR(INDEX(FILTER('Kế hoạch chèn link (mới)'!$B$3:$B$2213,'Kế hoạch chèn link (mới)'!$D$3:$D$2213=$B441),2),"""")"),"https://techcombank.com/thong-tin/blog/lam-the-tin-dung")</f>
        <v>https://techcombank.com/thong-tin/blog/lam-the-tin-dung</v>
      </c>
      <c r="K441" s="25" t="str">
        <f>IFERROR(__xludf.DUMMYFUNCTION("IFERROR(INDEX(FILTER('Kế hoạch chèn link (mới)'!$C$3:$C$2213,'Kế hoạch chèn link (mới)'!$D$3:$D$2213=$B441),3),"""")"),"vay")</f>
        <v>vay</v>
      </c>
      <c r="L441" s="25" t="str">
        <f>IFERROR(__xludf.DUMMYFUNCTION("IFERROR(INDEX(FILTER('Kế hoạch chèn link (mới)'!$B$3:$B$2213,'Kế hoạch chèn link (mới)'!$D$3:$D$2213=$B441),3),"""")"),"https://techcombank.com/thong-tin/blog/app-vay-tien-nhanh")</f>
        <v>https://techcombank.com/thong-tin/blog/app-vay-tien-nhanh</v>
      </c>
      <c r="M441" s="25" t="str">
        <f>IFERROR(__xludf.DUMMYFUNCTION("IFERROR(INDEX(FILTER('Kế hoạch chèn link (mới)'!$C$3:$C$2213,'Kế hoạch chèn link (mới)'!$D$3:$D$2213=$B441),4),"""")"),"kiểm tra nợ xấu")</f>
        <v>kiểm tra nợ xấu</v>
      </c>
      <c r="N441" s="25" t="str">
        <f>IFERROR(__xludf.DUMMYFUNCTION("IFERROR(INDEX(FILTER('Kế hoạch chèn link (mới)'!$B$3:$B$2213,'Kế hoạch chèn link (mới)'!$D$3:$D$2213=$B441),4),"""")"),"https://techcombank.com/thong-tin/blog/kiem-tra-no-xau")</f>
        <v>https://techcombank.com/thong-tin/blog/kiem-tra-no-xau</v>
      </c>
      <c r="O441" s="25" t="str">
        <f>IFERROR(__xludf.DUMMYFUNCTION("IFERROR(INDEX(FILTER('Kế hoạch chèn link (mới)'!$C$3:$C$2213,'Kế hoạch chèn link (mới)'!$D$3:$D$2213=$B441),5),"""")"),"nợ xấu")</f>
        <v>nợ xấu</v>
      </c>
      <c r="P441" s="25" t="str">
        <f>IFERROR(__xludf.DUMMYFUNCTION("IFERROR(INDEX(FILTER('Kế hoạch chèn link (mới)'!$B$3:$B$2213,'Kế hoạch chèn link (mới)'!$D$3:$D$2213=$B441),5),"""")"),"https://techcombank.com/thong-tin/blog/no-xau-la-gi")</f>
        <v>https://techcombank.com/thong-tin/blog/no-xau-la-gi</v>
      </c>
    </row>
    <row r="442">
      <c r="A442" s="6">
        <f t="shared" si="1"/>
        <v>441</v>
      </c>
      <c r="B442" s="8" t="s">
        <v>3074</v>
      </c>
      <c r="C442" s="6">
        <f>COUNTIF('Kế hoạch chèn link (mới)'!$D$3:$D$2213,$B442)</f>
        <v>5</v>
      </c>
      <c r="D442" s="8" t="str">
        <f>IF(COUNTIFS('Kế hoạch chèn link (mới)'!$D$3:$D$2213,$B442,'Kế hoạch chèn link (mới)'!$I$3:$I$2213,"Đã chèn")&gt;=$C442,"Đã hoàn thành",IF(COUNTIFS('Kế hoạch chèn link (mới)'!$D$3:$D$2213,$B442,'Kế hoạch chèn link (mới)'!$I$3:$I$2213,"Đã chèn")&gt;0,"Đang làm","Chưa hoàn thành"))</f>
        <v>Chưa hoàn thành</v>
      </c>
      <c r="E442" s="8" t="b">
        <f t="shared" si="2"/>
        <v>0</v>
      </c>
      <c r="F442" s="25"/>
      <c r="G442" s="25" t="str">
        <f>IFERROR(__xludf.DUMMYFUNCTION("IFERROR(INDEX(FILTER('Kế hoạch chèn link (mới)'!$C$3:$C$2213,'Kế hoạch chèn link (mới)'!$D$3:$D$2213=$B442),1),"""")"),"tra cứu cic")</f>
        <v>tra cứu cic</v>
      </c>
      <c r="H442" s="25" t="str">
        <f>IFERROR(__xludf.DUMMYFUNCTION("IFERROR(INDEX(FILTER('Kế hoạch chèn link (mới)'!$B$3:$B$2213,'Kế hoạch chèn link (mới)'!$D$3:$D$2213=$B442),1),"""")"),"https://techcombank.com/thong-tin/blog/cic-la-gi")</f>
        <v>https://techcombank.com/thong-tin/blog/cic-la-gi</v>
      </c>
      <c r="I442" s="25" t="str">
        <f>IFERROR(__xludf.DUMMYFUNCTION("IFERROR(INDEX(FILTER('Kế hoạch chèn link (mới)'!$C$3:$C$2213,'Kế hoạch chèn link (mới)'!$D$3:$D$2213=$B442),2),"""")"),"xếp hạng tín dụng")</f>
        <v>xếp hạng tín dụng</v>
      </c>
      <c r="J442" s="25" t="str">
        <f>IFERROR(__xludf.DUMMYFUNCTION("IFERROR(INDEX(FILTER('Kế hoạch chèn link (mới)'!$B$3:$B$2213,'Kế hoạch chèn link (mới)'!$D$3:$D$2213=$B442),2),"""")"),"https://techcombank.com/thong-tin/blog/xep-hang-tin-dung")</f>
        <v>https://techcombank.com/thong-tin/blog/xep-hang-tin-dung</v>
      </c>
      <c r="K442" s="25" t="str">
        <f>IFERROR(__xludf.DUMMYFUNCTION("IFERROR(INDEX(FILTER('Kế hoạch chèn link (mới)'!$C$3:$C$2213,'Kế hoạch chèn link (mới)'!$D$3:$D$2213=$B442),3),"""")"),"vay")</f>
        <v>vay</v>
      </c>
      <c r="L442" s="25" t="str">
        <f>IFERROR(__xludf.DUMMYFUNCTION("IFERROR(INDEX(FILTER('Kế hoạch chèn link (mới)'!$B$3:$B$2213,'Kế hoạch chèn link (mới)'!$D$3:$D$2213=$B442),3),"""")"),"https://techcombank.com/thong-tin/blog/app-vay-tien-nhanh")</f>
        <v>https://techcombank.com/thong-tin/blog/app-vay-tien-nhanh</v>
      </c>
      <c r="M442" s="25" t="str">
        <f>IFERROR(__xludf.DUMMYFUNCTION("IFERROR(INDEX(FILTER('Kế hoạch chèn link (mới)'!$C$3:$C$2213,'Kế hoạch chèn link (mới)'!$D$3:$D$2213=$B442),4),"""")"),"thấu chi là gì")</f>
        <v>thấu chi là gì</v>
      </c>
      <c r="N442" s="25" t="str">
        <f>IFERROR(__xludf.DUMMYFUNCTION("IFERROR(INDEX(FILTER('Kế hoạch chèn link (mới)'!$B$3:$B$2213,'Kế hoạch chèn link (mới)'!$D$3:$D$2213=$B442),4),"""")"),"https://techcombank.com/thong-tin/blog/vay-thau-chi-la-gi")</f>
        <v>https://techcombank.com/thong-tin/blog/vay-thau-chi-la-gi</v>
      </c>
      <c r="O442" s="25" t="str">
        <f>IFERROR(__xludf.DUMMYFUNCTION("IFERROR(INDEX(FILTER('Kế hoạch chèn link (mới)'!$C$3:$C$2213,'Kế hoạch chèn link (mới)'!$D$3:$D$2213=$B442),5),"""")"),"tra cứu nợ xấu")</f>
        <v>tra cứu nợ xấu</v>
      </c>
      <c r="P442" s="25" t="str">
        <f>IFERROR(__xludf.DUMMYFUNCTION("IFERROR(INDEX(FILTER('Kế hoạch chèn link (mới)'!$B$3:$B$2213,'Kế hoạch chèn link (mới)'!$D$3:$D$2213=$B442),5),"""")"),"https://techcombank.com/thong-tin/blog/kiem-tra-no-xau")</f>
        <v>https://techcombank.com/thong-tin/blog/kiem-tra-no-xau</v>
      </c>
    </row>
    <row r="443">
      <c r="A443" s="6">
        <f t="shared" si="1"/>
        <v>442</v>
      </c>
      <c r="B443" s="8" t="s">
        <v>313</v>
      </c>
      <c r="C443" s="6">
        <f>COUNTIF('Kế hoạch chèn link (mới)'!$D$3:$D$2213,$B443)</f>
        <v>2</v>
      </c>
      <c r="D443" s="8" t="str">
        <f>IF(COUNTIFS('Kế hoạch chèn link (mới)'!$D$3:$D$2213,$B443,'Kế hoạch chèn link (mới)'!$I$3:$I$2213,"Đã chèn")&gt;=$C443,"Đã hoàn thành",IF(COUNTIFS('Kế hoạch chèn link (mới)'!$D$3:$D$2213,$B443,'Kế hoạch chèn link (mới)'!$I$3:$I$2213,"Đã chèn")&gt;0,"Đang làm","Chưa hoàn thành"))</f>
        <v>Chưa hoàn thành</v>
      </c>
      <c r="E443" s="8" t="b">
        <f t="shared" si="2"/>
        <v>0</v>
      </c>
      <c r="F443" s="25"/>
      <c r="G443" s="25" t="str">
        <f>IFERROR(__xludf.DUMMYFUNCTION("IFERROR(INDEX(FILTER('Kế hoạch chèn link (mới)'!$C$3:$C$2213,'Kế hoạch chèn link (mới)'!$D$3:$D$2213=$B443),1),"""")"),"nộp thuế online")</f>
        <v>nộp thuế online</v>
      </c>
      <c r="H443" s="25" t="str">
        <f>IFERROR(__xludf.DUMMYFUNCTION("IFERROR(INDEX(FILTER('Kế hoạch chèn link (mới)'!$B$3:$B$2213,'Kế hoạch chèn link (mới)'!$D$3:$D$2213=$B443),1),"""")"),"https://techcombank.com/thong-tin/blog/cach-nop-thue-dien-tu")</f>
        <v>https://techcombank.com/thong-tin/blog/cach-nop-thue-dien-tu</v>
      </c>
      <c r="I443" s="25" t="str">
        <f>IFERROR(__xludf.DUMMYFUNCTION("IFERROR(INDEX(FILTER('Kế hoạch chèn link (mới)'!$C$3:$C$2213,'Kế hoạch chèn link (mới)'!$D$3:$D$2213=$B443),2),"""")"),"thuế hộ kinh doanh")</f>
        <v>thuế hộ kinh doanh</v>
      </c>
      <c r="J443" s="25" t="str">
        <f>IFERROR(__xludf.DUMMYFUNCTION("IFERROR(INDEX(FILTER('Kế hoạch chèn link (mới)'!$B$3:$B$2213,'Kế hoạch chèn link (mới)'!$D$3:$D$2213=$B443),2),"""")"),"https://techcombank.com/thong-tin/blog/ho-kinh-doanh-dong-thue-nhu-nao")</f>
        <v>https://techcombank.com/thong-tin/blog/ho-kinh-doanh-dong-thue-nhu-nao</v>
      </c>
      <c r="K443" s="25" t="str">
        <f>IFERROR(__xludf.DUMMYFUNCTION("IFERROR(INDEX(FILTER('Kế hoạch chèn link (mới)'!$C$3:$C$2213,'Kế hoạch chèn link (mới)'!$D$3:$D$2213=$B443),3),"""")"),"")</f>
        <v/>
      </c>
      <c r="L443" s="25" t="str">
        <f>IFERROR(__xludf.DUMMYFUNCTION("IFERROR(INDEX(FILTER('Kế hoạch chèn link (mới)'!$B$3:$B$2213,'Kế hoạch chèn link (mới)'!$D$3:$D$2213=$B443),3),"""")"),"")</f>
        <v/>
      </c>
      <c r="M443" s="25" t="str">
        <f>IFERROR(__xludf.DUMMYFUNCTION("IFERROR(INDEX(FILTER('Kế hoạch chèn link (mới)'!$C$3:$C$2213,'Kế hoạch chèn link (mới)'!$D$3:$D$2213=$B443),4),"""")"),"")</f>
        <v/>
      </c>
      <c r="N443" s="25" t="str">
        <f>IFERROR(__xludf.DUMMYFUNCTION("IFERROR(INDEX(FILTER('Kế hoạch chèn link (mới)'!$B$3:$B$2213,'Kế hoạch chèn link (mới)'!$D$3:$D$2213=$B443),4),"""")"),"")</f>
        <v/>
      </c>
      <c r="O443" s="25" t="str">
        <f>IFERROR(__xludf.DUMMYFUNCTION("IFERROR(INDEX(FILTER('Kế hoạch chèn link (mới)'!$C$3:$C$2213,'Kế hoạch chèn link (mới)'!$D$3:$D$2213=$B443),5),"""")"),"")</f>
        <v/>
      </c>
      <c r="P443" s="25" t="str">
        <f>IFERROR(__xludf.DUMMYFUNCTION("IFERROR(INDEX(FILTER('Kế hoạch chèn link (mới)'!$B$3:$B$2213,'Kế hoạch chèn link (mới)'!$D$3:$D$2213=$B443),5),"""")"),"")</f>
        <v/>
      </c>
    </row>
    <row r="444">
      <c r="A444" s="6">
        <f t="shared" si="1"/>
        <v>443</v>
      </c>
      <c r="B444" s="8" t="s">
        <v>709</v>
      </c>
      <c r="C444" s="6">
        <f>COUNTIF('Kế hoạch chèn link (mới)'!$D$3:$D$2213,$B444)</f>
        <v>3</v>
      </c>
      <c r="D444" s="8" t="str">
        <f>IF(COUNTIFS('Kế hoạch chèn link (mới)'!$D$3:$D$2213,$B444,'Kế hoạch chèn link (mới)'!$I$3:$I$2213,"Đã chèn")&gt;=$C444,"Đã hoàn thành",IF(COUNTIFS('Kế hoạch chèn link (mới)'!$D$3:$D$2213,$B444,'Kế hoạch chèn link (mới)'!$I$3:$I$2213,"Đã chèn")&gt;0,"Đang làm","Chưa hoàn thành"))</f>
        <v>Chưa hoàn thành</v>
      </c>
      <c r="E444" s="8" t="b">
        <f t="shared" si="2"/>
        <v>0</v>
      </c>
      <c r="F444" s="25"/>
      <c r="G444" s="25" t="str">
        <f>IFERROR(__xludf.DUMMYFUNCTION("IFERROR(INDEX(FILTER('Kế hoạch chèn link (mới)'!$C$3:$C$2213,'Kế hoạch chèn link (mới)'!$D$3:$D$2213=$B444),1),"""")"),"nộp thuế online")</f>
        <v>nộp thuế online</v>
      </c>
      <c r="H444" s="25" t="str">
        <f>IFERROR(__xludf.DUMMYFUNCTION("IFERROR(INDEX(FILTER('Kế hoạch chèn link (mới)'!$B$3:$B$2213,'Kế hoạch chèn link (mới)'!$D$3:$D$2213=$B444),1),"""")"),"https://techcombank.com/thong-tin/blog/cach-nop-thue-dien-tu")</f>
        <v>https://techcombank.com/thong-tin/blog/cach-nop-thue-dien-tu</v>
      </c>
      <c r="I444" s="25" t="str">
        <f>IFERROR(__xludf.DUMMYFUNCTION("IFERROR(INDEX(FILTER('Kế hoạch chèn link (mới)'!$C$3:$C$2213,'Kế hoạch chèn link (mới)'!$D$3:$D$2213=$B444),2),"""")"),"tra cứu nợ thuế doanh nghiệp")</f>
        <v>tra cứu nợ thuế doanh nghiệp</v>
      </c>
      <c r="J444" s="25" t="str">
        <f>IFERROR(__xludf.DUMMYFUNCTION("IFERROR(INDEX(FILTER('Kế hoạch chèn link (mới)'!$B$3:$B$2213,'Kế hoạch chèn link (mới)'!$D$3:$D$2213=$B444),2),"""")"),"https://techcombank.com/thong-tin/blog/tra-cuu-no-thue-doanh-nghiep")</f>
        <v>https://techcombank.com/thong-tin/blog/tra-cuu-no-thue-doanh-nghiep</v>
      </c>
      <c r="K444" s="25" t="str">
        <f>IFERROR(__xludf.DUMMYFUNCTION("IFERROR(INDEX(FILTER('Kế hoạch chèn link (mới)'!$C$3:$C$2213,'Kế hoạch chèn link (mới)'!$D$3:$D$2213=$B444),3),"""")"),"số tài khoản phát tài phát lộc")</f>
        <v>số tài khoản phát tài phát lộc</v>
      </c>
      <c r="L444" s="25" t="str">
        <f>IFERROR(__xludf.DUMMYFUNCTION("IFERROR(INDEX(FILTER('Kế hoạch chèn link (mới)'!$B$3:$B$2213,'Kế hoạch chèn link (mới)'!$D$3:$D$2213=$B444),3),"""")"),"https://techcombank.com/thong-tin/blog/day-so-phat-tai-phat-loc")</f>
        <v>https://techcombank.com/thong-tin/blog/day-so-phat-tai-phat-loc</v>
      </c>
      <c r="M444" s="25" t="str">
        <f>IFERROR(__xludf.DUMMYFUNCTION("IFERROR(INDEX(FILTER('Kế hoạch chèn link (mới)'!$C$3:$C$2213,'Kế hoạch chèn link (mới)'!$D$3:$D$2213=$B444),4),"""")"),"")</f>
        <v/>
      </c>
      <c r="N444" s="25" t="str">
        <f>IFERROR(__xludf.DUMMYFUNCTION("IFERROR(INDEX(FILTER('Kế hoạch chèn link (mới)'!$B$3:$B$2213,'Kế hoạch chèn link (mới)'!$D$3:$D$2213=$B444),4),"""")"),"")</f>
        <v/>
      </c>
      <c r="O444" s="25" t="str">
        <f>IFERROR(__xludf.DUMMYFUNCTION("IFERROR(INDEX(FILTER('Kế hoạch chèn link (mới)'!$C$3:$C$2213,'Kế hoạch chèn link (mới)'!$D$3:$D$2213=$B444),5),"""")"),"")</f>
        <v/>
      </c>
      <c r="P444" s="25" t="str">
        <f>IFERROR(__xludf.DUMMYFUNCTION("IFERROR(INDEX(FILTER('Kế hoạch chèn link (mới)'!$B$3:$B$2213,'Kế hoạch chèn link (mới)'!$D$3:$D$2213=$B444),5),"""")"),"")</f>
        <v/>
      </c>
    </row>
    <row r="445">
      <c r="A445" s="6">
        <f t="shared" si="1"/>
        <v>444</v>
      </c>
      <c r="B445" s="8" t="s">
        <v>1201</v>
      </c>
      <c r="C445" s="6">
        <f>COUNTIF('Kế hoạch chèn link (mới)'!$D$3:$D$2213,$B445)</f>
        <v>3</v>
      </c>
      <c r="D445" s="8" t="str">
        <f>IF(COUNTIFS('Kế hoạch chèn link (mới)'!$D$3:$D$2213,$B445,'Kế hoạch chèn link (mới)'!$I$3:$I$2213,"Đã chèn")&gt;=$C445,"Đã hoàn thành",IF(COUNTIFS('Kế hoạch chèn link (mới)'!$D$3:$D$2213,$B445,'Kế hoạch chèn link (mới)'!$I$3:$I$2213,"Đã chèn")&gt;0,"Đang làm","Chưa hoàn thành"))</f>
        <v>Chưa hoàn thành</v>
      </c>
      <c r="E445" s="8" t="b">
        <f t="shared" si="2"/>
        <v>0</v>
      </c>
      <c r="F445" s="25"/>
      <c r="G445" s="25" t="str">
        <f>IFERROR(__xludf.DUMMYFUNCTION("IFERROR(INDEX(FILTER('Kế hoạch chèn link (mới)'!$C$3:$C$2213,'Kế hoạch chèn link (mới)'!$D$3:$D$2213=$B445),1),"""")"),"công ty dùng tài khoản cá nhân có được không")</f>
        <v>công ty dùng tài khoản cá nhân có được không</v>
      </c>
      <c r="H445" s="25" t="str">
        <f>IFERROR(__xludf.DUMMYFUNCTION("IFERROR(INDEX(FILTER('Kế hoạch chèn link (mới)'!$B$3:$B$2213,'Kế hoạch chèn link (mới)'!$D$3:$D$2213=$B445),1),"""")"),"https://techcombank.com/thong-tin/blog/cong-ty-su-dung-tai-khoan-ca-nhan")</f>
        <v>https://techcombank.com/thong-tin/blog/cong-ty-su-dung-tai-khoan-ca-nhan</v>
      </c>
      <c r="I445" s="25" t="str">
        <f>IFERROR(__xludf.DUMMYFUNCTION("IFERROR(INDEX(FILTER('Kế hoạch chèn link (mới)'!$C$3:$C$2213,'Kế hoạch chèn link (mới)'!$D$3:$D$2213=$B445),2),"""")"),"chọn ngân hàng uy tín")</f>
        <v>chọn ngân hàng uy tín</v>
      </c>
      <c r="J445" s="25" t="str">
        <f>IFERROR(__xludf.DUMMYFUNCTION("IFERROR(INDEX(FILTER('Kế hoạch chèn link (mới)'!$B$3:$B$2213,'Kế hoạch chèn link (mới)'!$D$3:$D$2213=$B445),2),"""")"),"https://techcombank.com/thong-tin/blog/ngan-hang-uy-tin")</f>
        <v>https://techcombank.com/thong-tin/blog/ngan-hang-uy-tin</v>
      </c>
      <c r="K445" s="25" t="str">
        <f>IFERROR(__xludf.DUMMYFUNCTION("IFERROR(INDEX(FILTER('Kế hoạch chèn link (mới)'!$C$3:$C$2213,'Kế hoạch chèn link (mới)'!$D$3:$D$2213=$B445),3),"""")"),"nộp tiền vào tài khoản")</f>
        <v>nộp tiền vào tài khoản</v>
      </c>
      <c r="L445" s="25" t="str">
        <f>IFERROR(__xludf.DUMMYFUNCTION("IFERROR(INDEX(FILTER('Kế hoạch chèn link (mới)'!$B$3:$B$2213,'Kế hoạch chèn link (mới)'!$D$3:$D$2213=$B445),3),"""")"),"https://techcombank.com/thong-tin/blog/nap-tien-vao-tai-khoan-ngan-hang")</f>
        <v>https://techcombank.com/thong-tin/blog/nap-tien-vao-tai-khoan-ngan-hang</v>
      </c>
      <c r="M445" s="25" t="str">
        <f>IFERROR(__xludf.DUMMYFUNCTION("IFERROR(INDEX(FILTER('Kế hoạch chèn link (mới)'!$C$3:$C$2213,'Kế hoạch chèn link (mới)'!$D$3:$D$2213=$B445),4),"""")"),"")</f>
        <v/>
      </c>
      <c r="N445" s="25" t="str">
        <f>IFERROR(__xludf.DUMMYFUNCTION("IFERROR(INDEX(FILTER('Kế hoạch chèn link (mới)'!$B$3:$B$2213,'Kế hoạch chèn link (mới)'!$D$3:$D$2213=$B445),4),"""")"),"")</f>
        <v/>
      </c>
      <c r="O445" s="25" t="str">
        <f>IFERROR(__xludf.DUMMYFUNCTION("IFERROR(INDEX(FILTER('Kế hoạch chèn link (mới)'!$C$3:$C$2213,'Kế hoạch chèn link (mới)'!$D$3:$D$2213=$B445),5),"""")"),"")</f>
        <v/>
      </c>
      <c r="P445" s="25" t="str">
        <f>IFERROR(__xludf.DUMMYFUNCTION("IFERROR(INDEX(FILTER('Kế hoạch chèn link (mới)'!$B$3:$B$2213,'Kế hoạch chèn link (mới)'!$D$3:$D$2213=$B445),5),"""")"),"")</f>
        <v/>
      </c>
    </row>
    <row r="446">
      <c r="A446" s="6">
        <f t="shared" si="1"/>
        <v>445</v>
      </c>
      <c r="B446" s="8" t="s">
        <v>660</v>
      </c>
      <c r="C446" s="6">
        <f>COUNTIF('Kế hoạch chèn link (mới)'!$D$3:$D$2213,$B446)</f>
        <v>4</v>
      </c>
      <c r="D446" s="8" t="str">
        <f>IF(COUNTIFS('Kế hoạch chèn link (mới)'!$D$3:$D$2213,$B446,'Kế hoạch chèn link (mới)'!$I$3:$I$2213,"Đã chèn")&gt;=$C446,"Đã hoàn thành",IF(COUNTIFS('Kế hoạch chèn link (mới)'!$D$3:$D$2213,$B446,'Kế hoạch chèn link (mới)'!$I$3:$I$2213,"Đã chèn")&gt;0,"Đang làm","Chưa hoàn thành"))</f>
        <v>Chưa hoàn thành</v>
      </c>
      <c r="E446" s="8" t="b">
        <f t="shared" si="2"/>
        <v>0</v>
      </c>
      <c r="F446" s="25"/>
      <c r="G446" s="25" t="str">
        <f>IFERROR(__xludf.DUMMYFUNCTION("IFERROR(INDEX(FILTER('Kế hoạch chèn link (mới)'!$C$3:$C$2213,'Kế hoạch chèn link (mới)'!$D$3:$D$2213=$B446),1),"""")"),"nộp thuế online")</f>
        <v>nộp thuế online</v>
      </c>
      <c r="H446" s="25" t="str">
        <f>IFERROR(__xludf.DUMMYFUNCTION("IFERROR(INDEX(FILTER('Kế hoạch chèn link (mới)'!$B$3:$B$2213,'Kế hoạch chèn link (mới)'!$D$3:$D$2213=$B446),1),"""")"),"https://techcombank.com/thong-tin/blog/cach-nop-thue-dien-tu")</f>
        <v>https://techcombank.com/thong-tin/blog/cach-nop-thue-dien-tu</v>
      </c>
      <c r="I446" s="25" t="str">
        <f>IFERROR(__xludf.DUMMYFUNCTION("IFERROR(INDEX(FILTER('Kế hoạch chèn link (mới)'!$C$3:$C$2213,'Kế hoạch chèn link (mới)'!$D$3:$D$2213=$B446),2),"""")"),"mô hình kinh doanh là gì")</f>
        <v>mô hình kinh doanh là gì</v>
      </c>
      <c r="J446" s="25" t="str">
        <f>IFERROR(__xludf.DUMMYFUNCTION("IFERROR(INDEX(FILTER('Kế hoạch chèn link (mới)'!$B$3:$B$2213,'Kế hoạch chèn link (mới)'!$D$3:$D$2213=$B446),2),"""")"),"https://techcombank.com/thong-tin/blog/mo-hinh-kinh-doanh-la-gi")</f>
        <v>https://techcombank.com/thong-tin/blog/mo-hinh-kinh-doanh-la-gi</v>
      </c>
      <c r="K446" s="25" t="str">
        <f>IFERROR(__xludf.DUMMYFUNCTION("IFERROR(INDEX(FILTER('Kế hoạch chèn link (mới)'!$C$3:$C$2213,'Kế hoạch chèn link (mới)'!$D$3:$D$2213=$B446),3),"""")"),"cách gửi mã QR ngân hàng")</f>
        <v>cách gửi mã QR ngân hàng</v>
      </c>
      <c r="L446" s="25" t="str">
        <f>IFERROR(__xludf.DUMMYFUNCTION("IFERROR(INDEX(FILTER('Kế hoạch chèn link (mới)'!$B$3:$B$2213,'Kế hoạch chèn link (mới)'!$D$3:$D$2213=$B446),3),"""")"),"https://techcombank.com/thong-tin/blog/gui-ma-qr-ngan-hang")</f>
        <v>https://techcombank.com/thong-tin/blog/gui-ma-qr-ngan-hang</v>
      </c>
      <c r="M446" s="25" t="str">
        <f>IFERROR(__xludf.DUMMYFUNCTION("IFERROR(INDEX(FILTER('Kế hoạch chèn link (mới)'!$C$3:$C$2213,'Kế hoạch chèn link (mới)'!$D$3:$D$2213=$B446),4),"""")"),"vay")</f>
        <v>vay</v>
      </c>
      <c r="N446" s="25" t="str">
        <f>IFERROR(__xludf.DUMMYFUNCTION("IFERROR(INDEX(FILTER('Kế hoạch chèn link (mới)'!$B$3:$B$2213,'Kế hoạch chèn link (mới)'!$D$3:$D$2213=$B446),4),"""")"),"https://techcombank.com/thong-tin/blog/app-vay-tien-nhanh")</f>
        <v>https://techcombank.com/thong-tin/blog/app-vay-tien-nhanh</v>
      </c>
      <c r="O446" s="25" t="str">
        <f>IFERROR(__xludf.DUMMYFUNCTION("IFERROR(INDEX(FILTER('Kế hoạch chèn link (mới)'!$C$3:$C$2213,'Kế hoạch chèn link (mới)'!$D$3:$D$2213=$B446),5),"""")"),"")</f>
        <v/>
      </c>
      <c r="P446" s="25" t="str">
        <f>IFERROR(__xludf.DUMMYFUNCTION("IFERROR(INDEX(FILTER('Kế hoạch chèn link (mới)'!$B$3:$B$2213,'Kế hoạch chèn link (mới)'!$D$3:$D$2213=$B446),5),"""")"),"")</f>
        <v/>
      </c>
    </row>
    <row r="447">
      <c r="A447" s="6">
        <f t="shared" si="1"/>
        <v>446</v>
      </c>
      <c r="B447" s="8" t="s">
        <v>3076</v>
      </c>
      <c r="C447" s="6">
        <f>COUNTIF('Kế hoạch chèn link (mới)'!$D$3:$D$2213,$B447)</f>
        <v>1</v>
      </c>
      <c r="D447" s="8" t="str">
        <f>IF(COUNTIFS('Kế hoạch chèn link (mới)'!$D$3:$D$2213,$B447,'Kế hoạch chèn link (mới)'!$I$3:$I$2213,"Đã chèn")&gt;=$C447,"Đã hoàn thành",IF(COUNTIFS('Kế hoạch chèn link (mới)'!$D$3:$D$2213,$B447,'Kế hoạch chèn link (mới)'!$I$3:$I$2213,"Đã chèn")&gt;0,"Đang làm","Chưa hoàn thành"))</f>
        <v>Chưa hoàn thành</v>
      </c>
      <c r="E447" s="8" t="b">
        <f t="shared" si="2"/>
        <v>0</v>
      </c>
      <c r="F447" s="25"/>
      <c r="G447" s="25" t="str">
        <f>IFERROR(__xludf.DUMMYFUNCTION("IFERROR(INDEX(FILTER('Kế hoạch chèn link (mới)'!$C$3:$C$2213,'Kế hoạch chèn link (mới)'!$D$3:$D$2213=$B447),1),"""")"),"Techcombank Eco")</f>
        <v>Techcombank Eco</v>
      </c>
      <c r="H447" s="25" t="str">
        <f>IFERROR(__xludf.DUMMYFUNCTION("IFERROR(INDEX(FILTER('Kế hoạch chèn link (mới)'!$B$3:$B$2213,'Kế hoạch chèn link (mới)'!$D$3:$D$2213=$B447),1),"""")"),"https://techcombank.com/thong-tin/blog/eco-card")</f>
        <v>https://techcombank.com/thong-tin/blog/eco-card</v>
      </c>
      <c r="I447" s="25" t="str">
        <f>IFERROR(__xludf.DUMMYFUNCTION("IFERROR(INDEX(FILTER('Kế hoạch chèn link (mới)'!$C$3:$C$2213,'Kế hoạch chèn link (mới)'!$D$3:$D$2213=$B447),2),"""")"),"")</f>
        <v/>
      </c>
      <c r="J447" s="25" t="str">
        <f>IFERROR(__xludf.DUMMYFUNCTION("IFERROR(INDEX(FILTER('Kế hoạch chèn link (mới)'!$B$3:$B$2213,'Kế hoạch chèn link (mới)'!$D$3:$D$2213=$B447),2),"""")"),"")</f>
        <v/>
      </c>
      <c r="K447" s="25" t="str">
        <f>IFERROR(__xludf.DUMMYFUNCTION("IFERROR(INDEX(FILTER('Kế hoạch chèn link (mới)'!$C$3:$C$2213,'Kế hoạch chèn link (mới)'!$D$3:$D$2213=$B447),3),"""")"),"")</f>
        <v/>
      </c>
      <c r="L447" s="25" t="str">
        <f>IFERROR(__xludf.DUMMYFUNCTION("IFERROR(INDEX(FILTER('Kế hoạch chèn link (mới)'!$B$3:$B$2213,'Kế hoạch chèn link (mới)'!$D$3:$D$2213=$B447),3),"""")"),"")</f>
        <v/>
      </c>
      <c r="M447" s="25" t="str">
        <f>IFERROR(__xludf.DUMMYFUNCTION("IFERROR(INDEX(FILTER('Kế hoạch chèn link (mới)'!$C$3:$C$2213,'Kế hoạch chèn link (mới)'!$D$3:$D$2213=$B447),4),"""")"),"")</f>
        <v/>
      </c>
      <c r="N447" s="25" t="str">
        <f>IFERROR(__xludf.DUMMYFUNCTION("IFERROR(INDEX(FILTER('Kế hoạch chèn link (mới)'!$B$3:$B$2213,'Kế hoạch chèn link (mới)'!$D$3:$D$2213=$B447),4),"""")"),"")</f>
        <v/>
      </c>
      <c r="O447" s="25" t="str">
        <f>IFERROR(__xludf.DUMMYFUNCTION("IFERROR(INDEX(FILTER('Kế hoạch chèn link (mới)'!$C$3:$C$2213,'Kế hoạch chèn link (mới)'!$D$3:$D$2213=$B447),5),"""")"),"")</f>
        <v/>
      </c>
      <c r="P447" s="25" t="str">
        <f>IFERROR(__xludf.DUMMYFUNCTION("IFERROR(INDEX(FILTER('Kế hoạch chèn link (mới)'!$B$3:$B$2213,'Kế hoạch chèn link (mới)'!$D$3:$D$2213=$B447),5),"""")"),"")</f>
        <v/>
      </c>
    </row>
    <row r="448">
      <c r="A448" s="6">
        <f t="shared" si="1"/>
        <v>447</v>
      </c>
      <c r="B448" s="8" t="s">
        <v>3077</v>
      </c>
      <c r="C448" s="6">
        <f>COUNTIF('Kế hoạch chèn link (mới)'!$D$3:$D$2213,$B448)</f>
        <v>1</v>
      </c>
      <c r="D448" s="8" t="str">
        <f>IF(COUNTIFS('Kế hoạch chèn link (mới)'!$D$3:$D$2213,$B448,'Kế hoạch chèn link (mới)'!$I$3:$I$2213,"Đã chèn")&gt;=$C448,"Đã hoàn thành",IF(COUNTIFS('Kế hoạch chèn link (mới)'!$D$3:$D$2213,$B448,'Kế hoạch chèn link (mới)'!$I$3:$I$2213,"Đã chèn")&gt;0,"Đang làm","Chưa hoàn thành"))</f>
        <v>Chưa hoàn thành</v>
      </c>
      <c r="E448" s="8" t="b">
        <f t="shared" si="2"/>
        <v>0</v>
      </c>
      <c r="F448" s="25"/>
      <c r="G448" s="25" t="str">
        <f>IFERROR(__xludf.DUMMYFUNCTION("IFERROR(INDEX(FILTER('Kế hoạch chèn link (mới)'!$C$3:$C$2213,'Kế hoạch chèn link (mới)'!$D$3:$D$2213=$B448),1),"""")"),"cách đầu tư chứng chỉ quỹ")</f>
        <v>cách đầu tư chứng chỉ quỹ</v>
      </c>
      <c r="H448" s="25" t="str">
        <f>IFERROR(__xludf.DUMMYFUNCTION("IFERROR(INDEX(FILTER('Kế hoạch chèn link (mới)'!$B$3:$B$2213,'Kế hoạch chèn link (mới)'!$D$3:$D$2213=$B448),1),"""")"),"https://techcombank.com/thong-tin/blog/phuong-phap-dau-tu-chung-chi-quy")</f>
        <v>https://techcombank.com/thong-tin/blog/phuong-phap-dau-tu-chung-chi-quy</v>
      </c>
      <c r="I448" s="25" t="str">
        <f>IFERROR(__xludf.DUMMYFUNCTION("IFERROR(INDEX(FILTER('Kế hoạch chèn link (mới)'!$C$3:$C$2213,'Kế hoạch chèn link (mới)'!$D$3:$D$2213=$B448),2),"""")"),"")</f>
        <v/>
      </c>
      <c r="J448" s="25" t="str">
        <f>IFERROR(__xludf.DUMMYFUNCTION("IFERROR(INDEX(FILTER('Kế hoạch chèn link (mới)'!$B$3:$B$2213,'Kế hoạch chèn link (mới)'!$D$3:$D$2213=$B448),2),"""")"),"")</f>
        <v/>
      </c>
      <c r="K448" s="25" t="str">
        <f>IFERROR(__xludf.DUMMYFUNCTION("IFERROR(INDEX(FILTER('Kế hoạch chèn link (mới)'!$C$3:$C$2213,'Kế hoạch chèn link (mới)'!$D$3:$D$2213=$B448),3),"""")"),"")</f>
        <v/>
      </c>
      <c r="L448" s="25" t="str">
        <f>IFERROR(__xludf.DUMMYFUNCTION("IFERROR(INDEX(FILTER('Kế hoạch chèn link (mới)'!$B$3:$B$2213,'Kế hoạch chèn link (mới)'!$D$3:$D$2213=$B448),3),"""")"),"")</f>
        <v/>
      </c>
      <c r="M448" s="25" t="str">
        <f>IFERROR(__xludf.DUMMYFUNCTION("IFERROR(INDEX(FILTER('Kế hoạch chèn link (mới)'!$C$3:$C$2213,'Kế hoạch chèn link (mới)'!$D$3:$D$2213=$B448),4),"""")"),"")</f>
        <v/>
      </c>
      <c r="N448" s="25" t="str">
        <f>IFERROR(__xludf.DUMMYFUNCTION("IFERROR(INDEX(FILTER('Kế hoạch chèn link (mới)'!$B$3:$B$2213,'Kế hoạch chèn link (mới)'!$D$3:$D$2213=$B448),4),"""")"),"")</f>
        <v/>
      </c>
      <c r="O448" s="25" t="str">
        <f>IFERROR(__xludf.DUMMYFUNCTION("IFERROR(INDEX(FILTER('Kế hoạch chèn link (mới)'!$C$3:$C$2213,'Kế hoạch chèn link (mới)'!$D$3:$D$2213=$B448),5),"""")"),"")</f>
        <v/>
      </c>
      <c r="P448" s="25" t="str">
        <f>IFERROR(__xludf.DUMMYFUNCTION("IFERROR(INDEX(FILTER('Kế hoạch chèn link (mới)'!$B$3:$B$2213,'Kế hoạch chèn link (mới)'!$D$3:$D$2213=$B448),5),"""")"),"")</f>
        <v/>
      </c>
    </row>
    <row r="449">
      <c r="A449" s="6">
        <f t="shared" si="1"/>
        <v>448</v>
      </c>
      <c r="B449" s="8" t="s">
        <v>2384</v>
      </c>
      <c r="C449" s="6">
        <f>COUNTIF('Kế hoạch chèn link (mới)'!$D$3:$D$2213,$B449)</f>
        <v>5</v>
      </c>
      <c r="D449" s="8" t="str">
        <f>IF(COUNTIFS('Kế hoạch chèn link (mới)'!$D$3:$D$2213,$B449,'Kế hoạch chèn link (mới)'!$I$3:$I$2213,"Đã chèn")&gt;=$C449,"Đã hoàn thành",IF(COUNTIFS('Kế hoạch chèn link (mới)'!$D$3:$D$2213,$B449,'Kế hoạch chèn link (mới)'!$I$3:$I$2213,"Đã chèn")&gt;0,"Đang làm","Chưa hoàn thành"))</f>
        <v>Chưa hoàn thành</v>
      </c>
      <c r="E449" s="8" t="b">
        <f t="shared" si="2"/>
        <v>0</v>
      </c>
      <c r="F449" s="25"/>
      <c r="G449" s="25" t="str">
        <f>IFERROR(__xludf.DUMMYFUNCTION("IFERROR(INDEX(FILTER('Kế hoạch chèn link (mới)'!$C$3:$C$2213,'Kế hoạch chèn link (mới)'!$D$3:$D$2213=$B449),1),"""")"),"sao kê tài khoản ngân hàng")</f>
        <v>sao kê tài khoản ngân hàng</v>
      </c>
      <c r="H449" s="25" t="str">
        <f>IFERROR(__xludf.DUMMYFUNCTION("IFERROR(INDEX(FILTER('Kế hoạch chèn link (mới)'!$B$3:$B$2213,'Kế hoạch chèn link (mới)'!$D$3:$D$2213=$B449),1),"""")"),"https://techcombank.com/thong-tin/blog/cach-sao-ke-tai-khoan-ngan-hang")</f>
        <v>https://techcombank.com/thong-tin/blog/cach-sao-ke-tai-khoan-ngan-hang</v>
      </c>
      <c r="I449" s="25" t="str">
        <f>IFERROR(__xludf.DUMMYFUNCTION("IFERROR(INDEX(FILTER('Kế hoạch chèn link (mới)'!$C$3:$C$2213,'Kế hoạch chèn link (mới)'!$D$3:$D$2213=$B449),2),"""")"),"kiểm tra thuế thu nhập cá nhân")</f>
        <v>kiểm tra thuế thu nhập cá nhân</v>
      </c>
      <c r="J449" s="25" t="str">
        <f>IFERROR(__xludf.DUMMYFUNCTION("IFERROR(INDEX(FILTER('Kế hoạch chèn link (mới)'!$B$3:$B$2213,'Kế hoạch chèn link (mới)'!$D$3:$D$2213=$B449),2),"""")"),"https://techcombank.com/thong-tin/blog/kiem-tra-thue-thu-nhap-ca-nhan")</f>
        <v>https://techcombank.com/thong-tin/blog/kiem-tra-thue-thu-nhap-ca-nhan</v>
      </c>
      <c r="K449" s="25" t="str">
        <f>IFERROR(__xludf.DUMMYFUNCTION("IFERROR(INDEX(FILTER('Kế hoạch chèn link (mới)'!$C$3:$C$2213,'Kế hoạch chèn link (mới)'!$D$3:$D$2213=$B449),3),"""")"),"lãi suất tiền gửi ngân hàng")</f>
        <v>lãi suất tiền gửi ngân hàng</v>
      </c>
      <c r="L449" s="25" t="str">
        <f>IFERROR(__xludf.DUMMYFUNCTION("IFERROR(INDEX(FILTER('Kế hoạch chèn link (mới)'!$B$3:$B$2213,'Kế hoạch chèn link (mới)'!$D$3:$D$2213=$B449),3),"""")"),"https://techcombank.com/thong-tin/blog/lai-suat-tiet-kiem")</f>
        <v>https://techcombank.com/thong-tin/blog/lai-suat-tiet-kiem</v>
      </c>
      <c r="M449" s="25" t="str">
        <f>IFERROR(__xludf.DUMMYFUNCTION("IFERROR(INDEX(FILTER('Kế hoạch chèn link (mới)'!$C$3:$C$2213,'Kế hoạch chèn link (mới)'!$D$3:$D$2213=$B449),4),"""")"),"cách tính lãi suất tiết kiệm ngân hàng")</f>
        <v>cách tính lãi suất tiết kiệm ngân hàng</v>
      </c>
      <c r="N449" s="25" t="str">
        <f>IFERROR(__xludf.DUMMYFUNCTION("IFERROR(INDEX(FILTER('Kế hoạch chèn link (mới)'!$B$3:$B$2213,'Kế hoạch chèn link (mới)'!$D$3:$D$2213=$B449),4),"""")"),"https://techcombank.com/thong-tin/blog/cach-tinh-lai-suat-tien-gui-tiet-kiem")</f>
        <v>https://techcombank.com/thong-tin/blog/cach-tinh-lai-suat-tien-gui-tiet-kiem</v>
      </c>
      <c r="O449" s="25" t="str">
        <f>IFERROR(__xludf.DUMMYFUNCTION("IFERROR(INDEX(FILTER('Kế hoạch chèn link (mới)'!$C$3:$C$2213,'Kế hoạch chèn link (mới)'!$D$3:$D$2213=$B449),5),"""")"),"cách đầu tư chứng chỉ quỹ")</f>
        <v>cách đầu tư chứng chỉ quỹ</v>
      </c>
      <c r="P449" s="25" t="str">
        <f>IFERROR(__xludf.DUMMYFUNCTION("IFERROR(INDEX(FILTER('Kế hoạch chèn link (mới)'!$B$3:$B$2213,'Kế hoạch chèn link (mới)'!$D$3:$D$2213=$B449),5),"""")"),"https://techcombank.com/thong-tin/blog/phuong-phap-dau-tu-chung-chi-quy")</f>
        <v>https://techcombank.com/thong-tin/blog/phuong-phap-dau-tu-chung-chi-quy</v>
      </c>
    </row>
    <row r="450">
      <c r="A450" s="6">
        <f t="shared" si="1"/>
        <v>449</v>
      </c>
      <c r="B450" s="8" t="s">
        <v>3078</v>
      </c>
      <c r="C450" s="6">
        <f>COUNTIF('Kế hoạch chèn link (mới)'!$D$3:$D$2213,$B450)</f>
        <v>3</v>
      </c>
      <c r="D450" s="8" t="str">
        <f>IF(COUNTIFS('Kế hoạch chèn link (mới)'!$D$3:$D$2213,$B450,'Kế hoạch chèn link (mới)'!$I$3:$I$2213,"Đã chèn")&gt;=$C450,"Đã hoàn thành",IF(COUNTIFS('Kế hoạch chèn link (mới)'!$D$3:$D$2213,$B450,'Kế hoạch chèn link (mới)'!$I$3:$I$2213,"Đã chèn")&gt;0,"Đang làm","Chưa hoàn thành"))</f>
        <v>Chưa hoàn thành</v>
      </c>
      <c r="E450" s="8" t="b">
        <f t="shared" si="2"/>
        <v>0</v>
      </c>
      <c r="F450" s="25"/>
      <c r="G450" s="25" t="str">
        <f>IFERROR(__xludf.DUMMYFUNCTION("IFERROR(INDEX(FILTER('Kế hoạch chèn link (mới)'!$C$3:$C$2213,'Kế hoạch chèn link (mới)'!$D$3:$D$2213=$B450),1),"""")"),"thuế hộ kinh doanh")</f>
        <v>thuế hộ kinh doanh</v>
      </c>
      <c r="H450" s="25" t="str">
        <f>IFERROR(__xludf.DUMMYFUNCTION("IFERROR(INDEX(FILTER('Kế hoạch chèn link (mới)'!$B$3:$B$2213,'Kế hoạch chèn link (mới)'!$D$3:$D$2213=$B450),1),"""")"),"https://techcombank.com/thong-tin/blog/ho-kinh-doanh-dong-thue-nhu-nao")</f>
        <v>https://techcombank.com/thong-tin/blog/ho-kinh-doanh-dong-thue-nhu-nao</v>
      </c>
      <c r="I450" s="25" t="str">
        <f>IFERROR(__xludf.DUMMYFUNCTION("IFERROR(INDEX(FILTER('Kế hoạch chèn link (mới)'!$C$3:$C$2213,'Kế hoạch chèn link (mới)'!$D$3:$D$2213=$B450),2),"""")"),"tài khoản hộ kinh doanh")</f>
        <v>tài khoản hộ kinh doanh</v>
      </c>
      <c r="J450" s="25" t="str">
        <f>IFERROR(__xludf.DUMMYFUNCTION("IFERROR(INDEX(FILTER('Kế hoạch chèn link (mới)'!$B$3:$B$2213,'Kế hoạch chèn link (mới)'!$D$3:$D$2213=$B450),2),"""")"),"https://techcombank.com/thong-tin/blog/mo-tai-khoan-ho-kinh-doanh")</f>
        <v>https://techcombank.com/thong-tin/blog/mo-tai-khoan-ho-kinh-doanh</v>
      </c>
      <c r="K450" s="25" t="str">
        <f>IFERROR(__xludf.DUMMYFUNCTION("IFERROR(INDEX(FILTER('Kế hoạch chèn link (mới)'!$C$3:$C$2213,'Kế hoạch chèn link (mới)'!$D$3:$D$2213=$B450),3),"""")"),"nên vay tín chấp ở đâu")</f>
        <v>nên vay tín chấp ở đâu</v>
      </c>
      <c r="L450" s="25" t="str">
        <f>IFERROR(__xludf.DUMMYFUNCTION("IFERROR(INDEX(FILTER('Kế hoạch chèn link (mới)'!$B$3:$B$2213,'Kế hoạch chèn link (mới)'!$D$3:$D$2213=$B450),3),"""")"),"https://techcombank.com/thong-tin/blog/nen-vay-tin-chap-o-dau")</f>
        <v>https://techcombank.com/thong-tin/blog/nen-vay-tin-chap-o-dau</v>
      </c>
      <c r="M450" s="25" t="str">
        <f>IFERROR(__xludf.DUMMYFUNCTION("IFERROR(INDEX(FILTER('Kế hoạch chèn link (mới)'!$C$3:$C$2213,'Kế hoạch chèn link (mới)'!$D$3:$D$2213=$B450),4),"""")"),"")</f>
        <v/>
      </c>
      <c r="N450" s="25" t="str">
        <f>IFERROR(__xludf.DUMMYFUNCTION("IFERROR(INDEX(FILTER('Kế hoạch chèn link (mới)'!$B$3:$B$2213,'Kế hoạch chèn link (mới)'!$D$3:$D$2213=$B450),4),"""")"),"")</f>
        <v/>
      </c>
      <c r="O450" s="25" t="str">
        <f>IFERROR(__xludf.DUMMYFUNCTION("IFERROR(INDEX(FILTER('Kế hoạch chèn link (mới)'!$C$3:$C$2213,'Kế hoạch chèn link (mới)'!$D$3:$D$2213=$B450),5),"""")"),"")</f>
        <v/>
      </c>
      <c r="P450" s="25" t="str">
        <f>IFERROR(__xludf.DUMMYFUNCTION("IFERROR(INDEX(FILTER('Kế hoạch chèn link (mới)'!$B$3:$B$2213,'Kế hoạch chèn link (mới)'!$D$3:$D$2213=$B450),5),"""")"),"")</f>
        <v/>
      </c>
    </row>
    <row r="451">
      <c r="A451" s="6">
        <f t="shared" si="1"/>
        <v>450</v>
      </c>
      <c r="B451" s="8" t="s">
        <v>427</v>
      </c>
      <c r="C451" s="6">
        <f>COUNTIF('Kế hoạch chèn link (mới)'!$D$3:$D$2213,$B451)</f>
        <v>5</v>
      </c>
      <c r="D451" s="8" t="str">
        <f>IF(COUNTIFS('Kế hoạch chèn link (mới)'!$D$3:$D$2213,$B451,'Kế hoạch chèn link (mới)'!$I$3:$I$2213,"Đã chèn")&gt;=$C451,"Đã hoàn thành",IF(COUNTIFS('Kế hoạch chèn link (mới)'!$D$3:$D$2213,$B451,'Kế hoạch chèn link (mới)'!$I$3:$I$2213,"Đã chèn")&gt;0,"Đang làm","Chưa hoàn thành"))</f>
        <v>Chưa hoàn thành</v>
      </c>
      <c r="E451" s="8" t="b">
        <f t="shared" si="2"/>
        <v>0</v>
      </c>
      <c r="F451" s="25"/>
      <c r="G451" s="25" t="str">
        <f>IFERROR(__xludf.DUMMYFUNCTION("IFERROR(INDEX(FILTER('Kế hoạch chèn link (mới)'!$C$3:$C$2213,'Kế hoạch chèn link (mới)'!$D$3:$D$2213=$B451),1),"""")"),"đóng thuế đất online")</f>
        <v>đóng thuế đất online</v>
      </c>
      <c r="H451" s="25" t="str">
        <f>IFERROR(__xludf.DUMMYFUNCTION("IFERROR(INDEX(FILTER('Kế hoạch chèn link (mới)'!$B$3:$B$2213,'Kế hoạch chèn link (mới)'!$D$3:$D$2213=$B451),1),"""")"),"https://techcombank.com/thong-tin/blog/nop-thue-dat-qua-ngan-hang")</f>
        <v>https://techcombank.com/thong-tin/blog/nop-thue-dat-qua-ngan-hang</v>
      </c>
      <c r="I451" s="25" t="str">
        <f>IFERROR(__xludf.DUMMYFUNCTION("IFERROR(INDEX(FILTER('Kế hoạch chèn link (mới)'!$C$3:$C$2213,'Kế hoạch chèn link (mới)'!$D$3:$D$2213=$B451),2),"""")"),"nộp thuế online")</f>
        <v>nộp thuế online</v>
      </c>
      <c r="J451" s="25" t="str">
        <f>IFERROR(__xludf.DUMMYFUNCTION("IFERROR(INDEX(FILTER('Kế hoạch chèn link (mới)'!$B$3:$B$2213,'Kế hoạch chèn link (mới)'!$D$3:$D$2213=$B451),2),"""")"),"https://techcombank.com/thong-tin/blog/cach-nop-thue-dien-tu")</f>
        <v>https://techcombank.com/thong-tin/blog/cach-nop-thue-dien-tu</v>
      </c>
      <c r="K451" s="25" t="str">
        <f>IFERROR(__xludf.DUMMYFUNCTION("IFERROR(INDEX(FILTER('Kế hoạch chèn link (mới)'!$C$3:$C$2213,'Kế hoạch chèn link (mới)'!$D$3:$D$2213=$B451),3),"""")"),"thuế thu nhập cá nhân")</f>
        <v>thuế thu nhập cá nhân</v>
      </c>
      <c r="L451" s="25" t="str">
        <f>IFERROR(__xludf.DUMMYFUNCTION("IFERROR(INDEX(FILTER('Kế hoạch chèn link (mới)'!$B$3:$B$2213,'Kế hoạch chèn link (mới)'!$D$3:$D$2213=$B451),3),"""")"),"https://techcombank.com/thong-tin/blog/cach-tinh-thue-thu-nhap-ca-nhan-2025")</f>
        <v>https://techcombank.com/thong-tin/blog/cach-tinh-thue-thu-nhap-ca-nhan-2025</v>
      </c>
      <c r="M451" s="25" t="str">
        <f>IFERROR(__xludf.DUMMYFUNCTION("IFERROR(INDEX(FILTER('Kế hoạch chèn link (mới)'!$C$3:$C$2213,'Kế hoạch chèn link (mới)'!$D$3:$D$2213=$B451),4),"""")"),"thuế hộ kinh doanh")</f>
        <v>thuế hộ kinh doanh</v>
      </c>
      <c r="N451" s="25" t="str">
        <f>IFERROR(__xludf.DUMMYFUNCTION("IFERROR(INDEX(FILTER('Kế hoạch chèn link (mới)'!$B$3:$B$2213,'Kế hoạch chèn link (mới)'!$D$3:$D$2213=$B451),4),"""")"),"https://techcombank.com/thong-tin/blog/ho-kinh-doanh-dong-thue-nhu-nao")</f>
        <v>https://techcombank.com/thong-tin/blog/ho-kinh-doanh-dong-thue-nhu-nao</v>
      </c>
      <c r="O451" s="25" t="str">
        <f>IFERROR(__xludf.DUMMYFUNCTION("IFERROR(INDEX(FILTER('Kế hoạch chèn link (mới)'!$C$3:$C$2213,'Kế hoạch chèn link (mới)'!$D$3:$D$2213=$B451),5),"""")"),"cách tính thuế hộ kinh doanh")</f>
        <v>cách tính thuế hộ kinh doanh</v>
      </c>
      <c r="P451" s="25" t="str">
        <f>IFERROR(__xludf.DUMMYFUNCTION("IFERROR(INDEX(FILTER('Kế hoạch chèn link (mới)'!$B$3:$B$2213,'Kế hoạch chèn link (mới)'!$D$3:$D$2213=$B451),5),"""")"),"https://techcombank.com/thong-tin/blog/cach-tinh-thue-ho-kinh-doanh-nho-le")</f>
        <v>https://techcombank.com/thong-tin/blog/cach-tinh-thue-ho-kinh-doanh-nho-le</v>
      </c>
    </row>
    <row r="452">
      <c r="A452" s="6">
        <f t="shared" si="1"/>
        <v>451</v>
      </c>
      <c r="B452" s="8" t="s">
        <v>3079</v>
      </c>
      <c r="C452" s="6">
        <f>COUNTIF('Kế hoạch chèn link (mới)'!$D$3:$D$2213,$B452)</f>
        <v>3</v>
      </c>
      <c r="D452" s="8" t="str">
        <f>IF(COUNTIFS('Kế hoạch chèn link (mới)'!$D$3:$D$2213,$B452,'Kế hoạch chèn link (mới)'!$I$3:$I$2213,"Đã chèn")&gt;=$C452,"Đã hoàn thành",IF(COUNTIFS('Kế hoạch chèn link (mới)'!$D$3:$D$2213,$B452,'Kế hoạch chèn link (mới)'!$I$3:$I$2213,"Đã chèn")&gt;0,"Đang làm","Chưa hoàn thành"))</f>
        <v>Chưa hoàn thành</v>
      </c>
      <c r="E452" s="8" t="b">
        <f t="shared" si="2"/>
        <v>0</v>
      </c>
      <c r="F452" s="25"/>
      <c r="G452" s="25" t="str">
        <f>IFERROR(__xludf.DUMMYFUNCTION("IFERROR(INDEX(FILTER('Kế hoạch chèn link (mới)'!$C$3:$C$2213,'Kế hoạch chèn link (mới)'!$D$3:$D$2213=$B452),1),"""")"),"1 Tệ bằng bao nhiêu tiền Việt")</f>
        <v>1 Tệ bằng bao nhiêu tiền Việt</v>
      </c>
      <c r="H452" s="25" t="str">
        <f>IFERROR(__xludf.DUMMYFUNCTION("IFERROR(INDEX(FILTER('Kế hoạch chèn link (mới)'!$B$3:$B$2213,'Kế hoạch chèn link (mới)'!$D$3:$D$2213=$B452),1),"""")"),"https://techcombank.com/thong-tin/blog/1-te-bang-bao-nhieu-tien-viet-nam")</f>
        <v>https://techcombank.com/thong-tin/blog/1-te-bang-bao-nhieu-tien-viet-nam</v>
      </c>
      <c r="I452" s="25" t="str">
        <f>IFERROR(__xludf.DUMMYFUNCTION("IFERROR(INDEX(FILTER('Kế hoạch chèn link (mới)'!$C$3:$C$2213,'Kế hoạch chèn link (mới)'!$D$3:$D$2213=$B452),2),"""")"),"1 triệu đô bằng bao nhiêu tiền Việt")</f>
        <v>1 triệu đô bằng bao nhiêu tiền Việt</v>
      </c>
      <c r="J452" s="25" t="str">
        <f>IFERROR(__xludf.DUMMYFUNCTION("IFERROR(INDEX(FILTER('Kế hoạch chèn link (mới)'!$B$3:$B$2213,'Kế hoạch chèn link (mới)'!$D$3:$D$2213=$B452),2),"""")"),"https://techcombank.com/thong-tin/blog/1-trieu-do-bang-bao-nhieu-tien-viet")</f>
        <v>https://techcombank.com/thong-tin/blog/1-trieu-do-bang-bao-nhieu-tien-viet</v>
      </c>
      <c r="K452" s="25" t="str">
        <f>IFERROR(__xludf.DUMMYFUNCTION("IFERROR(INDEX(FILTER('Kế hoạch chèn link (mới)'!$C$3:$C$2213,'Kế hoạch chèn link (mới)'!$D$3:$D$2213=$B452),3),"""")"),"đổi tiền đô ở đâu")</f>
        <v>đổi tiền đô ở đâu</v>
      </c>
      <c r="L452" s="25" t="str">
        <f>IFERROR(__xludf.DUMMYFUNCTION("IFERROR(INDEX(FILTER('Kế hoạch chèn link (mới)'!$B$3:$B$2213,'Kế hoạch chèn link (mới)'!$D$3:$D$2213=$B452),3),"""")"),"https://techcombank.com/thong-tin/blog/doi-tien-do-o-dau")</f>
        <v>https://techcombank.com/thong-tin/blog/doi-tien-do-o-dau</v>
      </c>
      <c r="M452" s="25" t="str">
        <f>IFERROR(__xludf.DUMMYFUNCTION("IFERROR(INDEX(FILTER('Kế hoạch chèn link (mới)'!$C$3:$C$2213,'Kế hoạch chèn link (mới)'!$D$3:$D$2213=$B452),4),"""")"),"")</f>
        <v/>
      </c>
      <c r="N452" s="25" t="str">
        <f>IFERROR(__xludf.DUMMYFUNCTION("IFERROR(INDEX(FILTER('Kế hoạch chèn link (mới)'!$B$3:$B$2213,'Kế hoạch chèn link (mới)'!$D$3:$D$2213=$B452),4),"""")"),"")</f>
        <v/>
      </c>
      <c r="O452" s="25" t="str">
        <f>IFERROR(__xludf.DUMMYFUNCTION("IFERROR(INDEX(FILTER('Kế hoạch chèn link (mới)'!$C$3:$C$2213,'Kế hoạch chèn link (mới)'!$D$3:$D$2213=$B452),5),"""")"),"")</f>
        <v/>
      </c>
      <c r="P452" s="25" t="str">
        <f>IFERROR(__xludf.DUMMYFUNCTION("IFERROR(INDEX(FILTER('Kế hoạch chèn link (mới)'!$B$3:$B$2213,'Kế hoạch chèn link (mới)'!$D$3:$D$2213=$B452),5),"""")"),"")</f>
        <v/>
      </c>
    </row>
    <row r="453">
      <c r="A453" s="6">
        <f t="shared" si="1"/>
        <v>452</v>
      </c>
      <c r="B453" s="8" t="s">
        <v>3080</v>
      </c>
      <c r="C453" s="6">
        <f>COUNTIF('Kế hoạch chèn link (mới)'!$D$3:$D$2213,$B453)</f>
        <v>4</v>
      </c>
      <c r="D453" s="8" t="str">
        <f>IF(COUNTIFS('Kế hoạch chèn link (mới)'!$D$3:$D$2213,$B453,'Kế hoạch chèn link (mới)'!$I$3:$I$2213,"Đã chèn")&gt;=$C453,"Đã hoàn thành",IF(COUNTIFS('Kế hoạch chèn link (mới)'!$D$3:$D$2213,$B453,'Kế hoạch chèn link (mới)'!$I$3:$I$2213,"Đã chèn")&gt;0,"Đang làm","Chưa hoàn thành"))</f>
        <v>Chưa hoàn thành</v>
      </c>
      <c r="E453" s="8" t="b">
        <f t="shared" si="2"/>
        <v>0</v>
      </c>
      <c r="F453" s="25"/>
      <c r="G453" s="25" t="str">
        <f>IFERROR(__xludf.DUMMYFUNCTION("IFERROR(INDEX(FILTER('Kế hoạch chèn link (mới)'!$C$3:$C$2213,'Kế hoạch chèn link (mới)'!$D$3:$D$2213=$B453),1),"""")"),"eco card")</f>
        <v>eco card</v>
      </c>
      <c r="H453" s="25" t="str">
        <f>IFERROR(__xludf.DUMMYFUNCTION("IFERROR(INDEX(FILTER('Kế hoạch chèn link (mới)'!$B$3:$B$2213,'Kế hoạch chèn link (mới)'!$D$3:$D$2213=$B453),1),"""")"),"https://techcombank.com/thong-tin/blog/eco-card")</f>
        <v>https://techcombank.com/thong-tin/blog/eco-card</v>
      </c>
      <c r="I453" s="25" t="str">
        <f>IFERROR(__xludf.DUMMYFUNCTION("IFERROR(INDEX(FILTER('Kế hoạch chèn link (mới)'!$C$3:$C$2213,'Kế hoạch chèn link (mới)'!$D$3:$D$2213=$B453),2),"""")"),"rút tiền thẻ tín dụng")</f>
        <v>rút tiền thẻ tín dụng</v>
      </c>
      <c r="J453" s="25" t="str">
        <f>IFERROR(__xludf.DUMMYFUNCTION("IFERROR(INDEX(FILTER('Kế hoạch chèn link (mới)'!$B$3:$B$2213,'Kế hoạch chèn link (mới)'!$D$3:$D$2213=$B453),2),"""")"),"https://techcombank.com/thong-tin/blog/rut-tien-mat-tu-the-tin-dung")</f>
        <v>https://techcombank.com/thong-tin/blog/rut-tien-mat-tu-the-tin-dung</v>
      </c>
      <c r="K453" s="25" t="str">
        <f>IFERROR(__xludf.DUMMYFUNCTION("IFERROR(INDEX(FILTER('Kế hoạch chèn link (mới)'!$C$3:$C$2213,'Kế hoạch chèn link (mới)'!$D$3:$D$2213=$B453),3),"""")"),"cách tiết kiệm tiền")</f>
        <v>cách tiết kiệm tiền</v>
      </c>
      <c r="L453" s="25" t="str">
        <f>IFERROR(__xludf.DUMMYFUNCTION("IFERROR(INDEX(FILTER('Kế hoạch chèn link (mới)'!$B$3:$B$2213,'Kế hoạch chèn link (mới)'!$D$3:$D$2213=$B453),3),"""")"),"https://techcombank.com/thong-tin/blog/cach-tiet-kiem-tien")</f>
        <v>https://techcombank.com/thong-tin/blog/cach-tiet-kiem-tien</v>
      </c>
      <c r="M453" s="25" t="str">
        <f>IFERROR(__xludf.DUMMYFUNCTION("IFERROR(INDEX(FILTER('Kế hoạch chèn link (mới)'!$C$3:$C$2213,'Kế hoạch chèn link (mới)'!$D$3:$D$2213=$B453),4),"""")"),"nợ xấu")</f>
        <v>nợ xấu</v>
      </c>
      <c r="N453" s="25" t="str">
        <f>IFERROR(__xludf.DUMMYFUNCTION("IFERROR(INDEX(FILTER('Kế hoạch chèn link (mới)'!$B$3:$B$2213,'Kế hoạch chèn link (mới)'!$D$3:$D$2213=$B453),4),"""")"),"https://techcombank.com/thong-tin/blog/no-xau-la-gi")</f>
        <v>https://techcombank.com/thong-tin/blog/no-xau-la-gi</v>
      </c>
      <c r="O453" s="25" t="str">
        <f>IFERROR(__xludf.DUMMYFUNCTION("IFERROR(INDEX(FILTER('Kế hoạch chèn link (mới)'!$C$3:$C$2213,'Kế hoạch chèn link (mới)'!$D$3:$D$2213=$B453),5),"""")"),"")</f>
        <v/>
      </c>
      <c r="P453" s="25" t="str">
        <f>IFERROR(__xludf.DUMMYFUNCTION("IFERROR(INDEX(FILTER('Kế hoạch chèn link (mới)'!$B$3:$B$2213,'Kế hoạch chèn link (mới)'!$D$3:$D$2213=$B453),5),"""")"),"")</f>
        <v/>
      </c>
    </row>
    <row r="454">
      <c r="A454" s="6">
        <f t="shared" si="1"/>
        <v>453</v>
      </c>
      <c r="B454" s="8" t="s">
        <v>3081</v>
      </c>
      <c r="C454" s="6">
        <f>COUNTIF('Kế hoạch chèn link (mới)'!$D$3:$D$2213,$B454)</f>
        <v>3</v>
      </c>
      <c r="D454" s="8" t="str">
        <f>IF(COUNTIFS('Kế hoạch chèn link (mới)'!$D$3:$D$2213,$B454,'Kế hoạch chèn link (mới)'!$I$3:$I$2213,"Đã chèn")&gt;=$C454,"Đã hoàn thành",IF(COUNTIFS('Kế hoạch chèn link (mới)'!$D$3:$D$2213,$B454,'Kế hoạch chèn link (mới)'!$I$3:$I$2213,"Đã chèn")&gt;0,"Đang làm","Chưa hoàn thành"))</f>
        <v>Chưa hoàn thành</v>
      </c>
      <c r="E454" s="8" t="b">
        <f t="shared" si="2"/>
        <v>0</v>
      </c>
      <c r="F454" s="25"/>
      <c r="G454" s="25" t="str">
        <f>IFERROR(__xludf.DUMMYFUNCTION("IFERROR(INDEX(FILTER('Kế hoạch chèn link (mới)'!$C$3:$C$2213,'Kế hoạch chèn link (mới)'!$D$3:$D$2213=$B454),1),"""")"),"thẻ Eco")</f>
        <v>thẻ Eco</v>
      </c>
      <c r="H454" s="25" t="str">
        <f>IFERROR(__xludf.DUMMYFUNCTION("IFERROR(INDEX(FILTER('Kế hoạch chèn link (mới)'!$B$3:$B$2213,'Kế hoạch chèn link (mới)'!$D$3:$D$2213=$B454),1),"""")"),"https://techcombank.com/thong-tin/blog/eco-card")</f>
        <v>https://techcombank.com/thong-tin/blog/eco-card</v>
      </c>
      <c r="I454" s="25" t="str">
        <f>IFERROR(__xludf.DUMMYFUNCTION("IFERROR(INDEX(FILTER('Kế hoạch chèn link (mới)'!$C$3:$C$2213,'Kế hoạch chèn link (mới)'!$D$3:$D$2213=$B454),2),"""")"),"hủy thẻ tín dụng")</f>
        <v>hủy thẻ tín dụng</v>
      </c>
      <c r="J454" s="25" t="str">
        <f>IFERROR(__xludf.DUMMYFUNCTION("IFERROR(INDEX(FILTER('Kế hoạch chèn link (mới)'!$B$3:$B$2213,'Kế hoạch chèn link (mới)'!$D$3:$D$2213=$B454),2),"""")"),"https://techcombank.com/thong-tin/blog/cach-huy-the-tin-dung")</f>
        <v>https://techcombank.com/thong-tin/blog/cach-huy-the-tin-dung</v>
      </c>
      <c r="K454" s="25" t="str">
        <f>IFERROR(__xludf.DUMMYFUNCTION("IFERROR(INDEX(FILTER('Kế hoạch chèn link (mới)'!$C$3:$C$2213,'Kế hoạch chèn link (mới)'!$D$3:$D$2213=$B454),3),"""")"),"vay thấu chi")</f>
        <v>vay thấu chi</v>
      </c>
      <c r="L454" s="25" t="str">
        <f>IFERROR(__xludf.DUMMYFUNCTION("IFERROR(INDEX(FILTER('Kế hoạch chèn link (mới)'!$B$3:$B$2213,'Kế hoạch chèn link (mới)'!$D$3:$D$2213=$B454),3),"""")"),"https://techcombank.com/thong-tin/blog/vay-thau-chi-la-gi")</f>
        <v>https://techcombank.com/thong-tin/blog/vay-thau-chi-la-gi</v>
      </c>
      <c r="M454" s="25" t="str">
        <f>IFERROR(__xludf.DUMMYFUNCTION("IFERROR(INDEX(FILTER('Kế hoạch chèn link (mới)'!$C$3:$C$2213,'Kế hoạch chèn link (mới)'!$D$3:$D$2213=$B454),4),"""")"),"")</f>
        <v/>
      </c>
      <c r="N454" s="25" t="str">
        <f>IFERROR(__xludf.DUMMYFUNCTION("IFERROR(INDEX(FILTER('Kế hoạch chèn link (mới)'!$B$3:$B$2213,'Kế hoạch chèn link (mới)'!$D$3:$D$2213=$B454),4),"""")"),"")</f>
        <v/>
      </c>
      <c r="O454" s="25" t="str">
        <f>IFERROR(__xludf.DUMMYFUNCTION("IFERROR(INDEX(FILTER('Kế hoạch chèn link (mới)'!$C$3:$C$2213,'Kế hoạch chèn link (mới)'!$D$3:$D$2213=$B454),5),"""")"),"")</f>
        <v/>
      </c>
      <c r="P454" s="25" t="str">
        <f>IFERROR(__xludf.DUMMYFUNCTION("IFERROR(INDEX(FILTER('Kế hoạch chèn link (mới)'!$B$3:$B$2213,'Kế hoạch chèn link (mới)'!$D$3:$D$2213=$B454),5),"""")"),"")</f>
        <v/>
      </c>
    </row>
    <row r="455">
      <c r="A455" s="6">
        <f t="shared" si="1"/>
        <v>454</v>
      </c>
      <c r="B455" s="8" t="s">
        <v>3082</v>
      </c>
      <c r="C455" s="6">
        <f>COUNTIF('Kế hoạch chèn link (mới)'!$D$3:$D$2213,$B455)</f>
        <v>5</v>
      </c>
      <c r="D455" s="8" t="str">
        <f>IF(COUNTIFS('Kế hoạch chèn link (mới)'!$D$3:$D$2213,$B455,'Kế hoạch chèn link (mới)'!$I$3:$I$2213,"Đã chèn")&gt;=$C455,"Đã hoàn thành",IF(COUNTIFS('Kế hoạch chèn link (mới)'!$D$3:$D$2213,$B455,'Kế hoạch chèn link (mới)'!$I$3:$I$2213,"Đã chèn")&gt;0,"Đang làm","Chưa hoàn thành"))</f>
        <v>Chưa hoàn thành</v>
      </c>
      <c r="E455" s="8" t="b">
        <f t="shared" si="2"/>
        <v>0</v>
      </c>
      <c r="F455" s="25"/>
      <c r="G455" s="25" t="str">
        <f>IFERROR(__xludf.DUMMYFUNCTION("IFERROR(INDEX(FILTER('Kế hoạch chèn link (mới)'!$C$3:$C$2213,'Kế hoạch chèn link (mới)'!$D$3:$D$2213=$B455),1),"""")"),"cách tính lãi suất vay")</f>
        <v>cách tính lãi suất vay</v>
      </c>
      <c r="H455" s="25" t="str">
        <f>IFERROR(__xludf.DUMMYFUNCTION("IFERROR(INDEX(FILTER('Kế hoạch chèn link (mới)'!$B$3:$B$2213,'Kế hoạch chèn link (mới)'!$D$3:$D$2213=$B455),1),"""")"),"https://techcombank.com/thong-tin/blog/cach-tinh-lai-vay-ngan-hang")</f>
        <v>https://techcombank.com/thong-tin/blog/cach-tinh-lai-vay-ngan-hang</v>
      </c>
      <c r="I455" s="25" t="str">
        <f>IFERROR(__xludf.DUMMYFUNCTION("IFERROR(INDEX(FILTER('Kế hoạch chèn link (mới)'!$C$3:$C$2213,'Kế hoạch chèn link (mới)'!$D$3:$D$2213=$B455),2),"""")"),"lãi suất vay thế chấp sổ đỏ")</f>
        <v>lãi suất vay thế chấp sổ đỏ</v>
      </c>
      <c r="J455" s="25" t="str">
        <f>IFERROR(__xludf.DUMMYFUNCTION("IFERROR(INDEX(FILTER('Kế hoạch chèn link (mới)'!$B$3:$B$2213,'Kế hoạch chèn link (mới)'!$D$3:$D$2213=$B455),2),"""")"),"https://techcombank.com/thong-tin/blog/lai-suat-vay-the-chap-so-do")</f>
        <v>https://techcombank.com/thong-tin/blog/lai-suat-vay-the-chap-so-do</v>
      </c>
      <c r="K455" s="25" t="str">
        <f>IFERROR(__xludf.DUMMYFUNCTION("IFERROR(INDEX(FILTER('Kế hoạch chèn link (mới)'!$C$3:$C$2213,'Kế hoạch chèn link (mới)'!$D$3:$D$2213=$B455),3),"""")"),"tính lãi suất vay ngân hàng")</f>
        <v>tính lãi suất vay ngân hàng</v>
      </c>
      <c r="L455" s="25" t="str">
        <f>IFERROR(__xludf.DUMMYFUNCTION("IFERROR(INDEX(FILTER('Kế hoạch chèn link (mới)'!$B$3:$B$2213,'Kế hoạch chèn link (mới)'!$D$3:$D$2213=$B455),3),"""")"),"https://techcombank.com/cong-cu-tien-ich/cong-cu-tinh-toan/bang-tinh-lai-suat-vay")</f>
        <v>https://techcombank.com/cong-cu-tien-ich/cong-cu-tinh-toan/bang-tinh-lai-suat-vay</v>
      </c>
      <c r="M455" s="25" t="str">
        <f>IFERROR(__xludf.DUMMYFUNCTION("IFERROR(INDEX(FILTER('Kế hoạch chèn link (mới)'!$C$3:$C$2213,'Kế hoạch chèn link (mới)'!$D$3:$D$2213=$B455),4),"""")"),"vay tiền")</f>
        <v>vay tiền</v>
      </c>
      <c r="N455" s="25" t="str">
        <f>IFERROR(__xludf.DUMMYFUNCTION("IFERROR(INDEX(FILTER('Kế hoạch chèn link (mới)'!$B$3:$B$2213,'Kế hoạch chèn link (mới)'!$D$3:$D$2213=$B455),4),"""")"),"https://techcombank.com/thong-tin/blog/app-vay-tien-nhanh")</f>
        <v>https://techcombank.com/thong-tin/blog/app-vay-tien-nhanh</v>
      </c>
      <c r="O455" s="25" t="str">
        <f>IFERROR(__xludf.DUMMYFUNCTION("IFERROR(INDEX(FILTER('Kế hoạch chèn link (mới)'!$C$3:$C$2213,'Kế hoạch chèn link (mới)'!$D$3:$D$2213=$B455),5),"""")"),"lãi suất cho vay ngân hàng")</f>
        <v>lãi suất cho vay ngân hàng</v>
      </c>
      <c r="P455" s="25" t="str">
        <f>IFERROR(__xludf.DUMMYFUNCTION("IFERROR(INDEX(FILTER('Kế hoạch chèn link (mới)'!$B$3:$B$2213,'Kế hoạch chèn link (mới)'!$D$3:$D$2213=$B455),5),"""")"),"https://techcombank.com/thong-tin/blog/lai-suat-vay-ngan-hang")</f>
        <v>https://techcombank.com/thong-tin/blog/lai-suat-vay-ngan-hang</v>
      </c>
    </row>
    <row r="456">
      <c r="A456" s="6">
        <f t="shared" si="1"/>
        <v>455</v>
      </c>
      <c r="B456" s="8" t="s">
        <v>1179</v>
      </c>
      <c r="C456" s="6">
        <f>COUNTIF('Kế hoạch chèn link (mới)'!$D$3:$D$2213,$B456)</f>
        <v>1</v>
      </c>
      <c r="D456" s="8" t="str">
        <f>IF(COUNTIFS('Kế hoạch chèn link (mới)'!$D$3:$D$2213,$B456,'Kế hoạch chèn link (mới)'!$I$3:$I$2213,"Đã chèn")&gt;=$C456,"Đã hoàn thành",IF(COUNTIFS('Kế hoạch chèn link (mới)'!$D$3:$D$2213,$B456,'Kế hoạch chèn link (mới)'!$I$3:$I$2213,"Đã chèn")&gt;0,"Đang làm","Chưa hoàn thành"))</f>
        <v>Chưa hoàn thành</v>
      </c>
      <c r="E456" s="8" t="b">
        <f t="shared" si="2"/>
        <v>0</v>
      </c>
      <c r="F456" s="25"/>
      <c r="G456" s="25" t="str">
        <f>IFERROR(__xludf.DUMMYFUNCTION("IFERROR(INDEX(FILTER('Kế hoạch chèn link (mới)'!$C$3:$C$2213,'Kế hoạch chèn link (mới)'!$D$3:$D$2213=$B456),1),"""")"),"rủi ro khi gửi tiết kiệm online")</f>
        <v>rủi ro khi gửi tiết kiệm online</v>
      </c>
      <c r="H456" s="25" t="str">
        <f>IFERROR(__xludf.DUMMYFUNCTION("IFERROR(INDEX(FILTER('Kế hoạch chèn link (mới)'!$B$3:$B$2213,'Kế hoạch chèn link (mới)'!$D$3:$D$2213=$B456),1),"""")"),"https://techcombank.com/thong-tin/blog/rui-ro-khi-gui-tiet-kiem-online")</f>
        <v>https://techcombank.com/thong-tin/blog/rui-ro-khi-gui-tiet-kiem-online</v>
      </c>
      <c r="I456" s="25" t="str">
        <f>IFERROR(__xludf.DUMMYFUNCTION("IFERROR(INDEX(FILTER('Kế hoạch chèn link (mới)'!$C$3:$C$2213,'Kế hoạch chèn link (mới)'!$D$3:$D$2213=$B456),2),"""")"),"")</f>
        <v/>
      </c>
      <c r="J456" s="25" t="str">
        <f>IFERROR(__xludf.DUMMYFUNCTION("IFERROR(INDEX(FILTER('Kế hoạch chèn link (mới)'!$B$3:$B$2213,'Kế hoạch chèn link (mới)'!$D$3:$D$2213=$B456),2),"""")"),"")</f>
        <v/>
      </c>
      <c r="K456" s="25" t="str">
        <f>IFERROR(__xludf.DUMMYFUNCTION("IFERROR(INDEX(FILTER('Kế hoạch chèn link (mới)'!$C$3:$C$2213,'Kế hoạch chèn link (mới)'!$D$3:$D$2213=$B456),3),"""")"),"")</f>
        <v/>
      </c>
      <c r="L456" s="25" t="str">
        <f>IFERROR(__xludf.DUMMYFUNCTION("IFERROR(INDEX(FILTER('Kế hoạch chèn link (mới)'!$B$3:$B$2213,'Kế hoạch chèn link (mới)'!$D$3:$D$2213=$B456),3),"""")"),"")</f>
        <v/>
      </c>
      <c r="M456" s="25" t="str">
        <f>IFERROR(__xludf.DUMMYFUNCTION("IFERROR(INDEX(FILTER('Kế hoạch chèn link (mới)'!$C$3:$C$2213,'Kế hoạch chèn link (mới)'!$D$3:$D$2213=$B456),4),"""")"),"")</f>
        <v/>
      </c>
      <c r="N456" s="25" t="str">
        <f>IFERROR(__xludf.DUMMYFUNCTION("IFERROR(INDEX(FILTER('Kế hoạch chèn link (mới)'!$B$3:$B$2213,'Kế hoạch chèn link (mới)'!$D$3:$D$2213=$B456),4),"""")"),"")</f>
        <v/>
      </c>
      <c r="O456" s="25" t="str">
        <f>IFERROR(__xludf.DUMMYFUNCTION("IFERROR(INDEX(FILTER('Kế hoạch chèn link (mới)'!$C$3:$C$2213,'Kế hoạch chèn link (mới)'!$D$3:$D$2213=$B456),5),"""")"),"")</f>
        <v/>
      </c>
      <c r="P456" s="25" t="str">
        <f>IFERROR(__xludf.DUMMYFUNCTION("IFERROR(INDEX(FILTER('Kế hoạch chèn link (mới)'!$B$3:$B$2213,'Kế hoạch chèn link (mới)'!$D$3:$D$2213=$B456),5),"""")"),"")</f>
        <v/>
      </c>
    </row>
    <row r="457">
      <c r="A457" s="6">
        <f t="shared" si="1"/>
        <v>456</v>
      </c>
      <c r="B457" s="8" t="s">
        <v>3083</v>
      </c>
      <c r="C457" s="6">
        <f>COUNTIF('Kế hoạch chèn link (mới)'!$D$3:$D$2213,$B457)</f>
        <v>4</v>
      </c>
      <c r="D457" s="8" t="str">
        <f>IF(COUNTIFS('Kế hoạch chèn link (mới)'!$D$3:$D$2213,$B457,'Kế hoạch chèn link (mới)'!$I$3:$I$2213,"Đã chèn")&gt;=$C457,"Đã hoàn thành",IF(COUNTIFS('Kế hoạch chèn link (mới)'!$D$3:$D$2213,$B457,'Kế hoạch chèn link (mới)'!$I$3:$I$2213,"Đã chèn")&gt;0,"Đang làm","Chưa hoàn thành"))</f>
        <v>Chưa hoàn thành</v>
      </c>
      <c r="E457" s="8" t="b">
        <f t="shared" si="2"/>
        <v>0</v>
      </c>
      <c r="F457" s="25"/>
      <c r="G457" s="25" t="str">
        <f>IFERROR(__xludf.DUMMYFUNCTION("IFERROR(INDEX(FILTER('Kế hoạch chèn link (mới)'!$C$3:$C$2213,'Kế hoạch chèn link (mới)'!$D$3:$D$2213=$B457),1),"""")"),"mô hình kinh doanh")</f>
        <v>mô hình kinh doanh</v>
      </c>
      <c r="H457" s="25" t="str">
        <f>IFERROR(__xludf.DUMMYFUNCTION("IFERROR(INDEX(FILTER('Kế hoạch chèn link (mới)'!$B$3:$B$2213,'Kế hoạch chèn link (mới)'!$D$3:$D$2213=$B457),1),"""")"),"https://techcombank.com/thong-tin/blog/mo-hinh-kinh-doanh-la-gi")</f>
        <v>https://techcombank.com/thong-tin/blog/mo-hinh-kinh-doanh-la-gi</v>
      </c>
      <c r="I457" s="25" t="str">
        <f>IFERROR(__xludf.DUMMYFUNCTION("IFERROR(INDEX(FILTER('Kế hoạch chèn link (mới)'!$C$3:$C$2213,'Kế hoạch chèn link (mới)'!$D$3:$D$2213=$B457),2),"""")"),"gửi mã QR ngân hàng")</f>
        <v>gửi mã QR ngân hàng</v>
      </c>
      <c r="J457" s="25" t="str">
        <f>IFERROR(__xludf.DUMMYFUNCTION("IFERROR(INDEX(FILTER('Kế hoạch chèn link (mới)'!$B$3:$B$2213,'Kế hoạch chèn link (mới)'!$D$3:$D$2213=$B457),2),"""")"),"https://techcombank.com/thong-tin/blog/gui-ma-qr-ngan-hang")</f>
        <v>https://techcombank.com/thong-tin/blog/gui-ma-qr-ngan-hang</v>
      </c>
      <c r="K457" s="25" t="str">
        <f>IFERROR(__xludf.DUMMYFUNCTION("IFERROR(INDEX(FILTER('Kế hoạch chèn link (mới)'!$C$3:$C$2213,'Kế hoạch chèn link (mới)'!$D$3:$D$2213=$B457),3),"""")"),"tính lãi suất vay ngân hàng")</f>
        <v>tính lãi suất vay ngân hàng</v>
      </c>
      <c r="L457" s="25" t="str">
        <f>IFERROR(__xludf.DUMMYFUNCTION("IFERROR(INDEX(FILTER('Kế hoạch chèn link (mới)'!$B$3:$B$2213,'Kế hoạch chèn link (mới)'!$D$3:$D$2213=$B457),3),"""")"),"https://techcombank.com/cong-cu-tien-ich/cong-cu-tinh-toan/bang-tinh-lai-suat-vay")</f>
        <v>https://techcombank.com/cong-cu-tien-ich/cong-cu-tinh-toan/bang-tinh-lai-suat-vay</v>
      </c>
      <c r="M457" s="25" t="str">
        <f>IFERROR(__xludf.DUMMYFUNCTION("IFERROR(INDEX(FILTER('Kế hoạch chèn link (mới)'!$C$3:$C$2213,'Kế hoạch chèn link (mới)'!$D$3:$D$2213=$B457),4),"""")"),"lãi suất vay ngân hàng")</f>
        <v>lãi suất vay ngân hàng</v>
      </c>
      <c r="N457" s="25" t="str">
        <f>IFERROR(__xludf.DUMMYFUNCTION("IFERROR(INDEX(FILTER('Kế hoạch chèn link (mới)'!$B$3:$B$2213,'Kế hoạch chèn link (mới)'!$D$3:$D$2213=$B457),4),"""")"),"https://techcombank.com/thong-tin/blog/lai-suat-vay-ngan-hang")</f>
        <v>https://techcombank.com/thong-tin/blog/lai-suat-vay-ngan-hang</v>
      </c>
      <c r="O457" s="25" t="str">
        <f>IFERROR(__xludf.DUMMYFUNCTION("IFERROR(INDEX(FILTER('Kế hoạch chèn link (mới)'!$C$3:$C$2213,'Kế hoạch chèn link (mới)'!$D$3:$D$2213=$B457),5),"""")"),"")</f>
        <v/>
      </c>
      <c r="P457" s="25" t="str">
        <f>IFERROR(__xludf.DUMMYFUNCTION("IFERROR(INDEX(FILTER('Kế hoạch chèn link (mới)'!$B$3:$B$2213,'Kế hoạch chèn link (mới)'!$D$3:$D$2213=$B457),5),"""")"),"")</f>
        <v/>
      </c>
    </row>
    <row r="458">
      <c r="A458" s="6">
        <f t="shared" si="1"/>
        <v>457</v>
      </c>
      <c r="B458" s="8" t="s">
        <v>3084</v>
      </c>
      <c r="C458" s="6">
        <f>COUNTIF('Kế hoạch chèn link (mới)'!$D$3:$D$2213,$B458)</f>
        <v>2</v>
      </c>
      <c r="D458" s="8" t="str">
        <f>IF(COUNTIFS('Kế hoạch chèn link (mới)'!$D$3:$D$2213,$B458,'Kế hoạch chèn link (mới)'!$I$3:$I$2213,"Đã chèn")&gt;=$C458,"Đã hoàn thành",IF(COUNTIFS('Kế hoạch chèn link (mới)'!$D$3:$D$2213,$B458,'Kế hoạch chèn link (mới)'!$I$3:$I$2213,"Đã chèn")&gt;0,"Đang làm","Chưa hoàn thành"))</f>
        <v>Chưa hoàn thành</v>
      </c>
      <c r="E458" s="8" t="b">
        <f t="shared" si="2"/>
        <v>0</v>
      </c>
      <c r="F458" s="25"/>
      <c r="G458" s="25" t="str">
        <f>IFERROR(__xludf.DUMMYFUNCTION("IFERROR(INDEX(FILTER('Kế hoạch chèn link (mới)'!$C$3:$C$2213,'Kế hoạch chèn link (mới)'!$D$3:$D$2213=$B458),1),"""")"),"eco card")</f>
        <v>eco card</v>
      </c>
      <c r="H458" s="25" t="str">
        <f>IFERROR(__xludf.DUMMYFUNCTION("IFERROR(INDEX(FILTER('Kế hoạch chèn link (mới)'!$B$3:$B$2213,'Kế hoạch chèn link (mới)'!$D$3:$D$2213=$B458),1),"""")"),"https://techcombank.com/thong-tin/blog/eco-card")</f>
        <v>https://techcombank.com/thong-tin/blog/eco-card</v>
      </c>
      <c r="I458" s="25" t="str">
        <f>IFERROR(__xludf.DUMMYFUNCTION("IFERROR(INDEX(FILTER('Kế hoạch chèn link (mới)'!$C$3:$C$2213,'Kế hoạch chèn link (mới)'!$D$3:$D$2213=$B458),2),"""")"),"gửi mã QR ngân hàng")</f>
        <v>gửi mã QR ngân hàng</v>
      </c>
      <c r="J458" s="25" t="str">
        <f>IFERROR(__xludf.DUMMYFUNCTION("IFERROR(INDEX(FILTER('Kế hoạch chèn link (mới)'!$B$3:$B$2213,'Kế hoạch chèn link (mới)'!$D$3:$D$2213=$B458),2),"""")"),"https://techcombank.com/thong-tin/blog/gui-ma-qr-ngan-hang")</f>
        <v>https://techcombank.com/thong-tin/blog/gui-ma-qr-ngan-hang</v>
      </c>
      <c r="K458" s="25" t="str">
        <f>IFERROR(__xludf.DUMMYFUNCTION("IFERROR(INDEX(FILTER('Kế hoạch chèn link (mới)'!$C$3:$C$2213,'Kế hoạch chèn link (mới)'!$D$3:$D$2213=$B458),3),"""")"),"")</f>
        <v/>
      </c>
      <c r="L458" s="25" t="str">
        <f>IFERROR(__xludf.DUMMYFUNCTION("IFERROR(INDEX(FILTER('Kế hoạch chèn link (mới)'!$B$3:$B$2213,'Kế hoạch chèn link (mới)'!$D$3:$D$2213=$B458),3),"""")"),"")</f>
        <v/>
      </c>
      <c r="M458" s="25" t="str">
        <f>IFERROR(__xludf.DUMMYFUNCTION("IFERROR(INDEX(FILTER('Kế hoạch chèn link (mới)'!$C$3:$C$2213,'Kế hoạch chèn link (mới)'!$D$3:$D$2213=$B458),4),"""")"),"")</f>
        <v/>
      </c>
      <c r="N458" s="25" t="str">
        <f>IFERROR(__xludf.DUMMYFUNCTION("IFERROR(INDEX(FILTER('Kế hoạch chèn link (mới)'!$B$3:$B$2213,'Kế hoạch chèn link (mới)'!$D$3:$D$2213=$B458),4),"""")"),"")</f>
        <v/>
      </c>
      <c r="O458" s="25" t="str">
        <f>IFERROR(__xludf.DUMMYFUNCTION("IFERROR(INDEX(FILTER('Kế hoạch chèn link (mới)'!$C$3:$C$2213,'Kế hoạch chèn link (mới)'!$D$3:$D$2213=$B458),5),"""")"),"")</f>
        <v/>
      </c>
      <c r="P458" s="25" t="str">
        <f>IFERROR(__xludf.DUMMYFUNCTION("IFERROR(INDEX(FILTER('Kế hoạch chèn link (mới)'!$B$3:$B$2213,'Kế hoạch chèn link (mới)'!$D$3:$D$2213=$B458),5),"""")"),"")</f>
        <v/>
      </c>
    </row>
    <row r="459">
      <c r="A459" s="6">
        <f t="shared" si="1"/>
        <v>458</v>
      </c>
      <c r="B459" s="8" t="s">
        <v>2132</v>
      </c>
      <c r="C459" s="6">
        <f>COUNTIF('Kế hoạch chèn link (mới)'!$D$3:$D$2213,$B459)</f>
        <v>1</v>
      </c>
      <c r="D459" s="8" t="str">
        <f>IF(COUNTIFS('Kế hoạch chèn link (mới)'!$D$3:$D$2213,$B459,'Kế hoạch chèn link (mới)'!$I$3:$I$2213,"Đã chèn")&gt;=$C459,"Đã hoàn thành",IF(COUNTIFS('Kế hoạch chèn link (mới)'!$D$3:$D$2213,$B459,'Kế hoạch chèn link (mới)'!$I$3:$I$2213,"Đã chèn")&gt;0,"Đang làm","Chưa hoàn thành"))</f>
        <v>Chưa hoàn thành</v>
      </c>
      <c r="E459" s="8" t="b">
        <f t="shared" si="2"/>
        <v>0</v>
      </c>
      <c r="F459" s="25"/>
      <c r="G459" s="25" t="str">
        <f>IFERROR(__xludf.DUMMYFUNCTION("IFERROR(INDEX(FILTER('Kế hoạch chèn link (mới)'!$C$3:$C$2213,'Kế hoạch chèn link (mới)'!$D$3:$D$2213=$B459),1),"""")"),"bao nhiêu tuổi được mở tài khoản ngân hàng")</f>
        <v>bao nhiêu tuổi được mở tài khoản ngân hàng</v>
      </c>
      <c r="H459" s="25" t="str">
        <f>IFERROR(__xludf.DUMMYFUNCTION("IFERROR(INDEX(FILTER('Kế hoạch chèn link (mới)'!$B$3:$B$2213,'Kế hoạch chèn link (mới)'!$D$3:$D$2213=$B459),1),"""")"),"https://techcombank.com/thong-tin/blog/bao-nhieu-tuoi-duoc-mo-tai-khoan-ngan-hang")</f>
        <v>https://techcombank.com/thong-tin/blog/bao-nhieu-tuoi-duoc-mo-tai-khoan-ngan-hang</v>
      </c>
      <c r="I459" s="25" t="str">
        <f>IFERROR(__xludf.DUMMYFUNCTION("IFERROR(INDEX(FILTER('Kế hoạch chèn link (mới)'!$C$3:$C$2213,'Kế hoạch chèn link (mới)'!$D$3:$D$2213=$B459),2),"""")"),"")</f>
        <v/>
      </c>
      <c r="J459" s="25" t="str">
        <f>IFERROR(__xludf.DUMMYFUNCTION("IFERROR(INDEX(FILTER('Kế hoạch chèn link (mới)'!$B$3:$B$2213,'Kế hoạch chèn link (mới)'!$D$3:$D$2213=$B459),2),"""")"),"")</f>
        <v/>
      </c>
      <c r="K459" s="25" t="str">
        <f>IFERROR(__xludf.DUMMYFUNCTION("IFERROR(INDEX(FILTER('Kế hoạch chèn link (mới)'!$C$3:$C$2213,'Kế hoạch chèn link (mới)'!$D$3:$D$2213=$B459),3),"""")"),"")</f>
        <v/>
      </c>
      <c r="L459" s="25" t="str">
        <f>IFERROR(__xludf.DUMMYFUNCTION("IFERROR(INDEX(FILTER('Kế hoạch chèn link (mới)'!$B$3:$B$2213,'Kế hoạch chèn link (mới)'!$D$3:$D$2213=$B459),3),"""")"),"")</f>
        <v/>
      </c>
      <c r="M459" s="25" t="str">
        <f>IFERROR(__xludf.DUMMYFUNCTION("IFERROR(INDEX(FILTER('Kế hoạch chèn link (mới)'!$C$3:$C$2213,'Kế hoạch chèn link (mới)'!$D$3:$D$2213=$B459),4),"""")"),"")</f>
        <v/>
      </c>
      <c r="N459" s="25" t="str">
        <f>IFERROR(__xludf.DUMMYFUNCTION("IFERROR(INDEX(FILTER('Kế hoạch chèn link (mới)'!$B$3:$B$2213,'Kế hoạch chèn link (mới)'!$D$3:$D$2213=$B459),4),"""")"),"")</f>
        <v/>
      </c>
      <c r="O459" s="25" t="str">
        <f>IFERROR(__xludf.DUMMYFUNCTION("IFERROR(INDEX(FILTER('Kế hoạch chèn link (mới)'!$C$3:$C$2213,'Kế hoạch chèn link (mới)'!$D$3:$D$2213=$B459),5),"""")"),"")</f>
        <v/>
      </c>
      <c r="P459" s="25" t="str">
        <f>IFERROR(__xludf.DUMMYFUNCTION("IFERROR(INDEX(FILTER('Kế hoạch chèn link (mới)'!$B$3:$B$2213,'Kế hoạch chèn link (mới)'!$D$3:$D$2213=$B459),5),"""")"),"")</f>
        <v/>
      </c>
    </row>
    <row r="460">
      <c r="A460" s="6">
        <f t="shared" si="1"/>
        <v>459</v>
      </c>
      <c r="B460" s="8" t="s">
        <v>3086</v>
      </c>
      <c r="C460" s="6">
        <f>COUNTIF('Kế hoạch chèn link (mới)'!$D$3:$D$2213,$B460)</f>
        <v>1</v>
      </c>
      <c r="D460" s="8" t="str">
        <f>IF(COUNTIFS('Kế hoạch chèn link (mới)'!$D$3:$D$2213,$B460,'Kế hoạch chèn link (mới)'!$I$3:$I$2213,"Đã chèn")&gt;=$C460,"Đã hoàn thành",IF(COUNTIFS('Kế hoạch chèn link (mới)'!$D$3:$D$2213,$B460,'Kế hoạch chèn link (mới)'!$I$3:$I$2213,"Đã chèn")&gt;0,"Đang làm","Chưa hoàn thành"))</f>
        <v>Chưa hoàn thành</v>
      </c>
      <c r="E460" s="8" t="b">
        <f t="shared" si="2"/>
        <v>0</v>
      </c>
      <c r="F460" s="25"/>
      <c r="G460" s="25" t="str">
        <f>IFERROR(__xludf.DUMMYFUNCTION("IFERROR(INDEX(FILTER('Kế hoạch chèn link (mới)'!$C$3:$C$2213,'Kế hoạch chèn link (mới)'!$D$3:$D$2213=$B460),1),"""")"),"gửi mã QR ngân hàng")</f>
        <v>gửi mã QR ngân hàng</v>
      </c>
      <c r="H460" s="25" t="str">
        <f>IFERROR(__xludf.DUMMYFUNCTION("IFERROR(INDEX(FILTER('Kế hoạch chèn link (mới)'!$B$3:$B$2213,'Kế hoạch chèn link (mới)'!$D$3:$D$2213=$B460),1),"""")"),"https://techcombank.com/thong-tin/blog/gui-ma-qr-ngan-hang")</f>
        <v>https://techcombank.com/thong-tin/blog/gui-ma-qr-ngan-hang</v>
      </c>
      <c r="I460" s="25" t="str">
        <f>IFERROR(__xludf.DUMMYFUNCTION("IFERROR(INDEX(FILTER('Kế hoạch chèn link (mới)'!$C$3:$C$2213,'Kế hoạch chèn link (mới)'!$D$3:$D$2213=$B460),2),"""")"),"")</f>
        <v/>
      </c>
      <c r="J460" s="25" t="str">
        <f>IFERROR(__xludf.DUMMYFUNCTION("IFERROR(INDEX(FILTER('Kế hoạch chèn link (mới)'!$B$3:$B$2213,'Kế hoạch chèn link (mới)'!$D$3:$D$2213=$B460),2),"""")"),"")</f>
        <v/>
      </c>
      <c r="K460" s="25" t="str">
        <f>IFERROR(__xludf.DUMMYFUNCTION("IFERROR(INDEX(FILTER('Kế hoạch chèn link (mới)'!$C$3:$C$2213,'Kế hoạch chèn link (mới)'!$D$3:$D$2213=$B460),3),"""")"),"")</f>
        <v/>
      </c>
      <c r="L460" s="25" t="str">
        <f>IFERROR(__xludf.DUMMYFUNCTION("IFERROR(INDEX(FILTER('Kế hoạch chèn link (mới)'!$B$3:$B$2213,'Kế hoạch chèn link (mới)'!$D$3:$D$2213=$B460),3),"""")"),"")</f>
        <v/>
      </c>
      <c r="M460" s="25" t="str">
        <f>IFERROR(__xludf.DUMMYFUNCTION("IFERROR(INDEX(FILTER('Kế hoạch chèn link (mới)'!$C$3:$C$2213,'Kế hoạch chèn link (mới)'!$D$3:$D$2213=$B460),4),"""")"),"")</f>
        <v/>
      </c>
      <c r="N460" s="25" t="str">
        <f>IFERROR(__xludf.DUMMYFUNCTION("IFERROR(INDEX(FILTER('Kế hoạch chèn link (mới)'!$B$3:$B$2213,'Kế hoạch chèn link (mới)'!$D$3:$D$2213=$B460),4),"""")"),"")</f>
        <v/>
      </c>
      <c r="O460" s="25" t="str">
        <f>IFERROR(__xludf.DUMMYFUNCTION("IFERROR(INDEX(FILTER('Kế hoạch chèn link (mới)'!$C$3:$C$2213,'Kế hoạch chèn link (mới)'!$D$3:$D$2213=$B460),5),"""")"),"")</f>
        <v/>
      </c>
      <c r="P460" s="25" t="str">
        <f>IFERROR(__xludf.DUMMYFUNCTION("IFERROR(INDEX(FILTER('Kế hoạch chèn link (mới)'!$B$3:$B$2213,'Kế hoạch chèn link (mới)'!$D$3:$D$2213=$B460),5),"""")"),"")</f>
        <v/>
      </c>
    </row>
    <row r="461">
      <c r="A461" s="6">
        <f t="shared" si="1"/>
        <v>460</v>
      </c>
      <c r="B461" s="8" t="s">
        <v>3089</v>
      </c>
      <c r="C461" s="6">
        <f>COUNTIF('Kế hoạch chèn link (mới)'!$D$3:$D$2213,$B461)</f>
        <v>5</v>
      </c>
      <c r="D461" s="8" t="str">
        <f>IF(COUNTIFS('Kế hoạch chèn link (mới)'!$D$3:$D$2213,$B461,'Kế hoạch chèn link (mới)'!$I$3:$I$2213,"Đã chèn")&gt;=$C461,"Đã hoàn thành",IF(COUNTIFS('Kế hoạch chèn link (mới)'!$D$3:$D$2213,$B461,'Kế hoạch chèn link (mới)'!$I$3:$I$2213,"Đã chèn")&gt;0,"Đang làm","Chưa hoàn thành"))</f>
        <v>Chưa hoàn thành</v>
      </c>
      <c r="E461" s="8" t="b">
        <f t="shared" si="2"/>
        <v>0</v>
      </c>
      <c r="F461" s="25"/>
      <c r="G461" s="25" t="str">
        <f>IFERROR(__xludf.DUMMYFUNCTION("IFERROR(INDEX(FILTER('Kế hoạch chèn link (mới)'!$C$3:$C$2213,'Kế hoạch chèn link (mới)'!$D$3:$D$2213=$B461),1),"""")"),"cic là gì")</f>
        <v>cic là gì</v>
      </c>
      <c r="H461" s="25" t="str">
        <f>IFERROR(__xludf.DUMMYFUNCTION("IFERROR(INDEX(FILTER('Kế hoạch chèn link (mới)'!$B$3:$B$2213,'Kế hoạch chèn link (mới)'!$D$3:$D$2213=$B461),1),"""")"),"https://techcombank.com/thong-tin/blog/cic-la-gi")</f>
        <v>https://techcombank.com/thong-tin/blog/cic-la-gi</v>
      </c>
      <c r="I461" s="25" t="str">
        <f>IFERROR(__xludf.DUMMYFUNCTION("IFERROR(INDEX(FILTER('Kế hoạch chèn link (mới)'!$C$3:$C$2213,'Kế hoạch chèn link (mới)'!$D$3:$D$2213=$B461),2),"""")"),"rút tiền thẻ tín dụng")</f>
        <v>rút tiền thẻ tín dụng</v>
      </c>
      <c r="J461" s="25" t="str">
        <f>IFERROR(__xludf.DUMMYFUNCTION("IFERROR(INDEX(FILTER('Kế hoạch chèn link (mới)'!$B$3:$B$2213,'Kế hoạch chèn link (mới)'!$D$3:$D$2213=$B461),2),"""")"),"https://techcombank.com/thong-tin/blog/rut-tien-mat-tu-the-tin-dung")</f>
        <v>https://techcombank.com/thong-tin/blog/rut-tien-mat-tu-the-tin-dung</v>
      </c>
      <c r="K461" s="25" t="str">
        <f>IFERROR(__xludf.DUMMYFUNCTION("IFERROR(INDEX(FILTER('Kế hoạch chèn link (mới)'!$C$3:$C$2213,'Kế hoạch chèn link (mới)'!$D$3:$D$2213=$B461),3),"""")"),"thẻ tín dụng Techcombank Everyday")</f>
        <v>thẻ tín dụng Techcombank Everyday</v>
      </c>
      <c r="L461" s="25" t="str">
        <f>IFERROR(__xludf.DUMMYFUNCTION("IFERROR(INDEX(FILTER('Kế hoạch chèn link (mới)'!$B$3:$B$2213,'Kế hoạch chèn link (mới)'!$D$3:$D$2213=$B461),3),"""")"),"https://techcombank.com/khach-hang-ca-nhan/chi-tieu/the/the-tin-dung/techcombank-everyday")</f>
        <v>https://techcombank.com/khach-hang-ca-nhan/chi-tieu/the/the-tin-dung/techcombank-everyday</v>
      </c>
      <c r="M461" s="25" t="str">
        <f>IFERROR(__xludf.DUMMYFUNCTION("IFERROR(INDEX(FILTER('Kế hoạch chèn link (mới)'!$C$3:$C$2213,'Kế hoạch chèn link (mới)'!$D$3:$D$2213=$B461),4),"""")"),"cách tiết kiệm tiền")</f>
        <v>cách tiết kiệm tiền</v>
      </c>
      <c r="N461" s="25" t="str">
        <f>IFERROR(__xludf.DUMMYFUNCTION("IFERROR(INDEX(FILTER('Kế hoạch chèn link (mới)'!$B$3:$B$2213,'Kế hoạch chèn link (mới)'!$D$3:$D$2213=$B461),4),"""")"),"https://techcombank.com/thong-tin/blog/cach-tiet-kiem-tien")</f>
        <v>https://techcombank.com/thong-tin/blog/cach-tiet-kiem-tien</v>
      </c>
      <c r="O461" s="25" t="str">
        <f>IFERROR(__xludf.DUMMYFUNCTION("IFERROR(INDEX(FILTER('Kế hoạch chèn link (mới)'!$C$3:$C$2213,'Kế hoạch chèn link (mới)'!$D$3:$D$2213=$B461),5),"""")"),"nợ xấu")</f>
        <v>nợ xấu</v>
      </c>
      <c r="P461" s="25" t="str">
        <f>IFERROR(__xludf.DUMMYFUNCTION("IFERROR(INDEX(FILTER('Kế hoạch chèn link (mới)'!$B$3:$B$2213,'Kế hoạch chèn link (mới)'!$D$3:$D$2213=$B461),5),"""")"),"https://techcombank.com/thong-tin/blog/no-xau-la-gi")</f>
        <v>https://techcombank.com/thong-tin/blog/no-xau-la-gi</v>
      </c>
    </row>
    <row r="462">
      <c r="A462" s="6">
        <f t="shared" si="1"/>
        <v>461</v>
      </c>
      <c r="B462" s="8" t="s">
        <v>3091</v>
      </c>
      <c r="C462" s="6">
        <f>COUNTIF('Kế hoạch chèn link (mới)'!$D$3:$D$2213,$B462)</f>
        <v>3</v>
      </c>
      <c r="D462" s="8" t="str">
        <f>IF(COUNTIFS('Kế hoạch chèn link (mới)'!$D$3:$D$2213,$B462,'Kế hoạch chèn link (mới)'!$I$3:$I$2213,"Đã chèn")&gt;=$C462,"Đã hoàn thành",IF(COUNTIFS('Kế hoạch chèn link (mới)'!$D$3:$D$2213,$B462,'Kế hoạch chèn link (mới)'!$I$3:$I$2213,"Đã chèn")&gt;0,"Đang làm","Chưa hoàn thành"))</f>
        <v>Chưa hoàn thành</v>
      </c>
      <c r="E462" s="8" t="b">
        <f t="shared" si="2"/>
        <v>0</v>
      </c>
      <c r="F462" s="25"/>
      <c r="G462" s="25" t="str">
        <f>IFERROR(__xludf.DUMMYFUNCTION("IFERROR(INDEX(FILTER('Kế hoạch chèn link (mới)'!$C$3:$C$2213,'Kế hoạch chèn link (mới)'!$D$3:$D$2213=$B462),1),"""")"),"vay")</f>
        <v>vay</v>
      </c>
      <c r="H462" s="25" t="str">
        <f>IFERROR(__xludf.DUMMYFUNCTION("IFERROR(INDEX(FILTER('Kế hoạch chèn link (mới)'!$B$3:$B$2213,'Kế hoạch chèn link (mới)'!$D$3:$D$2213=$B462),1),"""")"),"https://techcombank.com/thong-tin/blog/app-vay-tien-nhanh")</f>
        <v>https://techcombank.com/thong-tin/blog/app-vay-tien-nhanh</v>
      </c>
      <c r="I462" s="25" t="str">
        <f>IFERROR(__xludf.DUMMYFUNCTION("IFERROR(INDEX(FILTER('Kế hoạch chèn link (mới)'!$C$3:$C$2213,'Kế hoạch chèn link (mới)'!$D$3:$D$2213=$B462),2),"""")"),"lãi suất vay ngân hàng")</f>
        <v>lãi suất vay ngân hàng</v>
      </c>
      <c r="J462" s="25" t="str">
        <f>IFERROR(__xludf.DUMMYFUNCTION("IFERROR(INDEX(FILTER('Kế hoạch chèn link (mới)'!$B$3:$B$2213,'Kế hoạch chèn link (mới)'!$D$3:$D$2213=$B462),2),"""")"),"https://techcombank.com/thong-tin/blog/lai-suat-vay-ngan-hang")</f>
        <v>https://techcombank.com/thong-tin/blog/lai-suat-vay-ngan-hang</v>
      </c>
      <c r="K462" s="25" t="str">
        <f>IFERROR(__xludf.DUMMYFUNCTION("IFERROR(INDEX(FILTER('Kế hoạch chèn link (mới)'!$C$3:$C$2213,'Kế hoạch chèn link (mới)'!$D$3:$D$2213=$B462),3),"""")"),"nên vay tín chấp ở đâu")</f>
        <v>nên vay tín chấp ở đâu</v>
      </c>
      <c r="L462" s="25" t="str">
        <f>IFERROR(__xludf.DUMMYFUNCTION("IFERROR(INDEX(FILTER('Kế hoạch chèn link (mới)'!$B$3:$B$2213,'Kế hoạch chèn link (mới)'!$D$3:$D$2213=$B462),3),"""")"),"https://techcombank.com/thong-tin/blog/nen-vay-tin-chap-o-dau")</f>
        <v>https://techcombank.com/thong-tin/blog/nen-vay-tin-chap-o-dau</v>
      </c>
      <c r="M462" s="25" t="str">
        <f>IFERROR(__xludf.DUMMYFUNCTION("IFERROR(INDEX(FILTER('Kế hoạch chèn link (mới)'!$C$3:$C$2213,'Kế hoạch chèn link (mới)'!$D$3:$D$2213=$B462),4),"""")"),"")</f>
        <v/>
      </c>
      <c r="N462" s="25" t="str">
        <f>IFERROR(__xludf.DUMMYFUNCTION("IFERROR(INDEX(FILTER('Kế hoạch chèn link (mới)'!$B$3:$B$2213,'Kế hoạch chèn link (mới)'!$D$3:$D$2213=$B462),4),"""")"),"")</f>
        <v/>
      </c>
      <c r="O462" s="25" t="str">
        <f>IFERROR(__xludf.DUMMYFUNCTION("IFERROR(INDEX(FILTER('Kế hoạch chèn link (mới)'!$C$3:$C$2213,'Kế hoạch chèn link (mới)'!$D$3:$D$2213=$B462),5),"""")"),"")</f>
        <v/>
      </c>
      <c r="P462" s="25" t="str">
        <f>IFERROR(__xludf.DUMMYFUNCTION("IFERROR(INDEX(FILTER('Kế hoạch chèn link (mới)'!$B$3:$B$2213,'Kế hoạch chèn link (mới)'!$D$3:$D$2213=$B462),5),"""")"),"")</f>
        <v/>
      </c>
    </row>
    <row r="463">
      <c r="A463" s="6">
        <f t="shared" si="1"/>
        <v>462</v>
      </c>
      <c r="B463" s="8" t="s">
        <v>2104</v>
      </c>
      <c r="C463" s="6">
        <f>COUNTIF('Kế hoạch chèn link (mới)'!$D$3:$D$2213,$B463)</f>
        <v>4</v>
      </c>
      <c r="D463" s="8" t="str">
        <f>IF(COUNTIFS('Kế hoạch chèn link (mới)'!$D$3:$D$2213,$B463,'Kế hoạch chèn link (mới)'!$I$3:$I$2213,"Đã chèn")&gt;=$C463,"Đã hoàn thành",IF(COUNTIFS('Kế hoạch chèn link (mới)'!$D$3:$D$2213,$B463,'Kế hoạch chèn link (mới)'!$I$3:$I$2213,"Đã chèn")&gt;0,"Đang làm","Chưa hoàn thành"))</f>
        <v>Chưa hoàn thành</v>
      </c>
      <c r="E463" s="8" t="b">
        <f t="shared" si="2"/>
        <v>0</v>
      </c>
      <c r="F463" s="25"/>
      <c r="G463" s="25" t="str">
        <f>IFERROR(__xludf.DUMMYFUNCTION("IFERROR(INDEX(FILTER('Kế hoạch chèn link (mới)'!$C$3:$C$2213,'Kế hoạch chèn link (mới)'!$D$3:$D$2213=$B463),1),"""")"),"bao nhiêu tuổi được mở tài khoản ngân hàng")</f>
        <v>bao nhiêu tuổi được mở tài khoản ngân hàng</v>
      </c>
      <c r="H463" s="25" t="str">
        <f>IFERROR(__xludf.DUMMYFUNCTION("IFERROR(INDEX(FILTER('Kế hoạch chèn link (mới)'!$B$3:$B$2213,'Kế hoạch chèn link (mới)'!$D$3:$D$2213=$B463),1),"""")"),"https://techcombank.com/thong-tin/blog/bao-nhieu-tuoi-duoc-mo-tai-khoan-ngan-hang")</f>
        <v>https://techcombank.com/thong-tin/blog/bao-nhieu-tuoi-duoc-mo-tai-khoan-ngan-hang</v>
      </c>
      <c r="I463" s="25" t="str">
        <f>IFERROR(__xludf.DUMMYFUNCTION("IFERROR(INDEX(FILTER('Kế hoạch chèn link (mới)'!$C$3:$C$2213,'Kế hoạch chèn link (mới)'!$D$3:$D$2213=$B463),2),"""")"),"tài khoản hộ kinh doanh")</f>
        <v>tài khoản hộ kinh doanh</v>
      </c>
      <c r="J463" s="25" t="str">
        <f>IFERROR(__xludf.DUMMYFUNCTION("IFERROR(INDEX(FILTER('Kế hoạch chèn link (mới)'!$B$3:$B$2213,'Kế hoạch chèn link (mới)'!$D$3:$D$2213=$B463),2),"""")"),"https://techcombank.com/thong-tin/blog/mo-tai-khoan-ho-kinh-doanh")</f>
        <v>https://techcombank.com/thong-tin/blog/mo-tai-khoan-ho-kinh-doanh</v>
      </c>
      <c r="K463" s="25" t="str">
        <f>IFERROR(__xludf.DUMMYFUNCTION("IFERROR(INDEX(FILTER('Kế hoạch chèn link (mới)'!$C$3:$C$2213,'Kế hoạch chèn link (mới)'!$D$3:$D$2213=$B463),3),"""")"),"lãi suất gửi tiết kiệm ngân hàng")</f>
        <v>lãi suất gửi tiết kiệm ngân hàng</v>
      </c>
      <c r="L463" s="25" t="str">
        <f>IFERROR(__xludf.DUMMYFUNCTION("IFERROR(INDEX(FILTER('Kế hoạch chèn link (mới)'!$B$3:$B$2213,'Kế hoạch chèn link (mới)'!$D$3:$D$2213=$B463),3),"""")"),"https://techcombank.com/thong-tin/blog/lai-suat-tiet-kiem")</f>
        <v>https://techcombank.com/thong-tin/blog/lai-suat-tiet-kiem</v>
      </c>
      <c r="M463" s="25" t="str">
        <f>IFERROR(__xludf.DUMMYFUNCTION("IFERROR(INDEX(FILTER('Kế hoạch chèn link (mới)'!$C$3:$C$2213,'Kế hoạch chèn link (mới)'!$D$3:$D$2213=$B463),4),"""")"),"tính lãi suất tiết kiệm")</f>
        <v>tính lãi suất tiết kiệm</v>
      </c>
      <c r="N463" s="25" t="str">
        <f>IFERROR(__xludf.DUMMYFUNCTION("IFERROR(INDEX(FILTER('Kế hoạch chèn link (mới)'!$B$3:$B$2213,'Kế hoạch chèn link (mới)'!$D$3:$D$2213=$B463),4),"""")"),"https://techcombank.com/thong-tin/blog/cach-tinh-lai-suat-tien-gui-tiet-kiem")</f>
        <v>https://techcombank.com/thong-tin/blog/cach-tinh-lai-suat-tien-gui-tiet-kiem</v>
      </c>
      <c r="O463" s="25" t="str">
        <f>IFERROR(__xludf.DUMMYFUNCTION("IFERROR(INDEX(FILTER('Kế hoạch chèn link (mới)'!$C$3:$C$2213,'Kế hoạch chèn link (mới)'!$D$3:$D$2213=$B463),5),"""")"),"")</f>
        <v/>
      </c>
      <c r="P463" s="25" t="str">
        <f>IFERROR(__xludf.DUMMYFUNCTION("IFERROR(INDEX(FILTER('Kế hoạch chèn link (mới)'!$B$3:$B$2213,'Kế hoạch chèn link (mới)'!$D$3:$D$2213=$B463),5),"""")"),"")</f>
        <v/>
      </c>
    </row>
    <row r="464">
      <c r="A464" s="6">
        <f t="shared" si="1"/>
        <v>463</v>
      </c>
      <c r="B464" s="8" t="s">
        <v>3094</v>
      </c>
      <c r="C464" s="6">
        <f>COUNTIF('Kế hoạch chèn link (mới)'!$D$3:$D$2213,$B464)</f>
        <v>4</v>
      </c>
      <c r="D464" s="8" t="str">
        <f>IF(COUNTIFS('Kế hoạch chèn link (mới)'!$D$3:$D$2213,$B464,'Kế hoạch chèn link (mới)'!$I$3:$I$2213,"Đã chèn")&gt;=$C464,"Đã hoàn thành",IF(COUNTIFS('Kế hoạch chèn link (mới)'!$D$3:$D$2213,$B464,'Kế hoạch chèn link (mới)'!$I$3:$I$2213,"Đã chèn")&gt;0,"Đang làm","Chưa hoàn thành"))</f>
        <v>Chưa hoàn thành</v>
      </c>
      <c r="E464" s="8" t="b">
        <f t="shared" si="2"/>
        <v>0</v>
      </c>
      <c r="F464" s="25"/>
      <c r="G464" s="25" t="str">
        <f>IFERROR(__xludf.DUMMYFUNCTION("IFERROR(INDEX(FILTER('Kế hoạch chèn link (mới)'!$C$3:$C$2213,'Kế hoạch chèn link (mới)'!$D$3:$D$2213=$B464),1),"""")"),"chứng chỉ tiền gửi")</f>
        <v>chứng chỉ tiền gửi</v>
      </c>
      <c r="H464" s="25" t="str">
        <f>IFERROR(__xludf.DUMMYFUNCTION("IFERROR(INDEX(FILTER('Kế hoạch chèn link (mới)'!$B$3:$B$2213,'Kế hoạch chèn link (mới)'!$D$3:$D$2213=$B464),1),"""")"),"https://techcombank.com/thong-tin/blog/chung-chi-tien-gui-la-gi")</f>
        <v>https://techcombank.com/thong-tin/blog/chung-chi-tien-gui-la-gi</v>
      </c>
      <c r="I464" s="25" t="str">
        <f>IFERROR(__xludf.DUMMYFUNCTION("IFERROR(INDEX(FILTER('Kế hoạch chèn link (mới)'!$C$3:$C$2213,'Kế hoạch chèn link (mới)'!$D$3:$D$2213=$B464),2),"""")"),"lãi suất ngân hàng")</f>
        <v>lãi suất ngân hàng</v>
      </c>
      <c r="J464" s="25" t="str">
        <f>IFERROR(__xludf.DUMMYFUNCTION("IFERROR(INDEX(FILTER('Kế hoạch chèn link (mới)'!$B$3:$B$2213,'Kế hoạch chèn link (mới)'!$D$3:$D$2213=$B464),2),"""")"),"https://techcombank.com/thong-tin/blog/lai-suat-tiet-kiem")</f>
        <v>https://techcombank.com/thong-tin/blog/lai-suat-tiet-kiem</v>
      </c>
      <c r="K464" s="25" t="str">
        <f>IFERROR(__xludf.DUMMYFUNCTION("IFERROR(INDEX(FILTER('Kế hoạch chèn link (mới)'!$C$3:$C$2213,'Kế hoạch chèn link (mới)'!$D$3:$D$2213=$B464),3),"""")"),"tính lãi suất tiết kiệm")</f>
        <v>tính lãi suất tiết kiệm</v>
      </c>
      <c r="L464" s="25" t="str">
        <f>IFERROR(__xludf.DUMMYFUNCTION("IFERROR(INDEX(FILTER('Kế hoạch chèn link (mới)'!$B$3:$B$2213,'Kế hoạch chèn link (mới)'!$D$3:$D$2213=$B464),3),"""")"),"https://techcombank.com/thong-tin/blog/cach-tinh-lai-suat-tien-gui-tiet-kiem")</f>
        <v>https://techcombank.com/thong-tin/blog/cach-tinh-lai-suat-tien-gui-tiet-kiem</v>
      </c>
      <c r="M464" s="25" t="str">
        <f>IFERROR(__xludf.DUMMYFUNCTION("IFERROR(INDEX(FILTER('Kế hoạch chèn link (mới)'!$C$3:$C$2213,'Kế hoạch chèn link (mới)'!$D$3:$D$2213=$B464),4),"""")"),"cách tiết kiệm tiền hiệu quả")</f>
        <v>cách tiết kiệm tiền hiệu quả</v>
      </c>
      <c r="N464" s="25" t="str">
        <f>IFERROR(__xludf.DUMMYFUNCTION("IFERROR(INDEX(FILTER('Kế hoạch chèn link (mới)'!$B$3:$B$2213,'Kế hoạch chèn link (mới)'!$D$3:$D$2213=$B464),4),"""")"),"https://techcombank.com/thong-tin/blog/cach-tiet-kiem-tien")</f>
        <v>https://techcombank.com/thong-tin/blog/cach-tiet-kiem-tien</v>
      </c>
      <c r="O464" s="25" t="str">
        <f>IFERROR(__xludf.DUMMYFUNCTION("IFERROR(INDEX(FILTER('Kế hoạch chèn link (mới)'!$C$3:$C$2213,'Kế hoạch chèn link (mới)'!$D$3:$D$2213=$B464),5),"""")"),"")</f>
        <v/>
      </c>
      <c r="P464" s="25" t="str">
        <f>IFERROR(__xludf.DUMMYFUNCTION("IFERROR(INDEX(FILTER('Kế hoạch chèn link (mới)'!$B$3:$B$2213,'Kế hoạch chèn link (mới)'!$D$3:$D$2213=$B464),5),"""")"),"")</f>
        <v/>
      </c>
    </row>
    <row r="465">
      <c r="A465" s="6">
        <f t="shared" si="1"/>
        <v>464</v>
      </c>
      <c r="B465" s="8" t="s">
        <v>860</v>
      </c>
      <c r="C465" s="6">
        <f>COUNTIF('Kế hoạch chèn link (mới)'!$D$3:$D$2213,$B465)</f>
        <v>4</v>
      </c>
      <c r="D465" s="8" t="str">
        <f>IF(COUNTIFS('Kế hoạch chèn link (mới)'!$D$3:$D$2213,$B465,'Kế hoạch chèn link (mới)'!$I$3:$I$2213,"Đã chèn")&gt;=$C465,"Đã hoàn thành",IF(COUNTIFS('Kế hoạch chèn link (mới)'!$D$3:$D$2213,$B465,'Kế hoạch chèn link (mới)'!$I$3:$I$2213,"Đã chèn")&gt;0,"Đang làm","Chưa hoàn thành"))</f>
        <v>Chưa hoàn thành</v>
      </c>
      <c r="E465" s="8" t="b">
        <f t="shared" si="2"/>
        <v>0</v>
      </c>
      <c r="F465" s="25"/>
      <c r="G465" s="25" t="str">
        <f>IFERROR(__xludf.DUMMYFUNCTION("IFERROR(INDEX(FILTER('Kế hoạch chèn link (mới)'!$C$3:$C$2213,'Kế hoạch chèn link (mới)'!$D$3:$D$2213=$B465),1),"""")"),"thuế thu nhập doanh nghiệp")</f>
        <v>thuế thu nhập doanh nghiệp</v>
      </c>
      <c r="H465" s="25" t="str">
        <f>IFERROR(__xludf.DUMMYFUNCTION("IFERROR(INDEX(FILTER('Kế hoạch chèn link (mới)'!$B$3:$B$2213,'Kế hoạch chèn link (mới)'!$D$3:$D$2213=$B465),1),"""")"),"https://techcombank.com/thong-tin/blog/thue-thu-nhap-doanh-nghiep")</f>
        <v>https://techcombank.com/thong-tin/blog/thue-thu-nhap-doanh-nghiep</v>
      </c>
      <c r="I465" s="25" t="str">
        <f>IFERROR(__xludf.DUMMYFUNCTION("IFERROR(INDEX(FILTER('Kế hoạch chèn link (mới)'!$C$3:$C$2213,'Kế hoạch chèn link (mới)'!$D$3:$D$2213=$B465),2),"""")"),"kiểm tra nợ thuế doanh nghiệp")</f>
        <v>kiểm tra nợ thuế doanh nghiệp</v>
      </c>
      <c r="J465" s="25" t="str">
        <f>IFERROR(__xludf.DUMMYFUNCTION("IFERROR(INDEX(FILTER('Kế hoạch chèn link (mới)'!$B$3:$B$2213,'Kế hoạch chèn link (mới)'!$D$3:$D$2213=$B465),2),"""")"),"https://techcombank.com/thong-tin/blog/tra-cuu-no-thue-doanh-nghiep")</f>
        <v>https://techcombank.com/thong-tin/blog/tra-cuu-no-thue-doanh-nghiep</v>
      </c>
      <c r="K465" s="25" t="str">
        <f>IFERROR(__xludf.DUMMYFUNCTION("IFERROR(INDEX(FILTER('Kế hoạch chèn link (mới)'!$C$3:$C$2213,'Kế hoạch chèn link (mới)'!$D$3:$D$2213=$B465),3),"""")"),"lãi suất chứng chỉ tiền gửi")</f>
        <v>lãi suất chứng chỉ tiền gửi</v>
      </c>
      <c r="L465" s="25" t="str">
        <f>IFERROR(__xludf.DUMMYFUNCTION("IFERROR(INDEX(FILTER('Kế hoạch chèn link (mới)'!$B$3:$B$2213,'Kế hoạch chèn link (mới)'!$D$3:$D$2213=$B465),3),"""")"),"https://techcombank.com/thong-tin/blog/lai-suat-chung-chi-tien-gui-cac-ngan-hang")</f>
        <v>https://techcombank.com/thong-tin/blog/lai-suat-chung-chi-tien-gui-cac-ngan-hang</v>
      </c>
      <c r="M465" s="25" t="str">
        <f>IFERROR(__xludf.DUMMYFUNCTION("IFERROR(INDEX(FILTER('Kế hoạch chèn link (mới)'!$C$3:$C$2213,'Kế hoạch chèn link (mới)'!$D$3:$D$2213=$B465),4),"""")"),"vay")</f>
        <v>vay</v>
      </c>
      <c r="N465" s="25" t="str">
        <f>IFERROR(__xludf.DUMMYFUNCTION("IFERROR(INDEX(FILTER('Kế hoạch chèn link (mới)'!$B$3:$B$2213,'Kế hoạch chèn link (mới)'!$D$3:$D$2213=$B465),4),"""")"),"https://techcombank.com/thong-tin/blog/app-vay-tien-nhanh")</f>
        <v>https://techcombank.com/thong-tin/blog/app-vay-tien-nhanh</v>
      </c>
      <c r="O465" s="25" t="str">
        <f>IFERROR(__xludf.DUMMYFUNCTION("IFERROR(INDEX(FILTER('Kế hoạch chèn link (mới)'!$C$3:$C$2213,'Kế hoạch chèn link (mới)'!$D$3:$D$2213=$B465),5),"""")"),"")</f>
        <v/>
      </c>
      <c r="P465" s="25" t="str">
        <f>IFERROR(__xludf.DUMMYFUNCTION("IFERROR(INDEX(FILTER('Kế hoạch chèn link (mới)'!$B$3:$B$2213,'Kế hoạch chèn link (mới)'!$D$3:$D$2213=$B465),5),"""")"),"")</f>
        <v/>
      </c>
    </row>
    <row r="466">
      <c r="A466" s="6">
        <f t="shared" si="1"/>
        <v>465</v>
      </c>
      <c r="B466" s="8" t="s">
        <v>3095</v>
      </c>
      <c r="C466" s="6">
        <f>COUNTIF('Kế hoạch chèn link (mới)'!$D$3:$D$2213,$B466)</f>
        <v>4</v>
      </c>
      <c r="D466" s="8" t="str">
        <f>IF(COUNTIFS('Kế hoạch chèn link (mới)'!$D$3:$D$2213,$B466,'Kế hoạch chèn link (mới)'!$I$3:$I$2213,"Đã chèn")&gt;=$C466,"Đã hoàn thành",IF(COUNTIFS('Kế hoạch chèn link (mới)'!$D$3:$D$2213,$B466,'Kế hoạch chèn link (mới)'!$I$3:$I$2213,"Đã chèn")&gt;0,"Đang làm","Chưa hoàn thành"))</f>
        <v>Chưa hoàn thành</v>
      </c>
      <c r="E466" s="8" t="b">
        <f t="shared" si="2"/>
        <v>0</v>
      </c>
      <c r="F466" s="25"/>
      <c r="G466" s="25" t="str">
        <f>IFERROR(__xludf.DUMMYFUNCTION("IFERROR(INDEX(FILTER('Kế hoạch chèn link (mới)'!$C$3:$C$2213,'Kế hoạch chèn link (mới)'!$D$3:$D$2213=$B466),1),"""")"),"lãi suất chứng chỉ tiền gửi")</f>
        <v>lãi suất chứng chỉ tiền gửi</v>
      </c>
      <c r="H466" s="25" t="str">
        <f>IFERROR(__xludf.DUMMYFUNCTION("IFERROR(INDEX(FILTER('Kế hoạch chèn link (mới)'!$B$3:$B$2213,'Kế hoạch chèn link (mới)'!$D$3:$D$2213=$B466),1),"""")"),"https://techcombank.com/thong-tin/blog/lai-suat-chung-chi-tien-gui-cac-ngan-hang")</f>
        <v>https://techcombank.com/thong-tin/blog/lai-suat-chung-chi-tien-gui-cac-ngan-hang</v>
      </c>
      <c r="I466" s="25" t="str">
        <f>IFERROR(__xludf.DUMMYFUNCTION("IFERROR(INDEX(FILTER('Kế hoạch chèn link (mới)'!$C$3:$C$2213,'Kế hoạch chèn link (mới)'!$D$3:$D$2213=$B466),2),"""")"),"thuế hộ kinh doanh")</f>
        <v>thuế hộ kinh doanh</v>
      </c>
      <c r="J466" s="25" t="str">
        <f>IFERROR(__xludf.DUMMYFUNCTION("IFERROR(INDEX(FILTER('Kế hoạch chèn link (mới)'!$B$3:$B$2213,'Kế hoạch chèn link (mới)'!$D$3:$D$2213=$B466),2),"""")"),"https://techcombank.com/thong-tin/blog/ho-kinh-doanh-dong-thue-nhu-nao")</f>
        <v>https://techcombank.com/thong-tin/blog/ho-kinh-doanh-dong-thue-nhu-nao</v>
      </c>
      <c r="K466" s="25" t="str">
        <f>IFERROR(__xludf.DUMMYFUNCTION("IFERROR(INDEX(FILTER('Kế hoạch chèn link (mới)'!$C$3:$C$2213,'Kế hoạch chèn link (mới)'!$D$3:$D$2213=$B466),3),"""")"),"vay")</f>
        <v>vay</v>
      </c>
      <c r="L466" s="25" t="str">
        <f>IFERROR(__xludf.DUMMYFUNCTION("IFERROR(INDEX(FILTER('Kế hoạch chèn link (mới)'!$B$3:$B$2213,'Kế hoạch chèn link (mới)'!$D$3:$D$2213=$B466),3),"""")"),"https://techcombank.com/thong-tin/blog/app-vay-tien-nhanh")</f>
        <v>https://techcombank.com/thong-tin/blog/app-vay-tien-nhanh</v>
      </c>
      <c r="M466" s="25" t="str">
        <f>IFERROR(__xludf.DUMMYFUNCTION("IFERROR(INDEX(FILTER('Kế hoạch chèn link (mới)'!$C$3:$C$2213,'Kế hoạch chèn link (mới)'!$D$3:$D$2213=$B466),4),"""")"),"vay thấu chi là gì")</f>
        <v>vay thấu chi là gì</v>
      </c>
      <c r="N466" s="25" t="str">
        <f>IFERROR(__xludf.DUMMYFUNCTION("IFERROR(INDEX(FILTER('Kế hoạch chèn link (mới)'!$B$3:$B$2213,'Kế hoạch chèn link (mới)'!$D$3:$D$2213=$B466),4),"""")"),"https://techcombank.com/thong-tin/blog/vay-thau-chi-la-gi")</f>
        <v>https://techcombank.com/thong-tin/blog/vay-thau-chi-la-gi</v>
      </c>
      <c r="O466" s="25" t="str">
        <f>IFERROR(__xludf.DUMMYFUNCTION("IFERROR(INDEX(FILTER('Kế hoạch chèn link (mới)'!$C$3:$C$2213,'Kế hoạch chèn link (mới)'!$D$3:$D$2213=$B466),5),"""")"),"")</f>
        <v/>
      </c>
      <c r="P466" s="25" t="str">
        <f>IFERROR(__xludf.DUMMYFUNCTION("IFERROR(INDEX(FILTER('Kế hoạch chèn link (mới)'!$B$3:$B$2213,'Kế hoạch chèn link (mới)'!$D$3:$D$2213=$B466),5),"""")"),"")</f>
        <v/>
      </c>
    </row>
    <row r="467">
      <c r="A467" s="6">
        <f t="shared" si="1"/>
        <v>466</v>
      </c>
      <c r="B467" s="8" t="s">
        <v>2951</v>
      </c>
      <c r="C467" s="6">
        <f>COUNTIF('Kế hoạch chèn link (mới)'!$D$3:$D$2213,$B467)</f>
        <v>2</v>
      </c>
      <c r="D467" s="8" t="str">
        <f>IF(COUNTIFS('Kế hoạch chèn link (mới)'!$D$3:$D$2213,$B467,'Kế hoạch chèn link (mới)'!$I$3:$I$2213,"Đã chèn")&gt;=$C467,"Đã hoàn thành",IF(COUNTIFS('Kế hoạch chèn link (mới)'!$D$3:$D$2213,$B467,'Kế hoạch chèn link (mới)'!$I$3:$I$2213,"Đã chèn")&gt;0,"Đang làm","Chưa hoàn thành"))</f>
        <v>Chưa hoàn thành</v>
      </c>
      <c r="E467" s="8" t="b">
        <f t="shared" si="2"/>
        <v>0</v>
      </c>
      <c r="F467" s="25"/>
      <c r="G467" s="25" t="str">
        <f>IFERROR(__xludf.DUMMYFUNCTION("IFERROR(INDEX(FILTER('Kế hoạch chèn link (mới)'!$C$3:$C$2213,'Kế hoạch chèn link (mới)'!$D$3:$D$2213=$B467),1),"""")"),"cách rút tiền bằng mã QR")</f>
        <v>cách rút tiền bằng mã QR</v>
      </c>
      <c r="H467" s="25" t="str">
        <f>IFERROR(__xludf.DUMMYFUNCTION("IFERROR(INDEX(FILTER('Kế hoạch chèn link (mới)'!$B$3:$B$2213,'Kế hoạch chèn link (mới)'!$D$3:$D$2213=$B467),1),"""")"),"https://techcombank.com/thong-tin/blog/rut-tien-bang-ma-qr-la-gi-cach-thuc-hien-nhu-the-nao")</f>
        <v>https://techcombank.com/thong-tin/blog/rut-tien-bang-ma-qr-la-gi-cach-thuc-hien-nhu-the-nao</v>
      </c>
      <c r="I467" s="25" t="str">
        <f>IFERROR(__xludf.DUMMYFUNCTION("IFERROR(INDEX(FILTER('Kế hoạch chèn link (mới)'!$C$3:$C$2213,'Kế hoạch chèn link (mới)'!$D$3:$D$2213=$B467),2),"""")"),"cách gửi mã QR ngân hàng")</f>
        <v>cách gửi mã QR ngân hàng</v>
      </c>
      <c r="J467" s="25" t="str">
        <f>IFERROR(__xludf.DUMMYFUNCTION("IFERROR(INDEX(FILTER('Kế hoạch chèn link (mới)'!$B$3:$B$2213,'Kế hoạch chèn link (mới)'!$D$3:$D$2213=$B467),2),"""")"),"https://techcombank.com/thong-tin/blog/gui-ma-qr-ngan-hang")</f>
        <v>https://techcombank.com/thong-tin/blog/gui-ma-qr-ngan-hang</v>
      </c>
      <c r="K467" s="25" t="str">
        <f>IFERROR(__xludf.DUMMYFUNCTION("IFERROR(INDEX(FILTER('Kế hoạch chèn link (mới)'!$C$3:$C$2213,'Kế hoạch chèn link (mới)'!$D$3:$D$2213=$B467),3),"""")"),"")</f>
        <v/>
      </c>
      <c r="L467" s="25" t="str">
        <f>IFERROR(__xludf.DUMMYFUNCTION("IFERROR(INDEX(FILTER('Kế hoạch chèn link (mới)'!$B$3:$B$2213,'Kế hoạch chèn link (mới)'!$D$3:$D$2213=$B467),3),"""")"),"")</f>
        <v/>
      </c>
      <c r="M467" s="25" t="str">
        <f>IFERROR(__xludf.DUMMYFUNCTION("IFERROR(INDEX(FILTER('Kế hoạch chèn link (mới)'!$C$3:$C$2213,'Kế hoạch chèn link (mới)'!$D$3:$D$2213=$B467),4),"""")"),"")</f>
        <v/>
      </c>
      <c r="N467" s="25" t="str">
        <f>IFERROR(__xludf.DUMMYFUNCTION("IFERROR(INDEX(FILTER('Kế hoạch chèn link (mới)'!$B$3:$B$2213,'Kế hoạch chèn link (mới)'!$D$3:$D$2213=$B467),4),"""")"),"")</f>
        <v/>
      </c>
      <c r="O467" s="25" t="str">
        <f>IFERROR(__xludf.DUMMYFUNCTION("IFERROR(INDEX(FILTER('Kế hoạch chèn link (mới)'!$C$3:$C$2213,'Kế hoạch chèn link (mới)'!$D$3:$D$2213=$B467),5),"""")"),"")</f>
        <v/>
      </c>
      <c r="P467" s="25" t="str">
        <f>IFERROR(__xludf.DUMMYFUNCTION("IFERROR(INDEX(FILTER('Kế hoạch chèn link (mới)'!$B$3:$B$2213,'Kế hoạch chèn link (mới)'!$D$3:$D$2213=$B467),5),"""")"),"")</f>
        <v/>
      </c>
    </row>
    <row r="468">
      <c r="A468" s="6">
        <f t="shared" si="1"/>
        <v>467</v>
      </c>
      <c r="B468" s="8" t="s">
        <v>1862</v>
      </c>
      <c r="C468" s="6">
        <f>COUNTIF('Kế hoạch chèn link (mới)'!$D$3:$D$2213,$B468)</f>
        <v>2</v>
      </c>
      <c r="D468" s="8" t="str">
        <f>IF(COUNTIFS('Kế hoạch chèn link (mới)'!$D$3:$D$2213,$B468,'Kế hoạch chèn link (mới)'!$I$3:$I$2213,"Đã chèn")&gt;=$C468,"Đã hoàn thành",IF(COUNTIFS('Kế hoạch chèn link (mới)'!$D$3:$D$2213,$B468,'Kế hoạch chèn link (mới)'!$I$3:$I$2213,"Đã chèn")&gt;0,"Đang làm","Chưa hoàn thành"))</f>
        <v>Chưa hoàn thành</v>
      </c>
      <c r="E468" s="8" t="b">
        <f t="shared" si="2"/>
        <v>0</v>
      </c>
      <c r="F468" s="25"/>
      <c r="G468" s="25" t="str">
        <f>IFERROR(__xludf.DUMMYFUNCTION("IFERROR(INDEX(FILTER('Kế hoạch chèn link (mới)'!$C$3:$C$2213,'Kế hoạch chèn link (mới)'!$D$3:$D$2213=$B468),1),"""")"),"chọn ngân hàng uy tín")</f>
        <v>chọn ngân hàng uy tín</v>
      </c>
      <c r="H468" s="25" t="str">
        <f>IFERROR(__xludf.DUMMYFUNCTION("IFERROR(INDEX(FILTER('Kế hoạch chèn link (mới)'!$B$3:$B$2213,'Kế hoạch chèn link (mới)'!$D$3:$D$2213=$B468),1),"""")"),"https://techcombank.com/thong-tin/blog/ngan-hang-uy-tin")</f>
        <v>https://techcombank.com/thong-tin/blog/ngan-hang-uy-tin</v>
      </c>
      <c r="I468" s="25" t="str">
        <f>IFERROR(__xludf.DUMMYFUNCTION("IFERROR(INDEX(FILTER('Kế hoạch chèn link (mới)'!$C$3:$C$2213,'Kế hoạch chèn link (mới)'!$D$3:$D$2213=$B468),2),"""")"),"tỷ giá Nhân dân tệ")</f>
        <v>tỷ giá Nhân dân tệ</v>
      </c>
      <c r="J468" s="25" t="str">
        <f>IFERROR(__xludf.DUMMYFUNCTION("IFERROR(INDEX(FILTER('Kế hoạch chèn link (mới)'!$B$3:$B$2213,'Kế hoạch chèn link (mới)'!$D$3:$D$2213=$B468),2),"""")"),"https://techcombank.com/thong-tin/blog/1-te-bang-bao-nhieu-tien-viet-nam")</f>
        <v>https://techcombank.com/thong-tin/blog/1-te-bang-bao-nhieu-tien-viet-nam</v>
      </c>
      <c r="K468" s="25" t="str">
        <f>IFERROR(__xludf.DUMMYFUNCTION("IFERROR(INDEX(FILTER('Kế hoạch chèn link (mới)'!$C$3:$C$2213,'Kế hoạch chèn link (mới)'!$D$3:$D$2213=$B468),3),"""")"),"")</f>
        <v/>
      </c>
      <c r="L468" s="25" t="str">
        <f>IFERROR(__xludf.DUMMYFUNCTION("IFERROR(INDEX(FILTER('Kế hoạch chèn link (mới)'!$B$3:$B$2213,'Kế hoạch chèn link (mới)'!$D$3:$D$2213=$B468),3),"""")"),"")</f>
        <v/>
      </c>
      <c r="M468" s="25" t="str">
        <f>IFERROR(__xludf.DUMMYFUNCTION("IFERROR(INDEX(FILTER('Kế hoạch chèn link (mới)'!$C$3:$C$2213,'Kế hoạch chèn link (mới)'!$D$3:$D$2213=$B468),4),"""")"),"")</f>
        <v/>
      </c>
      <c r="N468" s="25" t="str">
        <f>IFERROR(__xludf.DUMMYFUNCTION("IFERROR(INDEX(FILTER('Kế hoạch chèn link (mới)'!$B$3:$B$2213,'Kế hoạch chèn link (mới)'!$D$3:$D$2213=$B468),4),"""")"),"")</f>
        <v/>
      </c>
      <c r="O468" s="25" t="str">
        <f>IFERROR(__xludf.DUMMYFUNCTION("IFERROR(INDEX(FILTER('Kế hoạch chèn link (mới)'!$C$3:$C$2213,'Kế hoạch chèn link (mới)'!$D$3:$D$2213=$B468),5),"""")"),"")</f>
        <v/>
      </c>
      <c r="P468" s="25" t="str">
        <f>IFERROR(__xludf.DUMMYFUNCTION("IFERROR(INDEX(FILTER('Kế hoạch chèn link (mới)'!$B$3:$B$2213,'Kế hoạch chèn link (mới)'!$D$3:$D$2213=$B468),5),"""")"),"")</f>
        <v/>
      </c>
    </row>
    <row r="469">
      <c r="A469" s="6">
        <f t="shared" si="1"/>
        <v>468</v>
      </c>
      <c r="B469" s="8" t="s">
        <v>1878</v>
      </c>
      <c r="C469" s="6">
        <f>COUNTIF('Kế hoạch chèn link (mới)'!$D$3:$D$2213,$B469)</f>
        <v>5</v>
      </c>
      <c r="D469" s="8" t="str">
        <f>IF(COUNTIFS('Kế hoạch chèn link (mới)'!$D$3:$D$2213,$B469,'Kế hoạch chèn link (mới)'!$I$3:$I$2213,"Đã chèn")&gt;=$C469,"Đã hoàn thành",IF(COUNTIFS('Kế hoạch chèn link (mới)'!$D$3:$D$2213,$B469,'Kế hoạch chèn link (mới)'!$I$3:$I$2213,"Đã chèn")&gt;0,"Đang làm","Chưa hoàn thành"))</f>
        <v>Chưa hoàn thành</v>
      </c>
      <c r="E469" s="8" t="b">
        <f t="shared" si="2"/>
        <v>0</v>
      </c>
      <c r="F469" s="25"/>
      <c r="G469" s="25" t="str">
        <f>IFERROR(__xludf.DUMMYFUNCTION("IFERROR(INDEX(FILTER('Kế hoạch chèn link (mới)'!$C$3:$C$2213,'Kế hoạch chèn link (mới)'!$D$3:$D$2213=$B469),1),"""")"),"chọn ngân hàng uy tín")</f>
        <v>chọn ngân hàng uy tín</v>
      </c>
      <c r="H469" s="25" t="str">
        <f>IFERROR(__xludf.DUMMYFUNCTION("IFERROR(INDEX(FILTER('Kế hoạch chèn link (mới)'!$B$3:$B$2213,'Kế hoạch chèn link (mới)'!$D$3:$D$2213=$B469),1),"""")"),"https://techcombank.com/thong-tin/blog/ngan-hang-uy-tin")</f>
        <v>https://techcombank.com/thong-tin/blog/ngan-hang-uy-tin</v>
      </c>
      <c r="I469" s="25" t="str">
        <f>IFERROR(__xludf.DUMMYFUNCTION("IFERROR(INDEX(FILTER('Kế hoạch chèn link (mới)'!$C$3:$C$2213,'Kế hoạch chèn link (mới)'!$D$3:$D$2213=$B469),2),"""")"),"lãi suất ngân hàng tiền gửi")</f>
        <v>lãi suất ngân hàng tiền gửi</v>
      </c>
      <c r="J469" s="25" t="str">
        <f>IFERROR(__xludf.DUMMYFUNCTION("IFERROR(INDEX(FILTER('Kế hoạch chèn link (mới)'!$B$3:$B$2213,'Kế hoạch chèn link (mới)'!$D$3:$D$2213=$B469),2),"""")"),"https://techcombank.com/thong-tin/blog/lai-suat-tiet-kiem")</f>
        <v>https://techcombank.com/thong-tin/blog/lai-suat-tiet-kiem</v>
      </c>
      <c r="K469" s="25" t="str">
        <f>IFERROR(__xludf.DUMMYFUNCTION("IFERROR(INDEX(FILTER('Kế hoạch chèn link (mới)'!$C$3:$C$2213,'Kế hoạch chèn link (mới)'!$D$3:$D$2213=$B469),3),"""")"),"cách tính lãi suất ngân hàng")</f>
        <v>cách tính lãi suất ngân hàng</v>
      </c>
      <c r="L469" s="25" t="str">
        <f>IFERROR(__xludf.DUMMYFUNCTION("IFERROR(INDEX(FILTER('Kế hoạch chèn link (mới)'!$B$3:$B$2213,'Kế hoạch chèn link (mới)'!$D$3:$D$2213=$B469),3),"""")"),"https://techcombank.com/thong-tin/blog/cach-tinh-lai-suat-tien-gui-tiet-kiem")</f>
        <v>https://techcombank.com/thong-tin/blog/cach-tinh-lai-suat-tien-gui-tiet-kiem</v>
      </c>
      <c r="M469" s="25" t="str">
        <f>IFERROR(__xludf.DUMMYFUNCTION("IFERROR(INDEX(FILTER('Kế hoạch chèn link (mới)'!$C$3:$C$2213,'Kế hoạch chèn link (mới)'!$D$3:$D$2213=$B469),4),"""")"),"gửi tiết kiệm online có an toàn không")</f>
        <v>gửi tiết kiệm online có an toàn không</v>
      </c>
      <c r="N469" s="25" t="str">
        <f>IFERROR(__xludf.DUMMYFUNCTION("IFERROR(INDEX(FILTER('Kế hoạch chèn link (mới)'!$B$3:$B$2213,'Kế hoạch chèn link (mới)'!$D$3:$D$2213=$B469),4),"""")"),"https://techcombank.com/thong-tin/blog/rui-ro-khi-gui-tiet-kiem-online")</f>
        <v>https://techcombank.com/thong-tin/blog/rui-ro-khi-gui-tiet-kiem-online</v>
      </c>
      <c r="O469" s="25" t="str">
        <f>IFERROR(__xludf.DUMMYFUNCTION("IFERROR(INDEX(FILTER('Kế hoạch chèn link (mới)'!$C$3:$C$2213,'Kế hoạch chèn link (mới)'!$D$3:$D$2213=$B469),5),"""")"),"bảng tính lãi suất tiết kiệm")</f>
        <v>bảng tính lãi suất tiết kiệm</v>
      </c>
      <c r="P469" s="25" t="str">
        <f>IFERROR(__xludf.DUMMYFUNCTION("IFERROR(INDEX(FILTER('Kế hoạch chèn link (mới)'!$B$3:$B$2213,'Kế hoạch chèn link (mới)'!$D$3:$D$2213=$B469),5),"""")"),"https://techcombank.com/cong-cu-tien-ich/cong-cu-tinh-toan/bang-tinh-lai-suat-tiet-kiem")</f>
        <v>https://techcombank.com/cong-cu-tien-ich/cong-cu-tinh-toan/bang-tinh-lai-suat-tiet-kiem</v>
      </c>
    </row>
    <row r="470">
      <c r="A470" s="6">
        <f t="shared" si="1"/>
        <v>469</v>
      </c>
      <c r="B470" s="8" t="s">
        <v>2156</v>
      </c>
      <c r="C470" s="6">
        <f>COUNTIF('Kế hoạch chèn link (mới)'!$D$3:$D$2213,$B470)</f>
        <v>5</v>
      </c>
      <c r="D470" s="8" t="str">
        <f>IF(COUNTIFS('Kế hoạch chèn link (mới)'!$D$3:$D$2213,$B470,'Kế hoạch chèn link (mới)'!$I$3:$I$2213,"Đã chèn")&gt;=$C470,"Đã hoàn thành",IF(COUNTIFS('Kế hoạch chèn link (mới)'!$D$3:$D$2213,$B470,'Kế hoạch chèn link (mới)'!$I$3:$I$2213,"Đã chèn")&gt;0,"Đang làm","Chưa hoàn thành"))</f>
        <v>Chưa hoàn thành</v>
      </c>
      <c r="E470" s="8" t="b">
        <f t="shared" si="2"/>
        <v>0</v>
      </c>
      <c r="F470" s="25"/>
      <c r="G470" s="25" t="str">
        <f>IFERROR(__xludf.DUMMYFUNCTION("IFERROR(INDEX(FILTER('Kế hoạch chèn link (mới)'!$C$3:$C$2213,'Kế hoạch chèn link (mới)'!$D$3:$D$2213=$B470),1),"""")"),"mở tài khoản ngân hàng dưới 18 tuổi")</f>
        <v>mở tài khoản ngân hàng dưới 18 tuổi</v>
      </c>
      <c r="H470" s="25" t="str">
        <f>IFERROR(__xludf.DUMMYFUNCTION("IFERROR(INDEX(FILTER('Kế hoạch chèn link (mới)'!$B$3:$B$2213,'Kế hoạch chèn link (mới)'!$D$3:$D$2213=$B470),1),"""")"),"https://techcombank.com/thong-tin/blog/mo-tai-khoan-ngan-hang-duoi-18-tuoi")</f>
        <v>https://techcombank.com/thong-tin/blog/mo-tai-khoan-ngan-hang-duoi-18-tuoi</v>
      </c>
      <c r="I470" s="25" t="str">
        <f>IFERROR(__xludf.DUMMYFUNCTION("IFERROR(INDEX(FILTER('Kế hoạch chèn link (mới)'!$C$3:$C$2213,'Kế hoạch chèn link (mới)'!$D$3:$D$2213=$B470),2),"""")"),"voucher Traveloka")</f>
        <v>voucher Traveloka</v>
      </c>
      <c r="J470" s="25" t="str">
        <f>IFERROR(__xludf.DUMMYFUNCTION("IFERROR(INDEX(FILTER('Kế hoạch chèn link (mới)'!$B$3:$B$2213,'Kế hoạch chèn link (mới)'!$D$3:$D$2213=$B470),2),"""")"),"https://techcombank.com/thong-tin/blog/traveloka-voucher")</f>
        <v>https://techcombank.com/thong-tin/blog/traveloka-voucher</v>
      </c>
      <c r="K470" s="25" t="str">
        <f>IFERROR(__xludf.DUMMYFUNCTION("IFERROR(INDEX(FILTER('Kế hoạch chèn link (mới)'!$C$3:$C$2213,'Kế hoạch chèn link (mới)'!$D$3:$D$2213=$B470),3),"""")"),"tính lãi suất tiết kiệm")</f>
        <v>tính lãi suất tiết kiệm</v>
      </c>
      <c r="L470" s="25" t="str">
        <f>IFERROR(__xludf.DUMMYFUNCTION("IFERROR(INDEX(FILTER('Kế hoạch chèn link (mới)'!$B$3:$B$2213,'Kế hoạch chèn link (mới)'!$D$3:$D$2213=$B470),3),"""")"),"https://techcombank.com/thong-tin/blog/cach-tinh-lai-suat-tien-gui-tiet-kiem")</f>
        <v>https://techcombank.com/thong-tin/blog/cach-tinh-lai-suat-tien-gui-tiet-kiem</v>
      </c>
      <c r="M470" s="25" t="str">
        <f>IFERROR(__xludf.DUMMYFUNCTION("IFERROR(INDEX(FILTER('Kế hoạch chèn link (mới)'!$C$3:$C$2213,'Kế hoạch chèn link (mới)'!$D$3:$D$2213=$B470),4),"""")"),"bảng tính lãi suất tiết kiệm")</f>
        <v>bảng tính lãi suất tiết kiệm</v>
      </c>
      <c r="N470" s="25" t="str">
        <f>IFERROR(__xludf.DUMMYFUNCTION("IFERROR(INDEX(FILTER('Kế hoạch chèn link (mới)'!$B$3:$B$2213,'Kế hoạch chèn link (mới)'!$D$3:$D$2213=$B470),4),"""")"),"https://techcombank.com/cong-cu-tien-ich/cong-cu-tinh-toan/bang-tinh-lai-suat-tiet-kiem")</f>
        <v>https://techcombank.com/cong-cu-tien-ich/cong-cu-tinh-toan/bang-tinh-lai-suat-tiet-kiem</v>
      </c>
      <c r="O470" s="25" t="str">
        <f>IFERROR(__xludf.DUMMYFUNCTION("IFERROR(INDEX(FILTER('Kế hoạch chèn link (mới)'!$C$3:$C$2213,'Kế hoạch chèn link (mới)'!$D$3:$D$2213=$B470),5),"""")"),"vay thấu chi")</f>
        <v>vay thấu chi</v>
      </c>
      <c r="P470" s="25" t="str">
        <f>IFERROR(__xludf.DUMMYFUNCTION("IFERROR(INDEX(FILTER('Kế hoạch chèn link (mới)'!$B$3:$B$2213,'Kế hoạch chèn link (mới)'!$D$3:$D$2213=$B470),5),"""")"),"https://techcombank.com/thong-tin/blog/vay-thau-chi-la-gi")</f>
        <v>https://techcombank.com/thong-tin/blog/vay-thau-chi-la-gi</v>
      </c>
    </row>
    <row r="471">
      <c r="A471" s="6">
        <f t="shared" si="1"/>
        <v>470</v>
      </c>
      <c r="B471" s="8" t="s">
        <v>3098</v>
      </c>
      <c r="C471" s="6">
        <f>COUNTIF('Kế hoạch chèn link (mới)'!$D$3:$D$2213,$B471)</f>
        <v>4</v>
      </c>
      <c r="D471" s="8" t="str">
        <f>IF(COUNTIFS('Kế hoạch chèn link (mới)'!$D$3:$D$2213,$B471,'Kế hoạch chèn link (mới)'!$I$3:$I$2213,"Đã chèn")&gt;=$C471,"Đã hoàn thành",IF(COUNTIFS('Kế hoạch chèn link (mới)'!$D$3:$D$2213,$B471,'Kế hoạch chèn link (mới)'!$I$3:$I$2213,"Đã chèn")&gt;0,"Đang làm","Chưa hoàn thành"))</f>
        <v>Chưa hoàn thành</v>
      </c>
      <c r="E471" s="8" t="b">
        <f t="shared" si="2"/>
        <v>0</v>
      </c>
      <c r="F471" s="25"/>
      <c r="G471" s="25" t="str">
        <f>IFERROR(__xludf.DUMMYFUNCTION("IFERROR(INDEX(FILTER('Kế hoạch chèn link (mới)'!$C$3:$C$2213,'Kế hoạch chèn link (mới)'!$D$3:$D$2213=$B471),1),"""")"),"kiểm tra cic")</f>
        <v>kiểm tra cic</v>
      </c>
      <c r="H471" s="25" t="str">
        <f>IFERROR(__xludf.DUMMYFUNCTION("IFERROR(INDEX(FILTER('Kế hoạch chèn link (mới)'!$B$3:$B$2213,'Kế hoạch chèn link (mới)'!$D$3:$D$2213=$B471),1),"""")"),"https://techcombank.com/thong-tin/blog/cic-la-gi")</f>
        <v>https://techcombank.com/thong-tin/blog/cic-la-gi</v>
      </c>
      <c r="I471" s="25" t="str">
        <f>IFERROR(__xludf.DUMMYFUNCTION("IFERROR(INDEX(FILTER('Kế hoạch chèn link (mới)'!$C$3:$C$2213,'Kế hoạch chèn link (mới)'!$D$3:$D$2213=$B471),2),"""")"),"tính lãi suất vay ngân hàng")</f>
        <v>tính lãi suất vay ngân hàng</v>
      </c>
      <c r="J471" s="25" t="str">
        <f>IFERROR(__xludf.DUMMYFUNCTION("IFERROR(INDEX(FILTER('Kế hoạch chèn link (mới)'!$B$3:$B$2213,'Kế hoạch chèn link (mới)'!$D$3:$D$2213=$B471),2),"""")"),"https://techcombank.com/cong-cu-tien-ich/cong-cu-tinh-toan/bang-tinh-lai-suat-vay")</f>
        <v>https://techcombank.com/cong-cu-tien-ich/cong-cu-tinh-toan/bang-tinh-lai-suat-vay</v>
      </c>
      <c r="K471" s="25" t="str">
        <f>IFERROR(__xludf.DUMMYFUNCTION("IFERROR(INDEX(FILTER('Kế hoạch chèn link (mới)'!$C$3:$C$2213,'Kế hoạch chèn link (mới)'!$D$3:$D$2213=$B471),3),"""")"),"vay tiền")</f>
        <v>vay tiền</v>
      </c>
      <c r="L471" s="25" t="str">
        <f>IFERROR(__xludf.DUMMYFUNCTION("IFERROR(INDEX(FILTER('Kế hoạch chèn link (mới)'!$B$3:$B$2213,'Kế hoạch chèn link (mới)'!$D$3:$D$2213=$B471),3),"""")"),"https://techcombank.com/thong-tin/blog/app-vay-tien-nhanh")</f>
        <v>https://techcombank.com/thong-tin/blog/app-vay-tien-nhanh</v>
      </c>
      <c r="M471" s="25" t="str">
        <f>IFERROR(__xludf.DUMMYFUNCTION("IFERROR(INDEX(FILTER('Kế hoạch chèn link (mới)'!$C$3:$C$2213,'Kế hoạch chèn link (mới)'!$D$3:$D$2213=$B471),4),"""")"),"lãi suất cho vay ngân hàng")</f>
        <v>lãi suất cho vay ngân hàng</v>
      </c>
      <c r="N471" s="25" t="str">
        <f>IFERROR(__xludf.DUMMYFUNCTION("IFERROR(INDEX(FILTER('Kế hoạch chèn link (mới)'!$B$3:$B$2213,'Kế hoạch chèn link (mới)'!$D$3:$D$2213=$B471),4),"""")"),"https://techcombank.com/thong-tin/blog/lai-suat-vay-ngan-hang")</f>
        <v>https://techcombank.com/thong-tin/blog/lai-suat-vay-ngan-hang</v>
      </c>
      <c r="O471" s="25" t="str">
        <f>IFERROR(__xludf.DUMMYFUNCTION("IFERROR(INDEX(FILTER('Kế hoạch chèn link (mới)'!$C$3:$C$2213,'Kế hoạch chèn link (mới)'!$D$3:$D$2213=$B471),5),"""")"),"")</f>
        <v/>
      </c>
      <c r="P471" s="25" t="str">
        <f>IFERROR(__xludf.DUMMYFUNCTION("IFERROR(INDEX(FILTER('Kế hoạch chèn link (mới)'!$B$3:$B$2213,'Kế hoạch chèn link (mới)'!$D$3:$D$2213=$B471),5),"""")"),"")</f>
        <v/>
      </c>
    </row>
    <row r="472">
      <c r="A472" s="6">
        <f t="shared" si="1"/>
        <v>471</v>
      </c>
      <c r="B472" s="8" t="s">
        <v>3099</v>
      </c>
      <c r="C472" s="6">
        <f>COUNTIF('Kế hoạch chèn link (mới)'!$D$3:$D$2213,$B472)</f>
        <v>4</v>
      </c>
      <c r="D472" s="8" t="str">
        <f>IF(COUNTIFS('Kế hoạch chèn link (mới)'!$D$3:$D$2213,$B472,'Kế hoạch chèn link (mới)'!$I$3:$I$2213,"Đã chèn")&gt;=$C472,"Đã hoàn thành",IF(COUNTIFS('Kế hoạch chèn link (mới)'!$D$3:$D$2213,$B472,'Kế hoạch chèn link (mới)'!$I$3:$I$2213,"Đã chèn")&gt;0,"Đang làm","Chưa hoàn thành"))</f>
        <v>Chưa hoàn thành</v>
      </c>
      <c r="E472" s="8" t="b">
        <f t="shared" si="2"/>
        <v>0</v>
      </c>
      <c r="F472" s="25"/>
      <c r="G472" s="25" t="str">
        <f>IFERROR(__xludf.DUMMYFUNCTION("IFERROR(INDEX(FILTER('Kế hoạch chèn link (mới)'!$C$3:$C$2213,'Kế hoạch chèn link (mới)'!$D$3:$D$2213=$B472),1),"""")"),"tính lãi suất ngân hàng")</f>
        <v>tính lãi suất ngân hàng</v>
      </c>
      <c r="H472" s="25" t="str">
        <f>IFERROR(__xludf.DUMMYFUNCTION("IFERROR(INDEX(FILTER('Kế hoạch chèn link (mới)'!$B$3:$B$2213,'Kế hoạch chèn link (mới)'!$D$3:$D$2213=$B472),1),"""")"),"https://techcombank.com/thong-tin/blog/cach-tinh-lai-suat-tien-gui-tiet-kiem")</f>
        <v>https://techcombank.com/thong-tin/blog/cach-tinh-lai-suat-tien-gui-tiet-kiem</v>
      </c>
      <c r="I472" s="25" t="str">
        <f>IFERROR(__xludf.DUMMYFUNCTION("IFERROR(INDEX(FILTER('Kế hoạch chèn link (mới)'!$C$3:$C$2213,'Kế hoạch chèn link (mới)'!$D$3:$D$2213=$B472),2),"""")"),"sổ tiết kiệm")</f>
        <v>sổ tiết kiệm</v>
      </c>
      <c r="J472" s="25" t="str">
        <f>IFERROR(__xludf.DUMMYFUNCTION("IFERROR(INDEX(FILTER('Kế hoạch chèn link (mới)'!$B$3:$B$2213,'Kế hoạch chèn link (mới)'!$D$3:$D$2213=$B472),2),"""")"),"https://techcombank.com/thong-tin/blog/so-tiet-kiem-ngan-hang")</f>
        <v>https://techcombank.com/thong-tin/blog/so-tiet-kiem-ngan-hang</v>
      </c>
      <c r="K472" s="25" t="str">
        <f>IFERROR(__xludf.DUMMYFUNCTION("IFERROR(INDEX(FILTER('Kế hoạch chèn link (mới)'!$C$3:$C$2213,'Kế hoạch chèn link (mới)'!$D$3:$D$2213=$B472),3),"""")"),"gửi tiết kiệm online có an toàn không")</f>
        <v>gửi tiết kiệm online có an toàn không</v>
      </c>
      <c r="L472" s="25" t="str">
        <f>IFERROR(__xludf.DUMMYFUNCTION("IFERROR(INDEX(FILTER('Kế hoạch chèn link (mới)'!$B$3:$B$2213,'Kế hoạch chèn link (mới)'!$D$3:$D$2213=$B472),3),"""")"),"https://techcombank.com/thong-tin/blog/rui-ro-khi-gui-tiet-kiem-online")</f>
        <v>https://techcombank.com/thong-tin/blog/rui-ro-khi-gui-tiet-kiem-online</v>
      </c>
      <c r="M472" s="25" t="str">
        <f>IFERROR(__xludf.DUMMYFUNCTION("IFERROR(INDEX(FILTER('Kế hoạch chèn link (mới)'!$C$3:$C$2213,'Kế hoạch chèn link (mới)'!$D$3:$D$2213=$B472),4),"""")"),"bảng tính lãi suất tiết kiệm")</f>
        <v>bảng tính lãi suất tiết kiệm</v>
      </c>
      <c r="N472" s="25" t="str">
        <f>IFERROR(__xludf.DUMMYFUNCTION("IFERROR(INDEX(FILTER('Kế hoạch chèn link (mới)'!$B$3:$B$2213,'Kế hoạch chèn link (mới)'!$D$3:$D$2213=$B472),4),"""")"),"https://techcombank.com/cong-cu-tien-ich/cong-cu-tinh-toan/bang-tinh-lai-suat-tiet-kiem")</f>
        <v>https://techcombank.com/cong-cu-tien-ich/cong-cu-tinh-toan/bang-tinh-lai-suat-tiet-kiem</v>
      </c>
      <c r="O472" s="25" t="str">
        <f>IFERROR(__xludf.DUMMYFUNCTION("IFERROR(INDEX(FILTER('Kế hoạch chèn link (mới)'!$C$3:$C$2213,'Kế hoạch chèn link (mới)'!$D$3:$D$2213=$B472),5),"""")"),"")</f>
        <v/>
      </c>
      <c r="P472" s="25" t="str">
        <f>IFERROR(__xludf.DUMMYFUNCTION("IFERROR(INDEX(FILTER('Kế hoạch chèn link (mới)'!$B$3:$B$2213,'Kế hoạch chèn link (mới)'!$D$3:$D$2213=$B472),5),"""")"),"")</f>
        <v/>
      </c>
    </row>
    <row r="473">
      <c r="A473" s="6">
        <f t="shared" si="1"/>
        <v>472</v>
      </c>
      <c r="B473" s="8" t="s">
        <v>3100</v>
      </c>
      <c r="C473" s="6">
        <f>COUNTIF('Kế hoạch chèn link (mới)'!$D$3:$D$2213,$B473)</f>
        <v>4</v>
      </c>
      <c r="D473" s="8" t="str">
        <f>IF(COUNTIFS('Kế hoạch chèn link (mới)'!$D$3:$D$2213,$B473,'Kế hoạch chèn link (mới)'!$I$3:$I$2213,"Đã chèn")&gt;=$C473,"Đã hoàn thành",IF(COUNTIFS('Kế hoạch chèn link (mới)'!$D$3:$D$2213,$B473,'Kế hoạch chèn link (mới)'!$I$3:$I$2213,"Đã chèn")&gt;0,"Đang làm","Chưa hoàn thành"))</f>
        <v>Chưa hoàn thành</v>
      </c>
      <c r="E473" s="8" t="b">
        <f t="shared" si="2"/>
        <v>0</v>
      </c>
      <c r="F473" s="25"/>
      <c r="G473" s="25" t="str">
        <f>IFERROR(__xludf.DUMMYFUNCTION("IFERROR(INDEX(FILTER('Kế hoạch chèn link (mới)'!$C$3:$C$2213,'Kế hoạch chèn link (mới)'!$D$3:$D$2213=$B473),1),"""")"),"thủ tục xóa thế chấp")</f>
        <v>thủ tục xóa thế chấp</v>
      </c>
      <c r="H473" s="25" t="str">
        <f>IFERROR(__xludf.DUMMYFUNCTION("IFERROR(INDEX(FILTER('Kế hoạch chèn link (mới)'!$B$3:$B$2213,'Kế hoạch chèn link (mới)'!$D$3:$D$2213=$B473),1),"""")"),"https://techcombank.com/thong-tin/blog/ho-so-thu-tuc-xoa-the-chap")</f>
        <v>https://techcombank.com/thong-tin/blog/ho-so-thu-tuc-xoa-the-chap</v>
      </c>
      <c r="I473" s="25" t="str">
        <f>IFERROR(__xludf.DUMMYFUNCTION("IFERROR(INDEX(FILTER('Kế hoạch chèn link (mới)'!$C$3:$C$2213,'Kế hoạch chèn link (mới)'!$D$3:$D$2213=$B473),2),"""")"),"rủi ro khi gửi tiết kiệm online")</f>
        <v>rủi ro khi gửi tiết kiệm online</v>
      </c>
      <c r="J473" s="25" t="str">
        <f>IFERROR(__xludf.DUMMYFUNCTION("IFERROR(INDEX(FILTER('Kế hoạch chèn link (mới)'!$B$3:$B$2213,'Kế hoạch chèn link (mới)'!$D$3:$D$2213=$B473),2),"""")"),"https://techcombank.com/thong-tin/blog/rui-ro-khi-gui-tiet-kiem-online")</f>
        <v>https://techcombank.com/thong-tin/blog/rui-ro-khi-gui-tiet-kiem-online</v>
      </c>
      <c r="K473" s="25" t="str">
        <f>IFERROR(__xludf.DUMMYFUNCTION("IFERROR(INDEX(FILTER('Kế hoạch chèn link (mới)'!$C$3:$C$2213,'Kế hoạch chèn link (mới)'!$D$3:$D$2213=$B473),3),"""")"),"vay tiền")</f>
        <v>vay tiền</v>
      </c>
      <c r="L473" s="25" t="str">
        <f>IFERROR(__xludf.DUMMYFUNCTION("IFERROR(INDEX(FILTER('Kế hoạch chèn link (mới)'!$B$3:$B$2213,'Kế hoạch chèn link (mới)'!$D$3:$D$2213=$B473),3),"""")"),"https://techcombank.com/thong-tin/blog/app-vay-tien-nhanh")</f>
        <v>https://techcombank.com/thong-tin/blog/app-vay-tien-nhanh</v>
      </c>
      <c r="M473" s="25" t="str">
        <f>IFERROR(__xludf.DUMMYFUNCTION("IFERROR(INDEX(FILTER('Kế hoạch chèn link (mới)'!$C$3:$C$2213,'Kế hoạch chèn link (mới)'!$D$3:$D$2213=$B473),4),"""")"),"lãi suất vay ngân hàng")</f>
        <v>lãi suất vay ngân hàng</v>
      </c>
      <c r="N473" s="25" t="str">
        <f>IFERROR(__xludf.DUMMYFUNCTION("IFERROR(INDEX(FILTER('Kế hoạch chèn link (mới)'!$B$3:$B$2213,'Kế hoạch chèn link (mới)'!$D$3:$D$2213=$B473),4),"""")"),"https://techcombank.com/thong-tin/blog/lai-suat-vay-ngan-hang")</f>
        <v>https://techcombank.com/thong-tin/blog/lai-suat-vay-ngan-hang</v>
      </c>
      <c r="O473" s="25" t="str">
        <f>IFERROR(__xludf.DUMMYFUNCTION("IFERROR(INDEX(FILTER('Kế hoạch chèn link (mới)'!$C$3:$C$2213,'Kế hoạch chèn link (mới)'!$D$3:$D$2213=$B473),5),"""")"),"")</f>
        <v/>
      </c>
      <c r="P473" s="25" t="str">
        <f>IFERROR(__xludf.DUMMYFUNCTION("IFERROR(INDEX(FILTER('Kế hoạch chèn link (mới)'!$B$3:$B$2213,'Kế hoạch chèn link (mới)'!$D$3:$D$2213=$B473),5),"""")"),"")</f>
        <v/>
      </c>
    </row>
    <row r="474">
      <c r="A474" s="6">
        <f t="shared" si="1"/>
        <v>473</v>
      </c>
      <c r="B474" s="8" t="s">
        <v>714</v>
      </c>
      <c r="C474" s="6">
        <f>COUNTIF('Kế hoạch chèn link (mới)'!$D$3:$D$2213,$B474)</f>
        <v>5</v>
      </c>
      <c r="D474" s="8" t="str">
        <f>IF(COUNTIFS('Kế hoạch chèn link (mới)'!$D$3:$D$2213,$B474,'Kế hoạch chèn link (mới)'!$I$3:$I$2213,"Đã chèn")&gt;=$C474,"Đã hoàn thành",IF(COUNTIFS('Kế hoạch chèn link (mới)'!$D$3:$D$2213,$B474,'Kế hoạch chèn link (mới)'!$I$3:$I$2213,"Đã chèn")&gt;0,"Đang làm","Chưa hoàn thành"))</f>
        <v>Chưa hoàn thành</v>
      </c>
      <c r="E474" s="8" t="b">
        <f t="shared" si="2"/>
        <v>0</v>
      </c>
      <c r="F474" s="25"/>
      <c r="G474" s="25" t="str">
        <f>IFERROR(__xludf.DUMMYFUNCTION("IFERROR(INDEX(FILTER('Kế hoạch chèn link (mới)'!$C$3:$C$2213,'Kế hoạch chèn link (mới)'!$D$3:$D$2213=$B474),1),"""")"),"nộp thuế online")</f>
        <v>nộp thuế online</v>
      </c>
      <c r="H474" s="25" t="str">
        <f>IFERROR(__xludf.DUMMYFUNCTION("IFERROR(INDEX(FILTER('Kế hoạch chèn link (mới)'!$B$3:$B$2213,'Kế hoạch chèn link (mới)'!$D$3:$D$2213=$B474),1),"""")"),"https://techcombank.com/thong-tin/blog/cach-nop-thue-dien-tu")</f>
        <v>https://techcombank.com/thong-tin/blog/cach-nop-thue-dien-tu</v>
      </c>
      <c r="I474" s="25" t="str">
        <f>IFERROR(__xludf.DUMMYFUNCTION("IFERROR(INDEX(FILTER('Kế hoạch chèn link (mới)'!$C$3:$C$2213,'Kế hoạch chèn link (mới)'!$D$3:$D$2213=$B474),2),"""")"),"thuế thu nhập doanh nghiệp")</f>
        <v>thuế thu nhập doanh nghiệp</v>
      </c>
      <c r="J474" s="25" t="str">
        <f>IFERROR(__xludf.DUMMYFUNCTION("IFERROR(INDEX(FILTER('Kế hoạch chèn link (mới)'!$B$3:$B$2213,'Kế hoạch chèn link (mới)'!$D$3:$D$2213=$B474),2),"""")"),"https://techcombank.com/thong-tin/blog/thue-thu-nhap-doanh-nghiep")</f>
        <v>https://techcombank.com/thong-tin/blog/thue-thu-nhap-doanh-nghiep</v>
      </c>
      <c r="K474" s="25" t="str">
        <f>IFERROR(__xludf.DUMMYFUNCTION("IFERROR(INDEX(FILTER('Kế hoạch chèn link (mới)'!$C$3:$C$2213,'Kế hoạch chèn link (mới)'!$D$3:$D$2213=$B474),3),"""")"),"kiểm tra nợ thuế doanh nghiệp")</f>
        <v>kiểm tra nợ thuế doanh nghiệp</v>
      </c>
      <c r="L474" s="25" t="str">
        <f>IFERROR(__xludf.DUMMYFUNCTION("IFERROR(INDEX(FILTER('Kế hoạch chèn link (mới)'!$B$3:$B$2213,'Kế hoạch chèn link (mới)'!$D$3:$D$2213=$B474),3),"""")"),"https://techcombank.com/thong-tin/blog/tra-cuu-no-thue-doanh-nghiep")</f>
        <v>https://techcombank.com/thong-tin/blog/tra-cuu-no-thue-doanh-nghiep</v>
      </c>
      <c r="M474" s="25" t="str">
        <f>IFERROR(__xludf.DUMMYFUNCTION("IFERROR(INDEX(FILTER('Kế hoạch chèn link (mới)'!$C$3:$C$2213,'Kế hoạch chèn link (mới)'!$D$3:$D$2213=$B474),4),"""")"),"thuế doanh nghiệp")</f>
        <v>thuế doanh nghiệp</v>
      </c>
      <c r="N474" s="25" t="str">
        <f>IFERROR(__xludf.DUMMYFUNCTION("IFERROR(INDEX(FILTER('Kế hoạch chèn link (mới)'!$B$3:$B$2213,'Kế hoạch chèn link (mới)'!$D$3:$D$2213=$B474),4),"""")"),"https://techcombank.com/thong-tin/blog/thue-doanh-nghiep")</f>
        <v>https://techcombank.com/thong-tin/blog/thue-doanh-nghiep</v>
      </c>
      <c r="O474" s="25" t="str">
        <f>IFERROR(__xludf.DUMMYFUNCTION("IFERROR(INDEX(FILTER('Kế hoạch chèn link (mới)'!$C$3:$C$2213,'Kế hoạch chèn link (mới)'!$D$3:$D$2213=$B474),5),"""")"),"cách tính thuế TNDN")</f>
        <v>cách tính thuế TNDN</v>
      </c>
      <c r="P474" s="25" t="str">
        <f>IFERROR(__xludf.DUMMYFUNCTION("IFERROR(INDEX(FILTER('Kế hoạch chèn link (mới)'!$B$3:$B$2213,'Kế hoạch chèn link (mới)'!$D$3:$D$2213=$B474),5),"""")"),"https://techcombank.com/thong-tin/blog/cach-tinh-thue-thu-nhap-doanh-nghiep")</f>
        <v>https://techcombank.com/thong-tin/blog/cach-tinh-thue-thu-nhap-doanh-nghiep</v>
      </c>
    </row>
    <row r="475">
      <c r="A475" s="6">
        <f t="shared" si="1"/>
        <v>474</v>
      </c>
      <c r="B475" s="8" t="s">
        <v>686</v>
      </c>
      <c r="C475" s="6">
        <f>COUNTIF('Kế hoạch chèn link (mới)'!$D$3:$D$2213,$B475)</f>
        <v>5</v>
      </c>
      <c r="D475" s="8" t="str">
        <f>IF(COUNTIFS('Kế hoạch chèn link (mới)'!$D$3:$D$2213,$B475,'Kế hoạch chèn link (mới)'!$I$3:$I$2213,"Đã chèn")&gt;=$C475,"Đã hoàn thành",IF(COUNTIFS('Kế hoạch chèn link (mới)'!$D$3:$D$2213,$B475,'Kế hoạch chèn link (mới)'!$I$3:$I$2213,"Đã chèn")&gt;0,"Đang làm","Chưa hoàn thành"))</f>
        <v>Chưa hoàn thành</v>
      </c>
      <c r="E475" s="8" t="b">
        <f t="shared" si="2"/>
        <v>0</v>
      </c>
      <c r="F475" s="25"/>
      <c r="G475" s="25" t="str">
        <f>IFERROR(__xludf.DUMMYFUNCTION("IFERROR(INDEX(FILTER('Kế hoạch chèn link (mới)'!$C$3:$C$2213,'Kế hoạch chèn link (mới)'!$D$3:$D$2213=$B475),1),"""")"),"nộp thuế hộ trên etax")</f>
        <v>nộp thuế hộ trên etax</v>
      </c>
      <c r="H475" s="25" t="str">
        <f>IFERROR(__xludf.DUMMYFUNCTION("IFERROR(INDEX(FILTER('Kế hoạch chèn link (mới)'!$B$3:$B$2213,'Kế hoạch chèn link (mới)'!$D$3:$D$2213=$B475),1),"""")"),"https://techcombank.com/thong-tin/blog/cach-nop-thue-dien-tu")</f>
        <v>https://techcombank.com/thong-tin/blog/cach-nop-thue-dien-tu</v>
      </c>
      <c r="I475" s="25" t="str">
        <f>IFERROR(__xludf.DUMMYFUNCTION("IFERROR(INDEX(FILTER('Kế hoạch chèn link (mới)'!$C$3:$C$2213,'Kế hoạch chèn link (mới)'!$D$3:$D$2213=$B475),2),"""")"),"tra cứu nợ thuế theo mã số thuế")</f>
        <v>tra cứu nợ thuế theo mã số thuế</v>
      </c>
      <c r="J475" s="25" t="str">
        <f>IFERROR(__xludf.DUMMYFUNCTION("IFERROR(INDEX(FILTER('Kế hoạch chèn link (mới)'!$B$3:$B$2213,'Kế hoạch chèn link (mới)'!$D$3:$D$2213=$B475),2),"""")"),"https://techcombank.com/thong-tin/blog/tra-cuu-no-thue-doanh-nghiep")</f>
        <v>https://techcombank.com/thong-tin/blog/tra-cuu-no-thue-doanh-nghiep</v>
      </c>
      <c r="K475" s="25" t="str">
        <f>IFERROR(__xludf.DUMMYFUNCTION("IFERROR(INDEX(FILTER('Kế hoạch chèn link (mới)'!$C$3:$C$2213,'Kế hoạch chèn link (mới)'!$D$3:$D$2213=$B475),3),"""")"),"thuế thu nhập cá nhân")</f>
        <v>thuế thu nhập cá nhân</v>
      </c>
      <c r="L475" s="25" t="str">
        <f>IFERROR(__xludf.DUMMYFUNCTION("IFERROR(INDEX(FILTER('Kế hoạch chèn link (mới)'!$B$3:$B$2213,'Kế hoạch chèn link (mới)'!$D$3:$D$2213=$B475),3),"""")"),"https://techcombank.com/thong-tin/blog/cach-tinh-thue-thu-nhap-ca-nhan-2025")</f>
        <v>https://techcombank.com/thong-tin/blog/cach-tinh-thue-thu-nhap-ca-nhan-2025</v>
      </c>
      <c r="M475" s="25" t="str">
        <f>IFERROR(__xludf.DUMMYFUNCTION("IFERROR(INDEX(FILTER('Kế hoạch chèn link (mới)'!$C$3:$C$2213,'Kế hoạch chèn link (mới)'!$D$3:$D$2213=$B475),4),"""")"),"kiểm tra thuế thu nhập cá nhân")</f>
        <v>kiểm tra thuế thu nhập cá nhân</v>
      </c>
      <c r="N475" s="25" t="str">
        <f>IFERROR(__xludf.DUMMYFUNCTION("IFERROR(INDEX(FILTER('Kế hoạch chèn link (mới)'!$B$3:$B$2213,'Kế hoạch chèn link (mới)'!$D$3:$D$2213=$B475),4),"""")"),"https://techcombank.com/thong-tin/blog/kiem-tra-thue-thu-nhap-ca-nhan")</f>
        <v>https://techcombank.com/thong-tin/blog/kiem-tra-thue-thu-nhap-ca-nhan</v>
      </c>
      <c r="O475" s="25" t="str">
        <f>IFERROR(__xludf.DUMMYFUNCTION("IFERROR(INDEX(FILTER('Kế hoạch chèn link (mới)'!$C$3:$C$2213,'Kế hoạch chèn link (mới)'!$D$3:$D$2213=$B475),5),"""")"),"thuế TNCN")</f>
        <v>thuế TNCN</v>
      </c>
      <c r="P475" s="25" t="str">
        <f>IFERROR(__xludf.DUMMYFUNCTION("IFERROR(INDEX(FILTER('Kế hoạch chèn link (mới)'!$B$3:$B$2213,'Kế hoạch chèn link (mới)'!$D$3:$D$2213=$B475),5),"""")"),"https://techcombank.com/thong-tin/blog/thue-thu-nhap-ca-nhan")</f>
        <v>https://techcombank.com/thong-tin/blog/thue-thu-nhap-ca-nhan</v>
      </c>
    </row>
    <row r="476">
      <c r="A476" s="6">
        <f t="shared" si="1"/>
        <v>475</v>
      </c>
      <c r="B476" s="8" t="s">
        <v>2016</v>
      </c>
      <c r="C476" s="6">
        <f>COUNTIF('Kế hoạch chèn link (mới)'!$D$3:$D$2213,$B476)</f>
        <v>2</v>
      </c>
      <c r="D476" s="8" t="str">
        <f>IF(COUNTIFS('Kế hoạch chèn link (mới)'!$D$3:$D$2213,$B476,'Kế hoạch chèn link (mới)'!$I$3:$I$2213,"Đã chèn")&gt;=$C476,"Đã hoàn thành",IF(COUNTIFS('Kế hoạch chèn link (mới)'!$D$3:$D$2213,$B476,'Kế hoạch chèn link (mới)'!$I$3:$I$2213,"Đã chèn")&gt;0,"Đang làm","Chưa hoàn thành"))</f>
        <v>Chưa hoàn thành</v>
      </c>
      <c r="E476" s="8" t="b">
        <f t="shared" si="2"/>
        <v>0</v>
      </c>
      <c r="F476" s="25"/>
      <c r="G476" s="25" t="str">
        <f>IFERROR(__xludf.DUMMYFUNCTION("IFERROR(INDEX(FILTER('Kế hoạch chèn link (mới)'!$C$3:$C$2213,'Kế hoạch chèn link (mới)'!$D$3:$D$2213=$B476),1),"""")"),"tiền chuyển khoản bị treo")</f>
        <v>tiền chuyển khoản bị treo</v>
      </c>
      <c r="H476" s="25" t="str">
        <f>IFERROR(__xludf.DUMMYFUNCTION("IFERROR(INDEX(FILTER('Kế hoạch chèn link (mới)'!$B$3:$B$2213,'Kế hoạch chèn link (mới)'!$D$3:$D$2213=$B476),1),"""")"),"https://techcombank.com/thong-tin/blog/chuyen-khoan-thanh-cong-nhung-khong-nhan-duoc-tien")</f>
        <v>https://techcombank.com/thong-tin/blog/chuyen-khoan-thanh-cong-nhung-khong-nhan-duoc-tien</v>
      </c>
      <c r="I476" s="25" t="str">
        <f>IFERROR(__xludf.DUMMYFUNCTION("IFERROR(INDEX(FILTER('Kế hoạch chèn link (mới)'!$C$3:$C$2213,'Kế hoạch chèn link (mới)'!$D$3:$D$2213=$B476),2),"""")"),"nhận kiều hối")</f>
        <v>nhận kiều hối</v>
      </c>
      <c r="J476" s="25" t="str">
        <f>IFERROR(__xludf.DUMMYFUNCTION("IFERROR(INDEX(FILTER('Kế hoạch chèn link (mới)'!$B$3:$B$2213,'Kế hoạch chèn link (mới)'!$D$3:$D$2213=$B476),2),"""")"),"https://techcombank.com/thong-tin/blog/cach-nhan-tien-tu-nuoc-ngoai-ve-viet-nam")</f>
        <v>https://techcombank.com/thong-tin/blog/cach-nhan-tien-tu-nuoc-ngoai-ve-viet-nam</v>
      </c>
      <c r="K476" s="25" t="str">
        <f>IFERROR(__xludf.DUMMYFUNCTION("IFERROR(INDEX(FILTER('Kế hoạch chèn link (mới)'!$C$3:$C$2213,'Kế hoạch chèn link (mới)'!$D$3:$D$2213=$B476),3),"""")"),"")</f>
        <v/>
      </c>
      <c r="L476" s="25" t="str">
        <f>IFERROR(__xludf.DUMMYFUNCTION("IFERROR(INDEX(FILTER('Kế hoạch chèn link (mới)'!$B$3:$B$2213,'Kế hoạch chèn link (mới)'!$D$3:$D$2213=$B476),3),"""")"),"")</f>
        <v/>
      </c>
      <c r="M476" s="25" t="str">
        <f>IFERROR(__xludf.DUMMYFUNCTION("IFERROR(INDEX(FILTER('Kế hoạch chèn link (mới)'!$C$3:$C$2213,'Kế hoạch chèn link (mới)'!$D$3:$D$2213=$B476),4),"""")"),"")</f>
        <v/>
      </c>
      <c r="N476" s="25" t="str">
        <f>IFERROR(__xludf.DUMMYFUNCTION("IFERROR(INDEX(FILTER('Kế hoạch chèn link (mới)'!$B$3:$B$2213,'Kế hoạch chèn link (mới)'!$D$3:$D$2213=$B476),4),"""")"),"")</f>
        <v/>
      </c>
      <c r="O476" s="25" t="str">
        <f>IFERROR(__xludf.DUMMYFUNCTION("IFERROR(INDEX(FILTER('Kế hoạch chèn link (mới)'!$C$3:$C$2213,'Kế hoạch chèn link (mới)'!$D$3:$D$2213=$B476),5),"""")"),"")</f>
        <v/>
      </c>
      <c r="P476" s="25" t="str">
        <f>IFERROR(__xludf.DUMMYFUNCTION("IFERROR(INDEX(FILTER('Kế hoạch chèn link (mới)'!$B$3:$B$2213,'Kế hoạch chèn link (mới)'!$D$3:$D$2213=$B476),5),"""")"),"")</f>
        <v/>
      </c>
    </row>
    <row r="477">
      <c r="A477" s="6">
        <f t="shared" si="1"/>
        <v>476</v>
      </c>
      <c r="B477" s="8" t="s">
        <v>825</v>
      </c>
      <c r="C477" s="6">
        <f>COUNTIF('Kế hoạch chèn link (mới)'!$D$3:$D$2213,$B477)</f>
        <v>2</v>
      </c>
      <c r="D477" s="8" t="str">
        <f>IF(COUNTIFS('Kế hoạch chèn link (mới)'!$D$3:$D$2213,$B477,'Kế hoạch chèn link (mới)'!$I$3:$I$2213,"Đã chèn")&gt;=$C477,"Đã hoàn thành",IF(COUNTIFS('Kế hoạch chèn link (mới)'!$D$3:$D$2213,$B477,'Kế hoạch chèn link (mới)'!$I$3:$I$2213,"Đã chèn")&gt;0,"Đang làm","Chưa hoàn thành"))</f>
        <v>Chưa hoàn thành</v>
      </c>
      <c r="E477" s="8" t="b">
        <f t="shared" si="2"/>
        <v>0</v>
      </c>
      <c r="F477" s="25"/>
      <c r="G477" s="25" t="str">
        <f>IFERROR(__xludf.DUMMYFUNCTION("IFERROR(INDEX(FILTER('Kế hoạch chèn link (mới)'!$C$3:$C$2213,'Kế hoạch chèn link (mới)'!$D$3:$D$2213=$B477),1),"""")"),"thuế thu nhập doanh nghiệp")</f>
        <v>thuế thu nhập doanh nghiệp</v>
      </c>
      <c r="H477" s="25" t="str">
        <f>IFERROR(__xludf.DUMMYFUNCTION("IFERROR(INDEX(FILTER('Kế hoạch chèn link (mới)'!$B$3:$B$2213,'Kế hoạch chèn link (mới)'!$D$3:$D$2213=$B477),1),"""")"),"https://techcombank.com/thong-tin/blog/thue-thu-nhap-doanh-nghiep")</f>
        <v>https://techcombank.com/thong-tin/blog/thue-thu-nhap-doanh-nghiep</v>
      </c>
      <c r="I477" s="25" t="str">
        <f>IFERROR(__xludf.DUMMYFUNCTION("IFERROR(INDEX(FILTER('Kế hoạch chèn link (mới)'!$C$3:$C$2213,'Kế hoạch chèn link (mới)'!$D$3:$D$2213=$B477),2),"""")"),"mô hình kinh doanh")</f>
        <v>mô hình kinh doanh</v>
      </c>
      <c r="J477" s="25" t="str">
        <f>IFERROR(__xludf.DUMMYFUNCTION("IFERROR(INDEX(FILTER('Kế hoạch chèn link (mới)'!$B$3:$B$2213,'Kế hoạch chèn link (mới)'!$D$3:$D$2213=$B477),2),"""")"),"https://techcombank.com/thong-tin/blog/mo-hinh-kinh-doanh-la-gi")</f>
        <v>https://techcombank.com/thong-tin/blog/mo-hinh-kinh-doanh-la-gi</v>
      </c>
      <c r="K477" s="25" t="str">
        <f>IFERROR(__xludf.DUMMYFUNCTION("IFERROR(INDEX(FILTER('Kế hoạch chèn link (mới)'!$C$3:$C$2213,'Kế hoạch chèn link (mới)'!$D$3:$D$2213=$B477),3),"""")"),"")</f>
        <v/>
      </c>
      <c r="L477" s="25" t="str">
        <f>IFERROR(__xludf.DUMMYFUNCTION("IFERROR(INDEX(FILTER('Kế hoạch chèn link (mới)'!$B$3:$B$2213,'Kế hoạch chèn link (mới)'!$D$3:$D$2213=$B477),3),"""")"),"")</f>
        <v/>
      </c>
      <c r="M477" s="25" t="str">
        <f>IFERROR(__xludf.DUMMYFUNCTION("IFERROR(INDEX(FILTER('Kế hoạch chèn link (mới)'!$C$3:$C$2213,'Kế hoạch chèn link (mới)'!$D$3:$D$2213=$B477),4),"""")"),"")</f>
        <v/>
      </c>
      <c r="N477" s="25" t="str">
        <f>IFERROR(__xludf.DUMMYFUNCTION("IFERROR(INDEX(FILTER('Kế hoạch chèn link (mới)'!$B$3:$B$2213,'Kế hoạch chèn link (mới)'!$D$3:$D$2213=$B477),4),"""")"),"")</f>
        <v/>
      </c>
      <c r="O477" s="25" t="str">
        <f>IFERROR(__xludf.DUMMYFUNCTION("IFERROR(INDEX(FILTER('Kế hoạch chèn link (mới)'!$C$3:$C$2213,'Kế hoạch chèn link (mới)'!$D$3:$D$2213=$B477),5),"""")"),"")</f>
        <v/>
      </c>
      <c r="P477" s="25" t="str">
        <f>IFERROR(__xludf.DUMMYFUNCTION("IFERROR(INDEX(FILTER('Kế hoạch chèn link (mới)'!$B$3:$B$2213,'Kế hoạch chèn link (mới)'!$D$3:$D$2213=$B477),5),"""")"),"")</f>
        <v/>
      </c>
    </row>
    <row r="478">
      <c r="A478" s="6">
        <f t="shared" si="1"/>
        <v>477</v>
      </c>
      <c r="B478" s="8" t="s">
        <v>1852</v>
      </c>
      <c r="C478" s="6">
        <f>COUNTIF('Kế hoạch chèn link (mới)'!$D$3:$D$2213,$B478)</f>
        <v>5</v>
      </c>
      <c r="D478" s="8" t="str">
        <f>IF(COUNTIFS('Kế hoạch chèn link (mới)'!$D$3:$D$2213,$B478,'Kế hoạch chèn link (mới)'!$I$3:$I$2213,"Đã chèn")&gt;=$C478,"Đã hoàn thành",IF(COUNTIFS('Kế hoạch chèn link (mới)'!$D$3:$D$2213,$B478,'Kế hoạch chèn link (mới)'!$I$3:$I$2213,"Đã chèn")&gt;0,"Đang làm","Chưa hoàn thành"))</f>
        <v>Chưa hoàn thành</v>
      </c>
      <c r="E478" s="8" t="b">
        <f t="shared" si="2"/>
        <v>0</v>
      </c>
      <c r="F478" s="25"/>
      <c r="G478" s="25" t="str">
        <f>IFERROR(__xludf.DUMMYFUNCTION("IFERROR(INDEX(FILTER('Kế hoạch chèn link (mới)'!$C$3:$C$2213,'Kế hoạch chèn link (mới)'!$D$3:$D$2213=$B478),1),"""")"),"chọn ngân hàng uy tín")</f>
        <v>chọn ngân hàng uy tín</v>
      </c>
      <c r="H478" s="25" t="str">
        <f>IFERROR(__xludf.DUMMYFUNCTION("IFERROR(INDEX(FILTER('Kế hoạch chèn link (mới)'!$B$3:$B$2213,'Kế hoạch chèn link (mới)'!$D$3:$D$2213=$B478),1),"""")"),"https://techcombank.com/thong-tin/blog/ngan-hang-uy-tin")</f>
        <v>https://techcombank.com/thong-tin/blog/ngan-hang-uy-tin</v>
      </c>
      <c r="I478" s="25" t="str">
        <f>IFERROR(__xludf.DUMMYFUNCTION("IFERROR(INDEX(FILTER('Kế hoạch chèn link (mới)'!$C$3:$C$2213,'Kế hoạch chèn link (mới)'!$D$3:$D$2213=$B478),2),"""")"),"tên đăng nhập")</f>
        <v>tên đăng nhập</v>
      </c>
      <c r="J478" s="25" t="str">
        <f>IFERROR(__xludf.DUMMYFUNCTION("IFERROR(INDEX(FILTER('Kế hoạch chèn link (mới)'!$B$3:$B$2213,'Kế hoạch chèn link (mới)'!$D$3:$D$2213=$B478),2),"""")"),"https://techcombank.com/thong-tin/blog/ten-dang-nhap-tai-khoan-ngan-hang-la-gi")</f>
        <v>https://techcombank.com/thong-tin/blog/ten-dang-nhap-tai-khoan-ngan-hang-la-gi</v>
      </c>
      <c r="K478" s="25" t="str">
        <f>IFERROR(__xludf.DUMMYFUNCTION("IFERROR(INDEX(FILTER('Kế hoạch chèn link (mới)'!$C$3:$C$2213,'Kế hoạch chèn link (mới)'!$D$3:$D$2213=$B478),3),"""")"),"lãi suất ngân hàng")</f>
        <v>lãi suất ngân hàng</v>
      </c>
      <c r="L478" s="25" t="str">
        <f>IFERROR(__xludf.DUMMYFUNCTION("IFERROR(INDEX(FILTER('Kế hoạch chèn link (mới)'!$B$3:$B$2213,'Kế hoạch chèn link (mới)'!$D$3:$D$2213=$B478),3),"""")"),"https://techcombank.com/thong-tin/blog/lai-suat-tiet-kiem")</f>
        <v>https://techcombank.com/thong-tin/blog/lai-suat-tiet-kiem</v>
      </c>
      <c r="M478" s="25" t="str">
        <f>IFERROR(__xludf.DUMMYFUNCTION("IFERROR(INDEX(FILTER('Kế hoạch chèn link (mới)'!$C$3:$C$2213,'Kế hoạch chèn link (mới)'!$D$3:$D$2213=$B478),4),"""")"),"tính lãi suất tiết kiệm")</f>
        <v>tính lãi suất tiết kiệm</v>
      </c>
      <c r="N478" s="25" t="str">
        <f>IFERROR(__xludf.DUMMYFUNCTION("IFERROR(INDEX(FILTER('Kế hoạch chèn link (mới)'!$B$3:$B$2213,'Kế hoạch chèn link (mới)'!$D$3:$D$2213=$B478),4),"""")"),"https://techcombank.com/thong-tin/blog/cach-tinh-lai-suat-tien-gui-tiet-kiem")</f>
        <v>https://techcombank.com/thong-tin/blog/cach-tinh-lai-suat-tien-gui-tiet-kiem</v>
      </c>
      <c r="O478" s="25" t="str">
        <f>IFERROR(__xludf.DUMMYFUNCTION("IFERROR(INDEX(FILTER('Kế hoạch chèn link (mới)'!$C$3:$C$2213,'Kế hoạch chèn link (mới)'!$D$3:$D$2213=$B478),5),"""")"),"rủi ro khi gửi tiết kiệm online")</f>
        <v>rủi ro khi gửi tiết kiệm online</v>
      </c>
      <c r="P478" s="25" t="str">
        <f>IFERROR(__xludf.DUMMYFUNCTION("IFERROR(INDEX(FILTER('Kế hoạch chèn link (mới)'!$B$3:$B$2213,'Kế hoạch chèn link (mới)'!$D$3:$D$2213=$B478),5),"""")"),"https://techcombank.com/thong-tin/blog/rui-ro-khi-gui-tiet-kiem-online")</f>
        <v>https://techcombank.com/thong-tin/blog/rui-ro-khi-gui-tiet-kiem-online</v>
      </c>
    </row>
    <row r="479">
      <c r="A479" s="6">
        <f t="shared" si="1"/>
        <v>478</v>
      </c>
      <c r="B479" s="8" t="s">
        <v>1145</v>
      </c>
      <c r="C479" s="6">
        <f>COUNTIF('Kế hoạch chèn link (mới)'!$D$3:$D$2213,$B479)</f>
        <v>4</v>
      </c>
      <c r="D479" s="8" t="str">
        <f>IF(COUNTIFS('Kế hoạch chèn link (mới)'!$D$3:$D$2213,$B479,'Kế hoạch chèn link (mới)'!$I$3:$I$2213,"Đã chèn")&gt;=$C479,"Đã hoàn thành",IF(COUNTIFS('Kế hoạch chèn link (mới)'!$D$3:$D$2213,$B479,'Kế hoạch chèn link (mới)'!$I$3:$I$2213,"Đã chèn")&gt;0,"Đang làm","Chưa hoàn thành"))</f>
        <v>Chưa hoàn thành</v>
      </c>
      <c r="E479" s="8" t="b">
        <f t="shared" si="2"/>
        <v>0</v>
      </c>
      <c r="F479" s="25"/>
      <c r="G479" s="25" t="str">
        <f>IFERROR(__xludf.DUMMYFUNCTION("IFERROR(INDEX(FILTER('Kế hoạch chèn link (mới)'!$C$3:$C$2213,'Kế hoạch chèn link (mới)'!$D$3:$D$2213=$B479),1),"""")"),"lãi suất ngân hàng tiền gửi")</f>
        <v>lãi suất ngân hàng tiền gửi</v>
      </c>
      <c r="H479" s="25" t="str">
        <f>IFERROR(__xludf.DUMMYFUNCTION("IFERROR(INDEX(FILTER('Kế hoạch chèn link (mới)'!$B$3:$B$2213,'Kế hoạch chèn link (mới)'!$D$3:$D$2213=$B479),1),"""")"),"https://techcombank.com/thong-tin/blog/lai-suat-tiet-kiem")</f>
        <v>https://techcombank.com/thong-tin/blog/lai-suat-tiet-kiem</v>
      </c>
      <c r="I479" s="25" t="str">
        <f>IFERROR(__xludf.DUMMYFUNCTION("IFERROR(INDEX(FILTER('Kế hoạch chèn link (mới)'!$C$3:$C$2213,'Kế hoạch chèn link (mới)'!$D$3:$D$2213=$B479),2),"""")"),"tính lãi suất tiết kiệm")</f>
        <v>tính lãi suất tiết kiệm</v>
      </c>
      <c r="J479" s="25" t="str">
        <f>IFERROR(__xludf.DUMMYFUNCTION("IFERROR(INDEX(FILTER('Kế hoạch chèn link (mới)'!$B$3:$B$2213,'Kế hoạch chèn link (mới)'!$D$3:$D$2213=$B479),2),"""")"),"https://techcombank.com/thong-tin/blog/cach-tinh-lai-suat-tien-gui-tiet-kiem")</f>
        <v>https://techcombank.com/thong-tin/blog/cach-tinh-lai-suat-tien-gui-tiet-kiem</v>
      </c>
      <c r="K479" s="25" t="str">
        <f>IFERROR(__xludf.DUMMYFUNCTION("IFERROR(INDEX(FILTER('Kế hoạch chèn link (mới)'!$C$3:$C$2213,'Kế hoạch chèn link (mới)'!$D$3:$D$2213=$B479),3),"""")"),"sổ tiết kiệm")</f>
        <v>sổ tiết kiệm</v>
      </c>
      <c r="L479" s="25" t="str">
        <f>IFERROR(__xludf.DUMMYFUNCTION("IFERROR(INDEX(FILTER('Kế hoạch chèn link (mới)'!$B$3:$B$2213,'Kế hoạch chèn link (mới)'!$D$3:$D$2213=$B479),3),"""")"),"https://techcombank.com/thong-tin/blog/so-tiet-kiem-ngan-hang")</f>
        <v>https://techcombank.com/thong-tin/blog/so-tiet-kiem-ngan-hang</v>
      </c>
      <c r="M479" s="25" t="str">
        <f>IFERROR(__xludf.DUMMYFUNCTION("IFERROR(INDEX(FILTER('Kế hoạch chèn link (mới)'!$C$3:$C$2213,'Kế hoạch chèn link (mới)'!$D$3:$D$2213=$B479),4),"""")"),"bảng tính lãi suất tiết kiệm")</f>
        <v>bảng tính lãi suất tiết kiệm</v>
      </c>
      <c r="N479" s="25" t="str">
        <f>IFERROR(__xludf.DUMMYFUNCTION("IFERROR(INDEX(FILTER('Kế hoạch chèn link (mới)'!$B$3:$B$2213,'Kế hoạch chèn link (mới)'!$D$3:$D$2213=$B479),4),"""")"),"https://techcombank.com/cong-cu-tien-ich/cong-cu-tinh-toan/bang-tinh-lai-suat-tiet-kiem")</f>
        <v>https://techcombank.com/cong-cu-tien-ich/cong-cu-tinh-toan/bang-tinh-lai-suat-tiet-kiem</v>
      </c>
      <c r="O479" s="25" t="str">
        <f>IFERROR(__xludf.DUMMYFUNCTION("IFERROR(INDEX(FILTER('Kế hoạch chèn link (mới)'!$C$3:$C$2213,'Kế hoạch chèn link (mới)'!$D$3:$D$2213=$B479),5),"""")"),"")</f>
        <v/>
      </c>
      <c r="P479" s="25" t="str">
        <f>IFERROR(__xludf.DUMMYFUNCTION("IFERROR(INDEX(FILTER('Kế hoạch chèn link (mới)'!$B$3:$B$2213,'Kế hoạch chèn link (mới)'!$D$3:$D$2213=$B479),5),"""")"),"")</f>
        <v/>
      </c>
    </row>
    <row r="480">
      <c r="A480" s="6">
        <f t="shared" si="1"/>
        <v>479</v>
      </c>
      <c r="B480" s="8" t="s">
        <v>3104</v>
      </c>
      <c r="C480" s="6">
        <f>COUNTIF('Kế hoạch chèn link (mới)'!$D$3:$D$2213,$B480)</f>
        <v>4</v>
      </c>
      <c r="D480" s="8" t="str">
        <f>IF(COUNTIFS('Kế hoạch chèn link (mới)'!$D$3:$D$2213,$B480,'Kế hoạch chèn link (mới)'!$I$3:$I$2213,"Đã chèn")&gt;=$C480,"Đã hoàn thành",IF(COUNTIFS('Kế hoạch chèn link (mới)'!$D$3:$D$2213,$B480,'Kế hoạch chèn link (mới)'!$I$3:$I$2213,"Đã chèn")&gt;0,"Đang làm","Chưa hoàn thành"))</f>
        <v>Chưa hoàn thành</v>
      </c>
      <c r="E480" s="8" t="b">
        <f t="shared" si="2"/>
        <v>0</v>
      </c>
      <c r="F480" s="25"/>
      <c r="G480" s="25" t="str">
        <f>IFERROR(__xludf.DUMMYFUNCTION("IFERROR(INDEX(FILTER('Kế hoạch chèn link (mới)'!$C$3:$C$2213,'Kế hoạch chèn link (mới)'!$D$3:$D$2213=$B480),1),"""")"),"cách tính lãi suất vay ngân hàng")</f>
        <v>cách tính lãi suất vay ngân hàng</v>
      </c>
      <c r="H480" s="25" t="str">
        <f>IFERROR(__xludf.DUMMYFUNCTION("IFERROR(INDEX(FILTER('Kế hoạch chèn link (mới)'!$B$3:$B$2213,'Kế hoạch chèn link (mới)'!$D$3:$D$2213=$B480),1),"""")"),"https://techcombank.com/thong-tin/blog/cach-tinh-lai-vay-ngan-hang")</f>
        <v>https://techcombank.com/thong-tin/blog/cach-tinh-lai-vay-ngan-hang</v>
      </c>
      <c r="I480" s="25" t="str">
        <f>IFERROR(__xludf.DUMMYFUNCTION("IFERROR(INDEX(FILTER('Kế hoạch chèn link (mới)'!$C$3:$C$2213,'Kế hoạch chèn link (mới)'!$D$3:$D$2213=$B480),2),"""")"),"vay thế chấp sổ đỏ")</f>
        <v>vay thế chấp sổ đỏ</v>
      </c>
      <c r="J480" s="25" t="str">
        <f>IFERROR(__xludf.DUMMYFUNCTION("IFERROR(INDEX(FILTER('Kế hoạch chèn link (mới)'!$B$3:$B$2213,'Kế hoạch chèn link (mới)'!$D$3:$D$2213=$B480),2),"""")"),"https://techcombank.com/thong-tin/blog/lai-suat-vay-the-chap-so-do")</f>
        <v>https://techcombank.com/thong-tin/blog/lai-suat-vay-the-chap-so-do</v>
      </c>
      <c r="K480" s="25" t="str">
        <f>IFERROR(__xludf.DUMMYFUNCTION("IFERROR(INDEX(FILTER('Kế hoạch chèn link (mới)'!$C$3:$C$2213,'Kế hoạch chèn link (mới)'!$D$3:$D$2213=$B480),3),"""")"),"vay")</f>
        <v>vay</v>
      </c>
      <c r="L480" s="25" t="str">
        <f>IFERROR(__xludf.DUMMYFUNCTION("IFERROR(INDEX(FILTER('Kế hoạch chèn link (mới)'!$B$3:$B$2213,'Kế hoạch chèn link (mới)'!$D$3:$D$2213=$B480),3),"""")"),"https://techcombank.com/thong-tin/blog/app-vay-tien-nhanh")</f>
        <v>https://techcombank.com/thong-tin/blog/app-vay-tien-nhanh</v>
      </c>
      <c r="M480" s="25" t="str">
        <f>IFERROR(__xludf.DUMMYFUNCTION("IFERROR(INDEX(FILTER('Kế hoạch chèn link (mới)'!$C$3:$C$2213,'Kế hoạch chèn link (mới)'!$D$3:$D$2213=$B480),4),"""")"),"lãi suất vay ngân hàng hiện nay")</f>
        <v>lãi suất vay ngân hàng hiện nay</v>
      </c>
      <c r="N480" s="25" t="str">
        <f>IFERROR(__xludf.DUMMYFUNCTION("IFERROR(INDEX(FILTER('Kế hoạch chèn link (mới)'!$B$3:$B$2213,'Kế hoạch chèn link (mới)'!$D$3:$D$2213=$B480),4),"""")"),"https://techcombank.com/thong-tin/blog/lai-suat-vay-ngan-hang")</f>
        <v>https://techcombank.com/thong-tin/blog/lai-suat-vay-ngan-hang</v>
      </c>
      <c r="O480" s="25" t="str">
        <f>IFERROR(__xludf.DUMMYFUNCTION("IFERROR(INDEX(FILTER('Kế hoạch chèn link (mới)'!$C$3:$C$2213,'Kế hoạch chèn link (mới)'!$D$3:$D$2213=$B480),5),"""")"),"")</f>
        <v/>
      </c>
      <c r="P480" s="25" t="str">
        <f>IFERROR(__xludf.DUMMYFUNCTION("IFERROR(INDEX(FILTER('Kế hoạch chèn link (mới)'!$B$3:$B$2213,'Kế hoạch chèn link (mới)'!$D$3:$D$2213=$B480),5),"""")"),"")</f>
        <v/>
      </c>
    </row>
    <row r="481">
      <c r="A481" s="6">
        <f t="shared" si="1"/>
        <v>480</v>
      </c>
      <c r="B481" s="8" t="s">
        <v>2315</v>
      </c>
      <c r="C481" s="6">
        <f>COUNTIF('Kế hoạch chèn link (mới)'!$D$3:$D$2213,$B481)</f>
        <v>2</v>
      </c>
      <c r="D481" s="8" t="str">
        <f>IF(COUNTIFS('Kế hoạch chèn link (mới)'!$D$3:$D$2213,$B481,'Kế hoạch chèn link (mới)'!$I$3:$I$2213,"Đã chèn")&gt;=$C481,"Đã hoàn thành",IF(COUNTIFS('Kế hoạch chèn link (mới)'!$D$3:$D$2213,$B481,'Kế hoạch chèn link (mới)'!$I$3:$I$2213,"Đã chèn")&gt;0,"Đang làm","Chưa hoàn thành"))</f>
        <v>Chưa hoàn thành</v>
      </c>
      <c r="E481" s="8" t="b">
        <f t="shared" si="2"/>
        <v>0</v>
      </c>
      <c r="F481" s="25"/>
      <c r="G481" s="25" t="str">
        <f>IFERROR(__xludf.DUMMYFUNCTION("IFERROR(INDEX(FILTER('Kế hoạch chèn link (mới)'!$C$3:$C$2213,'Kế hoạch chèn link (mới)'!$D$3:$D$2213=$B481),1),"""")"),"nộp tiền vào tài khoản")</f>
        <v>nộp tiền vào tài khoản</v>
      </c>
      <c r="H481" s="25" t="str">
        <f>IFERROR(__xludf.DUMMYFUNCTION("IFERROR(INDEX(FILTER('Kế hoạch chèn link (mới)'!$B$3:$B$2213,'Kế hoạch chèn link (mới)'!$D$3:$D$2213=$B481),1),"""")"),"https://techcombank.com/thong-tin/blog/nap-tien-vao-tai-khoan-ngan-hang")</f>
        <v>https://techcombank.com/thong-tin/blog/nap-tien-vao-tai-khoan-ngan-hang</v>
      </c>
      <c r="I481" s="25" t="str">
        <f>IFERROR(__xludf.DUMMYFUNCTION("IFERROR(INDEX(FILTER('Kế hoạch chèn link (mới)'!$C$3:$C$2213,'Kế hoạch chèn link (mới)'!$D$3:$D$2213=$B481),2),"""")"),"rút tiền thẻ tín dụng")</f>
        <v>rút tiền thẻ tín dụng</v>
      </c>
      <c r="J481" s="25" t="str">
        <f>IFERROR(__xludf.DUMMYFUNCTION("IFERROR(INDEX(FILTER('Kế hoạch chèn link (mới)'!$B$3:$B$2213,'Kế hoạch chèn link (mới)'!$D$3:$D$2213=$B481),2),"""")"),"https://techcombank.com/thong-tin/blog/rut-tien-mat-tu-the-tin-dung")</f>
        <v>https://techcombank.com/thong-tin/blog/rut-tien-mat-tu-the-tin-dung</v>
      </c>
      <c r="K481" s="25" t="str">
        <f>IFERROR(__xludf.DUMMYFUNCTION("IFERROR(INDEX(FILTER('Kế hoạch chèn link (mới)'!$C$3:$C$2213,'Kế hoạch chèn link (mới)'!$D$3:$D$2213=$B481),3),"""")"),"")</f>
        <v/>
      </c>
      <c r="L481" s="25" t="str">
        <f>IFERROR(__xludf.DUMMYFUNCTION("IFERROR(INDEX(FILTER('Kế hoạch chèn link (mới)'!$B$3:$B$2213,'Kế hoạch chèn link (mới)'!$D$3:$D$2213=$B481),3),"""")"),"")</f>
        <v/>
      </c>
      <c r="M481" s="25" t="str">
        <f>IFERROR(__xludf.DUMMYFUNCTION("IFERROR(INDEX(FILTER('Kế hoạch chèn link (mới)'!$C$3:$C$2213,'Kế hoạch chèn link (mới)'!$D$3:$D$2213=$B481),4),"""")"),"")</f>
        <v/>
      </c>
      <c r="N481" s="25" t="str">
        <f>IFERROR(__xludf.DUMMYFUNCTION("IFERROR(INDEX(FILTER('Kế hoạch chèn link (mới)'!$B$3:$B$2213,'Kế hoạch chèn link (mới)'!$D$3:$D$2213=$B481),4),"""")"),"")</f>
        <v/>
      </c>
      <c r="O481" s="25" t="str">
        <f>IFERROR(__xludf.DUMMYFUNCTION("IFERROR(INDEX(FILTER('Kế hoạch chèn link (mới)'!$C$3:$C$2213,'Kế hoạch chèn link (mới)'!$D$3:$D$2213=$B481),5),"""")"),"")</f>
        <v/>
      </c>
      <c r="P481" s="25" t="str">
        <f>IFERROR(__xludf.DUMMYFUNCTION("IFERROR(INDEX(FILTER('Kế hoạch chèn link (mới)'!$B$3:$B$2213,'Kế hoạch chèn link (mới)'!$D$3:$D$2213=$B481),5),"""")"),"")</f>
        <v/>
      </c>
    </row>
    <row r="482">
      <c r="A482" s="6">
        <f t="shared" si="1"/>
        <v>481</v>
      </c>
      <c r="B482" s="8" t="s">
        <v>893</v>
      </c>
      <c r="C482" s="6">
        <f>COUNTIF('Kế hoạch chèn link (mới)'!$D$3:$D$2213,$B482)</f>
        <v>2</v>
      </c>
      <c r="D482" s="8" t="str">
        <f>IF(COUNTIFS('Kế hoạch chèn link (mới)'!$D$3:$D$2213,$B482,'Kế hoạch chèn link (mới)'!$I$3:$I$2213,"Đã chèn")&gt;=$C482,"Đã hoàn thành",IF(COUNTIFS('Kế hoạch chèn link (mới)'!$D$3:$D$2213,$B482,'Kế hoạch chèn link (mới)'!$I$3:$I$2213,"Đã chèn")&gt;0,"Đang làm","Chưa hoàn thành"))</f>
        <v>Chưa hoàn thành</v>
      </c>
      <c r="E482" s="8" t="b">
        <f t="shared" si="2"/>
        <v>0</v>
      </c>
      <c r="F482" s="25"/>
      <c r="G482" s="25" t="str">
        <f>IFERROR(__xludf.DUMMYFUNCTION("IFERROR(INDEX(FILTER('Kế hoạch chèn link (mới)'!$C$3:$C$2213,'Kế hoạch chèn link (mới)'!$D$3:$D$2213=$B482),1),"""")"),"nạp tiền vào tài khoản ngân hàng")</f>
        <v>nạp tiền vào tài khoản ngân hàng</v>
      </c>
      <c r="H482" s="25" t="str">
        <f>IFERROR(__xludf.DUMMYFUNCTION("IFERROR(INDEX(FILTER('Kế hoạch chèn link (mới)'!$B$3:$B$2213,'Kế hoạch chèn link (mới)'!$D$3:$D$2213=$B482),1),"""")"),"https://techcombank.com/thong-tin/blog/nap-tien-vao-tai-khoan-ngan-hang")</f>
        <v>https://techcombank.com/thong-tin/blog/nap-tien-vao-tai-khoan-ngan-hang</v>
      </c>
      <c r="I482" s="25" t="str">
        <f>IFERROR(__xludf.DUMMYFUNCTION("IFERROR(INDEX(FILTER('Kế hoạch chèn link (mới)'!$C$3:$C$2213,'Kế hoạch chèn link (mới)'!$D$3:$D$2213=$B482),2),"""")"),"rút tiền thẻ tín dụng")</f>
        <v>rút tiền thẻ tín dụng</v>
      </c>
      <c r="J482" s="25" t="str">
        <f>IFERROR(__xludf.DUMMYFUNCTION("IFERROR(INDEX(FILTER('Kế hoạch chèn link (mới)'!$B$3:$B$2213,'Kế hoạch chèn link (mới)'!$D$3:$D$2213=$B482),2),"""")"),"https://techcombank.com/thong-tin/blog/rut-tien-mat-tu-the-tin-dung")</f>
        <v>https://techcombank.com/thong-tin/blog/rut-tien-mat-tu-the-tin-dung</v>
      </c>
      <c r="K482" s="25" t="str">
        <f>IFERROR(__xludf.DUMMYFUNCTION("IFERROR(INDEX(FILTER('Kế hoạch chèn link (mới)'!$C$3:$C$2213,'Kế hoạch chèn link (mới)'!$D$3:$D$2213=$B482),3),"""")"),"")</f>
        <v/>
      </c>
      <c r="L482" s="25" t="str">
        <f>IFERROR(__xludf.DUMMYFUNCTION("IFERROR(INDEX(FILTER('Kế hoạch chèn link (mới)'!$B$3:$B$2213,'Kế hoạch chèn link (mới)'!$D$3:$D$2213=$B482),3),"""")"),"")</f>
        <v/>
      </c>
      <c r="M482" s="25" t="str">
        <f>IFERROR(__xludf.DUMMYFUNCTION("IFERROR(INDEX(FILTER('Kế hoạch chèn link (mới)'!$C$3:$C$2213,'Kế hoạch chèn link (mới)'!$D$3:$D$2213=$B482),4),"""")"),"")</f>
        <v/>
      </c>
      <c r="N482" s="25" t="str">
        <f>IFERROR(__xludf.DUMMYFUNCTION("IFERROR(INDEX(FILTER('Kế hoạch chèn link (mới)'!$B$3:$B$2213,'Kế hoạch chèn link (mới)'!$D$3:$D$2213=$B482),4),"""")"),"")</f>
        <v/>
      </c>
      <c r="O482" s="25" t="str">
        <f>IFERROR(__xludf.DUMMYFUNCTION("IFERROR(INDEX(FILTER('Kế hoạch chèn link (mới)'!$C$3:$C$2213,'Kế hoạch chèn link (mới)'!$D$3:$D$2213=$B482),5),"""")"),"")</f>
        <v/>
      </c>
      <c r="P482" s="25" t="str">
        <f>IFERROR(__xludf.DUMMYFUNCTION("IFERROR(INDEX(FILTER('Kế hoạch chèn link (mới)'!$B$3:$B$2213,'Kế hoạch chèn link (mới)'!$D$3:$D$2213=$B482),5),"""")"),"")</f>
        <v/>
      </c>
    </row>
    <row r="483">
      <c r="A483" s="6">
        <f t="shared" si="1"/>
        <v>482</v>
      </c>
      <c r="B483" s="8" t="s">
        <v>3105</v>
      </c>
      <c r="C483" s="6">
        <f>COUNTIF('Kế hoạch chèn link (mới)'!$D$3:$D$2213,$B483)</f>
        <v>2</v>
      </c>
      <c r="D483" s="8" t="str">
        <f>IF(COUNTIFS('Kế hoạch chèn link (mới)'!$D$3:$D$2213,$B483,'Kế hoạch chèn link (mới)'!$I$3:$I$2213,"Đã chèn")&gt;=$C483,"Đã hoàn thành",IF(COUNTIFS('Kế hoạch chèn link (mới)'!$D$3:$D$2213,$B483,'Kế hoạch chèn link (mới)'!$I$3:$I$2213,"Đã chèn")&gt;0,"Đang làm","Chưa hoàn thành"))</f>
        <v>Chưa hoàn thành</v>
      </c>
      <c r="E483" s="8" t="b">
        <f t="shared" si="2"/>
        <v>0</v>
      </c>
      <c r="F483" s="25"/>
      <c r="G483" s="25" t="str">
        <f>IFERROR(__xludf.DUMMYFUNCTION("IFERROR(INDEX(FILTER('Kế hoạch chèn link (mới)'!$C$3:$C$2213,'Kế hoạch chèn link (mới)'!$D$3:$D$2213=$B483),1),"""")"),"lãi suất ngân hàng")</f>
        <v>lãi suất ngân hàng</v>
      </c>
      <c r="H483" s="25" t="str">
        <f>IFERROR(__xludf.DUMMYFUNCTION("IFERROR(INDEX(FILTER('Kế hoạch chèn link (mới)'!$B$3:$B$2213,'Kế hoạch chèn link (mới)'!$D$3:$D$2213=$B483),1),"""")"),"https://techcombank.com/thong-tin/blog/lai-suat-tiet-kiem")</f>
        <v>https://techcombank.com/thong-tin/blog/lai-suat-tiet-kiem</v>
      </c>
      <c r="I483" s="25" t="str">
        <f>IFERROR(__xludf.DUMMYFUNCTION("IFERROR(INDEX(FILTER('Kế hoạch chèn link (mới)'!$C$3:$C$2213,'Kế hoạch chèn link (mới)'!$D$3:$D$2213=$B483),2),"""")"),"rút tiết kiệm trước hạn")</f>
        <v>rút tiết kiệm trước hạn</v>
      </c>
      <c r="J483" s="25" t="str">
        <f>IFERROR(__xludf.DUMMYFUNCTION("IFERROR(INDEX(FILTER('Kế hoạch chèn link (mới)'!$B$3:$B$2213,'Kế hoạch chèn link (mới)'!$D$3:$D$2213=$B483),2),"""")"),"https://techcombank.com/thong-tin/blog/rut-tien-tiet-kiem-truoc-thoi-han")</f>
        <v>https://techcombank.com/thong-tin/blog/rut-tien-tiet-kiem-truoc-thoi-han</v>
      </c>
      <c r="K483" s="25" t="str">
        <f>IFERROR(__xludf.DUMMYFUNCTION("IFERROR(INDEX(FILTER('Kế hoạch chèn link (mới)'!$C$3:$C$2213,'Kế hoạch chèn link (mới)'!$D$3:$D$2213=$B483),3),"""")"),"")</f>
        <v/>
      </c>
      <c r="L483" s="25" t="str">
        <f>IFERROR(__xludf.DUMMYFUNCTION("IFERROR(INDEX(FILTER('Kế hoạch chèn link (mới)'!$B$3:$B$2213,'Kế hoạch chèn link (mới)'!$D$3:$D$2213=$B483),3),"""")"),"")</f>
        <v/>
      </c>
      <c r="M483" s="25" t="str">
        <f>IFERROR(__xludf.DUMMYFUNCTION("IFERROR(INDEX(FILTER('Kế hoạch chèn link (mới)'!$C$3:$C$2213,'Kế hoạch chèn link (mới)'!$D$3:$D$2213=$B483),4),"""")"),"")</f>
        <v/>
      </c>
      <c r="N483" s="25" t="str">
        <f>IFERROR(__xludf.DUMMYFUNCTION("IFERROR(INDEX(FILTER('Kế hoạch chèn link (mới)'!$B$3:$B$2213,'Kế hoạch chèn link (mới)'!$D$3:$D$2213=$B483),4),"""")"),"")</f>
        <v/>
      </c>
      <c r="O483" s="25" t="str">
        <f>IFERROR(__xludf.DUMMYFUNCTION("IFERROR(INDEX(FILTER('Kế hoạch chèn link (mới)'!$C$3:$C$2213,'Kế hoạch chèn link (mới)'!$D$3:$D$2213=$B483),5),"""")"),"")</f>
        <v/>
      </c>
      <c r="P483" s="25" t="str">
        <f>IFERROR(__xludf.DUMMYFUNCTION("IFERROR(INDEX(FILTER('Kế hoạch chèn link (mới)'!$B$3:$B$2213,'Kế hoạch chèn link (mới)'!$D$3:$D$2213=$B483),5),"""")"),"")</f>
        <v/>
      </c>
    </row>
    <row r="484">
      <c r="A484" s="6">
        <f t="shared" si="1"/>
        <v>483</v>
      </c>
      <c r="B484" s="8" t="s">
        <v>2961</v>
      </c>
      <c r="C484" s="6">
        <f>COUNTIF('Kế hoạch chèn link (mới)'!$D$3:$D$2213,$B484)</f>
        <v>2</v>
      </c>
      <c r="D484" s="8" t="str">
        <f>IF(COUNTIFS('Kế hoạch chèn link (mới)'!$D$3:$D$2213,$B484,'Kế hoạch chèn link (mới)'!$I$3:$I$2213,"Đã chèn")&gt;=$C484,"Đã hoàn thành",IF(COUNTIFS('Kế hoạch chèn link (mới)'!$D$3:$D$2213,$B484,'Kế hoạch chèn link (mới)'!$I$3:$I$2213,"Đã chèn")&gt;0,"Đang làm","Chưa hoàn thành"))</f>
        <v>Chưa hoàn thành</v>
      </c>
      <c r="E484" s="8" t="b">
        <f t="shared" si="2"/>
        <v>0</v>
      </c>
      <c r="F484" s="25"/>
      <c r="G484" s="25" t="str">
        <f>IFERROR(__xludf.DUMMYFUNCTION("IFERROR(INDEX(FILTER('Kế hoạch chèn link (mới)'!$C$3:$C$2213,'Kế hoạch chèn link (mới)'!$D$3:$D$2213=$B484),1),"""")"),"rút tiền không cần thẻ")</f>
        <v>rút tiền không cần thẻ</v>
      </c>
      <c r="H484" s="25" t="str">
        <f>IFERROR(__xludf.DUMMYFUNCTION("IFERROR(INDEX(FILTER('Kế hoạch chèn link (mới)'!$B$3:$B$2213,'Kế hoạch chèn link (mới)'!$D$3:$D$2213=$B484),1),"""")"),"https://techcombank.com/thong-tin/blog/rut-tien-bang-ma-qr-la-gi-cach-thuc-hien-nhu-the-nao")</f>
        <v>https://techcombank.com/thong-tin/blog/rut-tien-bang-ma-qr-la-gi-cach-thuc-hien-nhu-the-nao</v>
      </c>
      <c r="I484" s="25" t="str">
        <f>IFERROR(__xludf.DUMMYFUNCTION("IFERROR(INDEX(FILTER('Kế hoạch chèn link (mới)'!$C$3:$C$2213,'Kế hoạch chèn link (mới)'!$D$3:$D$2213=$B484),2),"""")"),"rút tiền thẻ tín dụng")</f>
        <v>rút tiền thẻ tín dụng</v>
      </c>
      <c r="J484" s="25" t="str">
        <f>IFERROR(__xludf.DUMMYFUNCTION("IFERROR(INDEX(FILTER('Kế hoạch chèn link (mới)'!$B$3:$B$2213,'Kế hoạch chèn link (mới)'!$D$3:$D$2213=$B484),2),"""")"),"https://techcombank.com/thong-tin/blog/rut-tien-mat-tu-the-tin-dung")</f>
        <v>https://techcombank.com/thong-tin/blog/rut-tien-mat-tu-the-tin-dung</v>
      </c>
      <c r="K484" s="25" t="str">
        <f>IFERROR(__xludf.DUMMYFUNCTION("IFERROR(INDEX(FILTER('Kế hoạch chèn link (mới)'!$C$3:$C$2213,'Kế hoạch chèn link (mới)'!$D$3:$D$2213=$B484),3),"""")"),"")</f>
        <v/>
      </c>
      <c r="L484" s="25" t="str">
        <f>IFERROR(__xludf.DUMMYFUNCTION("IFERROR(INDEX(FILTER('Kế hoạch chèn link (mới)'!$B$3:$B$2213,'Kế hoạch chèn link (mới)'!$D$3:$D$2213=$B484),3),"""")"),"")</f>
        <v/>
      </c>
      <c r="M484" s="25" t="str">
        <f>IFERROR(__xludf.DUMMYFUNCTION("IFERROR(INDEX(FILTER('Kế hoạch chèn link (mới)'!$C$3:$C$2213,'Kế hoạch chèn link (mới)'!$D$3:$D$2213=$B484),4),"""")"),"")</f>
        <v/>
      </c>
      <c r="N484" s="25" t="str">
        <f>IFERROR(__xludf.DUMMYFUNCTION("IFERROR(INDEX(FILTER('Kế hoạch chèn link (mới)'!$B$3:$B$2213,'Kế hoạch chèn link (mới)'!$D$3:$D$2213=$B484),4),"""")"),"")</f>
        <v/>
      </c>
      <c r="O484" s="25" t="str">
        <f>IFERROR(__xludf.DUMMYFUNCTION("IFERROR(INDEX(FILTER('Kế hoạch chèn link (mới)'!$C$3:$C$2213,'Kế hoạch chèn link (mới)'!$D$3:$D$2213=$B484),5),"""")"),"")</f>
        <v/>
      </c>
      <c r="P484" s="25" t="str">
        <f>IFERROR(__xludf.DUMMYFUNCTION("IFERROR(INDEX(FILTER('Kế hoạch chèn link (mới)'!$B$3:$B$2213,'Kế hoạch chèn link (mới)'!$D$3:$D$2213=$B484),5),"""")"),"")</f>
        <v/>
      </c>
    </row>
    <row r="485">
      <c r="A485" s="6">
        <f t="shared" si="1"/>
        <v>484</v>
      </c>
      <c r="B485" s="8" t="s">
        <v>682</v>
      </c>
      <c r="C485" s="6">
        <f>COUNTIF('Kế hoạch chèn link (mới)'!$D$3:$D$2213,$B485)</f>
        <v>3</v>
      </c>
      <c r="D485" s="8" t="str">
        <f>IF(COUNTIFS('Kế hoạch chèn link (mới)'!$D$3:$D$2213,$B485,'Kế hoạch chèn link (mới)'!$I$3:$I$2213,"Đã chèn")&gt;=$C485,"Đã hoàn thành",IF(COUNTIFS('Kế hoạch chèn link (mới)'!$D$3:$D$2213,$B485,'Kế hoạch chèn link (mới)'!$I$3:$I$2213,"Đã chèn")&gt;0,"Đang làm","Chưa hoàn thành"))</f>
        <v>Chưa hoàn thành</v>
      </c>
      <c r="E485" s="8" t="b">
        <f t="shared" si="2"/>
        <v>0</v>
      </c>
      <c r="F485" s="25"/>
      <c r="G485" s="25" t="str">
        <f>IFERROR(__xludf.DUMMYFUNCTION("IFERROR(INDEX(FILTER('Kế hoạch chèn link (mới)'!$C$3:$C$2213,'Kế hoạch chèn link (mới)'!$D$3:$D$2213=$B485),1),"""")"),"thẻ tín dụng Techcombank Everyday")</f>
        <v>thẻ tín dụng Techcombank Everyday</v>
      </c>
      <c r="H485" s="25" t="str">
        <f>IFERROR(__xludf.DUMMYFUNCTION("IFERROR(INDEX(FILTER('Kế hoạch chèn link (mới)'!$B$3:$B$2213,'Kế hoạch chèn link (mới)'!$D$3:$D$2213=$B485),1),"""")"),"https://techcombank.com/khach-hang-ca-nhan/chi-tieu/the/the-tin-dung/techcombank-everyday")</f>
        <v>https://techcombank.com/khach-hang-ca-nhan/chi-tieu/the/the-tin-dung/techcombank-everyday</v>
      </c>
      <c r="I485" s="25" t="str">
        <f>IFERROR(__xludf.DUMMYFUNCTION("IFERROR(INDEX(FILTER('Kế hoạch chèn link (mới)'!$C$3:$C$2213,'Kế hoạch chèn link (mới)'!$D$3:$D$2213=$B485),2),"""")"),"tính lãi suất vay ngân hàng")</f>
        <v>tính lãi suất vay ngân hàng</v>
      </c>
      <c r="J485" s="25" t="str">
        <f>IFERROR(__xludf.DUMMYFUNCTION("IFERROR(INDEX(FILTER('Kế hoạch chèn link (mới)'!$B$3:$B$2213,'Kế hoạch chèn link (mới)'!$D$3:$D$2213=$B485),2),"""")"),"https://techcombank.com/cong-cu-tien-ich/cong-cu-tinh-toan/bang-tinh-lai-suat-vay")</f>
        <v>https://techcombank.com/cong-cu-tien-ich/cong-cu-tinh-toan/bang-tinh-lai-suat-vay</v>
      </c>
      <c r="K485" s="25" t="str">
        <f>IFERROR(__xludf.DUMMYFUNCTION("IFERROR(INDEX(FILTER('Kế hoạch chèn link (mới)'!$C$3:$C$2213,'Kế hoạch chèn link (mới)'!$D$3:$D$2213=$B485),3),"""")"),"vay")</f>
        <v>vay</v>
      </c>
      <c r="L485" s="25" t="str">
        <f>IFERROR(__xludf.DUMMYFUNCTION("IFERROR(INDEX(FILTER('Kế hoạch chèn link (mới)'!$B$3:$B$2213,'Kế hoạch chèn link (mới)'!$D$3:$D$2213=$B485),3),"""")"),"https://techcombank.com/thong-tin/blog/app-vay-tien-nhanh")</f>
        <v>https://techcombank.com/thong-tin/blog/app-vay-tien-nhanh</v>
      </c>
      <c r="M485" s="25" t="str">
        <f>IFERROR(__xludf.DUMMYFUNCTION("IFERROR(INDEX(FILTER('Kế hoạch chèn link (mới)'!$C$3:$C$2213,'Kế hoạch chèn link (mới)'!$D$3:$D$2213=$B485),4),"""")"),"")</f>
        <v/>
      </c>
      <c r="N485" s="25" t="str">
        <f>IFERROR(__xludf.DUMMYFUNCTION("IFERROR(INDEX(FILTER('Kế hoạch chèn link (mới)'!$B$3:$B$2213,'Kế hoạch chèn link (mới)'!$D$3:$D$2213=$B485),4),"""")"),"")</f>
        <v/>
      </c>
      <c r="O485" s="25" t="str">
        <f>IFERROR(__xludf.DUMMYFUNCTION("IFERROR(INDEX(FILTER('Kế hoạch chèn link (mới)'!$C$3:$C$2213,'Kế hoạch chèn link (mới)'!$D$3:$D$2213=$B485),5),"""")"),"")</f>
        <v/>
      </c>
      <c r="P485" s="25" t="str">
        <f>IFERROR(__xludf.DUMMYFUNCTION("IFERROR(INDEX(FILTER('Kế hoạch chèn link (mới)'!$B$3:$B$2213,'Kế hoạch chèn link (mới)'!$D$3:$D$2213=$B485),5),"""")"),"")</f>
        <v/>
      </c>
    </row>
    <row r="486">
      <c r="A486" s="6">
        <f t="shared" si="1"/>
        <v>485</v>
      </c>
      <c r="B486" s="8" t="s">
        <v>1122</v>
      </c>
      <c r="C486" s="6">
        <f>COUNTIF('Kế hoạch chèn link (mới)'!$D$3:$D$2213,$B486)</f>
        <v>4</v>
      </c>
      <c r="D486" s="8" t="str">
        <f>IF(COUNTIFS('Kế hoạch chèn link (mới)'!$D$3:$D$2213,$B486,'Kế hoạch chèn link (mới)'!$I$3:$I$2213,"Đã chèn")&gt;=$C486,"Đã hoàn thành",IF(COUNTIFS('Kế hoạch chèn link (mới)'!$D$3:$D$2213,$B486,'Kế hoạch chèn link (mới)'!$I$3:$I$2213,"Đã chèn")&gt;0,"Đang làm","Chưa hoàn thành"))</f>
        <v>Chưa hoàn thành</v>
      </c>
      <c r="E486" s="8" t="b">
        <f t="shared" si="2"/>
        <v>0</v>
      </c>
      <c r="F486" s="25"/>
      <c r="G486" s="25" t="str">
        <f>IFERROR(__xludf.DUMMYFUNCTION("IFERROR(INDEX(FILTER('Kế hoạch chèn link (mới)'!$C$3:$C$2213,'Kế hoạch chèn link (mới)'!$D$3:$D$2213=$B486),1),"""")"),"lãi suất gửi tiết kiệm ngân hàng")</f>
        <v>lãi suất gửi tiết kiệm ngân hàng</v>
      </c>
      <c r="H486" s="25" t="str">
        <f>IFERROR(__xludf.DUMMYFUNCTION("IFERROR(INDEX(FILTER('Kế hoạch chèn link (mới)'!$B$3:$B$2213,'Kế hoạch chèn link (mới)'!$D$3:$D$2213=$B486),1),"""")"),"https://techcombank.com/thong-tin/blog/lai-suat-tiet-kiem")</f>
        <v>https://techcombank.com/thong-tin/blog/lai-suat-tiet-kiem</v>
      </c>
      <c r="I486" s="25" t="str">
        <f>IFERROR(__xludf.DUMMYFUNCTION("IFERROR(INDEX(FILTER('Kế hoạch chèn link (mới)'!$C$3:$C$2213,'Kế hoạch chèn link (mới)'!$D$3:$D$2213=$B486),2),"""")"),"tính lãi suất tiết kiệm")</f>
        <v>tính lãi suất tiết kiệm</v>
      </c>
      <c r="J486" s="25" t="str">
        <f>IFERROR(__xludf.DUMMYFUNCTION("IFERROR(INDEX(FILTER('Kế hoạch chèn link (mới)'!$B$3:$B$2213,'Kế hoạch chèn link (mới)'!$D$3:$D$2213=$B486),2),"""")"),"https://techcombank.com/thong-tin/blog/cach-tinh-lai-suat-tien-gui-tiet-kiem")</f>
        <v>https://techcombank.com/thong-tin/blog/cach-tinh-lai-suat-tien-gui-tiet-kiem</v>
      </c>
      <c r="K486" s="25" t="str">
        <f>IFERROR(__xludf.DUMMYFUNCTION("IFERROR(INDEX(FILTER('Kế hoạch chèn link (mới)'!$C$3:$C$2213,'Kế hoạch chèn link (mới)'!$D$3:$D$2213=$B486),3),"""")"),"sổ tiết kiệm")</f>
        <v>sổ tiết kiệm</v>
      </c>
      <c r="L486" s="25" t="str">
        <f>IFERROR(__xludf.DUMMYFUNCTION("IFERROR(INDEX(FILTER('Kế hoạch chèn link (mới)'!$B$3:$B$2213,'Kế hoạch chèn link (mới)'!$D$3:$D$2213=$B486),3),"""")"),"https://techcombank.com/thong-tin/blog/so-tiet-kiem-ngan-hang")</f>
        <v>https://techcombank.com/thong-tin/blog/so-tiet-kiem-ngan-hang</v>
      </c>
      <c r="M486" s="25" t="str">
        <f>IFERROR(__xludf.DUMMYFUNCTION("IFERROR(INDEX(FILTER('Kế hoạch chèn link (mới)'!$C$3:$C$2213,'Kế hoạch chèn link (mới)'!$D$3:$D$2213=$B486),4),"""")"),"bảng tính lãi suất tiết kiệm")</f>
        <v>bảng tính lãi suất tiết kiệm</v>
      </c>
      <c r="N486" s="25" t="str">
        <f>IFERROR(__xludf.DUMMYFUNCTION("IFERROR(INDEX(FILTER('Kế hoạch chèn link (mới)'!$B$3:$B$2213,'Kế hoạch chèn link (mới)'!$D$3:$D$2213=$B486),4),"""")"),"https://techcombank.com/cong-cu-tien-ich/cong-cu-tinh-toan/bang-tinh-lai-suat-tiet-kiem")</f>
        <v>https://techcombank.com/cong-cu-tien-ich/cong-cu-tinh-toan/bang-tinh-lai-suat-tiet-kiem</v>
      </c>
      <c r="O486" s="25" t="str">
        <f>IFERROR(__xludf.DUMMYFUNCTION("IFERROR(INDEX(FILTER('Kế hoạch chèn link (mới)'!$C$3:$C$2213,'Kế hoạch chèn link (mới)'!$D$3:$D$2213=$B486),5),"""")"),"")</f>
        <v/>
      </c>
      <c r="P486" s="25" t="str">
        <f>IFERROR(__xludf.DUMMYFUNCTION("IFERROR(INDEX(FILTER('Kế hoạch chèn link (mới)'!$B$3:$B$2213,'Kế hoạch chèn link (mới)'!$D$3:$D$2213=$B486),5),"""")"),"")</f>
        <v/>
      </c>
    </row>
    <row r="487">
      <c r="A487" s="6">
        <f t="shared" si="1"/>
        <v>486</v>
      </c>
      <c r="B487" s="8" t="s">
        <v>3092</v>
      </c>
      <c r="C487" s="6">
        <f>COUNTIF('Kế hoạch chèn link (mới)'!$D$3:$D$2213,$B487)</f>
        <v>5</v>
      </c>
      <c r="D487" s="8" t="str">
        <f>IF(COUNTIFS('Kế hoạch chèn link (mới)'!$D$3:$D$2213,$B487,'Kế hoạch chèn link (mới)'!$I$3:$I$2213,"Đã chèn")&gt;=$C487,"Đã hoàn thành",IF(COUNTIFS('Kế hoạch chèn link (mới)'!$D$3:$D$2213,$B487,'Kế hoạch chèn link (mới)'!$I$3:$I$2213,"Đã chèn")&gt;0,"Đang làm","Chưa hoàn thành"))</f>
        <v>Chưa hoàn thành</v>
      </c>
      <c r="E487" s="8" t="b">
        <f t="shared" si="2"/>
        <v>0</v>
      </c>
      <c r="F487" s="25"/>
      <c r="G487" s="25" t="str">
        <f>IFERROR(__xludf.DUMMYFUNCTION("IFERROR(INDEX(FILTER('Kế hoạch chèn link (mới)'!$C$3:$C$2213,'Kế hoạch chèn link (mới)'!$D$3:$D$2213=$B487),1),"""")"),"eco card")</f>
        <v>eco card</v>
      </c>
      <c r="H487" s="25" t="str">
        <f>IFERROR(__xludf.DUMMYFUNCTION("IFERROR(INDEX(FILTER('Kế hoạch chèn link (mới)'!$B$3:$B$2213,'Kế hoạch chèn link (mới)'!$D$3:$D$2213=$B487),1),"""")"),"https://techcombank.com/thong-tin/blog/eco-card")</f>
        <v>https://techcombank.com/thong-tin/blog/eco-card</v>
      </c>
      <c r="I487" s="25" t="str">
        <f>IFERROR(__xludf.DUMMYFUNCTION("IFERROR(INDEX(FILTER('Kế hoạch chèn link (mới)'!$C$3:$C$2213,'Kế hoạch chèn link (mới)'!$D$3:$D$2213=$B487),2),"""")"),"tính lãi suất vay ngân hàng")</f>
        <v>tính lãi suất vay ngân hàng</v>
      </c>
      <c r="J487" s="25" t="str">
        <f>IFERROR(__xludf.DUMMYFUNCTION("IFERROR(INDEX(FILTER('Kế hoạch chèn link (mới)'!$B$3:$B$2213,'Kế hoạch chèn link (mới)'!$D$3:$D$2213=$B487),2),"""")"),"https://techcombank.com/cong-cu-tien-ich/cong-cu-tinh-toan/bang-tinh-lai-suat-vay")</f>
        <v>https://techcombank.com/cong-cu-tien-ich/cong-cu-tinh-toan/bang-tinh-lai-suat-vay</v>
      </c>
      <c r="K487" s="25" t="str">
        <f>IFERROR(__xludf.DUMMYFUNCTION("IFERROR(INDEX(FILTER('Kế hoạch chèn link (mới)'!$C$3:$C$2213,'Kế hoạch chèn link (mới)'!$D$3:$D$2213=$B487),3),"""")"),"vay")</f>
        <v>vay</v>
      </c>
      <c r="L487" s="25" t="str">
        <f>IFERROR(__xludf.DUMMYFUNCTION("IFERROR(INDEX(FILTER('Kế hoạch chèn link (mới)'!$B$3:$B$2213,'Kế hoạch chèn link (mới)'!$D$3:$D$2213=$B487),3),"""")"),"https://techcombank.com/thong-tin/blog/app-vay-tien-nhanh")</f>
        <v>https://techcombank.com/thong-tin/blog/app-vay-tien-nhanh</v>
      </c>
      <c r="M487" s="25" t="str">
        <f>IFERROR(__xludf.DUMMYFUNCTION("IFERROR(INDEX(FILTER('Kế hoạch chèn link (mới)'!$C$3:$C$2213,'Kế hoạch chèn link (mới)'!$D$3:$D$2213=$B487),4),"""")"),"lãi suất vay ngân hàng")</f>
        <v>lãi suất vay ngân hàng</v>
      </c>
      <c r="N487" s="25" t="str">
        <f>IFERROR(__xludf.DUMMYFUNCTION("IFERROR(INDEX(FILTER('Kế hoạch chèn link (mới)'!$B$3:$B$2213,'Kế hoạch chèn link (mới)'!$D$3:$D$2213=$B487),4),"""")"),"https://techcombank.com/thong-tin/blog/lai-suat-vay-ngan-hang")</f>
        <v>https://techcombank.com/thong-tin/blog/lai-suat-vay-ngan-hang</v>
      </c>
      <c r="O487" s="25" t="str">
        <f>IFERROR(__xludf.DUMMYFUNCTION("IFERROR(INDEX(FILTER('Kế hoạch chèn link (mới)'!$C$3:$C$2213,'Kế hoạch chèn link (mới)'!$D$3:$D$2213=$B487),5),"""")"),"vay thấu chi")</f>
        <v>vay thấu chi</v>
      </c>
      <c r="P487" s="25" t="str">
        <f>IFERROR(__xludf.DUMMYFUNCTION("IFERROR(INDEX(FILTER('Kế hoạch chèn link (mới)'!$B$3:$B$2213,'Kế hoạch chèn link (mới)'!$D$3:$D$2213=$B487),5),"""")"),"https://techcombank.com/thong-tin/blog/vay-thau-chi-la-gi")</f>
        <v>https://techcombank.com/thong-tin/blog/vay-thau-chi-la-gi</v>
      </c>
    </row>
    <row r="488">
      <c r="A488" s="6">
        <f t="shared" si="1"/>
        <v>487</v>
      </c>
      <c r="B488" s="8" t="s">
        <v>3109</v>
      </c>
      <c r="C488" s="6">
        <f>COUNTIF('Kế hoạch chèn link (mới)'!$D$3:$D$2213,$B488)</f>
        <v>2</v>
      </c>
      <c r="D488" s="8" t="str">
        <f>IF(COUNTIFS('Kế hoạch chèn link (mới)'!$D$3:$D$2213,$B488,'Kế hoạch chèn link (mới)'!$I$3:$I$2213,"Đã chèn")&gt;=$C488,"Đã hoàn thành",IF(COUNTIFS('Kế hoạch chèn link (mới)'!$D$3:$D$2213,$B488,'Kế hoạch chèn link (mới)'!$I$3:$I$2213,"Đã chèn")&gt;0,"Đang làm","Chưa hoàn thành"))</f>
        <v>Chưa hoàn thành</v>
      </c>
      <c r="E488" s="8" t="b">
        <f t="shared" si="2"/>
        <v>0</v>
      </c>
      <c r="F488" s="25"/>
      <c r="G488" s="25" t="str">
        <f>IFERROR(__xludf.DUMMYFUNCTION("IFERROR(INDEX(FILTER('Kế hoạch chèn link (mới)'!$C$3:$C$2213,'Kế hoạch chèn link (mới)'!$D$3:$D$2213=$B488),1),"""")"),"cách quét NFC căn cước")</f>
        <v>cách quét NFC căn cước</v>
      </c>
      <c r="H488" s="25" t="str">
        <f>IFERROR(__xludf.DUMMYFUNCTION("IFERROR(INDEX(FILTER('Kế hoạch chèn link (mới)'!$B$3:$B$2213,'Kế hoạch chèn link (mới)'!$D$3:$D$2213=$B488),1),"""")"),"https://techcombank.com/thong-tin/blog/cach-quet-nfc-cccd-tren-iphone")</f>
        <v>https://techcombank.com/thong-tin/blog/cach-quet-nfc-cccd-tren-iphone</v>
      </c>
      <c r="I488" s="25" t="str">
        <f>IFERROR(__xludf.DUMMYFUNCTION("IFERROR(INDEX(FILTER('Kế hoạch chèn link (mới)'!$C$3:$C$2213,'Kế hoạch chèn link (mới)'!$D$3:$D$2213=$B488),2),"""")"),"kiểm tra cic")</f>
        <v>kiểm tra cic</v>
      </c>
      <c r="J488" s="25" t="str">
        <f>IFERROR(__xludf.DUMMYFUNCTION("IFERROR(INDEX(FILTER('Kế hoạch chèn link (mới)'!$B$3:$B$2213,'Kế hoạch chèn link (mới)'!$D$3:$D$2213=$B488),2),"""")"),"https://techcombank.com/thong-tin/blog/cic-la-gi")</f>
        <v>https://techcombank.com/thong-tin/blog/cic-la-gi</v>
      </c>
      <c r="K488" s="25" t="str">
        <f>IFERROR(__xludf.DUMMYFUNCTION("IFERROR(INDEX(FILTER('Kế hoạch chèn link (mới)'!$C$3:$C$2213,'Kế hoạch chèn link (mới)'!$D$3:$D$2213=$B488),3),"""")"),"")</f>
        <v/>
      </c>
      <c r="L488" s="25" t="str">
        <f>IFERROR(__xludf.DUMMYFUNCTION("IFERROR(INDEX(FILTER('Kế hoạch chèn link (mới)'!$B$3:$B$2213,'Kế hoạch chèn link (mới)'!$D$3:$D$2213=$B488),3),"""")"),"")</f>
        <v/>
      </c>
      <c r="M488" s="25" t="str">
        <f>IFERROR(__xludf.DUMMYFUNCTION("IFERROR(INDEX(FILTER('Kế hoạch chèn link (mới)'!$C$3:$C$2213,'Kế hoạch chèn link (mới)'!$D$3:$D$2213=$B488),4),"""")"),"")</f>
        <v/>
      </c>
      <c r="N488" s="25" t="str">
        <f>IFERROR(__xludf.DUMMYFUNCTION("IFERROR(INDEX(FILTER('Kế hoạch chèn link (mới)'!$B$3:$B$2213,'Kế hoạch chèn link (mới)'!$D$3:$D$2213=$B488),4),"""")"),"")</f>
        <v/>
      </c>
      <c r="O488" s="25" t="str">
        <f>IFERROR(__xludf.DUMMYFUNCTION("IFERROR(INDEX(FILTER('Kế hoạch chèn link (mới)'!$C$3:$C$2213,'Kế hoạch chèn link (mới)'!$D$3:$D$2213=$B488),5),"""")"),"")</f>
        <v/>
      </c>
      <c r="P488" s="25" t="str">
        <f>IFERROR(__xludf.DUMMYFUNCTION("IFERROR(INDEX(FILTER('Kế hoạch chèn link (mới)'!$B$3:$B$2213,'Kế hoạch chèn link (mới)'!$D$3:$D$2213=$B488),5),"""")"),"")</f>
        <v/>
      </c>
    </row>
    <row r="489">
      <c r="A489" s="6">
        <f t="shared" si="1"/>
        <v>488</v>
      </c>
      <c r="B489" s="8" t="s">
        <v>1577</v>
      </c>
      <c r="C489" s="6">
        <f>COUNTIF('Kế hoạch chèn link (mới)'!$D$3:$D$2213,$B489)</f>
        <v>3</v>
      </c>
      <c r="D489" s="8" t="str">
        <f>IF(COUNTIFS('Kế hoạch chèn link (mới)'!$D$3:$D$2213,$B489,'Kế hoạch chèn link (mới)'!$I$3:$I$2213,"Đã chèn")&gt;=$C489,"Đã hoàn thành",IF(COUNTIFS('Kế hoạch chèn link (mới)'!$D$3:$D$2213,$B489,'Kế hoạch chèn link (mới)'!$I$3:$I$2213,"Đã chèn")&gt;0,"Đang làm","Chưa hoàn thành"))</f>
        <v>Chưa hoàn thành</v>
      </c>
      <c r="E489" s="8" t="b">
        <f t="shared" si="2"/>
        <v>0</v>
      </c>
      <c r="F489" s="25"/>
      <c r="G489" s="25" t="str">
        <f>IFERROR(__xludf.DUMMYFUNCTION("IFERROR(INDEX(FILTER('Kế hoạch chèn link (mới)'!$C$3:$C$2213,'Kế hoạch chèn link (mới)'!$D$3:$D$2213=$B489),1),"""")"),"thuế thu nhập cá nhân")</f>
        <v>thuế thu nhập cá nhân</v>
      </c>
      <c r="H489" s="25" t="str">
        <f>IFERROR(__xludf.DUMMYFUNCTION("IFERROR(INDEX(FILTER('Kế hoạch chèn link (mới)'!$B$3:$B$2213,'Kế hoạch chèn link (mới)'!$D$3:$D$2213=$B489),1),"""")"),"https://techcombank.com/thong-tin/blog/cach-tinh-thue-thu-nhap-ca-nhan-2025")</f>
        <v>https://techcombank.com/thong-tin/blog/cach-tinh-thue-thu-nhap-ca-nhan-2025</v>
      </c>
      <c r="I489" s="25" t="str">
        <f>IFERROR(__xludf.DUMMYFUNCTION("IFERROR(INDEX(FILTER('Kế hoạch chèn link (mới)'!$C$3:$C$2213,'Kế hoạch chèn link (mới)'!$D$3:$D$2213=$B489),2),"""")"),"sao kê tài khoản ngân hàng")</f>
        <v>sao kê tài khoản ngân hàng</v>
      </c>
      <c r="J489" s="25" t="str">
        <f>IFERROR(__xludf.DUMMYFUNCTION("IFERROR(INDEX(FILTER('Kế hoạch chèn link (mới)'!$B$3:$B$2213,'Kế hoạch chèn link (mới)'!$D$3:$D$2213=$B489),2),"""")"),"https://techcombank.com/thong-tin/blog/cach-sao-ke-tai-khoan-ngan-hang")</f>
        <v>https://techcombank.com/thong-tin/blog/cach-sao-ke-tai-khoan-ngan-hang</v>
      </c>
      <c r="K489" s="25" t="str">
        <f>IFERROR(__xludf.DUMMYFUNCTION("IFERROR(INDEX(FILTER('Kế hoạch chèn link (mới)'!$C$3:$C$2213,'Kế hoạch chèn link (mới)'!$D$3:$D$2213=$B489),3),"""")"),"thuế thu nhập cá nhân")</f>
        <v>thuế thu nhập cá nhân</v>
      </c>
      <c r="L489" s="25" t="str">
        <f>IFERROR(__xludf.DUMMYFUNCTION("IFERROR(INDEX(FILTER('Kế hoạch chèn link (mới)'!$B$3:$B$2213,'Kế hoạch chèn link (mới)'!$D$3:$D$2213=$B489),3),"""")"),"https://techcombank.com/thong-tin/blog/thue-thu-nhap-ca-nhan")</f>
        <v>https://techcombank.com/thong-tin/blog/thue-thu-nhap-ca-nhan</v>
      </c>
      <c r="M489" s="25" t="str">
        <f>IFERROR(__xludf.DUMMYFUNCTION("IFERROR(INDEX(FILTER('Kế hoạch chèn link (mới)'!$C$3:$C$2213,'Kế hoạch chèn link (mới)'!$D$3:$D$2213=$B489),4),"""")"),"")</f>
        <v/>
      </c>
      <c r="N489" s="25" t="str">
        <f>IFERROR(__xludf.DUMMYFUNCTION("IFERROR(INDEX(FILTER('Kế hoạch chèn link (mới)'!$B$3:$B$2213,'Kế hoạch chèn link (mới)'!$D$3:$D$2213=$B489),4),"""")"),"")</f>
        <v/>
      </c>
      <c r="O489" s="25" t="str">
        <f>IFERROR(__xludf.DUMMYFUNCTION("IFERROR(INDEX(FILTER('Kế hoạch chèn link (mới)'!$C$3:$C$2213,'Kế hoạch chèn link (mới)'!$D$3:$D$2213=$B489),5),"""")"),"")</f>
        <v/>
      </c>
      <c r="P489" s="25" t="str">
        <f>IFERROR(__xludf.DUMMYFUNCTION("IFERROR(INDEX(FILTER('Kế hoạch chèn link (mới)'!$B$3:$B$2213,'Kế hoạch chèn link (mới)'!$D$3:$D$2213=$B489),5),"""")"),"")</f>
        <v/>
      </c>
    </row>
    <row r="490">
      <c r="A490" s="6">
        <f t="shared" si="1"/>
        <v>489</v>
      </c>
      <c r="B490" s="8" t="s">
        <v>1051</v>
      </c>
      <c r="C490" s="6">
        <f>COUNTIF('Kế hoạch chèn link (mới)'!$D$3:$D$2213,$B490)</f>
        <v>2</v>
      </c>
      <c r="D490" s="8" t="str">
        <f>IF(COUNTIFS('Kế hoạch chèn link (mới)'!$D$3:$D$2213,$B490,'Kế hoạch chèn link (mới)'!$I$3:$I$2213,"Đã chèn")&gt;=$C490,"Đã hoàn thành",IF(COUNTIFS('Kế hoạch chèn link (mới)'!$D$3:$D$2213,$B490,'Kế hoạch chèn link (mới)'!$I$3:$I$2213,"Đã chèn")&gt;0,"Đang làm","Chưa hoàn thành"))</f>
        <v>Chưa hoàn thành</v>
      </c>
      <c r="E490" s="8" t="b">
        <f t="shared" si="2"/>
        <v>0</v>
      </c>
      <c r="F490" s="25"/>
      <c r="G490" s="25" t="str">
        <f>IFERROR(__xludf.DUMMYFUNCTION("IFERROR(INDEX(FILTER('Kế hoạch chèn link (mới)'!$C$3:$C$2213,'Kế hoạch chèn link (mới)'!$D$3:$D$2213=$B490),1),"""")"),"kiểm tra nợ thuế doanh nghiệp")</f>
        <v>kiểm tra nợ thuế doanh nghiệp</v>
      </c>
      <c r="H490" s="25" t="str">
        <f>IFERROR(__xludf.DUMMYFUNCTION("IFERROR(INDEX(FILTER('Kế hoạch chèn link (mới)'!$B$3:$B$2213,'Kế hoạch chèn link (mới)'!$D$3:$D$2213=$B490),1),"""")"),"https://techcombank.com/thong-tin/blog/tra-cuu-no-thue-doanh-nghiep")</f>
        <v>https://techcombank.com/thong-tin/blog/tra-cuu-no-thue-doanh-nghiep</v>
      </c>
      <c r="I490" s="25" t="str">
        <f>IFERROR(__xludf.DUMMYFUNCTION("IFERROR(INDEX(FILTER('Kế hoạch chèn link (mới)'!$C$3:$C$2213,'Kế hoạch chèn link (mới)'!$D$3:$D$2213=$B490),2),"""")"),"sao kê tài khoản ngân hàng")</f>
        <v>sao kê tài khoản ngân hàng</v>
      </c>
      <c r="J490" s="25" t="str">
        <f>IFERROR(__xludf.DUMMYFUNCTION("IFERROR(INDEX(FILTER('Kế hoạch chèn link (mới)'!$B$3:$B$2213,'Kế hoạch chèn link (mới)'!$D$3:$D$2213=$B490),2),"""")"),"https://techcombank.com/thong-tin/blog/cach-sao-ke-tai-khoan-ngan-hang")</f>
        <v>https://techcombank.com/thong-tin/blog/cach-sao-ke-tai-khoan-ngan-hang</v>
      </c>
      <c r="K490" s="25" t="str">
        <f>IFERROR(__xludf.DUMMYFUNCTION("IFERROR(INDEX(FILTER('Kế hoạch chèn link (mới)'!$C$3:$C$2213,'Kế hoạch chèn link (mới)'!$D$3:$D$2213=$B490),3),"""")"),"")</f>
        <v/>
      </c>
      <c r="L490" s="25" t="str">
        <f>IFERROR(__xludf.DUMMYFUNCTION("IFERROR(INDEX(FILTER('Kế hoạch chèn link (mới)'!$B$3:$B$2213,'Kế hoạch chèn link (mới)'!$D$3:$D$2213=$B490),3),"""")"),"")</f>
        <v/>
      </c>
      <c r="M490" s="25" t="str">
        <f>IFERROR(__xludf.DUMMYFUNCTION("IFERROR(INDEX(FILTER('Kế hoạch chèn link (mới)'!$C$3:$C$2213,'Kế hoạch chèn link (mới)'!$D$3:$D$2213=$B490),4),"""")"),"")</f>
        <v/>
      </c>
      <c r="N490" s="25" t="str">
        <f>IFERROR(__xludf.DUMMYFUNCTION("IFERROR(INDEX(FILTER('Kế hoạch chèn link (mới)'!$B$3:$B$2213,'Kế hoạch chèn link (mới)'!$D$3:$D$2213=$B490),4),"""")"),"")</f>
        <v/>
      </c>
      <c r="O490" s="25" t="str">
        <f>IFERROR(__xludf.DUMMYFUNCTION("IFERROR(INDEX(FILTER('Kế hoạch chèn link (mới)'!$C$3:$C$2213,'Kế hoạch chèn link (mới)'!$D$3:$D$2213=$B490),5),"""")"),"")</f>
        <v/>
      </c>
      <c r="P490" s="25" t="str">
        <f>IFERROR(__xludf.DUMMYFUNCTION("IFERROR(INDEX(FILTER('Kế hoạch chèn link (mới)'!$B$3:$B$2213,'Kế hoạch chèn link (mới)'!$D$3:$D$2213=$B490),5),"""")"),"")</f>
        <v/>
      </c>
    </row>
    <row r="491">
      <c r="A491" s="6">
        <f t="shared" si="1"/>
        <v>490</v>
      </c>
      <c r="B491" s="8" t="s">
        <v>2394</v>
      </c>
      <c r="C491" s="6">
        <f>COUNTIF('Kế hoạch chèn link (mới)'!$D$3:$D$2213,$B491)</f>
        <v>4</v>
      </c>
      <c r="D491" s="8" t="str">
        <f>IF(COUNTIFS('Kế hoạch chèn link (mới)'!$D$3:$D$2213,$B491,'Kế hoạch chèn link (mới)'!$I$3:$I$2213,"Đã chèn")&gt;=$C491,"Đã hoàn thành",IF(COUNTIFS('Kế hoạch chèn link (mới)'!$D$3:$D$2213,$B491,'Kế hoạch chèn link (mới)'!$I$3:$I$2213,"Đã chèn")&gt;0,"Đang làm","Chưa hoàn thành"))</f>
        <v>Chưa hoàn thành</v>
      </c>
      <c r="E491" s="8" t="b">
        <f t="shared" si="2"/>
        <v>0</v>
      </c>
      <c r="F491" s="25"/>
      <c r="G491" s="25" t="str">
        <f>IFERROR(__xludf.DUMMYFUNCTION("IFERROR(INDEX(FILTER('Kế hoạch chèn link (mới)'!$C$3:$C$2213,'Kế hoạch chèn link (mới)'!$D$3:$D$2213=$B491),1),"""")"),"sao kê tài khoản ngân hàng")</f>
        <v>sao kê tài khoản ngân hàng</v>
      </c>
      <c r="H491" s="25" t="str">
        <f>IFERROR(__xludf.DUMMYFUNCTION("IFERROR(INDEX(FILTER('Kế hoạch chèn link (mới)'!$B$3:$B$2213,'Kế hoạch chèn link (mới)'!$D$3:$D$2213=$B491),1),"""")"),"https://techcombank.com/thong-tin/blog/cach-sao-ke-tai-khoan-ngan-hang")</f>
        <v>https://techcombank.com/thong-tin/blog/cach-sao-ke-tai-khoan-ngan-hang</v>
      </c>
      <c r="I491" s="25" t="str">
        <f>IFERROR(__xludf.DUMMYFUNCTION("IFERROR(INDEX(FILTER('Kế hoạch chèn link (mới)'!$C$3:$C$2213,'Kế hoạch chèn link (mới)'!$D$3:$D$2213=$B491),2),"""")"),"rút tiền thẻ tín dụng")</f>
        <v>rút tiền thẻ tín dụng</v>
      </c>
      <c r="J491" s="25" t="str">
        <f>IFERROR(__xludf.DUMMYFUNCTION("IFERROR(INDEX(FILTER('Kế hoạch chèn link (mới)'!$B$3:$B$2213,'Kế hoạch chèn link (mới)'!$D$3:$D$2213=$B491),2),"""")"),"https://techcombank.com/thong-tin/blog/rut-tien-mat-tu-the-tin-dung")</f>
        <v>https://techcombank.com/thong-tin/blog/rut-tien-mat-tu-the-tin-dung</v>
      </c>
      <c r="K491" s="25" t="str">
        <f>IFERROR(__xludf.DUMMYFUNCTION("IFERROR(INDEX(FILTER('Kế hoạch chèn link (mới)'!$C$3:$C$2213,'Kế hoạch chèn link (mới)'!$D$3:$D$2213=$B491),3),"""")"),"cách hủy thẻ tín dụng")</f>
        <v>cách hủy thẻ tín dụng</v>
      </c>
      <c r="L491" s="25" t="str">
        <f>IFERROR(__xludf.DUMMYFUNCTION("IFERROR(INDEX(FILTER('Kế hoạch chèn link (mới)'!$B$3:$B$2213,'Kế hoạch chèn link (mới)'!$D$3:$D$2213=$B491),3),"""")"),"https://techcombank.com/thong-tin/blog/cach-huy-the-tin-dung")</f>
        <v>https://techcombank.com/thong-tin/blog/cach-huy-the-tin-dung</v>
      </c>
      <c r="M491" s="25" t="str">
        <f>IFERROR(__xludf.DUMMYFUNCTION("IFERROR(INDEX(FILTER('Kế hoạch chèn link (mới)'!$C$3:$C$2213,'Kế hoạch chèn link (mới)'!$D$3:$D$2213=$B491),4),"""")"),"cách tính lãi suất vay ngân hàng")</f>
        <v>cách tính lãi suất vay ngân hàng</v>
      </c>
      <c r="N491" s="25" t="str">
        <f>IFERROR(__xludf.DUMMYFUNCTION("IFERROR(INDEX(FILTER('Kế hoạch chèn link (mới)'!$B$3:$B$2213,'Kế hoạch chèn link (mới)'!$D$3:$D$2213=$B491),4),"""")"),"https://techcombank.com/thong-tin/blog/cach-tinh-lai-vay-ngan-hang")</f>
        <v>https://techcombank.com/thong-tin/blog/cach-tinh-lai-vay-ngan-hang</v>
      </c>
      <c r="O491" s="25" t="str">
        <f>IFERROR(__xludf.DUMMYFUNCTION("IFERROR(INDEX(FILTER('Kế hoạch chèn link (mới)'!$C$3:$C$2213,'Kế hoạch chèn link (mới)'!$D$3:$D$2213=$B491),5),"""")"),"")</f>
        <v/>
      </c>
      <c r="P491" s="25" t="str">
        <f>IFERROR(__xludf.DUMMYFUNCTION("IFERROR(INDEX(FILTER('Kế hoạch chèn link (mới)'!$B$3:$B$2213,'Kế hoạch chèn link (mới)'!$D$3:$D$2213=$B491),5),"""")"),"")</f>
        <v/>
      </c>
    </row>
    <row r="492">
      <c r="A492" s="6">
        <f t="shared" si="1"/>
        <v>491</v>
      </c>
      <c r="B492" s="8" t="s">
        <v>3111</v>
      </c>
      <c r="C492" s="6">
        <f>COUNTIF('Kế hoạch chèn link (mới)'!$D$3:$D$2213,$B492)</f>
        <v>1</v>
      </c>
      <c r="D492" s="8" t="str">
        <f>IF(COUNTIFS('Kế hoạch chèn link (mới)'!$D$3:$D$2213,$B492,'Kế hoạch chèn link (mới)'!$I$3:$I$2213,"Đã chèn")&gt;=$C492,"Đã hoàn thành",IF(COUNTIFS('Kế hoạch chèn link (mới)'!$D$3:$D$2213,$B492,'Kế hoạch chèn link (mới)'!$I$3:$I$2213,"Đã chèn")&gt;0,"Đang làm","Chưa hoàn thành"))</f>
        <v>Chưa hoàn thành</v>
      </c>
      <c r="E492" s="8" t="b">
        <f t="shared" si="2"/>
        <v>0</v>
      </c>
      <c r="F492" s="25"/>
      <c r="G492" s="25" t="str">
        <f>IFERROR(__xludf.DUMMYFUNCTION("IFERROR(INDEX(FILTER('Kế hoạch chèn link (mới)'!$C$3:$C$2213,'Kế hoạch chèn link (mới)'!$D$3:$D$2213=$B492),1),"""")"),"voucher Traveloka")</f>
        <v>voucher Traveloka</v>
      </c>
      <c r="H492" s="25" t="str">
        <f>IFERROR(__xludf.DUMMYFUNCTION("IFERROR(INDEX(FILTER('Kế hoạch chèn link (mới)'!$B$3:$B$2213,'Kế hoạch chèn link (mới)'!$D$3:$D$2213=$B492),1),"""")"),"https://techcombank.com/thong-tin/blog/traveloka-voucher")</f>
        <v>https://techcombank.com/thong-tin/blog/traveloka-voucher</v>
      </c>
      <c r="I492" s="25" t="str">
        <f>IFERROR(__xludf.DUMMYFUNCTION("IFERROR(INDEX(FILTER('Kế hoạch chèn link (mới)'!$C$3:$C$2213,'Kế hoạch chèn link (mới)'!$D$3:$D$2213=$B492),2),"""")"),"")</f>
        <v/>
      </c>
      <c r="J492" s="25" t="str">
        <f>IFERROR(__xludf.DUMMYFUNCTION("IFERROR(INDEX(FILTER('Kế hoạch chèn link (mới)'!$B$3:$B$2213,'Kế hoạch chèn link (mới)'!$D$3:$D$2213=$B492),2),"""")"),"")</f>
        <v/>
      </c>
      <c r="K492" s="25" t="str">
        <f>IFERROR(__xludf.DUMMYFUNCTION("IFERROR(INDEX(FILTER('Kế hoạch chèn link (mới)'!$C$3:$C$2213,'Kế hoạch chèn link (mới)'!$D$3:$D$2213=$B492),3),"""")"),"")</f>
        <v/>
      </c>
      <c r="L492" s="25" t="str">
        <f>IFERROR(__xludf.DUMMYFUNCTION("IFERROR(INDEX(FILTER('Kế hoạch chèn link (mới)'!$B$3:$B$2213,'Kế hoạch chèn link (mới)'!$D$3:$D$2213=$B492),3),"""")"),"")</f>
        <v/>
      </c>
      <c r="M492" s="25" t="str">
        <f>IFERROR(__xludf.DUMMYFUNCTION("IFERROR(INDEX(FILTER('Kế hoạch chèn link (mới)'!$C$3:$C$2213,'Kế hoạch chèn link (mới)'!$D$3:$D$2213=$B492),4),"""")"),"")</f>
        <v/>
      </c>
      <c r="N492" s="25" t="str">
        <f>IFERROR(__xludf.DUMMYFUNCTION("IFERROR(INDEX(FILTER('Kế hoạch chèn link (mới)'!$B$3:$B$2213,'Kế hoạch chèn link (mới)'!$D$3:$D$2213=$B492),4),"""")"),"")</f>
        <v/>
      </c>
      <c r="O492" s="25" t="str">
        <f>IFERROR(__xludf.DUMMYFUNCTION("IFERROR(INDEX(FILTER('Kế hoạch chèn link (mới)'!$C$3:$C$2213,'Kế hoạch chèn link (mới)'!$D$3:$D$2213=$B492),5),"""")"),"")</f>
        <v/>
      </c>
      <c r="P492" s="25" t="str">
        <f>IFERROR(__xludf.DUMMYFUNCTION("IFERROR(INDEX(FILTER('Kế hoạch chèn link (mới)'!$B$3:$B$2213,'Kế hoạch chèn link (mới)'!$D$3:$D$2213=$B492),5),"""")"),"")</f>
        <v/>
      </c>
    </row>
    <row r="493">
      <c r="A493" s="6">
        <f t="shared" si="1"/>
        <v>492</v>
      </c>
      <c r="B493" s="8" t="s">
        <v>1333</v>
      </c>
      <c r="C493" s="6">
        <f>COUNTIF('Kế hoạch chèn link (mới)'!$D$3:$D$2213,$B493)</f>
        <v>3</v>
      </c>
      <c r="D493" s="8" t="str">
        <f>IF(COUNTIFS('Kế hoạch chèn link (mới)'!$D$3:$D$2213,$B493,'Kế hoạch chèn link (mới)'!$I$3:$I$2213,"Đã chèn")&gt;=$C493,"Đã hoàn thành",IF(COUNTIFS('Kế hoạch chèn link (mới)'!$D$3:$D$2213,$B493,'Kế hoạch chèn link (mới)'!$I$3:$I$2213,"Đã chèn")&gt;0,"Đang làm","Chưa hoàn thành"))</f>
        <v>Chưa hoàn thành</v>
      </c>
      <c r="E493" s="8" t="b">
        <f t="shared" si="2"/>
        <v>0</v>
      </c>
      <c r="F493" s="25"/>
      <c r="G493" s="25" t="str">
        <f>IFERROR(__xludf.DUMMYFUNCTION("IFERROR(INDEX(FILTER('Kế hoạch chèn link (mới)'!$C$3:$C$2213,'Kế hoạch chèn link (mới)'!$D$3:$D$2213=$B493),1),"""")"),"cách nạp tiền điện thoại viettel")</f>
        <v>cách nạp tiền điện thoại viettel</v>
      </c>
      <c r="H493" s="25" t="str">
        <f>IFERROR(__xludf.DUMMYFUNCTION("IFERROR(INDEX(FILTER('Kế hoạch chèn link (mới)'!$B$3:$B$2213,'Kế hoạch chèn link (mới)'!$D$3:$D$2213=$B493),1),"""")"),"https://techcombank.com/thong-tin/blog/cach-nap-the-viettel")</f>
        <v>https://techcombank.com/thong-tin/blog/cach-nap-the-viettel</v>
      </c>
      <c r="I493" s="25" t="str">
        <f>IFERROR(__xludf.DUMMYFUNCTION("IFERROR(INDEX(FILTER('Kế hoạch chèn link (mới)'!$C$3:$C$2213,'Kế hoạch chèn link (mới)'!$D$3:$D$2213=$B493),2),"""")"),"bao nhiêu tuổi được mở tài khoản ngân hàng")</f>
        <v>bao nhiêu tuổi được mở tài khoản ngân hàng</v>
      </c>
      <c r="J493" s="25" t="str">
        <f>IFERROR(__xludf.DUMMYFUNCTION("IFERROR(INDEX(FILTER('Kế hoạch chèn link (mới)'!$B$3:$B$2213,'Kế hoạch chèn link (mới)'!$D$3:$D$2213=$B493),2),"""")"),"https://techcombank.com/thong-tin/blog/bao-nhieu-tuoi-duoc-mo-tai-khoan-ngan-hang")</f>
        <v>https://techcombank.com/thong-tin/blog/bao-nhieu-tuoi-duoc-mo-tai-khoan-ngan-hang</v>
      </c>
      <c r="K493" s="25" t="str">
        <f>IFERROR(__xludf.DUMMYFUNCTION("IFERROR(INDEX(FILTER('Kế hoạch chèn link (mới)'!$C$3:$C$2213,'Kế hoạch chèn link (mới)'!$D$3:$D$2213=$B493),3),"""")"),"mở tài khoản ngân hàng cho học sinh")</f>
        <v>mở tài khoản ngân hàng cho học sinh</v>
      </c>
      <c r="L493" s="25" t="str">
        <f>IFERROR(__xludf.DUMMYFUNCTION("IFERROR(INDEX(FILTER('Kế hoạch chèn link (mới)'!$B$3:$B$2213,'Kế hoạch chèn link (mới)'!$D$3:$D$2213=$B493),3),"""")"),"https://techcombank.com/thong-tin/blog/mo-tai-khoan-ngan-hang-duoi-18-tuoi")</f>
        <v>https://techcombank.com/thong-tin/blog/mo-tai-khoan-ngan-hang-duoi-18-tuoi</v>
      </c>
      <c r="M493" s="25" t="str">
        <f>IFERROR(__xludf.DUMMYFUNCTION("IFERROR(INDEX(FILTER('Kế hoạch chèn link (mới)'!$C$3:$C$2213,'Kế hoạch chèn link (mới)'!$D$3:$D$2213=$B493),4),"""")"),"")</f>
        <v/>
      </c>
      <c r="N493" s="25" t="str">
        <f>IFERROR(__xludf.DUMMYFUNCTION("IFERROR(INDEX(FILTER('Kế hoạch chèn link (mới)'!$B$3:$B$2213,'Kế hoạch chèn link (mới)'!$D$3:$D$2213=$B493),4),"""")"),"")</f>
        <v/>
      </c>
      <c r="O493" s="25" t="str">
        <f>IFERROR(__xludf.DUMMYFUNCTION("IFERROR(INDEX(FILTER('Kế hoạch chèn link (mới)'!$C$3:$C$2213,'Kế hoạch chèn link (mới)'!$D$3:$D$2213=$B493),5),"""")"),"")</f>
        <v/>
      </c>
      <c r="P493" s="25" t="str">
        <f>IFERROR(__xludf.DUMMYFUNCTION("IFERROR(INDEX(FILTER('Kế hoạch chèn link (mới)'!$B$3:$B$2213,'Kế hoạch chèn link (mới)'!$D$3:$D$2213=$B493),5),"""")"),"")</f>
        <v/>
      </c>
    </row>
    <row r="494">
      <c r="A494" s="6">
        <f t="shared" si="1"/>
        <v>493</v>
      </c>
      <c r="B494" s="8" t="s">
        <v>3112</v>
      </c>
      <c r="C494" s="6">
        <f>COUNTIF('Kế hoạch chèn link (mới)'!$D$3:$D$2213,$B494)</f>
        <v>2</v>
      </c>
      <c r="D494" s="8" t="str">
        <f>IF(COUNTIFS('Kế hoạch chèn link (mới)'!$D$3:$D$2213,$B494,'Kế hoạch chèn link (mới)'!$I$3:$I$2213,"Đã chèn")&gt;=$C494,"Đã hoàn thành",IF(COUNTIFS('Kế hoạch chèn link (mới)'!$D$3:$D$2213,$B494,'Kế hoạch chèn link (mới)'!$I$3:$I$2213,"Đã chèn")&gt;0,"Đang làm","Chưa hoàn thành"))</f>
        <v>Chưa hoàn thành</v>
      </c>
      <c r="E494" s="8" t="b">
        <f t="shared" si="2"/>
        <v>0</v>
      </c>
      <c r="F494" s="25"/>
      <c r="G494" s="25" t="str">
        <f>IFERROR(__xludf.DUMMYFUNCTION("IFERROR(INDEX(FILTER('Kế hoạch chèn link (mới)'!$C$3:$C$2213,'Kế hoạch chèn link (mới)'!$D$3:$D$2213=$B494),1),"""")"),"tính lãi suất ngân hàng")</f>
        <v>tính lãi suất ngân hàng</v>
      </c>
      <c r="H494" s="25" t="str">
        <f>IFERROR(__xludf.DUMMYFUNCTION("IFERROR(INDEX(FILTER('Kế hoạch chèn link (mới)'!$B$3:$B$2213,'Kế hoạch chèn link (mới)'!$D$3:$D$2213=$B494),1),"""")"),"https://techcombank.com/thong-tin/blog/cach-tinh-lai-suat-tien-gui-tiet-kiem")</f>
        <v>https://techcombank.com/thong-tin/blog/cach-tinh-lai-suat-tien-gui-tiet-kiem</v>
      </c>
      <c r="I494" s="25" t="str">
        <f>IFERROR(__xludf.DUMMYFUNCTION("IFERROR(INDEX(FILTER('Kế hoạch chèn link (mới)'!$C$3:$C$2213,'Kế hoạch chèn link (mới)'!$D$3:$D$2213=$B494),2),"""")"),"thấu chi là gì")</f>
        <v>thấu chi là gì</v>
      </c>
      <c r="J494" s="25" t="str">
        <f>IFERROR(__xludf.DUMMYFUNCTION("IFERROR(INDEX(FILTER('Kế hoạch chèn link (mới)'!$B$3:$B$2213,'Kế hoạch chèn link (mới)'!$D$3:$D$2213=$B494),2),"""")"),"https://techcombank.com/thong-tin/blog/vay-thau-chi-la-gi")</f>
        <v>https://techcombank.com/thong-tin/blog/vay-thau-chi-la-gi</v>
      </c>
      <c r="K494" s="25" t="str">
        <f>IFERROR(__xludf.DUMMYFUNCTION("IFERROR(INDEX(FILTER('Kế hoạch chèn link (mới)'!$C$3:$C$2213,'Kế hoạch chèn link (mới)'!$D$3:$D$2213=$B494),3),"""")"),"")</f>
        <v/>
      </c>
      <c r="L494" s="25" t="str">
        <f>IFERROR(__xludf.DUMMYFUNCTION("IFERROR(INDEX(FILTER('Kế hoạch chèn link (mới)'!$B$3:$B$2213,'Kế hoạch chèn link (mới)'!$D$3:$D$2213=$B494),3),"""")"),"")</f>
        <v/>
      </c>
      <c r="M494" s="25" t="str">
        <f>IFERROR(__xludf.DUMMYFUNCTION("IFERROR(INDEX(FILTER('Kế hoạch chèn link (mới)'!$C$3:$C$2213,'Kế hoạch chèn link (mới)'!$D$3:$D$2213=$B494),4),"""")"),"")</f>
        <v/>
      </c>
      <c r="N494" s="25" t="str">
        <f>IFERROR(__xludf.DUMMYFUNCTION("IFERROR(INDEX(FILTER('Kế hoạch chèn link (mới)'!$B$3:$B$2213,'Kế hoạch chèn link (mới)'!$D$3:$D$2213=$B494),4),"""")"),"")</f>
        <v/>
      </c>
      <c r="O494" s="25" t="str">
        <f>IFERROR(__xludf.DUMMYFUNCTION("IFERROR(INDEX(FILTER('Kế hoạch chèn link (mới)'!$C$3:$C$2213,'Kế hoạch chèn link (mới)'!$D$3:$D$2213=$B494),5),"""")"),"")</f>
        <v/>
      </c>
      <c r="P494" s="25" t="str">
        <f>IFERROR(__xludf.DUMMYFUNCTION("IFERROR(INDEX(FILTER('Kế hoạch chèn link (mới)'!$B$3:$B$2213,'Kế hoạch chèn link (mới)'!$D$3:$D$2213=$B494),5),"""")"),"")</f>
        <v/>
      </c>
    </row>
    <row r="495">
      <c r="A495" s="6">
        <f t="shared" si="1"/>
        <v>494</v>
      </c>
      <c r="B495" s="8" t="s">
        <v>2619</v>
      </c>
      <c r="C495" s="6">
        <f>COUNTIF('Kế hoạch chèn link (mới)'!$D$3:$D$2213,$B495)</f>
        <v>3</v>
      </c>
      <c r="D495" s="8" t="str">
        <f>IF(COUNTIFS('Kế hoạch chèn link (mới)'!$D$3:$D$2213,$B495,'Kế hoạch chèn link (mới)'!$I$3:$I$2213,"Đã chèn")&gt;=$C495,"Đã hoàn thành",IF(COUNTIFS('Kế hoạch chèn link (mới)'!$D$3:$D$2213,$B495,'Kế hoạch chèn link (mới)'!$I$3:$I$2213,"Đã chèn")&gt;0,"Đang làm","Chưa hoàn thành"))</f>
        <v>Chưa hoàn thành</v>
      </c>
      <c r="E495" s="8" t="b">
        <f t="shared" si="2"/>
        <v>0</v>
      </c>
      <c r="F495" s="25"/>
      <c r="G495" s="25" t="str">
        <f>IFERROR(__xludf.DUMMYFUNCTION("IFERROR(INDEX(FILTER('Kế hoạch chèn link (mới)'!$C$3:$C$2213,'Kế hoạch chèn link (mới)'!$D$3:$D$2213=$B495),1),"""")"),"tên đăng nhập")</f>
        <v>tên đăng nhập</v>
      </c>
      <c r="H495" s="25" t="str">
        <f>IFERROR(__xludf.DUMMYFUNCTION("IFERROR(INDEX(FILTER('Kế hoạch chèn link (mới)'!$B$3:$B$2213,'Kế hoạch chèn link (mới)'!$D$3:$D$2213=$B495),1),"""")"),"https://techcombank.com/thong-tin/blog/ten-dang-nhap-tai-khoan-ngan-hang-la-gi")</f>
        <v>https://techcombank.com/thong-tin/blog/ten-dang-nhap-tai-khoan-ngan-hang-la-gi</v>
      </c>
      <c r="I495" s="25" t="str">
        <f>IFERROR(__xludf.DUMMYFUNCTION("IFERROR(INDEX(FILTER('Kế hoạch chèn link (mới)'!$C$3:$C$2213,'Kế hoạch chèn link (mới)'!$D$3:$D$2213=$B495),2),"""")"),"quét NFC CCCD trên iPhone")</f>
        <v>quét NFC CCCD trên iPhone</v>
      </c>
      <c r="J495" s="25" t="str">
        <f>IFERROR(__xludf.DUMMYFUNCTION("IFERROR(INDEX(FILTER('Kế hoạch chèn link (mới)'!$B$3:$B$2213,'Kế hoạch chèn link (mới)'!$D$3:$D$2213=$B495),2),"""")"),"https://techcombank.com/thong-tin/blog/cach-quet-nfc-cccd-tren-iphone")</f>
        <v>https://techcombank.com/thong-tin/blog/cach-quet-nfc-cccd-tren-iphone</v>
      </c>
      <c r="K495" s="25" t="str">
        <f>IFERROR(__xludf.DUMMYFUNCTION("IFERROR(INDEX(FILTER('Kế hoạch chèn link (mới)'!$C$3:$C$2213,'Kế hoạch chèn link (mới)'!$D$3:$D$2213=$B495),3),"""")"),"gửi tiết kiệm online có an toàn không")</f>
        <v>gửi tiết kiệm online có an toàn không</v>
      </c>
      <c r="L495" s="25" t="str">
        <f>IFERROR(__xludf.DUMMYFUNCTION("IFERROR(INDEX(FILTER('Kế hoạch chèn link (mới)'!$B$3:$B$2213,'Kế hoạch chèn link (mới)'!$D$3:$D$2213=$B495),3),"""")"),"https://techcombank.com/thong-tin/blog/rui-ro-khi-gui-tiet-kiem-online")</f>
        <v>https://techcombank.com/thong-tin/blog/rui-ro-khi-gui-tiet-kiem-online</v>
      </c>
      <c r="M495" s="25" t="str">
        <f>IFERROR(__xludf.DUMMYFUNCTION("IFERROR(INDEX(FILTER('Kế hoạch chèn link (mới)'!$C$3:$C$2213,'Kế hoạch chèn link (mới)'!$D$3:$D$2213=$B495),4),"""")"),"")</f>
        <v/>
      </c>
      <c r="N495" s="25" t="str">
        <f>IFERROR(__xludf.DUMMYFUNCTION("IFERROR(INDEX(FILTER('Kế hoạch chèn link (mới)'!$B$3:$B$2213,'Kế hoạch chèn link (mới)'!$D$3:$D$2213=$B495),4),"""")"),"")</f>
        <v/>
      </c>
      <c r="O495" s="25" t="str">
        <f>IFERROR(__xludf.DUMMYFUNCTION("IFERROR(INDEX(FILTER('Kế hoạch chèn link (mới)'!$C$3:$C$2213,'Kế hoạch chèn link (mới)'!$D$3:$D$2213=$B495),5),"""")"),"")</f>
        <v/>
      </c>
      <c r="P495" s="25" t="str">
        <f>IFERROR(__xludf.DUMMYFUNCTION("IFERROR(INDEX(FILTER('Kế hoạch chèn link (mới)'!$B$3:$B$2213,'Kế hoạch chèn link (mới)'!$D$3:$D$2213=$B495),5),"""")"),"")</f>
        <v/>
      </c>
    </row>
    <row r="496">
      <c r="A496" s="6">
        <f t="shared" si="1"/>
        <v>495</v>
      </c>
      <c r="B496" s="8" t="s">
        <v>1675</v>
      </c>
      <c r="C496" s="6">
        <f>COUNTIF('Kế hoạch chèn link (mới)'!$D$3:$D$2213,$B496)</f>
        <v>1</v>
      </c>
      <c r="D496" s="8" t="str">
        <f>IF(COUNTIFS('Kế hoạch chèn link (mới)'!$D$3:$D$2213,$B496,'Kế hoạch chèn link (mới)'!$I$3:$I$2213,"Đã chèn")&gt;=$C496,"Đã hoàn thành",IF(COUNTIFS('Kế hoạch chèn link (mới)'!$D$3:$D$2213,$B496,'Kế hoạch chèn link (mới)'!$I$3:$I$2213,"Đã chèn")&gt;0,"Đang làm","Chưa hoàn thành"))</f>
        <v>Chưa hoàn thành</v>
      </c>
      <c r="E496" s="8" t="b">
        <f t="shared" si="2"/>
        <v>0</v>
      </c>
      <c r="F496" s="25"/>
      <c r="G496" s="25" t="str">
        <f>IFERROR(__xludf.DUMMYFUNCTION("IFERROR(INDEX(FILTER('Kế hoạch chèn link (mới)'!$C$3:$C$2213,'Kế hoạch chèn link (mới)'!$D$3:$D$2213=$B496),1),"""")"),"tra số tài khoản ngân hàng")</f>
        <v>tra số tài khoản ngân hàng</v>
      </c>
      <c r="H496" s="25" t="str">
        <f>IFERROR(__xludf.DUMMYFUNCTION("IFERROR(INDEX(FILTER('Kế hoạch chèn link (mới)'!$B$3:$B$2213,'Kế hoạch chèn link (mới)'!$D$3:$D$2213=$B496),1),"""")"),"https://techcombank.com/thong-tin/blog/cach-kiem-tra-tai-khoan-ngan-hang")</f>
        <v>https://techcombank.com/thong-tin/blog/cach-kiem-tra-tai-khoan-ngan-hang</v>
      </c>
      <c r="I496" s="25" t="str">
        <f>IFERROR(__xludf.DUMMYFUNCTION("IFERROR(INDEX(FILTER('Kế hoạch chèn link (mới)'!$C$3:$C$2213,'Kế hoạch chèn link (mới)'!$D$3:$D$2213=$B496),2),"""")"),"")</f>
        <v/>
      </c>
      <c r="J496" s="25" t="str">
        <f>IFERROR(__xludf.DUMMYFUNCTION("IFERROR(INDEX(FILTER('Kế hoạch chèn link (mới)'!$B$3:$B$2213,'Kế hoạch chèn link (mới)'!$D$3:$D$2213=$B496),2),"""")"),"")</f>
        <v/>
      </c>
      <c r="K496" s="25" t="str">
        <f>IFERROR(__xludf.DUMMYFUNCTION("IFERROR(INDEX(FILTER('Kế hoạch chèn link (mới)'!$C$3:$C$2213,'Kế hoạch chèn link (mới)'!$D$3:$D$2213=$B496),3),"""")"),"")</f>
        <v/>
      </c>
      <c r="L496" s="25" t="str">
        <f>IFERROR(__xludf.DUMMYFUNCTION("IFERROR(INDEX(FILTER('Kế hoạch chèn link (mới)'!$B$3:$B$2213,'Kế hoạch chèn link (mới)'!$D$3:$D$2213=$B496),3),"""")"),"")</f>
        <v/>
      </c>
      <c r="M496" s="25" t="str">
        <f>IFERROR(__xludf.DUMMYFUNCTION("IFERROR(INDEX(FILTER('Kế hoạch chèn link (mới)'!$C$3:$C$2213,'Kế hoạch chèn link (mới)'!$D$3:$D$2213=$B496),4),"""")"),"")</f>
        <v/>
      </c>
      <c r="N496" s="25" t="str">
        <f>IFERROR(__xludf.DUMMYFUNCTION("IFERROR(INDEX(FILTER('Kế hoạch chèn link (mới)'!$B$3:$B$2213,'Kế hoạch chèn link (mới)'!$D$3:$D$2213=$B496),4),"""")"),"")</f>
        <v/>
      </c>
      <c r="O496" s="25" t="str">
        <f>IFERROR(__xludf.DUMMYFUNCTION("IFERROR(INDEX(FILTER('Kế hoạch chèn link (mới)'!$C$3:$C$2213,'Kế hoạch chèn link (mới)'!$D$3:$D$2213=$B496),5),"""")"),"")</f>
        <v/>
      </c>
      <c r="P496" s="25" t="str">
        <f>IFERROR(__xludf.DUMMYFUNCTION("IFERROR(INDEX(FILTER('Kế hoạch chèn link (mới)'!$B$3:$B$2213,'Kế hoạch chèn link (mới)'!$D$3:$D$2213=$B496),5),"""")"),"")</f>
        <v/>
      </c>
    </row>
    <row r="497">
      <c r="A497" s="6">
        <f t="shared" si="1"/>
        <v>496</v>
      </c>
      <c r="B497" s="8" t="s">
        <v>1700</v>
      </c>
      <c r="C497" s="6">
        <f>COUNTIF('Kế hoạch chèn link (mới)'!$D$3:$D$2213,$B497)</f>
        <v>2</v>
      </c>
      <c r="D497" s="8" t="str">
        <f>IF(COUNTIFS('Kế hoạch chèn link (mới)'!$D$3:$D$2213,$B497,'Kế hoạch chèn link (mới)'!$I$3:$I$2213,"Đã chèn")&gt;=$C497,"Đã hoàn thành",IF(COUNTIFS('Kế hoạch chèn link (mới)'!$D$3:$D$2213,$B497,'Kế hoạch chèn link (mới)'!$I$3:$I$2213,"Đã chèn")&gt;0,"Đang làm","Chưa hoàn thành"))</f>
        <v>Chưa hoàn thành</v>
      </c>
      <c r="E497" s="8" t="b">
        <f t="shared" si="2"/>
        <v>0</v>
      </c>
      <c r="F497" s="25"/>
      <c r="G497" s="25" t="str">
        <f>IFERROR(__xludf.DUMMYFUNCTION("IFERROR(INDEX(FILTER('Kế hoạch chèn link (mới)'!$C$3:$C$2213,'Kế hoạch chèn link (mới)'!$D$3:$D$2213=$B497),1),"""")"),"tra số tài khoản ngân hàng")</f>
        <v>tra số tài khoản ngân hàng</v>
      </c>
      <c r="H497" s="25" t="str">
        <f>IFERROR(__xludf.DUMMYFUNCTION("IFERROR(INDEX(FILTER('Kế hoạch chèn link (mới)'!$B$3:$B$2213,'Kế hoạch chèn link (mới)'!$D$3:$D$2213=$B497),1),"""")"),"https://techcombank.com/thong-tin/blog/cach-kiem-tra-tai-khoan-ngan-hang")</f>
        <v>https://techcombank.com/thong-tin/blog/cach-kiem-tra-tai-khoan-ngan-hang</v>
      </c>
      <c r="I497" s="25" t="str">
        <f>IFERROR(__xludf.DUMMYFUNCTION("IFERROR(INDEX(FILTER('Kế hoạch chèn link (mới)'!$C$3:$C$2213,'Kế hoạch chèn link (mới)'!$D$3:$D$2213=$B497),2),"""")"),"số tài khoản phát tài phát lộc")</f>
        <v>số tài khoản phát tài phát lộc</v>
      </c>
      <c r="J497" s="25" t="str">
        <f>IFERROR(__xludf.DUMMYFUNCTION("IFERROR(INDEX(FILTER('Kế hoạch chèn link (mới)'!$B$3:$B$2213,'Kế hoạch chèn link (mới)'!$D$3:$D$2213=$B497),2),"""")"),"https://techcombank.com/thong-tin/blog/day-so-phat-tai-phat-loc")</f>
        <v>https://techcombank.com/thong-tin/blog/day-so-phat-tai-phat-loc</v>
      </c>
      <c r="K497" s="25" t="str">
        <f>IFERROR(__xludf.DUMMYFUNCTION("IFERROR(INDEX(FILTER('Kế hoạch chèn link (mới)'!$C$3:$C$2213,'Kế hoạch chèn link (mới)'!$D$3:$D$2213=$B497),3),"""")"),"")</f>
        <v/>
      </c>
      <c r="L497" s="25" t="str">
        <f>IFERROR(__xludf.DUMMYFUNCTION("IFERROR(INDEX(FILTER('Kế hoạch chèn link (mới)'!$B$3:$B$2213,'Kế hoạch chèn link (mới)'!$D$3:$D$2213=$B497),3),"""")"),"")</f>
        <v/>
      </c>
      <c r="M497" s="25" t="str">
        <f>IFERROR(__xludf.DUMMYFUNCTION("IFERROR(INDEX(FILTER('Kế hoạch chèn link (mới)'!$C$3:$C$2213,'Kế hoạch chèn link (mới)'!$D$3:$D$2213=$B497),4),"""")"),"")</f>
        <v/>
      </c>
      <c r="N497" s="25" t="str">
        <f>IFERROR(__xludf.DUMMYFUNCTION("IFERROR(INDEX(FILTER('Kế hoạch chèn link (mới)'!$B$3:$B$2213,'Kế hoạch chèn link (mới)'!$D$3:$D$2213=$B497),4),"""")"),"")</f>
        <v/>
      </c>
      <c r="O497" s="25" t="str">
        <f>IFERROR(__xludf.DUMMYFUNCTION("IFERROR(INDEX(FILTER('Kế hoạch chèn link (mới)'!$C$3:$C$2213,'Kế hoạch chèn link (mới)'!$D$3:$D$2213=$B497),5),"""")"),"")</f>
        <v/>
      </c>
      <c r="P497" s="25" t="str">
        <f>IFERROR(__xludf.DUMMYFUNCTION("IFERROR(INDEX(FILTER('Kế hoạch chèn link (mới)'!$B$3:$B$2213,'Kế hoạch chèn link (mới)'!$D$3:$D$2213=$B497),5),"""")"),"")</f>
        <v/>
      </c>
    </row>
    <row r="498">
      <c r="A498" s="6">
        <f t="shared" si="1"/>
        <v>497</v>
      </c>
      <c r="B498" s="8" t="s">
        <v>1689</v>
      </c>
      <c r="C498" s="6">
        <f>COUNTIF('Kế hoạch chèn link (mới)'!$D$3:$D$2213,$B498)</f>
        <v>2</v>
      </c>
      <c r="D498" s="8" t="str">
        <f>IF(COUNTIFS('Kế hoạch chèn link (mới)'!$D$3:$D$2213,$B498,'Kế hoạch chèn link (mới)'!$I$3:$I$2213,"Đã chèn")&gt;=$C498,"Đã hoàn thành",IF(COUNTIFS('Kế hoạch chèn link (mới)'!$D$3:$D$2213,$B498,'Kế hoạch chèn link (mới)'!$I$3:$I$2213,"Đã chèn")&gt;0,"Đang làm","Chưa hoàn thành"))</f>
        <v>Chưa hoàn thành</v>
      </c>
      <c r="E498" s="8" t="b">
        <f t="shared" si="2"/>
        <v>0</v>
      </c>
      <c r="F498" s="25"/>
      <c r="G498" s="25" t="str">
        <f>IFERROR(__xludf.DUMMYFUNCTION("IFERROR(INDEX(FILTER('Kế hoạch chèn link (mới)'!$C$3:$C$2213,'Kế hoạch chèn link (mới)'!$D$3:$D$2213=$B498),1),"""")"),"tra số tài khoản ngân hàng")</f>
        <v>tra số tài khoản ngân hàng</v>
      </c>
      <c r="H498" s="25" t="str">
        <f>IFERROR(__xludf.DUMMYFUNCTION("IFERROR(INDEX(FILTER('Kế hoạch chèn link (mới)'!$B$3:$B$2213,'Kế hoạch chèn link (mới)'!$D$3:$D$2213=$B498),1),"""")"),"https://techcombank.com/thong-tin/blog/cach-kiem-tra-tai-khoan-ngan-hang")</f>
        <v>https://techcombank.com/thong-tin/blog/cach-kiem-tra-tai-khoan-ngan-hang</v>
      </c>
      <c r="I498" s="25" t="str">
        <f>IFERROR(__xludf.DUMMYFUNCTION("IFERROR(INDEX(FILTER('Kế hoạch chèn link (mới)'!$C$3:$C$2213,'Kế hoạch chèn link (mới)'!$D$3:$D$2213=$B498),2),"""")"),"dãy số phát tài phát lộc")</f>
        <v>dãy số phát tài phát lộc</v>
      </c>
      <c r="J498" s="25" t="str">
        <f>IFERROR(__xludf.DUMMYFUNCTION("IFERROR(INDEX(FILTER('Kế hoạch chèn link (mới)'!$B$3:$B$2213,'Kế hoạch chèn link (mới)'!$D$3:$D$2213=$B498),2),"""")"),"https://techcombank.com/thong-tin/blog/day-so-phat-tai-phat-loc")</f>
        <v>https://techcombank.com/thong-tin/blog/day-so-phat-tai-phat-loc</v>
      </c>
      <c r="K498" s="25" t="str">
        <f>IFERROR(__xludf.DUMMYFUNCTION("IFERROR(INDEX(FILTER('Kế hoạch chèn link (mới)'!$C$3:$C$2213,'Kế hoạch chèn link (mới)'!$D$3:$D$2213=$B498),3),"""")"),"")</f>
        <v/>
      </c>
      <c r="L498" s="25" t="str">
        <f>IFERROR(__xludf.DUMMYFUNCTION("IFERROR(INDEX(FILTER('Kế hoạch chèn link (mới)'!$B$3:$B$2213,'Kế hoạch chèn link (mới)'!$D$3:$D$2213=$B498),3),"""")"),"")</f>
        <v/>
      </c>
      <c r="M498" s="25" t="str">
        <f>IFERROR(__xludf.DUMMYFUNCTION("IFERROR(INDEX(FILTER('Kế hoạch chèn link (mới)'!$C$3:$C$2213,'Kế hoạch chèn link (mới)'!$D$3:$D$2213=$B498),4),"""")"),"")</f>
        <v/>
      </c>
      <c r="N498" s="25" t="str">
        <f>IFERROR(__xludf.DUMMYFUNCTION("IFERROR(INDEX(FILTER('Kế hoạch chèn link (mới)'!$B$3:$B$2213,'Kế hoạch chèn link (mới)'!$D$3:$D$2213=$B498),4),"""")"),"")</f>
        <v/>
      </c>
      <c r="O498" s="25" t="str">
        <f>IFERROR(__xludf.DUMMYFUNCTION("IFERROR(INDEX(FILTER('Kế hoạch chèn link (mới)'!$C$3:$C$2213,'Kế hoạch chèn link (mới)'!$D$3:$D$2213=$B498),5),"""")"),"")</f>
        <v/>
      </c>
      <c r="P498" s="25" t="str">
        <f>IFERROR(__xludf.DUMMYFUNCTION("IFERROR(INDEX(FILTER('Kế hoạch chèn link (mới)'!$B$3:$B$2213,'Kế hoạch chèn link (mới)'!$D$3:$D$2213=$B498),5),"""")"),"")</f>
        <v/>
      </c>
    </row>
    <row r="499">
      <c r="A499" s="6">
        <f t="shared" si="1"/>
        <v>498</v>
      </c>
      <c r="B499" s="8" t="s">
        <v>3116</v>
      </c>
      <c r="C499" s="6">
        <f>COUNTIF('Kế hoạch chèn link (mới)'!$D$3:$D$2213,$B499)</f>
        <v>3</v>
      </c>
      <c r="D499" s="8" t="str">
        <f>IF(COUNTIFS('Kế hoạch chèn link (mới)'!$D$3:$D$2213,$B499,'Kế hoạch chèn link (mới)'!$I$3:$I$2213,"Đã chèn")&gt;=$C499,"Đã hoàn thành",IF(COUNTIFS('Kế hoạch chèn link (mới)'!$D$3:$D$2213,$B499,'Kế hoạch chèn link (mới)'!$I$3:$I$2213,"Đã chèn")&gt;0,"Đang làm","Chưa hoàn thành"))</f>
        <v>Chưa hoàn thành</v>
      </c>
      <c r="E499" s="8" t="b">
        <f t="shared" si="2"/>
        <v>0</v>
      </c>
      <c r="F499" s="25"/>
      <c r="G499" s="25" t="str">
        <f>IFERROR(__xludf.DUMMYFUNCTION("IFERROR(INDEX(FILTER('Kế hoạch chèn link (mới)'!$C$3:$C$2213,'Kế hoạch chèn link (mới)'!$D$3:$D$2213=$B499),1),"""")"),"tra cứu cic")</f>
        <v>tra cứu cic</v>
      </c>
      <c r="H499" s="25" t="str">
        <f>IFERROR(__xludf.DUMMYFUNCTION("IFERROR(INDEX(FILTER('Kế hoạch chèn link (mới)'!$B$3:$B$2213,'Kế hoạch chèn link (mới)'!$D$3:$D$2213=$B499),1),"""")"),"https://techcombank.com/thong-tin/blog/cic-la-gi")</f>
        <v>https://techcombank.com/thong-tin/blog/cic-la-gi</v>
      </c>
      <c r="I499" s="25" t="str">
        <f>IFERROR(__xludf.DUMMYFUNCTION("IFERROR(INDEX(FILTER('Kế hoạch chèn link (mới)'!$C$3:$C$2213,'Kế hoạch chèn link (mới)'!$D$3:$D$2213=$B499),2),"""")"),"thẻ tín dụng Techcombank Everyday")</f>
        <v>thẻ tín dụng Techcombank Everyday</v>
      </c>
      <c r="J499" s="25" t="str">
        <f>IFERROR(__xludf.DUMMYFUNCTION("IFERROR(INDEX(FILTER('Kế hoạch chèn link (mới)'!$B$3:$B$2213,'Kế hoạch chèn link (mới)'!$D$3:$D$2213=$B499),2),"""")"),"https://techcombank.com/khach-hang-ca-nhan/chi-tieu/the/the-tin-dung/techcombank-everyday")</f>
        <v>https://techcombank.com/khach-hang-ca-nhan/chi-tieu/the/the-tin-dung/techcombank-everyday</v>
      </c>
      <c r="K499" s="25" t="str">
        <f>IFERROR(__xludf.DUMMYFUNCTION("IFERROR(INDEX(FILTER('Kế hoạch chèn link (mới)'!$C$3:$C$2213,'Kế hoạch chèn link (mới)'!$D$3:$D$2213=$B499),3),"""")"),"hủy thẻ tín dụng")</f>
        <v>hủy thẻ tín dụng</v>
      </c>
      <c r="L499" s="25" t="str">
        <f>IFERROR(__xludf.DUMMYFUNCTION("IFERROR(INDEX(FILTER('Kế hoạch chèn link (mới)'!$B$3:$B$2213,'Kế hoạch chèn link (mới)'!$D$3:$D$2213=$B499),3),"""")"),"https://techcombank.com/thong-tin/blog/cach-huy-the-tin-dung")</f>
        <v>https://techcombank.com/thong-tin/blog/cach-huy-the-tin-dung</v>
      </c>
      <c r="M499" s="25" t="str">
        <f>IFERROR(__xludf.DUMMYFUNCTION("IFERROR(INDEX(FILTER('Kế hoạch chèn link (mới)'!$C$3:$C$2213,'Kế hoạch chèn link (mới)'!$D$3:$D$2213=$B499),4),"""")"),"")</f>
        <v/>
      </c>
      <c r="N499" s="25" t="str">
        <f>IFERROR(__xludf.DUMMYFUNCTION("IFERROR(INDEX(FILTER('Kế hoạch chèn link (mới)'!$B$3:$B$2213,'Kế hoạch chèn link (mới)'!$D$3:$D$2213=$B499),4),"""")"),"")</f>
        <v/>
      </c>
      <c r="O499" s="25" t="str">
        <f>IFERROR(__xludf.DUMMYFUNCTION("IFERROR(INDEX(FILTER('Kế hoạch chèn link (mới)'!$C$3:$C$2213,'Kế hoạch chèn link (mới)'!$D$3:$D$2213=$B499),5),"""")"),"")</f>
        <v/>
      </c>
      <c r="P499" s="25" t="str">
        <f>IFERROR(__xludf.DUMMYFUNCTION("IFERROR(INDEX(FILTER('Kế hoạch chèn link (mới)'!$B$3:$B$2213,'Kế hoạch chèn link (mới)'!$D$3:$D$2213=$B499),5),"""")"),"")</f>
        <v/>
      </c>
    </row>
    <row r="500">
      <c r="A500" s="6">
        <f t="shared" si="1"/>
        <v>499</v>
      </c>
      <c r="B500" s="8" t="s">
        <v>1650</v>
      </c>
      <c r="C500" s="6">
        <f>COUNTIF('Kế hoạch chèn link (mới)'!$D$3:$D$2213,$B500)</f>
        <v>4</v>
      </c>
      <c r="D500" s="8" t="str">
        <f>IF(COUNTIFS('Kế hoạch chèn link (mới)'!$D$3:$D$2213,$B500,'Kế hoạch chèn link (mới)'!$I$3:$I$2213,"Đã chèn")&gt;=$C500,"Đã hoàn thành",IF(COUNTIFS('Kế hoạch chèn link (mới)'!$D$3:$D$2213,$B500,'Kế hoạch chèn link (mới)'!$I$3:$I$2213,"Đã chèn")&gt;0,"Đang làm","Chưa hoàn thành"))</f>
        <v>Chưa hoàn thành</v>
      </c>
      <c r="E500" s="8" t="b">
        <f t="shared" si="2"/>
        <v>0</v>
      </c>
      <c r="F500" s="25"/>
      <c r="G500" s="25" t="str">
        <f>IFERROR(__xludf.DUMMYFUNCTION("IFERROR(INDEX(FILTER('Kế hoạch chèn link (mới)'!$C$3:$C$2213,'Kế hoạch chèn link (mới)'!$D$3:$D$2213=$B500),1),"""")"),"tra tài khoản ngân hàng")</f>
        <v>tra tài khoản ngân hàng</v>
      </c>
      <c r="H500" s="25" t="str">
        <f>IFERROR(__xludf.DUMMYFUNCTION("IFERROR(INDEX(FILTER('Kế hoạch chèn link (mới)'!$B$3:$B$2213,'Kế hoạch chèn link (mới)'!$D$3:$D$2213=$B500),1),"""")"),"https://techcombank.com/thong-tin/blog/cach-kiem-tra-tai-khoan-ngan-hang")</f>
        <v>https://techcombank.com/thong-tin/blog/cach-kiem-tra-tai-khoan-ngan-hang</v>
      </c>
      <c r="I500" s="25" t="str">
        <f>IFERROR(__xludf.DUMMYFUNCTION("IFERROR(INDEX(FILTER('Kế hoạch chèn link (mới)'!$C$3:$C$2213,'Kế hoạch chèn link (mới)'!$D$3:$D$2213=$B500),2),"""")"),"rút tiền thẻ tín dụng")</f>
        <v>rút tiền thẻ tín dụng</v>
      </c>
      <c r="J500" s="25" t="str">
        <f>IFERROR(__xludf.DUMMYFUNCTION("IFERROR(INDEX(FILTER('Kế hoạch chèn link (mới)'!$B$3:$B$2213,'Kế hoạch chèn link (mới)'!$D$3:$D$2213=$B500),2),"""")"),"https://techcombank.com/thong-tin/blog/rut-tien-mat-tu-the-tin-dung")</f>
        <v>https://techcombank.com/thong-tin/blog/rut-tien-mat-tu-the-tin-dung</v>
      </c>
      <c r="K500" s="25" t="str">
        <f>IFERROR(__xludf.DUMMYFUNCTION("IFERROR(INDEX(FILTER('Kế hoạch chèn link (mới)'!$C$3:$C$2213,'Kế hoạch chèn link (mới)'!$D$3:$D$2213=$B500),3),"""")"),"lãi suất ngân hàng tiền gửi")</f>
        <v>lãi suất ngân hàng tiền gửi</v>
      </c>
      <c r="L500" s="25" t="str">
        <f>IFERROR(__xludf.DUMMYFUNCTION("IFERROR(INDEX(FILTER('Kế hoạch chèn link (mới)'!$B$3:$B$2213,'Kế hoạch chèn link (mới)'!$D$3:$D$2213=$B500),3),"""")"),"https://techcombank.com/thong-tin/blog/lai-suat-tiet-kiem")</f>
        <v>https://techcombank.com/thong-tin/blog/lai-suat-tiet-kiem</v>
      </c>
      <c r="M500" s="25" t="str">
        <f>IFERROR(__xludf.DUMMYFUNCTION("IFERROR(INDEX(FILTER('Kế hoạch chèn link (mới)'!$C$3:$C$2213,'Kế hoạch chèn link (mới)'!$D$3:$D$2213=$B500),4),"""")"),"tính lãi suất ngân hàng")</f>
        <v>tính lãi suất ngân hàng</v>
      </c>
      <c r="N500" s="25" t="str">
        <f>IFERROR(__xludf.DUMMYFUNCTION("IFERROR(INDEX(FILTER('Kế hoạch chèn link (mới)'!$B$3:$B$2213,'Kế hoạch chèn link (mới)'!$D$3:$D$2213=$B500),4),"""")"),"https://techcombank.com/thong-tin/blog/cach-tinh-lai-suat-tien-gui-tiet-kiem")</f>
        <v>https://techcombank.com/thong-tin/blog/cach-tinh-lai-suat-tien-gui-tiet-kiem</v>
      </c>
      <c r="O500" s="25" t="str">
        <f>IFERROR(__xludf.DUMMYFUNCTION("IFERROR(INDEX(FILTER('Kế hoạch chèn link (mới)'!$C$3:$C$2213,'Kế hoạch chèn link (mới)'!$D$3:$D$2213=$B500),5),"""")"),"")</f>
        <v/>
      </c>
      <c r="P500" s="25" t="str">
        <f>IFERROR(__xludf.DUMMYFUNCTION("IFERROR(INDEX(FILTER('Kế hoạch chèn link (mới)'!$B$3:$B$2213,'Kế hoạch chèn link (mới)'!$D$3:$D$2213=$B500),5),"""")"),"")</f>
        <v/>
      </c>
    </row>
    <row r="501">
      <c r="A501" s="6">
        <f t="shared" si="1"/>
        <v>500</v>
      </c>
      <c r="B501" s="8" t="s">
        <v>1659</v>
      </c>
      <c r="C501" s="6">
        <f>COUNTIF('Kế hoạch chèn link (mới)'!$D$3:$D$2213,$B501)</f>
        <v>4</v>
      </c>
      <c r="D501" s="8" t="str">
        <f>IF(COUNTIFS('Kế hoạch chèn link (mới)'!$D$3:$D$2213,$B501,'Kế hoạch chèn link (mới)'!$I$3:$I$2213,"Đã chèn")&gt;=$C501,"Đã hoàn thành",IF(COUNTIFS('Kế hoạch chèn link (mới)'!$D$3:$D$2213,$B501,'Kế hoạch chèn link (mới)'!$I$3:$I$2213,"Đã chèn")&gt;0,"Đang làm","Chưa hoàn thành"))</f>
        <v>Chưa hoàn thành</v>
      </c>
      <c r="E501" s="8" t="b">
        <f t="shared" si="2"/>
        <v>0</v>
      </c>
      <c r="F501" s="25"/>
      <c r="G501" s="25" t="str">
        <f>IFERROR(__xludf.DUMMYFUNCTION("IFERROR(INDEX(FILTER('Kế hoạch chèn link (mới)'!$C$3:$C$2213,'Kế hoạch chèn link (mới)'!$D$3:$D$2213=$B501),1),"""")"),"tra tài khoản ngân hàng")</f>
        <v>tra tài khoản ngân hàng</v>
      </c>
      <c r="H501" s="25" t="str">
        <f>IFERROR(__xludf.DUMMYFUNCTION("IFERROR(INDEX(FILTER('Kế hoạch chèn link (mới)'!$B$3:$B$2213,'Kế hoạch chèn link (mới)'!$D$3:$D$2213=$B501),1),"""")"),"https://techcombank.com/thong-tin/blog/cach-kiem-tra-tai-khoan-ngan-hang")</f>
        <v>https://techcombank.com/thong-tin/blog/cach-kiem-tra-tai-khoan-ngan-hang</v>
      </c>
      <c r="I501" s="25" t="str">
        <f>IFERROR(__xludf.DUMMYFUNCTION("IFERROR(INDEX(FILTER('Kế hoạch chèn link (mới)'!$C$3:$C$2213,'Kế hoạch chèn link (mới)'!$D$3:$D$2213=$B501),2),"""")"),"rút tiền thẻ tín dụng")</f>
        <v>rút tiền thẻ tín dụng</v>
      </c>
      <c r="J501" s="25" t="str">
        <f>IFERROR(__xludf.DUMMYFUNCTION("IFERROR(INDEX(FILTER('Kế hoạch chèn link (mới)'!$B$3:$B$2213,'Kế hoạch chèn link (mới)'!$D$3:$D$2213=$B501),2),"""")"),"https://techcombank.com/thong-tin/blog/rut-tien-mat-tu-the-tin-dung")</f>
        <v>https://techcombank.com/thong-tin/blog/rut-tien-mat-tu-the-tin-dung</v>
      </c>
      <c r="K501" s="25" t="str">
        <f>IFERROR(__xludf.DUMMYFUNCTION("IFERROR(INDEX(FILTER('Kế hoạch chèn link (mới)'!$C$3:$C$2213,'Kế hoạch chèn link (mới)'!$D$3:$D$2213=$B501),3),"""")"),"lãi suất ngân hàng")</f>
        <v>lãi suất ngân hàng</v>
      </c>
      <c r="L501" s="25" t="str">
        <f>IFERROR(__xludf.DUMMYFUNCTION("IFERROR(INDEX(FILTER('Kế hoạch chèn link (mới)'!$B$3:$B$2213,'Kế hoạch chèn link (mới)'!$D$3:$D$2213=$B501),3),"""")"),"https://techcombank.com/thong-tin/blog/lai-suat-tiet-kiem")</f>
        <v>https://techcombank.com/thong-tin/blog/lai-suat-tiet-kiem</v>
      </c>
      <c r="M501" s="25" t="str">
        <f>IFERROR(__xludf.DUMMYFUNCTION("IFERROR(INDEX(FILTER('Kế hoạch chèn link (mới)'!$C$3:$C$2213,'Kế hoạch chèn link (mới)'!$D$3:$D$2213=$B501),4),"""")"),"tính lãi suất ngân hàng")</f>
        <v>tính lãi suất ngân hàng</v>
      </c>
      <c r="N501" s="25" t="str">
        <f>IFERROR(__xludf.DUMMYFUNCTION("IFERROR(INDEX(FILTER('Kế hoạch chèn link (mới)'!$B$3:$B$2213,'Kế hoạch chèn link (mới)'!$D$3:$D$2213=$B501),4),"""")"),"https://techcombank.com/thong-tin/blog/cach-tinh-lai-suat-tien-gui-tiet-kiem")</f>
        <v>https://techcombank.com/thong-tin/blog/cach-tinh-lai-suat-tien-gui-tiet-kiem</v>
      </c>
      <c r="O501" s="25" t="str">
        <f>IFERROR(__xludf.DUMMYFUNCTION("IFERROR(INDEX(FILTER('Kế hoạch chèn link (mới)'!$C$3:$C$2213,'Kế hoạch chèn link (mới)'!$D$3:$D$2213=$B501),5),"""")"),"")</f>
        <v/>
      </c>
      <c r="P501" s="25" t="str">
        <f>IFERROR(__xludf.DUMMYFUNCTION("IFERROR(INDEX(FILTER('Kế hoạch chèn link (mới)'!$B$3:$B$2213,'Kế hoạch chèn link (mới)'!$D$3:$D$2213=$B501),5),"""")"),"")</f>
        <v/>
      </c>
    </row>
    <row r="502">
      <c r="A502" s="6">
        <f t="shared" si="1"/>
        <v>501</v>
      </c>
      <c r="B502" s="8" t="s">
        <v>1382</v>
      </c>
      <c r="C502" s="6">
        <f>COUNTIF('Kế hoạch chèn link (mới)'!$D$3:$D$2213,$B502)</f>
        <v>5</v>
      </c>
      <c r="D502" s="8" t="str">
        <f>IF(COUNTIFS('Kế hoạch chèn link (mới)'!$D$3:$D$2213,$B502,'Kế hoạch chèn link (mới)'!$I$3:$I$2213,"Đã chèn")&gt;=$C502,"Đã hoàn thành",IF(COUNTIFS('Kế hoạch chèn link (mới)'!$D$3:$D$2213,$B502,'Kế hoạch chèn link (mới)'!$I$3:$I$2213,"Đã chèn")&gt;0,"Đang làm","Chưa hoàn thành"))</f>
        <v>Chưa hoàn thành</v>
      </c>
      <c r="E502" s="8" t="b">
        <f t="shared" si="2"/>
        <v>0</v>
      </c>
      <c r="F502" s="25"/>
      <c r="G502" s="25" t="str">
        <f>IFERROR(__xludf.DUMMYFUNCTION("IFERROR(INDEX(FILTER('Kế hoạch chèn link (mới)'!$C$3:$C$2213,'Kế hoạch chèn link (mới)'!$D$3:$D$2213=$B502),1),"""")"),"cách nạp tiền viettel")</f>
        <v>cách nạp tiền viettel</v>
      </c>
      <c r="H502" s="25" t="str">
        <f>IFERROR(__xludf.DUMMYFUNCTION("IFERROR(INDEX(FILTER('Kế hoạch chèn link (mới)'!$B$3:$B$2213,'Kế hoạch chèn link (mới)'!$D$3:$D$2213=$B502),1),"""")"),"https://techcombank.com/thong-tin/blog/cach-nap-the-viettel")</f>
        <v>https://techcombank.com/thong-tin/blog/cach-nap-the-viettel</v>
      </c>
      <c r="I502" s="25" t="str">
        <f>IFERROR(__xludf.DUMMYFUNCTION("IFERROR(INDEX(FILTER('Kế hoạch chèn link (mới)'!$C$3:$C$2213,'Kế hoạch chèn link (mới)'!$D$3:$D$2213=$B502),2),"""")"),"tra tài khoản ngân hàng")</f>
        <v>tra tài khoản ngân hàng</v>
      </c>
      <c r="J502" s="25" t="str">
        <f>IFERROR(__xludf.DUMMYFUNCTION("IFERROR(INDEX(FILTER('Kế hoạch chèn link (mới)'!$B$3:$B$2213,'Kế hoạch chèn link (mới)'!$D$3:$D$2213=$B502),2),"""")"),"https://techcombank.com/thong-tin/blog/cach-kiem-tra-tai-khoan-ngan-hang")</f>
        <v>https://techcombank.com/thong-tin/blog/cach-kiem-tra-tai-khoan-ngan-hang</v>
      </c>
      <c r="K502" s="25" t="str">
        <f>IFERROR(__xludf.DUMMYFUNCTION("IFERROR(INDEX(FILTER('Kế hoạch chèn link (mới)'!$C$3:$C$2213,'Kế hoạch chèn link (mới)'!$D$3:$D$2213=$B502),3),"""")"),"lãi suất ngân hàng")</f>
        <v>lãi suất ngân hàng</v>
      </c>
      <c r="L502" s="25" t="str">
        <f>IFERROR(__xludf.DUMMYFUNCTION("IFERROR(INDEX(FILTER('Kế hoạch chèn link (mới)'!$B$3:$B$2213,'Kế hoạch chèn link (mới)'!$D$3:$D$2213=$B502),3),"""")"),"https://techcombank.com/thong-tin/blog/lai-suat-tiet-kiem")</f>
        <v>https://techcombank.com/thong-tin/blog/lai-suat-tiet-kiem</v>
      </c>
      <c r="M502" s="25" t="str">
        <f>IFERROR(__xludf.DUMMYFUNCTION("IFERROR(INDEX(FILTER('Kế hoạch chèn link (mới)'!$C$3:$C$2213,'Kế hoạch chèn link (mới)'!$D$3:$D$2213=$B502),4),"""")"),"tính lãi suất ngân hàng")</f>
        <v>tính lãi suất ngân hàng</v>
      </c>
      <c r="N502" s="25" t="str">
        <f>IFERROR(__xludf.DUMMYFUNCTION("IFERROR(INDEX(FILTER('Kế hoạch chèn link (mới)'!$B$3:$B$2213,'Kế hoạch chèn link (mới)'!$D$3:$D$2213=$B502),4),"""")"),"https://techcombank.com/thong-tin/blog/cach-tinh-lai-suat-tien-gui-tiet-kiem")</f>
        <v>https://techcombank.com/thong-tin/blog/cach-tinh-lai-suat-tien-gui-tiet-kiem</v>
      </c>
      <c r="O502" s="25" t="str">
        <f>IFERROR(__xludf.DUMMYFUNCTION("IFERROR(INDEX(FILTER('Kế hoạch chèn link (mới)'!$C$3:$C$2213,'Kế hoạch chèn link (mới)'!$D$3:$D$2213=$B502),5),"""")"),"bảng tính lãi suất tiết kiệm")</f>
        <v>bảng tính lãi suất tiết kiệm</v>
      </c>
      <c r="P502" s="25" t="str">
        <f>IFERROR(__xludf.DUMMYFUNCTION("IFERROR(INDEX(FILTER('Kế hoạch chèn link (mới)'!$B$3:$B$2213,'Kế hoạch chèn link (mới)'!$D$3:$D$2213=$B502),5),"""")"),"https://techcombank.com/cong-cu-tien-ich/cong-cu-tinh-toan/bang-tinh-lai-suat-tiet-kiem")</f>
        <v>https://techcombank.com/cong-cu-tien-ich/cong-cu-tinh-toan/bang-tinh-lai-suat-tiet-kiem</v>
      </c>
    </row>
    <row r="503">
      <c r="A503" s="6">
        <f t="shared" si="1"/>
        <v>502</v>
      </c>
      <c r="B503" s="8" t="s">
        <v>3118</v>
      </c>
      <c r="C503" s="6">
        <f>COUNTIF('Kế hoạch chèn link (mới)'!$D$3:$D$2213,$B503)</f>
        <v>4</v>
      </c>
      <c r="D503" s="8" t="str">
        <f>IF(COUNTIFS('Kế hoạch chèn link (mới)'!$D$3:$D$2213,$B503,'Kế hoạch chèn link (mới)'!$I$3:$I$2213,"Đã chèn")&gt;=$C503,"Đã hoàn thành",IF(COUNTIFS('Kế hoạch chèn link (mới)'!$D$3:$D$2213,$B503,'Kế hoạch chèn link (mới)'!$I$3:$I$2213,"Đã chèn")&gt;0,"Đang làm","Chưa hoàn thành"))</f>
        <v>Chưa hoàn thành</v>
      </c>
      <c r="E503" s="8" t="b">
        <f t="shared" si="2"/>
        <v>0</v>
      </c>
      <c r="F503" s="25"/>
      <c r="G503" s="25" t="str">
        <f>IFERROR(__xludf.DUMMYFUNCTION("IFERROR(INDEX(FILTER('Kế hoạch chèn link (mới)'!$C$3:$C$2213,'Kế hoạch chèn link (mới)'!$D$3:$D$2213=$B503),1),"""")"),"lãi suất gửi tiết kiệm ngân hàng")</f>
        <v>lãi suất gửi tiết kiệm ngân hàng</v>
      </c>
      <c r="H503" s="25" t="str">
        <f>IFERROR(__xludf.DUMMYFUNCTION("IFERROR(INDEX(FILTER('Kế hoạch chèn link (mới)'!$B$3:$B$2213,'Kế hoạch chèn link (mới)'!$D$3:$D$2213=$B503),1),"""")"),"https://techcombank.com/thong-tin/blog/lai-suat-tiet-kiem")</f>
        <v>https://techcombank.com/thong-tin/blog/lai-suat-tiet-kiem</v>
      </c>
      <c r="I503" s="25" t="str">
        <f>IFERROR(__xludf.DUMMYFUNCTION("IFERROR(INDEX(FILTER('Kế hoạch chèn link (mới)'!$C$3:$C$2213,'Kế hoạch chèn link (mới)'!$D$3:$D$2213=$B503),2),"""")"),"tính lãi suất ngân hàng")</f>
        <v>tính lãi suất ngân hàng</v>
      </c>
      <c r="J503" s="25" t="str">
        <f>IFERROR(__xludf.DUMMYFUNCTION("IFERROR(INDEX(FILTER('Kế hoạch chèn link (mới)'!$B$3:$B$2213,'Kế hoạch chèn link (mới)'!$D$3:$D$2213=$B503),2),"""")"),"https://techcombank.com/thong-tin/blog/cach-tinh-lai-suat-tien-gui-tiet-kiem")</f>
        <v>https://techcombank.com/thong-tin/blog/cach-tinh-lai-suat-tien-gui-tiet-kiem</v>
      </c>
      <c r="K503" s="25" t="str">
        <f>IFERROR(__xludf.DUMMYFUNCTION("IFERROR(INDEX(FILTER('Kế hoạch chèn link (mới)'!$C$3:$C$2213,'Kế hoạch chèn link (mới)'!$D$3:$D$2213=$B503),3),"""")"),"rút tiết kiệm trước hạn")</f>
        <v>rút tiết kiệm trước hạn</v>
      </c>
      <c r="L503" s="25" t="str">
        <f>IFERROR(__xludf.DUMMYFUNCTION("IFERROR(INDEX(FILTER('Kế hoạch chèn link (mới)'!$B$3:$B$2213,'Kế hoạch chèn link (mới)'!$D$3:$D$2213=$B503),3),"""")"),"https://techcombank.com/thong-tin/blog/rut-tien-tiet-kiem-truoc-thoi-han")</f>
        <v>https://techcombank.com/thong-tin/blog/rut-tien-tiet-kiem-truoc-thoi-han</v>
      </c>
      <c r="M503" s="25" t="str">
        <f>IFERROR(__xludf.DUMMYFUNCTION("IFERROR(INDEX(FILTER('Kế hoạch chèn link (mới)'!$C$3:$C$2213,'Kế hoạch chèn link (mới)'!$D$3:$D$2213=$B503),4),"""")"),"rủi ro khi gửi tiết kiệm online")</f>
        <v>rủi ro khi gửi tiết kiệm online</v>
      </c>
      <c r="N503" s="25" t="str">
        <f>IFERROR(__xludf.DUMMYFUNCTION("IFERROR(INDEX(FILTER('Kế hoạch chèn link (mới)'!$B$3:$B$2213,'Kế hoạch chèn link (mới)'!$D$3:$D$2213=$B503),4),"""")"),"https://techcombank.com/thong-tin/blog/rui-ro-khi-gui-tiet-kiem-online")</f>
        <v>https://techcombank.com/thong-tin/blog/rui-ro-khi-gui-tiet-kiem-online</v>
      </c>
      <c r="O503" s="25" t="str">
        <f>IFERROR(__xludf.DUMMYFUNCTION("IFERROR(INDEX(FILTER('Kế hoạch chèn link (mới)'!$C$3:$C$2213,'Kế hoạch chèn link (mới)'!$D$3:$D$2213=$B503),5),"""")"),"")</f>
        <v/>
      </c>
      <c r="P503" s="25" t="str">
        <f>IFERROR(__xludf.DUMMYFUNCTION("IFERROR(INDEX(FILTER('Kế hoạch chèn link (mới)'!$B$3:$B$2213,'Kế hoạch chèn link (mới)'!$D$3:$D$2213=$B503),5),"""")"),"")</f>
        <v/>
      </c>
    </row>
    <row r="504">
      <c r="A504" s="6">
        <f t="shared" si="1"/>
        <v>503</v>
      </c>
      <c r="B504" s="8" t="s">
        <v>3119</v>
      </c>
      <c r="C504" s="6">
        <f>COUNTIF('Kế hoạch chèn link (mới)'!$D$3:$D$2213,$B504)</f>
        <v>1</v>
      </c>
      <c r="D504" s="8" t="str">
        <f>IF(COUNTIFS('Kế hoạch chèn link (mới)'!$D$3:$D$2213,$B504,'Kế hoạch chèn link (mới)'!$I$3:$I$2213,"Đã chèn")&gt;=$C504,"Đã hoàn thành",IF(COUNTIFS('Kế hoạch chèn link (mới)'!$D$3:$D$2213,$B504,'Kế hoạch chèn link (mới)'!$I$3:$I$2213,"Đã chèn")&gt;0,"Đang làm","Chưa hoàn thành"))</f>
        <v>Chưa hoàn thành</v>
      </c>
      <c r="E504" s="8" t="b">
        <f t="shared" si="2"/>
        <v>0</v>
      </c>
      <c r="F504" s="25"/>
      <c r="G504" s="25" t="str">
        <f>IFERROR(__xludf.DUMMYFUNCTION("IFERROR(INDEX(FILTER('Kế hoạch chèn link (mới)'!$C$3:$C$2213,'Kế hoạch chèn link (mới)'!$D$3:$D$2213=$B504),1),"""")"),"gửi mã QR ngân hàng")</f>
        <v>gửi mã QR ngân hàng</v>
      </c>
      <c r="H504" s="25" t="str">
        <f>IFERROR(__xludf.DUMMYFUNCTION("IFERROR(INDEX(FILTER('Kế hoạch chèn link (mới)'!$B$3:$B$2213,'Kế hoạch chèn link (mới)'!$D$3:$D$2213=$B504),1),"""")"),"https://techcombank.com/thong-tin/blog/gui-ma-qr-ngan-hang")</f>
        <v>https://techcombank.com/thong-tin/blog/gui-ma-qr-ngan-hang</v>
      </c>
      <c r="I504" s="25" t="str">
        <f>IFERROR(__xludf.DUMMYFUNCTION("IFERROR(INDEX(FILTER('Kế hoạch chèn link (mới)'!$C$3:$C$2213,'Kế hoạch chèn link (mới)'!$D$3:$D$2213=$B504),2),"""")"),"")</f>
        <v/>
      </c>
      <c r="J504" s="25" t="str">
        <f>IFERROR(__xludf.DUMMYFUNCTION("IFERROR(INDEX(FILTER('Kế hoạch chèn link (mới)'!$B$3:$B$2213,'Kế hoạch chèn link (mới)'!$D$3:$D$2213=$B504),2),"""")"),"")</f>
        <v/>
      </c>
      <c r="K504" s="25" t="str">
        <f>IFERROR(__xludf.DUMMYFUNCTION("IFERROR(INDEX(FILTER('Kế hoạch chèn link (mới)'!$C$3:$C$2213,'Kế hoạch chèn link (mới)'!$D$3:$D$2213=$B504),3),"""")"),"")</f>
        <v/>
      </c>
      <c r="L504" s="25" t="str">
        <f>IFERROR(__xludf.DUMMYFUNCTION("IFERROR(INDEX(FILTER('Kế hoạch chèn link (mới)'!$B$3:$B$2213,'Kế hoạch chèn link (mới)'!$D$3:$D$2213=$B504),3),"""")"),"")</f>
        <v/>
      </c>
      <c r="M504" s="25" t="str">
        <f>IFERROR(__xludf.DUMMYFUNCTION("IFERROR(INDEX(FILTER('Kế hoạch chèn link (mới)'!$C$3:$C$2213,'Kế hoạch chèn link (mới)'!$D$3:$D$2213=$B504),4),"""")"),"")</f>
        <v/>
      </c>
      <c r="N504" s="25" t="str">
        <f>IFERROR(__xludf.DUMMYFUNCTION("IFERROR(INDEX(FILTER('Kế hoạch chèn link (mới)'!$B$3:$B$2213,'Kế hoạch chèn link (mới)'!$D$3:$D$2213=$B504),4),"""")"),"")</f>
        <v/>
      </c>
      <c r="O504" s="25" t="str">
        <f>IFERROR(__xludf.DUMMYFUNCTION("IFERROR(INDEX(FILTER('Kế hoạch chèn link (mới)'!$C$3:$C$2213,'Kế hoạch chèn link (mới)'!$D$3:$D$2213=$B504),5),"""")"),"")</f>
        <v/>
      </c>
      <c r="P504" s="25" t="str">
        <f>IFERROR(__xludf.DUMMYFUNCTION("IFERROR(INDEX(FILTER('Kế hoạch chèn link (mới)'!$B$3:$B$2213,'Kế hoạch chèn link (mới)'!$D$3:$D$2213=$B504),5),"""")"),"")</f>
        <v/>
      </c>
    </row>
    <row r="505">
      <c r="A505" s="6">
        <f t="shared" si="1"/>
        <v>504</v>
      </c>
      <c r="B505" s="8" t="s">
        <v>1692</v>
      </c>
      <c r="C505" s="6">
        <f>COUNTIF('Kế hoạch chèn link (mới)'!$D$3:$D$2213,$B505)</f>
        <v>4</v>
      </c>
      <c r="D505" s="8" t="str">
        <f>IF(COUNTIFS('Kế hoạch chèn link (mới)'!$D$3:$D$2213,$B505,'Kế hoạch chèn link (mới)'!$I$3:$I$2213,"Đã chèn")&gt;=$C505,"Đã hoàn thành",IF(COUNTIFS('Kế hoạch chèn link (mới)'!$D$3:$D$2213,$B505,'Kế hoạch chèn link (mới)'!$I$3:$I$2213,"Đã chèn")&gt;0,"Đang làm","Chưa hoàn thành"))</f>
        <v>Chưa hoàn thành</v>
      </c>
      <c r="E505" s="8" t="b">
        <f t="shared" si="2"/>
        <v>0</v>
      </c>
      <c r="F505" s="25"/>
      <c r="G505" s="25" t="str">
        <f>IFERROR(__xludf.DUMMYFUNCTION("IFERROR(INDEX(FILTER('Kế hoạch chèn link (mới)'!$C$3:$C$2213,'Kế hoạch chèn link (mới)'!$D$3:$D$2213=$B505),1),"""")"),"tra số tài khoản ngân hàng")</f>
        <v>tra số tài khoản ngân hàng</v>
      </c>
      <c r="H505" s="25" t="str">
        <f>IFERROR(__xludf.DUMMYFUNCTION("IFERROR(INDEX(FILTER('Kế hoạch chèn link (mới)'!$B$3:$B$2213,'Kế hoạch chèn link (mới)'!$D$3:$D$2213=$B505),1),"""")"),"https://techcombank.com/thong-tin/blog/cach-kiem-tra-tai-khoan-ngan-hang")</f>
        <v>https://techcombank.com/thong-tin/blog/cach-kiem-tra-tai-khoan-ngan-hang</v>
      </c>
      <c r="I505" s="25" t="str">
        <f>IFERROR(__xludf.DUMMYFUNCTION("IFERROR(INDEX(FILTER('Kế hoạch chèn link (mới)'!$C$3:$C$2213,'Kế hoạch chèn link (mới)'!$D$3:$D$2213=$B505),2),"""")"),"mở tài khoản ngân hàng cho học sinh")</f>
        <v>mở tài khoản ngân hàng cho học sinh</v>
      </c>
      <c r="J505" s="25" t="str">
        <f>IFERROR(__xludf.DUMMYFUNCTION("IFERROR(INDEX(FILTER('Kế hoạch chèn link (mới)'!$B$3:$B$2213,'Kế hoạch chèn link (mới)'!$D$3:$D$2213=$B505),2),"""")"),"https://techcombank.com/thong-tin/blog/mo-tai-khoan-ngan-hang-duoi-18-tuoi")</f>
        <v>https://techcombank.com/thong-tin/blog/mo-tai-khoan-ngan-hang-duoi-18-tuoi</v>
      </c>
      <c r="K505" s="25" t="str">
        <f>IFERROR(__xludf.DUMMYFUNCTION("IFERROR(INDEX(FILTER('Kế hoạch chèn link (mới)'!$C$3:$C$2213,'Kế hoạch chèn link (mới)'!$D$3:$D$2213=$B505),3),"""")"),"dãy số phát tài phát lộc")</f>
        <v>dãy số phát tài phát lộc</v>
      </c>
      <c r="L505" s="25" t="str">
        <f>IFERROR(__xludf.DUMMYFUNCTION("IFERROR(INDEX(FILTER('Kế hoạch chèn link (mới)'!$B$3:$B$2213,'Kế hoạch chèn link (mới)'!$D$3:$D$2213=$B505),3),"""")"),"https://techcombank.com/thong-tin/blog/day-so-phat-tai-phat-loc")</f>
        <v>https://techcombank.com/thong-tin/blog/day-so-phat-tai-phat-loc</v>
      </c>
      <c r="M505" s="25" t="str">
        <f>IFERROR(__xludf.DUMMYFUNCTION("IFERROR(INDEX(FILTER('Kế hoạch chèn link (mới)'!$C$3:$C$2213,'Kế hoạch chèn link (mới)'!$D$3:$D$2213=$B505),4),"""")"),"cách tiết kiệm tiền")</f>
        <v>cách tiết kiệm tiền</v>
      </c>
      <c r="N505" s="25" t="str">
        <f>IFERROR(__xludf.DUMMYFUNCTION("IFERROR(INDEX(FILTER('Kế hoạch chèn link (mới)'!$B$3:$B$2213,'Kế hoạch chèn link (mới)'!$D$3:$D$2213=$B505),4),"""")"),"https://techcombank.com/thong-tin/blog/cach-tiet-kiem-tien")</f>
        <v>https://techcombank.com/thong-tin/blog/cach-tiet-kiem-tien</v>
      </c>
      <c r="O505" s="25" t="str">
        <f>IFERROR(__xludf.DUMMYFUNCTION("IFERROR(INDEX(FILTER('Kế hoạch chèn link (mới)'!$C$3:$C$2213,'Kế hoạch chèn link (mới)'!$D$3:$D$2213=$B505),5),"""")"),"")</f>
        <v/>
      </c>
      <c r="P505" s="25" t="str">
        <f>IFERROR(__xludf.DUMMYFUNCTION("IFERROR(INDEX(FILTER('Kế hoạch chèn link (mới)'!$B$3:$B$2213,'Kế hoạch chèn link (mới)'!$D$3:$D$2213=$B505),5),"""")"),"")</f>
        <v/>
      </c>
    </row>
    <row r="506">
      <c r="A506" s="6">
        <f t="shared" si="1"/>
        <v>505</v>
      </c>
      <c r="B506" s="8" t="s">
        <v>1625</v>
      </c>
      <c r="C506" s="6">
        <f>COUNTIF('Kế hoạch chèn link (mới)'!$D$3:$D$2213,$B506)</f>
        <v>4</v>
      </c>
      <c r="D506" s="8" t="str">
        <f>IF(COUNTIFS('Kế hoạch chèn link (mới)'!$D$3:$D$2213,$B506,'Kế hoạch chèn link (mới)'!$I$3:$I$2213,"Đã chèn")&gt;=$C506,"Đã hoàn thành",IF(COUNTIFS('Kế hoạch chèn link (mới)'!$D$3:$D$2213,$B506,'Kế hoạch chèn link (mới)'!$I$3:$I$2213,"Đã chèn")&gt;0,"Đang làm","Chưa hoàn thành"))</f>
        <v>Chưa hoàn thành</v>
      </c>
      <c r="E506" s="8" t="b">
        <f t="shared" si="2"/>
        <v>0</v>
      </c>
      <c r="F506" s="25"/>
      <c r="G506" s="25" t="str">
        <f>IFERROR(__xludf.DUMMYFUNCTION("IFERROR(INDEX(FILTER('Kế hoạch chèn link (mới)'!$C$3:$C$2213,'Kế hoạch chèn link (mới)'!$D$3:$D$2213=$B506),1),"""")"),"tra số tài khoản ngân hàng")</f>
        <v>tra số tài khoản ngân hàng</v>
      </c>
      <c r="H506" s="25" t="str">
        <f>IFERROR(__xludf.DUMMYFUNCTION("IFERROR(INDEX(FILTER('Kế hoạch chèn link (mới)'!$B$3:$B$2213,'Kế hoạch chèn link (mới)'!$D$3:$D$2213=$B506),1),"""")"),"https://techcombank.com/thong-tin/blog/cach-kiem-tra-tai-khoan-ngan-hang")</f>
        <v>https://techcombank.com/thong-tin/blog/cach-kiem-tra-tai-khoan-ngan-hang</v>
      </c>
      <c r="I506" s="25" t="str">
        <f>IFERROR(__xludf.DUMMYFUNCTION("IFERROR(INDEX(FILTER('Kế hoạch chèn link (mới)'!$C$3:$C$2213,'Kế hoạch chèn link (mới)'!$D$3:$D$2213=$B506),2),"""")"),"mở tài khoản ngân hàng cho học sinh")</f>
        <v>mở tài khoản ngân hàng cho học sinh</v>
      </c>
      <c r="J506" s="25" t="str">
        <f>IFERROR(__xludf.DUMMYFUNCTION("IFERROR(INDEX(FILTER('Kế hoạch chèn link (mới)'!$B$3:$B$2213,'Kế hoạch chèn link (mới)'!$D$3:$D$2213=$B506),2),"""")"),"https://techcombank.com/thong-tin/blog/mo-tai-khoan-ngan-hang-duoi-18-tuoi")</f>
        <v>https://techcombank.com/thong-tin/blog/mo-tai-khoan-ngan-hang-duoi-18-tuoi</v>
      </c>
      <c r="K506" s="25" t="str">
        <f>IFERROR(__xludf.DUMMYFUNCTION("IFERROR(INDEX(FILTER('Kế hoạch chèn link (mới)'!$C$3:$C$2213,'Kế hoạch chèn link (mới)'!$D$3:$D$2213=$B506),3),"""")"),"sao kê tài khoản ngân hàng")</f>
        <v>sao kê tài khoản ngân hàng</v>
      </c>
      <c r="L506" s="25" t="str">
        <f>IFERROR(__xludf.DUMMYFUNCTION("IFERROR(INDEX(FILTER('Kế hoạch chèn link (mới)'!$B$3:$B$2213,'Kế hoạch chèn link (mới)'!$D$3:$D$2213=$B506),3),"""")"),"https://techcombank.com/thong-tin/blog/cach-sao-ke-tai-khoan-ngan-hang")</f>
        <v>https://techcombank.com/thong-tin/blog/cach-sao-ke-tai-khoan-ngan-hang</v>
      </c>
      <c r="M506" s="25" t="str">
        <f>IFERROR(__xludf.DUMMYFUNCTION("IFERROR(INDEX(FILTER('Kế hoạch chèn link (mới)'!$C$3:$C$2213,'Kế hoạch chèn link (mới)'!$D$3:$D$2213=$B506),4),"""")"),"vay thế chấp sổ đỏ")</f>
        <v>vay thế chấp sổ đỏ</v>
      </c>
      <c r="N506" s="25" t="str">
        <f>IFERROR(__xludf.DUMMYFUNCTION("IFERROR(INDEX(FILTER('Kế hoạch chèn link (mới)'!$B$3:$B$2213,'Kế hoạch chèn link (mới)'!$D$3:$D$2213=$B506),4),"""")"),"https://techcombank.com/thong-tin/blog/lai-suat-vay-the-chap-so-do")</f>
        <v>https://techcombank.com/thong-tin/blog/lai-suat-vay-the-chap-so-do</v>
      </c>
      <c r="O506" s="25" t="str">
        <f>IFERROR(__xludf.DUMMYFUNCTION("IFERROR(INDEX(FILTER('Kế hoạch chèn link (mới)'!$C$3:$C$2213,'Kế hoạch chèn link (mới)'!$D$3:$D$2213=$B506),5),"""")"),"")</f>
        <v/>
      </c>
      <c r="P506" s="25" t="str">
        <f>IFERROR(__xludf.DUMMYFUNCTION("IFERROR(INDEX(FILTER('Kế hoạch chèn link (mới)'!$B$3:$B$2213,'Kế hoạch chèn link (mới)'!$D$3:$D$2213=$B506),5),"""")"),"")</f>
        <v/>
      </c>
    </row>
    <row r="507">
      <c r="A507" s="6">
        <f t="shared" si="1"/>
        <v>506</v>
      </c>
      <c r="B507" s="8" t="s">
        <v>1642</v>
      </c>
      <c r="C507" s="6">
        <f>COUNTIF('Kế hoạch chèn link (mới)'!$D$3:$D$2213,$B507)</f>
        <v>1</v>
      </c>
      <c r="D507" s="8" t="str">
        <f>IF(COUNTIFS('Kế hoạch chèn link (mới)'!$D$3:$D$2213,$B507,'Kế hoạch chèn link (mới)'!$I$3:$I$2213,"Đã chèn")&gt;=$C507,"Đã hoàn thành",IF(COUNTIFS('Kế hoạch chèn link (mới)'!$D$3:$D$2213,$B507,'Kế hoạch chèn link (mới)'!$I$3:$I$2213,"Đã chèn")&gt;0,"Đang làm","Chưa hoàn thành"))</f>
        <v>Chưa hoàn thành</v>
      </c>
      <c r="E507" s="8" t="b">
        <f t="shared" si="2"/>
        <v>0</v>
      </c>
      <c r="F507" s="25"/>
      <c r="G507" s="25" t="str">
        <f>IFERROR(__xludf.DUMMYFUNCTION("IFERROR(INDEX(FILTER('Kế hoạch chèn link (mới)'!$C$3:$C$2213,'Kế hoạch chèn link (mới)'!$D$3:$D$2213=$B507),1),"""")"),"tra số tài khoản ngân hàng")</f>
        <v>tra số tài khoản ngân hàng</v>
      </c>
      <c r="H507" s="25" t="str">
        <f>IFERROR(__xludf.DUMMYFUNCTION("IFERROR(INDEX(FILTER('Kế hoạch chèn link (mới)'!$B$3:$B$2213,'Kế hoạch chèn link (mới)'!$D$3:$D$2213=$B507),1),"""")"),"https://techcombank.com/thong-tin/blog/cach-kiem-tra-tai-khoan-ngan-hang")</f>
        <v>https://techcombank.com/thong-tin/blog/cach-kiem-tra-tai-khoan-ngan-hang</v>
      </c>
      <c r="I507" s="25" t="str">
        <f>IFERROR(__xludf.DUMMYFUNCTION("IFERROR(INDEX(FILTER('Kế hoạch chèn link (mới)'!$C$3:$C$2213,'Kế hoạch chèn link (mới)'!$D$3:$D$2213=$B507),2),"""")"),"")</f>
        <v/>
      </c>
      <c r="J507" s="25" t="str">
        <f>IFERROR(__xludf.DUMMYFUNCTION("IFERROR(INDEX(FILTER('Kế hoạch chèn link (mới)'!$B$3:$B$2213,'Kế hoạch chèn link (mới)'!$D$3:$D$2213=$B507),2),"""")"),"")</f>
        <v/>
      </c>
      <c r="K507" s="25" t="str">
        <f>IFERROR(__xludf.DUMMYFUNCTION("IFERROR(INDEX(FILTER('Kế hoạch chèn link (mới)'!$C$3:$C$2213,'Kế hoạch chèn link (mới)'!$D$3:$D$2213=$B507),3),"""")"),"")</f>
        <v/>
      </c>
      <c r="L507" s="25" t="str">
        <f>IFERROR(__xludf.DUMMYFUNCTION("IFERROR(INDEX(FILTER('Kế hoạch chèn link (mới)'!$B$3:$B$2213,'Kế hoạch chèn link (mới)'!$D$3:$D$2213=$B507),3),"""")"),"")</f>
        <v/>
      </c>
      <c r="M507" s="25" t="str">
        <f>IFERROR(__xludf.DUMMYFUNCTION("IFERROR(INDEX(FILTER('Kế hoạch chèn link (mới)'!$C$3:$C$2213,'Kế hoạch chèn link (mới)'!$D$3:$D$2213=$B507),4),"""")"),"")</f>
        <v/>
      </c>
      <c r="N507" s="25" t="str">
        <f>IFERROR(__xludf.DUMMYFUNCTION("IFERROR(INDEX(FILTER('Kế hoạch chèn link (mới)'!$B$3:$B$2213,'Kế hoạch chèn link (mới)'!$D$3:$D$2213=$B507),4),"""")"),"")</f>
        <v/>
      </c>
      <c r="O507" s="25" t="str">
        <f>IFERROR(__xludf.DUMMYFUNCTION("IFERROR(INDEX(FILTER('Kế hoạch chèn link (mới)'!$C$3:$C$2213,'Kế hoạch chèn link (mới)'!$D$3:$D$2213=$B507),5),"""")"),"")</f>
        <v/>
      </c>
      <c r="P507" s="25" t="str">
        <f>IFERROR(__xludf.DUMMYFUNCTION("IFERROR(INDEX(FILTER('Kế hoạch chèn link (mới)'!$B$3:$B$2213,'Kế hoạch chèn link (mới)'!$D$3:$D$2213=$B507),5),"""")"),"")</f>
        <v/>
      </c>
    </row>
    <row r="508">
      <c r="A508" s="6">
        <f t="shared" si="1"/>
        <v>507</v>
      </c>
      <c r="B508" s="8" t="s">
        <v>1128</v>
      </c>
      <c r="C508" s="6">
        <f>COUNTIF('Kế hoạch chèn link (mới)'!$D$3:$D$2213,$B508)</f>
        <v>4</v>
      </c>
      <c r="D508" s="8" t="str">
        <f>IF(COUNTIFS('Kế hoạch chèn link (mới)'!$D$3:$D$2213,$B508,'Kế hoạch chèn link (mới)'!$I$3:$I$2213,"Đã chèn")&gt;=$C508,"Đã hoàn thành",IF(COUNTIFS('Kế hoạch chèn link (mới)'!$D$3:$D$2213,$B508,'Kế hoạch chèn link (mới)'!$I$3:$I$2213,"Đã chèn")&gt;0,"Đang làm","Chưa hoàn thành"))</f>
        <v>Chưa hoàn thành</v>
      </c>
      <c r="E508" s="8" t="b">
        <f t="shared" si="2"/>
        <v>0</v>
      </c>
      <c r="F508" s="25"/>
      <c r="G508" s="25" t="str">
        <f>IFERROR(__xludf.DUMMYFUNCTION("IFERROR(INDEX(FILTER('Kế hoạch chèn link (mới)'!$C$3:$C$2213,'Kế hoạch chèn link (mới)'!$D$3:$D$2213=$B508),1),"""")"),"lãi suất chứng chỉ tiền gửi")</f>
        <v>lãi suất chứng chỉ tiền gửi</v>
      </c>
      <c r="H508" s="25" t="str">
        <f>IFERROR(__xludf.DUMMYFUNCTION("IFERROR(INDEX(FILTER('Kế hoạch chèn link (mới)'!$B$3:$B$2213,'Kế hoạch chèn link (mới)'!$D$3:$D$2213=$B508),1),"""")"),"https://techcombank.com/thong-tin/blog/lai-suat-chung-chi-tien-gui-cac-ngan-hang")</f>
        <v>https://techcombank.com/thong-tin/blog/lai-suat-chung-chi-tien-gui-cac-ngan-hang</v>
      </c>
      <c r="I508" s="25" t="str">
        <f>IFERROR(__xludf.DUMMYFUNCTION("IFERROR(INDEX(FILTER('Kế hoạch chèn link (mới)'!$C$3:$C$2213,'Kế hoạch chèn link (mới)'!$D$3:$D$2213=$B508),2),"""")"),"lãi suất gửi tiết kiệm ngân hàng")</f>
        <v>lãi suất gửi tiết kiệm ngân hàng</v>
      </c>
      <c r="J508" s="25" t="str">
        <f>IFERROR(__xludf.DUMMYFUNCTION("IFERROR(INDEX(FILTER('Kế hoạch chèn link (mới)'!$B$3:$B$2213,'Kế hoạch chèn link (mới)'!$D$3:$D$2213=$B508),2),"""")"),"https://techcombank.com/thong-tin/blog/lai-suat-tiet-kiem")</f>
        <v>https://techcombank.com/thong-tin/blog/lai-suat-tiet-kiem</v>
      </c>
      <c r="K508" s="25" t="str">
        <f>IFERROR(__xludf.DUMMYFUNCTION("IFERROR(INDEX(FILTER('Kế hoạch chèn link (mới)'!$C$3:$C$2213,'Kế hoạch chèn link (mới)'!$D$3:$D$2213=$B508),3),"""")"),"tính lãi suất tiết kiệm")</f>
        <v>tính lãi suất tiết kiệm</v>
      </c>
      <c r="L508" s="25" t="str">
        <f>IFERROR(__xludf.DUMMYFUNCTION("IFERROR(INDEX(FILTER('Kế hoạch chèn link (mới)'!$B$3:$B$2213,'Kế hoạch chèn link (mới)'!$D$3:$D$2213=$B508),3),"""")"),"https://techcombank.com/thong-tin/blog/cach-tinh-lai-suat-tien-gui-tiet-kiem")</f>
        <v>https://techcombank.com/thong-tin/blog/cach-tinh-lai-suat-tien-gui-tiet-kiem</v>
      </c>
      <c r="M508" s="25" t="str">
        <f>IFERROR(__xludf.DUMMYFUNCTION("IFERROR(INDEX(FILTER('Kế hoạch chèn link (mới)'!$C$3:$C$2213,'Kế hoạch chèn link (mới)'!$D$3:$D$2213=$B508),4),"""")"),"rút tiết kiệm trước hạn")</f>
        <v>rút tiết kiệm trước hạn</v>
      </c>
      <c r="N508" s="25" t="str">
        <f>IFERROR(__xludf.DUMMYFUNCTION("IFERROR(INDEX(FILTER('Kế hoạch chèn link (mới)'!$B$3:$B$2213,'Kế hoạch chèn link (mới)'!$D$3:$D$2213=$B508),4),"""")"),"https://techcombank.com/thong-tin/blog/rut-tien-tiet-kiem-truoc-thoi-han")</f>
        <v>https://techcombank.com/thong-tin/blog/rut-tien-tiet-kiem-truoc-thoi-han</v>
      </c>
      <c r="O508" s="25" t="str">
        <f>IFERROR(__xludf.DUMMYFUNCTION("IFERROR(INDEX(FILTER('Kế hoạch chèn link (mới)'!$C$3:$C$2213,'Kế hoạch chèn link (mới)'!$D$3:$D$2213=$B508),5),"""")"),"")</f>
        <v/>
      </c>
      <c r="P508" s="25" t="str">
        <f>IFERROR(__xludf.DUMMYFUNCTION("IFERROR(INDEX(FILTER('Kế hoạch chèn link (mới)'!$B$3:$B$2213,'Kế hoạch chèn link (mới)'!$D$3:$D$2213=$B508),5),"""")"),"")</f>
        <v/>
      </c>
    </row>
    <row r="509">
      <c r="A509" s="6">
        <f t="shared" si="1"/>
        <v>508</v>
      </c>
      <c r="B509" s="8" t="s">
        <v>2681</v>
      </c>
      <c r="C509" s="6">
        <f>COUNTIF('Kế hoạch chèn link (mới)'!$D$3:$D$2213,$B509)</f>
        <v>2</v>
      </c>
      <c r="D509" s="8" t="str">
        <f>IF(COUNTIFS('Kế hoạch chèn link (mới)'!$D$3:$D$2213,$B509,'Kế hoạch chèn link (mới)'!$I$3:$I$2213,"Đã chèn")&gt;=$C509,"Đã hoàn thành",IF(COUNTIFS('Kế hoạch chèn link (mới)'!$D$3:$D$2213,$B509,'Kế hoạch chèn link (mới)'!$I$3:$I$2213,"Đã chèn")&gt;0,"Đang làm","Chưa hoàn thành"))</f>
        <v>Chưa hoàn thành</v>
      </c>
      <c r="E509" s="8" t="b">
        <f t="shared" si="2"/>
        <v>0</v>
      </c>
      <c r="F509" s="25"/>
      <c r="G509" s="25" t="str">
        <f>IFERROR(__xludf.DUMMYFUNCTION("IFERROR(INDEX(FILTER('Kế hoạch chèn link (mới)'!$C$3:$C$2213,'Kế hoạch chèn link (mới)'!$D$3:$D$2213=$B509),1),"""")"),"tên đăng nhập")</f>
        <v>tên đăng nhập</v>
      </c>
      <c r="H509" s="25" t="str">
        <f>IFERROR(__xludf.DUMMYFUNCTION("IFERROR(INDEX(FILTER('Kế hoạch chèn link (mới)'!$B$3:$B$2213,'Kế hoạch chèn link (mới)'!$D$3:$D$2213=$B509),1),"""")"),"https://techcombank.com/thong-tin/blog/ten-dang-nhap-tai-khoan-ngan-hang-la-gi")</f>
        <v>https://techcombank.com/thong-tin/blog/ten-dang-nhap-tai-khoan-ngan-hang-la-gi</v>
      </c>
      <c r="I509" s="25" t="str">
        <f>IFERROR(__xludf.DUMMYFUNCTION("IFERROR(INDEX(FILTER('Kế hoạch chèn link (mới)'!$C$3:$C$2213,'Kế hoạch chèn link (mới)'!$D$3:$D$2213=$B509),2),"""")"),"mô hình kinh doanh")</f>
        <v>mô hình kinh doanh</v>
      </c>
      <c r="J509" s="25" t="str">
        <f>IFERROR(__xludf.DUMMYFUNCTION("IFERROR(INDEX(FILTER('Kế hoạch chèn link (mới)'!$B$3:$B$2213,'Kế hoạch chèn link (mới)'!$D$3:$D$2213=$B509),2),"""")"),"https://techcombank.com/thong-tin/blog/mo-hinh-kinh-doanh-la-gi")</f>
        <v>https://techcombank.com/thong-tin/blog/mo-hinh-kinh-doanh-la-gi</v>
      </c>
      <c r="K509" s="25" t="str">
        <f>IFERROR(__xludf.DUMMYFUNCTION("IFERROR(INDEX(FILTER('Kế hoạch chèn link (mới)'!$C$3:$C$2213,'Kế hoạch chèn link (mới)'!$D$3:$D$2213=$B509),3),"""")"),"")</f>
        <v/>
      </c>
      <c r="L509" s="25" t="str">
        <f>IFERROR(__xludf.DUMMYFUNCTION("IFERROR(INDEX(FILTER('Kế hoạch chèn link (mới)'!$B$3:$B$2213,'Kế hoạch chèn link (mới)'!$D$3:$D$2213=$B509),3),"""")"),"")</f>
        <v/>
      </c>
      <c r="M509" s="25" t="str">
        <f>IFERROR(__xludf.DUMMYFUNCTION("IFERROR(INDEX(FILTER('Kế hoạch chèn link (mới)'!$C$3:$C$2213,'Kế hoạch chèn link (mới)'!$D$3:$D$2213=$B509),4),"""")"),"")</f>
        <v/>
      </c>
      <c r="N509" s="25" t="str">
        <f>IFERROR(__xludf.DUMMYFUNCTION("IFERROR(INDEX(FILTER('Kế hoạch chèn link (mới)'!$B$3:$B$2213,'Kế hoạch chèn link (mới)'!$D$3:$D$2213=$B509),4),"""")"),"")</f>
        <v/>
      </c>
      <c r="O509" s="25" t="str">
        <f>IFERROR(__xludf.DUMMYFUNCTION("IFERROR(INDEX(FILTER('Kế hoạch chèn link (mới)'!$C$3:$C$2213,'Kế hoạch chèn link (mới)'!$D$3:$D$2213=$B509),5),"""")"),"")</f>
        <v/>
      </c>
      <c r="P509" s="25" t="str">
        <f>IFERROR(__xludf.DUMMYFUNCTION("IFERROR(INDEX(FILTER('Kế hoạch chèn link (mới)'!$B$3:$B$2213,'Kế hoạch chèn link (mới)'!$D$3:$D$2213=$B509),5),"""")"),"")</f>
        <v/>
      </c>
    </row>
    <row r="510">
      <c r="A510" s="6">
        <f t="shared" si="1"/>
        <v>509</v>
      </c>
      <c r="B510" s="8" t="s">
        <v>3120</v>
      </c>
      <c r="C510" s="6">
        <f>COUNTIF('Kế hoạch chèn link (mới)'!$D$3:$D$2213,$B510)</f>
        <v>4</v>
      </c>
      <c r="D510" s="8" t="str">
        <f>IF(COUNTIFS('Kế hoạch chèn link (mới)'!$D$3:$D$2213,$B510,'Kế hoạch chèn link (mới)'!$I$3:$I$2213,"Đã chèn")&gt;=$C510,"Đã hoàn thành",IF(COUNTIFS('Kế hoạch chèn link (mới)'!$D$3:$D$2213,$B510,'Kế hoạch chèn link (mới)'!$I$3:$I$2213,"Đã chèn")&gt;0,"Đang làm","Chưa hoàn thành"))</f>
        <v>Chưa hoàn thành</v>
      </c>
      <c r="E510" s="8" t="b">
        <f t="shared" si="2"/>
        <v>0</v>
      </c>
      <c r="F510" s="25"/>
      <c r="G510" s="25" t="str">
        <f>IFERROR(__xludf.DUMMYFUNCTION("IFERROR(INDEX(FILTER('Kế hoạch chèn link (mới)'!$C$3:$C$2213,'Kế hoạch chèn link (mới)'!$D$3:$D$2213=$B510),1),"""")"),"quét NFC CCCD")</f>
        <v>quét NFC CCCD</v>
      </c>
      <c r="H510" s="25" t="str">
        <f>IFERROR(__xludf.DUMMYFUNCTION("IFERROR(INDEX(FILTER('Kế hoạch chèn link (mới)'!$B$3:$B$2213,'Kế hoạch chèn link (mới)'!$D$3:$D$2213=$B510),1),"""")"),"https://techcombank.com/thong-tin/blog/cach-quet-nfc-cccd-tren-iphone")</f>
        <v>https://techcombank.com/thong-tin/blog/cach-quet-nfc-cccd-tren-iphone</v>
      </c>
      <c r="I510" s="25" t="str">
        <f>IFERROR(__xludf.DUMMYFUNCTION("IFERROR(INDEX(FILTER('Kế hoạch chèn link (mới)'!$C$3:$C$2213,'Kế hoạch chèn link (mới)'!$D$3:$D$2213=$B510),2),"""")"),"cic là gì")</f>
        <v>cic là gì</v>
      </c>
      <c r="J510" s="25" t="str">
        <f>IFERROR(__xludf.DUMMYFUNCTION("IFERROR(INDEX(FILTER('Kế hoạch chèn link (mới)'!$B$3:$B$2213,'Kế hoạch chèn link (mới)'!$D$3:$D$2213=$B510),2),"""")"),"https://techcombank.com/thong-tin/blog/cic-la-gi")</f>
        <v>https://techcombank.com/thong-tin/blog/cic-la-gi</v>
      </c>
      <c r="K510" s="25" t="str">
        <f>IFERROR(__xludf.DUMMYFUNCTION("IFERROR(INDEX(FILTER('Kế hoạch chèn link (mới)'!$C$3:$C$2213,'Kế hoạch chèn link (mới)'!$D$3:$D$2213=$B510),3),"""")"),"xếp hạng tín dụng cá nhân")</f>
        <v>xếp hạng tín dụng cá nhân</v>
      </c>
      <c r="L510" s="25" t="str">
        <f>IFERROR(__xludf.DUMMYFUNCTION("IFERROR(INDEX(FILTER('Kế hoạch chèn link (mới)'!$B$3:$B$2213,'Kế hoạch chèn link (mới)'!$D$3:$D$2213=$B510),3),"""")"),"https://techcombank.com/thong-tin/blog/xep-hang-tin-dung")</f>
        <v>https://techcombank.com/thong-tin/blog/xep-hang-tin-dung</v>
      </c>
      <c r="M510" s="25" t="str">
        <f>IFERROR(__xludf.DUMMYFUNCTION("IFERROR(INDEX(FILTER('Kế hoạch chèn link (mới)'!$C$3:$C$2213,'Kế hoạch chèn link (mới)'!$D$3:$D$2213=$B510),4),"""")"),"vay")</f>
        <v>vay</v>
      </c>
      <c r="N510" s="25" t="str">
        <f>IFERROR(__xludf.DUMMYFUNCTION("IFERROR(INDEX(FILTER('Kế hoạch chèn link (mới)'!$B$3:$B$2213,'Kế hoạch chèn link (mới)'!$D$3:$D$2213=$B510),4),"""")"),"https://techcombank.com/thong-tin/blog/app-vay-tien-nhanh")</f>
        <v>https://techcombank.com/thong-tin/blog/app-vay-tien-nhanh</v>
      </c>
      <c r="O510" s="25" t="str">
        <f>IFERROR(__xludf.DUMMYFUNCTION("IFERROR(INDEX(FILTER('Kế hoạch chèn link (mới)'!$C$3:$C$2213,'Kế hoạch chèn link (mới)'!$D$3:$D$2213=$B510),5),"""")"),"")</f>
        <v/>
      </c>
      <c r="P510" s="25" t="str">
        <f>IFERROR(__xludf.DUMMYFUNCTION("IFERROR(INDEX(FILTER('Kế hoạch chèn link (mới)'!$B$3:$B$2213,'Kế hoạch chèn link (mới)'!$D$3:$D$2213=$B510),5),"""")"),"")</f>
        <v/>
      </c>
    </row>
    <row r="511">
      <c r="A511" s="6">
        <f t="shared" si="1"/>
        <v>510</v>
      </c>
      <c r="B511" s="8" t="s">
        <v>1205</v>
      </c>
      <c r="C511" s="6">
        <f>COUNTIF('Kế hoạch chèn link (mới)'!$D$3:$D$2213,$B511)</f>
        <v>1</v>
      </c>
      <c r="D511" s="8" t="str">
        <f>IF(COUNTIFS('Kế hoạch chèn link (mới)'!$D$3:$D$2213,$B511,'Kế hoạch chèn link (mới)'!$I$3:$I$2213,"Đã chèn")&gt;=$C511,"Đã hoàn thành",IF(COUNTIFS('Kế hoạch chèn link (mới)'!$D$3:$D$2213,$B511,'Kế hoạch chèn link (mới)'!$I$3:$I$2213,"Đã chèn")&gt;0,"Đang làm","Chưa hoàn thành"))</f>
        <v>Chưa hoàn thành</v>
      </c>
      <c r="E511" s="8" t="b">
        <f t="shared" si="2"/>
        <v>0</v>
      </c>
      <c r="F511" s="25"/>
      <c r="G511" s="25" t="str">
        <f>IFERROR(__xludf.DUMMYFUNCTION("IFERROR(INDEX(FILTER('Kế hoạch chèn link (mới)'!$C$3:$C$2213,'Kế hoạch chèn link (mới)'!$D$3:$D$2213=$B511),1),"""")"),"công ty dùng tài khoản cá nhân có được không")</f>
        <v>công ty dùng tài khoản cá nhân có được không</v>
      </c>
      <c r="H511" s="25" t="str">
        <f>IFERROR(__xludf.DUMMYFUNCTION("IFERROR(INDEX(FILTER('Kế hoạch chèn link (mới)'!$B$3:$B$2213,'Kế hoạch chèn link (mới)'!$D$3:$D$2213=$B511),1),"""")"),"https://techcombank.com/thong-tin/blog/cong-ty-su-dung-tai-khoan-ca-nhan")</f>
        <v>https://techcombank.com/thong-tin/blog/cong-ty-su-dung-tai-khoan-ca-nhan</v>
      </c>
      <c r="I511" s="25" t="str">
        <f>IFERROR(__xludf.DUMMYFUNCTION("IFERROR(INDEX(FILTER('Kế hoạch chèn link (mới)'!$C$3:$C$2213,'Kế hoạch chèn link (mới)'!$D$3:$D$2213=$B511),2),"""")"),"")</f>
        <v/>
      </c>
      <c r="J511" s="25" t="str">
        <f>IFERROR(__xludf.DUMMYFUNCTION("IFERROR(INDEX(FILTER('Kế hoạch chèn link (mới)'!$B$3:$B$2213,'Kế hoạch chèn link (mới)'!$D$3:$D$2213=$B511),2),"""")"),"")</f>
        <v/>
      </c>
      <c r="K511" s="25" t="str">
        <f>IFERROR(__xludf.DUMMYFUNCTION("IFERROR(INDEX(FILTER('Kế hoạch chèn link (mới)'!$C$3:$C$2213,'Kế hoạch chèn link (mới)'!$D$3:$D$2213=$B511),3),"""")"),"")</f>
        <v/>
      </c>
      <c r="L511" s="25" t="str">
        <f>IFERROR(__xludf.DUMMYFUNCTION("IFERROR(INDEX(FILTER('Kế hoạch chèn link (mới)'!$B$3:$B$2213,'Kế hoạch chèn link (mới)'!$D$3:$D$2213=$B511),3),"""")"),"")</f>
        <v/>
      </c>
      <c r="M511" s="25" t="str">
        <f>IFERROR(__xludf.DUMMYFUNCTION("IFERROR(INDEX(FILTER('Kế hoạch chèn link (mới)'!$C$3:$C$2213,'Kế hoạch chèn link (mới)'!$D$3:$D$2213=$B511),4),"""")"),"")</f>
        <v/>
      </c>
      <c r="N511" s="25" t="str">
        <f>IFERROR(__xludf.DUMMYFUNCTION("IFERROR(INDEX(FILTER('Kế hoạch chèn link (mới)'!$B$3:$B$2213,'Kế hoạch chèn link (mới)'!$D$3:$D$2213=$B511),4),"""")"),"")</f>
        <v/>
      </c>
      <c r="O511" s="25" t="str">
        <f>IFERROR(__xludf.DUMMYFUNCTION("IFERROR(INDEX(FILTER('Kế hoạch chèn link (mới)'!$C$3:$C$2213,'Kế hoạch chèn link (mới)'!$D$3:$D$2213=$B511),5),"""")"),"")</f>
        <v/>
      </c>
      <c r="P511" s="25" t="str">
        <f>IFERROR(__xludf.DUMMYFUNCTION("IFERROR(INDEX(FILTER('Kế hoạch chèn link (mới)'!$B$3:$B$2213,'Kế hoạch chèn link (mới)'!$D$3:$D$2213=$B511),5),"""")"),"")</f>
        <v/>
      </c>
    </row>
    <row r="512">
      <c r="A512" s="6">
        <f t="shared" si="1"/>
        <v>511</v>
      </c>
      <c r="B512" s="8" t="s">
        <v>2510</v>
      </c>
      <c r="C512" s="6">
        <f>COUNTIF('Kế hoạch chèn link (mới)'!$D$3:$D$2213,$B512)</f>
        <v>4</v>
      </c>
      <c r="D512" s="8" t="str">
        <f>IF(COUNTIFS('Kế hoạch chèn link (mới)'!$D$3:$D$2213,$B512,'Kế hoạch chèn link (mới)'!$I$3:$I$2213,"Đã chèn")&gt;=$C512,"Đã hoàn thành",IF(COUNTIFS('Kế hoạch chèn link (mới)'!$D$3:$D$2213,$B512,'Kế hoạch chèn link (mới)'!$I$3:$I$2213,"Đã chèn")&gt;0,"Đang làm","Chưa hoàn thành"))</f>
        <v>Chưa hoàn thành</v>
      </c>
      <c r="E512" s="8" t="b">
        <f t="shared" si="2"/>
        <v>0</v>
      </c>
      <c r="F512" s="25"/>
      <c r="G512" s="25" t="str">
        <f>IFERROR(__xludf.DUMMYFUNCTION("IFERROR(INDEX(FILTER('Kế hoạch chèn link (mới)'!$C$3:$C$2213,'Kế hoạch chèn link (mới)'!$D$3:$D$2213=$B512),1),"""")"),"số tài khoản phát tài phát lộc")</f>
        <v>số tài khoản phát tài phát lộc</v>
      </c>
      <c r="H512" s="25" t="str">
        <f>IFERROR(__xludf.DUMMYFUNCTION("IFERROR(INDEX(FILTER('Kế hoạch chèn link (mới)'!$B$3:$B$2213,'Kế hoạch chèn link (mới)'!$D$3:$D$2213=$B512),1),"""")"),"https://techcombank.com/thong-tin/blog/day-so-phat-tai-phat-loc")</f>
        <v>https://techcombank.com/thong-tin/blog/day-so-phat-tai-phat-loc</v>
      </c>
      <c r="I512" s="25" t="str">
        <f>IFERROR(__xludf.DUMMYFUNCTION("IFERROR(INDEX(FILTER('Kế hoạch chèn link (mới)'!$C$3:$C$2213,'Kế hoạch chèn link (mới)'!$D$3:$D$2213=$B512),2),"""")"),"mở thẻ tín dụng")</f>
        <v>mở thẻ tín dụng</v>
      </c>
      <c r="J512" s="25" t="str">
        <f>IFERROR(__xludf.DUMMYFUNCTION("IFERROR(INDEX(FILTER('Kế hoạch chèn link (mới)'!$B$3:$B$2213,'Kế hoạch chèn link (mới)'!$D$3:$D$2213=$B512),2),"""")"),"https://techcombank.com/thong-tin/blog/lam-the-tin-dung")</f>
        <v>https://techcombank.com/thong-tin/blog/lam-the-tin-dung</v>
      </c>
      <c r="K512" s="25" t="str">
        <f>IFERROR(__xludf.DUMMYFUNCTION("IFERROR(INDEX(FILTER('Kế hoạch chèn link (mới)'!$C$3:$C$2213,'Kế hoạch chèn link (mới)'!$D$3:$D$2213=$B512),3),"""")"),"thẻ hoàn tiền")</f>
        <v>thẻ hoàn tiền</v>
      </c>
      <c r="L512" s="25" t="str">
        <f>IFERROR(__xludf.DUMMYFUNCTION("IFERROR(INDEX(FILTER('Kế hoạch chèn link (mới)'!$B$3:$B$2213,'Kế hoạch chèn link (mới)'!$D$3:$D$2213=$B512),3),"""")"),"https://techcombank.com/thong-tin/blog/the-tin-dung-hoan-tien")</f>
        <v>https://techcombank.com/thong-tin/blog/the-tin-dung-hoan-tien</v>
      </c>
      <c r="M512" s="25" t="str">
        <f>IFERROR(__xludf.DUMMYFUNCTION("IFERROR(INDEX(FILTER('Kế hoạch chèn link (mới)'!$C$3:$C$2213,'Kế hoạch chèn link (mới)'!$D$3:$D$2213=$B512),4),"""")"),"cách hủy thẻ tín dụng")</f>
        <v>cách hủy thẻ tín dụng</v>
      </c>
      <c r="N512" s="25" t="str">
        <f>IFERROR(__xludf.DUMMYFUNCTION("IFERROR(INDEX(FILTER('Kế hoạch chèn link (mới)'!$B$3:$B$2213,'Kế hoạch chèn link (mới)'!$D$3:$D$2213=$B512),4),"""")"),"https://techcombank.com/thong-tin/blog/cach-huy-the-tin-dung")</f>
        <v>https://techcombank.com/thong-tin/blog/cach-huy-the-tin-dung</v>
      </c>
      <c r="O512" s="25" t="str">
        <f>IFERROR(__xludf.DUMMYFUNCTION("IFERROR(INDEX(FILTER('Kế hoạch chèn link (mới)'!$C$3:$C$2213,'Kế hoạch chèn link (mới)'!$D$3:$D$2213=$B512),5),"""")"),"")</f>
        <v/>
      </c>
      <c r="P512" s="25" t="str">
        <f>IFERROR(__xludf.DUMMYFUNCTION("IFERROR(INDEX(FILTER('Kế hoạch chèn link (mới)'!$B$3:$B$2213,'Kế hoạch chèn link (mới)'!$D$3:$D$2213=$B512),5),"""")"),"")</f>
        <v/>
      </c>
    </row>
    <row r="513">
      <c r="A513" s="6">
        <f t="shared" si="1"/>
        <v>512</v>
      </c>
      <c r="B513" s="8" t="s">
        <v>2000</v>
      </c>
      <c r="C513" s="6">
        <f>COUNTIF('Kế hoạch chèn link (mới)'!$D$3:$D$2213,$B513)</f>
        <v>2</v>
      </c>
      <c r="D513" s="8" t="str">
        <f>IF(COUNTIFS('Kế hoạch chèn link (mới)'!$D$3:$D$2213,$B513,'Kế hoạch chèn link (mới)'!$I$3:$I$2213,"Đã chèn")&gt;=$C513,"Đã hoàn thành",IF(COUNTIFS('Kế hoạch chèn link (mới)'!$D$3:$D$2213,$B513,'Kế hoạch chèn link (mới)'!$I$3:$I$2213,"Đã chèn")&gt;0,"Đang làm","Chưa hoàn thành"))</f>
        <v>Chưa hoàn thành</v>
      </c>
      <c r="E513" s="8" t="b">
        <f t="shared" si="2"/>
        <v>0</v>
      </c>
      <c r="F513" s="25"/>
      <c r="G513" s="25" t="str">
        <f>IFERROR(__xludf.DUMMYFUNCTION("IFERROR(INDEX(FILTER('Kế hoạch chèn link (mới)'!$C$3:$C$2213,'Kế hoạch chèn link (mới)'!$D$3:$D$2213=$B513),1),"""")"),"tiền chuyển khoản bị treo")</f>
        <v>tiền chuyển khoản bị treo</v>
      </c>
      <c r="H513" s="25" t="str">
        <f>IFERROR(__xludf.DUMMYFUNCTION("IFERROR(INDEX(FILTER('Kế hoạch chèn link (mới)'!$B$3:$B$2213,'Kế hoạch chèn link (mới)'!$D$3:$D$2213=$B513),1),"""")"),"https://techcombank.com/thong-tin/blog/chuyen-khoan-thanh-cong-nhung-khong-nhan-duoc-tien")</f>
        <v>https://techcombank.com/thong-tin/blog/chuyen-khoan-thanh-cong-nhung-khong-nhan-duoc-tien</v>
      </c>
      <c r="I513" s="25" t="str">
        <f>IFERROR(__xludf.DUMMYFUNCTION("IFERROR(INDEX(FILTER('Kế hoạch chèn link (mới)'!$C$3:$C$2213,'Kế hoạch chèn link (mới)'!$D$3:$D$2213=$B513),2),"""")"),"tên đăng nhập tài khoản ngân hàng")</f>
        <v>tên đăng nhập tài khoản ngân hàng</v>
      </c>
      <c r="J513" s="25" t="str">
        <f>IFERROR(__xludf.DUMMYFUNCTION("IFERROR(INDEX(FILTER('Kế hoạch chèn link (mới)'!$B$3:$B$2213,'Kế hoạch chèn link (mới)'!$D$3:$D$2213=$B513),2),"""")"),"https://techcombank.com/thong-tin/blog/ten-dang-nhap-tai-khoan-ngan-hang-la-gi")</f>
        <v>https://techcombank.com/thong-tin/blog/ten-dang-nhap-tai-khoan-ngan-hang-la-gi</v>
      </c>
      <c r="K513" s="25" t="str">
        <f>IFERROR(__xludf.DUMMYFUNCTION("IFERROR(INDEX(FILTER('Kế hoạch chèn link (mới)'!$C$3:$C$2213,'Kế hoạch chèn link (mới)'!$D$3:$D$2213=$B513),3),"""")"),"")</f>
        <v/>
      </c>
      <c r="L513" s="25" t="str">
        <f>IFERROR(__xludf.DUMMYFUNCTION("IFERROR(INDEX(FILTER('Kế hoạch chèn link (mới)'!$B$3:$B$2213,'Kế hoạch chèn link (mới)'!$D$3:$D$2213=$B513),3),"""")"),"")</f>
        <v/>
      </c>
      <c r="M513" s="25" t="str">
        <f>IFERROR(__xludf.DUMMYFUNCTION("IFERROR(INDEX(FILTER('Kế hoạch chèn link (mới)'!$C$3:$C$2213,'Kế hoạch chèn link (mới)'!$D$3:$D$2213=$B513),4),"""")"),"")</f>
        <v/>
      </c>
      <c r="N513" s="25" t="str">
        <f>IFERROR(__xludf.DUMMYFUNCTION("IFERROR(INDEX(FILTER('Kế hoạch chèn link (mới)'!$B$3:$B$2213,'Kế hoạch chèn link (mới)'!$D$3:$D$2213=$B513),4),"""")"),"")</f>
        <v/>
      </c>
      <c r="O513" s="25" t="str">
        <f>IFERROR(__xludf.DUMMYFUNCTION("IFERROR(INDEX(FILTER('Kế hoạch chèn link (mới)'!$C$3:$C$2213,'Kế hoạch chèn link (mới)'!$D$3:$D$2213=$B513),5),"""")"),"")</f>
        <v/>
      </c>
      <c r="P513" s="25" t="str">
        <f>IFERROR(__xludf.DUMMYFUNCTION("IFERROR(INDEX(FILTER('Kế hoạch chèn link (mới)'!$B$3:$B$2213,'Kế hoạch chèn link (mới)'!$D$3:$D$2213=$B513),5),"""")"),"")</f>
        <v/>
      </c>
    </row>
    <row r="514">
      <c r="A514" s="6">
        <f t="shared" si="1"/>
        <v>513</v>
      </c>
      <c r="B514" s="8" t="s">
        <v>1799</v>
      </c>
      <c r="C514" s="6">
        <f>COUNTIF('Kế hoạch chèn link (mới)'!$D$3:$D$2213,$B514)</f>
        <v>3</v>
      </c>
      <c r="D514" s="8" t="str">
        <f>IF(COUNTIFS('Kế hoạch chèn link (mới)'!$D$3:$D$2213,$B514,'Kế hoạch chèn link (mới)'!$I$3:$I$2213,"Đã chèn")&gt;=$C514,"Đã hoàn thành",IF(COUNTIFS('Kế hoạch chèn link (mới)'!$D$3:$D$2213,$B514,'Kế hoạch chèn link (mới)'!$I$3:$I$2213,"Đã chèn")&gt;0,"Đang làm","Chưa hoàn thành"))</f>
        <v>Chưa hoàn thành</v>
      </c>
      <c r="E514" s="8" t="b">
        <f t="shared" si="2"/>
        <v>0</v>
      </c>
      <c r="F514" s="25"/>
      <c r="G514" s="25" t="str">
        <f>IFERROR(__xludf.DUMMYFUNCTION("IFERROR(INDEX(FILTER('Kế hoạch chèn link (mới)'!$C$3:$C$2213,'Kế hoạch chèn link (mới)'!$D$3:$D$2213=$B514),1),"""")"),"mở tài khoản ngân hàng online")</f>
        <v>mở tài khoản ngân hàng online</v>
      </c>
      <c r="H514" s="25" t="str">
        <f>IFERROR(__xludf.DUMMYFUNCTION("IFERROR(INDEX(FILTER('Kế hoạch chèn link (mới)'!$B$3:$B$2213,'Kế hoạch chèn link (mới)'!$D$3:$D$2213=$B514),1),"""")"),"https://techcombank.com/thong-tin/blog/cach-mo-tai-khoan")</f>
        <v>https://techcombank.com/thong-tin/blog/cach-mo-tai-khoan</v>
      </c>
      <c r="I514" s="25" t="str">
        <f>IFERROR(__xludf.DUMMYFUNCTION("IFERROR(INDEX(FILTER('Kế hoạch chèn link (mới)'!$C$3:$C$2213,'Kế hoạch chèn link (mới)'!$D$3:$D$2213=$B514),2),"""")"),"tính lãi suất tiết kiệm")</f>
        <v>tính lãi suất tiết kiệm</v>
      </c>
      <c r="J514" s="25" t="str">
        <f>IFERROR(__xludf.DUMMYFUNCTION("IFERROR(INDEX(FILTER('Kế hoạch chèn link (mới)'!$B$3:$B$2213,'Kế hoạch chèn link (mới)'!$D$3:$D$2213=$B514),2),"""")"),"https://techcombank.com/thong-tin/blog/cach-tinh-lai-suat-tien-gui-tiet-kiem")</f>
        <v>https://techcombank.com/thong-tin/blog/cach-tinh-lai-suat-tien-gui-tiet-kiem</v>
      </c>
      <c r="K514" s="25" t="str">
        <f>IFERROR(__xludf.DUMMYFUNCTION("IFERROR(INDEX(FILTER('Kế hoạch chèn link (mới)'!$C$3:$C$2213,'Kế hoạch chèn link (mới)'!$D$3:$D$2213=$B514),3),"""")"),"rút tiết kiệm trước hạn")</f>
        <v>rút tiết kiệm trước hạn</v>
      </c>
      <c r="L514" s="25" t="str">
        <f>IFERROR(__xludf.DUMMYFUNCTION("IFERROR(INDEX(FILTER('Kế hoạch chèn link (mới)'!$B$3:$B$2213,'Kế hoạch chèn link (mới)'!$D$3:$D$2213=$B514),3),"""")"),"https://techcombank.com/thong-tin/blog/rut-tien-tiet-kiem-truoc-thoi-han")</f>
        <v>https://techcombank.com/thong-tin/blog/rut-tien-tiet-kiem-truoc-thoi-han</v>
      </c>
      <c r="M514" s="25" t="str">
        <f>IFERROR(__xludf.DUMMYFUNCTION("IFERROR(INDEX(FILTER('Kế hoạch chèn link (mới)'!$C$3:$C$2213,'Kế hoạch chèn link (mới)'!$D$3:$D$2213=$B514),4),"""")"),"")</f>
        <v/>
      </c>
      <c r="N514" s="25" t="str">
        <f>IFERROR(__xludf.DUMMYFUNCTION("IFERROR(INDEX(FILTER('Kế hoạch chèn link (mới)'!$B$3:$B$2213,'Kế hoạch chèn link (mới)'!$D$3:$D$2213=$B514),4),"""")"),"")</f>
        <v/>
      </c>
      <c r="O514" s="25" t="str">
        <f>IFERROR(__xludf.DUMMYFUNCTION("IFERROR(INDEX(FILTER('Kế hoạch chèn link (mới)'!$C$3:$C$2213,'Kế hoạch chèn link (mới)'!$D$3:$D$2213=$B514),5),"""")"),"")</f>
        <v/>
      </c>
      <c r="P514" s="25" t="str">
        <f>IFERROR(__xludf.DUMMYFUNCTION("IFERROR(INDEX(FILTER('Kế hoạch chèn link (mới)'!$B$3:$B$2213,'Kế hoạch chèn link (mới)'!$D$3:$D$2213=$B514),5),"""")"),"")</f>
        <v/>
      </c>
    </row>
    <row r="515">
      <c r="A515" s="6">
        <f t="shared" si="1"/>
        <v>514</v>
      </c>
      <c r="B515" s="8" t="s">
        <v>2230</v>
      </c>
      <c r="C515" s="6">
        <f>COUNTIF('Kế hoạch chèn link (mới)'!$D$3:$D$2213,$B515)</f>
        <v>1</v>
      </c>
      <c r="D515" s="8" t="str">
        <f>IF(COUNTIFS('Kế hoạch chèn link (mới)'!$D$3:$D$2213,$B515,'Kế hoạch chèn link (mới)'!$I$3:$I$2213,"Đã chèn")&gt;=$C515,"Đã hoàn thành",IF(COUNTIFS('Kế hoạch chèn link (mới)'!$D$3:$D$2213,$B515,'Kế hoạch chèn link (mới)'!$I$3:$I$2213,"Đã chèn")&gt;0,"Đang làm","Chưa hoàn thành"))</f>
        <v>Chưa hoàn thành</v>
      </c>
      <c r="E515" s="8" t="b">
        <f t="shared" si="2"/>
        <v>0</v>
      </c>
      <c r="F515" s="25"/>
      <c r="G515" s="25" t="str">
        <f>IFERROR(__xludf.DUMMYFUNCTION("IFERROR(INDEX(FILTER('Kế hoạch chèn link (mới)'!$C$3:$C$2213,'Kế hoạch chèn link (mới)'!$D$3:$D$2213=$B515),1),"""")"),"nộp tiền vào tài khoản")</f>
        <v>nộp tiền vào tài khoản</v>
      </c>
      <c r="H515" s="25" t="str">
        <f>IFERROR(__xludf.DUMMYFUNCTION("IFERROR(INDEX(FILTER('Kế hoạch chèn link (mới)'!$B$3:$B$2213,'Kế hoạch chèn link (mới)'!$D$3:$D$2213=$B515),1),"""")"),"https://techcombank.com/thong-tin/blog/nap-tien-vao-tai-khoan-ngan-hang")</f>
        <v>https://techcombank.com/thong-tin/blog/nap-tien-vao-tai-khoan-ngan-hang</v>
      </c>
      <c r="I515" s="25" t="str">
        <f>IFERROR(__xludf.DUMMYFUNCTION("IFERROR(INDEX(FILTER('Kế hoạch chèn link (mới)'!$C$3:$C$2213,'Kế hoạch chèn link (mới)'!$D$3:$D$2213=$B515),2),"""")"),"")</f>
        <v/>
      </c>
      <c r="J515" s="25" t="str">
        <f>IFERROR(__xludf.DUMMYFUNCTION("IFERROR(INDEX(FILTER('Kế hoạch chèn link (mới)'!$B$3:$B$2213,'Kế hoạch chèn link (mới)'!$D$3:$D$2213=$B515),2),"""")"),"")</f>
        <v/>
      </c>
      <c r="K515" s="25" t="str">
        <f>IFERROR(__xludf.DUMMYFUNCTION("IFERROR(INDEX(FILTER('Kế hoạch chèn link (mới)'!$C$3:$C$2213,'Kế hoạch chèn link (mới)'!$D$3:$D$2213=$B515),3),"""")"),"")</f>
        <v/>
      </c>
      <c r="L515" s="25" t="str">
        <f>IFERROR(__xludf.DUMMYFUNCTION("IFERROR(INDEX(FILTER('Kế hoạch chèn link (mới)'!$B$3:$B$2213,'Kế hoạch chèn link (mới)'!$D$3:$D$2213=$B515),3),"""")"),"")</f>
        <v/>
      </c>
      <c r="M515" s="25" t="str">
        <f>IFERROR(__xludf.DUMMYFUNCTION("IFERROR(INDEX(FILTER('Kế hoạch chèn link (mới)'!$C$3:$C$2213,'Kế hoạch chèn link (mới)'!$D$3:$D$2213=$B515),4),"""")"),"")</f>
        <v/>
      </c>
      <c r="N515" s="25" t="str">
        <f>IFERROR(__xludf.DUMMYFUNCTION("IFERROR(INDEX(FILTER('Kế hoạch chèn link (mới)'!$B$3:$B$2213,'Kế hoạch chèn link (mới)'!$D$3:$D$2213=$B515),4),"""")"),"")</f>
        <v/>
      </c>
      <c r="O515" s="25" t="str">
        <f>IFERROR(__xludf.DUMMYFUNCTION("IFERROR(INDEX(FILTER('Kế hoạch chèn link (mới)'!$C$3:$C$2213,'Kế hoạch chèn link (mới)'!$D$3:$D$2213=$B515),5),"""")"),"")</f>
        <v/>
      </c>
      <c r="P515" s="25" t="str">
        <f>IFERROR(__xludf.DUMMYFUNCTION("IFERROR(INDEX(FILTER('Kế hoạch chèn link (mới)'!$B$3:$B$2213,'Kế hoạch chèn link (mới)'!$D$3:$D$2213=$B515),5),"""")"),"")</f>
        <v/>
      </c>
    </row>
    <row r="516">
      <c r="A516" s="6">
        <f t="shared" si="1"/>
        <v>515</v>
      </c>
      <c r="B516" s="8" t="s">
        <v>3128</v>
      </c>
      <c r="C516" s="6">
        <f>COUNTIF('Kế hoạch chèn link (mới)'!$D$3:$D$2213,$B516)</f>
        <v>2</v>
      </c>
      <c r="D516" s="8" t="str">
        <f>IF(COUNTIFS('Kế hoạch chèn link (mới)'!$D$3:$D$2213,$B516,'Kế hoạch chèn link (mới)'!$I$3:$I$2213,"Đã chèn")&gt;=$C516,"Đã hoàn thành",IF(COUNTIFS('Kế hoạch chèn link (mới)'!$D$3:$D$2213,$B516,'Kế hoạch chèn link (mới)'!$I$3:$I$2213,"Đã chèn")&gt;0,"Đang làm","Chưa hoàn thành"))</f>
        <v>Chưa hoàn thành</v>
      </c>
      <c r="E516" s="8" t="b">
        <f t="shared" si="2"/>
        <v>0</v>
      </c>
      <c r="F516" s="25"/>
      <c r="G516" s="25" t="str">
        <f>IFERROR(__xludf.DUMMYFUNCTION("IFERROR(INDEX(FILTER('Kế hoạch chèn link (mới)'!$C$3:$C$2213,'Kế hoạch chèn link (mới)'!$D$3:$D$2213=$B516),1),"""")"),"tính lãi suất tiết kiệm")</f>
        <v>tính lãi suất tiết kiệm</v>
      </c>
      <c r="H516" s="25" t="str">
        <f>IFERROR(__xludf.DUMMYFUNCTION("IFERROR(INDEX(FILTER('Kế hoạch chèn link (mới)'!$B$3:$B$2213,'Kế hoạch chèn link (mới)'!$D$3:$D$2213=$B516),1),"""")"),"https://techcombank.com/thong-tin/blog/cach-tinh-lai-suat-tien-gui-tiet-kiem")</f>
        <v>https://techcombank.com/thong-tin/blog/cach-tinh-lai-suat-tien-gui-tiet-kiem</v>
      </c>
      <c r="I516" s="25" t="str">
        <f>IFERROR(__xludf.DUMMYFUNCTION("IFERROR(INDEX(FILTER('Kế hoạch chèn link (mới)'!$C$3:$C$2213,'Kế hoạch chèn link (mới)'!$D$3:$D$2213=$B516),2),"""")"),"nên vay tín chấp ở đâu")</f>
        <v>nên vay tín chấp ở đâu</v>
      </c>
      <c r="J516" s="25" t="str">
        <f>IFERROR(__xludf.DUMMYFUNCTION("IFERROR(INDEX(FILTER('Kế hoạch chèn link (mới)'!$B$3:$B$2213,'Kế hoạch chèn link (mới)'!$D$3:$D$2213=$B516),2),"""")"),"https://techcombank.com/thong-tin/blog/nen-vay-tin-chap-o-dau")</f>
        <v>https://techcombank.com/thong-tin/blog/nen-vay-tin-chap-o-dau</v>
      </c>
      <c r="K516" s="25" t="str">
        <f>IFERROR(__xludf.DUMMYFUNCTION("IFERROR(INDEX(FILTER('Kế hoạch chèn link (mới)'!$C$3:$C$2213,'Kế hoạch chèn link (mới)'!$D$3:$D$2213=$B516),3),"""")"),"")</f>
        <v/>
      </c>
      <c r="L516" s="25" t="str">
        <f>IFERROR(__xludf.DUMMYFUNCTION("IFERROR(INDEX(FILTER('Kế hoạch chèn link (mới)'!$B$3:$B$2213,'Kế hoạch chèn link (mới)'!$D$3:$D$2213=$B516),3),"""")"),"")</f>
        <v/>
      </c>
      <c r="M516" s="25" t="str">
        <f>IFERROR(__xludf.DUMMYFUNCTION("IFERROR(INDEX(FILTER('Kế hoạch chèn link (mới)'!$C$3:$C$2213,'Kế hoạch chèn link (mới)'!$D$3:$D$2213=$B516),4),"""")"),"")</f>
        <v/>
      </c>
      <c r="N516" s="25" t="str">
        <f>IFERROR(__xludf.DUMMYFUNCTION("IFERROR(INDEX(FILTER('Kế hoạch chèn link (mới)'!$B$3:$B$2213,'Kế hoạch chèn link (mới)'!$D$3:$D$2213=$B516),4),"""")"),"")</f>
        <v/>
      </c>
      <c r="O516" s="25" t="str">
        <f>IFERROR(__xludf.DUMMYFUNCTION("IFERROR(INDEX(FILTER('Kế hoạch chèn link (mới)'!$C$3:$C$2213,'Kế hoạch chèn link (mới)'!$D$3:$D$2213=$B516),5),"""")"),"")</f>
        <v/>
      </c>
      <c r="P516" s="25" t="str">
        <f>IFERROR(__xludf.DUMMYFUNCTION("IFERROR(INDEX(FILTER('Kế hoạch chèn link (mới)'!$B$3:$B$2213,'Kế hoạch chèn link (mới)'!$D$3:$D$2213=$B516),5),"""")"),"")</f>
        <v/>
      </c>
    </row>
    <row r="517">
      <c r="A517" s="6">
        <f t="shared" si="1"/>
        <v>516</v>
      </c>
      <c r="B517" s="8" t="s">
        <v>1748</v>
      </c>
      <c r="C517" s="6">
        <f>COUNTIF('Kế hoạch chèn link (mới)'!$D$3:$D$2213,$B517)</f>
        <v>4</v>
      </c>
      <c r="D517" s="8" t="str">
        <f>IF(COUNTIFS('Kế hoạch chèn link (mới)'!$D$3:$D$2213,$B517,'Kế hoạch chèn link (mới)'!$I$3:$I$2213,"Đã chèn")&gt;=$C517,"Đã hoàn thành",IF(COUNTIFS('Kế hoạch chèn link (mới)'!$D$3:$D$2213,$B517,'Kế hoạch chèn link (mới)'!$I$3:$I$2213,"Đã chèn")&gt;0,"Đang làm","Chưa hoàn thành"))</f>
        <v>Chưa hoàn thành</v>
      </c>
      <c r="E517" s="8" t="b">
        <f t="shared" si="2"/>
        <v>0</v>
      </c>
      <c r="F517" s="25"/>
      <c r="G517" s="25" t="str">
        <f>IFERROR(__xludf.DUMMYFUNCTION("IFERROR(INDEX(FILTER('Kế hoạch chèn link (mới)'!$C$3:$C$2213,'Kế hoạch chèn link (mới)'!$D$3:$D$2213=$B517),1),"""")"),"mở tài khoản ngân hàng online")</f>
        <v>mở tài khoản ngân hàng online</v>
      </c>
      <c r="H517" s="25" t="str">
        <f>IFERROR(__xludf.DUMMYFUNCTION("IFERROR(INDEX(FILTER('Kế hoạch chèn link (mới)'!$B$3:$B$2213,'Kế hoạch chèn link (mới)'!$D$3:$D$2213=$B517),1),"""")"),"https://techcombank.com/thong-tin/blog/cach-mo-tai-khoan")</f>
        <v>https://techcombank.com/thong-tin/blog/cach-mo-tai-khoan</v>
      </c>
      <c r="I517" s="25" t="str">
        <f>IFERROR(__xludf.DUMMYFUNCTION("IFERROR(INDEX(FILTER('Kế hoạch chèn link (mới)'!$C$3:$C$2213,'Kế hoạch chèn link (mới)'!$D$3:$D$2213=$B517),2),"""")"),"1 Tệ bằng bao nhiêu tiền Việt")</f>
        <v>1 Tệ bằng bao nhiêu tiền Việt</v>
      </c>
      <c r="J517" s="25" t="str">
        <f>IFERROR(__xludf.DUMMYFUNCTION("IFERROR(INDEX(FILTER('Kế hoạch chèn link (mới)'!$B$3:$B$2213,'Kế hoạch chèn link (mới)'!$D$3:$D$2213=$B517),2),"""")"),"https://techcombank.com/thong-tin/blog/1-te-bang-bao-nhieu-tien-viet-nam")</f>
        <v>https://techcombank.com/thong-tin/blog/1-te-bang-bao-nhieu-tien-viet-nam</v>
      </c>
      <c r="K517" s="25" t="str">
        <f>IFERROR(__xludf.DUMMYFUNCTION("IFERROR(INDEX(FILTER('Kế hoạch chèn link (mới)'!$C$3:$C$2213,'Kế hoạch chèn link (mới)'!$D$3:$D$2213=$B517),3),"""")"),"lãi suất tiền gửi ngân hàng")</f>
        <v>lãi suất tiền gửi ngân hàng</v>
      </c>
      <c r="L517" s="25" t="str">
        <f>IFERROR(__xludf.DUMMYFUNCTION("IFERROR(INDEX(FILTER('Kế hoạch chèn link (mới)'!$B$3:$B$2213,'Kế hoạch chèn link (mới)'!$D$3:$D$2213=$B517),3),"""")"),"https://techcombank.com/thong-tin/blog/lai-suat-tiet-kiem")</f>
        <v>https://techcombank.com/thong-tin/blog/lai-suat-tiet-kiem</v>
      </c>
      <c r="M517" s="25" t="str">
        <f>IFERROR(__xludf.DUMMYFUNCTION("IFERROR(INDEX(FILTER('Kế hoạch chèn link (mới)'!$C$3:$C$2213,'Kế hoạch chèn link (mới)'!$D$3:$D$2213=$B517),4),"""")"),"tính lãi vay ngân hàng")</f>
        <v>tính lãi vay ngân hàng</v>
      </c>
      <c r="N517" s="25" t="str">
        <f>IFERROR(__xludf.DUMMYFUNCTION("IFERROR(INDEX(FILTER('Kế hoạch chèn link (mới)'!$B$3:$B$2213,'Kế hoạch chèn link (mới)'!$D$3:$D$2213=$B517),4),"""")"),"https://techcombank.com/cong-cu-tien-ich/cong-cu-tinh-toan/bang-tinh-lai-suat-vay")</f>
        <v>https://techcombank.com/cong-cu-tien-ich/cong-cu-tinh-toan/bang-tinh-lai-suat-vay</v>
      </c>
      <c r="O517" s="25" t="str">
        <f>IFERROR(__xludf.DUMMYFUNCTION("IFERROR(INDEX(FILTER('Kế hoạch chèn link (mới)'!$C$3:$C$2213,'Kế hoạch chèn link (mới)'!$D$3:$D$2213=$B517),5),"""")"),"")</f>
        <v/>
      </c>
      <c r="P517" s="25" t="str">
        <f>IFERROR(__xludf.DUMMYFUNCTION("IFERROR(INDEX(FILTER('Kế hoạch chèn link (mới)'!$B$3:$B$2213,'Kế hoạch chèn link (mới)'!$D$3:$D$2213=$B517),5),"""")"),"")</f>
        <v/>
      </c>
    </row>
    <row r="518">
      <c r="A518" s="6">
        <f t="shared" si="1"/>
        <v>517</v>
      </c>
      <c r="B518" s="8" t="s">
        <v>2597</v>
      </c>
      <c r="C518" s="6">
        <f>COUNTIF('Kế hoạch chèn link (mới)'!$D$3:$D$2213,$B518)</f>
        <v>4</v>
      </c>
      <c r="D518" s="8" t="str">
        <f>IF(COUNTIFS('Kế hoạch chèn link (mới)'!$D$3:$D$2213,$B518,'Kế hoạch chèn link (mới)'!$I$3:$I$2213,"Đã chèn")&gt;=$C518,"Đã hoàn thành",IF(COUNTIFS('Kế hoạch chèn link (mới)'!$D$3:$D$2213,$B518,'Kế hoạch chèn link (mới)'!$I$3:$I$2213,"Đã chèn")&gt;0,"Đang làm","Chưa hoàn thành"))</f>
        <v>Chưa hoàn thành</v>
      </c>
      <c r="E518" s="8" t="b">
        <f t="shared" si="2"/>
        <v>0</v>
      </c>
      <c r="F518" s="25"/>
      <c r="G518" s="25" t="str">
        <f>IFERROR(__xludf.DUMMYFUNCTION("IFERROR(INDEX(FILTER('Kế hoạch chèn link (mới)'!$C$3:$C$2213,'Kế hoạch chèn link (mới)'!$D$3:$D$2213=$B518),1),"""")"),"lãi suất gửi tiết kiệm ngân hàng")</f>
        <v>lãi suất gửi tiết kiệm ngân hàng</v>
      </c>
      <c r="H518" s="25" t="str">
        <f>IFERROR(__xludf.DUMMYFUNCTION("IFERROR(INDEX(FILTER('Kế hoạch chèn link (mới)'!$B$3:$B$2213,'Kế hoạch chèn link (mới)'!$D$3:$D$2213=$B518),1),"""")"),"https://techcombank.com/thong-tin/blog/lai-suat-tiet-kiem")</f>
        <v>https://techcombank.com/thong-tin/blog/lai-suat-tiet-kiem</v>
      </c>
      <c r="I518" s="25" t="str">
        <f>IFERROR(__xludf.DUMMYFUNCTION("IFERROR(INDEX(FILTER('Kế hoạch chèn link (mới)'!$C$3:$C$2213,'Kế hoạch chèn link (mới)'!$D$3:$D$2213=$B518),2),"""")"),"tính lãi suất tiết kiệm")</f>
        <v>tính lãi suất tiết kiệm</v>
      </c>
      <c r="J518" s="25" t="str">
        <f>IFERROR(__xludf.DUMMYFUNCTION("IFERROR(INDEX(FILTER('Kế hoạch chèn link (mới)'!$B$3:$B$2213,'Kế hoạch chèn link (mới)'!$D$3:$D$2213=$B518),2),"""")"),"https://techcombank.com/thong-tin/blog/cach-tinh-lai-suat-tien-gui-tiet-kiem")</f>
        <v>https://techcombank.com/thong-tin/blog/cach-tinh-lai-suat-tien-gui-tiet-kiem</v>
      </c>
      <c r="K518" s="25" t="str">
        <f>IFERROR(__xludf.DUMMYFUNCTION("IFERROR(INDEX(FILTER('Kế hoạch chèn link (mới)'!$C$3:$C$2213,'Kế hoạch chèn link (mới)'!$D$3:$D$2213=$B518),3),"""")"),"sổ tiết kiệm ngân hàng")</f>
        <v>sổ tiết kiệm ngân hàng</v>
      </c>
      <c r="L518" s="25" t="str">
        <f>IFERROR(__xludf.DUMMYFUNCTION("IFERROR(INDEX(FILTER('Kế hoạch chèn link (mới)'!$B$3:$B$2213,'Kế hoạch chèn link (mới)'!$D$3:$D$2213=$B518),3),"""")"),"https://techcombank.com/thong-tin/blog/so-tiet-kiem-ngan-hang")</f>
        <v>https://techcombank.com/thong-tin/blog/so-tiet-kiem-ngan-hang</v>
      </c>
      <c r="M518" s="25" t="str">
        <f>IFERROR(__xludf.DUMMYFUNCTION("IFERROR(INDEX(FILTER('Kế hoạch chèn link (mới)'!$C$3:$C$2213,'Kế hoạch chèn link (mới)'!$D$3:$D$2213=$B518),4),"""")"),"bảng tính lãi suất tiết kiệm")</f>
        <v>bảng tính lãi suất tiết kiệm</v>
      </c>
      <c r="N518" s="25" t="str">
        <f>IFERROR(__xludf.DUMMYFUNCTION("IFERROR(INDEX(FILTER('Kế hoạch chèn link (mới)'!$B$3:$B$2213,'Kế hoạch chèn link (mới)'!$D$3:$D$2213=$B518),4),"""")"),"https://techcombank.com/cong-cu-tien-ich/cong-cu-tinh-toan/bang-tinh-lai-suat-tiet-kiem")</f>
        <v>https://techcombank.com/cong-cu-tien-ich/cong-cu-tinh-toan/bang-tinh-lai-suat-tiet-kiem</v>
      </c>
      <c r="O518" s="25" t="str">
        <f>IFERROR(__xludf.DUMMYFUNCTION("IFERROR(INDEX(FILTER('Kế hoạch chèn link (mới)'!$C$3:$C$2213,'Kế hoạch chèn link (mới)'!$D$3:$D$2213=$B518),5),"""")"),"")</f>
        <v/>
      </c>
      <c r="P518" s="25" t="str">
        <f>IFERROR(__xludf.DUMMYFUNCTION("IFERROR(INDEX(FILTER('Kế hoạch chèn link (mới)'!$B$3:$B$2213,'Kế hoạch chèn link (mới)'!$D$3:$D$2213=$B518),5),"""")"),"")</f>
        <v/>
      </c>
    </row>
    <row r="519">
      <c r="A519" s="6">
        <f t="shared" si="1"/>
        <v>518</v>
      </c>
      <c r="B519" s="8" t="s">
        <v>3129</v>
      </c>
      <c r="C519" s="6">
        <f>COUNTIF('Kế hoạch chèn link (mới)'!$D$3:$D$2213,$B519)</f>
        <v>2</v>
      </c>
      <c r="D519" s="8" t="str">
        <f>IF(COUNTIFS('Kế hoạch chèn link (mới)'!$D$3:$D$2213,$B519,'Kế hoạch chèn link (mới)'!$I$3:$I$2213,"Đã chèn")&gt;=$C519,"Đã hoàn thành",IF(COUNTIFS('Kế hoạch chèn link (mới)'!$D$3:$D$2213,$B519,'Kế hoạch chèn link (mới)'!$I$3:$I$2213,"Đã chèn")&gt;0,"Đang làm","Chưa hoàn thành"))</f>
        <v>Chưa hoàn thành</v>
      </c>
      <c r="E519" s="8" t="b">
        <f t="shared" si="2"/>
        <v>0</v>
      </c>
      <c r="F519" s="25"/>
      <c r="G519" s="25" t="str">
        <f>IFERROR(__xludf.DUMMYFUNCTION("IFERROR(INDEX(FILTER('Kế hoạch chèn link (mới)'!$C$3:$C$2213,'Kế hoạch chèn link (mới)'!$D$3:$D$2213=$B519),1),"""")"),"lãi suất tiền gửi ngân hàng")</f>
        <v>lãi suất tiền gửi ngân hàng</v>
      </c>
      <c r="H519" s="25" t="str">
        <f>IFERROR(__xludf.DUMMYFUNCTION("IFERROR(INDEX(FILTER('Kế hoạch chèn link (mới)'!$B$3:$B$2213,'Kế hoạch chèn link (mới)'!$D$3:$D$2213=$B519),1),"""")"),"https://techcombank.com/thong-tin/blog/lai-suat-tiet-kiem")</f>
        <v>https://techcombank.com/thong-tin/blog/lai-suat-tiet-kiem</v>
      </c>
      <c r="I519" s="25" t="str">
        <f>IFERROR(__xludf.DUMMYFUNCTION("IFERROR(INDEX(FILTER('Kế hoạch chèn link (mới)'!$C$3:$C$2213,'Kế hoạch chèn link (mới)'!$D$3:$D$2213=$B519),2),"""")"),"tính lãi suất tiết kiệm")</f>
        <v>tính lãi suất tiết kiệm</v>
      </c>
      <c r="J519" s="25" t="str">
        <f>IFERROR(__xludf.DUMMYFUNCTION("IFERROR(INDEX(FILTER('Kế hoạch chèn link (mới)'!$B$3:$B$2213,'Kế hoạch chèn link (mới)'!$D$3:$D$2213=$B519),2),"""")"),"https://techcombank.com/thong-tin/blog/cach-tinh-lai-suat-tien-gui-tiet-kiem")</f>
        <v>https://techcombank.com/thong-tin/blog/cach-tinh-lai-suat-tien-gui-tiet-kiem</v>
      </c>
      <c r="K519" s="25" t="str">
        <f>IFERROR(__xludf.DUMMYFUNCTION("IFERROR(INDEX(FILTER('Kế hoạch chèn link (mới)'!$C$3:$C$2213,'Kế hoạch chèn link (mới)'!$D$3:$D$2213=$B519),3),"""")"),"")</f>
        <v/>
      </c>
      <c r="L519" s="25" t="str">
        <f>IFERROR(__xludf.DUMMYFUNCTION("IFERROR(INDEX(FILTER('Kế hoạch chèn link (mới)'!$B$3:$B$2213,'Kế hoạch chèn link (mới)'!$D$3:$D$2213=$B519),3),"""")"),"")</f>
        <v/>
      </c>
      <c r="M519" s="25" t="str">
        <f>IFERROR(__xludf.DUMMYFUNCTION("IFERROR(INDEX(FILTER('Kế hoạch chèn link (mới)'!$C$3:$C$2213,'Kế hoạch chèn link (mới)'!$D$3:$D$2213=$B519),4),"""")"),"")</f>
        <v/>
      </c>
      <c r="N519" s="25" t="str">
        <f>IFERROR(__xludf.DUMMYFUNCTION("IFERROR(INDEX(FILTER('Kế hoạch chèn link (mới)'!$B$3:$B$2213,'Kế hoạch chèn link (mới)'!$D$3:$D$2213=$B519),4),"""")"),"")</f>
        <v/>
      </c>
      <c r="O519" s="25" t="str">
        <f>IFERROR(__xludf.DUMMYFUNCTION("IFERROR(INDEX(FILTER('Kế hoạch chèn link (mới)'!$C$3:$C$2213,'Kế hoạch chèn link (mới)'!$D$3:$D$2213=$B519),5),"""")"),"")</f>
        <v/>
      </c>
      <c r="P519" s="25" t="str">
        <f>IFERROR(__xludf.DUMMYFUNCTION("IFERROR(INDEX(FILTER('Kế hoạch chèn link (mới)'!$B$3:$B$2213,'Kế hoạch chèn link (mới)'!$D$3:$D$2213=$B519),5),"""")"),"")</f>
        <v/>
      </c>
    </row>
    <row r="520">
      <c r="A520" s="6">
        <f t="shared" si="1"/>
        <v>519</v>
      </c>
      <c r="B520" s="8" t="s">
        <v>3130</v>
      </c>
      <c r="C520" s="6">
        <f>COUNTIF('Kế hoạch chèn link (mới)'!$D$3:$D$2213,$B520)</f>
        <v>3</v>
      </c>
      <c r="D520" s="8" t="str">
        <f>IF(COUNTIFS('Kế hoạch chèn link (mới)'!$D$3:$D$2213,$B520,'Kế hoạch chèn link (mới)'!$I$3:$I$2213,"Đã chèn")&gt;=$C520,"Đã hoàn thành",IF(COUNTIFS('Kế hoạch chèn link (mới)'!$D$3:$D$2213,$B520,'Kế hoạch chèn link (mới)'!$I$3:$I$2213,"Đã chèn")&gt;0,"Đang làm","Chưa hoàn thành"))</f>
        <v>Chưa hoàn thành</v>
      </c>
      <c r="E520" s="8" t="b">
        <f t="shared" si="2"/>
        <v>0</v>
      </c>
      <c r="F520" s="25"/>
      <c r="G520" s="25" t="str">
        <f>IFERROR(__xludf.DUMMYFUNCTION("IFERROR(INDEX(FILTER('Kế hoạch chèn link (mới)'!$C$3:$C$2213,'Kế hoạch chèn link (mới)'!$D$3:$D$2213=$B520),1),"""")"),"lãi suất gửi tiết kiệm ngân hàng")</f>
        <v>lãi suất gửi tiết kiệm ngân hàng</v>
      </c>
      <c r="H520" s="25" t="str">
        <f>IFERROR(__xludf.DUMMYFUNCTION("IFERROR(INDEX(FILTER('Kế hoạch chèn link (mới)'!$B$3:$B$2213,'Kế hoạch chèn link (mới)'!$D$3:$D$2213=$B520),1),"""")"),"https://techcombank.com/thong-tin/blog/lai-suat-tiet-kiem")</f>
        <v>https://techcombank.com/thong-tin/blog/lai-suat-tiet-kiem</v>
      </c>
      <c r="I520" s="25" t="str">
        <f>IFERROR(__xludf.DUMMYFUNCTION("IFERROR(INDEX(FILTER('Kế hoạch chèn link (mới)'!$C$3:$C$2213,'Kế hoạch chèn link (mới)'!$D$3:$D$2213=$B520),2),"""")"),"tính lãi suất tiết kiệm")</f>
        <v>tính lãi suất tiết kiệm</v>
      </c>
      <c r="J520" s="25" t="str">
        <f>IFERROR(__xludf.DUMMYFUNCTION("IFERROR(INDEX(FILTER('Kế hoạch chèn link (mới)'!$B$3:$B$2213,'Kế hoạch chèn link (mới)'!$D$3:$D$2213=$B520),2),"""")"),"https://techcombank.com/thong-tin/blog/cach-tinh-lai-suat-tien-gui-tiet-kiem")</f>
        <v>https://techcombank.com/thong-tin/blog/cach-tinh-lai-suat-tien-gui-tiet-kiem</v>
      </c>
      <c r="K520" s="25" t="str">
        <f>IFERROR(__xludf.DUMMYFUNCTION("IFERROR(INDEX(FILTER('Kế hoạch chèn link (mới)'!$C$3:$C$2213,'Kế hoạch chèn link (mới)'!$D$3:$D$2213=$B520),3),"""")"),"cách tiết kiệm tiền")</f>
        <v>cách tiết kiệm tiền</v>
      </c>
      <c r="L520" s="25" t="str">
        <f>IFERROR(__xludf.DUMMYFUNCTION("IFERROR(INDEX(FILTER('Kế hoạch chèn link (mới)'!$B$3:$B$2213,'Kế hoạch chèn link (mới)'!$D$3:$D$2213=$B520),3),"""")"),"https://techcombank.com/thong-tin/blog/cach-tiet-kiem-tien")</f>
        <v>https://techcombank.com/thong-tin/blog/cach-tiet-kiem-tien</v>
      </c>
      <c r="M520" s="25" t="str">
        <f>IFERROR(__xludf.DUMMYFUNCTION("IFERROR(INDEX(FILTER('Kế hoạch chèn link (mới)'!$C$3:$C$2213,'Kế hoạch chèn link (mới)'!$D$3:$D$2213=$B520),4),"""")"),"")</f>
        <v/>
      </c>
      <c r="N520" s="25" t="str">
        <f>IFERROR(__xludf.DUMMYFUNCTION("IFERROR(INDEX(FILTER('Kế hoạch chèn link (mới)'!$B$3:$B$2213,'Kế hoạch chèn link (mới)'!$D$3:$D$2213=$B520),4),"""")"),"")</f>
        <v/>
      </c>
      <c r="O520" s="25" t="str">
        <f>IFERROR(__xludf.DUMMYFUNCTION("IFERROR(INDEX(FILTER('Kế hoạch chèn link (mới)'!$C$3:$C$2213,'Kế hoạch chèn link (mới)'!$D$3:$D$2213=$B520),5),"""")"),"")</f>
        <v/>
      </c>
      <c r="P520" s="25" t="str">
        <f>IFERROR(__xludf.DUMMYFUNCTION("IFERROR(INDEX(FILTER('Kế hoạch chèn link (mới)'!$B$3:$B$2213,'Kế hoạch chèn link (mới)'!$D$3:$D$2213=$B520),5),"""")"),"")</f>
        <v/>
      </c>
    </row>
    <row r="521">
      <c r="A521" s="6">
        <f t="shared" si="1"/>
        <v>520</v>
      </c>
      <c r="B521" s="8" t="s">
        <v>3131</v>
      </c>
      <c r="C521" s="6">
        <f>COUNTIF('Kế hoạch chèn link (mới)'!$D$3:$D$2213,$B521)</f>
        <v>5</v>
      </c>
      <c r="D521" s="8" t="str">
        <f>IF(COUNTIFS('Kế hoạch chèn link (mới)'!$D$3:$D$2213,$B521,'Kế hoạch chèn link (mới)'!$I$3:$I$2213,"Đã chèn")&gt;=$C521,"Đã hoàn thành",IF(COUNTIFS('Kế hoạch chèn link (mới)'!$D$3:$D$2213,$B521,'Kế hoạch chèn link (mới)'!$I$3:$I$2213,"Đã chèn")&gt;0,"Đang làm","Chưa hoàn thành"))</f>
        <v>Chưa hoàn thành</v>
      </c>
      <c r="E521" s="8" t="b">
        <f t="shared" si="2"/>
        <v>0</v>
      </c>
      <c r="F521" s="25"/>
      <c r="G521" s="25" t="str">
        <f>IFERROR(__xludf.DUMMYFUNCTION("IFERROR(INDEX(FILTER('Kế hoạch chèn link (mới)'!$C$3:$C$2213,'Kế hoạch chèn link (mới)'!$D$3:$D$2213=$B521),1),"""")"),"chứng chỉ tiền gửi")</f>
        <v>chứng chỉ tiền gửi</v>
      </c>
      <c r="H521" s="25" t="str">
        <f>IFERROR(__xludf.DUMMYFUNCTION("IFERROR(INDEX(FILTER('Kế hoạch chèn link (mới)'!$B$3:$B$2213,'Kế hoạch chèn link (mới)'!$D$3:$D$2213=$B521),1),"""")"),"https://techcombank.com/thong-tin/blog/chung-chi-tien-gui-la-gi")</f>
        <v>https://techcombank.com/thong-tin/blog/chung-chi-tien-gui-la-gi</v>
      </c>
      <c r="I521" s="25" t="str">
        <f>IFERROR(__xludf.DUMMYFUNCTION("IFERROR(INDEX(FILTER('Kế hoạch chèn link (mới)'!$C$3:$C$2213,'Kế hoạch chèn link (mới)'!$D$3:$D$2213=$B521),2),"""")"),"lãi suất ngân hàng hiện nay")</f>
        <v>lãi suất ngân hàng hiện nay</v>
      </c>
      <c r="J521" s="25" t="str">
        <f>IFERROR(__xludf.DUMMYFUNCTION("IFERROR(INDEX(FILTER('Kế hoạch chèn link (mới)'!$B$3:$B$2213,'Kế hoạch chèn link (mới)'!$D$3:$D$2213=$B521),2),"""")"),"https://techcombank.com/thong-tin/blog/lai-suat-tiet-kiem")</f>
        <v>https://techcombank.com/thong-tin/blog/lai-suat-tiet-kiem</v>
      </c>
      <c r="K521" s="25" t="str">
        <f>IFERROR(__xludf.DUMMYFUNCTION("IFERROR(INDEX(FILTER('Kế hoạch chèn link (mới)'!$C$3:$C$2213,'Kế hoạch chèn link (mới)'!$D$3:$D$2213=$B521),3),"""")"),"tính lãi suất ngân hàng")</f>
        <v>tính lãi suất ngân hàng</v>
      </c>
      <c r="L521" s="25" t="str">
        <f>IFERROR(__xludf.DUMMYFUNCTION("IFERROR(INDEX(FILTER('Kế hoạch chèn link (mới)'!$B$3:$B$2213,'Kế hoạch chèn link (mới)'!$D$3:$D$2213=$B521),3),"""")"),"https://techcombank.com/thong-tin/blog/cach-tinh-lai-suat-tien-gui-tiet-kiem")</f>
        <v>https://techcombank.com/thong-tin/blog/cach-tinh-lai-suat-tien-gui-tiet-kiem</v>
      </c>
      <c r="M521" s="25" t="str">
        <f>IFERROR(__xludf.DUMMYFUNCTION("IFERROR(INDEX(FILTER('Kế hoạch chèn link (mới)'!$C$3:$C$2213,'Kế hoạch chèn link (mới)'!$D$3:$D$2213=$B521),4),"""")"),"rút tiết kiệm trước hạn")</f>
        <v>rút tiết kiệm trước hạn</v>
      </c>
      <c r="N521" s="25" t="str">
        <f>IFERROR(__xludf.DUMMYFUNCTION("IFERROR(INDEX(FILTER('Kế hoạch chèn link (mới)'!$B$3:$B$2213,'Kế hoạch chèn link (mới)'!$D$3:$D$2213=$B521),4),"""")"),"https://techcombank.com/thong-tin/blog/rut-tien-tiet-kiem-truoc-thoi-han")</f>
        <v>https://techcombank.com/thong-tin/blog/rut-tien-tiet-kiem-truoc-thoi-han</v>
      </c>
      <c r="O521" s="25" t="str">
        <f>IFERROR(__xludf.DUMMYFUNCTION("IFERROR(INDEX(FILTER('Kế hoạch chèn link (mới)'!$C$3:$C$2213,'Kế hoạch chèn link (mới)'!$D$3:$D$2213=$B521),5),"""")"),"sổ tiết kiệm ngân hàng")</f>
        <v>sổ tiết kiệm ngân hàng</v>
      </c>
      <c r="P521" s="25" t="str">
        <f>IFERROR(__xludf.DUMMYFUNCTION("IFERROR(INDEX(FILTER('Kế hoạch chèn link (mới)'!$B$3:$B$2213,'Kế hoạch chèn link (mới)'!$D$3:$D$2213=$B521),5),"""")"),"https://techcombank.com/thong-tin/blog/so-tiet-kiem-ngan-hang")</f>
        <v>https://techcombank.com/thong-tin/blog/so-tiet-kiem-ngan-hang</v>
      </c>
    </row>
    <row r="522">
      <c r="A522" s="6">
        <f t="shared" si="1"/>
        <v>521</v>
      </c>
      <c r="B522" s="8" t="s">
        <v>3132</v>
      </c>
      <c r="C522" s="6">
        <f>COUNTIF('Kế hoạch chèn link (mới)'!$D$3:$D$2213,$B522)</f>
        <v>1</v>
      </c>
      <c r="D522" s="8" t="str">
        <f>IF(COUNTIFS('Kế hoạch chèn link (mới)'!$D$3:$D$2213,$B522,'Kế hoạch chèn link (mới)'!$I$3:$I$2213,"Đã chèn")&gt;=$C522,"Đã hoàn thành",IF(COUNTIFS('Kế hoạch chèn link (mới)'!$D$3:$D$2213,$B522,'Kế hoạch chèn link (mới)'!$I$3:$I$2213,"Đã chèn")&gt;0,"Đang làm","Chưa hoàn thành"))</f>
        <v>Chưa hoàn thành</v>
      </c>
      <c r="E522" s="8" t="b">
        <f t="shared" si="2"/>
        <v>0</v>
      </c>
      <c r="F522" s="25"/>
      <c r="G522" s="25" t="str">
        <f>IFERROR(__xludf.DUMMYFUNCTION("IFERROR(INDEX(FILTER('Kế hoạch chèn link (mới)'!$C$3:$C$2213,'Kế hoạch chèn link (mới)'!$D$3:$D$2213=$B522),1),"""")"),"cách gửi mã QR ngân hàng")</f>
        <v>cách gửi mã QR ngân hàng</v>
      </c>
      <c r="H522" s="25" t="str">
        <f>IFERROR(__xludf.DUMMYFUNCTION("IFERROR(INDEX(FILTER('Kế hoạch chèn link (mới)'!$B$3:$B$2213,'Kế hoạch chèn link (mới)'!$D$3:$D$2213=$B522),1),"""")"),"https://techcombank.com/thong-tin/blog/gui-ma-qr-ngan-hang")</f>
        <v>https://techcombank.com/thong-tin/blog/gui-ma-qr-ngan-hang</v>
      </c>
      <c r="I522" s="25" t="str">
        <f>IFERROR(__xludf.DUMMYFUNCTION("IFERROR(INDEX(FILTER('Kế hoạch chèn link (mới)'!$C$3:$C$2213,'Kế hoạch chèn link (mới)'!$D$3:$D$2213=$B522),2),"""")"),"")</f>
        <v/>
      </c>
      <c r="J522" s="25" t="str">
        <f>IFERROR(__xludf.DUMMYFUNCTION("IFERROR(INDEX(FILTER('Kế hoạch chèn link (mới)'!$B$3:$B$2213,'Kế hoạch chèn link (mới)'!$D$3:$D$2213=$B522),2),"""")"),"")</f>
        <v/>
      </c>
      <c r="K522" s="25" t="str">
        <f>IFERROR(__xludf.DUMMYFUNCTION("IFERROR(INDEX(FILTER('Kế hoạch chèn link (mới)'!$C$3:$C$2213,'Kế hoạch chèn link (mới)'!$D$3:$D$2213=$B522),3),"""")"),"")</f>
        <v/>
      </c>
      <c r="L522" s="25" t="str">
        <f>IFERROR(__xludf.DUMMYFUNCTION("IFERROR(INDEX(FILTER('Kế hoạch chèn link (mới)'!$B$3:$B$2213,'Kế hoạch chèn link (mới)'!$D$3:$D$2213=$B522),3),"""")"),"")</f>
        <v/>
      </c>
      <c r="M522" s="25" t="str">
        <f>IFERROR(__xludf.DUMMYFUNCTION("IFERROR(INDEX(FILTER('Kế hoạch chèn link (mới)'!$C$3:$C$2213,'Kế hoạch chèn link (mới)'!$D$3:$D$2213=$B522),4),"""")"),"")</f>
        <v/>
      </c>
      <c r="N522" s="25" t="str">
        <f>IFERROR(__xludf.DUMMYFUNCTION("IFERROR(INDEX(FILTER('Kế hoạch chèn link (mới)'!$B$3:$B$2213,'Kế hoạch chèn link (mới)'!$D$3:$D$2213=$B522),4),"""")"),"")</f>
        <v/>
      </c>
      <c r="O522" s="25" t="str">
        <f>IFERROR(__xludf.DUMMYFUNCTION("IFERROR(INDEX(FILTER('Kế hoạch chèn link (mới)'!$C$3:$C$2213,'Kế hoạch chèn link (mới)'!$D$3:$D$2213=$B522),5),"""")"),"")</f>
        <v/>
      </c>
      <c r="P522" s="25" t="str">
        <f>IFERROR(__xludf.DUMMYFUNCTION("IFERROR(INDEX(FILTER('Kế hoạch chèn link (mới)'!$B$3:$B$2213,'Kế hoạch chèn link (mới)'!$D$3:$D$2213=$B522),5),"""")"),"")</f>
        <v/>
      </c>
    </row>
    <row r="523">
      <c r="A523" s="6">
        <f t="shared" si="1"/>
        <v>522</v>
      </c>
      <c r="B523" s="8" t="s">
        <v>3134</v>
      </c>
      <c r="C523" s="6">
        <f>COUNTIF('Kế hoạch chèn link (mới)'!$D$3:$D$2213,$B523)</f>
        <v>2</v>
      </c>
      <c r="D523" s="8" t="str">
        <f>IF(COUNTIFS('Kế hoạch chèn link (mới)'!$D$3:$D$2213,$B523,'Kế hoạch chèn link (mới)'!$I$3:$I$2213,"Đã chèn")&gt;=$C523,"Đã hoàn thành",IF(COUNTIFS('Kế hoạch chèn link (mới)'!$D$3:$D$2213,$B523,'Kế hoạch chèn link (mới)'!$I$3:$I$2213,"Đã chèn")&gt;0,"Đang làm","Chưa hoàn thành"))</f>
        <v>Chưa hoàn thành</v>
      </c>
      <c r="E523" s="8" t="b">
        <f t="shared" si="2"/>
        <v>0</v>
      </c>
      <c r="F523" s="25"/>
      <c r="G523" s="25" t="str">
        <f>IFERROR(__xludf.DUMMYFUNCTION("IFERROR(INDEX(FILTER('Kế hoạch chèn link (mới)'!$C$3:$C$2213,'Kế hoạch chèn link (mới)'!$D$3:$D$2213=$B523),1),"""")"),"vay")</f>
        <v>vay</v>
      </c>
      <c r="H523" s="25" t="str">
        <f>IFERROR(__xludf.DUMMYFUNCTION("IFERROR(INDEX(FILTER('Kế hoạch chèn link (mới)'!$B$3:$B$2213,'Kế hoạch chèn link (mới)'!$D$3:$D$2213=$B523),1),"""")"),"https://techcombank.com/thong-tin/blog/app-vay-tien-nhanh")</f>
        <v>https://techcombank.com/thong-tin/blog/app-vay-tien-nhanh</v>
      </c>
      <c r="I523" s="25" t="str">
        <f>IFERROR(__xludf.DUMMYFUNCTION("IFERROR(INDEX(FILTER('Kế hoạch chèn link (mới)'!$C$3:$C$2213,'Kế hoạch chèn link (mới)'!$D$3:$D$2213=$B523),2),"""")"),"vay thấu chi")</f>
        <v>vay thấu chi</v>
      </c>
      <c r="J523" s="25" t="str">
        <f>IFERROR(__xludf.DUMMYFUNCTION("IFERROR(INDEX(FILTER('Kế hoạch chèn link (mới)'!$B$3:$B$2213,'Kế hoạch chèn link (mới)'!$D$3:$D$2213=$B523),2),"""")"),"https://techcombank.com/thong-tin/blog/vay-thau-chi-la-gi")</f>
        <v>https://techcombank.com/thong-tin/blog/vay-thau-chi-la-gi</v>
      </c>
      <c r="K523" s="25" t="str">
        <f>IFERROR(__xludf.DUMMYFUNCTION("IFERROR(INDEX(FILTER('Kế hoạch chèn link (mới)'!$C$3:$C$2213,'Kế hoạch chèn link (mới)'!$D$3:$D$2213=$B523),3),"""")"),"")</f>
        <v/>
      </c>
      <c r="L523" s="25" t="str">
        <f>IFERROR(__xludf.DUMMYFUNCTION("IFERROR(INDEX(FILTER('Kế hoạch chèn link (mới)'!$B$3:$B$2213,'Kế hoạch chèn link (mới)'!$D$3:$D$2213=$B523),3),"""")"),"")</f>
        <v/>
      </c>
      <c r="M523" s="25" t="str">
        <f>IFERROR(__xludf.DUMMYFUNCTION("IFERROR(INDEX(FILTER('Kế hoạch chèn link (mới)'!$C$3:$C$2213,'Kế hoạch chèn link (mới)'!$D$3:$D$2213=$B523),4),"""")"),"")</f>
        <v/>
      </c>
      <c r="N523" s="25" t="str">
        <f>IFERROR(__xludf.DUMMYFUNCTION("IFERROR(INDEX(FILTER('Kế hoạch chèn link (mới)'!$B$3:$B$2213,'Kế hoạch chèn link (mới)'!$D$3:$D$2213=$B523),4),"""")"),"")</f>
        <v/>
      </c>
      <c r="O523" s="25" t="str">
        <f>IFERROR(__xludf.DUMMYFUNCTION("IFERROR(INDEX(FILTER('Kế hoạch chèn link (mới)'!$C$3:$C$2213,'Kế hoạch chèn link (mới)'!$D$3:$D$2213=$B523),5),"""")"),"")</f>
        <v/>
      </c>
      <c r="P523" s="25" t="str">
        <f>IFERROR(__xludf.DUMMYFUNCTION("IFERROR(INDEX(FILTER('Kế hoạch chèn link (mới)'!$B$3:$B$2213,'Kế hoạch chèn link (mới)'!$D$3:$D$2213=$B523),5),"""")"),"")</f>
        <v/>
      </c>
    </row>
    <row r="524">
      <c r="A524" s="6">
        <f t="shared" si="1"/>
        <v>523</v>
      </c>
      <c r="B524" s="8" t="s">
        <v>3135</v>
      </c>
      <c r="C524" s="6">
        <f>COUNTIF('Kế hoạch chèn link (mới)'!$D$3:$D$2213,$B524)</f>
        <v>5</v>
      </c>
      <c r="D524" s="8" t="str">
        <f>IF(COUNTIFS('Kế hoạch chèn link (mới)'!$D$3:$D$2213,$B524,'Kế hoạch chèn link (mới)'!$I$3:$I$2213,"Đã chèn")&gt;=$C524,"Đã hoàn thành",IF(COUNTIFS('Kế hoạch chèn link (mới)'!$D$3:$D$2213,$B524,'Kế hoạch chèn link (mới)'!$I$3:$I$2213,"Đã chèn")&gt;0,"Đang làm","Chưa hoàn thành"))</f>
        <v>Chưa hoàn thành</v>
      </c>
      <c r="E524" s="8" t="b">
        <f t="shared" si="2"/>
        <v>0</v>
      </c>
      <c r="F524" s="25"/>
      <c r="G524" s="25" t="str">
        <f>IFERROR(__xludf.DUMMYFUNCTION("IFERROR(INDEX(FILTER('Kế hoạch chèn link (mới)'!$C$3:$C$2213,'Kế hoạch chèn link (mới)'!$D$3:$D$2213=$B524),1),"""")"),"chứng chỉ tiền gửi")</f>
        <v>chứng chỉ tiền gửi</v>
      </c>
      <c r="H524" s="25" t="str">
        <f>IFERROR(__xludf.DUMMYFUNCTION("IFERROR(INDEX(FILTER('Kế hoạch chèn link (mới)'!$B$3:$B$2213,'Kế hoạch chèn link (mới)'!$D$3:$D$2213=$B524),1),"""")"),"https://techcombank.com/thong-tin/blog/chung-chi-tien-gui-la-gi")</f>
        <v>https://techcombank.com/thong-tin/blog/chung-chi-tien-gui-la-gi</v>
      </c>
      <c r="I524" s="25" t="str">
        <f>IFERROR(__xludf.DUMMYFUNCTION("IFERROR(INDEX(FILTER('Kế hoạch chèn link (mới)'!$C$3:$C$2213,'Kế hoạch chèn link (mới)'!$D$3:$D$2213=$B524),2),"""")"),"hồ sơ thủ tục xóa thế chấp")</f>
        <v>hồ sơ thủ tục xóa thế chấp</v>
      </c>
      <c r="J524" s="25" t="str">
        <f>IFERROR(__xludf.DUMMYFUNCTION("IFERROR(INDEX(FILTER('Kế hoạch chèn link (mới)'!$B$3:$B$2213,'Kế hoạch chèn link (mới)'!$D$3:$D$2213=$B524),2),"""")"),"https://techcombank.com/thong-tin/blog/ho-so-thu-tuc-xoa-the-chap")</f>
        <v>https://techcombank.com/thong-tin/blog/ho-so-thu-tuc-xoa-the-chap</v>
      </c>
      <c r="K524" s="25" t="str">
        <f>IFERROR(__xludf.DUMMYFUNCTION("IFERROR(INDEX(FILTER('Kế hoạch chèn link (mới)'!$C$3:$C$2213,'Kế hoạch chèn link (mới)'!$D$3:$D$2213=$B524),3),"""")"),"lãi suất ngân hàng")</f>
        <v>lãi suất ngân hàng</v>
      </c>
      <c r="L524" s="25" t="str">
        <f>IFERROR(__xludf.DUMMYFUNCTION("IFERROR(INDEX(FILTER('Kế hoạch chèn link (mới)'!$B$3:$B$2213,'Kế hoạch chèn link (mới)'!$D$3:$D$2213=$B524),3),"""")"),"https://techcombank.com/thong-tin/blog/lai-suat-tiet-kiem")</f>
        <v>https://techcombank.com/thong-tin/blog/lai-suat-tiet-kiem</v>
      </c>
      <c r="M524" s="25" t="str">
        <f>IFERROR(__xludf.DUMMYFUNCTION("IFERROR(INDEX(FILTER('Kế hoạch chèn link (mới)'!$C$3:$C$2213,'Kế hoạch chèn link (mới)'!$D$3:$D$2213=$B524),4),"""")"),"sổ tiết kiệm")</f>
        <v>sổ tiết kiệm</v>
      </c>
      <c r="N524" s="25" t="str">
        <f>IFERROR(__xludf.DUMMYFUNCTION("IFERROR(INDEX(FILTER('Kế hoạch chèn link (mới)'!$B$3:$B$2213,'Kế hoạch chèn link (mới)'!$D$3:$D$2213=$B524),4),"""")"),"https://techcombank.com/thong-tin/blog/so-tiet-kiem-ngan-hang")</f>
        <v>https://techcombank.com/thong-tin/blog/so-tiet-kiem-ngan-hang</v>
      </c>
      <c r="O524" s="25" t="str">
        <f>IFERROR(__xludf.DUMMYFUNCTION("IFERROR(INDEX(FILTER('Kế hoạch chèn link (mới)'!$C$3:$C$2213,'Kế hoạch chèn link (mới)'!$D$3:$D$2213=$B524),5),"""")"),"vay")</f>
        <v>vay</v>
      </c>
      <c r="P524" s="25" t="str">
        <f>IFERROR(__xludf.DUMMYFUNCTION("IFERROR(INDEX(FILTER('Kế hoạch chèn link (mới)'!$B$3:$B$2213,'Kế hoạch chèn link (mới)'!$D$3:$D$2213=$B524),5),"""")"),"https://techcombank.com/thong-tin/blog/app-vay-tien-nhanh")</f>
        <v>https://techcombank.com/thong-tin/blog/app-vay-tien-nhanh</v>
      </c>
    </row>
    <row r="525">
      <c r="A525" s="6">
        <f t="shared" si="1"/>
        <v>524</v>
      </c>
      <c r="B525" s="8" t="s">
        <v>3137</v>
      </c>
      <c r="C525" s="6">
        <f>COUNTIF('Kế hoạch chèn link (mới)'!$D$3:$D$2213,$B525)</f>
        <v>3</v>
      </c>
      <c r="D525" s="8" t="str">
        <f>IF(COUNTIFS('Kế hoạch chèn link (mới)'!$D$3:$D$2213,$B525,'Kế hoạch chèn link (mới)'!$I$3:$I$2213,"Đã chèn")&gt;=$C525,"Đã hoàn thành",IF(COUNTIFS('Kế hoạch chèn link (mới)'!$D$3:$D$2213,$B525,'Kế hoạch chèn link (mới)'!$I$3:$I$2213,"Đã chèn")&gt;0,"Đang làm","Chưa hoàn thành"))</f>
        <v>Chưa hoàn thành</v>
      </c>
      <c r="E525" s="8" t="b">
        <f t="shared" si="2"/>
        <v>0</v>
      </c>
      <c r="F525" s="25"/>
      <c r="G525" s="25" t="str">
        <f>IFERROR(__xludf.DUMMYFUNCTION("IFERROR(INDEX(FILTER('Kế hoạch chèn link (mới)'!$C$3:$C$2213,'Kế hoạch chèn link (mới)'!$D$3:$D$2213=$B525),1),"""")"),"chứng chỉ tiền gửi")</f>
        <v>chứng chỉ tiền gửi</v>
      </c>
      <c r="H525" s="25" t="str">
        <f>IFERROR(__xludf.DUMMYFUNCTION("IFERROR(INDEX(FILTER('Kế hoạch chèn link (mới)'!$B$3:$B$2213,'Kế hoạch chèn link (mới)'!$D$3:$D$2213=$B525),1),"""")"),"https://techcombank.com/thong-tin/blog/chung-chi-tien-gui-la-gi")</f>
        <v>https://techcombank.com/thong-tin/blog/chung-chi-tien-gui-la-gi</v>
      </c>
      <c r="I525" s="25" t="str">
        <f>IFERROR(__xludf.DUMMYFUNCTION("IFERROR(INDEX(FILTER('Kế hoạch chèn link (mới)'!$C$3:$C$2213,'Kế hoạch chèn link (mới)'!$D$3:$D$2213=$B525),2),"""")"),"lãi suất chứng chỉ tiền gửi")</f>
        <v>lãi suất chứng chỉ tiền gửi</v>
      </c>
      <c r="J525" s="25" t="str">
        <f>IFERROR(__xludf.DUMMYFUNCTION("IFERROR(INDEX(FILTER('Kế hoạch chèn link (mới)'!$B$3:$B$2213,'Kế hoạch chèn link (mới)'!$D$3:$D$2213=$B525),2),"""")"),"https://techcombank.com/thong-tin/blog/lai-suat-chung-chi-tien-gui-cac-ngan-hang")</f>
        <v>https://techcombank.com/thong-tin/blog/lai-suat-chung-chi-tien-gui-cac-ngan-hang</v>
      </c>
      <c r="K525" s="25" t="str">
        <f>IFERROR(__xludf.DUMMYFUNCTION("IFERROR(INDEX(FILTER('Kế hoạch chèn link (mới)'!$C$3:$C$2213,'Kế hoạch chèn link (mới)'!$D$3:$D$2213=$B525),3),"""")"),"lãi suất ngân hàng")</f>
        <v>lãi suất ngân hàng</v>
      </c>
      <c r="L525" s="25" t="str">
        <f>IFERROR(__xludf.DUMMYFUNCTION("IFERROR(INDEX(FILTER('Kế hoạch chèn link (mới)'!$B$3:$B$2213,'Kế hoạch chèn link (mới)'!$D$3:$D$2213=$B525),3),"""")"),"https://techcombank.com/thong-tin/blog/lai-suat-tiet-kiem")</f>
        <v>https://techcombank.com/thong-tin/blog/lai-suat-tiet-kiem</v>
      </c>
      <c r="M525" s="25" t="str">
        <f>IFERROR(__xludf.DUMMYFUNCTION("IFERROR(INDEX(FILTER('Kế hoạch chèn link (mới)'!$C$3:$C$2213,'Kế hoạch chèn link (mới)'!$D$3:$D$2213=$B525),4),"""")"),"")</f>
        <v/>
      </c>
      <c r="N525" s="25" t="str">
        <f>IFERROR(__xludf.DUMMYFUNCTION("IFERROR(INDEX(FILTER('Kế hoạch chèn link (mới)'!$B$3:$B$2213,'Kế hoạch chèn link (mới)'!$D$3:$D$2213=$B525),4),"""")"),"")</f>
        <v/>
      </c>
      <c r="O525" s="25" t="str">
        <f>IFERROR(__xludf.DUMMYFUNCTION("IFERROR(INDEX(FILTER('Kế hoạch chèn link (mới)'!$C$3:$C$2213,'Kế hoạch chèn link (mới)'!$D$3:$D$2213=$B525),5),"""")"),"")</f>
        <v/>
      </c>
      <c r="P525" s="25" t="str">
        <f>IFERROR(__xludf.DUMMYFUNCTION("IFERROR(INDEX(FILTER('Kế hoạch chèn link (mới)'!$B$3:$B$2213,'Kế hoạch chèn link (mới)'!$D$3:$D$2213=$B525),5),"""")"),"")</f>
        <v/>
      </c>
    </row>
    <row r="526">
      <c r="A526" s="6">
        <f t="shared" si="1"/>
        <v>525</v>
      </c>
      <c r="B526" s="8" t="s">
        <v>3138</v>
      </c>
      <c r="C526" s="6">
        <f>COUNTIF('Kế hoạch chèn link (mới)'!$D$3:$D$2213,$B526)</f>
        <v>4</v>
      </c>
      <c r="D526" s="8" t="str">
        <f>IF(COUNTIFS('Kế hoạch chèn link (mới)'!$D$3:$D$2213,$B526,'Kế hoạch chèn link (mới)'!$I$3:$I$2213,"Đã chèn")&gt;=$C526,"Đã hoàn thành",IF(COUNTIFS('Kế hoạch chèn link (mới)'!$D$3:$D$2213,$B526,'Kế hoạch chèn link (mới)'!$I$3:$I$2213,"Đã chèn")&gt;0,"Đang làm","Chưa hoàn thành"))</f>
        <v>Chưa hoàn thành</v>
      </c>
      <c r="E526" s="8" t="b">
        <f t="shared" si="2"/>
        <v>0</v>
      </c>
      <c r="F526" s="25"/>
      <c r="G526" s="25" t="str">
        <f>IFERROR(__xludf.DUMMYFUNCTION("IFERROR(INDEX(FILTER('Kế hoạch chèn link (mới)'!$C$3:$C$2213,'Kế hoạch chèn link (mới)'!$D$3:$D$2213=$B526),1),"""")"),"lãi suất ngân hàng tiền gửi")</f>
        <v>lãi suất ngân hàng tiền gửi</v>
      </c>
      <c r="H526" s="25" t="str">
        <f>IFERROR(__xludf.DUMMYFUNCTION("IFERROR(INDEX(FILTER('Kế hoạch chèn link (mới)'!$B$3:$B$2213,'Kế hoạch chèn link (mới)'!$D$3:$D$2213=$B526),1),"""")"),"https://techcombank.com/thong-tin/blog/lai-suat-tiet-kiem")</f>
        <v>https://techcombank.com/thong-tin/blog/lai-suat-tiet-kiem</v>
      </c>
      <c r="I526" s="25" t="str">
        <f>IFERROR(__xludf.DUMMYFUNCTION("IFERROR(INDEX(FILTER('Kế hoạch chèn link (mới)'!$C$3:$C$2213,'Kế hoạch chèn link (mới)'!$D$3:$D$2213=$B526),2),"""")"),"tính lãi suất tiết kiệm")</f>
        <v>tính lãi suất tiết kiệm</v>
      </c>
      <c r="J526" s="25" t="str">
        <f>IFERROR(__xludf.DUMMYFUNCTION("IFERROR(INDEX(FILTER('Kế hoạch chèn link (mới)'!$B$3:$B$2213,'Kế hoạch chèn link (mới)'!$D$3:$D$2213=$B526),2),"""")"),"https://techcombank.com/thong-tin/blog/cach-tinh-lai-suat-tien-gui-tiet-kiem")</f>
        <v>https://techcombank.com/thong-tin/blog/cach-tinh-lai-suat-tien-gui-tiet-kiem</v>
      </c>
      <c r="K526" s="25" t="str">
        <f>IFERROR(__xludf.DUMMYFUNCTION("IFERROR(INDEX(FILTER('Kế hoạch chèn link (mới)'!$C$3:$C$2213,'Kế hoạch chèn link (mới)'!$D$3:$D$2213=$B526),3),"""")"),"sổ tiết kiệm")</f>
        <v>sổ tiết kiệm</v>
      </c>
      <c r="L526" s="25" t="str">
        <f>IFERROR(__xludf.DUMMYFUNCTION("IFERROR(INDEX(FILTER('Kế hoạch chèn link (mới)'!$B$3:$B$2213,'Kế hoạch chèn link (mới)'!$D$3:$D$2213=$B526),3),"""")"),"https://techcombank.com/thong-tin/blog/so-tiet-kiem-ngan-hang")</f>
        <v>https://techcombank.com/thong-tin/blog/so-tiet-kiem-ngan-hang</v>
      </c>
      <c r="M526" s="25" t="str">
        <f>IFERROR(__xludf.DUMMYFUNCTION("IFERROR(INDEX(FILTER('Kế hoạch chèn link (mới)'!$C$3:$C$2213,'Kế hoạch chèn link (mới)'!$D$3:$D$2213=$B526),4),"""")"),"vay tiền")</f>
        <v>vay tiền</v>
      </c>
      <c r="N526" s="25" t="str">
        <f>IFERROR(__xludf.DUMMYFUNCTION("IFERROR(INDEX(FILTER('Kế hoạch chèn link (mới)'!$B$3:$B$2213,'Kế hoạch chèn link (mới)'!$D$3:$D$2213=$B526),4),"""")"),"https://techcombank.com/thong-tin/blog/app-vay-tien-nhanh")</f>
        <v>https://techcombank.com/thong-tin/blog/app-vay-tien-nhanh</v>
      </c>
      <c r="O526" s="25" t="str">
        <f>IFERROR(__xludf.DUMMYFUNCTION("IFERROR(INDEX(FILTER('Kế hoạch chèn link (mới)'!$C$3:$C$2213,'Kế hoạch chèn link (mới)'!$D$3:$D$2213=$B526),5),"""")"),"")</f>
        <v/>
      </c>
      <c r="P526" s="25" t="str">
        <f>IFERROR(__xludf.DUMMYFUNCTION("IFERROR(INDEX(FILTER('Kế hoạch chèn link (mới)'!$B$3:$B$2213,'Kế hoạch chèn link (mới)'!$D$3:$D$2213=$B526),5),"""")"),"")</f>
        <v/>
      </c>
    </row>
    <row r="527">
      <c r="A527" s="6">
        <f t="shared" si="1"/>
        <v>526</v>
      </c>
      <c r="B527" s="8" t="s">
        <v>1814</v>
      </c>
      <c r="C527" s="6">
        <f>COUNTIF('Kế hoạch chèn link (mới)'!$D$3:$D$2213,$B527)</f>
        <v>3</v>
      </c>
      <c r="D527" s="8" t="str">
        <f>IF(COUNTIFS('Kế hoạch chèn link (mới)'!$D$3:$D$2213,$B527,'Kế hoạch chèn link (mới)'!$I$3:$I$2213,"Đã chèn")&gt;=$C527,"Đã hoàn thành",IF(COUNTIFS('Kế hoạch chèn link (mới)'!$D$3:$D$2213,$B527,'Kế hoạch chèn link (mới)'!$I$3:$I$2213,"Đã chèn")&gt;0,"Đang làm","Chưa hoàn thành"))</f>
        <v>Chưa hoàn thành</v>
      </c>
      <c r="E527" s="8" t="b">
        <f t="shared" si="2"/>
        <v>0</v>
      </c>
      <c r="F527" s="25"/>
      <c r="G527" s="25" t="str">
        <f>IFERROR(__xludf.DUMMYFUNCTION("IFERROR(INDEX(FILTER('Kế hoạch chèn link (mới)'!$C$3:$C$2213,'Kế hoạch chèn link (mới)'!$D$3:$D$2213=$B527),1),"""")"),"cách tạo tài khoản ngân hàng")</f>
        <v>cách tạo tài khoản ngân hàng</v>
      </c>
      <c r="H527" s="25" t="str">
        <f>IFERROR(__xludf.DUMMYFUNCTION("IFERROR(INDEX(FILTER('Kế hoạch chèn link (mới)'!$B$3:$B$2213,'Kế hoạch chèn link (mới)'!$D$3:$D$2213=$B527),1),"""")"),"https://techcombank.com/thong-tin/blog/cach-mo-tai-khoan")</f>
        <v>https://techcombank.com/thong-tin/blog/cach-mo-tai-khoan</v>
      </c>
      <c r="I527" s="25" t="str">
        <f>IFERROR(__xludf.DUMMYFUNCTION("IFERROR(INDEX(FILTER('Kế hoạch chèn link (mới)'!$C$3:$C$2213,'Kế hoạch chèn link (mới)'!$D$3:$D$2213=$B527),2),"""")"),"lãi suất ngân hàng nào cao nhất")</f>
        <v>lãi suất ngân hàng nào cao nhất</v>
      </c>
      <c r="J527" s="25" t="str">
        <f>IFERROR(__xludf.DUMMYFUNCTION("IFERROR(INDEX(FILTER('Kế hoạch chèn link (mới)'!$B$3:$B$2213,'Kế hoạch chèn link (mới)'!$D$3:$D$2213=$B527),2),"""")"),"https://techcombank.com/thong-tin/blog/lai-suat-tiet-kiem")</f>
        <v>https://techcombank.com/thong-tin/blog/lai-suat-tiet-kiem</v>
      </c>
      <c r="K527" s="25" t="str">
        <f>IFERROR(__xludf.DUMMYFUNCTION("IFERROR(INDEX(FILTER('Kế hoạch chèn link (mới)'!$C$3:$C$2213,'Kế hoạch chèn link (mới)'!$D$3:$D$2213=$B527),3),"""")"),"tính lãi suất ngân hàng")</f>
        <v>tính lãi suất ngân hàng</v>
      </c>
      <c r="L527" s="25" t="str">
        <f>IFERROR(__xludf.DUMMYFUNCTION("IFERROR(INDEX(FILTER('Kế hoạch chèn link (mới)'!$B$3:$B$2213,'Kế hoạch chèn link (mới)'!$D$3:$D$2213=$B527),3),"""")"),"https://techcombank.com/thong-tin/blog/cach-tinh-lai-suat-tien-gui-tiet-kiem")</f>
        <v>https://techcombank.com/thong-tin/blog/cach-tinh-lai-suat-tien-gui-tiet-kiem</v>
      </c>
      <c r="M527" s="25" t="str">
        <f>IFERROR(__xludf.DUMMYFUNCTION("IFERROR(INDEX(FILTER('Kế hoạch chèn link (mới)'!$C$3:$C$2213,'Kế hoạch chèn link (mới)'!$D$3:$D$2213=$B527),4),"""")"),"")</f>
        <v/>
      </c>
      <c r="N527" s="25" t="str">
        <f>IFERROR(__xludf.DUMMYFUNCTION("IFERROR(INDEX(FILTER('Kế hoạch chèn link (mới)'!$B$3:$B$2213,'Kế hoạch chèn link (mới)'!$D$3:$D$2213=$B527),4),"""")"),"")</f>
        <v/>
      </c>
      <c r="O527" s="25" t="str">
        <f>IFERROR(__xludf.DUMMYFUNCTION("IFERROR(INDEX(FILTER('Kế hoạch chèn link (mới)'!$C$3:$C$2213,'Kế hoạch chèn link (mới)'!$D$3:$D$2213=$B527),5),"""")"),"")</f>
        <v/>
      </c>
      <c r="P527" s="25" t="str">
        <f>IFERROR(__xludf.DUMMYFUNCTION("IFERROR(INDEX(FILTER('Kế hoạch chèn link (mới)'!$B$3:$B$2213,'Kế hoạch chèn link (mới)'!$D$3:$D$2213=$B527),5),"""")"),"")</f>
        <v/>
      </c>
    </row>
    <row r="528">
      <c r="A528" s="6">
        <f t="shared" si="1"/>
        <v>527</v>
      </c>
      <c r="B528" s="8" t="s">
        <v>3142</v>
      </c>
      <c r="C528" s="6">
        <f>COUNTIF('Kế hoạch chèn link (mới)'!$D$3:$D$2213,$B528)</f>
        <v>3</v>
      </c>
      <c r="D528" s="8" t="str">
        <f>IF(COUNTIFS('Kế hoạch chèn link (mới)'!$D$3:$D$2213,$B528,'Kế hoạch chèn link (mới)'!$I$3:$I$2213,"Đã chèn")&gt;=$C528,"Đã hoàn thành",IF(COUNTIFS('Kế hoạch chèn link (mới)'!$D$3:$D$2213,$B528,'Kế hoạch chèn link (mới)'!$I$3:$I$2213,"Đã chèn")&gt;0,"Đang làm","Chưa hoàn thành"))</f>
        <v>Chưa hoàn thành</v>
      </c>
      <c r="E528" s="8" t="b">
        <f t="shared" si="2"/>
        <v>0</v>
      </c>
      <c r="F528" s="25"/>
      <c r="G528" s="25" t="str">
        <f>IFERROR(__xludf.DUMMYFUNCTION("IFERROR(INDEX(FILTER('Kế hoạch chèn link (mới)'!$C$3:$C$2213,'Kế hoạch chèn link (mới)'!$D$3:$D$2213=$B528),1),"""")"),"chứng chỉ tiền gửi")</f>
        <v>chứng chỉ tiền gửi</v>
      </c>
      <c r="H528" s="25" t="str">
        <f>IFERROR(__xludf.DUMMYFUNCTION("IFERROR(INDEX(FILTER('Kế hoạch chèn link (mới)'!$B$3:$B$2213,'Kế hoạch chèn link (mới)'!$D$3:$D$2213=$B528),1),"""")"),"https://techcombank.com/thong-tin/blog/chung-chi-tien-gui-la-gi")</f>
        <v>https://techcombank.com/thong-tin/blog/chung-chi-tien-gui-la-gi</v>
      </c>
      <c r="I528" s="25" t="str">
        <f>IFERROR(__xludf.DUMMYFUNCTION("IFERROR(INDEX(FILTER('Kế hoạch chèn link (mới)'!$C$3:$C$2213,'Kế hoạch chèn link (mới)'!$D$3:$D$2213=$B528),2),"""")"),"lợi suất chứng chỉ tiền gửi")</f>
        <v>lợi suất chứng chỉ tiền gửi</v>
      </c>
      <c r="J528" s="25" t="str">
        <f>IFERROR(__xludf.DUMMYFUNCTION("IFERROR(INDEX(FILTER('Kế hoạch chèn link (mới)'!$B$3:$B$2213,'Kế hoạch chèn link (mới)'!$D$3:$D$2213=$B528),2),"""")"),"https://techcombank.com/thong-tin/blog/lai-suat-chung-chi-tien-gui-cac-ngan-hang")</f>
        <v>https://techcombank.com/thong-tin/blog/lai-suat-chung-chi-tien-gui-cac-ngan-hang</v>
      </c>
      <c r="K528" s="25" t="str">
        <f>IFERROR(__xludf.DUMMYFUNCTION("IFERROR(INDEX(FILTER('Kế hoạch chèn link (mới)'!$C$3:$C$2213,'Kế hoạch chèn link (mới)'!$D$3:$D$2213=$B528),3),"""")"),"rút tiết kiệm trước hạn")</f>
        <v>rút tiết kiệm trước hạn</v>
      </c>
      <c r="L528" s="25" t="str">
        <f>IFERROR(__xludf.DUMMYFUNCTION("IFERROR(INDEX(FILTER('Kế hoạch chèn link (mới)'!$B$3:$B$2213,'Kế hoạch chèn link (mới)'!$D$3:$D$2213=$B528),3),"""")"),"https://techcombank.com/thong-tin/blog/rut-tien-tiet-kiem-truoc-thoi-han")</f>
        <v>https://techcombank.com/thong-tin/blog/rut-tien-tiet-kiem-truoc-thoi-han</v>
      </c>
      <c r="M528" s="25" t="str">
        <f>IFERROR(__xludf.DUMMYFUNCTION("IFERROR(INDEX(FILTER('Kế hoạch chèn link (mới)'!$C$3:$C$2213,'Kế hoạch chèn link (mới)'!$D$3:$D$2213=$B528),4),"""")"),"")</f>
        <v/>
      </c>
      <c r="N528" s="25" t="str">
        <f>IFERROR(__xludf.DUMMYFUNCTION("IFERROR(INDEX(FILTER('Kế hoạch chèn link (mới)'!$B$3:$B$2213,'Kế hoạch chèn link (mới)'!$D$3:$D$2213=$B528),4),"""")"),"")</f>
        <v/>
      </c>
      <c r="O528" s="25" t="str">
        <f>IFERROR(__xludf.DUMMYFUNCTION("IFERROR(INDEX(FILTER('Kế hoạch chèn link (mới)'!$C$3:$C$2213,'Kế hoạch chèn link (mới)'!$D$3:$D$2213=$B528),5),"""")"),"")</f>
        <v/>
      </c>
      <c r="P528" s="25" t="str">
        <f>IFERROR(__xludf.DUMMYFUNCTION("IFERROR(INDEX(FILTER('Kế hoạch chèn link (mới)'!$B$3:$B$2213,'Kế hoạch chèn link (mới)'!$D$3:$D$2213=$B528),5),"""")"),"")</f>
        <v/>
      </c>
    </row>
    <row r="529">
      <c r="A529" s="6">
        <f t="shared" si="1"/>
        <v>528</v>
      </c>
      <c r="B529" s="8" t="s">
        <v>3143</v>
      </c>
      <c r="C529" s="6">
        <f>COUNTIF('Kế hoạch chèn link (mới)'!$D$3:$D$2213,$B529)</f>
        <v>4</v>
      </c>
      <c r="D529" s="8" t="str">
        <f>IF(COUNTIFS('Kế hoạch chèn link (mới)'!$D$3:$D$2213,$B529,'Kế hoạch chèn link (mới)'!$I$3:$I$2213,"Đã chèn")&gt;=$C529,"Đã hoàn thành",IF(COUNTIFS('Kế hoạch chèn link (mới)'!$D$3:$D$2213,$B529,'Kế hoạch chèn link (mới)'!$I$3:$I$2213,"Đã chèn")&gt;0,"Đang làm","Chưa hoàn thành"))</f>
        <v>Chưa hoàn thành</v>
      </c>
      <c r="E529" s="8" t="b">
        <f t="shared" si="2"/>
        <v>0</v>
      </c>
      <c r="F529" s="25"/>
      <c r="G529" s="25" t="str">
        <f>IFERROR(__xludf.DUMMYFUNCTION("IFERROR(INDEX(FILTER('Kế hoạch chèn link (mới)'!$C$3:$C$2213,'Kế hoạch chèn link (mới)'!$D$3:$D$2213=$B529),1),"""")"),"thuế hộ kinh doanh")</f>
        <v>thuế hộ kinh doanh</v>
      </c>
      <c r="H529" s="25" t="str">
        <f>IFERROR(__xludf.DUMMYFUNCTION("IFERROR(INDEX(FILTER('Kế hoạch chèn link (mới)'!$B$3:$B$2213,'Kế hoạch chèn link (mới)'!$D$3:$D$2213=$B529),1),"""")"),"https://techcombank.com/thong-tin/blog/ho-kinh-doanh-dong-thue-nhu-nao")</f>
        <v>https://techcombank.com/thong-tin/blog/ho-kinh-doanh-dong-thue-nhu-nao</v>
      </c>
      <c r="I529" s="25" t="str">
        <f>IFERROR(__xludf.DUMMYFUNCTION("IFERROR(INDEX(FILTER('Kế hoạch chèn link (mới)'!$C$3:$C$2213,'Kế hoạch chèn link (mới)'!$D$3:$D$2213=$B529),2),"""")"),"mở tài khoản hộ kinh doanh")</f>
        <v>mở tài khoản hộ kinh doanh</v>
      </c>
      <c r="J529" s="25" t="str">
        <f>IFERROR(__xludf.DUMMYFUNCTION("IFERROR(INDEX(FILTER('Kế hoạch chèn link (mới)'!$B$3:$B$2213,'Kế hoạch chèn link (mới)'!$D$3:$D$2213=$B529),2),"""")"),"https://techcombank.com/thong-tin/blog/mo-tai-khoan-ho-kinh-doanh")</f>
        <v>https://techcombank.com/thong-tin/blog/mo-tai-khoan-ho-kinh-doanh</v>
      </c>
      <c r="K529" s="25" t="str">
        <f>IFERROR(__xludf.DUMMYFUNCTION("IFERROR(INDEX(FILTER('Kế hoạch chèn link (mới)'!$C$3:$C$2213,'Kế hoạch chèn link (mới)'!$D$3:$D$2213=$B529),3),"""")"),"cách tính thuế hộ kinh doanh")</f>
        <v>cách tính thuế hộ kinh doanh</v>
      </c>
      <c r="L529" s="25" t="str">
        <f>IFERROR(__xludf.DUMMYFUNCTION("IFERROR(INDEX(FILTER('Kế hoạch chèn link (mới)'!$B$3:$B$2213,'Kế hoạch chèn link (mới)'!$D$3:$D$2213=$B529),3),"""")"),"https://techcombank.com/thong-tin/blog/cach-tinh-thue-ho-kinh-doanh-nho-le")</f>
        <v>https://techcombank.com/thong-tin/blog/cach-tinh-thue-ho-kinh-doanh-nho-le</v>
      </c>
      <c r="M529" s="25" t="str">
        <f>IFERROR(__xludf.DUMMYFUNCTION("IFERROR(INDEX(FILTER('Kế hoạch chèn link (mới)'!$C$3:$C$2213,'Kế hoạch chèn link (mới)'!$D$3:$D$2213=$B529),4),"""")"),"nên vay tín chấp ở đâu")</f>
        <v>nên vay tín chấp ở đâu</v>
      </c>
      <c r="N529" s="25" t="str">
        <f>IFERROR(__xludf.DUMMYFUNCTION("IFERROR(INDEX(FILTER('Kế hoạch chèn link (mới)'!$B$3:$B$2213,'Kế hoạch chèn link (mới)'!$D$3:$D$2213=$B529),4),"""")"),"https://techcombank.com/thong-tin/blog/nen-vay-tin-chap-o-dau")</f>
        <v>https://techcombank.com/thong-tin/blog/nen-vay-tin-chap-o-dau</v>
      </c>
      <c r="O529" s="25" t="str">
        <f>IFERROR(__xludf.DUMMYFUNCTION("IFERROR(INDEX(FILTER('Kế hoạch chèn link (mới)'!$C$3:$C$2213,'Kế hoạch chèn link (mới)'!$D$3:$D$2213=$B529),5),"""")"),"")</f>
        <v/>
      </c>
      <c r="P529" s="25" t="str">
        <f>IFERROR(__xludf.DUMMYFUNCTION("IFERROR(INDEX(FILTER('Kế hoạch chèn link (mới)'!$B$3:$B$2213,'Kế hoạch chèn link (mới)'!$D$3:$D$2213=$B529),5),"""")"),"")</f>
        <v/>
      </c>
    </row>
    <row r="530">
      <c r="A530" s="6">
        <f t="shared" si="1"/>
        <v>529</v>
      </c>
      <c r="B530" s="8" t="s">
        <v>3144</v>
      </c>
      <c r="C530" s="6">
        <f>COUNTIF('Kế hoạch chèn link (mới)'!$D$3:$D$2213,$B530)</f>
        <v>3</v>
      </c>
      <c r="D530" s="8" t="str">
        <f>IF(COUNTIFS('Kế hoạch chèn link (mới)'!$D$3:$D$2213,$B530,'Kế hoạch chèn link (mới)'!$I$3:$I$2213,"Đã chèn")&gt;=$C530,"Đã hoàn thành",IF(COUNTIFS('Kế hoạch chèn link (mới)'!$D$3:$D$2213,$B530,'Kế hoạch chèn link (mới)'!$I$3:$I$2213,"Đã chèn")&gt;0,"Đang làm","Chưa hoàn thành"))</f>
        <v>Chưa hoàn thành</v>
      </c>
      <c r="E530" s="8" t="b">
        <f t="shared" si="2"/>
        <v>0</v>
      </c>
      <c r="F530" s="25"/>
      <c r="G530" s="25" t="str">
        <f>IFERROR(__xludf.DUMMYFUNCTION("IFERROR(INDEX(FILTER('Kế hoạch chèn link (mới)'!$C$3:$C$2213,'Kế hoạch chèn link (mới)'!$D$3:$D$2213=$B530),1),"""")"),"vay thế chấp sổ đỏ")</f>
        <v>vay thế chấp sổ đỏ</v>
      </c>
      <c r="H530" s="25" t="str">
        <f>IFERROR(__xludf.DUMMYFUNCTION("IFERROR(INDEX(FILTER('Kế hoạch chèn link (mới)'!$B$3:$B$2213,'Kế hoạch chèn link (mới)'!$D$3:$D$2213=$B530),1),"""")"),"https://techcombank.com/thong-tin/blog/lai-suat-vay-the-chap-so-do")</f>
        <v>https://techcombank.com/thong-tin/blog/lai-suat-vay-the-chap-so-do</v>
      </c>
      <c r="I530" s="25" t="str">
        <f>IFERROR(__xludf.DUMMYFUNCTION("IFERROR(INDEX(FILTER('Kế hoạch chèn link (mới)'!$C$3:$C$2213,'Kế hoạch chèn link (mới)'!$D$3:$D$2213=$B530),2),"""")"),"tính lãi suất vay ngân hàng")</f>
        <v>tính lãi suất vay ngân hàng</v>
      </c>
      <c r="J530" s="25" t="str">
        <f>IFERROR(__xludf.DUMMYFUNCTION("IFERROR(INDEX(FILTER('Kế hoạch chèn link (mới)'!$B$3:$B$2213,'Kế hoạch chèn link (mới)'!$D$3:$D$2213=$B530),2),"""")"),"https://techcombank.com/cong-cu-tien-ich/cong-cu-tinh-toan/bang-tinh-lai-suat-vay")</f>
        <v>https://techcombank.com/cong-cu-tien-ich/cong-cu-tinh-toan/bang-tinh-lai-suat-vay</v>
      </c>
      <c r="K530" s="25" t="str">
        <f>IFERROR(__xludf.DUMMYFUNCTION("IFERROR(INDEX(FILTER('Kế hoạch chèn link (mới)'!$C$3:$C$2213,'Kế hoạch chèn link (mới)'!$D$3:$D$2213=$B530),3),"""")"),"lãi suất vay ngân hàng")</f>
        <v>lãi suất vay ngân hàng</v>
      </c>
      <c r="L530" s="25" t="str">
        <f>IFERROR(__xludf.DUMMYFUNCTION("IFERROR(INDEX(FILTER('Kế hoạch chèn link (mới)'!$B$3:$B$2213,'Kế hoạch chèn link (mới)'!$D$3:$D$2213=$B530),3),"""")"),"https://techcombank.com/thong-tin/blog/lai-suat-vay-ngan-hang")</f>
        <v>https://techcombank.com/thong-tin/blog/lai-suat-vay-ngan-hang</v>
      </c>
      <c r="M530" s="25" t="str">
        <f>IFERROR(__xludf.DUMMYFUNCTION("IFERROR(INDEX(FILTER('Kế hoạch chèn link (mới)'!$C$3:$C$2213,'Kế hoạch chèn link (mới)'!$D$3:$D$2213=$B530),4),"""")"),"")</f>
        <v/>
      </c>
      <c r="N530" s="25" t="str">
        <f>IFERROR(__xludf.DUMMYFUNCTION("IFERROR(INDEX(FILTER('Kế hoạch chèn link (mới)'!$B$3:$B$2213,'Kế hoạch chèn link (mới)'!$D$3:$D$2213=$B530),4),"""")"),"")</f>
        <v/>
      </c>
      <c r="O530" s="25" t="str">
        <f>IFERROR(__xludf.DUMMYFUNCTION("IFERROR(INDEX(FILTER('Kế hoạch chèn link (mới)'!$C$3:$C$2213,'Kế hoạch chèn link (mới)'!$D$3:$D$2213=$B530),5),"""")"),"")</f>
        <v/>
      </c>
      <c r="P530" s="25" t="str">
        <f>IFERROR(__xludf.DUMMYFUNCTION("IFERROR(INDEX(FILTER('Kế hoạch chèn link (mới)'!$B$3:$B$2213,'Kế hoạch chèn link (mới)'!$D$3:$D$2213=$B530),5),"""")"),"")</f>
        <v/>
      </c>
    </row>
    <row r="531">
      <c r="A531" s="6">
        <f t="shared" si="1"/>
        <v>530</v>
      </c>
      <c r="B531" s="8" t="s">
        <v>2893</v>
      </c>
      <c r="C531" s="6">
        <f>COUNTIF('Kế hoạch chèn link (mới)'!$D$3:$D$2213,$B531)</f>
        <v>3</v>
      </c>
      <c r="D531" s="8" t="str">
        <f>IF(COUNTIFS('Kế hoạch chèn link (mới)'!$D$3:$D$2213,$B531,'Kế hoạch chèn link (mới)'!$I$3:$I$2213,"Đã chèn")&gt;=$C531,"Đã hoàn thành",IF(COUNTIFS('Kế hoạch chèn link (mới)'!$D$3:$D$2213,$B531,'Kế hoạch chèn link (mới)'!$I$3:$I$2213,"Đã chèn")&gt;0,"Đang làm","Chưa hoàn thành"))</f>
        <v>Chưa hoàn thành</v>
      </c>
      <c r="E531" s="8" t="b">
        <f t="shared" si="2"/>
        <v>0</v>
      </c>
      <c r="F531" s="25"/>
      <c r="G531" s="25" t="str">
        <f>IFERROR(__xludf.DUMMYFUNCTION("IFERROR(INDEX(FILTER('Kế hoạch chèn link (mới)'!$C$3:$C$2213,'Kế hoạch chèn link (mới)'!$D$3:$D$2213=$B531),1),"""")"),"cách rút tiền bằng mã QR")</f>
        <v>cách rút tiền bằng mã QR</v>
      </c>
      <c r="H531" s="25" t="str">
        <f>IFERROR(__xludf.DUMMYFUNCTION("IFERROR(INDEX(FILTER('Kế hoạch chèn link (mới)'!$B$3:$B$2213,'Kế hoạch chèn link (mới)'!$D$3:$D$2213=$B531),1),"""")"),"https://techcombank.com/thong-tin/blog/rut-tien-bang-ma-qr-la-gi-cach-thuc-hien-nhu-the-nao")</f>
        <v>https://techcombank.com/thong-tin/blog/rut-tien-bang-ma-qr-la-gi-cach-thuc-hien-nhu-the-nao</v>
      </c>
      <c r="I531" s="25" t="str">
        <f>IFERROR(__xludf.DUMMYFUNCTION("IFERROR(INDEX(FILTER('Kế hoạch chèn link (mới)'!$C$3:$C$2213,'Kế hoạch chèn link (mới)'!$D$3:$D$2213=$B531),2),"""")"),"mô hình kinh doanh")</f>
        <v>mô hình kinh doanh</v>
      </c>
      <c r="J531" s="25" t="str">
        <f>IFERROR(__xludf.DUMMYFUNCTION("IFERROR(INDEX(FILTER('Kế hoạch chèn link (mới)'!$B$3:$B$2213,'Kế hoạch chèn link (mới)'!$D$3:$D$2213=$B531),2),"""")"),"https://techcombank.com/thong-tin/blog/mo-hinh-kinh-doanh-la-gi")</f>
        <v>https://techcombank.com/thong-tin/blog/mo-hinh-kinh-doanh-la-gi</v>
      </c>
      <c r="K531" s="25" t="str">
        <f>IFERROR(__xludf.DUMMYFUNCTION("IFERROR(INDEX(FILTER('Kế hoạch chèn link (mới)'!$C$3:$C$2213,'Kế hoạch chèn link (mới)'!$D$3:$D$2213=$B531),3),"""")"),"cách gửi mã QR ngân hàng")</f>
        <v>cách gửi mã QR ngân hàng</v>
      </c>
      <c r="L531" s="25" t="str">
        <f>IFERROR(__xludf.DUMMYFUNCTION("IFERROR(INDEX(FILTER('Kế hoạch chèn link (mới)'!$B$3:$B$2213,'Kế hoạch chèn link (mới)'!$D$3:$D$2213=$B531),3),"""")"),"https://techcombank.com/thong-tin/blog/gui-ma-qr-ngan-hang")</f>
        <v>https://techcombank.com/thong-tin/blog/gui-ma-qr-ngan-hang</v>
      </c>
      <c r="M531" s="25" t="str">
        <f>IFERROR(__xludf.DUMMYFUNCTION("IFERROR(INDEX(FILTER('Kế hoạch chèn link (mới)'!$C$3:$C$2213,'Kế hoạch chèn link (mới)'!$D$3:$D$2213=$B531),4),"""")"),"")</f>
        <v/>
      </c>
      <c r="N531" s="25" t="str">
        <f>IFERROR(__xludf.DUMMYFUNCTION("IFERROR(INDEX(FILTER('Kế hoạch chèn link (mới)'!$B$3:$B$2213,'Kế hoạch chèn link (mới)'!$D$3:$D$2213=$B531),4),"""")"),"")</f>
        <v/>
      </c>
      <c r="O531" s="25" t="str">
        <f>IFERROR(__xludf.DUMMYFUNCTION("IFERROR(INDEX(FILTER('Kế hoạch chèn link (mới)'!$C$3:$C$2213,'Kế hoạch chèn link (mới)'!$D$3:$D$2213=$B531),5),"""")"),"")</f>
        <v/>
      </c>
      <c r="P531" s="25" t="str">
        <f>IFERROR(__xludf.DUMMYFUNCTION("IFERROR(INDEX(FILTER('Kế hoạch chèn link (mới)'!$B$3:$B$2213,'Kế hoạch chèn link (mới)'!$D$3:$D$2213=$B531),5),"""")"),"")</f>
        <v/>
      </c>
    </row>
    <row r="532">
      <c r="A532" s="6">
        <f t="shared" si="1"/>
        <v>531</v>
      </c>
      <c r="B532" s="8" t="s">
        <v>3145</v>
      </c>
      <c r="C532" s="6">
        <f>COUNTIF('Kế hoạch chèn link (mới)'!$D$3:$D$2213,$B532)</f>
        <v>3</v>
      </c>
      <c r="D532" s="8" t="str">
        <f>IF(COUNTIFS('Kế hoạch chèn link (mới)'!$D$3:$D$2213,$B532,'Kế hoạch chèn link (mới)'!$I$3:$I$2213,"Đã chèn")&gt;=$C532,"Đã hoàn thành",IF(COUNTIFS('Kế hoạch chèn link (mới)'!$D$3:$D$2213,$B532,'Kế hoạch chèn link (mới)'!$I$3:$I$2213,"Đã chèn")&gt;0,"Đang làm","Chưa hoàn thành"))</f>
        <v>Chưa hoàn thành</v>
      </c>
      <c r="E532" s="8" t="b">
        <f t="shared" si="2"/>
        <v>0</v>
      </c>
      <c r="F532" s="25"/>
      <c r="G532" s="25" t="str">
        <f>IFERROR(__xludf.DUMMYFUNCTION("IFERROR(INDEX(FILTER('Kế hoạch chèn link (mới)'!$C$3:$C$2213,'Kế hoạch chèn link (mới)'!$D$3:$D$2213=$B532),1),"""")"),"1 Tệ bằng bao nhiêu tiền Việt")</f>
        <v>1 Tệ bằng bao nhiêu tiền Việt</v>
      </c>
      <c r="H532" s="25" t="str">
        <f>IFERROR(__xludf.DUMMYFUNCTION("IFERROR(INDEX(FILTER('Kế hoạch chèn link (mới)'!$B$3:$B$2213,'Kế hoạch chèn link (mới)'!$D$3:$D$2213=$B532),1),"""")"),"https://techcombank.com/thong-tin/blog/1-te-bang-bao-nhieu-tien-viet-nam")</f>
        <v>https://techcombank.com/thong-tin/blog/1-te-bang-bao-nhieu-tien-viet-nam</v>
      </c>
      <c r="I532" s="25" t="str">
        <f>IFERROR(__xludf.DUMMYFUNCTION("IFERROR(INDEX(FILTER('Kế hoạch chèn link (mới)'!$C$3:$C$2213,'Kế hoạch chèn link (mới)'!$D$3:$D$2213=$B532),2),"""")"),"tỷ giá Won")</f>
        <v>tỷ giá Won</v>
      </c>
      <c r="J532" s="25" t="str">
        <f>IFERROR(__xludf.DUMMYFUNCTION("IFERROR(INDEX(FILTER('Kế hoạch chèn link (mới)'!$B$3:$B$2213,'Kế hoạch chèn link (mới)'!$D$3:$D$2213=$B532),2),"""")"),"https://techcombank.com/thong-tin/blog/1-won-bang-bao-nhieu-tien-viet")</f>
        <v>https://techcombank.com/thong-tin/blog/1-won-bang-bao-nhieu-tien-viet</v>
      </c>
      <c r="K532" s="25" t="str">
        <f>IFERROR(__xludf.DUMMYFUNCTION("IFERROR(INDEX(FILTER('Kế hoạch chèn link (mới)'!$C$3:$C$2213,'Kế hoạch chèn link (mới)'!$D$3:$D$2213=$B532),3),"""")"),"1000 Won bằng bao nhiêu tiền Việt")</f>
        <v>1000 Won bằng bao nhiêu tiền Việt</v>
      </c>
      <c r="L532" s="25" t="str">
        <f>IFERROR(__xludf.DUMMYFUNCTION("IFERROR(INDEX(FILTER('Kế hoạch chèn link (mới)'!$B$3:$B$2213,'Kế hoạch chèn link (mới)'!$D$3:$D$2213=$B532),3),"""")"),"https://techcombank.com/thong-tin/blog/1000-won-bang-bao-nhieu-tien-viet")</f>
        <v>https://techcombank.com/thong-tin/blog/1000-won-bang-bao-nhieu-tien-viet</v>
      </c>
      <c r="M532" s="25" t="str">
        <f>IFERROR(__xludf.DUMMYFUNCTION("IFERROR(INDEX(FILTER('Kế hoạch chèn link (mới)'!$C$3:$C$2213,'Kế hoạch chèn link (mới)'!$D$3:$D$2213=$B532),4),"""")"),"")</f>
        <v/>
      </c>
      <c r="N532" s="25" t="str">
        <f>IFERROR(__xludf.DUMMYFUNCTION("IFERROR(INDEX(FILTER('Kế hoạch chèn link (mới)'!$B$3:$B$2213,'Kế hoạch chèn link (mới)'!$D$3:$D$2213=$B532),4),"""")"),"")</f>
        <v/>
      </c>
      <c r="O532" s="25" t="str">
        <f>IFERROR(__xludf.DUMMYFUNCTION("IFERROR(INDEX(FILTER('Kế hoạch chèn link (mới)'!$C$3:$C$2213,'Kế hoạch chèn link (mới)'!$D$3:$D$2213=$B532),5),"""")"),"")</f>
        <v/>
      </c>
      <c r="P532" s="25" t="str">
        <f>IFERROR(__xludf.DUMMYFUNCTION("IFERROR(INDEX(FILTER('Kế hoạch chèn link (mới)'!$B$3:$B$2213,'Kế hoạch chèn link (mới)'!$D$3:$D$2213=$B532),5),"""")"),"")</f>
        <v/>
      </c>
    </row>
    <row r="533">
      <c r="A533" s="6">
        <f t="shared" si="1"/>
        <v>532</v>
      </c>
      <c r="B533" s="8" t="s">
        <v>1338</v>
      </c>
      <c r="C533" s="6">
        <f>COUNTIF('Kế hoạch chèn link (mới)'!$D$3:$D$2213,$B533)</f>
        <v>1</v>
      </c>
      <c r="D533" s="8" t="str">
        <f>IF(COUNTIFS('Kế hoạch chèn link (mới)'!$D$3:$D$2213,$B533,'Kế hoạch chèn link (mới)'!$I$3:$I$2213,"Đã chèn")&gt;=$C533,"Đã hoàn thành",IF(COUNTIFS('Kế hoạch chèn link (mới)'!$D$3:$D$2213,$B533,'Kế hoạch chèn link (mới)'!$I$3:$I$2213,"Đã chèn")&gt;0,"Đang làm","Chưa hoàn thành"))</f>
        <v>Chưa hoàn thành</v>
      </c>
      <c r="E533" s="8" t="b">
        <f t="shared" si="2"/>
        <v>0</v>
      </c>
      <c r="F533" s="25"/>
      <c r="G533" s="25" t="str">
        <f>IFERROR(__xludf.DUMMYFUNCTION("IFERROR(INDEX(FILTER('Kế hoạch chèn link (mới)'!$C$3:$C$2213,'Kế hoạch chèn link (mới)'!$D$3:$D$2213=$B533),1),"""")"),"cách nạp tiền điện thoại viettel")</f>
        <v>cách nạp tiền điện thoại viettel</v>
      </c>
      <c r="H533" s="25" t="str">
        <f>IFERROR(__xludf.DUMMYFUNCTION("IFERROR(INDEX(FILTER('Kế hoạch chèn link (mới)'!$B$3:$B$2213,'Kế hoạch chèn link (mới)'!$D$3:$D$2213=$B533),1),"""")"),"https://techcombank.com/thong-tin/blog/cach-nap-the-viettel")</f>
        <v>https://techcombank.com/thong-tin/blog/cach-nap-the-viettel</v>
      </c>
      <c r="I533" s="25" t="str">
        <f>IFERROR(__xludf.DUMMYFUNCTION("IFERROR(INDEX(FILTER('Kế hoạch chèn link (mới)'!$C$3:$C$2213,'Kế hoạch chèn link (mới)'!$D$3:$D$2213=$B533),2),"""")"),"")</f>
        <v/>
      </c>
      <c r="J533" s="25" t="str">
        <f>IFERROR(__xludf.DUMMYFUNCTION("IFERROR(INDEX(FILTER('Kế hoạch chèn link (mới)'!$B$3:$B$2213,'Kế hoạch chèn link (mới)'!$D$3:$D$2213=$B533),2),"""")"),"")</f>
        <v/>
      </c>
      <c r="K533" s="25" t="str">
        <f>IFERROR(__xludf.DUMMYFUNCTION("IFERROR(INDEX(FILTER('Kế hoạch chèn link (mới)'!$C$3:$C$2213,'Kế hoạch chèn link (mới)'!$D$3:$D$2213=$B533),3),"""")"),"")</f>
        <v/>
      </c>
      <c r="L533" s="25" t="str">
        <f>IFERROR(__xludf.DUMMYFUNCTION("IFERROR(INDEX(FILTER('Kế hoạch chèn link (mới)'!$B$3:$B$2213,'Kế hoạch chèn link (mới)'!$D$3:$D$2213=$B533),3),"""")"),"")</f>
        <v/>
      </c>
      <c r="M533" s="25" t="str">
        <f>IFERROR(__xludf.DUMMYFUNCTION("IFERROR(INDEX(FILTER('Kế hoạch chèn link (mới)'!$C$3:$C$2213,'Kế hoạch chèn link (mới)'!$D$3:$D$2213=$B533),4),"""")"),"")</f>
        <v/>
      </c>
      <c r="N533" s="25" t="str">
        <f>IFERROR(__xludf.DUMMYFUNCTION("IFERROR(INDEX(FILTER('Kế hoạch chèn link (mới)'!$B$3:$B$2213,'Kế hoạch chèn link (mới)'!$D$3:$D$2213=$B533),4),"""")"),"")</f>
        <v/>
      </c>
      <c r="O533" s="25" t="str">
        <f>IFERROR(__xludf.DUMMYFUNCTION("IFERROR(INDEX(FILTER('Kế hoạch chèn link (mới)'!$C$3:$C$2213,'Kế hoạch chèn link (mới)'!$D$3:$D$2213=$B533),5),"""")"),"")</f>
        <v/>
      </c>
      <c r="P533" s="25" t="str">
        <f>IFERROR(__xludf.DUMMYFUNCTION("IFERROR(INDEX(FILTER('Kế hoạch chèn link (mới)'!$B$3:$B$2213,'Kế hoạch chèn link (mới)'!$D$3:$D$2213=$B533),5),"""")"),"")</f>
        <v/>
      </c>
    </row>
    <row r="534">
      <c r="A534" s="6">
        <f t="shared" si="1"/>
        <v>533</v>
      </c>
      <c r="B534" s="8" t="s">
        <v>2702</v>
      </c>
      <c r="C534" s="6">
        <f>COUNTIF('Kế hoạch chèn link (mới)'!$D$3:$D$2213,$B534)</f>
        <v>2</v>
      </c>
      <c r="D534" s="8" t="str">
        <f>IF(COUNTIFS('Kế hoạch chèn link (mới)'!$D$3:$D$2213,$B534,'Kế hoạch chèn link (mới)'!$I$3:$I$2213,"Đã chèn")&gt;=$C534,"Đã hoàn thành",IF(COUNTIFS('Kế hoạch chèn link (mới)'!$D$3:$D$2213,$B534,'Kế hoạch chèn link (mới)'!$I$3:$I$2213,"Đã chèn")&gt;0,"Đang làm","Chưa hoàn thành"))</f>
        <v>Chưa hoàn thành</v>
      </c>
      <c r="E534" s="8" t="b">
        <f t="shared" si="2"/>
        <v>0</v>
      </c>
      <c r="F534" s="25"/>
      <c r="G534" s="25" t="str">
        <f>IFERROR(__xludf.DUMMYFUNCTION("IFERROR(INDEX(FILTER('Kế hoạch chèn link (mới)'!$C$3:$C$2213,'Kế hoạch chèn link (mới)'!$D$3:$D$2213=$B534),1),"""")"),"tên đăng nhập")</f>
        <v>tên đăng nhập</v>
      </c>
      <c r="H534" s="25" t="str">
        <f>IFERROR(__xludf.DUMMYFUNCTION("IFERROR(INDEX(FILTER('Kế hoạch chèn link (mới)'!$B$3:$B$2213,'Kế hoạch chèn link (mới)'!$D$3:$D$2213=$B534),1),"""")"),"https://techcombank.com/thong-tin/blog/ten-dang-nhap-tai-khoan-ngan-hang-la-gi")</f>
        <v>https://techcombank.com/thong-tin/blog/ten-dang-nhap-tai-khoan-ngan-hang-la-gi</v>
      </c>
      <c r="I534" s="25" t="str">
        <f>IFERROR(__xludf.DUMMYFUNCTION("IFERROR(INDEX(FILTER('Kế hoạch chèn link (mới)'!$C$3:$C$2213,'Kế hoạch chèn link (mới)'!$D$3:$D$2213=$B534),2),"""")"),"tính lãi suất tiết kiệm")</f>
        <v>tính lãi suất tiết kiệm</v>
      </c>
      <c r="J534" s="25" t="str">
        <f>IFERROR(__xludf.DUMMYFUNCTION("IFERROR(INDEX(FILTER('Kế hoạch chèn link (mới)'!$B$3:$B$2213,'Kế hoạch chèn link (mới)'!$D$3:$D$2213=$B534),2),"""")"),"https://techcombank.com/thong-tin/blog/cach-tinh-lai-suat-tien-gui-tiet-kiem")</f>
        <v>https://techcombank.com/thong-tin/blog/cach-tinh-lai-suat-tien-gui-tiet-kiem</v>
      </c>
      <c r="K534" s="25" t="str">
        <f>IFERROR(__xludf.DUMMYFUNCTION("IFERROR(INDEX(FILTER('Kế hoạch chèn link (mới)'!$C$3:$C$2213,'Kế hoạch chèn link (mới)'!$D$3:$D$2213=$B534),3),"""")"),"")</f>
        <v/>
      </c>
      <c r="L534" s="25" t="str">
        <f>IFERROR(__xludf.DUMMYFUNCTION("IFERROR(INDEX(FILTER('Kế hoạch chèn link (mới)'!$B$3:$B$2213,'Kế hoạch chèn link (mới)'!$D$3:$D$2213=$B534),3),"""")"),"")</f>
        <v/>
      </c>
      <c r="M534" s="25" t="str">
        <f>IFERROR(__xludf.DUMMYFUNCTION("IFERROR(INDEX(FILTER('Kế hoạch chèn link (mới)'!$C$3:$C$2213,'Kế hoạch chèn link (mới)'!$D$3:$D$2213=$B534),4),"""")"),"")</f>
        <v/>
      </c>
      <c r="N534" s="25" t="str">
        <f>IFERROR(__xludf.DUMMYFUNCTION("IFERROR(INDEX(FILTER('Kế hoạch chèn link (mới)'!$B$3:$B$2213,'Kế hoạch chèn link (mới)'!$D$3:$D$2213=$B534),4),"""")"),"")</f>
        <v/>
      </c>
      <c r="O534" s="25" t="str">
        <f>IFERROR(__xludf.DUMMYFUNCTION("IFERROR(INDEX(FILTER('Kế hoạch chèn link (mới)'!$C$3:$C$2213,'Kế hoạch chèn link (mới)'!$D$3:$D$2213=$B534),5),"""")"),"")</f>
        <v/>
      </c>
      <c r="P534" s="25" t="str">
        <f>IFERROR(__xludf.DUMMYFUNCTION("IFERROR(INDEX(FILTER('Kế hoạch chèn link (mới)'!$B$3:$B$2213,'Kế hoạch chèn link (mới)'!$D$3:$D$2213=$B534),5),"""")"),"")</f>
        <v/>
      </c>
    </row>
    <row r="535">
      <c r="A535" s="6">
        <f t="shared" si="1"/>
        <v>534</v>
      </c>
      <c r="B535" s="8" t="s">
        <v>2144</v>
      </c>
      <c r="C535" s="6">
        <f>COUNTIF('Kế hoạch chèn link (mới)'!$D$3:$D$2213,$B535)</f>
        <v>1</v>
      </c>
      <c r="D535" s="8" t="str">
        <f>IF(COUNTIFS('Kế hoạch chèn link (mới)'!$D$3:$D$2213,$B535,'Kế hoạch chèn link (mới)'!$I$3:$I$2213,"Đã chèn")&gt;=$C535,"Đã hoàn thành",IF(COUNTIFS('Kế hoạch chèn link (mới)'!$D$3:$D$2213,$B535,'Kế hoạch chèn link (mới)'!$I$3:$I$2213,"Đã chèn")&gt;0,"Đang làm","Chưa hoàn thành"))</f>
        <v>Chưa hoàn thành</v>
      </c>
      <c r="E535" s="8" t="b">
        <f t="shared" si="2"/>
        <v>0</v>
      </c>
      <c r="F535" s="25"/>
      <c r="G535" s="25" t="str">
        <f>IFERROR(__xludf.DUMMYFUNCTION("IFERROR(INDEX(FILTER('Kế hoạch chèn link (mới)'!$C$3:$C$2213,'Kế hoạch chèn link (mới)'!$D$3:$D$2213=$B535),1),"""")"),"mở tài khoản ngân hàng cho học sinh")</f>
        <v>mở tài khoản ngân hàng cho học sinh</v>
      </c>
      <c r="H535" s="25" t="str">
        <f>IFERROR(__xludf.DUMMYFUNCTION("IFERROR(INDEX(FILTER('Kế hoạch chèn link (mới)'!$B$3:$B$2213,'Kế hoạch chèn link (mới)'!$D$3:$D$2213=$B535),1),"""")"),"https://techcombank.com/thong-tin/blog/mo-tai-khoan-ngan-hang-duoi-18-tuoi")</f>
        <v>https://techcombank.com/thong-tin/blog/mo-tai-khoan-ngan-hang-duoi-18-tuoi</v>
      </c>
      <c r="I535" s="25" t="str">
        <f>IFERROR(__xludf.DUMMYFUNCTION("IFERROR(INDEX(FILTER('Kế hoạch chèn link (mới)'!$C$3:$C$2213,'Kế hoạch chèn link (mới)'!$D$3:$D$2213=$B535),2),"""")"),"")</f>
        <v/>
      </c>
      <c r="J535" s="25" t="str">
        <f>IFERROR(__xludf.DUMMYFUNCTION("IFERROR(INDEX(FILTER('Kế hoạch chèn link (mới)'!$B$3:$B$2213,'Kế hoạch chèn link (mới)'!$D$3:$D$2213=$B535),2),"""")"),"")</f>
        <v/>
      </c>
      <c r="K535" s="25" t="str">
        <f>IFERROR(__xludf.DUMMYFUNCTION("IFERROR(INDEX(FILTER('Kế hoạch chèn link (mới)'!$C$3:$C$2213,'Kế hoạch chèn link (mới)'!$D$3:$D$2213=$B535),3),"""")"),"")</f>
        <v/>
      </c>
      <c r="L535" s="25" t="str">
        <f>IFERROR(__xludf.DUMMYFUNCTION("IFERROR(INDEX(FILTER('Kế hoạch chèn link (mới)'!$B$3:$B$2213,'Kế hoạch chèn link (mới)'!$D$3:$D$2213=$B535),3),"""")"),"")</f>
        <v/>
      </c>
      <c r="M535" s="25" t="str">
        <f>IFERROR(__xludf.DUMMYFUNCTION("IFERROR(INDEX(FILTER('Kế hoạch chèn link (mới)'!$C$3:$C$2213,'Kế hoạch chèn link (mới)'!$D$3:$D$2213=$B535),4),"""")"),"")</f>
        <v/>
      </c>
      <c r="N535" s="25" t="str">
        <f>IFERROR(__xludf.DUMMYFUNCTION("IFERROR(INDEX(FILTER('Kế hoạch chèn link (mới)'!$B$3:$B$2213,'Kế hoạch chèn link (mới)'!$D$3:$D$2213=$B535),4),"""")"),"")</f>
        <v/>
      </c>
      <c r="O535" s="25" t="str">
        <f>IFERROR(__xludf.DUMMYFUNCTION("IFERROR(INDEX(FILTER('Kế hoạch chèn link (mới)'!$C$3:$C$2213,'Kế hoạch chèn link (mới)'!$D$3:$D$2213=$B535),5),"""")"),"")</f>
        <v/>
      </c>
      <c r="P535" s="25" t="str">
        <f>IFERROR(__xludf.DUMMYFUNCTION("IFERROR(INDEX(FILTER('Kế hoạch chèn link (mới)'!$B$3:$B$2213,'Kế hoạch chèn link (mới)'!$D$3:$D$2213=$B535),5),"""")"),"")</f>
        <v/>
      </c>
    </row>
    <row r="536">
      <c r="A536" s="6">
        <f t="shared" si="1"/>
        <v>535</v>
      </c>
      <c r="B536" s="8" t="s">
        <v>3150</v>
      </c>
      <c r="C536" s="6">
        <f>COUNTIF('Kế hoạch chèn link (mới)'!$D$3:$D$2213,$B536)</f>
        <v>2</v>
      </c>
      <c r="D536" s="8" t="str">
        <f>IF(COUNTIFS('Kế hoạch chèn link (mới)'!$D$3:$D$2213,$B536,'Kế hoạch chèn link (mới)'!$I$3:$I$2213,"Đã chèn")&gt;=$C536,"Đã hoàn thành",IF(COUNTIFS('Kế hoạch chèn link (mới)'!$D$3:$D$2213,$B536,'Kế hoạch chèn link (mới)'!$I$3:$I$2213,"Đã chèn")&gt;0,"Đang làm","Chưa hoàn thành"))</f>
        <v>Chưa hoàn thành</v>
      </c>
      <c r="E536" s="8" t="b">
        <f t="shared" si="2"/>
        <v>0</v>
      </c>
      <c r="F536" s="25"/>
      <c r="G536" s="25" t="str">
        <f>IFERROR(__xludf.DUMMYFUNCTION("IFERROR(INDEX(FILTER('Kế hoạch chèn link (mới)'!$C$3:$C$2213,'Kế hoạch chèn link (mới)'!$D$3:$D$2213=$B536),1),"""")"),"tỷ giá Won")</f>
        <v>tỷ giá Won</v>
      </c>
      <c r="H536" s="25" t="str">
        <f>IFERROR(__xludf.DUMMYFUNCTION("IFERROR(INDEX(FILTER('Kế hoạch chèn link (mới)'!$B$3:$B$2213,'Kế hoạch chèn link (mới)'!$D$3:$D$2213=$B536),1),"""")"),"https://techcombank.com/thong-tin/blog/1-won-bang-bao-nhieu-tien-viet")</f>
        <v>https://techcombank.com/thong-tin/blog/1-won-bang-bao-nhieu-tien-viet</v>
      </c>
      <c r="I536" s="25" t="str">
        <f>IFERROR(__xludf.DUMMYFUNCTION("IFERROR(INDEX(FILTER('Kế hoạch chèn link (mới)'!$C$3:$C$2213,'Kế hoạch chèn link (mới)'!$D$3:$D$2213=$B536),2),"""")"),"1000 Won bằng bao nhiêu tiền Việt")</f>
        <v>1000 Won bằng bao nhiêu tiền Việt</v>
      </c>
      <c r="J536" s="25" t="str">
        <f>IFERROR(__xludf.DUMMYFUNCTION("IFERROR(INDEX(FILTER('Kế hoạch chèn link (mới)'!$B$3:$B$2213,'Kế hoạch chèn link (mới)'!$D$3:$D$2213=$B536),2),"""")"),"https://techcombank.com/thong-tin/blog/1000-won-bang-bao-nhieu-tien-viet")</f>
        <v>https://techcombank.com/thong-tin/blog/1000-won-bang-bao-nhieu-tien-viet</v>
      </c>
      <c r="K536" s="25" t="str">
        <f>IFERROR(__xludf.DUMMYFUNCTION("IFERROR(INDEX(FILTER('Kế hoạch chèn link (mới)'!$C$3:$C$2213,'Kế hoạch chèn link (mới)'!$D$3:$D$2213=$B536),3),"""")"),"")</f>
        <v/>
      </c>
      <c r="L536" s="25" t="str">
        <f>IFERROR(__xludf.DUMMYFUNCTION("IFERROR(INDEX(FILTER('Kế hoạch chèn link (mới)'!$B$3:$B$2213,'Kế hoạch chèn link (mới)'!$D$3:$D$2213=$B536),3),"""")"),"")</f>
        <v/>
      </c>
      <c r="M536" s="25" t="str">
        <f>IFERROR(__xludf.DUMMYFUNCTION("IFERROR(INDEX(FILTER('Kế hoạch chèn link (mới)'!$C$3:$C$2213,'Kế hoạch chèn link (mới)'!$D$3:$D$2213=$B536),4),"""")"),"")</f>
        <v/>
      </c>
      <c r="N536" s="25" t="str">
        <f>IFERROR(__xludf.DUMMYFUNCTION("IFERROR(INDEX(FILTER('Kế hoạch chèn link (mới)'!$B$3:$B$2213,'Kế hoạch chèn link (mới)'!$D$3:$D$2213=$B536),4),"""")"),"")</f>
        <v/>
      </c>
      <c r="O536" s="25" t="str">
        <f>IFERROR(__xludf.DUMMYFUNCTION("IFERROR(INDEX(FILTER('Kế hoạch chèn link (mới)'!$C$3:$C$2213,'Kế hoạch chèn link (mới)'!$D$3:$D$2213=$B536),5),"""")"),"")</f>
        <v/>
      </c>
      <c r="P536" s="25" t="str">
        <f>IFERROR(__xludf.DUMMYFUNCTION("IFERROR(INDEX(FILTER('Kế hoạch chèn link (mới)'!$B$3:$B$2213,'Kế hoạch chèn link (mới)'!$D$3:$D$2213=$B536),5),"""")"),"")</f>
        <v/>
      </c>
    </row>
    <row r="537">
      <c r="A537" s="6">
        <f t="shared" si="1"/>
        <v>536</v>
      </c>
      <c r="B537" s="8" t="s">
        <v>3153</v>
      </c>
      <c r="C537" s="6">
        <f>COUNTIF('Kế hoạch chèn link (mới)'!$D$3:$D$2213,$B537)</f>
        <v>2</v>
      </c>
      <c r="D537" s="8" t="str">
        <f>IF(COUNTIFS('Kế hoạch chèn link (mới)'!$D$3:$D$2213,$B537,'Kế hoạch chèn link (mới)'!$I$3:$I$2213,"Đã chèn")&gt;=$C537,"Đã hoàn thành",IF(COUNTIFS('Kế hoạch chèn link (mới)'!$D$3:$D$2213,$B537,'Kế hoạch chèn link (mới)'!$I$3:$I$2213,"Đã chèn")&gt;0,"Đang làm","Chưa hoàn thành"))</f>
        <v>Chưa hoàn thành</v>
      </c>
      <c r="E537" s="8" t="b">
        <f t="shared" si="2"/>
        <v>0</v>
      </c>
      <c r="F537" s="25"/>
      <c r="G537" s="25" t="str">
        <f>IFERROR(__xludf.DUMMYFUNCTION("IFERROR(INDEX(FILTER('Kế hoạch chèn link (mới)'!$C$3:$C$2213,'Kế hoạch chèn link (mới)'!$D$3:$D$2213=$B537),1),"""")"),"tiền Nhật")</f>
        <v>tiền Nhật</v>
      </c>
      <c r="H537" s="25" t="str">
        <f>IFERROR(__xludf.DUMMYFUNCTION("IFERROR(INDEX(FILTER('Kế hoạch chèn link (mới)'!$B$3:$B$2213,'Kế hoạch chèn link (mới)'!$D$3:$D$2213=$B537),1),"""")"),"https://techcombank.com/thong-tin/blog/tien-nhat")</f>
        <v>https://techcombank.com/thong-tin/blog/tien-nhat</v>
      </c>
      <c r="I537" s="25" t="str">
        <f>IFERROR(__xludf.DUMMYFUNCTION("IFERROR(INDEX(FILTER('Kế hoạch chèn link (mới)'!$C$3:$C$2213,'Kế hoạch chèn link (mới)'!$D$3:$D$2213=$B537),2),"""")"),"tỷ giá Yên Nhật")</f>
        <v>tỷ giá Yên Nhật</v>
      </c>
      <c r="J537" s="25" t="str">
        <f>IFERROR(__xludf.DUMMYFUNCTION("IFERROR(INDEX(FILTER('Kế hoạch chèn link (mới)'!$B$3:$B$2213,'Kế hoạch chèn link (mới)'!$D$3:$D$2213=$B537),2),"""")"),"https://techcombank.com/thong-tin/blog/1-yen-bang-bao-nhieu-tien-viet-nam")</f>
        <v>https://techcombank.com/thong-tin/blog/1-yen-bang-bao-nhieu-tien-viet-nam</v>
      </c>
      <c r="K537" s="25" t="str">
        <f>IFERROR(__xludf.DUMMYFUNCTION("IFERROR(INDEX(FILTER('Kế hoạch chèn link (mới)'!$C$3:$C$2213,'Kế hoạch chèn link (mới)'!$D$3:$D$2213=$B537),3),"""")"),"")</f>
        <v/>
      </c>
      <c r="L537" s="25" t="str">
        <f>IFERROR(__xludf.DUMMYFUNCTION("IFERROR(INDEX(FILTER('Kế hoạch chèn link (mới)'!$B$3:$B$2213,'Kế hoạch chèn link (mới)'!$D$3:$D$2213=$B537),3),"""")"),"")</f>
        <v/>
      </c>
      <c r="M537" s="25" t="str">
        <f>IFERROR(__xludf.DUMMYFUNCTION("IFERROR(INDEX(FILTER('Kế hoạch chèn link (mới)'!$C$3:$C$2213,'Kế hoạch chèn link (mới)'!$D$3:$D$2213=$B537),4),"""")"),"")</f>
        <v/>
      </c>
      <c r="N537" s="25" t="str">
        <f>IFERROR(__xludf.DUMMYFUNCTION("IFERROR(INDEX(FILTER('Kế hoạch chèn link (mới)'!$B$3:$B$2213,'Kế hoạch chèn link (mới)'!$D$3:$D$2213=$B537),4),"""")"),"")</f>
        <v/>
      </c>
      <c r="O537" s="25" t="str">
        <f>IFERROR(__xludf.DUMMYFUNCTION("IFERROR(INDEX(FILTER('Kế hoạch chèn link (mới)'!$C$3:$C$2213,'Kế hoạch chèn link (mới)'!$D$3:$D$2213=$B537),5),"""")"),"")</f>
        <v/>
      </c>
      <c r="P537" s="25" t="str">
        <f>IFERROR(__xludf.DUMMYFUNCTION("IFERROR(INDEX(FILTER('Kế hoạch chèn link (mới)'!$B$3:$B$2213,'Kế hoạch chèn link (mới)'!$D$3:$D$2213=$B537),5),"""")"),"")</f>
        <v/>
      </c>
    </row>
    <row r="538">
      <c r="A538" s="6">
        <f t="shared" si="1"/>
        <v>537</v>
      </c>
      <c r="B538" s="8" t="s">
        <v>1003</v>
      </c>
      <c r="C538" s="6">
        <f>COUNTIF('Kế hoạch chèn link (mới)'!$D$3:$D$2213,$B538)</f>
        <v>3</v>
      </c>
      <c r="D538" s="8" t="str">
        <f>IF(COUNTIFS('Kế hoạch chèn link (mới)'!$D$3:$D$2213,$B538,'Kế hoạch chèn link (mới)'!$I$3:$I$2213,"Đã chèn")&gt;=$C538,"Đã hoàn thành",IF(COUNTIFS('Kế hoạch chèn link (mới)'!$D$3:$D$2213,$B538,'Kế hoạch chèn link (mới)'!$I$3:$I$2213,"Đã chèn")&gt;0,"Đang làm","Chưa hoàn thành"))</f>
        <v>Chưa hoàn thành</v>
      </c>
      <c r="E538" s="8" t="b">
        <f t="shared" si="2"/>
        <v>0</v>
      </c>
      <c r="F538" s="25"/>
      <c r="G538" s="25" t="str">
        <f>IFERROR(__xludf.DUMMYFUNCTION("IFERROR(INDEX(FILTER('Kế hoạch chèn link (mới)'!$C$3:$C$2213,'Kế hoạch chèn link (mới)'!$D$3:$D$2213=$B538),1),"""")"),"thuế VAT")</f>
        <v>thuế VAT</v>
      </c>
      <c r="H538" s="25" t="str">
        <f>IFERROR(__xludf.DUMMYFUNCTION("IFERROR(INDEX(FILTER('Kế hoạch chèn link (mới)'!$B$3:$B$2213,'Kế hoạch chèn link (mới)'!$D$3:$D$2213=$B538),1),"""")"),"https://techcombank.com/thong-tin/blog/thue-vat-la-gi")</f>
        <v>https://techcombank.com/thong-tin/blog/thue-vat-la-gi</v>
      </c>
      <c r="I538" s="25" t="str">
        <f>IFERROR(__xludf.DUMMYFUNCTION("IFERROR(INDEX(FILTER('Kế hoạch chèn link (mới)'!$C$3:$C$2213,'Kế hoạch chèn link (mới)'!$D$3:$D$2213=$B538),2),"""")"),"tiền Baht")</f>
        <v>tiền Baht</v>
      </c>
      <c r="J538" s="25" t="str">
        <f>IFERROR(__xludf.DUMMYFUNCTION("IFERROR(INDEX(FILTER('Kế hoạch chèn link (mới)'!$B$3:$B$2213,'Kế hoạch chèn link (mới)'!$D$3:$D$2213=$B538),2),"""")"),"https://techcombank.com/thong-tin/blog/tien-thai-lan")</f>
        <v>https://techcombank.com/thong-tin/blog/tien-thai-lan</v>
      </c>
      <c r="K538" s="25" t="str">
        <f>IFERROR(__xludf.DUMMYFUNCTION("IFERROR(INDEX(FILTER('Kế hoạch chèn link (mới)'!$C$3:$C$2213,'Kế hoạch chèn link (mới)'!$D$3:$D$2213=$B538),3),"""")"),"voucher Traveloka")</f>
        <v>voucher Traveloka</v>
      </c>
      <c r="L538" s="25" t="str">
        <f>IFERROR(__xludf.DUMMYFUNCTION("IFERROR(INDEX(FILTER('Kế hoạch chèn link (mới)'!$B$3:$B$2213,'Kế hoạch chèn link (mới)'!$D$3:$D$2213=$B538),3),"""")"),"https://techcombank.com/thong-tin/blog/traveloka-voucher")</f>
        <v>https://techcombank.com/thong-tin/blog/traveloka-voucher</v>
      </c>
      <c r="M538" s="25" t="str">
        <f>IFERROR(__xludf.DUMMYFUNCTION("IFERROR(INDEX(FILTER('Kế hoạch chèn link (mới)'!$C$3:$C$2213,'Kế hoạch chèn link (mới)'!$D$3:$D$2213=$B538),4),"""")"),"")</f>
        <v/>
      </c>
      <c r="N538" s="25" t="str">
        <f>IFERROR(__xludf.DUMMYFUNCTION("IFERROR(INDEX(FILTER('Kế hoạch chèn link (mới)'!$B$3:$B$2213,'Kế hoạch chèn link (mới)'!$D$3:$D$2213=$B538),4),"""")"),"")</f>
        <v/>
      </c>
      <c r="O538" s="25" t="str">
        <f>IFERROR(__xludf.DUMMYFUNCTION("IFERROR(INDEX(FILTER('Kế hoạch chèn link (mới)'!$C$3:$C$2213,'Kế hoạch chèn link (mới)'!$D$3:$D$2213=$B538),5),"""")"),"")</f>
        <v/>
      </c>
      <c r="P538" s="25" t="str">
        <f>IFERROR(__xludf.DUMMYFUNCTION("IFERROR(INDEX(FILTER('Kế hoạch chèn link (mới)'!$B$3:$B$2213,'Kế hoạch chèn link (mới)'!$D$3:$D$2213=$B538),5),"""")"),"")</f>
        <v/>
      </c>
    </row>
    <row r="539">
      <c r="A539" s="6">
        <f t="shared" si="1"/>
        <v>538</v>
      </c>
      <c r="B539" s="8" t="s">
        <v>3154</v>
      </c>
      <c r="C539" s="6">
        <f>COUNTIF('Kế hoạch chèn link (mới)'!$D$3:$D$2213,$B539)</f>
        <v>1</v>
      </c>
      <c r="D539" s="8" t="str">
        <f>IF(COUNTIFS('Kế hoạch chèn link (mới)'!$D$3:$D$2213,$B539,'Kế hoạch chèn link (mới)'!$I$3:$I$2213,"Đã chèn")&gt;=$C539,"Đã hoàn thành",IF(COUNTIFS('Kế hoạch chèn link (mới)'!$D$3:$D$2213,$B539,'Kế hoạch chèn link (mới)'!$I$3:$I$2213,"Đã chèn")&gt;0,"Đang làm","Chưa hoàn thành"))</f>
        <v>Chưa hoàn thành</v>
      </c>
      <c r="E539" s="8" t="b">
        <f t="shared" si="2"/>
        <v>0</v>
      </c>
      <c r="F539" s="25"/>
      <c r="G539" s="25" t="str">
        <f>IFERROR(__xludf.DUMMYFUNCTION("IFERROR(INDEX(FILTER('Kế hoạch chèn link (mới)'!$C$3:$C$2213,'Kế hoạch chèn link (mới)'!$D$3:$D$2213=$B539),1),"""")"),"tỷ giá Nhân dân tệ")</f>
        <v>tỷ giá Nhân dân tệ</v>
      </c>
      <c r="H539" s="25" t="str">
        <f>IFERROR(__xludf.DUMMYFUNCTION("IFERROR(INDEX(FILTER('Kế hoạch chèn link (mới)'!$B$3:$B$2213,'Kế hoạch chèn link (mới)'!$D$3:$D$2213=$B539),1),"""")"),"https://techcombank.com/thong-tin/blog/1-te-bang-bao-nhieu-tien-viet-nam")</f>
        <v>https://techcombank.com/thong-tin/blog/1-te-bang-bao-nhieu-tien-viet-nam</v>
      </c>
      <c r="I539" s="25" t="str">
        <f>IFERROR(__xludf.DUMMYFUNCTION("IFERROR(INDEX(FILTER('Kế hoạch chèn link (mới)'!$C$3:$C$2213,'Kế hoạch chèn link (mới)'!$D$3:$D$2213=$B539),2),"""")"),"")</f>
        <v/>
      </c>
      <c r="J539" s="25" t="str">
        <f>IFERROR(__xludf.DUMMYFUNCTION("IFERROR(INDEX(FILTER('Kế hoạch chèn link (mới)'!$B$3:$B$2213,'Kế hoạch chèn link (mới)'!$D$3:$D$2213=$B539),2),"""")"),"")</f>
        <v/>
      </c>
      <c r="K539" s="25" t="str">
        <f>IFERROR(__xludf.DUMMYFUNCTION("IFERROR(INDEX(FILTER('Kế hoạch chèn link (mới)'!$C$3:$C$2213,'Kế hoạch chèn link (mới)'!$D$3:$D$2213=$B539),3),"""")"),"")</f>
        <v/>
      </c>
      <c r="L539" s="25" t="str">
        <f>IFERROR(__xludf.DUMMYFUNCTION("IFERROR(INDEX(FILTER('Kế hoạch chèn link (mới)'!$B$3:$B$2213,'Kế hoạch chèn link (mới)'!$D$3:$D$2213=$B539),3),"""")"),"")</f>
        <v/>
      </c>
      <c r="M539" s="25" t="str">
        <f>IFERROR(__xludf.DUMMYFUNCTION("IFERROR(INDEX(FILTER('Kế hoạch chèn link (mới)'!$C$3:$C$2213,'Kế hoạch chèn link (mới)'!$D$3:$D$2213=$B539),4),"""")"),"")</f>
        <v/>
      </c>
      <c r="N539" s="25" t="str">
        <f>IFERROR(__xludf.DUMMYFUNCTION("IFERROR(INDEX(FILTER('Kế hoạch chèn link (mới)'!$B$3:$B$2213,'Kế hoạch chèn link (mới)'!$D$3:$D$2213=$B539),4),"""")"),"")</f>
        <v/>
      </c>
      <c r="O539" s="25" t="str">
        <f>IFERROR(__xludf.DUMMYFUNCTION("IFERROR(INDEX(FILTER('Kế hoạch chèn link (mới)'!$C$3:$C$2213,'Kế hoạch chèn link (mới)'!$D$3:$D$2213=$B539),5),"""")"),"")</f>
        <v/>
      </c>
      <c r="P539" s="25" t="str">
        <f>IFERROR(__xludf.DUMMYFUNCTION("IFERROR(INDEX(FILTER('Kế hoạch chèn link (mới)'!$B$3:$B$2213,'Kế hoạch chèn link (mới)'!$D$3:$D$2213=$B539),5),"""")"),"")</f>
        <v/>
      </c>
    </row>
    <row r="540">
      <c r="A540" s="6">
        <f t="shared" si="1"/>
        <v>539</v>
      </c>
      <c r="B540" s="8" t="s">
        <v>3155</v>
      </c>
      <c r="C540" s="6">
        <f>COUNTIF('Kế hoạch chèn link (mới)'!$D$3:$D$2213,$B540)</f>
        <v>4</v>
      </c>
      <c r="D540" s="8" t="str">
        <f>IF(COUNTIFS('Kế hoạch chèn link (mới)'!$D$3:$D$2213,$B540,'Kế hoạch chèn link (mới)'!$I$3:$I$2213,"Đã chèn")&gt;=$C540,"Đã hoàn thành",IF(COUNTIFS('Kế hoạch chèn link (mới)'!$D$3:$D$2213,$B540,'Kế hoạch chèn link (mới)'!$I$3:$I$2213,"Đã chèn")&gt;0,"Đang làm","Chưa hoàn thành"))</f>
        <v>Chưa hoàn thành</v>
      </c>
      <c r="E540" s="8" t="b">
        <f t="shared" si="2"/>
        <v>0</v>
      </c>
      <c r="F540" s="25"/>
      <c r="G540" s="25" t="str">
        <f>IFERROR(__xludf.DUMMYFUNCTION("IFERROR(INDEX(FILTER('Kế hoạch chèn link (mới)'!$C$3:$C$2213,'Kế hoạch chèn link (mới)'!$D$3:$D$2213=$B540),1),"""")"),"xếp hạng tín dụng cá nhân")</f>
        <v>xếp hạng tín dụng cá nhân</v>
      </c>
      <c r="H540" s="25" t="str">
        <f>IFERROR(__xludf.DUMMYFUNCTION("IFERROR(INDEX(FILTER('Kế hoạch chèn link (mới)'!$B$3:$B$2213,'Kế hoạch chèn link (mới)'!$D$3:$D$2213=$B540),1),"""")"),"https://techcombank.com/thong-tin/blog/xep-hang-tin-dung")</f>
        <v>https://techcombank.com/thong-tin/blog/xep-hang-tin-dung</v>
      </c>
      <c r="I540" s="25" t="str">
        <f>IFERROR(__xludf.DUMMYFUNCTION("IFERROR(INDEX(FILTER('Kế hoạch chèn link (mới)'!$C$3:$C$2213,'Kế hoạch chèn link (mới)'!$D$3:$D$2213=$B540),2),"""")"),"tính lãi vay ngân hàng")</f>
        <v>tính lãi vay ngân hàng</v>
      </c>
      <c r="J540" s="25" t="str">
        <f>IFERROR(__xludf.DUMMYFUNCTION("IFERROR(INDEX(FILTER('Kế hoạch chèn link (mới)'!$B$3:$B$2213,'Kế hoạch chèn link (mới)'!$D$3:$D$2213=$B540),2),"""")"),"https://techcombank.com/cong-cu-tien-ich/cong-cu-tinh-toan/bang-tinh-lai-suat-vay")</f>
        <v>https://techcombank.com/cong-cu-tien-ich/cong-cu-tinh-toan/bang-tinh-lai-suat-vay</v>
      </c>
      <c r="K540" s="25" t="str">
        <f>IFERROR(__xludf.DUMMYFUNCTION("IFERROR(INDEX(FILTER('Kế hoạch chèn link (mới)'!$C$3:$C$2213,'Kế hoạch chèn link (mới)'!$D$3:$D$2213=$B540),3),"""")"),"vay")</f>
        <v>vay</v>
      </c>
      <c r="L540" s="25" t="str">
        <f>IFERROR(__xludf.DUMMYFUNCTION("IFERROR(INDEX(FILTER('Kế hoạch chèn link (mới)'!$B$3:$B$2213,'Kế hoạch chèn link (mới)'!$D$3:$D$2213=$B540),3),"""")"),"https://techcombank.com/thong-tin/blog/app-vay-tien-nhanh")</f>
        <v>https://techcombank.com/thong-tin/blog/app-vay-tien-nhanh</v>
      </c>
      <c r="M540" s="25" t="str">
        <f>IFERROR(__xludf.DUMMYFUNCTION("IFERROR(INDEX(FILTER('Kế hoạch chèn link (mới)'!$C$3:$C$2213,'Kế hoạch chèn link (mới)'!$D$3:$D$2213=$B540),4),"""")"),"lãi vay ngân hàng hiện nay")</f>
        <v>lãi vay ngân hàng hiện nay</v>
      </c>
      <c r="N540" s="25" t="str">
        <f>IFERROR(__xludf.DUMMYFUNCTION("IFERROR(INDEX(FILTER('Kế hoạch chèn link (mới)'!$B$3:$B$2213,'Kế hoạch chèn link (mới)'!$D$3:$D$2213=$B540),4),"""")"),"https://techcombank.com/thong-tin/blog/lai-suat-vay-ngan-hang")</f>
        <v>https://techcombank.com/thong-tin/blog/lai-suat-vay-ngan-hang</v>
      </c>
      <c r="O540" s="25" t="str">
        <f>IFERROR(__xludf.DUMMYFUNCTION("IFERROR(INDEX(FILTER('Kế hoạch chèn link (mới)'!$C$3:$C$2213,'Kế hoạch chèn link (mới)'!$D$3:$D$2213=$B540),5),"""")"),"")</f>
        <v/>
      </c>
      <c r="P540" s="25" t="str">
        <f>IFERROR(__xludf.DUMMYFUNCTION("IFERROR(INDEX(FILTER('Kế hoạch chèn link (mới)'!$B$3:$B$2213,'Kế hoạch chèn link (mới)'!$D$3:$D$2213=$B540),5),"""")"),"")</f>
        <v/>
      </c>
    </row>
    <row r="541">
      <c r="A541" s="6">
        <f t="shared" si="1"/>
        <v>540</v>
      </c>
      <c r="B541" s="8" t="s">
        <v>3124</v>
      </c>
      <c r="C541" s="6">
        <f>COUNTIF('Kế hoạch chèn link (mới)'!$D$3:$D$2213,$B541)</f>
        <v>1</v>
      </c>
      <c r="D541" s="8" t="str">
        <f>IF(COUNTIFS('Kế hoạch chèn link (mới)'!$D$3:$D$2213,$B541,'Kế hoạch chèn link (mới)'!$I$3:$I$2213,"Đã chèn")&gt;=$C541,"Đã hoàn thành",IF(COUNTIFS('Kế hoạch chèn link (mới)'!$D$3:$D$2213,$B541,'Kế hoạch chèn link (mới)'!$I$3:$I$2213,"Đã chèn")&gt;0,"Đang làm","Chưa hoàn thành"))</f>
        <v>Chưa hoàn thành</v>
      </c>
      <c r="E541" s="8" t="b">
        <f t="shared" si="2"/>
        <v>0</v>
      </c>
      <c r="F541" s="25"/>
      <c r="G541" s="25" t="str">
        <f>IFERROR(__xludf.DUMMYFUNCTION("IFERROR(INDEX(FILTER('Kế hoạch chèn link (mới)'!$C$3:$C$2213,'Kế hoạch chèn link (mới)'!$D$3:$D$2213=$B541),1),"""")"),"quét NFC CCCD")</f>
        <v>quét NFC CCCD</v>
      </c>
      <c r="H541" s="25" t="str">
        <f>IFERROR(__xludf.DUMMYFUNCTION("IFERROR(INDEX(FILTER('Kế hoạch chèn link (mới)'!$B$3:$B$2213,'Kế hoạch chèn link (mới)'!$D$3:$D$2213=$B541),1),"""")"),"https://techcombank.com/thong-tin/blog/cach-quet-nfc-cccd-tren-iphone")</f>
        <v>https://techcombank.com/thong-tin/blog/cach-quet-nfc-cccd-tren-iphone</v>
      </c>
      <c r="I541" s="25" t="str">
        <f>IFERROR(__xludf.DUMMYFUNCTION("IFERROR(INDEX(FILTER('Kế hoạch chèn link (mới)'!$C$3:$C$2213,'Kế hoạch chèn link (mới)'!$D$3:$D$2213=$B541),2),"""")"),"")</f>
        <v/>
      </c>
      <c r="J541" s="25" t="str">
        <f>IFERROR(__xludf.DUMMYFUNCTION("IFERROR(INDEX(FILTER('Kế hoạch chèn link (mới)'!$B$3:$B$2213,'Kế hoạch chèn link (mới)'!$D$3:$D$2213=$B541),2),"""")"),"")</f>
        <v/>
      </c>
      <c r="K541" s="25" t="str">
        <f>IFERROR(__xludf.DUMMYFUNCTION("IFERROR(INDEX(FILTER('Kế hoạch chèn link (mới)'!$C$3:$C$2213,'Kế hoạch chèn link (mới)'!$D$3:$D$2213=$B541),3),"""")"),"")</f>
        <v/>
      </c>
      <c r="L541" s="25" t="str">
        <f>IFERROR(__xludf.DUMMYFUNCTION("IFERROR(INDEX(FILTER('Kế hoạch chèn link (mới)'!$B$3:$B$2213,'Kế hoạch chèn link (mới)'!$D$3:$D$2213=$B541),3),"""")"),"")</f>
        <v/>
      </c>
      <c r="M541" s="25" t="str">
        <f>IFERROR(__xludf.DUMMYFUNCTION("IFERROR(INDEX(FILTER('Kế hoạch chèn link (mới)'!$C$3:$C$2213,'Kế hoạch chèn link (mới)'!$D$3:$D$2213=$B541),4),"""")"),"")</f>
        <v/>
      </c>
      <c r="N541" s="25" t="str">
        <f>IFERROR(__xludf.DUMMYFUNCTION("IFERROR(INDEX(FILTER('Kế hoạch chèn link (mới)'!$B$3:$B$2213,'Kế hoạch chèn link (mới)'!$D$3:$D$2213=$B541),4),"""")"),"")</f>
        <v/>
      </c>
      <c r="O541" s="25" t="str">
        <f>IFERROR(__xludf.DUMMYFUNCTION("IFERROR(INDEX(FILTER('Kế hoạch chèn link (mới)'!$C$3:$C$2213,'Kế hoạch chèn link (mới)'!$D$3:$D$2213=$B541),5),"""")"),"")</f>
        <v/>
      </c>
      <c r="P541" s="25" t="str">
        <f>IFERROR(__xludf.DUMMYFUNCTION("IFERROR(INDEX(FILTER('Kế hoạch chèn link (mới)'!$B$3:$B$2213,'Kế hoạch chèn link (mới)'!$D$3:$D$2213=$B541),5),"""")"),"")</f>
        <v/>
      </c>
    </row>
    <row r="542">
      <c r="A542" s="6">
        <f t="shared" si="1"/>
        <v>541</v>
      </c>
      <c r="B542" s="8" t="s">
        <v>3156</v>
      </c>
      <c r="C542" s="6">
        <f>COUNTIF('Kế hoạch chèn link (mới)'!$D$3:$D$2213,$B542)</f>
        <v>2</v>
      </c>
      <c r="D542" s="8" t="str">
        <f>IF(COUNTIFS('Kế hoạch chèn link (mới)'!$D$3:$D$2213,$B542,'Kế hoạch chèn link (mới)'!$I$3:$I$2213,"Đã chèn")&gt;=$C542,"Đã hoàn thành",IF(COUNTIFS('Kế hoạch chèn link (mới)'!$D$3:$D$2213,$B542,'Kế hoạch chèn link (mới)'!$I$3:$I$2213,"Đã chèn")&gt;0,"Đang làm","Chưa hoàn thành"))</f>
        <v>Chưa hoàn thành</v>
      </c>
      <c r="E542" s="8" t="b">
        <f t="shared" si="2"/>
        <v>0</v>
      </c>
      <c r="F542" s="25"/>
      <c r="G542" s="25" t="str">
        <f>IFERROR(__xludf.DUMMYFUNCTION("IFERROR(INDEX(FILTER('Kế hoạch chèn link (mới)'!$C$3:$C$2213,'Kế hoạch chèn link (mới)'!$D$3:$D$2213=$B542),1),"""")"),"tài khoản hộ kinh doanh")</f>
        <v>tài khoản hộ kinh doanh</v>
      </c>
      <c r="H542" s="25" t="str">
        <f>IFERROR(__xludf.DUMMYFUNCTION("IFERROR(INDEX(FILTER('Kế hoạch chèn link (mới)'!$B$3:$B$2213,'Kế hoạch chèn link (mới)'!$D$3:$D$2213=$B542),1),"""")"),"https://techcombank.com/thong-tin/blog/mo-tai-khoan-ho-kinh-doanh")</f>
        <v>https://techcombank.com/thong-tin/blog/mo-tai-khoan-ho-kinh-doanh</v>
      </c>
      <c r="I542" s="25" t="str">
        <f>IFERROR(__xludf.DUMMYFUNCTION("IFERROR(INDEX(FILTER('Kế hoạch chèn link (mới)'!$C$3:$C$2213,'Kế hoạch chèn link (mới)'!$D$3:$D$2213=$B542),2),"""")"),"cách tính thuế hộ kinh doanh")</f>
        <v>cách tính thuế hộ kinh doanh</v>
      </c>
      <c r="J542" s="25" t="str">
        <f>IFERROR(__xludf.DUMMYFUNCTION("IFERROR(INDEX(FILTER('Kế hoạch chèn link (mới)'!$B$3:$B$2213,'Kế hoạch chèn link (mới)'!$D$3:$D$2213=$B542),2),"""")"),"https://techcombank.com/thong-tin/blog/cach-tinh-thue-ho-kinh-doanh-nho-le")</f>
        <v>https://techcombank.com/thong-tin/blog/cach-tinh-thue-ho-kinh-doanh-nho-le</v>
      </c>
      <c r="K542" s="25" t="str">
        <f>IFERROR(__xludf.DUMMYFUNCTION("IFERROR(INDEX(FILTER('Kế hoạch chèn link (mới)'!$C$3:$C$2213,'Kế hoạch chèn link (mới)'!$D$3:$D$2213=$B542),3),"""")"),"")</f>
        <v/>
      </c>
      <c r="L542" s="25" t="str">
        <f>IFERROR(__xludf.DUMMYFUNCTION("IFERROR(INDEX(FILTER('Kế hoạch chèn link (mới)'!$B$3:$B$2213,'Kế hoạch chèn link (mới)'!$D$3:$D$2213=$B542),3),"""")"),"")</f>
        <v/>
      </c>
      <c r="M542" s="25" t="str">
        <f>IFERROR(__xludf.DUMMYFUNCTION("IFERROR(INDEX(FILTER('Kế hoạch chèn link (mới)'!$C$3:$C$2213,'Kế hoạch chèn link (mới)'!$D$3:$D$2213=$B542),4),"""")"),"")</f>
        <v/>
      </c>
      <c r="N542" s="25" t="str">
        <f>IFERROR(__xludf.DUMMYFUNCTION("IFERROR(INDEX(FILTER('Kế hoạch chèn link (mới)'!$B$3:$B$2213,'Kế hoạch chèn link (mới)'!$D$3:$D$2213=$B542),4),"""")"),"")</f>
        <v/>
      </c>
      <c r="O542" s="25" t="str">
        <f>IFERROR(__xludf.DUMMYFUNCTION("IFERROR(INDEX(FILTER('Kế hoạch chèn link (mới)'!$C$3:$C$2213,'Kế hoạch chèn link (mới)'!$D$3:$D$2213=$B542),5),"""")"),"")</f>
        <v/>
      </c>
      <c r="P542" s="25" t="str">
        <f>IFERROR(__xludf.DUMMYFUNCTION("IFERROR(INDEX(FILTER('Kế hoạch chèn link (mới)'!$B$3:$B$2213,'Kế hoạch chèn link (mới)'!$D$3:$D$2213=$B542),5),"""")"),"")</f>
        <v/>
      </c>
    </row>
    <row r="543">
      <c r="A543" s="6">
        <f t="shared" si="1"/>
        <v>542</v>
      </c>
      <c r="B543" s="8" t="s">
        <v>3157</v>
      </c>
      <c r="C543" s="6">
        <f>COUNTIF('Kế hoạch chèn link (mới)'!$D$3:$D$2213,$B543)</f>
        <v>1</v>
      </c>
      <c r="D543" s="8" t="str">
        <f>IF(COUNTIFS('Kế hoạch chèn link (mới)'!$D$3:$D$2213,$B543,'Kế hoạch chèn link (mới)'!$I$3:$I$2213,"Đã chèn")&gt;=$C543,"Đã hoàn thành",IF(COUNTIFS('Kế hoạch chèn link (mới)'!$D$3:$D$2213,$B543,'Kế hoạch chèn link (mới)'!$I$3:$I$2213,"Đã chèn")&gt;0,"Đang làm","Chưa hoàn thành"))</f>
        <v>Chưa hoàn thành</v>
      </c>
      <c r="E543" s="8" t="b">
        <f t="shared" si="2"/>
        <v>0</v>
      </c>
      <c r="F543" s="25"/>
      <c r="G543" s="25" t="str">
        <f>IFERROR(__xludf.DUMMYFUNCTION("IFERROR(INDEX(FILTER('Kế hoạch chèn link (mới)'!$C$3:$C$2213,'Kế hoạch chèn link (mới)'!$D$3:$D$2213=$B543),1),"""")"),"rút tiền thẻ tín dụng")</f>
        <v>rút tiền thẻ tín dụng</v>
      </c>
      <c r="H543" s="25" t="str">
        <f>IFERROR(__xludf.DUMMYFUNCTION("IFERROR(INDEX(FILTER('Kế hoạch chèn link (mới)'!$B$3:$B$2213,'Kế hoạch chèn link (mới)'!$D$3:$D$2213=$B543),1),"""")"),"https://techcombank.com/thong-tin/blog/rut-tien-mat-tu-the-tin-dung")</f>
        <v>https://techcombank.com/thong-tin/blog/rut-tien-mat-tu-the-tin-dung</v>
      </c>
      <c r="I543" s="25" t="str">
        <f>IFERROR(__xludf.DUMMYFUNCTION("IFERROR(INDEX(FILTER('Kế hoạch chèn link (mới)'!$C$3:$C$2213,'Kế hoạch chèn link (mới)'!$D$3:$D$2213=$B543),2),"""")"),"")</f>
        <v/>
      </c>
      <c r="J543" s="25" t="str">
        <f>IFERROR(__xludf.DUMMYFUNCTION("IFERROR(INDEX(FILTER('Kế hoạch chèn link (mới)'!$B$3:$B$2213,'Kế hoạch chèn link (mới)'!$D$3:$D$2213=$B543),2),"""")"),"")</f>
        <v/>
      </c>
      <c r="K543" s="25" t="str">
        <f>IFERROR(__xludf.DUMMYFUNCTION("IFERROR(INDEX(FILTER('Kế hoạch chèn link (mới)'!$C$3:$C$2213,'Kế hoạch chèn link (mới)'!$D$3:$D$2213=$B543),3),"""")"),"")</f>
        <v/>
      </c>
      <c r="L543" s="25" t="str">
        <f>IFERROR(__xludf.DUMMYFUNCTION("IFERROR(INDEX(FILTER('Kế hoạch chèn link (mới)'!$B$3:$B$2213,'Kế hoạch chèn link (mới)'!$D$3:$D$2213=$B543),3),"""")"),"")</f>
        <v/>
      </c>
      <c r="M543" s="25" t="str">
        <f>IFERROR(__xludf.DUMMYFUNCTION("IFERROR(INDEX(FILTER('Kế hoạch chèn link (mới)'!$C$3:$C$2213,'Kế hoạch chèn link (mới)'!$D$3:$D$2213=$B543),4),"""")"),"")</f>
        <v/>
      </c>
      <c r="N543" s="25" t="str">
        <f>IFERROR(__xludf.DUMMYFUNCTION("IFERROR(INDEX(FILTER('Kế hoạch chèn link (mới)'!$B$3:$B$2213,'Kế hoạch chèn link (mới)'!$D$3:$D$2213=$B543),4),"""")"),"")</f>
        <v/>
      </c>
      <c r="O543" s="25" t="str">
        <f>IFERROR(__xludf.DUMMYFUNCTION("IFERROR(INDEX(FILTER('Kế hoạch chèn link (mới)'!$C$3:$C$2213,'Kế hoạch chèn link (mới)'!$D$3:$D$2213=$B543),5),"""")"),"")</f>
        <v/>
      </c>
      <c r="P543" s="25" t="str">
        <f>IFERROR(__xludf.DUMMYFUNCTION("IFERROR(INDEX(FILTER('Kế hoạch chèn link (mới)'!$B$3:$B$2213,'Kế hoạch chèn link (mới)'!$D$3:$D$2213=$B543),5),"""")"),"")</f>
        <v/>
      </c>
    </row>
    <row r="544">
      <c r="A544" s="6">
        <f t="shared" si="1"/>
        <v>543</v>
      </c>
      <c r="B544" s="8" t="s">
        <v>2148</v>
      </c>
      <c r="C544" s="6">
        <f>COUNTIF('Kế hoạch chèn link (mới)'!$D$3:$D$2213,$B544)</f>
        <v>1</v>
      </c>
      <c r="D544" s="8" t="str">
        <f>IF(COUNTIFS('Kế hoạch chèn link (mới)'!$D$3:$D$2213,$B544,'Kế hoạch chèn link (mới)'!$I$3:$I$2213,"Đã chèn")&gt;=$C544,"Đã hoàn thành",IF(COUNTIFS('Kế hoạch chèn link (mới)'!$D$3:$D$2213,$B544,'Kế hoạch chèn link (mới)'!$I$3:$I$2213,"Đã chèn")&gt;0,"Đang làm","Chưa hoàn thành"))</f>
        <v>Chưa hoàn thành</v>
      </c>
      <c r="E544" s="8" t="b">
        <f t="shared" si="2"/>
        <v>0</v>
      </c>
      <c r="F544" s="25"/>
      <c r="G544" s="25" t="str">
        <f>IFERROR(__xludf.DUMMYFUNCTION("IFERROR(INDEX(FILTER('Kế hoạch chèn link (mới)'!$C$3:$C$2213,'Kế hoạch chèn link (mới)'!$D$3:$D$2213=$B544),1),"""")"),"mở tài khoản ngân hàng cho học sinh")</f>
        <v>mở tài khoản ngân hàng cho học sinh</v>
      </c>
      <c r="H544" s="25" t="str">
        <f>IFERROR(__xludf.DUMMYFUNCTION("IFERROR(INDEX(FILTER('Kế hoạch chèn link (mới)'!$B$3:$B$2213,'Kế hoạch chèn link (mới)'!$D$3:$D$2213=$B544),1),"""")"),"https://techcombank.com/thong-tin/blog/mo-tai-khoan-ngan-hang-duoi-18-tuoi")</f>
        <v>https://techcombank.com/thong-tin/blog/mo-tai-khoan-ngan-hang-duoi-18-tuoi</v>
      </c>
      <c r="I544" s="25" t="str">
        <f>IFERROR(__xludf.DUMMYFUNCTION("IFERROR(INDEX(FILTER('Kế hoạch chèn link (mới)'!$C$3:$C$2213,'Kế hoạch chèn link (mới)'!$D$3:$D$2213=$B544),2),"""")"),"")</f>
        <v/>
      </c>
      <c r="J544" s="25" t="str">
        <f>IFERROR(__xludf.DUMMYFUNCTION("IFERROR(INDEX(FILTER('Kế hoạch chèn link (mới)'!$B$3:$B$2213,'Kế hoạch chèn link (mới)'!$D$3:$D$2213=$B544),2),"""")"),"")</f>
        <v/>
      </c>
      <c r="K544" s="25" t="str">
        <f>IFERROR(__xludf.DUMMYFUNCTION("IFERROR(INDEX(FILTER('Kế hoạch chèn link (mới)'!$C$3:$C$2213,'Kế hoạch chèn link (mới)'!$D$3:$D$2213=$B544),3),"""")"),"")</f>
        <v/>
      </c>
      <c r="L544" s="25" t="str">
        <f>IFERROR(__xludf.DUMMYFUNCTION("IFERROR(INDEX(FILTER('Kế hoạch chèn link (mới)'!$B$3:$B$2213,'Kế hoạch chèn link (mới)'!$D$3:$D$2213=$B544),3),"""")"),"")</f>
        <v/>
      </c>
      <c r="M544" s="25" t="str">
        <f>IFERROR(__xludf.DUMMYFUNCTION("IFERROR(INDEX(FILTER('Kế hoạch chèn link (mới)'!$C$3:$C$2213,'Kế hoạch chèn link (mới)'!$D$3:$D$2213=$B544),4),"""")"),"")</f>
        <v/>
      </c>
      <c r="N544" s="25" t="str">
        <f>IFERROR(__xludf.DUMMYFUNCTION("IFERROR(INDEX(FILTER('Kế hoạch chèn link (mới)'!$B$3:$B$2213,'Kế hoạch chèn link (mới)'!$D$3:$D$2213=$B544),4),"""")"),"")</f>
        <v/>
      </c>
      <c r="O544" s="25" t="str">
        <f>IFERROR(__xludf.DUMMYFUNCTION("IFERROR(INDEX(FILTER('Kế hoạch chèn link (mới)'!$C$3:$C$2213,'Kế hoạch chèn link (mới)'!$D$3:$D$2213=$B544),5),"""")"),"")</f>
        <v/>
      </c>
      <c r="P544" s="25" t="str">
        <f>IFERROR(__xludf.DUMMYFUNCTION("IFERROR(INDEX(FILTER('Kế hoạch chèn link (mới)'!$B$3:$B$2213,'Kế hoạch chèn link (mới)'!$D$3:$D$2213=$B544),5),"""")"),"")</f>
        <v/>
      </c>
    </row>
    <row r="545">
      <c r="A545" s="6">
        <f t="shared" si="1"/>
        <v>544</v>
      </c>
      <c r="B545" s="8" t="s">
        <v>2907</v>
      </c>
      <c r="C545" s="6">
        <f>COUNTIF('Kế hoạch chèn link (mới)'!$D$3:$D$2213,$B545)</f>
        <v>2</v>
      </c>
      <c r="D545" s="8" t="str">
        <f>IF(COUNTIFS('Kế hoạch chèn link (mới)'!$D$3:$D$2213,$B545,'Kế hoạch chèn link (mới)'!$I$3:$I$2213,"Đã chèn")&gt;=$C545,"Đã hoàn thành",IF(COUNTIFS('Kế hoạch chèn link (mới)'!$D$3:$D$2213,$B545,'Kế hoạch chèn link (mới)'!$I$3:$I$2213,"Đã chèn")&gt;0,"Đang làm","Chưa hoàn thành"))</f>
        <v>Chưa hoàn thành</v>
      </c>
      <c r="E545" s="8" t="b">
        <f t="shared" si="2"/>
        <v>0</v>
      </c>
      <c r="F545" s="25"/>
      <c r="G545" s="25" t="str">
        <f>IFERROR(__xludf.DUMMYFUNCTION("IFERROR(INDEX(FILTER('Kế hoạch chèn link (mới)'!$C$3:$C$2213,'Kế hoạch chèn link (mới)'!$D$3:$D$2213=$B545),1),"""")"),"rút tiền bằng mã QR")</f>
        <v>rút tiền bằng mã QR</v>
      </c>
      <c r="H545" s="25" t="str">
        <f>IFERROR(__xludf.DUMMYFUNCTION("IFERROR(INDEX(FILTER('Kế hoạch chèn link (mới)'!$B$3:$B$2213,'Kế hoạch chèn link (mới)'!$D$3:$D$2213=$B545),1),"""")"),"https://techcombank.com/thong-tin/blog/rut-tien-bang-ma-qr-la-gi-cach-thuc-hien-nhu-the-nao")</f>
        <v>https://techcombank.com/thong-tin/blog/rut-tien-bang-ma-qr-la-gi-cach-thuc-hien-nhu-the-nao</v>
      </c>
      <c r="I545" s="25" t="str">
        <f>IFERROR(__xludf.DUMMYFUNCTION("IFERROR(INDEX(FILTER('Kế hoạch chèn link (mới)'!$C$3:$C$2213,'Kế hoạch chèn link (mới)'!$D$3:$D$2213=$B545),2),"""")"),"gửi mã QR ngân hàng")</f>
        <v>gửi mã QR ngân hàng</v>
      </c>
      <c r="J545" s="25" t="str">
        <f>IFERROR(__xludf.DUMMYFUNCTION("IFERROR(INDEX(FILTER('Kế hoạch chèn link (mới)'!$B$3:$B$2213,'Kế hoạch chèn link (mới)'!$D$3:$D$2213=$B545),2),"""")"),"https://techcombank.com/thong-tin/blog/gui-ma-qr-ngan-hang")</f>
        <v>https://techcombank.com/thong-tin/blog/gui-ma-qr-ngan-hang</v>
      </c>
      <c r="K545" s="25" t="str">
        <f>IFERROR(__xludf.DUMMYFUNCTION("IFERROR(INDEX(FILTER('Kế hoạch chèn link (mới)'!$C$3:$C$2213,'Kế hoạch chèn link (mới)'!$D$3:$D$2213=$B545),3),"""")"),"")</f>
        <v/>
      </c>
      <c r="L545" s="25" t="str">
        <f>IFERROR(__xludf.DUMMYFUNCTION("IFERROR(INDEX(FILTER('Kế hoạch chèn link (mới)'!$B$3:$B$2213,'Kế hoạch chèn link (mới)'!$D$3:$D$2213=$B545),3),"""")"),"")</f>
        <v/>
      </c>
      <c r="M545" s="25" t="str">
        <f>IFERROR(__xludf.DUMMYFUNCTION("IFERROR(INDEX(FILTER('Kế hoạch chèn link (mới)'!$C$3:$C$2213,'Kế hoạch chèn link (mới)'!$D$3:$D$2213=$B545),4),"""")"),"")</f>
        <v/>
      </c>
      <c r="N545" s="25" t="str">
        <f>IFERROR(__xludf.DUMMYFUNCTION("IFERROR(INDEX(FILTER('Kế hoạch chèn link (mới)'!$B$3:$B$2213,'Kế hoạch chèn link (mới)'!$D$3:$D$2213=$B545),4),"""")"),"")</f>
        <v/>
      </c>
      <c r="O545" s="25" t="str">
        <f>IFERROR(__xludf.DUMMYFUNCTION("IFERROR(INDEX(FILTER('Kế hoạch chèn link (mới)'!$C$3:$C$2213,'Kế hoạch chèn link (mới)'!$D$3:$D$2213=$B545),5),"""")"),"")</f>
        <v/>
      </c>
      <c r="P545" s="25" t="str">
        <f>IFERROR(__xludf.DUMMYFUNCTION("IFERROR(INDEX(FILTER('Kế hoạch chèn link (mới)'!$B$3:$B$2213,'Kế hoạch chèn link (mới)'!$D$3:$D$2213=$B545),5),"""")"),"")</f>
        <v/>
      </c>
    </row>
    <row r="546">
      <c r="A546" s="6">
        <f t="shared" si="1"/>
        <v>545</v>
      </c>
      <c r="B546" s="8" t="s">
        <v>3160</v>
      </c>
      <c r="C546" s="6">
        <f>COUNTIF('Kế hoạch chèn link (mới)'!$D$3:$D$2213,$B546)</f>
        <v>2</v>
      </c>
      <c r="D546" s="8" t="str">
        <f>IF(COUNTIFS('Kế hoạch chèn link (mới)'!$D$3:$D$2213,$B546,'Kế hoạch chèn link (mới)'!$I$3:$I$2213,"Đã chèn")&gt;=$C546,"Đã hoàn thành",IF(COUNTIFS('Kế hoạch chèn link (mới)'!$D$3:$D$2213,$B546,'Kế hoạch chèn link (mới)'!$I$3:$I$2213,"Đã chèn")&gt;0,"Đang làm","Chưa hoàn thành"))</f>
        <v>Chưa hoàn thành</v>
      </c>
      <c r="E546" s="8" t="b">
        <f t="shared" si="2"/>
        <v>0</v>
      </c>
      <c r="F546" s="25"/>
      <c r="G546" s="25" t="str">
        <f>IFERROR(__xludf.DUMMYFUNCTION("IFERROR(INDEX(FILTER('Kế hoạch chèn link (mới)'!$C$3:$C$2213,'Kế hoạch chèn link (mới)'!$D$3:$D$2213=$B546),1),"""")"),"lãi suất ngân hàng")</f>
        <v>lãi suất ngân hàng</v>
      </c>
      <c r="H546" s="25" t="str">
        <f>IFERROR(__xludf.DUMMYFUNCTION("IFERROR(INDEX(FILTER('Kế hoạch chèn link (mới)'!$B$3:$B$2213,'Kế hoạch chèn link (mới)'!$D$3:$D$2213=$B546),1),"""")"),"https://techcombank.com/thong-tin/blog/lai-suat-tiet-kiem")</f>
        <v>https://techcombank.com/thong-tin/blog/lai-suat-tiet-kiem</v>
      </c>
      <c r="I546" s="25" t="str">
        <f>IFERROR(__xludf.DUMMYFUNCTION("IFERROR(INDEX(FILTER('Kế hoạch chèn link (mới)'!$C$3:$C$2213,'Kế hoạch chèn link (mới)'!$D$3:$D$2213=$B546),2),"""")"),"lãi suất vay ngân hàng")</f>
        <v>lãi suất vay ngân hàng</v>
      </c>
      <c r="J546" s="25" t="str">
        <f>IFERROR(__xludf.DUMMYFUNCTION("IFERROR(INDEX(FILTER('Kế hoạch chèn link (mới)'!$B$3:$B$2213,'Kế hoạch chèn link (mới)'!$D$3:$D$2213=$B546),2),"""")"),"https://techcombank.com/thong-tin/blog/lai-suat-vay-ngan-hang")</f>
        <v>https://techcombank.com/thong-tin/blog/lai-suat-vay-ngan-hang</v>
      </c>
      <c r="K546" s="25" t="str">
        <f>IFERROR(__xludf.DUMMYFUNCTION("IFERROR(INDEX(FILTER('Kế hoạch chèn link (mới)'!$C$3:$C$2213,'Kế hoạch chèn link (mới)'!$D$3:$D$2213=$B546),3),"""")"),"")</f>
        <v/>
      </c>
      <c r="L546" s="25" t="str">
        <f>IFERROR(__xludf.DUMMYFUNCTION("IFERROR(INDEX(FILTER('Kế hoạch chèn link (mới)'!$B$3:$B$2213,'Kế hoạch chèn link (mới)'!$D$3:$D$2213=$B546),3),"""")"),"")</f>
        <v/>
      </c>
      <c r="M546" s="25" t="str">
        <f>IFERROR(__xludf.DUMMYFUNCTION("IFERROR(INDEX(FILTER('Kế hoạch chèn link (mới)'!$C$3:$C$2213,'Kế hoạch chèn link (mới)'!$D$3:$D$2213=$B546),4),"""")"),"")</f>
        <v/>
      </c>
      <c r="N546" s="25" t="str">
        <f>IFERROR(__xludf.DUMMYFUNCTION("IFERROR(INDEX(FILTER('Kế hoạch chèn link (mới)'!$B$3:$B$2213,'Kế hoạch chèn link (mới)'!$D$3:$D$2213=$B546),4),"""")"),"")</f>
        <v/>
      </c>
      <c r="O546" s="25" t="str">
        <f>IFERROR(__xludf.DUMMYFUNCTION("IFERROR(INDEX(FILTER('Kế hoạch chèn link (mới)'!$C$3:$C$2213,'Kế hoạch chèn link (mới)'!$D$3:$D$2213=$B546),5),"""")"),"")</f>
        <v/>
      </c>
      <c r="P546" s="25" t="str">
        <f>IFERROR(__xludf.DUMMYFUNCTION("IFERROR(INDEX(FILTER('Kế hoạch chèn link (mới)'!$B$3:$B$2213,'Kế hoạch chèn link (mới)'!$D$3:$D$2213=$B546),5),"""")"),"")</f>
        <v/>
      </c>
    </row>
    <row r="547">
      <c r="A547" s="6">
        <f t="shared" si="1"/>
        <v>546</v>
      </c>
      <c r="B547" s="8" t="s">
        <v>1467</v>
      </c>
      <c r="C547" s="6">
        <f>COUNTIF('Kế hoạch chèn link (mới)'!$D$3:$D$2213,$B547)</f>
        <v>1</v>
      </c>
      <c r="D547" s="8" t="str">
        <f>IF(COUNTIFS('Kế hoạch chèn link (mới)'!$D$3:$D$2213,$B547,'Kế hoạch chèn link (mới)'!$I$3:$I$2213,"Đã chèn")&gt;=$C547,"Đã hoàn thành",IF(COUNTIFS('Kế hoạch chèn link (mới)'!$D$3:$D$2213,$B547,'Kế hoạch chèn link (mới)'!$I$3:$I$2213,"Đã chèn")&gt;0,"Đang làm","Chưa hoàn thành"))</f>
        <v>Chưa hoàn thành</v>
      </c>
      <c r="E547" s="8" t="b">
        <f t="shared" si="2"/>
        <v>0</v>
      </c>
      <c r="F547" s="25"/>
      <c r="G547" s="25" t="str">
        <f>IFERROR(__xludf.DUMMYFUNCTION("IFERROR(INDEX(FILTER('Kế hoạch chèn link (mới)'!$C$3:$C$2213,'Kế hoạch chèn link (mới)'!$D$3:$D$2213=$B547),1),"""")"),"giá điện sinh hoạt mới nhất")</f>
        <v>giá điện sinh hoạt mới nhất</v>
      </c>
      <c r="H547" s="25" t="str">
        <f>IFERROR(__xludf.DUMMYFUNCTION("IFERROR(INDEX(FILTER('Kế hoạch chèn link (mới)'!$B$3:$B$2213,'Kế hoạch chèn link (mới)'!$D$3:$D$2213=$B547),1),"""")"),"https://techcombank.com/thong-tin/blog/cach-tinh-tien-dien-sinh-hoat")</f>
        <v>https://techcombank.com/thong-tin/blog/cach-tinh-tien-dien-sinh-hoat</v>
      </c>
      <c r="I547" s="25" t="str">
        <f>IFERROR(__xludf.DUMMYFUNCTION("IFERROR(INDEX(FILTER('Kế hoạch chèn link (mới)'!$C$3:$C$2213,'Kế hoạch chèn link (mới)'!$D$3:$D$2213=$B547),2),"""")"),"")</f>
        <v/>
      </c>
      <c r="J547" s="25" t="str">
        <f>IFERROR(__xludf.DUMMYFUNCTION("IFERROR(INDEX(FILTER('Kế hoạch chèn link (mới)'!$B$3:$B$2213,'Kế hoạch chèn link (mới)'!$D$3:$D$2213=$B547),2),"""")"),"")</f>
        <v/>
      </c>
      <c r="K547" s="25" t="str">
        <f>IFERROR(__xludf.DUMMYFUNCTION("IFERROR(INDEX(FILTER('Kế hoạch chèn link (mới)'!$C$3:$C$2213,'Kế hoạch chèn link (mới)'!$D$3:$D$2213=$B547),3),"""")"),"")</f>
        <v/>
      </c>
      <c r="L547" s="25" t="str">
        <f>IFERROR(__xludf.DUMMYFUNCTION("IFERROR(INDEX(FILTER('Kế hoạch chèn link (mới)'!$B$3:$B$2213,'Kế hoạch chèn link (mới)'!$D$3:$D$2213=$B547),3),"""")"),"")</f>
        <v/>
      </c>
      <c r="M547" s="25" t="str">
        <f>IFERROR(__xludf.DUMMYFUNCTION("IFERROR(INDEX(FILTER('Kế hoạch chèn link (mới)'!$C$3:$C$2213,'Kế hoạch chèn link (mới)'!$D$3:$D$2213=$B547),4),"""")"),"")</f>
        <v/>
      </c>
      <c r="N547" s="25" t="str">
        <f>IFERROR(__xludf.DUMMYFUNCTION("IFERROR(INDEX(FILTER('Kế hoạch chèn link (mới)'!$B$3:$B$2213,'Kế hoạch chèn link (mới)'!$D$3:$D$2213=$B547),4),"""")"),"")</f>
        <v/>
      </c>
      <c r="O547" s="25" t="str">
        <f>IFERROR(__xludf.DUMMYFUNCTION("IFERROR(INDEX(FILTER('Kế hoạch chèn link (mới)'!$C$3:$C$2213,'Kế hoạch chèn link (mới)'!$D$3:$D$2213=$B547),5),"""")"),"")</f>
        <v/>
      </c>
      <c r="P547" s="25" t="str">
        <f>IFERROR(__xludf.DUMMYFUNCTION("IFERROR(INDEX(FILTER('Kế hoạch chèn link (mới)'!$B$3:$B$2213,'Kế hoạch chèn link (mới)'!$D$3:$D$2213=$B547),5),"""")"),"")</f>
        <v/>
      </c>
    </row>
    <row r="548">
      <c r="A548" s="6">
        <f t="shared" si="1"/>
        <v>547</v>
      </c>
      <c r="B548" s="8" t="s">
        <v>3161</v>
      </c>
      <c r="C548" s="6">
        <f>COUNTIF('Kế hoạch chèn link (mới)'!$D$3:$D$2213,$B548)</f>
        <v>2</v>
      </c>
      <c r="D548" s="8" t="str">
        <f>IF(COUNTIFS('Kế hoạch chèn link (mới)'!$D$3:$D$2213,$B548,'Kế hoạch chèn link (mới)'!$I$3:$I$2213,"Đã chèn")&gt;=$C548,"Đã hoàn thành",IF(COUNTIFS('Kế hoạch chèn link (mới)'!$D$3:$D$2213,$B548,'Kế hoạch chèn link (mới)'!$I$3:$I$2213,"Đã chèn")&gt;0,"Đang làm","Chưa hoàn thành"))</f>
        <v>Chưa hoàn thành</v>
      </c>
      <c r="E548" s="8" t="b">
        <f t="shared" si="2"/>
        <v>0</v>
      </c>
      <c r="F548" s="25"/>
      <c r="G548" s="25" t="str">
        <f>IFERROR(__xludf.DUMMYFUNCTION("IFERROR(INDEX(FILTER('Kế hoạch chèn link (mới)'!$C$3:$C$2213,'Kế hoạch chèn link (mới)'!$D$3:$D$2213=$B548),1),"""")"),"tiền Thái Lan")</f>
        <v>tiền Thái Lan</v>
      </c>
      <c r="H548" s="25" t="str">
        <f>IFERROR(__xludf.DUMMYFUNCTION("IFERROR(INDEX(FILTER('Kế hoạch chèn link (mới)'!$B$3:$B$2213,'Kế hoạch chèn link (mới)'!$D$3:$D$2213=$B548),1),"""")"),"https://techcombank.com/thong-tin/blog/tien-thai-lan")</f>
        <v>https://techcombank.com/thong-tin/blog/tien-thai-lan</v>
      </c>
      <c r="I548" s="25" t="str">
        <f>IFERROR(__xludf.DUMMYFUNCTION("IFERROR(INDEX(FILTER('Kế hoạch chèn link (mới)'!$C$3:$C$2213,'Kế hoạch chèn link (mới)'!$D$3:$D$2213=$B548),2),"""")"),"đổi tiền đô ở đâu")</f>
        <v>đổi tiền đô ở đâu</v>
      </c>
      <c r="J548" s="25" t="str">
        <f>IFERROR(__xludf.DUMMYFUNCTION("IFERROR(INDEX(FILTER('Kế hoạch chèn link (mới)'!$B$3:$B$2213,'Kế hoạch chèn link (mới)'!$D$3:$D$2213=$B548),2),"""")"),"https://techcombank.com/thong-tin/blog/doi-tien-do-o-dau")</f>
        <v>https://techcombank.com/thong-tin/blog/doi-tien-do-o-dau</v>
      </c>
      <c r="K548" s="25" t="str">
        <f>IFERROR(__xludf.DUMMYFUNCTION("IFERROR(INDEX(FILTER('Kế hoạch chèn link (mới)'!$C$3:$C$2213,'Kế hoạch chèn link (mới)'!$D$3:$D$2213=$B548),3),"""")"),"")</f>
        <v/>
      </c>
      <c r="L548" s="25" t="str">
        <f>IFERROR(__xludf.DUMMYFUNCTION("IFERROR(INDEX(FILTER('Kế hoạch chèn link (mới)'!$B$3:$B$2213,'Kế hoạch chèn link (mới)'!$D$3:$D$2213=$B548),3),"""")"),"")</f>
        <v/>
      </c>
      <c r="M548" s="25" t="str">
        <f>IFERROR(__xludf.DUMMYFUNCTION("IFERROR(INDEX(FILTER('Kế hoạch chèn link (mới)'!$C$3:$C$2213,'Kế hoạch chèn link (mới)'!$D$3:$D$2213=$B548),4),"""")"),"")</f>
        <v/>
      </c>
      <c r="N548" s="25" t="str">
        <f>IFERROR(__xludf.DUMMYFUNCTION("IFERROR(INDEX(FILTER('Kế hoạch chèn link (mới)'!$B$3:$B$2213,'Kế hoạch chèn link (mới)'!$D$3:$D$2213=$B548),4),"""")"),"")</f>
        <v/>
      </c>
      <c r="O548" s="25" t="str">
        <f>IFERROR(__xludf.DUMMYFUNCTION("IFERROR(INDEX(FILTER('Kế hoạch chèn link (mới)'!$C$3:$C$2213,'Kế hoạch chèn link (mới)'!$D$3:$D$2213=$B548),5),"""")"),"")</f>
        <v/>
      </c>
      <c r="P548" s="25" t="str">
        <f>IFERROR(__xludf.DUMMYFUNCTION("IFERROR(INDEX(FILTER('Kế hoạch chèn link (mới)'!$B$3:$B$2213,'Kế hoạch chèn link (mới)'!$D$3:$D$2213=$B548),5),"""")"),"")</f>
        <v/>
      </c>
    </row>
    <row r="549">
      <c r="A549" s="6">
        <f t="shared" si="1"/>
        <v>548</v>
      </c>
      <c r="B549" s="8" t="s">
        <v>3162</v>
      </c>
      <c r="C549" s="6">
        <f>COUNTIF('Kế hoạch chèn link (mới)'!$D$3:$D$2213,$B549)</f>
        <v>1</v>
      </c>
      <c r="D549" s="8" t="str">
        <f>IF(COUNTIFS('Kế hoạch chèn link (mới)'!$D$3:$D$2213,$B549,'Kế hoạch chèn link (mới)'!$I$3:$I$2213,"Đã chèn")&gt;=$C549,"Đã hoàn thành",IF(COUNTIFS('Kế hoạch chèn link (mới)'!$D$3:$D$2213,$B549,'Kế hoạch chèn link (mới)'!$I$3:$I$2213,"Đã chèn")&gt;0,"Đang làm","Chưa hoàn thành"))</f>
        <v>Chưa hoàn thành</v>
      </c>
      <c r="E549" s="8" t="b">
        <f t="shared" si="2"/>
        <v>0</v>
      </c>
      <c r="F549" s="25"/>
      <c r="G549" s="25" t="str">
        <f>IFERROR(__xludf.DUMMYFUNCTION("IFERROR(INDEX(FILTER('Kế hoạch chèn link (mới)'!$C$3:$C$2213,'Kế hoạch chèn link (mới)'!$D$3:$D$2213=$B549),1),"""")"),"nhận tiền từ nước ngoài")</f>
        <v>nhận tiền từ nước ngoài</v>
      </c>
      <c r="H549" s="25" t="str">
        <f>IFERROR(__xludf.DUMMYFUNCTION("IFERROR(INDEX(FILTER('Kế hoạch chèn link (mới)'!$B$3:$B$2213,'Kế hoạch chèn link (mới)'!$D$3:$D$2213=$B549),1),"""")"),"https://techcombank.com/thong-tin/blog/cach-nhan-tien-tu-nuoc-ngoai-ve-viet-nam")</f>
        <v>https://techcombank.com/thong-tin/blog/cach-nhan-tien-tu-nuoc-ngoai-ve-viet-nam</v>
      </c>
      <c r="I549" s="25" t="str">
        <f>IFERROR(__xludf.DUMMYFUNCTION("IFERROR(INDEX(FILTER('Kế hoạch chèn link (mới)'!$C$3:$C$2213,'Kế hoạch chèn link (mới)'!$D$3:$D$2213=$B549),2),"""")"),"")</f>
        <v/>
      </c>
      <c r="J549" s="25" t="str">
        <f>IFERROR(__xludf.DUMMYFUNCTION("IFERROR(INDEX(FILTER('Kế hoạch chèn link (mới)'!$B$3:$B$2213,'Kế hoạch chèn link (mới)'!$D$3:$D$2213=$B549),2),"""")"),"")</f>
        <v/>
      </c>
      <c r="K549" s="25" t="str">
        <f>IFERROR(__xludf.DUMMYFUNCTION("IFERROR(INDEX(FILTER('Kế hoạch chèn link (mới)'!$C$3:$C$2213,'Kế hoạch chèn link (mới)'!$D$3:$D$2213=$B549),3),"""")"),"")</f>
        <v/>
      </c>
      <c r="L549" s="25" t="str">
        <f>IFERROR(__xludf.DUMMYFUNCTION("IFERROR(INDEX(FILTER('Kế hoạch chèn link (mới)'!$B$3:$B$2213,'Kế hoạch chèn link (mới)'!$D$3:$D$2213=$B549),3),"""")"),"")</f>
        <v/>
      </c>
      <c r="M549" s="25" t="str">
        <f>IFERROR(__xludf.DUMMYFUNCTION("IFERROR(INDEX(FILTER('Kế hoạch chèn link (mới)'!$C$3:$C$2213,'Kế hoạch chèn link (mới)'!$D$3:$D$2213=$B549),4),"""")"),"")</f>
        <v/>
      </c>
      <c r="N549" s="25" t="str">
        <f>IFERROR(__xludf.DUMMYFUNCTION("IFERROR(INDEX(FILTER('Kế hoạch chèn link (mới)'!$B$3:$B$2213,'Kế hoạch chèn link (mới)'!$D$3:$D$2213=$B549),4),"""")"),"")</f>
        <v/>
      </c>
      <c r="O549" s="25" t="str">
        <f>IFERROR(__xludf.DUMMYFUNCTION("IFERROR(INDEX(FILTER('Kế hoạch chèn link (mới)'!$C$3:$C$2213,'Kế hoạch chèn link (mới)'!$D$3:$D$2213=$B549),5),"""")"),"")</f>
        <v/>
      </c>
      <c r="P549" s="25" t="str">
        <f>IFERROR(__xludf.DUMMYFUNCTION("IFERROR(INDEX(FILTER('Kế hoạch chèn link (mới)'!$B$3:$B$2213,'Kế hoạch chèn link (mới)'!$D$3:$D$2213=$B549),5),"""")"),"")</f>
        <v/>
      </c>
    </row>
    <row r="550">
      <c r="A550" s="6">
        <f t="shared" si="1"/>
        <v>549</v>
      </c>
      <c r="B550" s="8" t="s">
        <v>1416</v>
      </c>
      <c r="C550" s="6">
        <f>COUNTIF('Kế hoạch chèn link (mới)'!$D$3:$D$2213,$B550)</f>
        <v>3</v>
      </c>
      <c r="D550" s="8" t="str">
        <f>IF(COUNTIFS('Kế hoạch chèn link (mới)'!$D$3:$D$2213,$B550,'Kế hoạch chèn link (mới)'!$I$3:$I$2213,"Đã chèn")&gt;=$C550,"Đã hoàn thành",IF(COUNTIFS('Kế hoạch chèn link (mới)'!$D$3:$D$2213,$B550,'Kế hoạch chèn link (mới)'!$I$3:$I$2213,"Đã chèn")&gt;0,"Đang làm","Chưa hoàn thành"))</f>
        <v>Chưa hoàn thành</v>
      </c>
      <c r="E550" s="8" t="b">
        <f t="shared" si="2"/>
        <v>0</v>
      </c>
      <c r="F550" s="25"/>
      <c r="G550" s="25" t="str">
        <f>IFERROR(__xludf.DUMMYFUNCTION("IFERROR(INDEX(FILTER('Kế hoạch chèn link (mới)'!$C$3:$C$2213,'Kế hoạch chèn link (mới)'!$D$3:$D$2213=$B550),1),"""")"),"giá điện sinh hoạt")</f>
        <v>giá điện sinh hoạt</v>
      </c>
      <c r="H550" s="25" t="str">
        <f>IFERROR(__xludf.DUMMYFUNCTION("IFERROR(INDEX(FILTER('Kế hoạch chèn link (mới)'!$B$3:$B$2213,'Kế hoạch chèn link (mới)'!$D$3:$D$2213=$B550),1),"""")"),"https://techcombank.com/thong-tin/blog/cach-tinh-tien-dien-sinh-hoat")</f>
        <v>https://techcombank.com/thong-tin/blog/cach-tinh-tien-dien-sinh-hoat</v>
      </c>
      <c r="I550" s="25" t="str">
        <f>IFERROR(__xludf.DUMMYFUNCTION("IFERROR(INDEX(FILTER('Kế hoạch chèn link (mới)'!$C$3:$C$2213,'Kế hoạch chèn link (mới)'!$D$3:$D$2213=$B550),2),"""")"),"thẻ tín dụng hoàn tiền")</f>
        <v>thẻ tín dụng hoàn tiền</v>
      </c>
      <c r="J550" s="25" t="str">
        <f>IFERROR(__xludf.DUMMYFUNCTION("IFERROR(INDEX(FILTER('Kế hoạch chèn link (mới)'!$B$3:$B$2213,'Kế hoạch chèn link (mới)'!$D$3:$D$2213=$B550),2),"""")"),"https://techcombank.com/thong-tin/blog/the-tin-dung-hoan-tien")</f>
        <v>https://techcombank.com/thong-tin/blog/the-tin-dung-hoan-tien</v>
      </c>
      <c r="K550" s="25" t="str">
        <f>IFERROR(__xludf.DUMMYFUNCTION("IFERROR(INDEX(FILTER('Kế hoạch chèn link (mới)'!$C$3:$C$2213,'Kế hoạch chèn link (mới)'!$D$3:$D$2213=$B550),3),"""")"),"tính lãi suất tiết kiệm")</f>
        <v>tính lãi suất tiết kiệm</v>
      </c>
      <c r="L550" s="25" t="str">
        <f>IFERROR(__xludf.DUMMYFUNCTION("IFERROR(INDEX(FILTER('Kế hoạch chèn link (mới)'!$B$3:$B$2213,'Kế hoạch chèn link (mới)'!$D$3:$D$2213=$B550),3),"""")"),"https://techcombank.com/thong-tin/blog/cach-tinh-lai-suat-tien-gui-tiet-kiem")</f>
        <v>https://techcombank.com/thong-tin/blog/cach-tinh-lai-suat-tien-gui-tiet-kiem</v>
      </c>
      <c r="M550" s="25" t="str">
        <f>IFERROR(__xludf.DUMMYFUNCTION("IFERROR(INDEX(FILTER('Kế hoạch chèn link (mới)'!$C$3:$C$2213,'Kế hoạch chèn link (mới)'!$D$3:$D$2213=$B550),4),"""")"),"")</f>
        <v/>
      </c>
      <c r="N550" s="25" t="str">
        <f>IFERROR(__xludf.DUMMYFUNCTION("IFERROR(INDEX(FILTER('Kế hoạch chèn link (mới)'!$B$3:$B$2213,'Kế hoạch chèn link (mới)'!$D$3:$D$2213=$B550),4),"""")"),"")</f>
        <v/>
      </c>
      <c r="O550" s="25" t="str">
        <f>IFERROR(__xludf.DUMMYFUNCTION("IFERROR(INDEX(FILTER('Kế hoạch chèn link (mới)'!$C$3:$C$2213,'Kế hoạch chèn link (mới)'!$D$3:$D$2213=$B550),5),"""")"),"")</f>
        <v/>
      </c>
      <c r="P550" s="25" t="str">
        <f>IFERROR(__xludf.DUMMYFUNCTION("IFERROR(INDEX(FILTER('Kế hoạch chèn link (mới)'!$B$3:$B$2213,'Kế hoạch chèn link (mới)'!$D$3:$D$2213=$B550),5),"""")"),"")</f>
        <v/>
      </c>
    </row>
    <row r="551">
      <c r="A551" s="6">
        <f t="shared" si="1"/>
        <v>550</v>
      </c>
      <c r="B551" s="8" t="s">
        <v>2699</v>
      </c>
      <c r="C551" s="6">
        <f>COUNTIF('Kế hoạch chèn link (mới)'!$D$3:$D$2213,$B551)</f>
        <v>1</v>
      </c>
      <c r="D551" s="8" t="str">
        <f>IF(COUNTIFS('Kế hoạch chèn link (mới)'!$D$3:$D$2213,$B551,'Kế hoạch chèn link (mới)'!$I$3:$I$2213,"Đã chèn")&gt;=$C551,"Đã hoàn thành",IF(COUNTIFS('Kế hoạch chèn link (mới)'!$D$3:$D$2213,$B551,'Kế hoạch chèn link (mới)'!$I$3:$I$2213,"Đã chèn")&gt;0,"Đang làm","Chưa hoàn thành"))</f>
        <v>Chưa hoàn thành</v>
      </c>
      <c r="E551" s="8" t="b">
        <f t="shared" si="2"/>
        <v>0</v>
      </c>
      <c r="F551" s="25"/>
      <c r="G551" s="25" t="str">
        <f>IFERROR(__xludf.DUMMYFUNCTION("IFERROR(INDEX(FILTER('Kế hoạch chèn link (mới)'!$C$3:$C$2213,'Kế hoạch chèn link (mới)'!$D$3:$D$2213=$B551),1),"""")"),"tên đăng nhập")</f>
        <v>tên đăng nhập</v>
      </c>
      <c r="H551" s="25" t="str">
        <f>IFERROR(__xludf.DUMMYFUNCTION("IFERROR(INDEX(FILTER('Kế hoạch chèn link (mới)'!$B$3:$B$2213,'Kế hoạch chèn link (mới)'!$D$3:$D$2213=$B551),1),"""")"),"https://techcombank.com/thong-tin/blog/ten-dang-nhap-tai-khoan-ngan-hang-la-gi")</f>
        <v>https://techcombank.com/thong-tin/blog/ten-dang-nhap-tai-khoan-ngan-hang-la-gi</v>
      </c>
      <c r="I551" s="25" t="str">
        <f>IFERROR(__xludf.DUMMYFUNCTION("IFERROR(INDEX(FILTER('Kế hoạch chèn link (mới)'!$C$3:$C$2213,'Kế hoạch chèn link (mới)'!$D$3:$D$2213=$B551),2),"""")"),"")</f>
        <v/>
      </c>
      <c r="J551" s="25" t="str">
        <f>IFERROR(__xludf.DUMMYFUNCTION("IFERROR(INDEX(FILTER('Kế hoạch chèn link (mới)'!$B$3:$B$2213,'Kế hoạch chèn link (mới)'!$D$3:$D$2213=$B551),2),"""")"),"")</f>
        <v/>
      </c>
      <c r="K551" s="25" t="str">
        <f>IFERROR(__xludf.DUMMYFUNCTION("IFERROR(INDEX(FILTER('Kế hoạch chèn link (mới)'!$C$3:$C$2213,'Kế hoạch chèn link (mới)'!$D$3:$D$2213=$B551),3),"""")"),"")</f>
        <v/>
      </c>
      <c r="L551" s="25" t="str">
        <f>IFERROR(__xludf.DUMMYFUNCTION("IFERROR(INDEX(FILTER('Kế hoạch chèn link (mới)'!$B$3:$B$2213,'Kế hoạch chèn link (mới)'!$D$3:$D$2213=$B551),3),"""")"),"")</f>
        <v/>
      </c>
      <c r="M551" s="25" t="str">
        <f>IFERROR(__xludf.DUMMYFUNCTION("IFERROR(INDEX(FILTER('Kế hoạch chèn link (mới)'!$C$3:$C$2213,'Kế hoạch chèn link (mới)'!$D$3:$D$2213=$B551),4),"""")"),"")</f>
        <v/>
      </c>
      <c r="N551" s="25" t="str">
        <f>IFERROR(__xludf.DUMMYFUNCTION("IFERROR(INDEX(FILTER('Kế hoạch chèn link (mới)'!$B$3:$B$2213,'Kế hoạch chèn link (mới)'!$D$3:$D$2213=$B551),4),"""")"),"")</f>
        <v/>
      </c>
      <c r="O551" s="25" t="str">
        <f>IFERROR(__xludf.DUMMYFUNCTION("IFERROR(INDEX(FILTER('Kế hoạch chèn link (mới)'!$C$3:$C$2213,'Kế hoạch chèn link (mới)'!$D$3:$D$2213=$B551),5),"""")"),"")</f>
        <v/>
      </c>
      <c r="P551" s="25" t="str">
        <f>IFERROR(__xludf.DUMMYFUNCTION("IFERROR(INDEX(FILTER('Kế hoạch chèn link (mới)'!$B$3:$B$2213,'Kế hoạch chèn link (mới)'!$D$3:$D$2213=$B551),5),"""")"),"")</f>
        <v/>
      </c>
    </row>
    <row r="552">
      <c r="A552" s="6">
        <f t="shared" si="1"/>
        <v>551</v>
      </c>
      <c r="B552" s="8" t="s">
        <v>3163</v>
      </c>
      <c r="C552" s="6">
        <f>COUNTIF('Kế hoạch chèn link (mới)'!$D$3:$D$2213,$B552)</f>
        <v>4</v>
      </c>
      <c r="D552" s="8" t="str">
        <f>IF(COUNTIFS('Kế hoạch chèn link (mới)'!$D$3:$D$2213,$B552,'Kế hoạch chèn link (mới)'!$I$3:$I$2213,"Đã chèn")&gt;=$C552,"Đã hoàn thành",IF(COUNTIFS('Kế hoạch chèn link (mới)'!$D$3:$D$2213,$B552,'Kế hoạch chèn link (mới)'!$I$3:$I$2213,"Đã chèn")&gt;0,"Đang làm","Chưa hoàn thành"))</f>
        <v>Chưa hoàn thành</v>
      </c>
      <c r="E552" s="8" t="b">
        <f t="shared" si="2"/>
        <v>0</v>
      </c>
      <c r="F552" s="25"/>
      <c r="G552" s="25" t="str">
        <f>IFERROR(__xludf.DUMMYFUNCTION("IFERROR(INDEX(FILTER('Kế hoạch chèn link (mới)'!$C$3:$C$2213,'Kế hoạch chèn link (mới)'!$D$3:$D$2213=$B552),1),"""")"),"cách hủy thẻ tín dụng")</f>
        <v>cách hủy thẻ tín dụng</v>
      </c>
      <c r="H552" s="25" t="str">
        <f>IFERROR(__xludf.DUMMYFUNCTION("IFERROR(INDEX(FILTER('Kế hoạch chèn link (mới)'!$B$3:$B$2213,'Kế hoạch chèn link (mới)'!$D$3:$D$2213=$B552),1),"""")"),"https://techcombank.com/thong-tin/blog/cach-huy-the-tin-dung")</f>
        <v>https://techcombank.com/thong-tin/blog/cach-huy-the-tin-dung</v>
      </c>
      <c r="I552" s="25" t="str">
        <f>IFERROR(__xludf.DUMMYFUNCTION("IFERROR(INDEX(FILTER('Kế hoạch chèn link (mới)'!$C$3:$C$2213,'Kế hoạch chèn link (mới)'!$D$3:$D$2213=$B552),2),"""")"),"vay")</f>
        <v>vay</v>
      </c>
      <c r="J552" s="25" t="str">
        <f>IFERROR(__xludf.DUMMYFUNCTION("IFERROR(INDEX(FILTER('Kế hoạch chèn link (mới)'!$B$3:$B$2213,'Kế hoạch chèn link (mới)'!$D$3:$D$2213=$B552),2),"""")"),"https://techcombank.com/thong-tin/blog/app-vay-tien-nhanh")</f>
        <v>https://techcombank.com/thong-tin/blog/app-vay-tien-nhanh</v>
      </c>
      <c r="K552" s="25" t="str">
        <f>IFERROR(__xludf.DUMMYFUNCTION("IFERROR(INDEX(FILTER('Kế hoạch chèn link (mới)'!$C$3:$C$2213,'Kế hoạch chèn link (mới)'!$D$3:$D$2213=$B552),3),"""")"),"kiểm tra nợ xấu")</f>
        <v>kiểm tra nợ xấu</v>
      </c>
      <c r="L552" s="25" t="str">
        <f>IFERROR(__xludf.DUMMYFUNCTION("IFERROR(INDEX(FILTER('Kế hoạch chèn link (mới)'!$B$3:$B$2213,'Kế hoạch chèn link (mới)'!$D$3:$D$2213=$B552),3),"""")"),"https://techcombank.com/thong-tin/blog/kiem-tra-no-xau")</f>
        <v>https://techcombank.com/thong-tin/blog/kiem-tra-no-xau</v>
      </c>
      <c r="M552" s="25" t="str">
        <f>IFERROR(__xludf.DUMMYFUNCTION("IFERROR(INDEX(FILTER('Kế hoạch chèn link (mới)'!$C$3:$C$2213,'Kế hoạch chèn link (mới)'!$D$3:$D$2213=$B552),4),"""")"),"nợ xấu")</f>
        <v>nợ xấu</v>
      </c>
      <c r="N552" s="25" t="str">
        <f>IFERROR(__xludf.DUMMYFUNCTION("IFERROR(INDEX(FILTER('Kế hoạch chèn link (mới)'!$B$3:$B$2213,'Kế hoạch chèn link (mới)'!$D$3:$D$2213=$B552),4),"""")"),"https://techcombank.com/thong-tin/blog/no-xau-la-gi")</f>
        <v>https://techcombank.com/thong-tin/blog/no-xau-la-gi</v>
      </c>
      <c r="O552" s="25" t="str">
        <f>IFERROR(__xludf.DUMMYFUNCTION("IFERROR(INDEX(FILTER('Kế hoạch chèn link (mới)'!$C$3:$C$2213,'Kế hoạch chèn link (mới)'!$D$3:$D$2213=$B552),5),"""")"),"")</f>
        <v/>
      </c>
      <c r="P552" s="25" t="str">
        <f>IFERROR(__xludf.DUMMYFUNCTION("IFERROR(INDEX(FILTER('Kế hoạch chèn link (mới)'!$B$3:$B$2213,'Kế hoạch chèn link (mới)'!$D$3:$D$2213=$B552),5),"""")"),"")</f>
        <v/>
      </c>
    </row>
    <row r="553">
      <c r="A553" s="6">
        <f t="shared" si="1"/>
        <v>552</v>
      </c>
      <c r="B553" s="8" t="s">
        <v>3165</v>
      </c>
      <c r="C553" s="6">
        <f>COUNTIF('Kế hoạch chèn link (mới)'!$D$3:$D$2213,$B553)</f>
        <v>3</v>
      </c>
      <c r="D553" s="8" t="str">
        <f>IF(COUNTIFS('Kế hoạch chèn link (mới)'!$D$3:$D$2213,$B553,'Kế hoạch chèn link (mới)'!$I$3:$I$2213,"Đã chèn")&gt;=$C553,"Đã hoàn thành",IF(COUNTIFS('Kế hoạch chèn link (mới)'!$D$3:$D$2213,$B553,'Kế hoạch chèn link (mới)'!$I$3:$I$2213,"Đã chèn")&gt;0,"Đang làm","Chưa hoàn thành"))</f>
        <v>Chưa hoàn thành</v>
      </c>
      <c r="E553" s="8" t="b">
        <f t="shared" si="2"/>
        <v>0</v>
      </c>
      <c r="F553" s="25"/>
      <c r="G553" s="25" t="str">
        <f>IFERROR(__xludf.DUMMYFUNCTION("IFERROR(INDEX(FILTER('Kế hoạch chèn link (mới)'!$C$3:$C$2213,'Kế hoạch chèn link (mới)'!$D$3:$D$2213=$B553),1),"""")"),"thẻ tín dụng Techcombank Everyday")</f>
        <v>thẻ tín dụng Techcombank Everyday</v>
      </c>
      <c r="H553" s="25" t="str">
        <f>IFERROR(__xludf.DUMMYFUNCTION("IFERROR(INDEX(FILTER('Kế hoạch chèn link (mới)'!$B$3:$B$2213,'Kế hoạch chèn link (mới)'!$D$3:$D$2213=$B553),1),"""")"),"https://techcombank.com/khach-hang-ca-nhan/chi-tieu/the/the-tin-dung/techcombank-everyday")</f>
        <v>https://techcombank.com/khach-hang-ca-nhan/chi-tieu/the/the-tin-dung/techcombank-everyday</v>
      </c>
      <c r="I553" s="25" t="str">
        <f>IFERROR(__xludf.DUMMYFUNCTION("IFERROR(INDEX(FILTER('Kế hoạch chèn link (mới)'!$C$3:$C$2213,'Kế hoạch chèn link (mới)'!$D$3:$D$2213=$B553),2),"""")"),"cách hủy thẻ tín dụng")</f>
        <v>cách hủy thẻ tín dụng</v>
      </c>
      <c r="J553" s="25" t="str">
        <f>IFERROR(__xludf.DUMMYFUNCTION("IFERROR(INDEX(FILTER('Kế hoạch chèn link (mới)'!$B$3:$B$2213,'Kế hoạch chèn link (mới)'!$D$3:$D$2213=$B553),2),"""")"),"https://techcombank.com/thong-tin/blog/cach-huy-the-tin-dung")</f>
        <v>https://techcombank.com/thong-tin/blog/cach-huy-the-tin-dung</v>
      </c>
      <c r="K553" s="25" t="str">
        <f>IFERROR(__xludf.DUMMYFUNCTION("IFERROR(INDEX(FILTER('Kế hoạch chèn link (mới)'!$C$3:$C$2213,'Kế hoạch chèn link (mới)'!$D$3:$D$2213=$B553),3),"""")"),"kiểm tra nợ xấu")</f>
        <v>kiểm tra nợ xấu</v>
      </c>
      <c r="L553" s="25" t="str">
        <f>IFERROR(__xludf.DUMMYFUNCTION("IFERROR(INDEX(FILTER('Kế hoạch chèn link (mới)'!$B$3:$B$2213,'Kế hoạch chèn link (mới)'!$D$3:$D$2213=$B553),3),"""")"),"https://techcombank.com/thong-tin/blog/kiem-tra-no-xau")</f>
        <v>https://techcombank.com/thong-tin/blog/kiem-tra-no-xau</v>
      </c>
      <c r="M553" s="25" t="str">
        <f>IFERROR(__xludf.DUMMYFUNCTION("IFERROR(INDEX(FILTER('Kế hoạch chèn link (mới)'!$C$3:$C$2213,'Kế hoạch chèn link (mới)'!$D$3:$D$2213=$B553),4),"""")"),"")</f>
        <v/>
      </c>
      <c r="N553" s="25" t="str">
        <f>IFERROR(__xludf.DUMMYFUNCTION("IFERROR(INDEX(FILTER('Kế hoạch chèn link (mới)'!$B$3:$B$2213,'Kế hoạch chèn link (mới)'!$D$3:$D$2213=$B553),4),"""")"),"")</f>
        <v/>
      </c>
      <c r="O553" s="25" t="str">
        <f>IFERROR(__xludf.DUMMYFUNCTION("IFERROR(INDEX(FILTER('Kế hoạch chèn link (mới)'!$C$3:$C$2213,'Kế hoạch chèn link (mới)'!$D$3:$D$2213=$B553),5),"""")"),"")</f>
        <v/>
      </c>
      <c r="P553" s="25" t="str">
        <f>IFERROR(__xludf.DUMMYFUNCTION("IFERROR(INDEX(FILTER('Kế hoạch chèn link (mới)'!$B$3:$B$2213,'Kế hoạch chèn link (mới)'!$D$3:$D$2213=$B553),5),"""")"),"")</f>
        <v/>
      </c>
    </row>
    <row r="554">
      <c r="A554" s="6">
        <f t="shared" si="1"/>
        <v>553</v>
      </c>
      <c r="B554" s="8" t="s">
        <v>1348</v>
      </c>
      <c r="C554" s="6">
        <f>COUNTIF('Kế hoạch chèn link (mới)'!$D$3:$D$2213,$B554)</f>
        <v>1</v>
      </c>
      <c r="D554" s="8" t="str">
        <f>IF(COUNTIFS('Kế hoạch chèn link (mới)'!$D$3:$D$2213,$B554,'Kế hoạch chèn link (mới)'!$I$3:$I$2213,"Đã chèn")&gt;=$C554,"Đã hoàn thành",IF(COUNTIFS('Kế hoạch chèn link (mới)'!$D$3:$D$2213,$B554,'Kế hoạch chèn link (mới)'!$I$3:$I$2213,"Đã chèn")&gt;0,"Đang làm","Chưa hoàn thành"))</f>
        <v>Chưa hoàn thành</v>
      </c>
      <c r="E554" s="8" t="b">
        <f t="shared" si="2"/>
        <v>0</v>
      </c>
      <c r="F554" s="25"/>
      <c r="G554" s="25" t="str">
        <f>IFERROR(__xludf.DUMMYFUNCTION("IFERROR(INDEX(FILTER('Kế hoạch chèn link (mới)'!$C$3:$C$2213,'Kế hoạch chèn link (mới)'!$D$3:$D$2213=$B554),1),"""")"),"cách nạp tiền viettel")</f>
        <v>cách nạp tiền viettel</v>
      </c>
      <c r="H554" s="25" t="str">
        <f>IFERROR(__xludf.DUMMYFUNCTION("IFERROR(INDEX(FILTER('Kế hoạch chèn link (mới)'!$B$3:$B$2213,'Kế hoạch chèn link (mới)'!$D$3:$D$2213=$B554),1),"""")"),"https://techcombank.com/thong-tin/blog/cach-nap-the-viettel")</f>
        <v>https://techcombank.com/thong-tin/blog/cach-nap-the-viettel</v>
      </c>
      <c r="I554" s="25" t="str">
        <f>IFERROR(__xludf.DUMMYFUNCTION("IFERROR(INDEX(FILTER('Kế hoạch chèn link (mới)'!$C$3:$C$2213,'Kế hoạch chèn link (mới)'!$D$3:$D$2213=$B554),2),"""")"),"")</f>
        <v/>
      </c>
      <c r="J554" s="25" t="str">
        <f>IFERROR(__xludf.DUMMYFUNCTION("IFERROR(INDEX(FILTER('Kế hoạch chèn link (mới)'!$B$3:$B$2213,'Kế hoạch chèn link (mới)'!$D$3:$D$2213=$B554),2),"""")"),"")</f>
        <v/>
      </c>
      <c r="K554" s="25" t="str">
        <f>IFERROR(__xludf.DUMMYFUNCTION("IFERROR(INDEX(FILTER('Kế hoạch chèn link (mới)'!$C$3:$C$2213,'Kế hoạch chèn link (mới)'!$D$3:$D$2213=$B554),3),"""")"),"")</f>
        <v/>
      </c>
      <c r="L554" s="25" t="str">
        <f>IFERROR(__xludf.DUMMYFUNCTION("IFERROR(INDEX(FILTER('Kế hoạch chèn link (mới)'!$B$3:$B$2213,'Kế hoạch chèn link (mới)'!$D$3:$D$2213=$B554),3),"""")"),"")</f>
        <v/>
      </c>
      <c r="M554" s="25" t="str">
        <f>IFERROR(__xludf.DUMMYFUNCTION("IFERROR(INDEX(FILTER('Kế hoạch chèn link (mới)'!$C$3:$C$2213,'Kế hoạch chèn link (mới)'!$D$3:$D$2213=$B554),4),"""")"),"")</f>
        <v/>
      </c>
      <c r="N554" s="25" t="str">
        <f>IFERROR(__xludf.DUMMYFUNCTION("IFERROR(INDEX(FILTER('Kế hoạch chèn link (mới)'!$B$3:$B$2213,'Kế hoạch chèn link (mới)'!$D$3:$D$2213=$B554),4),"""")"),"")</f>
        <v/>
      </c>
      <c r="O554" s="25" t="str">
        <f>IFERROR(__xludf.DUMMYFUNCTION("IFERROR(INDEX(FILTER('Kế hoạch chèn link (mới)'!$C$3:$C$2213,'Kế hoạch chèn link (mới)'!$D$3:$D$2213=$B554),5),"""")"),"")</f>
        <v/>
      </c>
      <c r="P554" s="25" t="str">
        <f>IFERROR(__xludf.DUMMYFUNCTION("IFERROR(INDEX(FILTER('Kế hoạch chèn link (mới)'!$B$3:$B$2213,'Kế hoạch chèn link (mới)'!$D$3:$D$2213=$B554),5),"""")"),"")</f>
        <v/>
      </c>
    </row>
    <row r="555">
      <c r="A555" s="6">
        <f t="shared" si="1"/>
        <v>554</v>
      </c>
      <c r="B555" s="8" t="s">
        <v>1343</v>
      </c>
      <c r="C555" s="6">
        <f>COUNTIF('Kế hoạch chèn link (mới)'!$D$3:$D$2213,$B555)</f>
        <v>3</v>
      </c>
      <c r="D555" s="8" t="str">
        <f>IF(COUNTIFS('Kế hoạch chèn link (mới)'!$D$3:$D$2213,$B555,'Kế hoạch chèn link (mới)'!$I$3:$I$2213,"Đã chèn")&gt;=$C555,"Đã hoàn thành",IF(COUNTIFS('Kế hoạch chèn link (mới)'!$D$3:$D$2213,$B555,'Kế hoạch chèn link (mới)'!$I$3:$I$2213,"Đã chèn")&gt;0,"Đang làm","Chưa hoàn thành"))</f>
        <v>Chưa hoàn thành</v>
      </c>
      <c r="E555" s="8" t="b">
        <f t="shared" si="2"/>
        <v>0</v>
      </c>
      <c r="F555" s="25"/>
      <c r="G555" s="25" t="str">
        <f>IFERROR(__xludf.DUMMYFUNCTION("IFERROR(INDEX(FILTER('Kế hoạch chèn link (mới)'!$C$3:$C$2213,'Kế hoạch chèn link (mới)'!$D$3:$D$2213=$B555),1),"""")"),"cách nạp tiền điện thoại viettel")</f>
        <v>cách nạp tiền điện thoại viettel</v>
      </c>
      <c r="H555" s="25" t="str">
        <f>IFERROR(__xludf.DUMMYFUNCTION("IFERROR(INDEX(FILTER('Kế hoạch chèn link (mới)'!$B$3:$B$2213,'Kế hoạch chèn link (mới)'!$D$3:$D$2213=$B555),1),"""")"),"https://techcombank.com/thong-tin/blog/cach-nap-the-viettel")</f>
        <v>https://techcombank.com/thong-tin/blog/cach-nap-the-viettel</v>
      </c>
      <c r="I555" s="25" t="str">
        <f>IFERROR(__xludf.DUMMYFUNCTION("IFERROR(INDEX(FILTER('Kế hoạch chèn link (mới)'!$C$3:$C$2213,'Kế hoạch chèn link (mới)'!$D$3:$D$2213=$B555),2),"""")"),"thẻ tín dụng Techcombank Everyday")</f>
        <v>thẻ tín dụng Techcombank Everyday</v>
      </c>
      <c r="J555" s="25" t="str">
        <f>IFERROR(__xludf.DUMMYFUNCTION("IFERROR(INDEX(FILTER('Kế hoạch chèn link (mới)'!$B$3:$B$2213,'Kế hoạch chèn link (mới)'!$D$3:$D$2213=$B555),2),"""")"),"https://techcombank.com/khach-hang-ca-nhan/chi-tieu/the/the-tin-dung/techcombank-everyday")</f>
        <v>https://techcombank.com/khach-hang-ca-nhan/chi-tieu/the/the-tin-dung/techcombank-everyday</v>
      </c>
      <c r="K555" s="25" t="str">
        <f>IFERROR(__xludf.DUMMYFUNCTION("IFERROR(INDEX(FILTER('Kế hoạch chèn link (mới)'!$C$3:$C$2213,'Kế hoạch chèn link (mới)'!$D$3:$D$2213=$B555),3),"""")"),"cách gửi mã QR ngân hàng")</f>
        <v>cách gửi mã QR ngân hàng</v>
      </c>
      <c r="L555" s="25" t="str">
        <f>IFERROR(__xludf.DUMMYFUNCTION("IFERROR(INDEX(FILTER('Kế hoạch chèn link (mới)'!$B$3:$B$2213,'Kế hoạch chèn link (mới)'!$D$3:$D$2213=$B555),3),"""")"),"https://techcombank.com/thong-tin/blog/gui-ma-qr-ngan-hang")</f>
        <v>https://techcombank.com/thong-tin/blog/gui-ma-qr-ngan-hang</v>
      </c>
      <c r="M555" s="25" t="str">
        <f>IFERROR(__xludf.DUMMYFUNCTION("IFERROR(INDEX(FILTER('Kế hoạch chèn link (mới)'!$C$3:$C$2213,'Kế hoạch chèn link (mới)'!$D$3:$D$2213=$B555),4),"""")"),"")</f>
        <v/>
      </c>
      <c r="N555" s="25" t="str">
        <f>IFERROR(__xludf.DUMMYFUNCTION("IFERROR(INDEX(FILTER('Kế hoạch chèn link (mới)'!$B$3:$B$2213,'Kế hoạch chèn link (mới)'!$D$3:$D$2213=$B555),4),"""")"),"")</f>
        <v/>
      </c>
      <c r="O555" s="25" t="str">
        <f>IFERROR(__xludf.DUMMYFUNCTION("IFERROR(INDEX(FILTER('Kế hoạch chèn link (mới)'!$C$3:$C$2213,'Kế hoạch chèn link (mới)'!$D$3:$D$2213=$B555),5),"""")"),"")</f>
        <v/>
      </c>
      <c r="P555" s="25" t="str">
        <f>IFERROR(__xludf.DUMMYFUNCTION("IFERROR(INDEX(FILTER('Kế hoạch chèn link (mới)'!$B$3:$B$2213,'Kế hoạch chèn link (mới)'!$D$3:$D$2213=$B555),5),"""")"),"")</f>
        <v/>
      </c>
    </row>
    <row r="556">
      <c r="A556" s="6">
        <f t="shared" si="1"/>
        <v>555</v>
      </c>
      <c r="B556" s="8" t="s">
        <v>2689</v>
      </c>
      <c r="C556" s="6">
        <f>COUNTIF('Kế hoạch chèn link (mới)'!$D$3:$D$2213,$B556)</f>
        <v>1</v>
      </c>
      <c r="D556" s="8" t="str">
        <f>IF(COUNTIFS('Kế hoạch chèn link (mới)'!$D$3:$D$2213,$B556,'Kế hoạch chèn link (mới)'!$I$3:$I$2213,"Đã chèn")&gt;=$C556,"Đã hoàn thành",IF(COUNTIFS('Kế hoạch chèn link (mới)'!$D$3:$D$2213,$B556,'Kế hoạch chèn link (mới)'!$I$3:$I$2213,"Đã chèn")&gt;0,"Đang làm","Chưa hoàn thành"))</f>
        <v>Chưa hoàn thành</v>
      </c>
      <c r="E556" s="8" t="b">
        <f t="shared" si="2"/>
        <v>0</v>
      </c>
      <c r="F556" s="25"/>
      <c r="G556" s="25" t="str">
        <f>IFERROR(__xludf.DUMMYFUNCTION("IFERROR(INDEX(FILTER('Kế hoạch chèn link (mới)'!$C$3:$C$2213,'Kế hoạch chèn link (mới)'!$D$3:$D$2213=$B556),1),"""")"),"tên đăng nhập")</f>
        <v>tên đăng nhập</v>
      </c>
      <c r="H556" s="25" t="str">
        <f>IFERROR(__xludf.DUMMYFUNCTION("IFERROR(INDEX(FILTER('Kế hoạch chèn link (mới)'!$B$3:$B$2213,'Kế hoạch chèn link (mới)'!$D$3:$D$2213=$B556),1),"""")"),"https://techcombank.com/thong-tin/blog/ten-dang-nhap-tai-khoan-ngan-hang-la-gi")</f>
        <v>https://techcombank.com/thong-tin/blog/ten-dang-nhap-tai-khoan-ngan-hang-la-gi</v>
      </c>
      <c r="I556" s="25" t="str">
        <f>IFERROR(__xludf.DUMMYFUNCTION("IFERROR(INDEX(FILTER('Kế hoạch chèn link (mới)'!$C$3:$C$2213,'Kế hoạch chèn link (mới)'!$D$3:$D$2213=$B556),2),"""")"),"")</f>
        <v/>
      </c>
      <c r="J556" s="25" t="str">
        <f>IFERROR(__xludf.DUMMYFUNCTION("IFERROR(INDEX(FILTER('Kế hoạch chèn link (mới)'!$B$3:$B$2213,'Kế hoạch chèn link (mới)'!$D$3:$D$2213=$B556),2),"""")"),"")</f>
        <v/>
      </c>
      <c r="K556" s="25" t="str">
        <f>IFERROR(__xludf.DUMMYFUNCTION("IFERROR(INDEX(FILTER('Kế hoạch chèn link (mới)'!$C$3:$C$2213,'Kế hoạch chèn link (mới)'!$D$3:$D$2213=$B556),3),"""")"),"")</f>
        <v/>
      </c>
      <c r="L556" s="25" t="str">
        <f>IFERROR(__xludf.DUMMYFUNCTION("IFERROR(INDEX(FILTER('Kế hoạch chèn link (mới)'!$B$3:$B$2213,'Kế hoạch chèn link (mới)'!$D$3:$D$2213=$B556),3),"""")"),"")</f>
        <v/>
      </c>
      <c r="M556" s="25" t="str">
        <f>IFERROR(__xludf.DUMMYFUNCTION("IFERROR(INDEX(FILTER('Kế hoạch chèn link (mới)'!$C$3:$C$2213,'Kế hoạch chèn link (mới)'!$D$3:$D$2213=$B556),4),"""")"),"")</f>
        <v/>
      </c>
      <c r="N556" s="25" t="str">
        <f>IFERROR(__xludf.DUMMYFUNCTION("IFERROR(INDEX(FILTER('Kế hoạch chèn link (mới)'!$B$3:$B$2213,'Kế hoạch chèn link (mới)'!$D$3:$D$2213=$B556),4),"""")"),"")</f>
        <v/>
      </c>
      <c r="O556" s="25" t="str">
        <f>IFERROR(__xludf.DUMMYFUNCTION("IFERROR(INDEX(FILTER('Kế hoạch chèn link (mới)'!$C$3:$C$2213,'Kế hoạch chèn link (mới)'!$D$3:$D$2213=$B556),5),"""")"),"")</f>
        <v/>
      </c>
      <c r="P556" s="25" t="str">
        <f>IFERROR(__xludf.DUMMYFUNCTION("IFERROR(INDEX(FILTER('Kế hoạch chèn link (mới)'!$B$3:$B$2213,'Kế hoạch chèn link (mới)'!$D$3:$D$2213=$B556),5),"""")"),"")</f>
        <v/>
      </c>
    </row>
    <row r="557">
      <c r="A557" s="6">
        <f t="shared" si="1"/>
        <v>556</v>
      </c>
      <c r="B557" s="8" t="s">
        <v>2580</v>
      </c>
      <c r="C557" s="6">
        <f>COUNTIF('Kế hoạch chèn link (mới)'!$D$3:$D$2213,$B557)</f>
        <v>5</v>
      </c>
      <c r="D557" s="8" t="str">
        <f>IF(COUNTIFS('Kế hoạch chèn link (mới)'!$D$3:$D$2213,$B557,'Kế hoạch chèn link (mới)'!$I$3:$I$2213,"Đã chèn")&gt;=$C557,"Đã hoàn thành",IF(COUNTIFS('Kế hoạch chèn link (mới)'!$D$3:$D$2213,$B557,'Kế hoạch chèn link (mới)'!$I$3:$I$2213,"Đã chèn")&gt;0,"Đang làm","Chưa hoàn thành"))</f>
        <v>Chưa hoàn thành</v>
      </c>
      <c r="E557" s="8" t="b">
        <f t="shared" si="2"/>
        <v>0</v>
      </c>
      <c r="F557" s="25"/>
      <c r="G557" s="25" t="str">
        <f>IFERROR(__xludf.DUMMYFUNCTION("IFERROR(INDEX(FILTER('Kế hoạch chèn link (mới)'!$C$3:$C$2213,'Kế hoạch chèn link (mới)'!$D$3:$D$2213=$B557),1),"""")"),"tra cứu thuế TNCN")</f>
        <v>tra cứu thuế TNCN</v>
      </c>
      <c r="H557" s="25" t="str">
        <f>IFERROR(__xludf.DUMMYFUNCTION("IFERROR(INDEX(FILTER('Kế hoạch chèn link (mới)'!$B$3:$B$2213,'Kế hoạch chèn link (mới)'!$D$3:$D$2213=$B557),1),"""")"),"https://techcombank.com/thong-tin/blog/kiem-tra-thue-thu-nhap-ca-nhan")</f>
        <v>https://techcombank.com/thong-tin/blog/kiem-tra-thue-thu-nhap-ca-nhan</v>
      </c>
      <c r="I557" s="25" t="str">
        <f>IFERROR(__xludf.DUMMYFUNCTION("IFERROR(INDEX(FILTER('Kế hoạch chèn link (mới)'!$C$3:$C$2213,'Kế hoạch chèn link (mới)'!$D$3:$D$2213=$B557),2),"""")"),"thuế hộ kinh doanh")</f>
        <v>thuế hộ kinh doanh</v>
      </c>
      <c r="J557" s="25" t="str">
        <f>IFERROR(__xludf.DUMMYFUNCTION("IFERROR(INDEX(FILTER('Kế hoạch chèn link (mới)'!$B$3:$B$2213,'Kế hoạch chèn link (mới)'!$D$3:$D$2213=$B557),2),"""")"),"https://techcombank.com/thong-tin/blog/ho-kinh-doanh-dong-thue-nhu-nao")</f>
        <v>https://techcombank.com/thong-tin/blog/ho-kinh-doanh-dong-thue-nhu-nao</v>
      </c>
      <c r="K557" s="25" t="str">
        <f>IFERROR(__xludf.DUMMYFUNCTION("IFERROR(INDEX(FILTER('Kế hoạch chèn link (mới)'!$C$3:$C$2213,'Kế hoạch chèn link (mới)'!$D$3:$D$2213=$B557),3),"""")"),"tài khoản hộ kinh doanh")</f>
        <v>tài khoản hộ kinh doanh</v>
      </c>
      <c r="L557" s="25" t="str">
        <f>IFERROR(__xludf.DUMMYFUNCTION("IFERROR(INDEX(FILTER('Kế hoạch chèn link (mới)'!$B$3:$B$2213,'Kế hoạch chèn link (mới)'!$D$3:$D$2213=$B557),3),"""")"),"https://techcombank.com/thong-tin/blog/mo-tai-khoan-ho-kinh-doanh")</f>
        <v>https://techcombank.com/thong-tin/blog/mo-tai-khoan-ho-kinh-doanh</v>
      </c>
      <c r="M557" s="25" t="str">
        <f>IFERROR(__xludf.DUMMYFUNCTION("IFERROR(INDEX(FILTER('Kế hoạch chèn link (mới)'!$C$3:$C$2213,'Kế hoạch chèn link (mới)'!$D$3:$D$2213=$B557),4),"""")"),"cách tính thuế hộ kinh doanh")</f>
        <v>cách tính thuế hộ kinh doanh</v>
      </c>
      <c r="N557" s="25" t="str">
        <f>IFERROR(__xludf.DUMMYFUNCTION("IFERROR(INDEX(FILTER('Kế hoạch chèn link (mới)'!$B$3:$B$2213,'Kế hoạch chèn link (mới)'!$D$3:$D$2213=$B557),4),"""")"),"https://techcombank.com/thong-tin/blog/cach-tinh-thue-ho-kinh-doanh-nho-le")</f>
        <v>https://techcombank.com/thong-tin/blog/cach-tinh-thue-ho-kinh-doanh-nho-le</v>
      </c>
      <c r="O557" s="25" t="str">
        <f>IFERROR(__xludf.DUMMYFUNCTION("IFERROR(INDEX(FILTER('Kế hoạch chèn link (mới)'!$C$3:$C$2213,'Kế hoạch chèn link (mới)'!$D$3:$D$2213=$B557),5),"""")"),"vay")</f>
        <v>vay</v>
      </c>
      <c r="P557" s="25" t="str">
        <f>IFERROR(__xludf.DUMMYFUNCTION("IFERROR(INDEX(FILTER('Kế hoạch chèn link (mới)'!$B$3:$B$2213,'Kế hoạch chèn link (mới)'!$D$3:$D$2213=$B557),5),"""")"),"https://techcombank.com/thong-tin/blog/app-vay-tien-nhanh")</f>
        <v>https://techcombank.com/thong-tin/blog/app-vay-tien-nhanh</v>
      </c>
    </row>
    <row r="558">
      <c r="A558" s="6">
        <f t="shared" si="1"/>
        <v>557</v>
      </c>
      <c r="B558" s="8" t="s">
        <v>3171</v>
      </c>
      <c r="C558" s="6">
        <f>COUNTIF('Kế hoạch chèn link (mới)'!$D$3:$D$2213,$B558)</f>
        <v>1</v>
      </c>
      <c r="D558" s="8" t="str">
        <f>IF(COUNTIFS('Kế hoạch chèn link (mới)'!$D$3:$D$2213,$B558,'Kế hoạch chèn link (mới)'!$I$3:$I$2213,"Đã chèn")&gt;=$C558,"Đã hoàn thành",IF(COUNTIFS('Kế hoạch chèn link (mới)'!$D$3:$D$2213,$B558,'Kế hoạch chèn link (mới)'!$I$3:$I$2213,"Đã chèn")&gt;0,"Đang làm","Chưa hoàn thành"))</f>
        <v>Chưa hoàn thành</v>
      </c>
      <c r="E558" s="8" t="b">
        <f t="shared" si="2"/>
        <v>0</v>
      </c>
      <c r="F558" s="25"/>
      <c r="G558" s="25" t="str">
        <f>IFERROR(__xludf.DUMMYFUNCTION("IFERROR(INDEX(FILTER('Kế hoạch chèn link (mới)'!$C$3:$C$2213,'Kế hoạch chèn link (mới)'!$D$3:$D$2213=$B558),1),"""")"),"quét NFC CCCD trên iPhone")</f>
        <v>quét NFC CCCD trên iPhone</v>
      </c>
      <c r="H558" s="25" t="str">
        <f>IFERROR(__xludf.DUMMYFUNCTION("IFERROR(INDEX(FILTER('Kế hoạch chèn link (mới)'!$B$3:$B$2213,'Kế hoạch chèn link (mới)'!$D$3:$D$2213=$B558),1),"""")"),"https://techcombank.com/thong-tin/blog/cach-quet-nfc-cccd-tren-iphone")</f>
        <v>https://techcombank.com/thong-tin/blog/cach-quet-nfc-cccd-tren-iphone</v>
      </c>
      <c r="I558" s="25" t="str">
        <f>IFERROR(__xludf.DUMMYFUNCTION("IFERROR(INDEX(FILTER('Kế hoạch chèn link (mới)'!$C$3:$C$2213,'Kế hoạch chèn link (mới)'!$D$3:$D$2213=$B558),2),"""")"),"")</f>
        <v/>
      </c>
      <c r="J558" s="25" t="str">
        <f>IFERROR(__xludf.DUMMYFUNCTION("IFERROR(INDEX(FILTER('Kế hoạch chèn link (mới)'!$B$3:$B$2213,'Kế hoạch chèn link (mới)'!$D$3:$D$2213=$B558),2),"""")"),"")</f>
        <v/>
      </c>
      <c r="K558" s="25" t="str">
        <f>IFERROR(__xludf.DUMMYFUNCTION("IFERROR(INDEX(FILTER('Kế hoạch chèn link (mới)'!$C$3:$C$2213,'Kế hoạch chèn link (mới)'!$D$3:$D$2213=$B558),3),"""")"),"")</f>
        <v/>
      </c>
      <c r="L558" s="25" t="str">
        <f>IFERROR(__xludf.DUMMYFUNCTION("IFERROR(INDEX(FILTER('Kế hoạch chèn link (mới)'!$B$3:$B$2213,'Kế hoạch chèn link (mới)'!$D$3:$D$2213=$B558),3),"""")"),"")</f>
        <v/>
      </c>
      <c r="M558" s="25" t="str">
        <f>IFERROR(__xludf.DUMMYFUNCTION("IFERROR(INDEX(FILTER('Kế hoạch chèn link (mới)'!$C$3:$C$2213,'Kế hoạch chèn link (mới)'!$D$3:$D$2213=$B558),4),"""")"),"")</f>
        <v/>
      </c>
      <c r="N558" s="25" t="str">
        <f>IFERROR(__xludf.DUMMYFUNCTION("IFERROR(INDEX(FILTER('Kế hoạch chèn link (mới)'!$B$3:$B$2213,'Kế hoạch chèn link (mới)'!$D$3:$D$2213=$B558),4),"""")"),"")</f>
        <v/>
      </c>
      <c r="O558" s="25" t="str">
        <f>IFERROR(__xludf.DUMMYFUNCTION("IFERROR(INDEX(FILTER('Kế hoạch chèn link (mới)'!$C$3:$C$2213,'Kế hoạch chèn link (mới)'!$D$3:$D$2213=$B558),5),"""")"),"")</f>
        <v/>
      </c>
      <c r="P558" s="25" t="str">
        <f>IFERROR(__xludf.DUMMYFUNCTION("IFERROR(INDEX(FILTER('Kế hoạch chèn link (mới)'!$B$3:$B$2213,'Kế hoạch chèn link (mới)'!$D$3:$D$2213=$B558),5),"""")"),"")</f>
        <v/>
      </c>
    </row>
    <row r="559">
      <c r="A559" s="6">
        <f t="shared" si="1"/>
        <v>558</v>
      </c>
      <c r="B559" s="8" t="s">
        <v>2276</v>
      </c>
      <c r="C559" s="6">
        <f>COUNTIF('Kế hoạch chèn link (mới)'!$D$3:$D$2213,$B559)</f>
        <v>3</v>
      </c>
      <c r="D559" s="8" t="str">
        <f>IF(COUNTIFS('Kế hoạch chèn link (mới)'!$D$3:$D$2213,$B559,'Kế hoạch chèn link (mới)'!$I$3:$I$2213,"Đã chèn")&gt;=$C559,"Đã hoàn thành",IF(COUNTIFS('Kế hoạch chèn link (mới)'!$D$3:$D$2213,$B559,'Kế hoạch chèn link (mới)'!$I$3:$I$2213,"Đã chèn")&gt;0,"Đang làm","Chưa hoàn thành"))</f>
        <v>Chưa hoàn thành</v>
      </c>
      <c r="E559" s="8" t="b">
        <f t="shared" si="2"/>
        <v>0</v>
      </c>
      <c r="F559" s="25"/>
      <c r="G559" s="25" t="str">
        <f>IFERROR(__xludf.DUMMYFUNCTION("IFERROR(INDEX(FILTER('Kế hoạch chèn link (mới)'!$C$3:$C$2213,'Kế hoạch chèn link (mới)'!$D$3:$D$2213=$B559),1),"""")"),"nộp tiền vào tài khoản")</f>
        <v>nộp tiền vào tài khoản</v>
      </c>
      <c r="H559" s="25" t="str">
        <f>IFERROR(__xludf.DUMMYFUNCTION("IFERROR(INDEX(FILTER('Kế hoạch chèn link (mới)'!$B$3:$B$2213,'Kế hoạch chèn link (mới)'!$D$3:$D$2213=$B559),1),"""")"),"https://techcombank.com/thong-tin/blog/nap-tien-vao-tai-khoan-ngan-hang")</f>
        <v>https://techcombank.com/thong-tin/blog/nap-tien-vao-tai-khoan-ngan-hang</v>
      </c>
      <c r="I559" s="25" t="str">
        <f>IFERROR(__xludf.DUMMYFUNCTION("IFERROR(INDEX(FILTER('Kế hoạch chèn link (mới)'!$C$3:$C$2213,'Kế hoạch chèn link (mới)'!$D$3:$D$2213=$B559),2),"""")"),"rút tiền không cần thẻ")</f>
        <v>rút tiền không cần thẻ</v>
      </c>
      <c r="J559" s="25" t="str">
        <f>IFERROR(__xludf.DUMMYFUNCTION("IFERROR(INDEX(FILTER('Kế hoạch chèn link (mới)'!$B$3:$B$2213,'Kế hoạch chèn link (mới)'!$D$3:$D$2213=$B559),2),"""")"),"https://techcombank.com/thong-tin/blog/rut-tien-bang-ma-qr-la-gi-cach-thuc-hien-nhu-the-nao")</f>
        <v>https://techcombank.com/thong-tin/blog/rut-tien-bang-ma-qr-la-gi-cach-thuc-hien-nhu-the-nao</v>
      </c>
      <c r="K559" s="25" t="str">
        <f>IFERROR(__xludf.DUMMYFUNCTION("IFERROR(INDEX(FILTER('Kế hoạch chèn link (mới)'!$C$3:$C$2213,'Kế hoạch chèn link (mới)'!$D$3:$D$2213=$B559),3),"""")"),"rút tiền thẻ tín dụng")</f>
        <v>rút tiền thẻ tín dụng</v>
      </c>
      <c r="L559" s="25" t="str">
        <f>IFERROR(__xludf.DUMMYFUNCTION("IFERROR(INDEX(FILTER('Kế hoạch chèn link (mới)'!$B$3:$B$2213,'Kế hoạch chèn link (mới)'!$D$3:$D$2213=$B559),3),"""")"),"https://techcombank.com/thong-tin/blog/rut-tien-mat-tu-the-tin-dung")</f>
        <v>https://techcombank.com/thong-tin/blog/rut-tien-mat-tu-the-tin-dung</v>
      </c>
      <c r="M559" s="25" t="str">
        <f>IFERROR(__xludf.DUMMYFUNCTION("IFERROR(INDEX(FILTER('Kế hoạch chèn link (mới)'!$C$3:$C$2213,'Kế hoạch chèn link (mới)'!$D$3:$D$2213=$B559),4),"""")"),"")</f>
        <v/>
      </c>
      <c r="N559" s="25" t="str">
        <f>IFERROR(__xludf.DUMMYFUNCTION("IFERROR(INDEX(FILTER('Kế hoạch chèn link (mới)'!$B$3:$B$2213,'Kế hoạch chèn link (mới)'!$D$3:$D$2213=$B559),4),"""")"),"")</f>
        <v/>
      </c>
      <c r="O559" s="25" t="str">
        <f>IFERROR(__xludf.DUMMYFUNCTION("IFERROR(INDEX(FILTER('Kế hoạch chèn link (mới)'!$C$3:$C$2213,'Kế hoạch chèn link (mới)'!$D$3:$D$2213=$B559),5),"""")"),"")</f>
        <v/>
      </c>
      <c r="P559" s="25" t="str">
        <f>IFERROR(__xludf.DUMMYFUNCTION("IFERROR(INDEX(FILTER('Kế hoạch chèn link (mới)'!$B$3:$B$2213,'Kế hoạch chèn link (mới)'!$D$3:$D$2213=$B559),5),"""")"),"")</f>
        <v/>
      </c>
    </row>
    <row r="560">
      <c r="A560" s="6">
        <f t="shared" si="1"/>
        <v>559</v>
      </c>
      <c r="B560" s="8" t="s">
        <v>3172</v>
      </c>
      <c r="C560" s="6">
        <f>COUNTIF('Kế hoạch chèn link (mới)'!$D$3:$D$2213,$B560)</f>
        <v>5</v>
      </c>
      <c r="D560" s="8" t="str">
        <f>IF(COUNTIFS('Kế hoạch chèn link (mới)'!$D$3:$D$2213,$B560,'Kế hoạch chèn link (mới)'!$I$3:$I$2213,"Đã chèn")&gt;=$C560,"Đã hoàn thành",IF(COUNTIFS('Kế hoạch chèn link (mới)'!$D$3:$D$2213,$B560,'Kế hoạch chèn link (mới)'!$I$3:$I$2213,"Đã chèn")&gt;0,"Đang làm","Chưa hoàn thành"))</f>
        <v>Chưa hoàn thành</v>
      </c>
      <c r="E560" s="8" t="b">
        <f t="shared" si="2"/>
        <v>0</v>
      </c>
      <c r="F560" s="25"/>
      <c r="G560" s="25" t="str">
        <f>IFERROR(__xludf.DUMMYFUNCTION("IFERROR(INDEX(FILTER('Kế hoạch chèn link (mới)'!$C$3:$C$2213,'Kế hoạch chèn link (mới)'!$D$3:$D$2213=$B560),1),"""")"),"kiểm tra cic")</f>
        <v>kiểm tra cic</v>
      </c>
      <c r="H560" s="25" t="str">
        <f>IFERROR(__xludf.DUMMYFUNCTION("IFERROR(INDEX(FILTER('Kế hoạch chèn link (mới)'!$B$3:$B$2213,'Kế hoạch chèn link (mới)'!$D$3:$D$2213=$B560),1),"""")"),"https://techcombank.com/thong-tin/blog/cic-la-gi")</f>
        <v>https://techcombank.com/thong-tin/blog/cic-la-gi</v>
      </c>
      <c r="I560" s="25" t="str">
        <f>IFERROR(__xludf.DUMMYFUNCTION("IFERROR(INDEX(FILTER('Kế hoạch chèn link (mới)'!$C$3:$C$2213,'Kế hoạch chèn link (mới)'!$D$3:$D$2213=$B560),2),"""")"),"lãi suất vay thế chấp sổ đỏ")</f>
        <v>lãi suất vay thế chấp sổ đỏ</v>
      </c>
      <c r="J560" s="25" t="str">
        <f>IFERROR(__xludf.DUMMYFUNCTION("IFERROR(INDEX(FILTER('Kế hoạch chèn link (mới)'!$B$3:$B$2213,'Kế hoạch chèn link (mới)'!$D$3:$D$2213=$B560),2),"""")"),"https://techcombank.com/thong-tin/blog/lai-suat-vay-the-chap-so-do")</f>
        <v>https://techcombank.com/thong-tin/blog/lai-suat-vay-the-chap-so-do</v>
      </c>
      <c r="K560" s="25" t="str">
        <f>IFERROR(__xludf.DUMMYFUNCTION("IFERROR(INDEX(FILTER('Kế hoạch chèn link (mới)'!$C$3:$C$2213,'Kế hoạch chèn link (mới)'!$D$3:$D$2213=$B560),3),"""")"),"thủ tục xóa thế chấp")</f>
        <v>thủ tục xóa thế chấp</v>
      </c>
      <c r="L560" s="25" t="str">
        <f>IFERROR(__xludf.DUMMYFUNCTION("IFERROR(INDEX(FILTER('Kế hoạch chèn link (mới)'!$B$3:$B$2213,'Kế hoạch chèn link (mới)'!$D$3:$D$2213=$B560),3),"""")"),"https://techcombank.com/thong-tin/blog/ho-so-thu-tuc-xoa-the-chap")</f>
        <v>https://techcombank.com/thong-tin/blog/ho-so-thu-tuc-xoa-the-chap</v>
      </c>
      <c r="M560" s="25" t="str">
        <f>IFERROR(__xludf.DUMMYFUNCTION("IFERROR(INDEX(FILTER('Kế hoạch chèn link (mới)'!$C$3:$C$2213,'Kế hoạch chèn link (mới)'!$D$3:$D$2213=$B560),4),"""")"),"vay tiền")</f>
        <v>vay tiền</v>
      </c>
      <c r="N560" s="25" t="str">
        <f>IFERROR(__xludf.DUMMYFUNCTION("IFERROR(INDEX(FILTER('Kế hoạch chèn link (mới)'!$B$3:$B$2213,'Kế hoạch chèn link (mới)'!$D$3:$D$2213=$B560),4),"""")"),"https://techcombank.com/thong-tin/blog/app-vay-tien-nhanh")</f>
        <v>https://techcombank.com/thong-tin/blog/app-vay-tien-nhanh</v>
      </c>
      <c r="O560" s="25" t="str">
        <f>IFERROR(__xludf.DUMMYFUNCTION("IFERROR(INDEX(FILTER('Kế hoạch chèn link (mới)'!$C$3:$C$2213,'Kế hoạch chèn link (mới)'!$D$3:$D$2213=$B560),5),"""")"),"lãi suất vay ngân hàng")</f>
        <v>lãi suất vay ngân hàng</v>
      </c>
      <c r="P560" s="25" t="str">
        <f>IFERROR(__xludf.DUMMYFUNCTION("IFERROR(INDEX(FILTER('Kế hoạch chèn link (mới)'!$B$3:$B$2213,'Kế hoạch chèn link (mới)'!$D$3:$D$2213=$B560),5),"""")"),"https://techcombank.com/thong-tin/blog/lai-suat-vay-ngan-hang")</f>
        <v>https://techcombank.com/thong-tin/blog/lai-suat-vay-ngan-hang</v>
      </c>
    </row>
    <row r="561">
      <c r="A561" s="6">
        <f t="shared" si="1"/>
        <v>560</v>
      </c>
      <c r="B561" s="8" t="s">
        <v>3027</v>
      </c>
      <c r="C561" s="6">
        <f>COUNTIF('Kế hoạch chèn link (mới)'!$D$3:$D$2213,$B561)</f>
        <v>2</v>
      </c>
      <c r="D561" s="8" t="str">
        <f>IF(COUNTIFS('Kế hoạch chèn link (mới)'!$D$3:$D$2213,$B561,'Kế hoạch chèn link (mới)'!$I$3:$I$2213,"Đã chèn")&gt;=$C561,"Đã hoàn thành",IF(COUNTIFS('Kế hoạch chèn link (mới)'!$D$3:$D$2213,$B561,'Kế hoạch chèn link (mới)'!$I$3:$I$2213,"Đã chèn")&gt;0,"Đang làm","Chưa hoàn thành"))</f>
        <v>Chưa hoàn thành</v>
      </c>
      <c r="E561" s="8" t="b">
        <f t="shared" si="2"/>
        <v>0</v>
      </c>
      <c r="F561" s="25"/>
      <c r="G561" s="25" t="str">
        <f>IFERROR(__xludf.DUMMYFUNCTION("IFERROR(INDEX(FILTER('Kế hoạch chèn link (mới)'!$C$3:$C$2213,'Kế hoạch chèn link (mới)'!$D$3:$D$2213=$B561),1),"""")"),"quét NFC CCCD")</f>
        <v>quét NFC CCCD</v>
      </c>
      <c r="H561" s="25" t="str">
        <f>IFERROR(__xludf.DUMMYFUNCTION("IFERROR(INDEX(FILTER('Kế hoạch chèn link (mới)'!$B$3:$B$2213,'Kế hoạch chèn link (mới)'!$D$3:$D$2213=$B561),1),"""")"),"https://techcombank.com/thong-tin/blog/cach-quet-nfc-cccd-tren-iphone")</f>
        <v>https://techcombank.com/thong-tin/blog/cach-quet-nfc-cccd-tren-iphone</v>
      </c>
      <c r="I561" s="25" t="str">
        <f>IFERROR(__xludf.DUMMYFUNCTION("IFERROR(INDEX(FILTER('Kế hoạch chèn link (mới)'!$C$3:$C$2213,'Kế hoạch chèn link (mới)'!$D$3:$D$2213=$B561),2),"""")"),"tiền Thái Lan")</f>
        <v>tiền Thái Lan</v>
      </c>
      <c r="J561" s="25" t="str">
        <f>IFERROR(__xludf.DUMMYFUNCTION("IFERROR(INDEX(FILTER('Kế hoạch chèn link (mới)'!$B$3:$B$2213,'Kế hoạch chèn link (mới)'!$D$3:$D$2213=$B561),2),"""")"),"https://techcombank.com/thong-tin/blog/tien-thai-lan")</f>
        <v>https://techcombank.com/thong-tin/blog/tien-thai-lan</v>
      </c>
      <c r="K561" s="25" t="str">
        <f>IFERROR(__xludf.DUMMYFUNCTION("IFERROR(INDEX(FILTER('Kế hoạch chèn link (mới)'!$C$3:$C$2213,'Kế hoạch chèn link (mới)'!$D$3:$D$2213=$B561),3),"""")"),"")</f>
        <v/>
      </c>
      <c r="L561" s="25" t="str">
        <f>IFERROR(__xludf.DUMMYFUNCTION("IFERROR(INDEX(FILTER('Kế hoạch chèn link (mới)'!$B$3:$B$2213,'Kế hoạch chèn link (mới)'!$D$3:$D$2213=$B561),3),"""")"),"")</f>
        <v/>
      </c>
      <c r="M561" s="25" t="str">
        <f>IFERROR(__xludf.DUMMYFUNCTION("IFERROR(INDEX(FILTER('Kế hoạch chèn link (mới)'!$C$3:$C$2213,'Kế hoạch chèn link (mới)'!$D$3:$D$2213=$B561),4),"""")"),"")</f>
        <v/>
      </c>
      <c r="N561" s="25" t="str">
        <f>IFERROR(__xludf.DUMMYFUNCTION("IFERROR(INDEX(FILTER('Kế hoạch chèn link (mới)'!$B$3:$B$2213,'Kế hoạch chèn link (mới)'!$D$3:$D$2213=$B561),4),"""")"),"")</f>
        <v/>
      </c>
      <c r="O561" s="25" t="str">
        <f>IFERROR(__xludf.DUMMYFUNCTION("IFERROR(INDEX(FILTER('Kế hoạch chèn link (mới)'!$C$3:$C$2213,'Kế hoạch chèn link (mới)'!$D$3:$D$2213=$B561),5),"""")"),"")</f>
        <v/>
      </c>
      <c r="P561" s="25" t="str">
        <f>IFERROR(__xludf.DUMMYFUNCTION("IFERROR(INDEX(FILTER('Kế hoạch chèn link (mới)'!$B$3:$B$2213,'Kế hoạch chèn link (mới)'!$D$3:$D$2213=$B561),5),"""")"),"")</f>
        <v/>
      </c>
    </row>
    <row r="562">
      <c r="A562" s="6">
        <f t="shared" si="1"/>
        <v>561</v>
      </c>
      <c r="B562" s="8" t="s">
        <v>2088</v>
      </c>
      <c r="C562" s="6">
        <f>COUNTIF('Kế hoạch chèn link (mới)'!$D$3:$D$2213,$B562)</f>
        <v>3</v>
      </c>
      <c r="D562" s="8" t="str">
        <f>IF(COUNTIFS('Kế hoạch chèn link (mới)'!$D$3:$D$2213,$B562,'Kế hoạch chèn link (mới)'!$I$3:$I$2213,"Đã chèn")&gt;=$C562,"Đã hoàn thành",IF(COUNTIFS('Kế hoạch chèn link (mới)'!$D$3:$D$2213,$B562,'Kế hoạch chèn link (mới)'!$I$3:$I$2213,"Đã chèn")&gt;0,"Đang làm","Chưa hoàn thành"))</f>
        <v>Chưa hoàn thành</v>
      </c>
      <c r="E562" s="8" t="b">
        <f t="shared" si="2"/>
        <v>0</v>
      </c>
      <c r="F562" s="25"/>
      <c r="G562" s="25" t="str">
        <f>IFERROR(__xludf.DUMMYFUNCTION("IFERROR(INDEX(FILTER('Kế hoạch chèn link (mới)'!$C$3:$C$2213,'Kế hoạch chèn link (mới)'!$D$3:$D$2213=$B562),1),"""")"),"bao nhiêu tuổi được mở tài khoản ngân hàng")</f>
        <v>bao nhiêu tuổi được mở tài khoản ngân hàng</v>
      </c>
      <c r="H562" s="25" t="str">
        <f>IFERROR(__xludf.DUMMYFUNCTION("IFERROR(INDEX(FILTER('Kế hoạch chèn link (mới)'!$B$3:$B$2213,'Kế hoạch chèn link (mới)'!$D$3:$D$2213=$B562),1),"""")"),"https://techcombank.com/thong-tin/blog/bao-nhieu-tuoi-duoc-mo-tai-khoan-ngan-hang")</f>
        <v>https://techcombank.com/thong-tin/blog/bao-nhieu-tuoi-duoc-mo-tai-khoan-ngan-hang</v>
      </c>
      <c r="I562" s="25" t="str">
        <f>IFERROR(__xludf.DUMMYFUNCTION("IFERROR(INDEX(FILTER('Kế hoạch chèn link (mới)'!$C$3:$C$2213,'Kế hoạch chèn link (mới)'!$D$3:$D$2213=$B562),2),"""")"),"mở tài khoản ngân hàng cho học sinh")</f>
        <v>mở tài khoản ngân hàng cho học sinh</v>
      </c>
      <c r="J562" s="25" t="str">
        <f>IFERROR(__xludf.DUMMYFUNCTION("IFERROR(INDEX(FILTER('Kế hoạch chèn link (mới)'!$B$3:$B$2213,'Kế hoạch chèn link (mới)'!$D$3:$D$2213=$B562),2),"""")"),"https://techcombank.com/thong-tin/blog/mo-tai-khoan-ngan-hang-duoi-18-tuoi")</f>
        <v>https://techcombank.com/thong-tin/blog/mo-tai-khoan-ngan-hang-duoi-18-tuoi</v>
      </c>
      <c r="K562" s="25" t="str">
        <f>IFERROR(__xludf.DUMMYFUNCTION("IFERROR(INDEX(FILTER('Kế hoạch chèn link (mới)'!$C$3:$C$2213,'Kế hoạch chèn link (mới)'!$D$3:$D$2213=$B562),3),"""")"),"cách sao kê tài khoản ngân hàng")</f>
        <v>cách sao kê tài khoản ngân hàng</v>
      </c>
      <c r="L562" s="25" t="str">
        <f>IFERROR(__xludf.DUMMYFUNCTION("IFERROR(INDEX(FILTER('Kế hoạch chèn link (mới)'!$B$3:$B$2213,'Kế hoạch chèn link (mới)'!$D$3:$D$2213=$B562),3),"""")"),"https://techcombank.com/thong-tin/blog/cach-sao-ke-tai-khoan-ngan-hang")</f>
        <v>https://techcombank.com/thong-tin/blog/cach-sao-ke-tai-khoan-ngan-hang</v>
      </c>
      <c r="M562" s="25" t="str">
        <f>IFERROR(__xludf.DUMMYFUNCTION("IFERROR(INDEX(FILTER('Kế hoạch chèn link (mới)'!$C$3:$C$2213,'Kế hoạch chèn link (mới)'!$D$3:$D$2213=$B562),4),"""")"),"")</f>
        <v/>
      </c>
      <c r="N562" s="25" t="str">
        <f>IFERROR(__xludf.DUMMYFUNCTION("IFERROR(INDEX(FILTER('Kế hoạch chèn link (mới)'!$B$3:$B$2213,'Kế hoạch chèn link (mới)'!$D$3:$D$2213=$B562),4),"""")"),"")</f>
        <v/>
      </c>
      <c r="O562" s="25" t="str">
        <f>IFERROR(__xludf.DUMMYFUNCTION("IFERROR(INDEX(FILTER('Kế hoạch chèn link (mới)'!$C$3:$C$2213,'Kế hoạch chèn link (mới)'!$D$3:$D$2213=$B562),5),"""")"),"")</f>
        <v/>
      </c>
      <c r="P562" s="25" t="str">
        <f>IFERROR(__xludf.DUMMYFUNCTION("IFERROR(INDEX(FILTER('Kế hoạch chèn link (mới)'!$B$3:$B$2213,'Kế hoạch chèn link (mới)'!$D$3:$D$2213=$B562),5),"""")"),"")</f>
        <v/>
      </c>
    </row>
    <row r="563">
      <c r="A563" s="6">
        <f t="shared" si="1"/>
        <v>562</v>
      </c>
      <c r="B563" s="8" t="s">
        <v>2007</v>
      </c>
      <c r="C563" s="6">
        <f>COUNTIF('Kế hoạch chèn link (mới)'!$D$3:$D$2213,$B563)</f>
        <v>1</v>
      </c>
      <c r="D563" s="8" t="str">
        <f>IF(COUNTIFS('Kế hoạch chèn link (mới)'!$D$3:$D$2213,$B563,'Kế hoạch chèn link (mới)'!$I$3:$I$2213,"Đã chèn")&gt;=$C563,"Đã hoàn thành",IF(COUNTIFS('Kế hoạch chèn link (mới)'!$D$3:$D$2213,$B563,'Kế hoạch chèn link (mới)'!$I$3:$I$2213,"Đã chèn")&gt;0,"Đang làm","Chưa hoàn thành"))</f>
        <v>Chưa hoàn thành</v>
      </c>
      <c r="E563" s="8" t="b">
        <f t="shared" si="2"/>
        <v>0</v>
      </c>
      <c r="F563" s="25"/>
      <c r="G563" s="25" t="str">
        <f>IFERROR(__xludf.DUMMYFUNCTION("IFERROR(INDEX(FILTER('Kế hoạch chèn link (mới)'!$C$3:$C$2213,'Kế hoạch chèn link (mới)'!$D$3:$D$2213=$B563),1),"""")"),"tiền chuyển khoản bị treo")</f>
        <v>tiền chuyển khoản bị treo</v>
      </c>
      <c r="H563" s="25" t="str">
        <f>IFERROR(__xludf.DUMMYFUNCTION("IFERROR(INDEX(FILTER('Kế hoạch chèn link (mới)'!$B$3:$B$2213,'Kế hoạch chèn link (mới)'!$D$3:$D$2213=$B563),1),"""")"),"https://techcombank.com/thong-tin/blog/chuyen-khoan-thanh-cong-nhung-khong-nhan-duoc-tien")</f>
        <v>https://techcombank.com/thong-tin/blog/chuyen-khoan-thanh-cong-nhung-khong-nhan-duoc-tien</v>
      </c>
      <c r="I563" s="25" t="str">
        <f>IFERROR(__xludf.DUMMYFUNCTION("IFERROR(INDEX(FILTER('Kế hoạch chèn link (mới)'!$C$3:$C$2213,'Kế hoạch chèn link (mới)'!$D$3:$D$2213=$B563),2),"""")"),"")</f>
        <v/>
      </c>
      <c r="J563" s="25" t="str">
        <f>IFERROR(__xludf.DUMMYFUNCTION("IFERROR(INDEX(FILTER('Kế hoạch chèn link (mới)'!$B$3:$B$2213,'Kế hoạch chèn link (mới)'!$D$3:$D$2213=$B563),2),"""")"),"")</f>
        <v/>
      </c>
      <c r="K563" s="25" t="str">
        <f>IFERROR(__xludf.DUMMYFUNCTION("IFERROR(INDEX(FILTER('Kế hoạch chèn link (mới)'!$C$3:$C$2213,'Kế hoạch chèn link (mới)'!$D$3:$D$2213=$B563),3),"""")"),"")</f>
        <v/>
      </c>
      <c r="L563" s="25" t="str">
        <f>IFERROR(__xludf.DUMMYFUNCTION("IFERROR(INDEX(FILTER('Kế hoạch chèn link (mới)'!$B$3:$B$2213,'Kế hoạch chèn link (mới)'!$D$3:$D$2213=$B563),3),"""")"),"")</f>
        <v/>
      </c>
      <c r="M563" s="25" t="str">
        <f>IFERROR(__xludf.DUMMYFUNCTION("IFERROR(INDEX(FILTER('Kế hoạch chèn link (mới)'!$C$3:$C$2213,'Kế hoạch chèn link (mới)'!$D$3:$D$2213=$B563),4),"""")"),"")</f>
        <v/>
      </c>
      <c r="N563" s="25" t="str">
        <f>IFERROR(__xludf.DUMMYFUNCTION("IFERROR(INDEX(FILTER('Kế hoạch chèn link (mới)'!$B$3:$B$2213,'Kế hoạch chèn link (mới)'!$D$3:$D$2213=$B563),4),"""")"),"")</f>
        <v/>
      </c>
      <c r="O563" s="25" t="str">
        <f>IFERROR(__xludf.DUMMYFUNCTION("IFERROR(INDEX(FILTER('Kế hoạch chèn link (mới)'!$C$3:$C$2213,'Kế hoạch chèn link (mới)'!$D$3:$D$2213=$B563),5),"""")"),"")</f>
        <v/>
      </c>
      <c r="P563" s="25" t="str">
        <f>IFERROR(__xludf.DUMMYFUNCTION("IFERROR(INDEX(FILTER('Kế hoạch chèn link (mới)'!$B$3:$B$2213,'Kế hoạch chèn link (mới)'!$D$3:$D$2213=$B563),5),"""")"),"")</f>
        <v/>
      </c>
    </row>
    <row r="564">
      <c r="A564" s="6">
        <f t="shared" si="1"/>
        <v>563</v>
      </c>
      <c r="B564" s="8" t="s">
        <v>2405</v>
      </c>
      <c r="C564" s="6">
        <f>COUNTIF('Kế hoạch chèn link (mới)'!$D$3:$D$2213,$B564)</f>
        <v>3</v>
      </c>
      <c r="D564" s="8" t="str">
        <f>IF(COUNTIFS('Kế hoạch chèn link (mới)'!$D$3:$D$2213,$B564,'Kế hoạch chèn link (mới)'!$I$3:$I$2213,"Đã chèn")&gt;=$C564,"Đã hoàn thành",IF(COUNTIFS('Kế hoạch chèn link (mới)'!$D$3:$D$2213,$B564,'Kế hoạch chèn link (mới)'!$I$3:$I$2213,"Đã chèn")&gt;0,"Đang làm","Chưa hoàn thành"))</f>
        <v>Chưa hoàn thành</v>
      </c>
      <c r="E564" s="8" t="b">
        <f t="shared" si="2"/>
        <v>0</v>
      </c>
      <c r="F564" s="25"/>
      <c r="G564" s="25" t="str">
        <f>IFERROR(__xludf.DUMMYFUNCTION("IFERROR(INDEX(FILTER('Kế hoạch chèn link (mới)'!$C$3:$C$2213,'Kế hoạch chèn link (mới)'!$D$3:$D$2213=$B564),1),"""")"),"sao kê tài khoản ngân hàng")</f>
        <v>sao kê tài khoản ngân hàng</v>
      </c>
      <c r="H564" s="25" t="str">
        <f>IFERROR(__xludf.DUMMYFUNCTION("IFERROR(INDEX(FILTER('Kế hoạch chèn link (mới)'!$B$3:$B$2213,'Kế hoạch chèn link (mới)'!$D$3:$D$2213=$B564),1),"""")"),"https://techcombank.com/thong-tin/blog/cach-sao-ke-tai-khoan-ngan-hang")</f>
        <v>https://techcombank.com/thong-tin/blog/cach-sao-ke-tai-khoan-ngan-hang</v>
      </c>
      <c r="I564" s="25" t="str">
        <f>IFERROR(__xludf.DUMMYFUNCTION("IFERROR(INDEX(FILTER('Kế hoạch chèn link (mới)'!$C$3:$C$2213,'Kế hoạch chèn link (mới)'!$D$3:$D$2213=$B564),2),"""")"),"rút tiền không cần thẻ")</f>
        <v>rút tiền không cần thẻ</v>
      </c>
      <c r="J564" s="25" t="str">
        <f>IFERROR(__xludf.DUMMYFUNCTION("IFERROR(INDEX(FILTER('Kế hoạch chèn link (mới)'!$B$3:$B$2213,'Kế hoạch chèn link (mới)'!$D$3:$D$2213=$B564),2),"""")"),"https://techcombank.com/thong-tin/blog/rut-tien-bang-ma-qr-la-gi-cach-thuc-hien-nhu-the-nao")</f>
        <v>https://techcombank.com/thong-tin/blog/rut-tien-bang-ma-qr-la-gi-cach-thuc-hien-nhu-the-nao</v>
      </c>
      <c r="K564" s="25" t="str">
        <f>IFERROR(__xludf.DUMMYFUNCTION("IFERROR(INDEX(FILTER('Kế hoạch chèn link (mới)'!$C$3:$C$2213,'Kế hoạch chèn link (mới)'!$D$3:$D$2213=$B564),3),"""")"),"rút tiền thẻ tín dụng")</f>
        <v>rút tiền thẻ tín dụng</v>
      </c>
      <c r="L564" s="25" t="str">
        <f>IFERROR(__xludf.DUMMYFUNCTION("IFERROR(INDEX(FILTER('Kế hoạch chèn link (mới)'!$B$3:$B$2213,'Kế hoạch chèn link (mới)'!$D$3:$D$2213=$B564),3),"""")"),"https://techcombank.com/thong-tin/blog/rut-tien-mat-tu-the-tin-dung")</f>
        <v>https://techcombank.com/thong-tin/blog/rut-tien-mat-tu-the-tin-dung</v>
      </c>
      <c r="M564" s="25" t="str">
        <f>IFERROR(__xludf.DUMMYFUNCTION("IFERROR(INDEX(FILTER('Kế hoạch chèn link (mới)'!$C$3:$C$2213,'Kế hoạch chèn link (mới)'!$D$3:$D$2213=$B564),4),"""")"),"")</f>
        <v/>
      </c>
      <c r="N564" s="25" t="str">
        <f>IFERROR(__xludf.DUMMYFUNCTION("IFERROR(INDEX(FILTER('Kế hoạch chèn link (mới)'!$B$3:$B$2213,'Kế hoạch chèn link (mới)'!$D$3:$D$2213=$B564),4),"""")"),"")</f>
        <v/>
      </c>
      <c r="O564" s="25" t="str">
        <f>IFERROR(__xludf.DUMMYFUNCTION("IFERROR(INDEX(FILTER('Kế hoạch chèn link (mới)'!$C$3:$C$2213,'Kế hoạch chèn link (mới)'!$D$3:$D$2213=$B564),5),"""")"),"")</f>
        <v/>
      </c>
      <c r="P564" s="25" t="str">
        <f>IFERROR(__xludf.DUMMYFUNCTION("IFERROR(INDEX(FILTER('Kế hoạch chèn link (mới)'!$B$3:$B$2213,'Kế hoạch chèn link (mới)'!$D$3:$D$2213=$B564),5),"""")"),"")</f>
        <v/>
      </c>
    </row>
    <row r="565">
      <c r="A565" s="6">
        <f t="shared" si="1"/>
        <v>564</v>
      </c>
      <c r="B565" s="8" t="s">
        <v>3176</v>
      </c>
      <c r="C565" s="6">
        <f>COUNTIF('Kế hoạch chèn link (mới)'!$D$3:$D$2213,$B565)</f>
        <v>1</v>
      </c>
      <c r="D565" s="8" t="str">
        <f>IF(COUNTIFS('Kế hoạch chèn link (mới)'!$D$3:$D$2213,$B565,'Kế hoạch chèn link (mới)'!$I$3:$I$2213,"Đã chèn")&gt;=$C565,"Đã hoàn thành",IF(COUNTIFS('Kế hoạch chèn link (mới)'!$D$3:$D$2213,$B565,'Kế hoạch chèn link (mới)'!$I$3:$I$2213,"Đã chèn")&gt;0,"Đang làm","Chưa hoàn thành"))</f>
        <v>Chưa hoàn thành</v>
      </c>
      <c r="E565" s="8" t="b">
        <f t="shared" si="2"/>
        <v>0</v>
      </c>
      <c r="F565" s="25"/>
      <c r="G565" s="25" t="str">
        <f>IFERROR(__xludf.DUMMYFUNCTION("IFERROR(INDEX(FILTER('Kế hoạch chèn link (mới)'!$C$3:$C$2213,'Kế hoạch chèn link (mới)'!$D$3:$D$2213=$B565),1),"""")"),"eco card")</f>
        <v>eco card</v>
      </c>
      <c r="H565" s="25" t="str">
        <f>IFERROR(__xludf.DUMMYFUNCTION("IFERROR(INDEX(FILTER('Kế hoạch chèn link (mới)'!$B$3:$B$2213,'Kế hoạch chèn link (mới)'!$D$3:$D$2213=$B565),1),"""")"),"https://techcombank.com/thong-tin/blog/eco-card")</f>
        <v>https://techcombank.com/thong-tin/blog/eco-card</v>
      </c>
      <c r="I565" s="25" t="str">
        <f>IFERROR(__xludf.DUMMYFUNCTION("IFERROR(INDEX(FILTER('Kế hoạch chèn link (mới)'!$C$3:$C$2213,'Kế hoạch chèn link (mới)'!$D$3:$D$2213=$B565),2),"""")"),"")</f>
        <v/>
      </c>
      <c r="J565" s="25" t="str">
        <f>IFERROR(__xludf.DUMMYFUNCTION("IFERROR(INDEX(FILTER('Kế hoạch chèn link (mới)'!$B$3:$B$2213,'Kế hoạch chèn link (mới)'!$D$3:$D$2213=$B565),2),"""")"),"")</f>
        <v/>
      </c>
      <c r="K565" s="25" t="str">
        <f>IFERROR(__xludf.DUMMYFUNCTION("IFERROR(INDEX(FILTER('Kế hoạch chèn link (mới)'!$C$3:$C$2213,'Kế hoạch chèn link (mới)'!$D$3:$D$2213=$B565),3),"""")"),"")</f>
        <v/>
      </c>
      <c r="L565" s="25" t="str">
        <f>IFERROR(__xludf.DUMMYFUNCTION("IFERROR(INDEX(FILTER('Kế hoạch chèn link (mới)'!$B$3:$B$2213,'Kế hoạch chèn link (mới)'!$D$3:$D$2213=$B565),3),"""")"),"")</f>
        <v/>
      </c>
      <c r="M565" s="25" t="str">
        <f>IFERROR(__xludf.DUMMYFUNCTION("IFERROR(INDEX(FILTER('Kế hoạch chèn link (mới)'!$C$3:$C$2213,'Kế hoạch chèn link (mới)'!$D$3:$D$2213=$B565),4),"""")"),"")</f>
        <v/>
      </c>
      <c r="N565" s="25" t="str">
        <f>IFERROR(__xludf.DUMMYFUNCTION("IFERROR(INDEX(FILTER('Kế hoạch chèn link (mới)'!$B$3:$B$2213,'Kế hoạch chèn link (mới)'!$D$3:$D$2213=$B565),4),"""")"),"")</f>
        <v/>
      </c>
      <c r="O565" s="25" t="str">
        <f>IFERROR(__xludf.DUMMYFUNCTION("IFERROR(INDEX(FILTER('Kế hoạch chèn link (mới)'!$C$3:$C$2213,'Kế hoạch chèn link (mới)'!$D$3:$D$2213=$B565),5),"""")"),"")</f>
        <v/>
      </c>
      <c r="P565" s="25" t="str">
        <f>IFERROR(__xludf.DUMMYFUNCTION("IFERROR(INDEX(FILTER('Kế hoạch chèn link (mới)'!$B$3:$B$2213,'Kế hoạch chèn link (mới)'!$D$3:$D$2213=$B565),5),"""")"),"")</f>
        <v/>
      </c>
    </row>
    <row r="566">
      <c r="A566" s="6">
        <f t="shared" si="1"/>
        <v>565</v>
      </c>
      <c r="B566" s="8" t="s">
        <v>3177</v>
      </c>
      <c r="C566" s="6">
        <f>COUNTIF('Kế hoạch chèn link (mới)'!$D$3:$D$2213,$B566)</f>
        <v>1</v>
      </c>
      <c r="D566" s="8" t="str">
        <f>IF(COUNTIFS('Kế hoạch chèn link (mới)'!$D$3:$D$2213,$B566,'Kế hoạch chèn link (mới)'!$I$3:$I$2213,"Đã chèn")&gt;=$C566,"Đã hoàn thành",IF(COUNTIFS('Kế hoạch chèn link (mới)'!$D$3:$D$2213,$B566,'Kế hoạch chèn link (mới)'!$I$3:$I$2213,"Đã chèn")&gt;0,"Đang làm","Chưa hoàn thành"))</f>
        <v>Chưa hoàn thành</v>
      </c>
      <c r="E566" s="8" t="b">
        <f t="shared" si="2"/>
        <v>0</v>
      </c>
      <c r="F566" s="25"/>
      <c r="G566" s="25" t="str">
        <f>IFERROR(__xludf.DUMMYFUNCTION("IFERROR(INDEX(FILTER('Kế hoạch chèn link (mới)'!$C$3:$C$2213,'Kế hoạch chèn link (mới)'!$D$3:$D$2213=$B566),1),"""")"),"nhận tiền từ nước ngoài")</f>
        <v>nhận tiền từ nước ngoài</v>
      </c>
      <c r="H566" s="25" t="str">
        <f>IFERROR(__xludf.DUMMYFUNCTION("IFERROR(INDEX(FILTER('Kế hoạch chèn link (mới)'!$B$3:$B$2213,'Kế hoạch chèn link (mới)'!$D$3:$D$2213=$B566),1),"""")"),"https://techcombank.com/thong-tin/blog/cach-nhan-tien-tu-nuoc-ngoai-ve-viet-nam")</f>
        <v>https://techcombank.com/thong-tin/blog/cach-nhan-tien-tu-nuoc-ngoai-ve-viet-nam</v>
      </c>
      <c r="I566" s="25" t="str">
        <f>IFERROR(__xludf.DUMMYFUNCTION("IFERROR(INDEX(FILTER('Kế hoạch chèn link (mới)'!$C$3:$C$2213,'Kế hoạch chèn link (mới)'!$D$3:$D$2213=$B566),2),"""")"),"")</f>
        <v/>
      </c>
      <c r="J566" s="25" t="str">
        <f>IFERROR(__xludf.DUMMYFUNCTION("IFERROR(INDEX(FILTER('Kế hoạch chèn link (mới)'!$B$3:$B$2213,'Kế hoạch chèn link (mới)'!$D$3:$D$2213=$B566),2),"""")"),"")</f>
        <v/>
      </c>
      <c r="K566" s="25" t="str">
        <f>IFERROR(__xludf.DUMMYFUNCTION("IFERROR(INDEX(FILTER('Kế hoạch chèn link (mới)'!$C$3:$C$2213,'Kế hoạch chèn link (mới)'!$D$3:$D$2213=$B566),3),"""")"),"")</f>
        <v/>
      </c>
      <c r="L566" s="25" t="str">
        <f>IFERROR(__xludf.DUMMYFUNCTION("IFERROR(INDEX(FILTER('Kế hoạch chèn link (mới)'!$B$3:$B$2213,'Kế hoạch chèn link (mới)'!$D$3:$D$2213=$B566),3),"""")"),"")</f>
        <v/>
      </c>
      <c r="M566" s="25" t="str">
        <f>IFERROR(__xludf.DUMMYFUNCTION("IFERROR(INDEX(FILTER('Kế hoạch chèn link (mới)'!$C$3:$C$2213,'Kế hoạch chèn link (mới)'!$D$3:$D$2213=$B566),4),"""")"),"")</f>
        <v/>
      </c>
      <c r="N566" s="25" t="str">
        <f>IFERROR(__xludf.DUMMYFUNCTION("IFERROR(INDEX(FILTER('Kế hoạch chèn link (mới)'!$B$3:$B$2213,'Kế hoạch chèn link (mới)'!$D$3:$D$2213=$B566),4),"""")"),"")</f>
        <v/>
      </c>
      <c r="O566" s="25" t="str">
        <f>IFERROR(__xludf.DUMMYFUNCTION("IFERROR(INDEX(FILTER('Kế hoạch chèn link (mới)'!$C$3:$C$2213,'Kế hoạch chèn link (mới)'!$D$3:$D$2213=$B566),5),"""")"),"")</f>
        <v/>
      </c>
      <c r="P566" s="25" t="str">
        <f>IFERROR(__xludf.DUMMYFUNCTION("IFERROR(INDEX(FILTER('Kế hoạch chèn link (mới)'!$B$3:$B$2213,'Kế hoạch chèn link (mới)'!$D$3:$D$2213=$B566),5),"""")"),"")</f>
        <v/>
      </c>
    </row>
    <row r="567">
      <c r="A567" s="6">
        <f t="shared" si="1"/>
        <v>566</v>
      </c>
      <c r="B567" s="8" t="s">
        <v>3178</v>
      </c>
      <c r="C567" s="6">
        <f>COUNTIF('Kế hoạch chèn link (mới)'!$D$3:$D$2213,$B567)</f>
        <v>4</v>
      </c>
      <c r="D567" s="8" t="str">
        <f>IF(COUNTIFS('Kế hoạch chèn link (mới)'!$D$3:$D$2213,$B567,'Kế hoạch chèn link (mới)'!$I$3:$I$2213,"Đã chèn")&gt;=$C567,"Đã hoàn thành",IF(COUNTIFS('Kế hoạch chèn link (mới)'!$D$3:$D$2213,$B567,'Kế hoạch chèn link (mới)'!$I$3:$I$2213,"Đã chèn")&gt;0,"Đang làm","Chưa hoàn thành"))</f>
        <v>Chưa hoàn thành</v>
      </c>
      <c r="E567" s="8" t="b">
        <f t="shared" si="2"/>
        <v>0</v>
      </c>
      <c r="F567" s="25"/>
      <c r="G567" s="25" t="str">
        <f>IFERROR(__xludf.DUMMYFUNCTION("IFERROR(INDEX(FILTER('Kế hoạch chèn link (mới)'!$C$3:$C$2213,'Kế hoạch chèn link (mới)'!$D$3:$D$2213=$B567),1),"""")"),"thẻ tín dụng Techcombank Everyday")</f>
        <v>thẻ tín dụng Techcombank Everyday</v>
      </c>
      <c r="H567" s="25" t="str">
        <f>IFERROR(__xludf.DUMMYFUNCTION("IFERROR(INDEX(FILTER('Kế hoạch chèn link (mới)'!$B$3:$B$2213,'Kế hoạch chèn link (mới)'!$D$3:$D$2213=$B567),1),"""")"),"https://techcombank.com/khach-hang-ca-nhan/chi-tieu/the/the-tin-dung/techcombank-everyday")</f>
        <v>https://techcombank.com/khach-hang-ca-nhan/chi-tieu/the/the-tin-dung/techcombank-everyday</v>
      </c>
      <c r="I567" s="25" t="str">
        <f>IFERROR(__xludf.DUMMYFUNCTION("IFERROR(INDEX(FILTER('Kế hoạch chèn link (mới)'!$C$3:$C$2213,'Kế hoạch chèn link (mới)'!$D$3:$D$2213=$B567),2),"""")"),"thẻ hoàn tiền")</f>
        <v>thẻ hoàn tiền</v>
      </c>
      <c r="J567" s="25" t="str">
        <f>IFERROR(__xludf.DUMMYFUNCTION("IFERROR(INDEX(FILTER('Kế hoạch chèn link (mới)'!$B$3:$B$2213,'Kế hoạch chèn link (mới)'!$D$3:$D$2213=$B567),2),"""")"),"https://techcombank.com/thong-tin/blog/the-tin-dung-hoan-tien")</f>
        <v>https://techcombank.com/thong-tin/blog/the-tin-dung-hoan-tien</v>
      </c>
      <c r="K567" s="25" t="str">
        <f>IFERROR(__xludf.DUMMYFUNCTION("IFERROR(INDEX(FILTER('Kế hoạch chèn link (mới)'!$C$3:$C$2213,'Kế hoạch chèn link (mới)'!$D$3:$D$2213=$B567),3),"""")"),"cách hủy thẻ tín dụng")</f>
        <v>cách hủy thẻ tín dụng</v>
      </c>
      <c r="L567" s="25" t="str">
        <f>IFERROR(__xludf.DUMMYFUNCTION("IFERROR(INDEX(FILTER('Kế hoạch chèn link (mới)'!$B$3:$B$2213,'Kế hoạch chèn link (mới)'!$D$3:$D$2213=$B567),3),"""")"),"https://techcombank.com/thong-tin/blog/cach-huy-the-tin-dung")</f>
        <v>https://techcombank.com/thong-tin/blog/cach-huy-the-tin-dung</v>
      </c>
      <c r="M567" s="25" t="str">
        <f>IFERROR(__xludf.DUMMYFUNCTION("IFERROR(INDEX(FILTER('Kế hoạch chèn link (mới)'!$C$3:$C$2213,'Kế hoạch chèn link (mới)'!$D$3:$D$2213=$B567),4),"""")"),"thanh toán dư nợ thẻ tín dụng")</f>
        <v>thanh toán dư nợ thẻ tín dụng</v>
      </c>
      <c r="N567" s="25" t="str">
        <f>IFERROR(__xludf.DUMMYFUNCTION("IFERROR(INDEX(FILTER('Kế hoạch chèn link (mới)'!$B$3:$B$2213,'Kế hoạch chèn link (mới)'!$D$3:$D$2213=$B567),4),"""")"),"https://techcombank.com/thong-tin/blog/cach-thanh-toan-the-tin-dung")</f>
        <v>https://techcombank.com/thong-tin/blog/cach-thanh-toan-the-tin-dung</v>
      </c>
      <c r="O567" s="25" t="str">
        <f>IFERROR(__xludf.DUMMYFUNCTION("IFERROR(INDEX(FILTER('Kế hoạch chèn link (mới)'!$C$3:$C$2213,'Kế hoạch chèn link (mới)'!$D$3:$D$2213=$B567),5),"""")"),"")</f>
        <v/>
      </c>
      <c r="P567" s="25" t="str">
        <f>IFERROR(__xludf.DUMMYFUNCTION("IFERROR(INDEX(FILTER('Kế hoạch chèn link (mới)'!$B$3:$B$2213,'Kế hoạch chèn link (mới)'!$D$3:$D$2213=$B567),5),"""")"),"")</f>
        <v/>
      </c>
    </row>
    <row r="568">
      <c r="A568" s="6">
        <f t="shared" si="1"/>
        <v>567</v>
      </c>
      <c r="B568" s="8" t="s">
        <v>2207</v>
      </c>
      <c r="C568" s="6">
        <f>COUNTIF('Kế hoạch chèn link (mới)'!$D$3:$D$2213,$B568)</f>
        <v>4</v>
      </c>
      <c r="D568" s="8" t="str">
        <f>IF(COUNTIFS('Kế hoạch chèn link (mới)'!$D$3:$D$2213,$B568,'Kế hoạch chèn link (mới)'!$I$3:$I$2213,"Đã chèn")&gt;=$C568,"Đã hoàn thành",IF(COUNTIFS('Kế hoạch chèn link (mới)'!$D$3:$D$2213,$B568,'Kế hoạch chèn link (mới)'!$I$3:$I$2213,"Đã chèn")&gt;0,"Đang làm","Chưa hoàn thành"))</f>
        <v>Chưa hoàn thành</v>
      </c>
      <c r="E568" s="8" t="b">
        <f t="shared" si="2"/>
        <v>0</v>
      </c>
      <c r="F568" s="25"/>
      <c r="G568" s="25" t="str">
        <f>IFERROR(__xludf.DUMMYFUNCTION("IFERROR(INDEX(FILTER('Kế hoạch chèn link (mới)'!$C$3:$C$2213,'Kế hoạch chèn link (mới)'!$D$3:$D$2213=$B568),1),"""")"),"nạp tiền vào tài khoản ngân hàng")</f>
        <v>nạp tiền vào tài khoản ngân hàng</v>
      </c>
      <c r="H568" s="25" t="str">
        <f>IFERROR(__xludf.DUMMYFUNCTION("IFERROR(INDEX(FILTER('Kế hoạch chèn link (mới)'!$B$3:$B$2213,'Kế hoạch chèn link (mới)'!$D$3:$D$2213=$B568),1),"""")"),"https://techcombank.com/thong-tin/blog/nap-tien-vao-tai-khoan-ngan-hang")</f>
        <v>https://techcombank.com/thong-tin/blog/nap-tien-vao-tai-khoan-ngan-hang</v>
      </c>
      <c r="I568" s="25" t="str">
        <f>IFERROR(__xludf.DUMMYFUNCTION("IFERROR(INDEX(FILTER('Kế hoạch chèn link (mới)'!$C$3:$C$2213,'Kế hoạch chèn link (mới)'!$D$3:$D$2213=$B568),2),"""")"),"rút tiền thẻ tín dụng")</f>
        <v>rút tiền thẻ tín dụng</v>
      </c>
      <c r="J568" s="25" t="str">
        <f>IFERROR(__xludf.DUMMYFUNCTION("IFERROR(INDEX(FILTER('Kế hoạch chèn link (mới)'!$B$3:$B$2213,'Kế hoạch chèn link (mới)'!$D$3:$D$2213=$B568),2),"""")"),"https://techcombank.com/thong-tin/blog/rut-tien-mat-tu-the-tin-dung")</f>
        <v>https://techcombank.com/thong-tin/blog/rut-tien-mat-tu-the-tin-dung</v>
      </c>
      <c r="K568" s="25" t="str">
        <f>IFERROR(__xludf.DUMMYFUNCTION("IFERROR(INDEX(FILTER('Kế hoạch chèn link (mới)'!$C$3:$C$2213,'Kế hoạch chèn link (mới)'!$D$3:$D$2213=$B568),3),"""")"),"cách tiết kiệm tiền")</f>
        <v>cách tiết kiệm tiền</v>
      </c>
      <c r="L568" s="25" t="str">
        <f>IFERROR(__xludf.DUMMYFUNCTION("IFERROR(INDEX(FILTER('Kế hoạch chèn link (mới)'!$B$3:$B$2213,'Kế hoạch chèn link (mới)'!$D$3:$D$2213=$B568),3),"""")"),"https://techcombank.com/thong-tin/blog/cach-tiet-kiem-tien")</f>
        <v>https://techcombank.com/thong-tin/blog/cach-tiet-kiem-tien</v>
      </c>
      <c r="M568" s="25" t="str">
        <f>IFERROR(__xludf.DUMMYFUNCTION("IFERROR(INDEX(FILTER('Kế hoạch chèn link (mới)'!$C$3:$C$2213,'Kế hoạch chèn link (mới)'!$D$3:$D$2213=$B568),4),"""")"),"bảng tính lãi suất tiết kiệm")</f>
        <v>bảng tính lãi suất tiết kiệm</v>
      </c>
      <c r="N568" s="25" t="str">
        <f>IFERROR(__xludf.DUMMYFUNCTION("IFERROR(INDEX(FILTER('Kế hoạch chèn link (mới)'!$B$3:$B$2213,'Kế hoạch chèn link (mới)'!$D$3:$D$2213=$B568),4),"""")"),"https://techcombank.com/cong-cu-tien-ich/cong-cu-tinh-toan/bang-tinh-lai-suat-tiet-kiem")</f>
        <v>https://techcombank.com/cong-cu-tien-ich/cong-cu-tinh-toan/bang-tinh-lai-suat-tiet-kiem</v>
      </c>
      <c r="O568" s="25" t="str">
        <f>IFERROR(__xludf.DUMMYFUNCTION("IFERROR(INDEX(FILTER('Kế hoạch chèn link (mới)'!$C$3:$C$2213,'Kế hoạch chèn link (mới)'!$D$3:$D$2213=$B568),5),"""")"),"")</f>
        <v/>
      </c>
      <c r="P568" s="25" t="str">
        <f>IFERROR(__xludf.DUMMYFUNCTION("IFERROR(INDEX(FILTER('Kế hoạch chèn link (mới)'!$B$3:$B$2213,'Kế hoạch chèn link (mới)'!$D$3:$D$2213=$B568),5),"""")"),"")</f>
        <v/>
      </c>
    </row>
    <row r="569">
      <c r="A569" s="6">
        <f t="shared" si="1"/>
        <v>568</v>
      </c>
      <c r="B569" s="8" t="s">
        <v>3009</v>
      </c>
      <c r="C569" s="6">
        <f>COUNTIF('Kế hoạch chèn link (mới)'!$D$3:$D$2213,$B569)</f>
        <v>2</v>
      </c>
      <c r="D569" s="8" t="str">
        <f>IF(COUNTIFS('Kế hoạch chèn link (mới)'!$D$3:$D$2213,$B569,'Kế hoạch chèn link (mới)'!$I$3:$I$2213,"Đã chèn")&gt;=$C569,"Đã hoàn thành",IF(COUNTIFS('Kế hoạch chèn link (mới)'!$D$3:$D$2213,$B569,'Kế hoạch chèn link (mới)'!$I$3:$I$2213,"Đã chèn")&gt;0,"Đang làm","Chưa hoàn thành"))</f>
        <v>Chưa hoàn thành</v>
      </c>
      <c r="E569" s="8" t="b">
        <f t="shared" si="2"/>
        <v>0</v>
      </c>
      <c r="F569" s="25"/>
      <c r="G569" s="25" t="str">
        <f>IFERROR(__xludf.DUMMYFUNCTION("IFERROR(INDEX(FILTER('Kế hoạch chèn link (mới)'!$C$3:$C$2213,'Kế hoạch chèn link (mới)'!$D$3:$D$2213=$B569),1),"""")"),"cách quét NFC căn cước")</f>
        <v>cách quét NFC căn cước</v>
      </c>
      <c r="H569" s="25" t="str">
        <f>IFERROR(__xludf.DUMMYFUNCTION("IFERROR(INDEX(FILTER('Kế hoạch chèn link (mới)'!$B$3:$B$2213,'Kế hoạch chèn link (mới)'!$D$3:$D$2213=$B569),1),"""")"),"https://techcombank.com/thong-tin/blog/cach-quet-nfc-cccd-tren-iphone")</f>
        <v>https://techcombank.com/thong-tin/blog/cach-quet-nfc-cccd-tren-iphone</v>
      </c>
      <c r="I569" s="25" t="str">
        <f>IFERROR(__xludf.DUMMYFUNCTION("IFERROR(INDEX(FILTER('Kế hoạch chèn link (mới)'!$C$3:$C$2213,'Kế hoạch chèn link (mới)'!$D$3:$D$2213=$B569),2),"""")"),"kiểm tra cic")</f>
        <v>kiểm tra cic</v>
      </c>
      <c r="J569" s="25" t="str">
        <f>IFERROR(__xludf.DUMMYFUNCTION("IFERROR(INDEX(FILTER('Kế hoạch chèn link (mới)'!$B$3:$B$2213,'Kế hoạch chèn link (mới)'!$D$3:$D$2213=$B569),2),"""")"),"https://techcombank.com/thong-tin/blog/cic-la-gi")</f>
        <v>https://techcombank.com/thong-tin/blog/cic-la-gi</v>
      </c>
      <c r="K569" s="25" t="str">
        <f>IFERROR(__xludf.DUMMYFUNCTION("IFERROR(INDEX(FILTER('Kế hoạch chèn link (mới)'!$C$3:$C$2213,'Kế hoạch chèn link (mới)'!$D$3:$D$2213=$B569),3),"""")"),"")</f>
        <v/>
      </c>
      <c r="L569" s="25" t="str">
        <f>IFERROR(__xludf.DUMMYFUNCTION("IFERROR(INDEX(FILTER('Kế hoạch chèn link (mới)'!$B$3:$B$2213,'Kế hoạch chèn link (mới)'!$D$3:$D$2213=$B569),3),"""")"),"")</f>
        <v/>
      </c>
      <c r="M569" s="25" t="str">
        <f>IFERROR(__xludf.DUMMYFUNCTION("IFERROR(INDEX(FILTER('Kế hoạch chèn link (mới)'!$C$3:$C$2213,'Kế hoạch chèn link (mới)'!$D$3:$D$2213=$B569),4),"""")"),"")</f>
        <v/>
      </c>
      <c r="N569" s="25" t="str">
        <f>IFERROR(__xludf.DUMMYFUNCTION("IFERROR(INDEX(FILTER('Kế hoạch chèn link (mới)'!$B$3:$B$2213,'Kế hoạch chèn link (mới)'!$D$3:$D$2213=$B569),4),"""")"),"")</f>
        <v/>
      </c>
      <c r="O569" s="25" t="str">
        <f>IFERROR(__xludf.DUMMYFUNCTION("IFERROR(INDEX(FILTER('Kế hoạch chèn link (mới)'!$C$3:$C$2213,'Kế hoạch chèn link (mới)'!$D$3:$D$2213=$B569),5),"""")"),"")</f>
        <v/>
      </c>
      <c r="P569" s="25" t="str">
        <f>IFERROR(__xludf.DUMMYFUNCTION("IFERROR(INDEX(FILTER('Kế hoạch chèn link (mới)'!$B$3:$B$2213,'Kế hoạch chèn link (mới)'!$D$3:$D$2213=$B569),5),"""")"),"")</f>
        <v/>
      </c>
    </row>
    <row r="570">
      <c r="A570" s="6">
        <f t="shared" si="1"/>
        <v>569</v>
      </c>
      <c r="B570" s="8" t="s">
        <v>3179</v>
      </c>
      <c r="C570" s="6">
        <f>COUNTIF('Kế hoạch chèn link (mới)'!$D$3:$D$2213,$B570)</f>
        <v>3</v>
      </c>
      <c r="D570" s="8" t="str">
        <f>IF(COUNTIFS('Kế hoạch chèn link (mới)'!$D$3:$D$2213,$B570,'Kế hoạch chèn link (mới)'!$I$3:$I$2213,"Đã chèn")&gt;=$C570,"Đã hoàn thành",IF(COUNTIFS('Kế hoạch chèn link (mới)'!$D$3:$D$2213,$B570,'Kế hoạch chèn link (mới)'!$I$3:$I$2213,"Đã chèn")&gt;0,"Đang làm","Chưa hoàn thành"))</f>
        <v>Chưa hoàn thành</v>
      </c>
      <c r="E570" s="8" t="b">
        <f t="shared" si="2"/>
        <v>0</v>
      </c>
      <c r="F570" s="25"/>
      <c r="G570" s="25" t="str">
        <f>IFERROR(__xludf.DUMMYFUNCTION("IFERROR(INDEX(FILTER('Kế hoạch chèn link (mới)'!$C$3:$C$2213,'Kế hoạch chèn link (mới)'!$D$3:$D$2213=$B570),1),"""")"),"lãi suất gửi tiết kiệm ngân hàng")</f>
        <v>lãi suất gửi tiết kiệm ngân hàng</v>
      </c>
      <c r="H570" s="25" t="str">
        <f>IFERROR(__xludf.DUMMYFUNCTION("IFERROR(INDEX(FILTER('Kế hoạch chèn link (mới)'!$B$3:$B$2213,'Kế hoạch chèn link (mới)'!$D$3:$D$2213=$B570),1),"""")"),"https://techcombank.com/thong-tin/blog/lai-suat-tiet-kiem")</f>
        <v>https://techcombank.com/thong-tin/blog/lai-suat-tiet-kiem</v>
      </c>
      <c r="I570" s="25" t="str">
        <f>IFERROR(__xludf.DUMMYFUNCTION("IFERROR(INDEX(FILTER('Kế hoạch chèn link (mới)'!$C$3:$C$2213,'Kế hoạch chèn link (mới)'!$D$3:$D$2213=$B570),2),"""")"),"tính lãi suất tiết kiệm")</f>
        <v>tính lãi suất tiết kiệm</v>
      </c>
      <c r="J570" s="25" t="str">
        <f>IFERROR(__xludf.DUMMYFUNCTION("IFERROR(INDEX(FILTER('Kế hoạch chèn link (mới)'!$B$3:$B$2213,'Kế hoạch chèn link (mới)'!$D$3:$D$2213=$B570),2),"""")"),"https://techcombank.com/thong-tin/blog/cach-tinh-lai-suat-tien-gui-tiet-kiem")</f>
        <v>https://techcombank.com/thong-tin/blog/cach-tinh-lai-suat-tien-gui-tiet-kiem</v>
      </c>
      <c r="K570" s="25" t="str">
        <f>IFERROR(__xludf.DUMMYFUNCTION("IFERROR(INDEX(FILTER('Kế hoạch chèn link (mới)'!$C$3:$C$2213,'Kế hoạch chèn link (mới)'!$D$3:$D$2213=$B570),3),"""")"),"cách tiết kiệm tiền")</f>
        <v>cách tiết kiệm tiền</v>
      </c>
      <c r="L570" s="25" t="str">
        <f>IFERROR(__xludf.DUMMYFUNCTION("IFERROR(INDEX(FILTER('Kế hoạch chèn link (mới)'!$B$3:$B$2213,'Kế hoạch chèn link (mới)'!$D$3:$D$2213=$B570),3),"""")"),"https://techcombank.com/thong-tin/blog/cach-tiet-kiem-tien")</f>
        <v>https://techcombank.com/thong-tin/blog/cach-tiet-kiem-tien</v>
      </c>
      <c r="M570" s="25" t="str">
        <f>IFERROR(__xludf.DUMMYFUNCTION("IFERROR(INDEX(FILTER('Kế hoạch chèn link (mới)'!$C$3:$C$2213,'Kế hoạch chèn link (mới)'!$D$3:$D$2213=$B570),4),"""")"),"")</f>
        <v/>
      </c>
      <c r="N570" s="25" t="str">
        <f>IFERROR(__xludf.DUMMYFUNCTION("IFERROR(INDEX(FILTER('Kế hoạch chèn link (mới)'!$B$3:$B$2213,'Kế hoạch chèn link (mới)'!$D$3:$D$2213=$B570),4),"""")"),"")</f>
        <v/>
      </c>
      <c r="O570" s="25" t="str">
        <f>IFERROR(__xludf.DUMMYFUNCTION("IFERROR(INDEX(FILTER('Kế hoạch chèn link (mới)'!$C$3:$C$2213,'Kế hoạch chèn link (mới)'!$D$3:$D$2213=$B570),5),"""")"),"")</f>
        <v/>
      </c>
      <c r="P570" s="25" t="str">
        <f>IFERROR(__xludf.DUMMYFUNCTION("IFERROR(INDEX(FILTER('Kế hoạch chèn link (mới)'!$B$3:$B$2213,'Kế hoạch chèn link (mới)'!$D$3:$D$2213=$B570),5),"""")"),"")</f>
        <v/>
      </c>
    </row>
    <row r="571">
      <c r="A571" s="6">
        <f t="shared" si="1"/>
        <v>570</v>
      </c>
      <c r="B571" s="8" t="s">
        <v>3180</v>
      </c>
      <c r="C571" s="6">
        <f>COUNTIF('Kế hoạch chèn link (mới)'!$D$3:$D$2213,$B571)</f>
        <v>3</v>
      </c>
      <c r="D571" s="8" t="str">
        <f>IF(COUNTIFS('Kế hoạch chèn link (mới)'!$D$3:$D$2213,$B571,'Kế hoạch chèn link (mới)'!$I$3:$I$2213,"Đã chèn")&gt;=$C571,"Đã hoàn thành",IF(COUNTIFS('Kế hoạch chèn link (mới)'!$D$3:$D$2213,$B571,'Kế hoạch chèn link (mới)'!$I$3:$I$2213,"Đã chèn")&gt;0,"Đang làm","Chưa hoàn thành"))</f>
        <v>Chưa hoàn thành</v>
      </c>
      <c r="E571" s="8" t="b">
        <f t="shared" si="2"/>
        <v>0</v>
      </c>
      <c r="F571" s="25"/>
      <c r="G571" s="25" t="str">
        <f>IFERROR(__xludf.DUMMYFUNCTION("IFERROR(INDEX(FILTER('Kế hoạch chèn link (mới)'!$C$3:$C$2213,'Kế hoạch chèn link (mới)'!$D$3:$D$2213=$B571),1),"""")"),"làm thẻ tín dụng")</f>
        <v>làm thẻ tín dụng</v>
      </c>
      <c r="H571" s="25" t="str">
        <f>IFERROR(__xludf.DUMMYFUNCTION("IFERROR(INDEX(FILTER('Kế hoạch chèn link (mới)'!$B$3:$B$2213,'Kế hoạch chèn link (mới)'!$D$3:$D$2213=$B571),1),"""")"),"https://techcombank.com/thong-tin/blog/lam-the-tin-dung")</f>
        <v>https://techcombank.com/thong-tin/blog/lam-the-tin-dung</v>
      </c>
      <c r="I571" s="25" t="str">
        <f>IFERROR(__xludf.DUMMYFUNCTION("IFERROR(INDEX(FILTER('Kế hoạch chèn link (mới)'!$C$3:$C$2213,'Kế hoạch chèn link (mới)'!$D$3:$D$2213=$B571),2),"""")"),"chứng chỉ tiền gửi")</f>
        <v>chứng chỉ tiền gửi</v>
      </c>
      <c r="J571" s="25" t="str">
        <f>IFERROR(__xludf.DUMMYFUNCTION("IFERROR(INDEX(FILTER('Kế hoạch chèn link (mới)'!$B$3:$B$2213,'Kế hoạch chèn link (mới)'!$D$3:$D$2213=$B571),2),"""")"),"https://techcombank.com/thong-tin/blog/chung-chi-tien-gui-la-gi")</f>
        <v>https://techcombank.com/thong-tin/blog/chung-chi-tien-gui-la-gi</v>
      </c>
      <c r="K571" s="25" t="str">
        <f>IFERROR(__xludf.DUMMYFUNCTION("IFERROR(INDEX(FILTER('Kế hoạch chèn link (mới)'!$C$3:$C$2213,'Kế hoạch chèn link (mới)'!$D$3:$D$2213=$B571),3),"""")"),"rút tiết kiệm trước hạn")</f>
        <v>rút tiết kiệm trước hạn</v>
      </c>
      <c r="L571" s="25" t="str">
        <f>IFERROR(__xludf.DUMMYFUNCTION("IFERROR(INDEX(FILTER('Kế hoạch chèn link (mới)'!$B$3:$B$2213,'Kế hoạch chèn link (mới)'!$D$3:$D$2213=$B571),3),"""")"),"https://techcombank.com/thong-tin/blog/rut-tien-tiet-kiem-truoc-thoi-han")</f>
        <v>https://techcombank.com/thong-tin/blog/rut-tien-tiet-kiem-truoc-thoi-han</v>
      </c>
      <c r="M571" s="25" t="str">
        <f>IFERROR(__xludf.DUMMYFUNCTION("IFERROR(INDEX(FILTER('Kế hoạch chèn link (mới)'!$C$3:$C$2213,'Kế hoạch chèn link (mới)'!$D$3:$D$2213=$B571),4),"""")"),"")</f>
        <v/>
      </c>
      <c r="N571" s="25" t="str">
        <f>IFERROR(__xludf.DUMMYFUNCTION("IFERROR(INDEX(FILTER('Kế hoạch chèn link (mới)'!$B$3:$B$2213,'Kế hoạch chèn link (mới)'!$D$3:$D$2213=$B571),4),"""")"),"")</f>
        <v/>
      </c>
      <c r="O571" s="25" t="str">
        <f>IFERROR(__xludf.DUMMYFUNCTION("IFERROR(INDEX(FILTER('Kế hoạch chèn link (mới)'!$C$3:$C$2213,'Kế hoạch chèn link (mới)'!$D$3:$D$2213=$B571),5),"""")"),"")</f>
        <v/>
      </c>
      <c r="P571" s="25" t="str">
        <f>IFERROR(__xludf.DUMMYFUNCTION("IFERROR(INDEX(FILTER('Kế hoạch chèn link (mới)'!$B$3:$B$2213,'Kế hoạch chèn link (mới)'!$D$3:$D$2213=$B571),5),"""")"),"")</f>
        <v/>
      </c>
    </row>
    <row r="572">
      <c r="A572" s="6">
        <f t="shared" si="1"/>
        <v>571</v>
      </c>
      <c r="B572" s="8" t="s">
        <v>3181</v>
      </c>
      <c r="C572" s="6">
        <f>COUNTIF('Kế hoạch chèn link (mới)'!$D$3:$D$2213,$B572)</f>
        <v>3</v>
      </c>
      <c r="D572" s="8" t="str">
        <f>IF(COUNTIFS('Kế hoạch chèn link (mới)'!$D$3:$D$2213,$B572,'Kế hoạch chèn link (mới)'!$I$3:$I$2213,"Đã chèn")&gt;=$C572,"Đã hoàn thành",IF(COUNTIFS('Kế hoạch chèn link (mới)'!$D$3:$D$2213,$B572,'Kế hoạch chèn link (mới)'!$I$3:$I$2213,"Đã chèn")&gt;0,"Đang làm","Chưa hoàn thành"))</f>
        <v>Chưa hoàn thành</v>
      </c>
      <c r="E572" s="8" t="b">
        <f t="shared" si="2"/>
        <v>0</v>
      </c>
      <c r="F572" s="25"/>
      <c r="G572" s="25" t="str">
        <f>IFERROR(__xludf.DUMMYFUNCTION("IFERROR(INDEX(FILTER('Kế hoạch chèn link (mới)'!$C$3:$C$2213,'Kế hoạch chèn link (mới)'!$D$3:$D$2213=$B572),1),"""")"),"kiểm tra cic")</f>
        <v>kiểm tra cic</v>
      </c>
      <c r="H572" s="25" t="str">
        <f>IFERROR(__xludf.DUMMYFUNCTION("IFERROR(INDEX(FILTER('Kế hoạch chèn link (mới)'!$B$3:$B$2213,'Kế hoạch chèn link (mới)'!$D$3:$D$2213=$B572),1),"""")"),"https://techcombank.com/thong-tin/blog/cic-la-gi")</f>
        <v>https://techcombank.com/thong-tin/blog/cic-la-gi</v>
      </c>
      <c r="I572" s="25" t="str">
        <f>IFERROR(__xludf.DUMMYFUNCTION("IFERROR(INDEX(FILTER('Kế hoạch chèn link (mới)'!$C$3:$C$2213,'Kế hoạch chèn link (mới)'!$D$3:$D$2213=$B572),2),"""")"),"làm thẻ tín dụng")</f>
        <v>làm thẻ tín dụng</v>
      </c>
      <c r="J572" s="25" t="str">
        <f>IFERROR(__xludf.DUMMYFUNCTION("IFERROR(INDEX(FILTER('Kế hoạch chèn link (mới)'!$B$3:$B$2213,'Kế hoạch chèn link (mới)'!$D$3:$D$2213=$B572),2),"""")"),"https://techcombank.com/thong-tin/blog/lam-the-tin-dung")</f>
        <v>https://techcombank.com/thong-tin/blog/lam-the-tin-dung</v>
      </c>
      <c r="K572" s="25" t="str">
        <f>IFERROR(__xludf.DUMMYFUNCTION("IFERROR(INDEX(FILTER('Kế hoạch chèn link (mới)'!$C$3:$C$2213,'Kế hoạch chèn link (mới)'!$D$3:$D$2213=$B572),3),"""")"),"cách hủy thẻ tín dụng")</f>
        <v>cách hủy thẻ tín dụng</v>
      </c>
      <c r="L572" s="25" t="str">
        <f>IFERROR(__xludf.DUMMYFUNCTION("IFERROR(INDEX(FILTER('Kế hoạch chèn link (mới)'!$B$3:$B$2213,'Kế hoạch chèn link (mới)'!$D$3:$D$2213=$B572),3),"""")"),"https://techcombank.com/thong-tin/blog/cach-huy-the-tin-dung")</f>
        <v>https://techcombank.com/thong-tin/blog/cach-huy-the-tin-dung</v>
      </c>
      <c r="M572" s="25" t="str">
        <f>IFERROR(__xludf.DUMMYFUNCTION("IFERROR(INDEX(FILTER('Kế hoạch chèn link (mới)'!$C$3:$C$2213,'Kế hoạch chèn link (mới)'!$D$3:$D$2213=$B572),4),"""")"),"")</f>
        <v/>
      </c>
      <c r="N572" s="25" t="str">
        <f>IFERROR(__xludf.DUMMYFUNCTION("IFERROR(INDEX(FILTER('Kế hoạch chèn link (mới)'!$B$3:$B$2213,'Kế hoạch chèn link (mới)'!$D$3:$D$2213=$B572),4),"""")"),"")</f>
        <v/>
      </c>
      <c r="O572" s="25" t="str">
        <f>IFERROR(__xludf.DUMMYFUNCTION("IFERROR(INDEX(FILTER('Kế hoạch chèn link (mới)'!$C$3:$C$2213,'Kế hoạch chèn link (mới)'!$D$3:$D$2213=$B572),5),"""")"),"")</f>
        <v/>
      </c>
      <c r="P572" s="25" t="str">
        <f>IFERROR(__xludf.DUMMYFUNCTION("IFERROR(INDEX(FILTER('Kế hoạch chèn link (mới)'!$B$3:$B$2213,'Kế hoạch chèn link (mới)'!$D$3:$D$2213=$B572),5),"""")"),"")</f>
        <v/>
      </c>
    </row>
    <row r="573">
      <c r="A573" s="6">
        <f t="shared" si="1"/>
        <v>572</v>
      </c>
      <c r="B573" s="8" t="s">
        <v>3182</v>
      </c>
      <c r="C573" s="6">
        <f>COUNTIF('Kế hoạch chèn link (mới)'!$D$3:$D$2213,$B573)</f>
        <v>3</v>
      </c>
      <c r="D573" s="8" t="str">
        <f>IF(COUNTIFS('Kế hoạch chèn link (mới)'!$D$3:$D$2213,$B573,'Kế hoạch chèn link (mới)'!$I$3:$I$2213,"Đã chèn")&gt;=$C573,"Đã hoàn thành",IF(COUNTIFS('Kế hoạch chèn link (mới)'!$D$3:$D$2213,$B573,'Kế hoạch chèn link (mới)'!$I$3:$I$2213,"Đã chèn")&gt;0,"Đang làm","Chưa hoàn thành"))</f>
        <v>Chưa hoàn thành</v>
      </c>
      <c r="E573" s="8" t="b">
        <f t="shared" si="2"/>
        <v>0</v>
      </c>
      <c r="F573" s="25"/>
      <c r="G573" s="25" t="str">
        <f>IFERROR(__xludf.DUMMYFUNCTION("IFERROR(INDEX(FILTER('Kế hoạch chèn link (mới)'!$C$3:$C$2213,'Kế hoạch chèn link (mới)'!$D$3:$D$2213=$B573),1),"""")"),"cách hủy thẻ tín dụng")</f>
        <v>cách hủy thẻ tín dụng</v>
      </c>
      <c r="H573" s="25" t="str">
        <f>IFERROR(__xludf.DUMMYFUNCTION("IFERROR(INDEX(FILTER('Kế hoạch chèn link (mới)'!$B$3:$B$2213,'Kế hoạch chèn link (mới)'!$D$3:$D$2213=$B573),1),"""")"),"https://techcombank.com/thong-tin/blog/cach-huy-the-tin-dung")</f>
        <v>https://techcombank.com/thong-tin/blog/cach-huy-the-tin-dung</v>
      </c>
      <c r="I573" s="25" t="str">
        <f>IFERROR(__xludf.DUMMYFUNCTION("IFERROR(INDEX(FILTER('Kế hoạch chèn link (mới)'!$C$3:$C$2213,'Kế hoạch chèn link (mới)'!$D$3:$D$2213=$B573),2),"""")"),"nên vay tín chấp ở đâu")</f>
        <v>nên vay tín chấp ở đâu</v>
      </c>
      <c r="J573" s="25" t="str">
        <f>IFERROR(__xludf.DUMMYFUNCTION("IFERROR(INDEX(FILTER('Kế hoạch chèn link (mới)'!$B$3:$B$2213,'Kế hoạch chèn link (mới)'!$D$3:$D$2213=$B573),2),"""")"),"https://techcombank.com/thong-tin/blog/nen-vay-tin-chap-o-dau")</f>
        <v>https://techcombank.com/thong-tin/blog/nen-vay-tin-chap-o-dau</v>
      </c>
      <c r="K573" s="25" t="str">
        <f>IFERROR(__xludf.DUMMYFUNCTION("IFERROR(INDEX(FILTER('Kế hoạch chèn link (mới)'!$C$3:$C$2213,'Kế hoạch chèn link (mới)'!$D$3:$D$2213=$B573),3),"""")"),"nợ xấu")</f>
        <v>nợ xấu</v>
      </c>
      <c r="L573" s="25" t="str">
        <f>IFERROR(__xludf.DUMMYFUNCTION("IFERROR(INDEX(FILTER('Kế hoạch chèn link (mới)'!$B$3:$B$2213,'Kế hoạch chèn link (mới)'!$D$3:$D$2213=$B573),3),"""")"),"https://techcombank.com/thong-tin/blog/no-xau-la-gi")</f>
        <v>https://techcombank.com/thong-tin/blog/no-xau-la-gi</v>
      </c>
      <c r="M573" s="25" t="str">
        <f>IFERROR(__xludf.DUMMYFUNCTION("IFERROR(INDEX(FILTER('Kế hoạch chèn link (mới)'!$C$3:$C$2213,'Kế hoạch chèn link (mới)'!$D$3:$D$2213=$B573),4),"""")"),"")</f>
        <v/>
      </c>
      <c r="N573" s="25" t="str">
        <f>IFERROR(__xludf.DUMMYFUNCTION("IFERROR(INDEX(FILTER('Kế hoạch chèn link (mới)'!$B$3:$B$2213,'Kế hoạch chèn link (mới)'!$D$3:$D$2213=$B573),4),"""")"),"")</f>
        <v/>
      </c>
      <c r="O573" s="25" t="str">
        <f>IFERROR(__xludf.DUMMYFUNCTION("IFERROR(INDEX(FILTER('Kế hoạch chèn link (mới)'!$C$3:$C$2213,'Kế hoạch chèn link (mới)'!$D$3:$D$2213=$B573),5),"""")"),"")</f>
        <v/>
      </c>
      <c r="P573" s="25" t="str">
        <f>IFERROR(__xludf.DUMMYFUNCTION("IFERROR(INDEX(FILTER('Kế hoạch chèn link (mới)'!$B$3:$B$2213,'Kế hoạch chèn link (mới)'!$D$3:$D$2213=$B573),5),"""")"),"")</f>
        <v/>
      </c>
    </row>
    <row r="574">
      <c r="A574" s="6">
        <f t="shared" si="1"/>
        <v>573</v>
      </c>
      <c r="B574" s="8" t="s">
        <v>3183</v>
      </c>
      <c r="C574" s="6">
        <f>COUNTIF('Kế hoạch chèn link (mới)'!$D$3:$D$2213,$B574)</f>
        <v>1</v>
      </c>
      <c r="D574" s="8" t="str">
        <f>IF(COUNTIFS('Kế hoạch chèn link (mới)'!$D$3:$D$2213,$B574,'Kế hoạch chèn link (mới)'!$I$3:$I$2213,"Đã chèn")&gt;=$C574,"Đã hoàn thành",IF(COUNTIFS('Kế hoạch chèn link (mới)'!$D$3:$D$2213,$B574,'Kế hoạch chèn link (mới)'!$I$3:$I$2213,"Đã chèn")&gt;0,"Đang làm","Chưa hoàn thành"))</f>
        <v>Chưa hoàn thành</v>
      </c>
      <c r="E574" s="8" t="b">
        <f t="shared" si="2"/>
        <v>0</v>
      </c>
      <c r="F574" s="25"/>
      <c r="G574" s="25" t="str">
        <f>IFERROR(__xludf.DUMMYFUNCTION("IFERROR(INDEX(FILTER('Kế hoạch chèn link (mới)'!$C$3:$C$2213,'Kế hoạch chèn link (mới)'!$D$3:$D$2213=$B574),1),"""")"),"rút tiền thẻ tín dụng")</f>
        <v>rút tiền thẻ tín dụng</v>
      </c>
      <c r="H574" s="25" t="str">
        <f>IFERROR(__xludf.DUMMYFUNCTION("IFERROR(INDEX(FILTER('Kế hoạch chèn link (mới)'!$B$3:$B$2213,'Kế hoạch chèn link (mới)'!$D$3:$D$2213=$B574),1),"""")"),"https://techcombank.com/thong-tin/blog/rut-tien-mat-tu-the-tin-dung")</f>
        <v>https://techcombank.com/thong-tin/blog/rut-tien-mat-tu-the-tin-dung</v>
      </c>
      <c r="I574" s="25" t="str">
        <f>IFERROR(__xludf.DUMMYFUNCTION("IFERROR(INDEX(FILTER('Kế hoạch chèn link (mới)'!$C$3:$C$2213,'Kế hoạch chèn link (mới)'!$D$3:$D$2213=$B574),2),"""")"),"")</f>
        <v/>
      </c>
      <c r="J574" s="25" t="str">
        <f>IFERROR(__xludf.DUMMYFUNCTION("IFERROR(INDEX(FILTER('Kế hoạch chèn link (mới)'!$B$3:$B$2213,'Kế hoạch chèn link (mới)'!$D$3:$D$2213=$B574),2),"""")"),"")</f>
        <v/>
      </c>
      <c r="K574" s="25" t="str">
        <f>IFERROR(__xludf.DUMMYFUNCTION("IFERROR(INDEX(FILTER('Kế hoạch chèn link (mới)'!$C$3:$C$2213,'Kế hoạch chèn link (mới)'!$D$3:$D$2213=$B574),3),"""")"),"")</f>
        <v/>
      </c>
      <c r="L574" s="25" t="str">
        <f>IFERROR(__xludf.DUMMYFUNCTION("IFERROR(INDEX(FILTER('Kế hoạch chèn link (mới)'!$B$3:$B$2213,'Kế hoạch chèn link (mới)'!$D$3:$D$2213=$B574),3),"""")"),"")</f>
        <v/>
      </c>
      <c r="M574" s="25" t="str">
        <f>IFERROR(__xludf.DUMMYFUNCTION("IFERROR(INDEX(FILTER('Kế hoạch chèn link (mới)'!$C$3:$C$2213,'Kế hoạch chèn link (mới)'!$D$3:$D$2213=$B574),4),"""")"),"")</f>
        <v/>
      </c>
      <c r="N574" s="25" t="str">
        <f>IFERROR(__xludf.DUMMYFUNCTION("IFERROR(INDEX(FILTER('Kế hoạch chèn link (mới)'!$B$3:$B$2213,'Kế hoạch chèn link (mới)'!$D$3:$D$2213=$B574),4),"""")"),"")</f>
        <v/>
      </c>
      <c r="O574" s="25" t="str">
        <f>IFERROR(__xludf.DUMMYFUNCTION("IFERROR(INDEX(FILTER('Kế hoạch chèn link (mới)'!$C$3:$C$2213,'Kế hoạch chèn link (mới)'!$D$3:$D$2213=$B574),5),"""")"),"")</f>
        <v/>
      </c>
      <c r="P574" s="25" t="str">
        <f>IFERROR(__xludf.DUMMYFUNCTION("IFERROR(INDEX(FILTER('Kế hoạch chèn link (mới)'!$B$3:$B$2213,'Kế hoạch chèn link (mới)'!$D$3:$D$2213=$B574),5),"""")"),"")</f>
        <v/>
      </c>
    </row>
    <row r="575">
      <c r="A575" s="6">
        <f t="shared" si="1"/>
        <v>574</v>
      </c>
      <c r="B575" s="8" t="s">
        <v>3185</v>
      </c>
      <c r="C575" s="6">
        <f>COUNTIF('Kế hoạch chèn link (mới)'!$D$3:$D$2213,$B575)</f>
        <v>2</v>
      </c>
      <c r="D575" s="8" t="str">
        <f>IF(COUNTIFS('Kế hoạch chèn link (mới)'!$D$3:$D$2213,$B575,'Kế hoạch chèn link (mới)'!$I$3:$I$2213,"Đã chèn")&gt;=$C575,"Đã hoàn thành",IF(COUNTIFS('Kế hoạch chèn link (mới)'!$D$3:$D$2213,$B575,'Kế hoạch chèn link (mới)'!$I$3:$I$2213,"Đã chèn")&gt;0,"Đang làm","Chưa hoàn thành"))</f>
        <v>Chưa hoàn thành</v>
      </c>
      <c r="E575" s="8" t="b">
        <f t="shared" si="2"/>
        <v>0</v>
      </c>
      <c r="F575" s="25"/>
      <c r="G575" s="25" t="str">
        <f>IFERROR(__xludf.DUMMYFUNCTION("IFERROR(INDEX(FILTER('Kế hoạch chèn link (mới)'!$C$3:$C$2213,'Kế hoạch chèn link (mới)'!$D$3:$D$2213=$B575),1),"""")"),"rút tiền thẻ tín dụng")</f>
        <v>rút tiền thẻ tín dụng</v>
      </c>
      <c r="H575" s="25" t="str">
        <f>IFERROR(__xludf.DUMMYFUNCTION("IFERROR(INDEX(FILTER('Kế hoạch chèn link (mới)'!$B$3:$B$2213,'Kế hoạch chèn link (mới)'!$D$3:$D$2213=$B575),1),"""")"),"https://techcombank.com/thong-tin/blog/rut-tien-mat-tu-the-tin-dung")</f>
        <v>https://techcombank.com/thong-tin/blog/rut-tien-mat-tu-the-tin-dung</v>
      </c>
      <c r="I575" s="25" t="str">
        <f>IFERROR(__xludf.DUMMYFUNCTION("IFERROR(INDEX(FILTER('Kế hoạch chèn link (mới)'!$C$3:$C$2213,'Kế hoạch chèn link (mới)'!$D$3:$D$2213=$B575),2),"""")"),"hủy thẻ tín dụng")</f>
        <v>hủy thẻ tín dụng</v>
      </c>
      <c r="J575" s="25" t="str">
        <f>IFERROR(__xludf.DUMMYFUNCTION("IFERROR(INDEX(FILTER('Kế hoạch chèn link (mới)'!$B$3:$B$2213,'Kế hoạch chèn link (mới)'!$D$3:$D$2213=$B575),2),"""")"),"https://techcombank.com/thong-tin/blog/cach-huy-the-tin-dung")</f>
        <v>https://techcombank.com/thong-tin/blog/cach-huy-the-tin-dung</v>
      </c>
      <c r="K575" s="25" t="str">
        <f>IFERROR(__xludf.DUMMYFUNCTION("IFERROR(INDEX(FILTER('Kế hoạch chèn link (mới)'!$C$3:$C$2213,'Kế hoạch chèn link (mới)'!$D$3:$D$2213=$B575),3),"""")"),"")</f>
        <v/>
      </c>
      <c r="L575" s="25" t="str">
        <f>IFERROR(__xludf.DUMMYFUNCTION("IFERROR(INDEX(FILTER('Kế hoạch chèn link (mới)'!$B$3:$B$2213,'Kế hoạch chèn link (mới)'!$D$3:$D$2213=$B575),3),"""")"),"")</f>
        <v/>
      </c>
      <c r="M575" s="25" t="str">
        <f>IFERROR(__xludf.DUMMYFUNCTION("IFERROR(INDEX(FILTER('Kế hoạch chèn link (mới)'!$C$3:$C$2213,'Kế hoạch chèn link (mới)'!$D$3:$D$2213=$B575),4),"""")"),"")</f>
        <v/>
      </c>
      <c r="N575" s="25" t="str">
        <f>IFERROR(__xludf.DUMMYFUNCTION("IFERROR(INDEX(FILTER('Kế hoạch chèn link (mới)'!$B$3:$B$2213,'Kế hoạch chèn link (mới)'!$D$3:$D$2213=$B575),4),"""")"),"")</f>
        <v/>
      </c>
      <c r="O575" s="25" t="str">
        <f>IFERROR(__xludf.DUMMYFUNCTION("IFERROR(INDEX(FILTER('Kế hoạch chèn link (mới)'!$C$3:$C$2213,'Kế hoạch chèn link (mới)'!$D$3:$D$2213=$B575),5),"""")"),"")</f>
        <v/>
      </c>
      <c r="P575" s="25" t="str">
        <f>IFERROR(__xludf.DUMMYFUNCTION("IFERROR(INDEX(FILTER('Kế hoạch chèn link (mới)'!$B$3:$B$2213,'Kế hoạch chèn link (mới)'!$D$3:$D$2213=$B575),5),"""")"),"")</f>
        <v/>
      </c>
    </row>
    <row r="576">
      <c r="A576" s="6">
        <f t="shared" si="1"/>
        <v>575</v>
      </c>
      <c r="B576" s="8" t="s">
        <v>2426</v>
      </c>
      <c r="C576" s="6">
        <f>COUNTIF('Kế hoạch chèn link (mới)'!$D$3:$D$2213,$B576)</f>
        <v>5</v>
      </c>
      <c r="D576" s="8" t="str">
        <f>IF(COUNTIFS('Kế hoạch chèn link (mới)'!$D$3:$D$2213,$B576,'Kế hoạch chèn link (mới)'!$I$3:$I$2213,"Đã chèn")&gt;=$C576,"Đã hoàn thành",IF(COUNTIFS('Kế hoạch chèn link (mới)'!$D$3:$D$2213,$B576,'Kế hoạch chèn link (mới)'!$I$3:$I$2213,"Đã chèn")&gt;0,"Đang làm","Chưa hoàn thành"))</f>
        <v>Chưa hoàn thành</v>
      </c>
      <c r="E576" s="8" t="b">
        <f t="shared" si="2"/>
        <v>0</v>
      </c>
      <c r="F576" s="25"/>
      <c r="G576" s="25" t="str">
        <f>IFERROR(__xludf.DUMMYFUNCTION("IFERROR(INDEX(FILTER('Kế hoạch chèn link (mới)'!$C$3:$C$2213,'Kế hoạch chèn link (mới)'!$D$3:$D$2213=$B576),1),"""")"),"sao kê tài khoản ngân hàng")</f>
        <v>sao kê tài khoản ngân hàng</v>
      </c>
      <c r="H576" s="25" t="str">
        <f>IFERROR(__xludf.DUMMYFUNCTION("IFERROR(INDEX(FILTER('Kế hoạch chèn link (mới)'!$B$3:$B$2213,'Kế hoạch chèn link (mới)'!$D$3:$D$2213=$B576),1),"""")"),"https://techcombank.com/thong-tin/blog/cach-sao-ke-tai-khoan-ngan-hang")</f>
        <v>https://techcombank.com/thong-tin/blog/cach-sao-ke-tai-khoan-ngan-hang</v>
      </c>
      <c r="I576" s="25" t="str">
        <f>IFERROR(__xludf.DUMMYFUNCTION("IFERROR(INDEX(FILTER('Kế hoạch chèn link (mới)'!$C$3:$C$2213,'Kế hoạch chèn link (mới)'!$D$3:$D$2213=$B576),2),"""")"),"thẻ tín dụng Techcombank Everyday")</f>
        <v>thẻ tín dụng Techcombank Everyday</v>
      </c>
      <c r="J576" s="25" t="str">
        <f>IFERROR(__xludf.DUMMYFUNCTION("IFERROR(INDEX(FILTER('Kế hoạch chèn link (mới)'!$B$3:$B$2213,'Kế hoạch chèn link (mới)'!$D$3:$D$2213=$B576),2),"""")"),"https://techcombank.com/khach-hang-ca-nhan/chi-tieu/the/the-tin-dung/techcombank-everyday")</f>
        <v>https://techcombank.com/khach-hang-ca-nhan/chi-tieu/the/the-tin-dung/techcombank-everyday</v>
      </c>
      <c r="K576" s="25" t="str">
        <f>IFERROR(__xludf.DUMMYFUNCTION("IFERROR(INDEX(FILTER('Kế hoạch chèn link (mới)'!$C$3:$C$2213,'Kế hoạch chèn link (mới)'!$D$3:$D$2213=$B576),3),"""")"),"thẻ hoàn tiền")</f>
        <v>thẻ hoàn tiền</v>
      </c>
      <c r="L576" s="25" t="str">
        <f>IFERROR(__xludf.DUMMYFUNCTION("IFERROR(INDEX(FILTER('Kế hoạch chèn link (mới)'!$B$3:$B$2213,'Kế hoạch chèn link (mới)'!$D$3:$D$2213=$B576),3),"""")"),"https://techcombank.com/thong-tin/blog/the-tin-dung-hoan-tien")</f>
        <v>https://techcombank.com/thong-tin/blog/the-tin-dung-hoan-tien</v>
      </c>
      <c r="M576" s="25" t="str">
        <f>IFERROR(__xludf.DUMMYFUNCTION("IFERROR(INDEX(FILTER('Kế hoạch chèn link (mới)'!$C$3:$C$2213,'Kế hoạch chèn link (mới)'!$D$3:$D$2213=$B576),4),"""")"),"hủy thẻ tín dụng")</f>
        <v>hủy thẻ tín dụng</v>
      </c>
      <c r="N576" s="25" t="str">
        <f>IFERROR(__xludf.DUMMYFUNCTION("IFERROR(INDEX(FILTER('Kế hoạch chèn link (mới)'!$B$3:$B$2213,'Kế hoạch chèn link (mới)'!$D$3:$D$2213=$B576),4),"""")"),"https://techcombank.com/thong-tin/blog/cach-huy-the-tin-dung")</f>
        <v>https://techcombank.com/thong-tin/blog/cach-huy-the-tin-dung</v>
      </c>
      <c r="O576" s="25" t="str">
        <f>IFERROR(__xludf.DUMMYFUNCTION("IFERROR(INDEX(FILTER('Kế hoạch chèn link (mới)'!$C$3:$C$2213,'Kế hoạch chèn link (mới)'!$D$3:$D$2213=$B576),5),"""")"),"cách thanh toán thẻ tín dụng")</f>
        <v>cách thanh toán thẻ tín dụng</v>
      </c>
      <c r="P576" s="25" t="str">
        <f>IFERROR(__xludf.DUMMYFUNCTION("IFERROR(INDEX(FILTER('Kế hoạch chèn link (mới)'!$B$3:$B$2213,'Kế hoạch chèn link (mới)'!$D$3:$D$2213=$B576),5),"""")"),"https://techcombank.com/thong-tin/blog/cach-thanh-toan-the-tin-dung")</f>
        <v>https://techcombank.com/thong-tin/blog/cach-thanh-toan-the-tin-dung</v>
      </c>
    </row>
    <row r="577">
      <c r="A577" s="6">
        <f t="shared" si="1"/>
        <v>576</v>
      </c>
      <c r="B577" s="8" t="s">
        <v>3186</v>
      </c>
      <c r="C577" s="6">
        <f>COUNTIF('Kế hoạch chèn link (mới)'!$D$3:$D$2213,$B577)</f>
        <v>4</v>
      </c>
      <c r="D577" s="8" t="str">
        <f>IF(COUNTIFS('Kế hoạch chèn link (mới)'!$D$3:$D$2213,$B577,'Kế hoạch chèn link (mới)'!$I$3:$I$2213,"Đã chèn")&gt;=$C577,"Đã hoàn thành",IF(COUNTIFS('Kế hoạch chèn link (mới)'!$D$3:$D$2213,$B577,'Kế hoạch chèn link (mới)'!$I$3:$I$2213,"Đã chèn")&gt;0,"Đang làm","Chưa hoàn thành"))</f>
        <v>Chưa hoàn thành</v>
      </c>
      <c r="E577" s="8" t="b">
        <f t="shared" si="2"/>
        <v>0</v>
      </c>
      <c r="F577" s="25"/>
      <c r="G577" s="25" t="str">
        <f>IFERROR(__xludf.DUMMYFUNCTION("IFERROR(INDEX(FILTER('Kế hoạch chèn link (mới)'!$C$3:$C$2213,'Kế hoạch chèn link (mới)'!$D$3:$D$2213=$B577),1),"""")"),"làm thẻ tín dụng")</f>
        <v>làm thẻ tín dụng</v>
      </c>
      <c r="H577" s="25" t="str">
        <f>IFERROR(__xludf.DUMMYFUNCTION("IFERROR(INDEX(FILTER('Kế hoạch chèn link (mới)'!$B$3:$B$2213,'Kế hoạch chèn link (mới)'!$D$3:$D$2213=$B577),1),"""")"),"https://techcombank.com/thong-tin/blog/lam-the-tin-dung")</f>
        <v>https://techcombank.com/thong-tin/blog/lam-the-tin-dung</v>
      </c>
      <c r="I577" s="25" t="str">
        <f>IFERROR(__xludf.DUMMYFUNCTION("IFERROR(INDEX(FILTER('Kế hoạch chèn link (mới)'!$C$3:$C$2213,'Kế hoạch chèn link (mới)'!$D$3:$D$2213=$B577),2),"""")"),"thẻ tín dụng Techcombank Everyday")</f>
        <v>thẻ tín dụng Techcombank Everyday</v>
      </c>
      <c r="J577" s="25" t="str">
        <f>IFERROR(__xludf.DUMMYFUNCTION("IFERROR(INDEX(FILTER('Kế hoạch chèn link (mới)'!$B$3:$B$2213,'Kế hoạch chèn link (mới)'!$D$3:$D$2213=$B577),2),"""")"),"https://techcombank.com/khach-hang-ca-nhan/chi-tieu/the/the-tin-dung/techcombank-everyday")</f>
        <v>https://techcombank.com/khach-hang-ca-nhan/chi-tieu/the/the-tin-dung/techcombank-everyday</v>
      </c>
      <c r="K577" s="25" t="str">
        <f>IFERROR(__xludf.DUMMYFUNCTION("IFERROR(INDEX(FILTER('Kế hoạch chèn link (mới)'!$C$3:$C$2213,'Kế hoạch chèn link (mới)'!$D$3:$D$2213=$B577),3),"""")"),"hủy thẻ tín dụng")</f>
        <v>hủy thẻ tín dụng</v>
      </c>
      <c r="L577" s="25" t="str">
        <f>IFERROR(__xludf.DUMMYFUNCTION("IFERROR(INDEX(FILTER('Kế hoạch chèn link (mới)'!$B$3:$B$2213,'Kế hoạch chèn link (mới)'!$D$3:$D$2213=$B577),3),"""")"),"https://techcombank.com/thong-tin/blog/cach-huy-the-tin-dung")</f>
        <v>https://techcombank.com/thong-tin/blog/cach-huy-the-tin-dung</v>
      </c>
      <c r="M577" s="25" t="str">
        <f>IFERROR(__xludf.DUMMYFUNCTION("IFERROR(INDEX(FILTER('Kế hoạch chèn link (mới)'!$C$3:$C$2213,'Kế hoạch chèn link (mới)'!$D$3:$D$2213=$B577),4),"""")"),"trả nợ thẻ tín dụng")</f>
        <v>trả nợ thẻ tín dụng</v>
      </c>
      <c r="N577" s="25" t="str">
        <f>IFERROR(__xludf.DUMMYFUNCTION("IFERROR(INDEX(FILTER('Kế hoạch chèn link (mới)'!$B$3:$B$2213,'Kế hoạch chèn link (mới)'!$D$3:$D$2213=$B577),4),"""")"),"https://techcombank.com/thong-tin/blog/cach-thanh-toan-the-tin-dung")</f>
        <v>https://techcombank.com/thong-tin/blog/cach-thanh-toan-the-tin-dung</v>
      </c>
      <c r="O577" s="25" t="str">
        <f>IFERROR(__xludf.DUMMYFUNCTION("IFERROR(INDEX(FILTER('Kế hoạch chèn link (mới)'!$C$3:$C$2213,'Kế hoạch chèn link (mới)'!$D$3:$D$2213=$B577),5),"""")"),"")</f>
        <v/>
      </c>
      <c r="P577" s="25" t="str">
        <f>IFERROR(__xludf.DUMMYFUNCTION("IFERROR(INDEX(FILTER('Kế hoạch chèn link (mới)'!$B$3:$B$2213,'Kế hoạch chèn link (mới)'!$D$3:$D$2213=$B577),5),"""")"),"")</f>
        <v/>
      </c>
    </row>
    <row r="578">
      <c r="A578" s="6">
        <f t="shared" si="1"/>
        <v>577</v>
      </c>
      <c r="B578" s="8" t="s">
        <v>925</v>
      </c>
      <c r="C578" s="6">
        <f>COUNTIF('Kế hoạch chèn link (mới)'!$D$3:$D$2213,$B578)</f>
        <v>2</v>
      </c>
      <c r="D578" s="8" t="str">
        <f>IF(COUNTIFS('Kế hoạch chèn link (mới)'!$D$3:$D$2213,$B578,'Kế hoạch chèn link (mới)'!$I$3:$I$2213,"Đã chèn")&gt;=$C578,"Đã hoàn thành",IF(COUNTIFS('Kế hoạch chèn link (mới)'!$D$3:$D$2213,$B578,'Kế hoạch chèn link (mới)'!$I$3:$I$2213,"Đã chèn")&gt;0,"Đang làm","Chưa hoàn thành"))</f>
        <v>Chưa hoàn thành</v>
      </c>
      <c r="E578" s="8" t="b">
        <f t="shared" si="2"/>
        <v>0</v>
      </c>
      <c r="F578" s="25"/>
      <c r="G578" s="25" t="str">
        <f>IFERROR(__xludf.DUMMYFUNCTION("IFERROR(INDEX(FILTER('Kế hoạch chèn link (mới)'!$C$3:$C$2213,'Kế hoạch chèn link (mới)'!$D$3:$D$2213=$B578),1),"""")"),"thẻ Eco")</f>
        <v>thẻ Eco</v>
      </c>
      <c r="H578" s="25" t="str">
        <f>IFERROR(__xludf.DUMMYFUNCTION("IFERROR(INDEX(FILTER('Kế hoạch chèn link (mới)'!$B$3:$B$2213,'Kế hoạch chèn link (mới)'!$D$3:$D$2213=$B578),1),"""")"),"https://techcombank.com/thong-tin/blog/eco-card")</f>
        <v>https://techcombank.com/thong-tin/blog/eco-card</v>
      </c>
      <c r="I578" s="25" t="str">
        <f>IFERROR(__xludf.DUMMYFUNCTION("IFERROR(INDEX(FILTER('Kế hoạch chèn link (mới)'!$C$3:$C$2213,'Kế hoạch chèn link (mới)'!$D$3:$D$2213=$B578),2),"""")"),"cách tính lãi suất vay ngân hàng")</f>
        <v>cách tính lãi suất vay ngân hàng</v>
      </c>
      <c r="J578" s="25" t="str">
        <f>IFERROR(__xludf.DUMMYFUNCTION("IFERROR(INDEX(FILTER('Kế hoạch chèn link (mới)'!$B$3:$B$2213,'Kế hoạch chèn link (mới)'!$D$3:$D$2213=$B578),2),"""")"),"https://techcombank.com/thong-tin/blog/cach-tinh-lai-vay-ngan-hang")</f>
        <v>https://techcombank.com/thong-tin/blog/cach-tinh-lai-vay-ngan-hang</v>
      </c>
      <c r="K578" s="25" t="str">
        <f>IFERROR(__xludf.DUMMYFUNCTION("IFERROR(INDEX(FILTER('Kế hoạch chèn link (mới)'!$C$3:$C$2213,'Kế hoạch chèn link (mới)'!$D$3:$D$2213=$B578),3),"""")"),"")</f>
        <v/>
      </c>
      <c r="L578" s="25" t="str">
        <f>IFERROR(__xludf.DUMMYFUNCTION("IFERROR(INDEX(FILTER('Kế hoạch chèn link (mới)'!$B$3:$B$2213,'Kế hoạch chèn link (mới)'!$D$3:$D$2213=$B578),3),"""")"),"")</f>
        <v/>
      </c>
      <c r="M578" s="25" t="str">
        <f>IFERROR(__xludf.DUMMYFUNCTION("IFERROR(INDEX(FILTER('Kế hoạch chèn link (mới)'!$C$3:$C$2213,'Kế hoạch chèn link (mới)'!$D$3:$D$2213=$B578),4),"""")"),"")</f>
        <v/>
      </c>
      <c r="N578" s="25" t="str">
        <f>IFERROR(__xludf.DUMMYFUNCTION("IFERROR(INDEX(FILTER('Kế hoạch chèn link (mới)'!$B$3:$B$2213,'Kế hoạch chèn link (mới)'!$D$3:$D$2213=$B578),4),"""")"),"")</f>
        <v/>
      </c>
      <c r="O578" s="25" t="str">
        <f>IFERROR(__xludf.DUMMYFUNCTION("IFERROR(INDEX(FILTER('Kế hoạch chèn link (mới)'!$C$3:$C$2213,'Kế hoạch chèn link (mới)'!$D$3:$D$2213=$B578),5),"""")"),"")</f>
        <v/>
      </c>
      <c r="P578" s="25" t="str">
        <f>IFERROR(__xludf.DUMMYFUNCTION("IFERROR(INDEX(FILTER('Kế hoạch chèn link (mới)'!$B$3:$B$2213,'Kế hoạch chèn link (mới)'!$D$3:$D$2213=$B578),5),"""")"),"")</f>
        <v/>
      </c>
    </row>
    <row r="579">
      <c r="A579" s="6">
        <f t="shared" si="1"/>
        <v>578</v>
      </c>
      <c r="B579" s="8" t="s">
        <v>1463</v>
      </c>
      <c r="C579" s="6">
        <f>COUNTIF('Kế hoạch chèn link (mới)'!$D$3:$D$2213,$B579)</f>
        <v>3</v>
      </c>
      <c r="D579" s="8" t="str">
        <f>IF(COUNTIFS('Kế hoạch chèn link (mới)'!$D$3:$D$2213,$B579,'Kế hoạch chèn link (mới)'!$I$3:$I$2213,"Đã chèn")&gt;=$C579,"Đã hoàn thành",IF(COUNTIFS('Kế hoạch chèn link (mới)'!$D$3:$D$2213,$B579,'Kế hoạch chèn link (mới)'!$I$3:$I$2213,"Đã chèn")&gt;0,"Đang làm","Chưa hoàn thành"))</f>
        <v>Chưa hoàn thành</v>
      </c>
      <c r="E579" s="8" t="b">
        <f t="shared" si="2"/>
        <v>0</v>
      </c>
      <c r="F579" s="25"/>
      <c r="G579" s="25" t="str">
        <f>IFERROR(__xludf.DUMMYFUNCTION("IFERROR(INDEX(FILTER('Kế hoạch chèn link (mới)'!$C$3:$C$2213,'Kế hoạch chèn link (mới)'!$D$3:$D$2213=$B579),1),"""")"),"giá điện sinh hoạt mới nhất")</f>
        <v>giá điện sinh hoạt mới nhất</v>
      </c>
      <c r="H579" s="25" t="str">
        <f>IFERROR(__xludf.DUMMYFUNCTION("IFERROR(INDEX(FILTER('Kế hoạch chèn link (mới)'!$B$3:$B$2213,'Kế hoạch chèn link (mới)'!$D$3:$D$2213=$B579),1),"""")"),"https://techcombank.com/thong-tin/blog/cach-tinh-tien-dien-sinh-hoat")</f>
        <v>https://techcombank.com/thong-tin/blog/cach-tinh-tien-dien-sinh-hoat</v>
      </c>
      <c r="I579" s="25" t="str">
        <f>IFERROR(__xludf.DUMMYFUNCTION("IFERROR(INDEX(FILTER('Kế hoạch chèn link (mới)'!$C$3:$C$2213,'Kế hoạch chèn link (mới)'!$D$3:$D$2213=$B579),2),"""")"),"kiểm tra cic")</f>
        <v>kiểm tra cic</v>
      </c>
      <c r="J579" s="25" t="str">
        <f>IFERROR(__xludf.DUMMYFUNCTION("IFERROR(INDEX(FILTER('Kế hoạch chèn link (mới)'!$B$3:$B$2213,'Kế hoạch chèn link (mới)'!$D$3:$D$2213=$B579),2),"""")"),"https://techcombank.com/thong-tin/blog/cic-la-gi")</f>
        <v>https://techcombank.com/thong-tin/blog/cic-la-gi</v>
      </c>
      <c r="K579" s="25" t="str">
        <f>IFERROR(__xludf.DUMMYFUNCTION("IFERROR(INDEX(FILTER('Kế hoạch chèn link (mới)'!$C$3:$C$2213,'Kế hoạch chèn link (mới)'!$D$3:$D$2213=$B579),3),"""")"),"nên vay tín chấp ở đâu")</f>
        <v>nên vay tín chấp ở đâu</v>
      </c>
      <c r="L579" s="25" t="str">
        <f>IFERROR(__xludf.DUMMYFUNCTION("IFERROR(INDEX(FILTER('Kế hoạch chèn link (mới)'!$B$3:$B$2213,'Kế hoạch chèn link (mới)'!$D$3:$D$2213=$B579),3),"""")"),"https://techcombank.com/thong-tin/blog/nen-vay-tin-chap-o-dau")</f>
        <v>https://techcombank.com/thong-tin/blog/nen-vay-tin-chap-o-dau</v>
      </c>
      <c r="M579" s="25" t="str">
        <f>IFERROR(__xludf.DUMMYFUNCTION("IFERROR(INDEX(FILTER('Kế hoạch chèn link (mới)'!$C$3:$C$2213,'Kế hoạch chèn link (mới)'!$D$3:$D$2213=$B579),4),"""")"),"")</f>
        <v/>
      </c>
      <c r="N579" s="25" t="str">
        <f>IFERROR(__xludf.DUMMYFUNCTION("IFERROR(INDEX(FILTER('Kế hoạch chèn link (mới)'!$B$3:$B$2213,'Kế hoạch chèn link (mới)'!$D$3:$D$2213=$B579),4),"""")"),"")</f>
        <v/>
      </c>
      <c r="O579" s="25" t="str">
        <f>IFERROR(__xludf.DUMMYFUNCTION("IFERROR(INDEX(FILTER('Kế hoạch chèn link (mới)'!$C$3:$C$2213,'Kế hoạch chèn link (mới)'!$D$3:$D$2213=$B579),5),"""")"),"")</f>
        <v/>
      </c>
      <c r="P579" s="25" t="str">
        <f>IFERROR(__xludf.DUMMYFUNCTION("IFERROR(INDEX(FILTER('Kế hoạch chèn link (mới)'!$B$3:$B$2213,'Kế hoạch chèn link (mới)'!$D$3:$D$2213=$B579),5),"""")"),"")</f>
        <v/>
      </c>
    </row>
    <row r="580">
      <c r="A580" s="6">
        <f t="shared" si="1"/>
        <v>579</v>
      </c>
      <c r="B580" s="8" t="s">
        <v>1957</v>
      </c>
      <c r="C580" s="6">
        <f>COUNTIF('Kế hoạch chèn link (mới)'!$D$3:$D$2213,$B580)</f>
        <v>4</v>
      </c>
      <c r="D580" s="8" t="str">
        <f>IF(COUNTIFS('Kế hoạch chèn link (mới)'!$D$3:$D$2213,$B580,'Kế hoạch chèn link (mới)'!$I$3:$I$2213,"Đã chèn")&gt;=$C580,"Đã hoàn thành",IF(COUNTIFS('Kế hoạch chèn link (mới)'!$D$3:$D$2213,$B580,'Kế hoạch chèn link (mới)'!$I$3:$I$2213,"Đã chèn")&gt;0,"Đang làm","Chưa hoàn thành"))</f>
        <v>Chưa hoàn thành</v>
      </c>
      <c r="E580" s="8" t="b">
        <f t="shared" si="2"/>
        <v>0</v>
      </c>
      <c r="F580" s="25"/>
      <c r="G580" s="25" t="str">
        <f>IFERROR(__xludf.DUMMYFUNCTION("IFERROR(INDEX(FILTER('Kế hoạch chèn link (mới)'!$C$3:$C$2213,'Kế hoạch chèn link (mới)'!$D$3:$D$2213=$B580),1),"""")"),"ngân hàng uy tín")</f>
        <v>ngân hàng uy tín</v>
      </c>
      <c r="H580" s="25" t="str">
        <f>IFERROR(__xludf.DUMMYFUNCTION("IFERROR(INDEX(FILTER('Kế hoạch chèn link (mới)'!$B$3:$B$2213,'Kế hoạch chèn link (mới)'!$D$3:$D$2213=$B580),1),"""")"),"https://techcombank.com/thong-tin/blog/ngan-hang-uy-tin")</f>
        <v>https://techcombank.com/thong-tin/blog/ngan-hang-uy-tin</v>
      </c>
      <c r="I580" s="25" t="str">
        <f>IFERROR(__xludf.DUMMYFUNCTION("IFERROR(INDEX(FILTER('Kế hoạch chèn link (mới)'!$C$3:$C$2213,'Kế hoạch chèn link (mới)'!$D$3:$D$2213=$B580),2),"""")"),"sao kê tài khoản ngân hàng")</f>
        <v>sao kê tài khoản ngân hàng</v>
      </c>
      <c r="J580" s="25" t="str">
        <f>IFERROR(__xludf.DUMMYFUNCTION("IFERROR(INDEX(FILTER('Kế hoạch chèn link (mới)'!$B$3:$B$2213,'Kế hoạch chèn link (mới)'!$D$3:$D$2213=$B580),2),"""")"),"https://techcombank.com/thong-tin/blog/cach-sao-ke-tai-khoan-ngan-hang")</f>
        <v>https://techcombank.com/thong-tin/blog/cach-sao-ke-tai-khoan-ngan-hang</v>
      </c>
      <c r="K580" s="25" t="str">
        <f>IFERROR(__xludf.DUMMYFUNCTION("IFERROR(INDEX(FILTER('Kế hoạch chèn link (mới)'!$C$3:$C$2213,'Kế hoạch chèn link (mới)'!$D$3:$D$2213=$B580),3),"""")"),"kiểm tra cic")</f>
        <v>kiểm tra cic</v>
      </c>
      <c r="L580" s="25" t="str">
        <f>IFERROR(__xludf.DUMMYFUNCTION("IFERROR(INDEX(FILTER('Kế hoạch chèn link (mới)'!$B$3:$B$2213,'Kế hoạch chèn link (mới)'!$D$3:$D$2213=$B580),3),"""")"),"https://techcombank.com/thong-tin/blog/cic-la-gi")</f>
        <v>https://techcombank.com/thong-tin/blog/cic-la-gi</v>
      </c>
      <c r="M580" s="25" t="str">
        <f>IFERROR(__xludf.DUMMYFUNCTION("IFERROR(INDEX(FILTER('Kế hoạch chèn link (mới)'!$C$3:$C$2213,'Kế hoạch chèn link (mới)'!$D$3:$D$2213=$B580),4),"""")"),"thanh toán dư nợ thẻ tín dụng")</f>
        <v>thanh toán dư nợ thẻ tín dụng</v>
      </c>
      <c r="N580" s="25" t="str">
        <f>IFERROR(__xludf.DUMMYFUNCTION("IFERROR(INDEX(FILTER('Kế hoạch chèn link (mới)'!$B$3:$B$2213,'Kế hoạch chèn link (mới)'!$D$3:$D$2213=$B580),4),"""")"),"https://techcombank.com/thong-tin/blog/cach-thanh-toan-the-tin-dung")</f>
        <v>https://techcombank.com/thong-tin/blog/cach-thanh-toan-the-tin-dung</v>
      </c>
      <c r="O580" s="25" t="str">
        <f>IFERROR(__xludf.DUMMYFUNCTION("IFERROR(INDEX(FILTER('Kế hoạch chèn link (mới)'!$C$3:$C$2213,'Kế hoạch chèn link (mới)'!$D$3:$D$2213=$B580),5),"""")"),"")</f>
        <v/>
      </c>
      <c r="P580" s="25" t="str">
        <f>IFERROR(__xludf.DUMMYFUNCTION("IFERROR(INDEX(FILTER('Kế hoạch chèn link (mới)'!$B$3:$B$2213,'Kế hoạch chèn link (mới)'!$D$3:$D$2213=$B580),5),"""")"),"")</f>
        <v/>
      </c>
    </row>
    <row r="581">
      <c r="A581" s="6">
        <f t="shared" si="1"/>
        <v>580</v>
      </c>
      <c r="B581" s="8" t="s">
        <v>3188</v>
      </c>
      <c r="C581" s="6">
        <f>COUNTIF('Kế hoạch chèn link (mới)'!$D$3:$D$2213,$B581)</f>
        <v>5</v>
      </c>
      <c r="D581" s="8" t="str">
        <f>IF(COUNTIFS('Kế hoạch chèn link (mới)'!$D$3:$D$2213,$B581,'Kế hoạch chèn link (mới)'!$I$3:$I$2213,"Đã chèn")&gt;=$C581,"Đã hoàn thành",IF(COUNTIFS('Kế hoạch chèn link (mới)'!$D$3:$D$2213,$B581,'Kế hoạch chèn link (mới)'!$I$3:$I$2213,"Đã chèn")&gt;0,"Đang làm","Chưa hoàn thành"))</f>
        <v>Chưa hoàn thành</v>
      </c>
      <c r="E581" s="8" t="b">
        <f t="shared" si="2"/>
        <v>0</v>
      </c>
      <c r="F581" s="25"/>
      <c r="G581" s="25" t="str">
        <f>IFERROR(__xludf.DUMMYFUNCTION("IFERROR(INDEX(FILTER('Kế hoạch chèn link (mới)'!$C$3:$C$2213,'Kế hoạch chèn link (mới)'!$D$3:$D$2213=$B581),1),"""")"),"Techcombank Eco")</f>
        <v>Techcombank Eco</v>
      </c>
      <c r="H581" s="25" t="str">
        <f>IFERROR(__xludf.DUMMYFUNCTION("IFERROR(INDEX(FILTER('Kế hoạch chèn link (mới)'!$B$3:$B$2213,'Kế hoạch chèn link (mới)'!$D$3:$D$2213=$B581),1),"""")"),"https://techcombank.com/thong-tin/blog/eco-card")</f>
        <v>https://techcombank.com/thong-tin/blog/eco-card</v>
      </c>
      <c r="I581" s="25" t="str">
        <f>IFERROR(__xludf.DUMMYFUNCTION("IFERROR(INDEX(FILTER('Kế hoạch chèn link (mới)'!$C$3:$C$2213,'Kế hoạch chèn link (mới)'!$D$3:$D$2213=$B581),2),"""")"),"mở thẻ tín dụng")</f>
        <v>mở thẻ tín dụng</v>
      </c>
      <c r="J581" s="25" t="str">
        <f>IFERROR(__xludf.DUMMYFUNCTION("IFERROR(INDEX(FILTER('Kế hoạch chèn link (mới)'!$B$3:$B$2213,'Kế hoạch chèn link (mới)'!$D$3:$D$2213=$B581),2),"""")"),"https://techcombank.com/thong-tin/blog/lam-the-tin-dung")</f>
        <v>https://techcombank.com/thong-tin/blog/lam-the-tin-dung</v>
      </c>
      <c r="K581" s="25" t="str">
        <f>IFERROR(__xludf.DUMMYFUNCTION("IFERROR(INDEX(FILTER('Kế hoạch chèn link (mới)'!$C$3:$C$2213,'Kế hoạch chèn link (mới)'!$D$3:$D$2213=$B581),3),"""")"),"thẻ hoàn tiền")</f>
        <v>thẻ hoàn tiền</v>
      </c>
      <c r="L581" s="25" t="str">
        <f>IFERROR(__xludf.DUMMYFUNCTION("IFERROR(INDEX(FILTER('Kế hoạch chèn link (mới)'!$B$3:$B$2213,'Kế hoạch chèn link (mới)'!$D$3:$D$2213=$B581),3),"""")"),"https://techcombank.com/thong-tin/blog/the-tin-dung-hoan-tien")</f>
        <v>https://techcombank.com/thong-tin/blog/the-tin-dung-hoan-tien</v>
      </c>
      <c r="M581" s="25" t="str">
        <f>IFERROR(__xludf.DUMMYFUNCTION("IFERROR(INDEX(FILTER('Kế hoạch chèn link (mới)'!$C$3:$C$2213,'Kế hoạch chèn link (mới)'!$D$3:$D$2213=$B581),4),"""")"),"hủy thẻ tín dụng")</f>
        <v>hủy thẻ tín dụng</v>
      </c>
      <c r="N581" s="25" t="str">
        <f>IFERROR(__xludf.DUMMYFUNCTION("IFERROR(INDEX(FILTER('Kế hoạch chèn link (mới)'!$B$3:$B$2213,'Kế hoạch chèn link (mới)'!$D$3:$D$2213=$B581),4),"""")"),"https://techcombank.com/thong-tin/blog/cach-huy-the-tin-dung")</f>
        <v>https://techcombank.com/thong-tin/blog/cach-huy-the-tin-dung</v>
      </c>
      <c r="O581" s="25" t="str">
        <f>IFERROR(__xludf.DUMMYFUNCTION("IFERROR(INDEX(FILTER('Kế hoạch chèn link (mới)'!$C$3:$C$2213,'Kế hoạch chèn link (mới)'!$D$3:$D$2213=$B581),5),"""")"),"cách thanh toán thẻ tín dụng")</f>
        <v>cách thanh toán thẻ tín dụng</v>
      </c>
      <c r="P581" s="25" t="str">
        <f>IFERROR(__xludf.DUMMYFUNCTION("IFERROR(INDEX(FILTER('Kế hoạch chèn link (mới)'!$B$3:$B$2213,'Kế hoạch chèn link (mới)'!$D$3:$D$2213=$B581),5),"""")"),"https://techcombank.com/thong-tin/blog/cach-thanh-toan-the-tin-dung")</f>
        <v>https://techcombank.com/thong-tin/blog/cach-thanh-toan-the-tin-dung</v>
      </c>
    </row>
    <row r="582">
      <c r="A582" s="6">
        <f t="shared" si="1"/>
        <v>581</v>
      </c>
      <c r="B582" s="8" t="s">
        <v>3189</v>
      </c>
      <c r="C582" s="6">
        <f>COUNTIF('Kế hoạch chèn link (mới)'!$D$3:$D$2213,$B582)</f>
        <v>4</v>
      </c>
      <c r="D582" s="8" t="str">
        <f>IF(COUNTIFS('Kế hoạch chèn link (mới)'!$D$3:$D$2213,$B582,'Kế hoạch chèn link (mới)'!$I$3:$I$2213,"Đã chèn")&gt;=$C582,"Đã hoàn thành",IF(COUNTIFS('Kế hoạch chèn link (mới)'!$D$3:$D$2213,$B582,'Kế hoạch chèn link (mới)'!$I$3:$I$2213,"Đã chèn")&gt;0,"Đang làm","Chưa hoàn thành"))</f>
        <v>Chưa hoàn thành</v>
      </c>
      <c r="E582" s="8" t="b">
        <f t="shared" si="2"/>
        <v>0</v>
      </c>
      <c r="F582" s="25"/>
      <c r="G582" s="25" t="str">
        <f>IFERROR(__xludf.DUMMYFUNCTION("IFERROR(INDEX(FILTER('Kế hoạch chèn link (mới)'!$C$3:$C$2213,'Kế hoạch chèn link (mới)'!$D$3:$D$2213=$B582),1),"""")"),"Techcombank Eco")</f>
        <v>Techcombank Eco</v>
      </c>
      <c r="H582" s="25" t="str">
        <f>IFERROR(__xludf.DUMMYFUNCTION("IFERROR(INDEX(FILTER('Kế hoạch chèn link (mới)'!$B$3:$B$2213,'Kế hoạch chèn link (mới)'!$D$3:$D$2213=$B582),1),"""")"),"https://techcombank.com/thong-tin/blog/eco-card")</f>
        <v>https://techcombank.com/thong-tin/blog/eco-card</v>
      </c>
      <c r="I582" s="25" t="str">
        <f>IFERROR(__xludf.DUMMYFUNCTION("IFERROR(INDEX(FILTER('Kế hoạch chèn link (mới)'!$C$3:$C$2213,'Kế hoạch chèn link (mới)'!$D$3:$D$2213=$B582),2),"""")"),"mở thẻ tín dụng")</f>
        <v>mở thẻ tín dụng</v>
      </c>
      <c r="J582" s="25" t="str">
        <f>IFERROR(__xludf.DUMMYFUNCTION("IFERROR(INDEX(FILTER('Kế hoạch chèn link (mới)'!$B$3:$B$2213,'Kế hoạch chèn link (mới)'!$D$3:$D$2213=$B582),2),"""")"),"https://techcombank.com/thong-tin/blog/lam-the-tin-dung")</f>
        <v>https://techcombank.com/thong-tin/blog/lam-the-tin-dung</v>
      </c>
      <c r="K582" s="25" t="str">
        <f>IFERROR(__xludf.DUMMYFUNCTION("IFERROR(INDEX(FILTER('Kế hoạch chèn link (mới)'!$C$3:$C$2213,'Kế hoạch chèn link (mới)'!$D$3:$D$2213=$B582),3),"""")"),"thẻ tín dụng hoàn tiền")</f>
        <v>thẻ tín dụng hoàn tiền</v>
      </c>
      <c r="L582" s="25" t="str">
        <f>IFERROR(__xludf.DUMMYFUNCTION("IFERROR(INDEX(FILTER('Kế hoạch chèn link (mới)'!$B$3:$B$2213,'Kế hoạch chèn link (mới)'!$D$3:$D$2213=$B582),3),"""")"),"https://techcombank.com/thong-tin/blog/the-tin-dung-hoan-tien")</f>
        <v>https://techcombank.com/thong-tin/blog/the-tin-dung-hoan-tien</v>
      </c>
      <c r="M582" s="25" t="str">
        <f>IFERROR(__xludf.DUMMYFUNCTION("IFERROR(INDEX(FILTER('Kế hoạch chèn link (mới)'!$C$3:$C$2213,'Kế hoạch chèn link (mới)'!$D$3:$D$2213=$B582),4),"""")"),"cách thanh toán thẻ tín dụng")</f>
        <v>cách thanh toán thẻ tín dụng</v>
      </c>
      <c r="N582" s="25" t="str">
        <f>IFERROR(__xludf.DUMMYFUNCTION("IFERROR(INDEX(FILTER('Kế hoạch chèn link (mới)'!$B$3:$B$2213,'Kế hoạch chèn link (mới)'!$D$3:$D$2213=$B582),4),"""")"),"https://techcombank.com/thong-tin/blog/cach-thanh-toan-the-tin-dung")</f>
        <v>https://techcombank.com/thong-tin/blog/cach-thanh-toan-the-tin-dung</v>
      </c>
      <c r="O582" s="25" t="str">
        <f>IFERROR(__xludf.DUMMYFUNCTION("IFERROR(INDEX(FILTER('Kế hoạch chèn link (mới)'!$C$3:$C$2213,'Kế hoạch chèn link (mới)'!$D$3:$D$2213=$B582),5),"""")"),"")</f>
        <v/>
      </c>
      <c r="P582" s="25" t="str">
        <f>IFERROR(__xludf.DUMMYFUNCTION("IFERROR(INDEX(FILTER('Kế hoạch chèn link (mới)'!$B$3:$B$2213,'Kế hoạch chèn link (mới)'!$D$3:$D$2213=$B582),5),"""")"),"")</f>
        <v/>
      </c>
    </row>
    <row r="583">
      <c r="A583" s="6">
        <f t="shared" si="1"/>
        <v>582</v>
      </c>
      <c r="B583" s="8" t="s">
        <v>3190</v>
      </c>
      <c r="C583" s="6">
        <f>COUNTIF('Kế hoạch chèn link (mới)'!$D$3:$D$2213,$B583)</f>
        <v>3</v>
      </c>
      <c r="D583" s="8" t="str">
        <f>IF(COUNTIFS('Kế hoạch chèn link (mới)'!$D$3:$D$2213,$B583,'Kế hoạch chèn link (mới)'!$I$3:$I$2213,"Đã chèn")&gt;=$C583,"Đã hoàn thành",IF(COUNTIFS('Kế hoạch chèn link (mới)'!$D$3:$D$2213,$B583,'Kế hoạch chèn link (mới)'!$I$3:$I$2213,"Đã chèn")&gt;0,"Đang làm","Chưa hoàn thành"))</f>
        <v>Chưa hoàn thành</v>
      </c>
      <c r="E583" s="8" t="b">
        <f t="shared" si="2"/>
        <v>0</v>
      </c>
      <c r="F583" s="25"/>
      <c r="G583" s="25" t="str">
        <f>IFERROR(__xludf.DUMMYFUNCTION("IFERROR(INDEX(FILTER('Kế hoạch chèn link (mới)'!$C$3:$C$2213,'Kế hoạch chèn link (mới)'!$D$3:$D$2213=$B583),1),"""")"),"rút tiền thẻ tín dụng")</f>
        <v>rút tiền thẻ tín dụng</v>
      </c>
      <c r="H583" s="25" t="str">
        <f>IFERROR(__xludf.DUMMYFUNCTION("IFERROR(INDEX(FILTER('Kế hoạch chèn link (mới)'!$B$3:$B$2213,'Kế hoạch chèn link (mới)'!$D$3:$D$2213=$B583),1),"""")"),"https://techcombank.com/thong-tin/blog/rut-tien-mat-tu-the-tin-dung")</f>
        <v>https://techcombank.com/thong-tin/blog/rut-tien-mat-tu-the-tin-dung</v>
      </c>
      <c r="I583" s="25" t="str">
        <f>IFERROR(__xludf.DUMMYFUNCTION("IFERROR(INDEX(FILTER('Kế hoạch chèn link (mới)'!$C$3:$C$2213,'Kế hoạch chèn link (mới)'!$D$3:$D$2213=$B583),2),"""")"),"hủy thẻ tín dụng")</f>
        <v>hủy thẻ tín dụng</v>
      </c>
      <c r="J583" s="25" t="str">
        <f>IFERROR(__xludf.DUMMYFUNCTION("IFERROR(INDEX(FILTER('Kế hoạch chèn link (mới)'!$B$3:$B$2213,'Kế hoạch chèn link (mới)'!$D$3:$D$2213=$B583),2),"""")"),"https://techcombank.com/thong-tin/blog/cach-huy-the-tin-dung")</f>
        <v>https://techcombank.com/thong-tin/blog/cach-huy-the-tin-dung</v>
      </c>
      <c r="K583" s="25" t="str">
        <f>IFERROR(__xludf.DUMMYFUNCTION("IFERROR(INDEX(FILTER('Kế hoạch chèn link (mới)'!$C$3:$C$2213,'Kế hoạch chèn link (mới)'!$D$3:$D$2213=$B583),3),"""")"),"tiền Thái Lan")</f>
        <v>tiền Thái Lan</v>
      </c>
      <c r="L583" s="25" t="str">
        <f>IFERROR(__xludf.DUMMYFUNCTION("IFERROR(INDEX(FILTER('Kế hoạch chèn link (mới)'!$B$3:$B$2213,'Kế hoạch chèn link (mới)'!$D$3:$D$2213=$B583),3),"""")"),"https://techcombank.com/thong-tin/blog/tien-thai-lan")</f>
        <v>https://techcombank.com/thong-tin/blog/tien-thai-lan</v>
      </c>
      <c r="M583" s="25" t="str">
        <f>IFERROR(__xludf.DUMMYFUNCTION("IFERROR(INDEX(FILTER('Kế hoạch chèn link (mới)'!$C$3:$C$2213,'Kế hoạch chèn link (mới)'!$D$3:$D$2213=$B583),4),"""")"),"")</f>
        <v/>
      </c>
      <c r="N583" s="25" t="str">
        <f>IFERROR(__xludf.DUMMYFUNCTION("IFERROR(INDEX(FILTER('Kế hoạch chèn link (mới)'!$B$3:$B$2213,'Kế hoạch chèn link (mới)'!$D$3:$D$2213=$B583),4),"""")"),"")</f>
        <v/>
      </c>
      <c r="O583" s="25" t="str">
        <f>IFERROR(__xludf.DUMMYFUNCTION("IFERROR(INDEX(FILTER('Kế hoạch chèn link (mới)'!$C$3:$C$2213,'Kế hoạch chèn link (mới)'!$D$3:$D$2213=$B583),5),"""")"),"")</f>
        <v/>
      </c>
      <c r="P583" s="25" t="str">
        <f>IFERROR(__xludf.DUMMYFUNCTION("IFERROR(INDEX(FILTER('Kế hoạch chèn link (mới)'!$B$3:$B$2213,'Kế hoạch chèn link (mới)'!$D$3:$D$2213=$B583),5),"""")"),"")</f>
        <v/>
      </c>
    </row>
    <row r="584">
      <c r="A584" s="6">
        <f t="shared" si="1"/>
        <v>583</v>
      </c>
      <c r="B584" s="8" t="s">
        <v>3194</v>
      </c>
      <c r="C584" s="6">
        <f>COUNTIF('Kế hoạch chèn link (mới)'!$D$3:$D$2213,$B584)</f>
        <v>4</v>
      </c>
      <c r="D584" s="8" t="str">
        <f>IF(COUNTIFS('Kế hoạch chèn link (mới)'!$D$3:$D$2213,$B584,'Kế hoạch chèn link (mới)'!$I$3:$I$2213,"Đã chèn")&gt;=$C584,"Đã hoàn thành",IF(COUNTIFS('Kế hoạch chèn link (mới)'!$D$3:$D$2213,$B584,'Kế hoạch chèn link (mới)'!$I$3:$I$2213,"Đã chèn")&gt;0,"Đang làm","Chưa hoàn thành"))</f>
        <v>Chưa hoàn thành</v>
      </c>
      <c r="E584" s="8" t="b">
        <f t="shared" si="2"/>
        <v>0</v>
      </c>
      <c r="F584" s="25"/>
      <c r="G584" s="25" t="str">
        <f>IFERROR(__xludf.DUMMYFUNCTION("IFERROR(INDEX(FILTER('Kế hoạch chèn link (mới)'!$C$3:$C$2213,'Kế hoạch chèn link (mới)'!$D$3:$D$2213=$B584),1),"""")"),"mở thẻ tín dụng")</f>
        <v>mở thẻ tín dụng</v>
      </c>
      <c r="H584" s="25" t="str">
        <f>IFERROR(__xludf.DUMMYFUNCTION("IFERROR(INDEX(FILTER('Kế hoạch chèn link (mới)'!$B$3:$B$2213,'Kế hoạch chèn link (mới)'!$D$3:$D$2213=$B584),1),"""")"),"https://techcombank.com/thong-tin/blog/lam-the-tin-dung")</f>
        <v>https://techcombank.com/thong-tin/blog/lam-the-tin-dung</v>
      </c>
      <c r="I584" s="25" t="str">
        <f>IFERROR(__xludf.DUMMYFUNCTION("IFERROR(INDEX(FILTER('Kế hoạch chèn link (mới)'!$C$3:$C$2213,'Kế hoạch chèn link (mới)'!$D$3:$D$2213=$B584),2),"""")"),"cách tính lãi suất vay ngân hàng")</f>
        <v>cách tính lãi suất vay ngân hàng</v>
      </c>
      <c r="J584" s="25" t="str">
        <f>IFERROR(__xludf.DUMMYFUNCTION("IFERROR(INDEX(FILTER('Kế hoạch chèn link (mới)'!$B$3:$B$2213,'Kế hoạch chèn link (mới)'!$D$3:$D$2213=$B584),2),"""")"),"https://techcombank.com/thong-tin/blog/cach-tinh-lai-vay-ngan-hang")</f>
        <v>https://techcombank.com/thong-tin/blog/cach-tinh-lai-vay-ngan-hang</v>
      </c>
      <c r="K584" s="25" t="str">
        <f>IFERROR(__xludf.DUMMYFUNCTION("IFERROR(INDEX(FILTER('Kế hoạch chèn link (mới)'!$C$3:$C$2213,'Kế hoạch chèn link (mới)'!$D$3:$D$2213=$B584),3),"""")"),"lãi suất vay ngân hàng")</f>
        <v>lãi suất vay ngân hàng</v>
      </c>
      <c r="L584" s="25" t="str">
        <f>IFERROR(__xludf.DUMMYFUNCTION("IFERROR(INDEX(FILTER('Kế hoạch chèn link (mới)'!$B$3:$B$2213,'Kế hoạch chèn link (mới)'!$D$3:$D$2213=$B584),3),"""")"),"https://techcombank.com/thong-tin/blog/lai-suat-vay-ngan-hang")</f>
        <v>https://techcombank.com/thong-tin/blog/lai-suat-vay-ngan-hang</v>
      </c>
      <c r="M584" s="25" t="str">
        <f>IFERROR(__xludf.DUMMYFUNCTION("IFERROR(INDEX(FILTER('Kế hoạch chèn link (mới)'!$C$3:$C$2213,'Kế hoạch chèn link (mới)'!$D$3:$D$2213=$B584),4),"""")"),"nợ xấu")</f>
        <v>nợ xấu</v>
      </c>
      <c r="N584" s="25" t="str">
        <f>IFERROR(__xludf.DUMMYFUNCTION("IFERROR(INDEX(FILTER('Kế hoạch chèn link (mới)'!$B$3:$B$2213,'Kế hoạch chèn link (mới)'!$D$3:$D$2213=$B584),4),"""")"),"https://techcombank.com/thong-tin/blog/no-xau-la-gi")</f>
        <v>https://techcombank.com/thong-tin/blog/no-xau-la-gi</v>
      </c>
      <c r="O584" s="25" t="str">
        <f>IFERROR(__xludf.DUMMYFUNCTION("IFERROR(INDEX(FILTER('Kế hoạch chèn link (mới)'!$C$3:$C$2213,'Kế hoạch chèn link (mới)'!$D$3:$D$2213=$B584),5),"""")"),"")</f>
        <v/>
      </c>
      <c r="P584" s="25" t="str">
        <f>IFERROR(__xludf.DUMMYFUNCTION("IFERROR(INDEX(FILTER('Kế hoạch chèn link (mới)'!$B$3:$B$2213,'Kế hoạch chèn link (mới)'!$D$3:$D$2213=$B584),5),"""")"),"")</f>
        <v/>
      </c>
    </row>
    <row r="585">
      <c r="A585" s="6">
        <f t="shared" si="1"/>
        <v>584</v>
      </c>
      <c r="B585" s="8" t="s">
        <v>2343</v>
      </c>
      <c r="C585" s="6">
        <f>COUNTIF('Kế hoạch chèn link (mới)'!$D$3:$D$2213,$B585)</f>
        <v>5</v>
      </c>
      <c r="D585" s="8" t="str">
        <f>IF(COUNTIFS('Kế hoạch chèn link (mới)'!$D$3:$D$2213,$B585,'Kế hoạch chèn link (mới)'!$I$3:$I$2213,"Đã chèn")&gt;=$C585,"Đã hoàn thành",IF(COUNTIFS('Kế hoạch chèn link (mới)'!$D$3:$D$2213,$B585,'Kế hoạch chèn link (mới)'!$I$3:$I$2213,"Đã chèn")&gt;0,"Đang làm","Chưa hoàn thành"))</f>
        <v>Chưa hoàn thành</v>
      </c>
      <c r="E585" s="8" t="b">
        <f t="shared" si="2"/>
        <v>0</v>
      </c>
      <c r="F585" s="25"/>
      <c r="G585" s="25" t="str">
        <f>IFERROR(__xludf.DUMMYFUNCTION("IFERROR(INDEX(FILTER('Kế hoạch chèn link (mới)'!$C$3:$C$2213,'Kế hoạch chèn link (mới)'!$D$3:$D$2213=$B585),1),"""")"),"sao kê tài khoản ngân hàng")</f>
        <v>sao kê tài khoản ngân hàng</v>
      </c>
      <c r="H585" s="25" t="str">
        <f>IFERROR(__xludf.DUMMYFUNCTION("IFERROR(INDEX(FILTER('Kế hoạch chèn link (mới)'!$B$3:$B$2213,'Kế hoạch chèn link (mới)'!$D$3:$D$2213=$B585),1),"""")"),"https://techcombank.com/thong-tin/blog/cach-sao-ke-tai-khoan-ngan-hang")</f>
        <v>https://techcombank.com/thong-tin/blog/cach-sao-ke-tai-khoan-ngan-hang</v>
      </c>
      <c r="I585" s="25" t="str">
        <f>IFERROR(__xludf.DUMMYFUNCTION("IFERROR(INDEX(FILTER('Kế hoạch chèn link (mới)'!$C$3:$C$2213,'Kế hoạch chèn link (mới)'!$D$3:$D$2213=$B585),2),"""")"),"thẻ Eco")</f>
        <v>thẻ Eco</v>
      </c>
      <c r="J585" s="25" t="str">
        <f>IFERROR(__xludf.DUMMYFUNCTION("IFERROR(INDEX(FILTER('Kế hoạch chèn link (mới)'!$B$3:$B$2213,'Kế hoạch chèn link (mới)'!$D$3:$D$2213=$B585),2),"""")"),"https://techcombank.com/thong-tin/blog/eco-card")</f>
        <v>https://techcombank.com/thong-tin/blog/eco-card</v>
      </c>
      <c r="K585" s="25" t="str">
        <f>IFERROR(__xludf.DUMMYFUNCTION("IFERROR(INDEX(FILTER('Kế hoạch chèn link (mới)'!$C$3:$C$2213,'Kế hoạch chèn link (mới)'!$D$3:$D$2213=$B585),3),"""")"),"rút tiền thẻ tín dụng")</f>
        <v>rút tiền thẻ tín dụng</v>
      </c>
      <c r="L585" s="25" t="str">
        <f>IFERROR(__xludf.DUMMYFUNCTION("IFERROR(INDEX(FILTER('Kế hoạch chèn link (mới)'!$B$3:$B$2213,'Kế hoạch chèn link (mới)'!$D$3:$D$2213=$B585),3),"""")"),"https://techcombank.com/thong-tin/blog/rut-tien-mat-tu-the-tin-dung")</f>
        <v>https://techcombank.com/thong-tin/blog/rut-tien-mat-tu-the-tin-dung</v>
      </c>
      <c r="M585" s="25" t="str">
        <f>IFERROR(__xludf.DUMMYFUNCTION("IFERROR(INDEX(FILTER('Kế hoạch chèn link (mới)'!$C$3:$C$2213,'Kế hoạch chèn link (mới)'!$D$3:$D$2213=$B585),4),"""")"),"mở thẻ tín dụng")</f>
        <v>mở thẻ tín dụng</v>
      </c>
      <c r="N585" s="25" t="str">
        <f>IFERROR(__xludf.DUMMYFUNCTION("IFERROR(INDEX(FILTER('Kế hoạch chèn link (mới)'!$B$3:$B$2213,'Kế hoạch chèn link (mới)'!$D$3:$D$2213=$B585),4),"""")"),"https://techcombank.com/thong-tin/blog/lam-the-tin-dung")</f>
        <v>https://techcombank.com/thong-tin/blog/lam-the-tin-dung</v>
      </c>
      <c r="O585" s="25" t="str">
        <f>IFERROR(__xludf.DUMMYFUNCTION("IFERROR(INDEX(FILTER('Kế hoạch chèn link (mới)'!$C$3:$C$2213,'Kế hoạch chèn link (mới)'!$D$3:$D$2213=$B585),5),"""")"),"thẻ hoàn tiền")</f>
        <v>thẻ hoàn tiền</v>
      </c>
      <c r="P585" s="25" t="str">
        <f>IFERROR(__xludf.DUMMYFUNCTION("IFERROR(INDEX(FILTER('Kế hoạch chèn link (mới)'!$B$3:$B$2213,'Kế hoạch chèn link (mới)'!$D$3:$D$2213=$B585),5),"""")"),"https://techcombank.com/thong-tin/blog/the-tin-dung-hoan-tien")</f>
        <v>https://techcombank.com/thong-tin/blog/the-tin-dung-hoan-tien</v>
      </c>
    </row>
    <row r="586">
      <c r="A586" s="6">
        <f t="shared" si="1"/>
        <v>585</v>
      </c>
      <c r="B586" s="8" t="s">
        <v>3196</v>
      </c>
      <c r="C586" s="6">
        <f>COUNTIF('Kế hoạch chèn link (mới)'!$D$3:$D$2213,$B586)</f>
        <v>1</v>
      </c>
      <c r="D586" s="8" t="str">
        <f>IF(COUNTIFS('Kế hoạch chèn link (mới)'!$D$3:$D$2213,$B586,'Kế hoạch chèn link (mới)'!$I$3:$I$2213,"Đã chèn")&gt;=$C586,"Đã hoàn thành",IF(COUNTIFS('Kế hoạch chèn link (mới)'!$D$3:$D$2213,$B586,'Kế hoạch chèn link (mới)'!$I$3:$I$2213,"Đã chèn")&gt;0,"Đang làm","Chưa hoàn thành"))</f>
        <v>Chưa hoàn thành</v>
      </c>
      <c r="E586" s="8" t="b">
        <f t="shared" si="2"/>
        <v>0</v>
      </c>
      <c r="F586" s="25"/>
      <c r="G586" s="25" t="str">
        <f>IFERROR(__xludf.DUMMYFUNCTION("IFERROR(INDEX(FILTER('Kế hoạch chèn link (mới)'!$C$3:$C$2213,'Kế hoạch chèn link (mới)'!$D$3:$D$2213=$B586),1),"""")"),"thẻ Eco")</f>
        <v>thẻ Eco</v>
      </c>
      <c r="H586" s="25" t="str">
        <f>IFERROR(__xludf.DUMMYFUNCTION("IFERROR(INDEX(FILTER('Kế hoạch chèn link (mới)'!$B$3:$B$2213,'Kế hoạch chèn link (mới)'!$D$3:$D$2213=$B586),1),"""")"),"https://techcombank.com/thong-tin/blog/eco-card")</f>
        <v>https://techcombank.com/thong-tin/blog/eco-card</v>
      </c>
      <c r="I586" s="25" t="str">
        <f>IFERROR(__xludf.DUMMYFUNCTION("IFERROR(INDEX(FILTER('Kế hoạch chèn link (mới)'!$C$3:$C$2213,'Kế hoạch chèn link (mới)'!$D$3:$D$2213=$B586),2),"""")"),"")</f>
        <v/>
      </c>
      <c r="J586" s="25" t="str">
        <f>IFERROR(__xludf.DUMMYFUNCTION("IFERROR(INDEX(FILTER('Kế hoạch chèn link (mới)'!$B$3:$B$2213,'Kế hoạch chèn link (mới)'!$D$3:$D$2213=$B586),2),"""")"),"")</f>
        <v/>
      </c>
      <c r="K586" s="25" t="str">
        <f>IFERROR(__xludf.DUMMYFUNCTION("IFERROR(INDEX(FILTER('Kế hoạch chèn link (mới)'!$C$3:$C$2213,'Kế hoạch chèn link (mới)'!$D$3:$D$2213=$B586),3),"""")"),"")</f>
        <v/>
      </c>
      <c r="L586" s="25" t="str">
        <f>IFERROR(__xludf.DUMMYFUNCTION("IFERROR(INDEX(FILTER('Kế hoạch chèn link (mới)'!$B$3:$B$2213,'Kế hoạch chèn link (mới)'!$D$3:$D$2213=$B586),3),"""")"),"")</f>
        <v/>
      </c>
      <c r="M586" s="25" t="str">
        <f>IFERROR(__xludf.DUMMYFUNCTION("IFERROR(INDEX(FILTER('Kế hoạch chèn link (mới)'!$C$3:$C$2213,'Kế hoạch chèn link (mới)'!$D$3:$D$2213=$B586),4),"""")"),"")</f>
        <v/>
      </c>
      <c r="N586" s="25" t="str">
        <f>IFERROR(__xludf.DUMMYFUNCTION("IFERROR(INDEX(FILTER('Kế hoạch chèn link (mới)'!$B$3:$B$2213,'Kế hoạch chèn link (mới)'!$D$3:$D$2213=$B586),4),"""")"),"")</f>
        <v/>
      </c>
      <c r="O586" s="25" t="str">
        <f>IFERROR(__xludf.DUMMYFUNCTION("IFERROR(INDEX(FILTER('Kế hoạch chèn link (mới)'!$C$3:$C$2213,'Kế hoạch chèn link (mới)'!$D$3:$D$2213=$B586),5),"""")"),"")</f>
        <v/>
      </c>
      <c r="P586" s="25" t="str">
        <f>IFERROR(__xludf.DUMMYFUNCTION("IFERROR(INDEX(FILTER('Kế hoạch chèn link (mới)'!$B$3:$B$2213,'Kế hoạch chèn link (mới)'!$D$3:$D$2213=$B586),5),"""")"),"")</f>
        <v/>
      </c>
    </row>
    <row r="587">
      <c r="A587" s="6">
        <f t="shared" si="1"/>
        <v>586</v>
      </c>
      <c r="B587" s="8" t="s">
        <v>3198</v>
      </c>
      <c r="C587" s="6">
        <f>COUNTIF('Kế hoạch chèn link (mới)'!$D$3:$D$2213,$B587)</f>
        <v>1</v>
      </c>
      <c r="D587" s="8" t="str">
        <f>IF(COUNTIFS('Kế hoạch chèn link (mới)'!$D$3:$D$2213,$B587,'Kế hoạch chèn link (mới)'!$I$3:$I$2213,"Đã chèn")&gt;=$C587,"Đã hoàn thành",IF(COUNTIFS('Kế hoạch chèn link (mới)'!$D$3:$D$2213,$B587,'Kế hoạch chèn link (mới)'!$I$3:$I$2213,"Đã chèn")&gt;0,"Đang làm","Chưa hoàn thành"))</f>
        <v>Chưa hoàn thành</v>
      </c>
      <c r="E587" s="8" t="b">
        <f t="shared" si="2"/>
        <v>0</v>
      </c>
      <c r="F587" s="25"/>
      <c r="G587" s="25" t="str">
        <f>IFERROR(__xludf.DUMMYFUNCTION("IFERROR(INDEX(FILTER('Kế hoạch chèn link (mới)'!$C$3:$C$2213,'Kế hoạch chèn link (mới)'!$D$3:$D$2213=$B587),1),"""")"),"rút tiền thẻ tín dụng")</f>
        <v>rút tiền thẻ tín dụng</v>
      </c>
      <c r="H587" s="25" t="str">
        <f>IFERROR(__xludf.DUMMYFUNCTION("IFERROR(INDEX(FILTER('Kế hoạch chèn link (mới)'!$B$3:$B$2213,'Kế hoạch chèn link (mới)'!$D$3:$D$2213=$B587),1),"""")"),"https://techcombank.com/thong-tin/blog/rut-tien-mat-tu-the-tin-dung")</f>
        <v>https://techcombank.com/thong-tin/blog/rut-tien-mat-tu-the-tin-dung</v>
      </c>
      <c r="I587" s="25" t="str">
        <f>IFERROR(__xludf.DUMMYFUNCTION("IFERROR(INDEX(FILTER('Kế hoạch chèn link (mới)'!$C$3:$C$2213,'Kế hoạch chèn link (mới)'!$D$3:$D$2213=$B587),2),"""")"),"")</f>
        <v/>
      </c>
      <c r="J587" s="25" t="str">
        <f>IFERROR(__xludf.DUMMYFUNCTION("IFERROR(INDEX(FILTER('Kế hoạch chèn link (mới)'!$B$3:$B$2213,'Kế hoạch chèn link (mới)'!$D$3:$D$2213=$B587),2),"""")"),"")</f>
        <v/>
      </c>
      <c r="K587" s="25" t="str">
        <f>IFERROR(__xludf.DUMMYFUNCTION("IFERROR(INDEX(FILTER('Kế hoạch chèn link (mới)'!$C$3:$C$2213,'Kế hoạch chèn link (mới)'!$D$3:$D$2213=$B587),3),"""")"),"")</f>
        <v/>
      </c>
      <c r="L587" s="25" t="str">
        <f>IFERROR(__xludf.DUMMYFUNCTION("IFERROR(INDEX(FILTER('Kế hoạch chèn link (mới)'!$B$3:$B$2213,'Kế hoạch chèn link (mới)'!$D$3:$D$2213=$B587),3),"""")"),"")</f>
        <v/>
      </c>
      <c r="M587" s="25" t="str">
        <f>IFERROR(__xludf.DUMMYFUNCTION("IFERROR(INDEX(FILTER('Kế hoạch chèn link (mới)'!$C$3:$C$2213,'Kế hoạch chèn link (mới)'!$D$3:$D$2213=$B587),4),"""")"),"")</f>
        <v/>
      </c>
      <c r="N587" s="25" t="str">
        <f>IFERROR(__xludf.DUMMYFUNCTION("IFERROR(INDEX(FILTER('Kế hoạch chèn link (mới)'!$B$3:$B$2213,'Kế hoạch chèn link (mới)'!$D$3:$D$2213=$B587),4),"""")"),"")</f>
        <v/>
      </c>
      <c r="O587" s="25" t="str">
        <f>IFERROR(__xludf.DUMMYFUNCTION("IFERROR(INDEX(FILTER('Kế hoạch chèn link (mới)'!$C$3:$C$2213,'Kế hoạch chèn link (mới)'!$D$3:$D$2213=$B587),5),"""")"),"")</f>
        <v/>
      </c>
      <c r="P587" s="25" t="str">
        <f>IFERROR(__xludf.DUMMYFUNCTION("IFERROR(INDEX(FILTER('Kế hoạch chèn link (mới)'!$B$3:$B$2213,'Kế hoạch chèn link (mới)'!$D$3:$D$2213=$B587),5),"""")"),"")</f>
        <v/>
      </c>
    </row>
    <row r="588">
      <c r="A588" s="6">
        <f t="shared" si="1"/>
        <v>587</v>
      </c>
      <c r="B588" s="8" t="s">
        <v>2252</v>
      </c>
      <c r="C588" s="6">
        <f>COUNTIF('Kế hoạch chèn link (mới)'!$D$3:$D$2213,$B588)</f>
        <v>2</v>
      </c>
      <c r="D588" s="8" t="str">
        <f>IF(COUNTIFS('Kế hoạch chèn link (mới)'!$D$3:$D$2213,$B588,'Kế hoạch chèn link (mới)'!$I$3:$I$2213,"Đã chèn")&gt;=$C588,"Đã hoàn thành",IF(COUNTIFS('Kế hoạch chèn link (mới)'!$D$3:$D$2213,$B588,'Kế hoạch chèn link (mới)'!$I$3:$I$2213,"Đã chèn")&gt;0,"Đang làm","Chưa hoàn thành"))</f>
        <v>Chưa hoàn thành</v>
      </c>
      <c r="E588" s="8" t="b">
        <f t="shared" si="2"/>
        <v>0</v>
      </c>
      <c r="F588" s="25"/>
      <c r="G588" s="25" t="str">
        <f>IFERROR(__xludf.DUMMYFUNCTION("IFERROR(INDEX(FILTER('Kế hoạch chèn link (mới)'!$C$3:$C$2213,'Kế hoạch chèn link (mới)'!$D$3:$D$2213=$B588),1),"""")"),"nạp tiền vào tài khoản ngân hàng")</f>
        <v>nạp tiền vào tài khoản ngân hàng</v>
      </c>
      <c r="H588" s="25" t="str">
        <f>IFERROR(__xludf.DUMMYFUNCTION("IFERROR(INDEX(FILTER('Kế hoạch chèn link (mới)'!$B$3:$B$2213,'Kế hoạch chèn link (mới)'!$D$3:$D$2213=$B588),1),"""")"),"https://techcombank.com/thong-tin/blog/nap-tien-vao-tai-khoan-ngan-hang")</f>
        <v>https://techcombank.com/thong-tin/blog/nap-tien-vao-tai-khoan-ngan-hang</v>
      </c>
      <c r="I588" s="25" t="str">
        <f>IFERROR(__xludf.DUMMYFUNCTION("IFERROR(INDEX(FILTER('Kế hoạch chèn link (mới)'!$C$3:$C$2213,'Kế hoạch chèn link (mới)'!$D$3:$D$2213=$B588),2),"""")"),"rút tiền thẻ tín dụng")</f>
        <v>rút tiền thẻ tín dụng</v>
      </c>
      <c r="J588" s="25" t="str">
        <f>IFERROR(__xludf.DUMMYFUNCTION("IFERROR(INDEX(FILTER('Kế hoạch chèn link (mới)'!$B$3:$B$2213,'Kế hoạch chèn link (mới)'!$D$3:$D$2213=$B588),2),"""")"),"https://techcombank.com/thong-tin/blog/rut-tien-mat-tu-the-tin-dung")</f>
        <v>https://techcombank.com/thong-tin/blog/rut-tien-mat-tu-the-tin-dung</v>
      </c>
      <c r="K588" s="25" t="str">
        <f>IFERROR(__xludf.DUMMYFUNCTION("IFERROR(INDEX(FILTER('Kế hoạch chèn link (mới)'!$C$3:$C$2213,'Kế hoạch chèn link (mới)'!$D$3:$D$2213=$B588),3),"""")"),"")</f>
        <v/>
      </c>
      <c r="L588" s="25" t="str">
        <f>IFERROR(__xludf.DUMMYFUNCTION("IFERROR(INDEX(FILTER('Kế hoạch chèn link (mới)'!$B$3:$B$2213,'Kế hoạch chèn link (mới)'!$D$3:$D$2213=$B588),3),"""")"),"")</f>
        <v/>
      </c>
      <c r="M588" s="25" t="str">
        <f>IFERROR(__xludf.DUMMYFUNCTION("IFERROR(INDEX(FILTER('Kế hoạch chèn link (mới)'!$C$3:$C$2213,'Kế hoạch chèn link (mới)'!$D$3:$D$2213=$B588),4),"""")"),"")</f>
        <v/>
      </c>
      <c r="N588" s="25" t="str">
        <f>IFERROR(__xludf.DUMMYFUNCTION("IFERROR(INDEX(FILTER('Kế hoạch chèn link (mới)'!$B$3:$B$2213,'Kế hoạch chèn link (mới)'!$D$3:$D$2213=$B588),4),"""")"),"")</f>
        <v/>
      </c>
      <c r="O588" s="25" t="str">
        <f>IFERROR(__xludf.DUMMYFUNCTION("IFERROR(INDEX(FILTER('Kế hoạch chèn link (mới)'!$C$3:$C$2213,'Kế hoạch chèn link (mới)'!$D$3:$D$2213=$B588),5),"""")"),"")</f>
        <v/>
      </c>
      <c r="P588" s="25" t="str">
        <f>IFERROR(__xludf.DUMMYFUNCTION("IFERROR(INDEX(FILTER('Kế hoạch chèn link (mới)'!$B$3:$B$2213,'Kế hoạch chèn link (mới)'!$D$3:$D$2213=$B588),5),"""")"),"")</f>
        <v/>
      </c>
    </row>
    <row r="589">
      <c r="A589" s="6">
        <f t="shared" si="1"/>
        <v>588</v>
      </c>
      <c r="B589" s="8" t="s">
        <v>3199</v>
      </c>
      <c r="C589" s="6">
        <f>COUNTIF('Kế hoạch chèn link (mới)'!$D$3:$D$2213,$B589)</f>
        <v>2</v>
      </c>
      <c r="D589" s="8" t="str">
        <f>IF(COUNTIFS('Kế hoạch chèn link (mới)'!$D$3:$D$2213,$B589,'Kế hoạch chèn link (mới)'!$I$3:$I$2213,"Đã chèn")&gt;=$C589,"Đã hoàn thành",IF(COUNTIFS('Kế hoạch chèn link (mới)'!$D$3:$D$2213,$B589,'Kế hoạch chèn link (mới)'!$I$3:$I$2213,"Đã chèn")&gt;0,"Đang làm","Chưa hoàn thành"))</f>
        <v>Chưa hoàn thành</v>
      </c>
      <c r="E589" s="8" t="b">
        <f t="shared" si="2"/>
        <v>0</v>
      </c>
      <c r="F589" s="25"/>
      <c r="G589" s="25" t="str">
        <f>IFERROR(__xludf.DUMMYFUNCTION("IFERROR(INDEX(FILTER('Kế hoạch chèn link (mới)'!$C$3:$C$2213,'Kế hoạch chèn link (mới)'!$D$3:$D$2213=$B589),1),"""")"),"làm thẻ tín dụng")</f>
        <v>làm thẻ tín dụng</v>
      </c>
      <c r="H589" s="25" t="str">
        <f>IFERROR(__xludf.DUMMYFUNCTION("IFERROR(INDEX(FILTER('Kế hoạch chèn link (mới)'!$B$3:$B$2213,'Kế hoạch chèn link (mới)'!$D$3:$D$2213=$B589),1),"""")"),"https://techcombank.com/thong-tin/blog/lam-the-tin-dung")</f>
        <v>https://techcombank.com/thong-tin/blog/lam-the-tin-dung</v>
      </c>
      <c r="I589" s="25" t="str">
        <f>IFERROR(__xludf.DUMMYFUNCTION("IFERROR(INDEX(FILTER('Kế hoạch chèn link (mới)'!$C$3:$C$2213,'Kế hoạch chèn link (mới)'!$D$3:$D$2213=$B589),2),"""")"),"cách thanh toán thẻ tín dụng")</f>
        <v>cách thanh toán thẻ tín dụng</v>
      </c>
      <c r="J589" s="25" t="str">
        <f>IFERROR(__xludf.DUMMYFUNCTION("IFERROR(INDEX(FILTER('Kế hoạch chèn link (mới)'!$B$3:$B$2213,'Kế hoạch chèn link (mới)'!$D$3:$D$2213=$B589),2),"""")"),"https://techcombank.com/thong-tin/blog/cach-thanh-toan-the-tin-dung")</f>
        <v>https://techcombank.com/thong-tin/blog/cach-thanh-toan-the-tin-dung</v>
      </c>
      <c r="K589" s="25" t="str">
        <f>IFERROR(__xludf.DUMMYFUNCTION("IFERROR(INDEX(FILTER('Kế hoạch chèn link (mới)'!$C$3:$C$2213,'Kế hoạch chèn link (mới)'!$D$3:$D$2213=$B589),3),"""")"),"")</f>
        <v/>
      </c>
      <c r="L589" s="25" t="str">
        <f>IFERROR(__xludf.DUMMYFUNCTION("IFERROR(INDEX(FILTER('Kế hoạch chèn link (mới)'!$B$3:$B$2213,'Kế hoạch chèn link (mới)'!$D$3:$D$2213=$B589),3),"""")"),"")</f>
        <v/>
      </c>
      <c r="M589" s="25" t="str">
        <f>IFERROR(__xludf.DUMMYFUNCTION("IFERROR(INDEX(FILTER('Kế hoạch chèn link (mới)'!$C$3:$C$2213,'Kế hoạch chèn link (mới)'!$D$3:$D$2213=$B589),4),"""")"),"")</f>
        <v/>
      </c>
      <c r="N589" s="25" t="str">
        <f>IFERROR(__xludf.DUMMYFUNCTION("IFERROR(INDEX(FILTER('Kế hoạch chèn link (mới)'!$B$3:$B$2213,'Kế hoạch chèn link (mới)'!$D$3:$D$2213=$B589),4),"""")"),"")</f>
        <v/>
      </c>
      <c r="O589" s="25" t="str">
        <f>IFERROR(__xludf.DUMMYFUNCTION("IFERROR(INDEX(FILTER('Kế hoạch chèn link (mới)'!$C$3:$C$2213,'Kế hoạch chèn link (mới)'!$D$3:$D$2213=$B589),5),"""")"),"")</f>
        <v/>
      </c>
      <c r="P589" s="25" t="str">
        <f>IFERROR(__xludf.DUMMYFUNCTION("IFERROR(INDEX(FILTER('Kế hoạch chèn link (mới)'!$B$3:$B$2213,'Kế hoạch chèn link (mới)'!$D$3:$D$2213=$B589),5),"""")"),"")</f>
        <v/>
      </c>
    </row>
    <row r="590">
      <c r="A590" s="6">
        <f t="shared" si="1"/>
        <v>589</v>
      </c>
      <c r="B590" s="8" t="s">
        <v>2410</v>
      </c>
      <c r="C590" s="6">
        <f>COUNTIF('Kế hoạch chèn link (mới)'!$D$3:$D$2213,$B590)</f>
        <v>2</v>
      </c>
      <c r="D590" s="8" t="str">
        <f>IF(COUNTIFS('Kế hoạch chèn link (mới)'!$D$3:$D$2213,$B590,'Kế hoạch chèn link (mới)'!$I$3:$I$2213,"Đã chèn")&gt;=$C590,"Đã hoàn thành",IF(COUNTIFS('Kế hoạch chèn link (mới)'!$D$3:$D$2213,$B590,'Kế hoạch chèn link (mới)'!$I$3:$I$2213,"Đã chèn")&gt;0,"Đang làm","Chưa hoàn thành"))</f>
        <v>Chưa hoàn thành</v>
      </c>
      <c r="E590" s="8" t="b">
        <f t="shared" si="2"/>
        <v>0</v>
      </c>
      <c r="F590" s="25"/>
      <c r="G590" s="25" t="str">
        <f>IFERROR(__xludf.DUMMYFUNCTION("IFERROR(INDEX(FILTER('Kế hoạch chèn link (mới)'!$C$3:$C$2213,'Kế hoạch chèn link (mới)'!$D$3:$D$2213=$B590),1),"""")"),"sao kê tài khoản ngân hàng")</f>
        <v>sao kê tài khoản ngân hàng</v>
      </c>
      <c r="H590" s="25" t="str">
        <f>IFERROR(__xludf.DUMMYFUNCTION("IFERROR(INDEX(FILTER('Kế hoạch chèn link (mới)'!$B$3:$B$2213,'Kế hoạch chèn link (mới)'!$D$3:$D$2213=$B590),1),"""")"),"https://techcombank.com/thong-tin/blog/cach-sao-ke-tai-khoan-ngan-hang")</f>
        <v>https://techcombank.com/thong-tin/blog/cach-sao-ke-tai-khoan-ngan-hang</v>
      </c>
      <c r="I590" s="25" t="str">
        <f>IFERROR(__xludf.DUMMYFUNCTION("IFERROR(INDEX(FILTER('Kế hoạch chèn link (mới)'!$C$3:$C$2213,'Kế hoạch chèn link (mới)'!$D$3:$D$2213=$B590),2),"""")"),"tính lãi vay ngân hàng")</f>
        <v>tính lãi vay ngân hàng</v>
      </c>
      <c r="J590" s="25" t="str">
        <f>IFERROR(__xludf.DUMMYFUNCTION("IFERROR(INDEX(FILTER('Kế hoạch chèn link (mới)'!$B$3:$B$2213,'Kế hoạch chèn link (mới)'!$D$3:$D$2213=$B590),2),"""")"),"https://techcombank.com/cong-cu-tien-ich/cong-cu-tinh-toan/bang-tinh-lai-suat-vay")</f>
        <v>https://techcombank.com/cong-cu-tien-ich/cong-cu-tinh-toan/bang-tinh-lai-suat-vay</v>
      </c>
      <c r="K590" s="25" t="str">
        <f>IFERROR(__xludf.DUMMYFUNCTION("IFERROR(INDEX(FILTER('Kế hoạch chèn link (mới)'!$C$3:$C$2213,'Kế hoạch chèn link (mới)'!$D$3:$D$2213=$B590),3),"""")"),"")</f>
        <v/>
      </c>
      <c r="L590" s="25" t="str">
        <f>IFERROR(__xludf.DUMMYFUNCTION("IFERROR(INDEX(FILTER('Kế hoạch chèn link (mới)'!$B$3:$B$2213,'Kế hoạch chèn link (mới)'!$D$3:$D$2213=$B590),3),"""")"),"")</f>
        <v/>
      </c>
      <c r="M590" s="25" t="str">
        <f>IFERROR(__xludf.DUMMYFUNCTION("IFERROR(INDEX(FILTER('Kế hoạch chèn link (mới)'!$C$3:$C$2213,'Kế hoạch chèn link (mới)'!$D$3:$D$2213=$B590),4),"""")"),"")</f>
        <v/>
      </c>
      <c r="N590" s="25" t="str">
        <f>IFERROR(__xludf.DUMMYFUNCTION("IFERROR(INDEX(FILTER('Kế hoạch chèn link (mới)'!$B$3:$B$2213,'Kế hoạch chèn link (mới)'!$D$3:$D$2213=$B590),4),"""")"),"")</f>
        <v/>
      </c>
      <c r="O590" s="25" t="str">
        <f>IFERROR(__xludf.DUMMYFUNCTION("IFERROR(INDEX(FILTER('Kế hoạch chèn link (mới)'!$C$3:$C$2213,'Kế hoạch chèn link (mới)'!$D$3:$D$2213=$B590),5),"""")"),"")</f>
        <v/>
      </c>
      <c r="P590" s="25" t="str">
        <f>IFERROR(__xludf.DUMMYFUNCTION("IFERROR(INDEX(FILTER('Kế hoạch chèn link (mới)'!$B$3:$B$2213,'Kế hoạch chèn link (mới)'!$D$3:$D$2213=$B590),5),"""")"),"")</f>
        <v/>
      </c>
    </row>
    <row r="591">
      <c r="A591" s="6">
        <f t="shared" si="1"/>
        <v>590</v>
      </c>
      <c r="B591" s="8" t="s">
        <v>3187</v>
      </c>
      <c r="C591" s="6">
        <f>COUNTIF('Kế hoạch chèn link (mới)'!$D$3:$D$2213,$B591)</f>
        <v>1</v>
      </c>
      <c r="D591" s="8" t="str">
        <f>IF(COUNTIFS('Kế hoạch chèn link (mới)'!$D$3:$D$2213,$B591,'Kế hoạch chèn link (mới)'!$I$3:$I$2213,"Đã chèn")&gt;=$C591,"Đã hoàn thành",IF(COUNTIFS('Kế hoạch chèn link (mới)'!$D$3:$D$2213,$B591,'Kế hoạch chèn link (mới)'!$I$3:$I$2213,"Đã chèn")&gt;0,"Đang làm","Chưa hoàn thành"))</f>
        <v>Chưa hoàn thành</v>
      </c>
      <c r="E591" s="8" t="b">
        <f t="shared" si="2"/>
        <v>0</v>
      </c>
      <c r="F591" s="25"/>
      <c r="G591" s="25" t="str">
        <f>IFERROR(__xludf.DUMMYFUNCTION("IFERROR(INDEX(FILTER('Kế hoạch chèn link (mới)'!$C$3:$C$2213,'Kế hoạch chèn link (mới)'!$D$3:$D$2213=$B591),1),"""")"),"rút tiền thẻ tín dụng")</f>
        <v>rút tiền thẻ tín dụng</v>
      </c>
      <c r="H591" s="25" t="str">
        <f>IFERROR(__xludf.DUMMYFUNCTION("IFERROR(INDEX(FILTER('Kế hoạch chèn link (mới)'!$B$3:$B$2213,'Kế hoạch chèn link (mới)'!$D$3:$D$2213=$B591),1),"""")"),"https://techcombank.com/thong-tin/blog/rut-tien-mat-tu-the-tin-dung")</f>
        <v>https://techcombank.com/thong-tin/blog/rut-tien-mat-tu-the-tin-dung</v>
      </c>
      <c r="I591" s="25" t="str">
        <f>IFERROR(__xludf.DUMMYFUNCTION("IFERROR(INDEX(FILTER('Kế hoạch chèn link (mới)'!$C$3:$C$2213,'Kế hoạch chèn link (mới)'!$D$3:$D$2213=$B591),2),"""")"),"")</f>
        <v/>
      </c>
      <c r="J591" s="25" t="str">
        <f>IFERROR(__xludf.DUMMYFUNCTION("IFERROR(INDEX(FILTER('Kế hoạch chèn link (mới)'!$B$3:$B$2213,'Kế hoạch chèn link (mới)'!$D$3:$D$2213=$B591),2),"""")"),"")</f>
        <v/>
      </c>
      <c r="K591" s="25" t="str">
        <f>IFERROR(__xludf.DUMMYFUNCTION("IFERROR(INDEX(FILTER('Kế hoạch chèn link (mới)'!$C$3:$C$2213,'Kế hoạch chèn link (mới)'!$D$3:$D$2213=$B591),3),"""")"),"")</f>
        <v/>
      </c>
      <c r="L591" s="25" t="str">
        <f>IFERROR(__xludf.DUMMYFUNCTION("IFERROR(INDEX(FILTER('Kế hoạch chèn link (mới)'!$B$3:$B$2213,'Kế hoạch chèn link (mới)'!$D$3:$D$2213=$B591),3),"""")"),"")</f>
        <v/>
      </c>
      <c r="M591" s="25" t="str">
        <f>IFERROR(__xludf.DUMMYFUNCTION("IFERROR(INDEX(FILTER('Kế hoạch chèn link (mới)'!$C$3:$C$2213,'Kế hoạch chèn link (mới)'!$D$3:$D$2213=$B591),4),"""")"),"")</f>
        <v/>
      </c>
      <c r="N591" s="25" t="str">
        <f>IFERROR(__xludf.DUMMYFUNCTION("IFERROR(INDEX(FILTER('Kế hoạch chèn link (mới)'!$B$3:$B$2213,'Kế hoạch chèn link (mới)'!$D$3:$D$2213=$B591),4),"""")"),"")</f>
        <v/>
      </c>
      <c r="O591" s="25" t="str">
        <f>IFERROR(__xludf.DUMMYFUNCTION("IFERROR(INDEX(FILTER('Kế hoạch chèn link (mới)'!$C$3:$C$2213,'Kế hoạch chèn link (mới)'!$D$3:$D$2213=$B591),5),"""")"),"")</f>
        <v/>
      </c>
      <c r="P591" s="25" t="str">
        <f>IFERROR(__xludf.DUMMYFUNCTION("IFERROR(INDEX(FILTER('Kế hoạch chèn link (mới)'!$B$3:$B$2213,'Kế hoạch chèn link (mới)'!$D$3:$D$2213=$B591),5),"""")"),"")</f>
        <v/>
      </c>
    </row>
    <row r="592">
      <c r="A592" s="6">
        <f t="shared" si="1"/>
        <v>591</v>
      </c>
      <c r="B592" s="8" t="s">
        <v>3203</v>
      </c>
      <c r="C592" s="6">
        <f>COUNTIF('Kế hoạch chèn link (mới)'!$D$3:$D$2213,$B592)</f>
        <v>1</v>
      </c>
      <c r="D592" s="8" t="str">
        <f>IF(COUNTIFS('Kế hoạch chèn link (mới)'!$D$3:$D$2213,$B592,'Kế hoạch chèn link (mới)'!$I$3:$I$2213,"Đã chèn")&gt;=$C592,"Đã hoàn thành",IF(COUNTIFS('Kế hoạch chèn link (mới)'!$D$3:$D$2213,$B592,'Kế hoạch chèn link (mới)'!$I$3:$I$2213,"Đã chèn")&gt;0,"Đang làm","Chưa hoàn thành"))</f>
        <v>Chưa hoàn thành</v>
      </c>
      <c r="E592" s="8" t="b">
        <f t="shared" si="2"/>
        <v>0</v>
      </c>
      <c r="F592" s="25"/>
      <c r="G592" s="25" t="str">
        <f>IFERROR(__xludf.DUMMYFUNCTION("IFERROR(INDEX(FILTER('Kế hoạch chèn link (mới)'!$C$3:$C$2213,'Kế hoạch chèn link (mới)'!$D$3:$D$2213=$B592),1),"""")"),"rút tiền tiết kiệm trước thời hạn")</f>
        <v>rút tiền tiết kiệm trước thời hạn</v>
      </c>
      <c r="H592" s="25" t="str">
        <f>IFERROR(__xludf.DUMMYFUNCTION("IFERROR(INDEX(FILTER('Kế hoạch chèn link (mới)'!$B$3:$B$2213,'Kế hoạch chèn link (mới)'!$D$3:$D$2213=$B592),1),"""")"),"https://techcombank.com/thong-tin/blog/rut-tien-tiet-kiem-truoc-thoi-han")</f>
        <v>https://techcombank.com/thong-tin/blog/rut-tien-tiet-kiem-truoc-thoi-han</v>
      </c>
      <c r="I592" s="25" t="str">
        <f>IFERROR(__xludf.DUMMYFUNCTION("IFERROR(INDEX(FILTER('Kế hoạch chèn link (mới)'!$C$3:$C$2213,'Kế hoạch chèn link (mới)'!$D$3:$D$2213=$B592),2),"""")"),"")</f>
        <v/>
      </c>
      <c r="J592" s="25" t="str">
        <f>IFERROR(__xludf.DUMMYFUNCTION("IFERROR(INDEX(FILTER('Kế hoạch chèn link (mới)'!$B$3:$B$2213,'Kế hoạch chèn link (mới)'!$D$3:$D$2213=$B592),2),"""")"),"")</f>
        <v/>
      </c>
      <c r="K592" s="25" t="str">
        <f>IFERROR(__xludf.DUMMYFUNCTION("IFERROR(INDEX(FILTER('Kế hoạch chèn link (mới)'!$C$3:$C$2213,'Kế hoạch chèn link (mới)'!$D$3:$D$2213=$B592),3),"""")"),"")</f>
        <v/>
      </c>
      <c r="L592" s="25" t="str">
        <f>IFERROR(__xludf.DUMMYFUNCTION("IFERROR(INDEX(FILTER('Kế hoạch chèn link (mới)'!$B$3:$B$2213,'Kế hoạch chèn link (mới)'!$D$3:$D$2213=$B592),3),"""")"),"")</f>
        <v/>
      </c>
      <c r="M592" s="25" t="str">
        <f>IFERROR(__xludf.DUMMYFUNCTION("IFERROR(INDEX(FILTER('Kế hoạch chèn link (mới)'!$C$3:$C$2213,'Kế hoạch chèn link (mới)'!$D$3:$D$2213=$B592),4),"""")"),"")</f>
        <v/>
      </c>
      <c r="N592" s="25" t="str">
        <f>IFERROR(__xludf.DUMMYFUNCTION("IFERROR(INDEX(FILTER('Kế hoạch chèn link (mới)'!$B$3:$B$2213,'Kế hoạch chèn link (mới)'!$D$3:$D$2213=$B592),4),"""")"),"")</f>
        <v/>
      </c>
      <c r="O592" s="25" t="str">
        <f>IFERROR(__xludf.DUMMYFUNCTION("IFERROR(INDEX(FILTER('Kế hoạch chèn link (mới)'!$C$3:$C$2213,'Kế hoạch chèn link (mới)'!$D$3:$D$2213=$B592),5),"""")"),"")</f>
        <v/>
      </c>
      <c r="P592" s="25" t="str">
        <f>IFERROR(__xludf.DUMMYFUNCTION("IFERROR(INDEX(FILTER('Kế hoạch chèn link (mới)'!$B$3:$B$2213,'Kế hoạch chèn link (mới)'!$D$3:$D$2213=$B592),5),"""")"),"")</f>
        <v/>
      </c>
    </row>
    <row r="593">
      <c r="A593" s="6">
        <f t="shared" si="1"/>
        <v>592</v>
      </c>
      <c r="B593" s="8" t="s">
        <v>2272</v>
      </c>
      <c r="C593" s="6">
        <f>COUNTIF('Kế hoạch chèn link (mới)'!$D$3:$D$2213,$B593)</f>
        <v>3</v>
      </c>
      <c r="D593" s="8" t="str">
        <f>IF(COUNTIFS('Kế hoạch chèn link (mới)'!$D$3:$D$2213,$B593,'Kế hoạch chèn link (mới)'!$I$3:$I$2213,"Đã chèn")&gt;=$C593,"Đã hoàn thành",IF(COUNTIFS('Kế hoạch chèn link (mới)'!$D$3:$D$2213,$B593,'Kế hoạch chèn link (mới)'!$I$3:$I$2213,"Đã chèn")&gt;0,"Đang làm","Chưa hoàn thành"))</f>
        <v>Chưa hoàn thành</v>
      </c>
      <c r="E593" s="8" t="b">
        <f t="shared" si="2"/>
        <v>0</v>
      </c>
      <c r="F593" s="25"/>
      <c r="G593" s="25" t="str">
        <f>IFERROR(__xludf.DUMMYFUNCTION("IFERROR(INDEX(FILTER('Kế hoạch chèn link (mới)'!$C$3:$C$2213,'Kế hoạch chèn link (mới)'!$D$3:$D$2213=$B593),1),"""")"),"nộp tiền vào tài khoản")</f>
        <v>nộp tiền vào tài khoản</v>
      </c>
      <c r="H593" s="25" t="str">
        <f>IFERROR(__xludf.DUMMYFUNCTION("IFERROR(INDEX(FILTER('Kế hoạch chèn link (mới)'!$B$3:$B$2213,'Kế hoạch chèn link (mới)'!$D$3:$D$2213=$B593),1),"""")"),"https://techcombank.com/thong-tin/blog/nap-tien-vao-tai-khoan-ngan-hang")</f>
        <v>https://techcombank.com/thong-tin/blog/nap-tien-vao-tai-khoan-ngan-hang</v>
      </c>
      <c r="I593" s="25" t="str">
        <f>IFERROR(__xludf.DUMMYFUNCTION("IFERROR(INDEX(FILTER('Kế hoạch chèn link (mới)'!$C$3:$C$2213,'Kế hoạch chèn link (mới)'!$D$3:$D$2213=$B593),2),"""")"),"rút tiền thẻ tín dụng")</f>
        <v>rút tiền thẻ tín dụng</v>
      </c>
      <c r="J593" s="25" t="str">
        <f>IFERROR(__xludf.DUMMYFUNCTION("IFERROR(INDEX(FILTER('Kế hoạch chèn link (mới)'!$B$3:$B$2213,'Kế hoạch chèn link (mới)'!$D$3:$D$2213=$B593),2),"""")"),"https://techcombank.com/thong-tin/blog/rut-tien-mat-tu-the-tin-dung")</f>
        <v>https://techcombank.com/thong-tin/blog/rut-tien-mat-tu-the-tin-dung</v>
      </c>
      <c r="K593" s="25" t="str">
        <f>IFERROR(__xludf.DUMMYFUNCTION("IFERROR(INDEX(FILTER('Kế hoạch chèn link (mới)'!$C$3:$C$2213,'Kế hoạch chèn link (mới)'!$D$3:$D$2213=$B593),3),"""")"),"làm thẻ tín dụng")</f>
        <v>làm thẻ tín dụng</v>
      </c>
      <c r="L593" s="25" t="str">
        <f>IFERROR(__xludf.DUMMYFUNCTION("IFERROR(INDEX(FILTER('Kế hoạch chèn link (mới)'!$B$3:$B$2213,'Kế hoạch chèn link (mới)'!$D$3:$D$2213=$B593),3),"""")"),"https://techcombank.com/thong-tin/blog/lam-the-tin-dung")</f>
        <v>https://techcombank.com/thong-tin/blog/lam-the-tin-dung</v>
      </c>
      <c r="M593" s="25" t="str">
        <f>IFERROR(__xludf.DUMMYFUNCTION("IFERROR(INDEX(FILTER('Kế hoạch chèn link (mới)'!$C$3:$C$2213,'Kế hoạch chèn link (mới)'!$D$3:$D$2213=$B593),4),"""")"),"")</f>
        <v/>
      </c>
      <c r="N593" s="25" t="str">
        <f>IFERROR(__xludf.DUMMYFUNCTION("IFERROR(INDEX(FILTER('Kế hoạch chèn link (mới)'!$B$3:$B$2213,'Kế hoạch chèn link (mới)'!$D$3:$D$2213=$B593),4),"""")"),"")</f>
        <v/>
      </c>
      <c r="O593" s="25" t="str">
        <f>IFERROR(__xludf.DUMMYFUNCTION("IFERROR(INDEX(FILTER('Kế hoạch chèn link (mới)'!$C$3:$C$2213,'Kế hoạch chèn link (mới)'!$D$3:$D$2213=$B593),5),"""")"),"")</f>
        <v/>
      </c>
      <c r="P593" s="25" t="str">
        <f>IFERROR(__xludf.DUMMYFUNCTION("IFERROR(INDEX(FILTER('Kế hoạch chèn link (mới)'!$B$3:$B$2213,'Kế hoạch chèn link (mới)'!$D$3:$D$2213=$B593),5),"""")"),"")</f>
        <v/>
      </c>
    </row>
    <row r="594">
      <c r="A594" s="6">
        <f t="shared" si="1"/>
        <v>593</v>
      </c>
      <c r="B594" s="8" t="s">
        <v>3205</v>
      </c>
      <c r="C594" s="6">
        <f>COUNTIF('Kế hoạch chèn link (mới)'!$D$3:$D$2213,$B594)</f>
        <v>1</v>
      </c>
      <c r="D594" s="8" t="str">
        <f>IF(COUNTIFS('Kế hoạch chèn link (mới)'!$D$3:$D$2213,$B594,'Kế hoạch chèn link (mới)'!$I$3:$I$2213,"Đã chèn")&gt;=$C594,"Đã hoàn thành",IF(COUNTIFS('Kế hoạch chèn link (mới)'!$D$3:$D$2213,$B594,'Kế hoạch chèn link (mới)'!$I$3:$I$2213,"Đã chèn")&gt;0,"Đang làm","Chưa hoàn thành"))</f>
        <v>Chưa hoàn thành</v>
      </c>
      <c r="E594" s="8" t="b">
        <f t="shared" si="2"/>
        <v>0</v>
      </c>
      <c r="F594" s="25"/>
      <c r="G594" s="25" t="str">
        <f>IFERROR(__xludf.DUMMYFUNCTION("IFERROR(INDEX(FILTER('Kế hoạch chèn link (mới)'!$C$3:$C$2213,'Kế hoạch chèn link (mới)'!$D$3:$D$2213=$B594),1),"""")"),"gửi tiết kiệm online có an toàn không")</f>
        <v>gửi tiết kiệm online có an toàn không</v>
      </c>
      <c r="H594" s="25" t="str">
        <f>IFERROR(__xludf.DUMMYFUNCTION("IFERROR(INDEX(FILTER('Kế hoạch chèn link (mới)'!$B$3:$B$2213,'Kế hoạch chèn link (mới)'!$D$3:$D$2213=$B594),1),"""")"),"https://techcombank.com/thong-tin/blog/rui-ro-khi-gui-tiet-kiem-online")</f>
        <v>https://techcombank.com/thong-tin/blog/rui-ro-khi-gui-tiet-kiem-online</v>
      </c>
      <c r="I594" s="25" t="str">
        <f>IFERROR(__xludf.DUMMYFUNCTION("IFERROR(INDEX(FILTER('Kế hoạch chèn link (mới)'!$C$3:$C$2213,'Kế hoạch chèn link (mới)'!$D$3:$D$2213=$B594),2),"""")"),"")</f>
        <v/>
      </c>
      <c r="J594" s="25" t="str">
        <f>IFERROR(__xludf.DUMMYFUNCTION("IFERROR(INDEX(FILTER('Kế hoạch chèn link (mới)'!$B$3:$B$2213,'Kế hoạch chèn link (mới)'!$D$3:$D$2213=$B594),2),"""")"),"")</f>
        <v/>
      </c>
      <c r="K594" s="25" t="str">
        <f>IFERROR(__xludf.DUMMYFUNCTION("IFERROR(INDEX(FILTER('Kế hoạch chèn link (mới)'!$C$3:$C$2213,'Kế hoạch chèn link (mới)'!$D$3:$D$2213=$B594),3),"""")"),"")</f>
        <v/>
      </c>
      <c r="L594" s="25" t="str">
        <f>IFERROR(__xludf.DUMMYFUNCTION("IFERROR(INDEX(FILTER('Kế hoạch chèn link (mới)'!$B$3:$B$2213,'Kế hoạch chèn link (mới)'!$D$3:$D$2213=$B594),3),"""")"),"")</f>
        <v/>
      </c>
      <c r="M594" s="25" t="str">
        <f>IFERROR(__xludf.DUMMYFUNCTION("IFERROR(INDEX(FILTER('Kế hoạch chèn link (mới)'!$C$3:$C$2213,'Kế hoạch chèn link (mới)'!$D$3:$D$2213=$B594),4),"""")"),"")</f>
        <v/>
      </c>
      <c r="N594" s="25" t="str">
        <f>IFERROR(__xludf.DUMMYFUNCTION("IFERROR(INDEX(FILTER('Kế hoạch chèn link (mới)'!$B$3:$B$2213,'Kế hoạch chèn link (mới)'!$D$3:$D$2213=$B594),4),"""")"),"")</f>
        <v/>
      </c>
      <c r="O594" s="25" t="str">
        <f>IFERROR(__xludf.DUMMYFUNCTION("IFERROR(INDEX(FILTER('Kế hoạch chèn link (mới)'!$C$3:$C$2213,'Kế hoạch chèn link (mới)'!$D$3:$D$2213=$B594),5),"""")"),"")</f>
        <v/>
      </c>
      <c r="P594" s="25" t="str">
        <f>IFERROR(__xludf.DUMMYFUNCTION("IFERROR(INDEX(FILTER('Kế hoạch chèn link (mới)'!$B$3:$B$2213,'Kế hoạch chèn link (mới)'!$D$3:$D$2213=$B594),5),"""")"),"")</f>
        <v/>
      </c>
    </row>
    <row r="595">
      <c r="A595" s="6">
        <f t="shared" si="1"/>
        <v>594</v>
      </c>
      <c r="B595" s="8" t="s">
        <v>3206</v>
      </c>
      <c r="C595" s="6">
        <f>COUNTIF('Kế hoạch chèn link (mới)'!$D$3:$D$2213,$B595)</f>
        <v>5</v>
      </c>
      <c r="D595" s="8" t="str">
        <f>IF(COUNTIFS('Kế hoạch chèn link (mới)'!$D$3:$D$2213,$B595,'Kế hoạch chèn link (mới)'!$I$3:$I$2213,"Đã chèn")&gt;=$C595,"Đã hoàn thành",IF(COUNTIFS('Kế hoạch chèn link (mới)'!$D$3:$D$2213,$B595,'Kế hoạch chèn link (mới)'!$I$3:$I$2213,"Đã chèn")&gt;0,"Đang làm","Chưa hoàn thành"))</f>
        <v>Chưa hoàn thành</v>
      </c>
      <c r="E595" s="8" t="b">
        <f t="shared" si="2"/>
        <v>0</v>
      </c>
      <c r="F595" s="25"/>
      <c r="G595" s="25" t="str">
        <f>IFERROR(__xludf.DUMMYFUNCTION("IFERROR(INDEX(FILTER('Kế hoạch chèn link (mới)'!$C$3:$C$2213,'Kế hoạch chèn link (mới)'!$D$3:$D$2213=$B595),1),"""")"),"xếp hạng tín dụng")</f>
        <v>xếp hạng tín dụng</v>
      </c>
      <c r="H595" s="25" t="str">
        <f>IFERROR(__xludf.DUMMYFUNCTION("IFERROR(INDEX(FILTER('Kế hoạch chèn link (mới)'!$B$3:$B$2213,'Kế hoạch chèn link (mới)'!$D$3:$D$2213=$B595),1),"""")"),"https://techcombank.com/thong-tin/blog/xep-hang-tin-dung")</f>
        <v>https://techcombank.com/thong-tin/blog/xep-hang-tin-dung</v>
      </c>
      <c r="I595" s="25" t="str">
        <f>IFERROR(__xludf.DUMMYFUNCTION("IFERROR(INDEX(FILTER('Kế hoạch chèn link (mới)'!$C$3:$C$2213,'Kế hoạch chèn link (mới)'!$D$3:$D$2213=$B595),2),"""")"),"lãi suất chứng chỉ tiền gửi các ngân hàng")</f>
        <v>lãi suất chứng chỉ tiền gửi các ngân hàng</v>
      </c>
      <c r="J595" s="25" t="str">
        <f>IFERROR(__xludf.DUMMYFUNCTION("IFERROR(INDEX(FILTER('Kế hoạch chèn link (mới)'!$B$3:$B$2213,'Kế hoạch chèn link (mới)'!$D$3:$D$2213=$B595),2),"""")"),"https://techcombank.com/thong-tin/blog/lai-suat-chung-chi-tien-gui-cac-ngan-hang")</f>
        <v>https://techcombank.com/thong-tin/blog/lai-suat-chung-chi-tien-gui-cac-ngan-hang</v>
      </c>
      <c r="K595" s="25" t="str">
        <f>IFERROR(__xludf.DUMMYFUNCTION("IFERROR(INDEX(FILTER('Kế hoạch chèn link (mới)'!$C$3:$C$2213,'Kế hoạch chèn link (mới)'!$D$3:$D$2213=$B595),3),"""")"),"lãi suất ngân hàng hiện nay")</f>
        <v>lãi suất ngân hàng hiện nay</v>
      </c>
      <c r="L595" s="25" t="str">
        <f>IFERROR(__xludf.DUMMYFUNCTION("IFERROR(INDEX(FILTER('Kế hoạch chèn link (mới)'!$B$3:$B$2213,'Kế hoạch chèn link (mới)'!$D$3:$D$2213=$B595),3),"""")"),"https://techcombank.com/thong-tin/blog/lai-suat-tiet-kiem")</f>
        <v>https://techcombank.com/thong-tin/blog/lai-suat-tiet-kiem</v>
      </c>
      <c r="M595" s="25" t="str">
        <f>IFERROR(__xludf.DUMMYFUNCTION("IFERROR(INDEX(FILTER('Kế hoạch chèn link (mới)'!$C$3:$C$2213,'Kế hoạch chèn link (mới)'!$D$3:$D$2213=$B595),4),"""")"),"tính lãi suất tiết kiệm")</f>
        <v>tính lãi suất tiết kiệm</v>
      </c>
      <c r="N595" s="25" t="str">
        <f>IFERROR(__xludf.DUMMYFUNCTION("IFERROR(INDEX(FILTER('Kế hoạch chèn link (mới)'!$B$3:$B$2213,'Kế hoạch chèn link (mới)'!$D$3:$D$2213=$B595),4),"""")"),"https://techcombank.com/thong-tin/blog/cach-tinh-lai-suat-tien-gui-tiet-kiem")</f>
        <v>https://techcombank.com/thong-tin/blog/cach-tinh-lai-suat-tien-gui-tiet-kiem</v>
      </c>
      <c r="O595" s="25" t="str">
        <f>IFERROR(__xludf.DUMMYFUNCTION("IFERROR(INDEX(FILTER('Kế hoạch chèn link (mới)'!$C$3:$C$2213,'Kế hoạch chèn link (mới)'!$D$3:$D$2213=$B595),5),"""")"),"bảng tính lãi suất tiết kiệm")</f>
        <v>bảng tính lãi suất tiết kiệm</v>
      </c>
      <c r="P595" s="25" t="str">
        <f>IFERROR(__xludf.DUMMYFUNCTION("IFERROR(INDEX(FILTER('Kế hoạch chèn link (mới)'!$B$3:$B$2213,'Kế hoạch chèn link (mới)'!$D$3:$D$2213=$B595),5),"""")"),"https://techcombank.com/cong-cu-tien-ich/cong-cu-tinh-toan/bang-tinh-lai-suat-tiet-kiem")</f>
        <v>https://techcombank.com/cong-cu-tien-ich/cong-cu-tinh-toan/bang-tinh-lai-suat-tiet-kiem</v>
      </c>
    </row>
    <row r="596">
      <c r="A596" s="6">
        <f t="shared" si="1"/>
        <v>595</v>
      </c>
      <c r="B596" s="8" t="s">
        <v>1426</v>
      </c>
      <c r="C596" s="6">
        <f>COUNTIF('Kế hoạch chèn link (mới)'!$D$3:$D$2213,$B596)</f>
        <v>2</v>
      </c>
      <c r="D596" s="8" t="str">
        <f>IF(COUNTIFS('Kế hoạch chèn link (mới)'!$D$3:$D$2213,$B596,'Kế hoạch chèn link (mới)'!$I$3:$I$2213,"Đã chèn")&gt;=$C596,"Đã hoàn thành",IF(COUNTIFS('Kế hoạch chèn link (mới)'!$D$3:$D$2213,$B596,'Kế hoạch chèn link (mới)'!$I$3:$I$2213,"Đã chèn")&gt;0,"Đang làm","Chưa hoàn thành"))</f>
        <v>Chưa hoàn thành</v>
      </c>
      <c r="E596" s="8" t="b">
        <f t="shared" si="2"/>
        <v>0</v>
      </c>
      <c r="F596" s="25"/>
      <c r="G596" s="25" t="str">
        <f>IFERROR(__xludf.DUMMYFUNCTION("IFERROR(INDEX(FILTER('Kế hoạch chèn link (mới)'!$C$3:$C$2213,'Kế hoạch chèn link (mới)'!$D$3:$D$2213=$B596),1),"""")"),"giá điện sinh hoạt")</f>
        <v>giá điện sinh hoạt</v>
      </c>
      <c r="H596" s="25" t="str">
        <f>IFERROR(__xludf.DUMMYFUNCTION("IFERROR(INDEX(FILTER('Kế hoạch chèn link (mới)'!$B$3:$B$2213,'Kế hoạch chèn link (mới)'!$D$3:$D$2213=$B596),1),"""")"),"https://techcombank.com/thong-tin/blog/cach-tinh-tien-dien-sinh-hoat")</f>
        <v>https://techcombank.com/thong-tin/blog/cach-tinh-tien-dien-sinh-hoat</v>
      </c>
      <c r="I596" s="25" t="str">
        <f>IFERROR(__xludf.DUMMYFUNCTION("IFERROR(INDEX(FILTER('Kế hoạch chèn link (mới)'!$C$3:$C$2213,'Kế hoạch chèn link (mới)'!$D$3:$D$2213=$B596),2),"""")"),"sao kê tài khoản ngân hàng")</f>
        <v>sao kê tài khoản ngân hàng</v>
      </c>
      <c r="J596" s="25" t="str">
        <f>IFERROR(__xludf.DUMMYFUNCTION("IFERROR(INDEX(FILTER('Kế hoạch chèn link (mới)'!$B$3:$B$2213,'Kế hoạch chèn link (mới)'!$D$3:$D$2213=$B596),2),"""")"),"https://techcombank.com/thong-tin/blog/cach-sao-ke-tai-khoan-ngan-hang")</f>
        <v>https://techcombank.com/thong-tin/blog/cach-sao-ke-tai-khoan-ngan-hang</v>
      </c>
      <c r="K596" s="25" t="str">
        <f>IFERROR(__xludf.DUMMYFUNCTION("IFERROR(INDEX(FILTER('Kế hoạch chèn link (mới)'!$C$3:$C$2213,'Kế hoạch chèn link (mới)'!$D$3:$D$2213=$B596),3),"""")"),"")</f>
        <v/>
      </c>
      <c r="L596" s="25" t="str">
        <f>IFERROR(__xludf.DUMMYFUNCTION("IFERROR(INDEX(FILTER('Kế hoạch chèn link (mới)'!$B$3:$B$2213,'Kế hoạch chèn link (mới)'!$D$3:$D$2213=$B596),3),"""")"),"")</f>
        <v/>
      </c>
      <c r="M596" s="25" t="str">
        <f>IFERROR(__xludf.DUMMYFUNCTION("IFERROR(INDEX(FILTER('Kế hoạch chèn link (mới)'!$C$3:$C$2213,'Kế hoạch chèn link (mới)'!$D$3:$D$2213=$B596),4),"""")"),"")</f>
        <v/>
      </c>
      <c r="N596" s="25" t="str">
        <f>IFERROR(__xludf.DUMMYFUNCTION("IFERROR(INDEX(FILTER('Kế hoạch chèn link (mới)'!$B$3:$B$2213,'Kế hoạch chèn link (mới)'!$D$3:$D$2213=$B596),4),"""")"),"")</f>
        <v/>
      </c>
      <c r="O596" s="25" t="str">
        <f>IFERROR(__xludf.DUMMYFUNCTION("IFERROR(INDEX(FILTER('Kế hoạch chèn link (mới)'!$C$3:$C$2213,'Kế hoạch chèn link (mới)'!$D$3:$D$2213=$B596),5),"""")"),"")</f>
        <v/>
      </c>
      <c r="P596" s="25" t="str">
        <f>IFERROR(__xludf.DUMMYFUNCTION("IFERROR(INDEX(FILTER('Kế hoạch chèn link (mới)'!$B$3:$B$2213,'Kế hoạch chèn link (mới)'!$D$3:$D$2213=$B596),5),"""")"),"")</f>
        <v/>
      </c>
    </row>
    <row r="597">
      <c r="A597" s="6">
        <f t="shared" si="1"/>
        <v>596</v>
      </c>
      <c r="B597" s="8" t="s">
        <v>3207</v>
      </c>
      <c r="C597" s="6">
        <f>COUNTIF('Kế hoạch chèn link (mới)'!$D$3:$D$2213,$B597)</f>
        <v>1</v>
      </c>
      <c r="D597" s="8" t="str">
        <f>IF(COUNTIFS('Kế hoạch chèn link (mới)'!$D$3:$D$2213,$B597,'Kế hoạch chèn link (mới)'!$I$3:$I$2213,"Đã chèn")&gt;=$C597,"Đã hoàn thành",IF(COUNTIFS('Kế hoạch chèn link (mới)'!$D$3:$D$2213,$B597,'Kế hoạch chèn link (mới)'!$I$3:$I$2213,"Đã chèn")&gt;0,"Đang làm","Chưa hoàn thành"))</f>
        <v>Chưa hoàn thành</v>
      </c>
      <c r="E597" s="8" t="b">
        <f t="shared" si="2"/>
        <v>0</v>
      </c>
      <c r="F597" s="25"/>
      <c r="G597" s="25" t="str">
        <f>IFERROR(__xludf.DUMMYFUNCTION("IFERROR(INDEX(FILTER('Kế hoạch chèn link (mới)'!$C$3:$C$2213,'Kế hoạch chèn link (mới)'!$D$3:$D$2213=$B597),1),"""")"),"cách đầu tư chứng chỉ quỹ")</f>
        <v>cách đầu tư chứng chỉ quỹ</v>
      </c>
      <c r="H597" s="25" t="str">
        <f>IFERROR(__xludf.DUMMYFUNCTION("IFERROR(INDEX(FILTER('Kế hoạch chèn link (mới)'!$B$3:$B$2213,'Kế hoạch chèn link (mới)'!$D$3:$D$2213=$B597),1),"""")"),"https://techcombank.com/thong-tin/blog/phuong-phap-dau-tu-chung-chi-quy")</f>
        <v>https://techcombank.com/thong-tin/blog/phuong-phap-dau-tu-chung-chi-quy</v>
      </c>
      <c r="I597" s="25" t="str">
        <f>IFERROR(__xludf.DUMMYFUNCTION("IFERROR(INDEX(FILTER('Kế hoạch chèn link (mới)'!$C$3:$C$2213,'Kế hoạch chèn link (mới)'!$D$3:$D$2213=$B597),2),"""")"),"")</f>
        <v/>
      </c>
      <c r="J597" s="25" t="str">
        <f>IFERROR(__xludf.DUMMYFUNCTION("IFERROR(INDEX(FILTER('Kế hoạch chèn link (mới)'!$B$3:$B$2213,'Kế hoạch chèn link (mới)'!$D$3:$D$2213=$B597),2),"""")"),"")</f>
        <v/>
      </c>
      <c r="K597" s="25" t="str">
        <f>IFERROR(__xludf.DUMMYFUNCTION("IFERROR(INDEX(FILTER('Kế hoạch chèn link (mới)'!$C$3:$C$2213,'Kế hoạch chèn link (mới)'!$D$3:$D$2213=$B597),3),"""")"),"")</f>
        <v/>
      </c>
      <c r="L597" s="25" t="str">
        <f>IFERROR(__xludf.DUMMYFUNCTION("IFERROR(INDEX(FILTER('Kế hoạch chèn link (mới)'!$B$3:$B$2213,'Kế hoạch chèn link (mới)'!$D$3:$D$2213=$B597),3),"""")"),"")</f>
        <v/>
      </c>
      <c r="M597" s="25" t="str">
        <f>IFERROR(__xludf.DUMMYFUNCTION("IFERROR(INDEX(FILTER('Kế hoạch chèn link (mới)'!$C$3:$C$2213,'Kế hoạch chèn link (mới)'!$D$3:$D$2213=$B597),4),"""")"),"")</f>
        <v/>
      </c>
      <c r="N597" s="25" t="str">
        <f>IFERROR(__xludf.DUMMYFUNCTION("IFERROR(INDEX(FILTER('Kế hoạch chèn link (mới)'!$B$3:$B$2213,'Kế hoạch chèn link (mới)'!$D$3:$D$2213=$B597),4),"""")"),"")</f>
        <v/>
      </c>
      <c r="O597" s="25" t="str">
        <f>IFERROR(__xludf.DUMMYFUNCTION("IFERROR(INDEX(FILTER('Kế hoạch chèn link (mới)'!$C$3:$C$2213,'Kế hoạch chèn link (mới)'!$D$3:$D$2213=$B597),5),"""")"),"")</f>
        <v/>
      </c>
      <c r="P597" s="25" t="str">
        <f>IFERROR(__xludf.DUMMYFUNCTION("IFERROR(INDEX(FILTER('Kế hoạch chèn link (mới)'!$B$3:$B$2213,'Kế hoạch chèn link (mới)'!$D$3:$D$2213=$B597),5),"""")"),"")</f>
        <v/>
      </c>
    </row>
    <row r="598">
      <c r="A598" s="6">
        <f t="shared" si="1"/>
        <v>597</v>
      </c>
      <c r="B598" s="8" t="s">
        <v>3208</v>
      </c>
      <c r="C598" s="6">
        <f>COUNTIF('Kế hoạch chèn link (mới)'!$D$3:$D$2213,$B598)</f>
        <v>3</v>
      </c>
      <c r="D598" s="8" t="str">
        <f>IF(COUNTIFS('Kế hoạch chèn link (mới)'!$D$3:$D$2213,$B598,'Kế hoạch chèn link (mới)'!$I$3:$I$2213,"Đã chèn")&gt;=$C598,"Đã hoàn thành",IF(COUNTIFS('Kế hoạch chèn link (mới)'!$D$3:$D$2213,$B598,'Kế hoạch chèn link (mới)'!$I$3:$I$2213,"Đã chèn")&gt;0,"Đang làm","Chưa hoàn thành"))</f>
        <v>Chưa hoàn thành</v>
      </c>
      <c r="E598" s="8" t="b">
        <f t="shared" si="2"/>
        <v>0</v>
      </c>
      <c r="F598" s="25"/>
      <c r="G598" s="25" t="str">
        <f>IFERROR(__xludf.DUMMYFUNCTION("IFERROR(INDEX(FILTER('Kế hoạch chèn link (mới)'!$C$3:$C$2213,'Kế hoạch chèn link (mới)'!$D$3:$D$2213=$B598),1),"""")"),"tính lãi vay ngân hàng")</f>
        <v>tính lãi vay ngân hàng</v>
      </c>
      <c r="H598" s="25" t="str">
        <f>IFERROR(__xludf.DUMMYFUNCTION("IFERROR(INDEX(FILTER('Kế hoạch chèn link (mới)'!$B$3:$B$2213,'Kế hoạch chèn link (mới)'!$D$3:$D$2213=$B598),1),"""")"),"https://techcombank.com/cong-cu-tien-ich/cong-cu-tinh-toan/bang-tinh-lai-suat-vay")</f>
        <v>https://techcombank.com/cong-cu-tien-ich/cong-cu-tinh-toan/bang-tinh-lai-suat-vay</v>
      </c>
      <c r="I598" s="25" t="str">
        <f>IFERROR(__xludf.DUMMYFUNCTION("IFERROR(INDEX(FILTER('Kế hoạch chèn link (mới)'!$C$3:$C$2213,'Kế hoạch chèn link (mới)'!$D$3:$D$2213=$B598),2),"""")"),"vay")</f>
        <v>vay</v>
      </c>
      <c r="J598" s="25" t="str">
        <f>IFERROR(__xludf.DUMMYFUNCTION("IFERROR(INDEX(FILTER('Kế hoạch chèn link (mới)'!$B$3:$B$2213,'Kế hoạch chèn link (mới)'!$D$3:$D$2213=$B598),2),"""")"),"https://techcombank.com/thong-tin/blog/app-vay-tien-nhanh")</f>
        <v>https://techcombank.com/thong-tin/blog/app-vay-tien-nhanh</v>
      </c>
      <c r="K598" s="25" t="str">
        <f>IFERROR(__xludf.DUMMYFUNCTION("IFERROR(INDEX(FILTER('Kế hoạch chèn link (mới)'!$C$3:$C$2213,'Kế hoạch chèn link (mới)'!$D$3:$D$2213=$B598),3),"""")"),"lãi suất vay ngân hàng hiện nay")</f>
        <v>lãi suất vay ngân hàng hiện nay</v>
      </c>
      <c r="L598" s="25" t="str">
        <f>IFERROR(__xludf.DUMMYFUNCTION("IFERROR(INDEX(FILTER('Kế hoạch chèn link (mới)'!$B$3:$B$2213,'Kế hoạch chèn link (mới)'!$D$3:$D$2213=$B598),3),"""")"),"https://techcombank.com/thong-tin/blog/lai-suat-vay-ngan-hang")</f>
        <v>https://techcombank.com/thong-tin/blog/lai-suat-vay-ngan-hang</v>
      </c>
      <c r="M598" s="25" t="str">
        <f>IFERROR(__xludf.DUMMYFUNCTION("IFERROR(INDEX(FILTER('Kế hoạch chèn link (mới)'!$C$3:$C$2213,'Kế hoạch chèn link (mới)'!$D$3:$D$2213=$B598),4),"""")"),"")</f>
        <v/>
      </c>
      <c r="N598" s="25" t="str">
        <f>IFERROR(__xludf.DUMMYFUNCTION("IFERROR(INDEX(FILTER('Kế hoạch chèn link (mới)'!$B$3:$B$2213,'Kế hoạch chèn link (mới)'!$D$3:$D$2213=$B598),4),"""")"),"")</f>
        <v/>
      </c>
      <c r="O598" s="25" t="str">
        <f>IFERROR(__xludf.DUMMYFUNCTION("IFERROR(INDEX(FILTER('Kế hoạch chèn link (mới)'!$C$3:$C$2213,'Kế hoạch chèn link (mới)'!$D$3:$D$2213=$B598),5),"""")"),"")</f>
        <v/>
      </c>
      <c r="P598" s="25" t="str">
        <f>IFERROR(__xludf.DUMMYFUNCTION("IFERROR(INDEX(FILTER('Kế hoạch chèn link (mới)'!$B$3:$B$2213,'Kế hoạch chèn link (mới)'!$D$3:$D$2213=$B598),5),"""")"),"")</f>
        <v/>
      </c>
    </row>
    <row r="599">
      <c r="A599" s="6">
        <f t="shared" si="1"/>
        <v>598</v>
      </c>
      <c r="B599" s="8" t="s">
        <v>3210</v>
      </c>
      <c r="C599" s="6">
        <f>COUNTIF('Kế hoạch chèn link (mới)'!$D$3:$D$2213,$B599)</f>
        <v>2</v>
      </c>
      <c r="D599" s="8" t="str">
        <f>IF(COUNTIFS('Kế hoạch chèn link (mới)'!$D$3:$D$2213,$B599,'Kế hoạch chèn link (mới)'!$I$3:$I$2213,"Đã chèn")&gt;=$C599,"Đã hoàn thành",IF(COUNTIFS('Kế hoạch chèn link (mới)'!$D$3:$D$2213,$B599,'Kế hoạch chèn link (mới)'!$I$3:$I$2213,"Đã chèn")&gt;0,"Đang làm","Chưa hoàn thành"))</f>
        <v>Chưa hoàn thành</v>
      </c>
      <c r="E599" s="8" t="b">
        <f t="shared" si="2"/>
        <v>0</v>
      </c>
      <c r="F599" s="25"/>
      <c r="G599" s="25" t="str">
        <f>IFERROR(__xludf.DUMMYFUNCTION("IFERROR(INDEX(FILTER('Kế hoạch chèn link (mới)'!$C$3:$C$2213,'Kế hoạch chèn link (mới)'!$D$3:$D$2213=$B599),1),"""")"),"tỷ giá Đài tệ")</f>
        <v>tỷ giá Đài tệ</v>
      </c>
      <c r="H599" s="25" t="str">
        <f>IFERROR(__xludf.DUMMYFUNCTION("IFERROR(INDEX(FILTER('Kế hoạch chèn link (mới)'!$B$3:$B$2213,'Kế hoạch chèn link (mới)'!$D$3:$D$2213=$B599),1),"""")"),"https://techcombank.com/thong-tin/blog/tien-dai-loan")</f>
        <v>https://techcombank.com/thong-tin/blog/tien-dai-loan</v>
      </c>
      <c r="I599" s="25" t="str">
        <f>IFERROR(__xludf.DUMMYFUNCTION("IFERROR(INDEX(FILTER('Kế hoạch chèn link (mới)'!$C$3:$C$2213,'Kế hoạch chèn link (mới)'!$D$3:$D$2213=$B599),2),"""")"),"nhận tiền từ nước ngoài")</f>
        <v>nhận tiền từ nước ngoài</v>
      </c>
      <c r="J599" s="25" t="str">
        <f>IFERROR(__xludf.DUMMYFUNCTION("IFERROR(INDEX(FILTER('Kế hoạch chèn link (mới)'!$B$3:$B$2213,'Kế hoạch chèn link (mới)'!$D$3:$D$2213=$B599),2),"""")"),"https://techcombank.com/thong-tin/blog/cach-nhan-tien-tu-nuoc-ngoai-ve-viet-nam")</f>
        <v>https://techcombank.com/thong-tin/blog/cach-nhan-tien-tu-nuoc-ngoai-ve-viet-nam</v>
      </c>
      <c r="K599" s="25" t="str">
        <f>IFERROR(__xludf.DUMMYFUNCTION("IFERROR(INDEX(FILTER('Kế hoạch chèn link (mới)'!$C$3:$C$2213,'Kế hoạch chèn link (mới)'!$D$3:$D$2213=$B599),3),"""")"),"")</f>
        <v/>
      </c>
      <c r="L599" s="25" t="str">
        <f>IFERROR(__xludf.DUMMYFUNCTION("IFERROR(INDEX(FILTER('Kế hoạch chèn link (mới)'!$B$3:$B$2213,'Kế hoạch chèn link (mới)'!$D$3:$D$2213=$B599),3),"""")"),"")</f>
        <v/>
      </c>
      <c r="M599" s="25" t="str">
        <f>IFERROR(__xludf.DUMMYFUNCTION("IFERROR(INDEX(FILTER('Kế hoạch chèn link (mới)'!$C$3:$C$2213,'Kế hoạch chèn link (mới)'!$D$3:$D$2213=$B599),4),"""")"),"")</f>
        <v/>
      </c>
      <c r="N599" s="25" t="str">
        <f>IFERROR(__xludf.DUMMYFUNCTION("IFERROR(INDEX(FILTER('Kế hoạch chèn link (mới)'!$B$3:$B$2213,'Kế hoạch chèn link (mới)'!$D$3:$D$2213=$B599),4),"""")"),"")</f>
        <v/>
      </c>
      <c r="O599" s="25" t="str">
        <f>IFERROR(__xludf.DUMMYFUNCTION("IFERROR(INDEX(FILTER('Kế hoạch chèn link (mới)'!$C$3:$C$2213,'Kế hoạch chèn link (mới)'!$D$3:$D$2213=$B599),5),"""")"),"")</f>
        <v/>
      </c>
      <c r="P599" s="25" t="str">
        <f>IFERROR(__xludf.DUMMYFUNCTION("IFERROR(INDEX(FILTER('Kế hoạch chèn link (mới)'!$B$3:$B$2213,'Kế hoạch chèn link (mới)'!$D$3:$D$2213=$B599),5),"""")"),"")</f>
        <v/>
      </c>
    </row>
    <row r="600">
      <c r="A600" s="6">
        <f t="shared" si="1"/>
        <v>599</v>
      </c>
      <c r="B600" s="8" t="s">
        <v>173</v>
      </c>
      <c r="C600" s="6">
        <f>COUNTIF('Kế hoạch chèn link (mới)'!$D$3:$D$2213,$B600)</f>
        <v>4</v>
      </c>
      <c r="D600" s="8" t="str">
        <f>IF(COUNTIFS('Kế hoạch chèn link (mới)'!$D$3:$D$2213,$B600,'Kế hoạch chèn link (mới)'!$I$3:$I$2213,"Đã chèn")&gt;=$C600,"Đã hoàn thành",IF(COUNTIFS('Kế hoạch chèn link (mới)'!$D$3:$D$2213,$B600,'Kế hoạch chèn link (mới)'!$I$3:$I$2213,"Đã chèn")&gt;0,"Đang làm","Chưa hoàn thành"))</f>
        <v>Chưa hoàn thành</v>
      </c>
      <c r="E600" s="8" t="b">
        <f t="shared" si="2"/>
        <v>0</v>
      </c>
      <c r="F600" s="25"/>
      <c r="G600" s="25" t="str">
        <f>IFERROR(__xludf.DUMMYFUNCTION("IFERROR(INDEX(FILTER('Kế hoạch chèn link (mới)'!$C$3:$C$2213,'Kế hoạch chèn link (mới)'!$D$3:$D$2213=$B600),1),"""")"),"lãi suất vay mua xe ô tô")</f>
        <v>lãi suất vay mua xe ô tô</v>
      </c>
      <c r="H600" s="25" t="str">
        <f>IFERROR(__xludf.DUMMYFUNCTION("IFERROR(INDEX(FILTER('Kế hoạch chèn link (mới)'!$B$3:$B$2213,'Kế hoạch chèn link (mới)'!$D$3:$D$2213=$B600),1),"""")"),"https://techcombank.com/thong-tin/blog/lai-suat-vay-mua-o-to")</f>
        <v>https://techcombank.com/thong-tin/blog/lai-suat-vay-mua-o-to</v>
      </c>
      <c r="I600" s="25" t="str">
        <f>IFERROR(__xludf.DUMMYFUNCTION("IFERROR(INDEX(FILTER('Kế hoạch chèn link (mới)'!$C$3:$C$2213,'Kế hoạch chèn link (mới)'!$D$3:$D$2213=$B600),2),"""")"),"vay ngân hàng 1 tỷ mỗi tháng trả bao nhiêu")</f>
        <v>vay ngân hàng 1 tỷ mỗi tháng trả bao nhiêu</v>
      </c>
      <c r="J600" s="25" t="str">
        <f>IFERROR(__xludf.DUMMYFUNCTION("IFERROR(INDEX(FILTER('Kế hoạch chèn link (mới)'!$B$3:$B$2213,'Kế hoạch chèn link (mới)'!$D$3:$D$2213=$B600),2),"""")"),"https://techcombank.com/thong-tin/blog/vay-ngan-hang-1-ty-moi-thang-tra-bao-nhieu")</f>
        <v>https://techcombank.com/thong-tin/blog/vay-ngan-hang-1-ty-moi-thang-tra-bao-nhieu</v>
      </c>
      <c r="K600" s="25" t="str">
        <f>IFERROR(__xludf.DUMMYFUNCTION("IFERROR(INDEX(FILTER('Kế hoạch chèn link (mới)'!$C$3:$C$2213,'Kế hoạch chèn link (mới)'!$D$3:$D$2213=$B600),3),"""")"),"hồ sơ thủ tục xóa thế chấp")</f>
        <v>hồ sơ thủ tục xóa thế chấp</v>
      </c>
      <c r="L600" s="25" t="str">
        <f>IFERROR(__xludf.DUMMYFUNCTION("IFERROR(INDEX(FILTER('Kế hoạch chèn link (mới)'!$B$3:$B$2213,'Kế hoạch chèn link (mới)'!$D$3:$D$2213=$B600),3),"""")"),"https://techcombank.com/thong-tin/blog/ho-so-thu-tuc-xoa-the-chap")</f>
        <v>https://techcombank.com/thong-tin/blog/ho-so-thu-tuc-xoa-the-chap</v>
      </c>
      <c r="M600" s="25" t="str">
        <f>IFERROR(__xludf.DUMMYFUNCTION("IFERROR(INDEX(FILTER('Kế hoạch chèn link (mới)'!$C$3:$C$2213,'Kế hoạch chèn link (mới)'!$D$3:$D$2213=$B600),4),"""")"),"vay")</f>
        <v>vay</v>
      </c>
      <c r="N600" s="25" t="str">
        <f>IFERROR(__xludf.DUMMYFUNCTION("IFERROR(INDEX(FILTER('Kế hoạch chèn link (mới)'!$B$3:$B$2213,'Kế hoạch chèn link (mới)'!$D$3:$D$2213=$B600),4),"""")"),"https://techcombank.com/thong-tin/blog/app-vay-tien-nhanh")</f>
        <v>https://techcombank.com/thong-tin/blog/app-vay-tien-nhanh</v>
      </c>
      <c r="O600" s="25" t="str">
        <f>IFERROR(__xludf.DUMMYFUNCTION("IFERROR(INDEX(FILTER('Kế hoạch chèn link (mới)'!$C$3:$C$2213,'Kế hoạch chèn link (mới)'!$D$3:$D$2213=$B600),5),"""")"),"")</f>
        <v/>
      </c>
      <c r="P600" s="25" t="str">
        <f>IFERROR(__xludf.DUMMYFUNCTION("IFERROR(INDEX(FILTER('Kế hoạch chèn link (mới)'!$B$3:$B$2213,'Kế hoạch chèn link (mới)'!$D$3:$D$2213=$B600),5),"""")"),"")</f>
        <v/>
      </c>
    </row>
    <row r="601">
      <c r="A601" s="6">
        <f t="shared" si="1"/>
        <v>600</v>
      </c>
      <c r="B601" s="8" t="s">
        <v>675</v>
      </c>
      <c r="C601" s="6">
        <f>COUNTIF('Kế hoạch chèn link (mới)'!$D$3:$D$2213,$B601)</f>
        <v>4</v>
      </c>
      <c r="D601" s="8" t="str">
        <f>IF(COUNTIFS('Kế hoạch chèn link (mới)'!$D$3:$D$2213,$B601,'Kế hoạch chèn link (mới)'!$I$3:$I$2213,"Đã chèn")&gt;=$C601,"Đã hoàn thành",IF(COUNTIFS('Kế hoạch chèn link (mới)'!$D$3:$D$2213,$B601,'Kế hoạch chèn link (mới)'!$I$3:$I$2213,"Đã chèn")&gt;0,"Đang làm","Chưa hoàn thành"))</f>
        <v>Chưa hoàn thành</v>
      </c>
      <c r="E601" s="8" t="b">
        <f t="shared" si="2"/>
        <v>0</v>
      </c>
      <c r="F601" s="25"/>
      <c r="G601" s="25" t="str">
        <f>IFERROR(__xludf.DUMMYFUNCTION("IFERROR(INDEX(FILTER('Kế hoạch chèn link (mới)'!$C$3:$C$2213,'Kế hoạch chèn link (mới)'!$D$3:$D$2213=$B601),1),"""")"),"nộp thuế online")</f>
        <v>nộp thuế online</v>
      </c>
      <c r="H601" s="25" t="str">
        <f>IFERROR(__xludf.DUMMYFUNCTION("IFERROR(INDEX(FILTER('Kế hoạch chèn link (mới)'!$B$3:$B$2213,'Kế hoạch chèn link (mới)'!$D$3:$D$2213=$B601),1),"""")"),"https://techcombank.com/thong-tin/blog/cach-nop-thue-dien-tu")</f>
        <v>https://techcombank.com/thong-tin/blog/cach-nop-thue-dien-tu</v>
      </c>
      <c r="I601" s="25" t="str">
        <f>IFERROR(__xludf.DUMMYFUNCTION("IFERROR(INDEX(FILTER('Kế hoạch chèn link (mới)'!$C$3:$C$2213,'Kế hoạch chèn link (mới)'!$D$3:$D$2213=$B601),2),"""")"),"thuế thu nhập doanh nghiệp")</f>
        <v>thuế thu nhập doanh nghiệp</v>
      </c>
      <c r="J601" s="25" t="str">
        <f>IFERROR(__xludf.DUMMYFUNCTION("IFERROR(INDEX(FILTER('Kế hoạch chèn link (mới)'!$B$3:$B$2213,'Kế hoạch chèn link (mới)'!$D$3:$D$2213=$B601),2),"""")"),"https://techcombank.com/thong-tin/blog/thue-thu-nhap-doanh-nghiep")</f>
        <v>https://techcombank.com/thong-tin/blog/thue-thu-nhap-doanh-nghiep</v>
      </c>
      <c r="K601" s="25" t="str">
        <f>IFERROR(__xludf.DUMMYFUNCTION("IFERROR(INDEX(FILTER('Kế hoạch chèn link (mới)'!$C$3:$C$2213,'Kế hoạch chèn link (mới)'!$D$3:$D$2213=$B601),3),"""")"),"thuế doanh nghiệp")</f>
        <v>thuế doanh nghiệp</v>
      </c>
      <c r="L601" s="25" t="str">
        <f>IFERROR(__xludf.DUMMYFUNCTION("IFERROR(INDEX(FILTER('Kế hoạch chèn link (mới)'!$B$3:$B$2213,'Kế hoạch chèn link (mới)'!$D$3:$D$2213=$B601),3),"""")"),"https://techcombank.com/thong-tin/blog/thue-doanh-nghiep")</f>
        <v>https://techcombank.com/thong-tin/blog/thue-doanh-nghiep</v>
      </c>
      <c r="M601" s="25" t="str">
        <f>IFERROR(__xludf.DUMMYFUNCTION("IFERROR(INDEX(FILTER('Kế hoạch chèn link (mới)'!$C$3:$C$2213,'Kế hoạch chèn link (mới)'!$D$3:$D$2213=$B601),4),"""")"),"công ty dùng tài khoản cá nhân có được không")</f>
        <v>công ty dùng tài khoản cá nhân có được không</v>
      </c>
      <c r="N601" s="25" t="str">
        <f>IFERROR(__xludf.DUMMYFUNCTION("IFERROR(INDEX(FILTER('Kế hoạch chèn link (mới)'!$B$3:$B$2213,'Kế hoạch chèn link (mới)'!$D$3:$D$2213=$B601),4),"""")"),"https://techcombank.com/thong-tin/blog/cong-ty-su-dung-tai-khoan-ca-nhan")</f>
        <v>https://techcombank.com/thong-tin/blog/cong-ty-su-dung-tai-khoan-ca-nhan</v>
      </c>
      <c r="O601" s="25" t="str">
        <f>IFERROR(__xludf.DUMMYFUNCTION("IFERROR(INDEX(FILTER('Kế hoạch chèn link (mới)'!$C$3:$C$2213,'Kế hoạch chèn link (mới)'!$D$3:$D$2213=$B601),5),"""")"),"")</f>
        <v/>
      </c>
      <c r="P601" s="25" t="str">
        <f>IFERROR(__xludf.DUMMYFUNCTION("IFERROR(INDEX(FILTER('Kế hoạch chèn link (mới)'!$B$3:$B$2213,'Kế hoạch chèn link (mới)'!$D$3:$D$2213=$B601),5),"""")"),"")</f>
        <v/>
      </c>
    </row>
    <row r="602">
      <c r="A602" s="6">
        <f t="shared" si="1"/>
        <v>601</v>
      </c>
      <c r="B602" s="8" t="s">
        <v>3213</v>
      </c>
      <c r="C602" s="6">
        <f>COUNTIF('Kế hoạch chèn link (mới)'!$D$3:$D$2213,$B602)</f>
        <v>2</v>
      </c>
      <c r="D602" s="8" t="str">
        <f>IF(COUNTIFS('Kế hoạch chèn link (mới)'!$D$3:$D$2213,$B602,'Kế hoạch chèn link (mới)'!$I$3:$I$2213,"Đã chèn")&gt;=$C602,"Đã hoàn thành",IF(COUNTIFS('Kế hoạch chèn link (mới)'!$D$3:$D$2213,$B602,'Kế hoạch chèn link (mới)'!$I$3:$I$2213,"Đã chèn")&gt;0,"Đang làm","Chưa hoàn thành"))</f>
        <v>Chưa hoàn thành</v>
      </c>
      <c r="E602" s="8" t="b">
        <f t="shared" si="2"/>
        <v>0</v>
      </c>
      <c r="F602" s="25"/>
      <c r="G602" s="25" t="str">
        <f>IFERROR(__xludf.DUMMYFUNCTION("IFERROR(INDEX(FILTER('Kế hoạch chèn link (mới)'!$C$3:$C$2213,'Kế hoạch chèn link (mới)'!$D$3:$D$2213=$B602),1),"""")"),"tính lãi vay ngân hàng")</f>
        <v>tính lãi vay ngân hàng</v>
      </c>
      <c r="H602" s="25" t="str">
        <f>IFERROR(__xludf.DUMMYFUNCTION("IFERROR(INDEX(FILTER('Kế hoạch chèn link (mới)'!$B$3:$B$2213,'Kế hoạch chèn link (mới)'!$D$3:$D$2213=$B602),1),"""")"),"https://techcombank.com/cong-cu-tien-ich/cong-cu-tinh-toan/bang-tinh-lai-suat-vay")</f>
        <v>https://techcombank.com/cong-cu-tien-ich/cong-cu-tinh-toan/bang-tinh-lai-suat-vay</v>
      </c>
      <c r="I602" s="25" t="str">
        <f>IFERROR(__xludf.DUMMYFUNCTION("IFERROR(INDEX(FILTER('Kế hoạch chèn link (mới)'!$C$3:$C$2213,'Kế hoạch chèn link (mới)'!$D$3:$D$2213=$B602),2),"""")"),"lãi suất cho vay ngân hàng")</f>
        <v>lãi suất cho vay ngân hàng</v>
      </c>
      <c r="J602" s="25" t="str">
        <f>IFERROR(__xludf.DUMMYFUNCTION("IFERROR(INDEX(FILTER('Kế hoạch chèn link (mới)'!$B$3:$B$2213,'Kế hoạch chèn link (mới)'!$D$3:$D$2213=$B602),2),"""")"),"https://techcombank.com/thong-tin/blog/lai-suat-vay-ngan-hang")</f>
        <v>https://techcombank.com/thong-tin/blog/lai-suat-vay-ngan-hang</v>
      </c>
      <c r="K602" s="25" t="str">
        <f>IFERROR(__xludf.DUMMYFUNCTION("IFERROR(INDEX(FILTER('Kế hoạch chèn link (mới)'!$C$3:$C$2213,'Kế hoạch chèn link (mới)'!$D$3:$D$2213=$B602),3),"""")"),"")</f>
        <v/>
      </c>
      <c r="L602" s="25" t="str">
        <f>IFERROR(__xludf.DUMMYFUNCTION("IFERROR(INDEX(FILTER('Kế hoạch chèn link (mới)'!$B$3:$B$2213,'Kế hoạch chèn link (mới)'!$D$3:$D$2213=$B602),3),"""")"),"")</f>
        <v/>
      </c>
      <c r="M602" s="25" t="str">
        <f>IFERROR(__xludf.DUMMYFUNCTION("IFERROR(INDEX(FILTER('Kế hoạch chèn link (mới)'!$C$3:$C$2213,'Kế hoạch chèn link (mới)'!$D$3:$D$2213=$B602),4),"""")"),"")</f>
        <v/>
      </c>
      <c r="N602" s="25" t="str">
        <f>IFERROR(__xludf.DUMMYFUNCTION("IFERROR(INDEX(FILTER('Kế hoạch chèn link (mới)'!$B$3:$B$2213,'Kế hoạch chèn link (mới)'!$D$3:$D$2213=$B602),4),"""")"),"")</f>
        <v/>
      </c>
      <c r="O602" s="25" t="str">
        <f>IFERROR(__xludf.DUMMYFUNCTION("IFERROR(INDEX(FILTER('Kế hoạch chèn link (mới)'!$C$3:$C$2213,'Kế hoạch chèn link (mới)'!$D$3:$D$2213=$B602),5),"""")"),"")</f>
        <v/>
      </c>
      <c r="P602" s="25" t="str">
        <f>IFERROR(__xludf.DUMMYFUNCTION("IFERROR(INDEX(FILTER('Kế hoạch chèn link (mới)'!$B$3:$B$2213,'Kế hoạch chèn link (mới)'!$D$3:$D$2213=$B602),5),"""")"),"")</f>
        <v/>
      </c>
    </row>
    <row r="603">
      <c r="A603" s="6">
        <f t="shared" si="1"/>
        <v>602</v>
      </c>
      <c r="B603" s="8" t="s">
        <v>3214</v>
      </c>
      <c r="C603" s="6">
        <f>COUNTIF('Kế hoạch chèn link (mới)'!$D$3:$D$2213,$B603)</f>
        <v>2</v>
      </c>
      <c r="D603" s="8" t="str">
        <f>IF(COUNTIFS('Kế hoạch chèn link (mới)'!$D$3:$D$2213,$B603,'Kế hoạch chèn link (mới)'!$I$3:$I$2213,"Đã chèn")&gt;=$C603,"Đã hoàn thành",IF(COUNTIFS('Kế hoạch chèn link (mới)'!$D$3:$D$2213,$B603,'Kế hoạch chèn link (mới)'!$I$3:$I$2213,"Đã chèn")&gt;0,"Đang làm","Chưa hoàn thành"))</f>
        <v>Chưa hoàn thành</v>
      </c>
      <c r="E603" s="8" t="b">
        <f t="shared" si="2"/>
        <v>0</v>
      </c>
      <c r="F603" s="25"/>
      <c r="G603" s="25" t="str">
        <f>IFERROR(__xludf.DUMMYFUNCTION("IFERROR(INDEX(FILTER('Kế hoạch chèn link (mới)'!$C$3:$C$2213,'Kế hoạch chèn link (mới)'!$D$3:$D$2213=$B603),1),"""")"),"tính lãi suất vay ngân hàng")</f>
        <v>tính lãi suất vay ngân hàng</v>
      </c>
      <c r="H603" s="25" t="str">
        <f>IFERROR(__xludf.DUMMYFUNCTION("IFERROR(INDEX(FILTER('Kế hoạch chèn link (mới)'!$B$3:$B$2213,'Kế hoạch chèn link (mới)'!$D$3:$D$2213=$B603),1),"""")"),"https://techcombank.com/cong-cu-tien-ich/cong-cu-tinh-toan/bang-tinh-lai-suat-vay")</f>
        <v>https://techcombank.com/cong-cu-tien-ich/cong-cu-tinh-toan/bang-tinh-lai-suat-vay</v>
      </c>
      <c r="I603" s="25" t="str">
        <f>IFERROR(__xludf.DUMMYFUNCTION("IFERROR(INDEX(FILTER('Kế hoạch chèn link (mới)'!$C$3:$C$2213,'Kế hoạch chèn link (mới)'!$D$3:$D$2213=$B603),2),"""")"),"lãi suất vay ngân hàng")</f>
        <v>lãi suất vay ngân hàng</v>
      </c>
      <c r="J603" s="25" t="str">
        <f>IFERROR(__xludf.DUMMYFUNCTION("IFERROR(INDEX(FILTER('Kế hoạch chèn link (mới)'!$B$3:$B$2213,'Kế hoạch chèn link (mới)'!$D$3:$D$2213=$B603),2),"""")"),"https://techcombank.com/thong-tin/blog/lai-suat-vay-ngan-hang")</f>
        <v>https://techcombank.com/thong-tin/blog/lai-suat-vay-ngan-hang</v>
      </c>
      <c r="K603" s="25" t="str">
        <f>IFERROR(__xludf.DUMMYFUNCTION("IFERROR(INDEX(FILTER('Kế hoạch chèn link (mới)'!$C$3:$C$2213,'Kế hoạch chèn link (mới)'!$D$3:$D$2213=$B603),3),"""")"),"")</f>
        <v/>
      </c>
      <c r="L603" s="25" t="str">
        <f>IFERROR(__xludf.DUMMYFUNCTION("IFERROR(INDEX(FILTER('Kế hoạch chèn link (mới)'!$B$3:$B$2213,'Kế hoạch chèn link (mới)'!$D$3:$D$2213=$B603),3),"""")"),"")</f>
        <v/>
      </c>
      <c r="M603" s="25" t="str">
        <f>IFERROR(__xludf.DUMMYFUNCTION("IFERROR(INDEX(FILTER('Kế hoạch chèn link (mới)'!$C$3:$C$2213,'Kế hoạch chèn link (mới)'!$D$3:$D$2213=$B603),4),"""")"),"")</f>
        <v/>
      </c>
      <c r="N603" s="25" t="str">
        <f>IFERROR(__xludf.DUMMYFUNCTION("IFERROR(INDEX(FILTER('Kế hoạch chèn link (mới)'!$B$3:$B$2213,'Kế hoạch chèn link (mới)'!$D$3:$D$2213=$B603),4),"""")"),"")</f>
        <v/>
      </c>
      <c r="O603" s="25" t="str">
        <f>IFERROR(__xludf.DUMMYFUNCTION("IFERROR(INDEX(FILTER('Kế hoạch chèn link (mới)'!$C$3:$C$2213,'Kế hoạch chèn link (mới)'!$D$3:$D$2213=$B603),5),"""")"),"")</f>
        <v/>
      </c>
      <c r="P603" s="25" t="str">
        <f>IFERROR(__xludf.DUMMYFUNCTION("IFERROR(INDEX(FILTER('Kế hoạch chèn link (mới)'!$B$3:$B$2213,'Kế hoạch chèn link (mới)'!$D$3:$D$2213=$B603),5),"""")"),"")</f>
        <v/>
      </c>
    </row>
    <row r="604">
      <c r="A604" s="6">
        <f t="shared" si="1"/>
        <v>603</v>
      </c>
      <c r="B604" s="8" t="s">
        <v>3216</v>
      </c>
      <c r="C604" s="6">
        <f>COUNTIF('Kế hoạch chèn link (mới)'!$D$3:$D$2213,$B604)</f>
        <v>3</v>
      </c>
      <c r="D604" s="8" t="str">
        <f>IF(COUNTIFS('Kế hoạch chèn link (mới)'!$D$3:$D$2213,$B604,'Kế hoạch chèn link (mới)'!$I$3:$I$2213,"Đã chèn")&gt;=$C604,"Đã hoàn thành",IF(COUNTIFS('Kế hoạch chèn link (mới)'!$D$3:$D$2213,$B604,'Kế hoạch chèn link (mới)'!$I$3:$I$2213,"Đã chèn")&gt;0,"Đang làm","Chưa hoàn thành"))</f>
        <v>Chưa hoàn thành</v>
      </c>
      <c r="E604" s="8" t="b">
        <f t="shared" si="2"/>
        <v>0</v>
      </c>
      <c r="F604" s="25"/>
      <c r="G604" s="25" t="str">
        <f>IFERROR(__xludf.DUMMYFUNCTION("IFERROR(INDEX(FILTER('Kế hoạch chèn link (mới)'!$C$3:$C$2213,'Kế hoạch chèn link (mới)'!$D$3:$D$2213=$B604),1),"""")"),"tài khoản hộ kinh doanh")</f>
        <v>tài khoản hộ kinh doanh</v>
      </c>
      <c r="H604" s="25" t="str">
        <f>IFERROR(__xludf.DUMMYFUNCTION("IFERROR(INDEX(FILTER('Kế hoạch chèn link (mới)'!$B$3:$B$2213,'Kế hoạch chèn link (mới)'!$D$3:$D$2213=$B604),1),"""")"),"https://techcombank.com/thong-tin/blog/mo-tai-khoan-ho-kinh-doanh")</f>
        <v>https://techcombank.com/thong-tin/blog/mo-tai-khoan-ho-kinh-doanh</v>
      </c>
      <c r="I604" s="25" t="str">
        <f>IFERROR(__xludf.DUMMYFUNCTION("IFERROR(INDEX(FILTER('Kế hoạch chèn link (mới)'!$C$3:$C$2213,'Kế hoạch chèn link (mới)'!$D$3:$D$2213=$B604),2),"""")"),"tính lãi suất vay ngân hàng")</f>
        <v>tính lãi suất vay ngân hàng</v>
      </c>
      <c r="J604" s="25" t="str">
        <f>IFERROR(__xludf.DUMMYFUNCTION("IFERROR(INDEX(FILTER('Kế hoạch chèn link (mới)'!$B$3:$B$2213,'Kế hoạch chèn link (mới)'!$D$3:$D$2213=$B604),2),"""")"),"https://techcombank.com/cong-cu-tien-ich/cong-cu-tinh-toan/bang-tinh-lai-suat-vay")</f>
        <v>https://techcombank.com/cong-cu-tien-ich/cong-cu-tinh-toan/bang-tinh-lai-suat-vay</v>
      </c>
      <c r="K604" s="25" t="str">
        <f>IFERROR(__xludf.DUMMYFUNCTION("IFERROR(INDEX(FILTER('Kế hoạch chèn link (mới)'!$C$3:$C$2213,'Kế hoạch chèn link (mới)'!$D$3:$D$2213=$B604),3),"""")"),"lãi suất cho vay ngân hàng")</f>
        <v>lãi suất cho vay ngân hàng</v>
      </c>
      <c r="L604" s="25" t="str">
        <f>IFERROR(__xludf.DUMMYFUNCTION("IFERROR(INDEX(FILTER('Kế hoạch chèn link (mới)'!$B$3:$B$2213,'Kế hoạch chèn link (mới)'!$D$3:$D$2213=$B604),3),"""")"),"https://techcombank.com/thong-tin/blog/lai-suat-vay-ngan-hang")</f>
        <v>https://techcombank.com/thong-tin/blog/lai-suat-vay-ngan-hang</v>
      </c>
      <c r="M604" s="25" t="str">
        <f>IFERROR(__xludf.DUMMYFUNCTION("IFERROR(INDEX(FILTER('Kế hoạch chèn link (mới)'!$C$3:$C$2213,'Kế hoạch chèn link (mới)'!$D$3:$D$2213=$B604),4),"""")"),"")</f>
        <v/>
      </c>
      <c r="N604" s="25" t="str">
        <f>IFERROR(__xludf.DUMMYFUNCTION("IFERROR(INDEX(FILTER('Kế hoạch chèn link (mới)'!$B$3:$B$2213,'Kế hoạch chèn link (mới)'!$D$3:$D$2213=$B604),4),"""")"),"")</f>
        <v/>
      </c>
      <c r="O604" s="25" t="str">
        <f>IFERROR(__xludf.DUMMYFUNCTION("IFERROR(INDEX(FILTER('Kế hoạch chèn link (mới)'!$C$3:$C$2213,'Kế hoạch chèn link (mới)'!$D$3:$D$2213=$B604),5),"""")"),"")</f>
        <v/>
      </c>
      <c r="P604" s="25" t="str">
        <f>IFERROR(__xludf.DUMMYFUNCTION("IFERROR(INDEX(FILTER('Kế hoạch chèn link (mới)'!$B$3:$B$2213,'Kế hoạch chèn link (mới)'!$D$3:$D$2213=$B604),5),"""")"),"")</f>
        <v/>
      </c>
    </row>
    <row r="605">
      <c r="A605" s="6">
        <f t="shared" si="1"/>
        <v>604</v>
      </c>
      <c r="B605" s="8" t="s">
        <v>3217</v>
      </c>
      <c r="C605" s="6">
        <f>COUNTIF('Kế hoạch chèn link (mới)'!$D$3:$D$2213,$B605)</f>
        <v>4</v>
      </c>
      <c r="D605" s="8" t="str">
        <f>IF(COUNTIFS('Kế hoạch chèn link (mới)'!$D$3:$D$2213,$B605,'Kế hoạch chèn link (mới)'!$I$3:$I$2213,"Đã chèn")&gt;=$C605,"Đã hoàn thành",IF(COUNTIFS('Kế hoạch chèn link (mới)'!$D$3:$D$2213,$B605,'Kế hoạch chèn link (mới)'!$I$3:$I$2213,"Đã chèn")&gt;0,"Đang làm","Chưa hoàn thành"))</f>
        <v>Chưa hoàn thành</v>
      </c>
      <c r="E605" s="8" t="b">
        <f t="shared" si="2"/>
        <v>0</v>
      </c>
      <c r="F605" s="25"/>
      <c r="G605" s="25" t="str">
        <f>IFERROR(__xludf.DUMMYFUNCTION("IFERROR(INDEX(FILTER('Kế hoạch chèn link (mới)'!$C$3:$C$2213,'Kế hoạch chèn link (mới)'!$D$3:$D$2213=$B605),1),"""")"),"cách tính lãi suất vay ngân hàng")</f>
        <v>cách tính lãi suất vay ngân hàng</v>
      </c>
      <c r="H605" s="25" t="str">
        <f>IFERROR(__xludf.DUMMYFUNCTION("IFERROR(INDEX(FILTER('Kế hoạch chèn link (mới)'!$B$3:$B$2213,'Kế hoạch chèn link (mới)'!$D$3:$D$2213=$B605),1),"""")"),"https://techcombank.com/thong-tin/blog/cach-tinh-lai-vay-ngan-hang")</f>
        <v>https://techcombank.com/thong-tin/blog/cach-tinh-lai-vay-ngan-hang</v>
      </c>
      <c r="I605" s="25" t="str">
        <f>IFERROR(__xludf.DUMMYFUNCTION("IFERROR(INDEX(FILTER('Kế hoạch chèn link (mới)'!$C$3:$C$2213,'Kế hoạch chèn link (mới)'!$D$3:$D$2213=$B605),2),"""")"),"tính lãi suất vay ngân hàng")</f>
        <v>tính lãi suất vay ngân hàng</v>
      </c>
      <c r="J605" s="25" t="str">
        <f>IFERROR(__xludf.DUMMYFUNCTION("IFERROR(INDEX(FILTER('Kế hoạch chèn link (mới)'!$B$3:$B$2213,'Kế hoạch chèn link (mới)'!$D$3:$D$2213=$B605),2),"""")"),"https://techcombank.com/cong-cu-tien-ich/cong-cu-tinh-toan/bang-tinh-lai-suat-vay")</f>
        <v>https://techcombank.com/cong-cu-tien-ich/cong-cu-tinh-toan/bang-tinh-lai-suat-vay</v>
      </c>
      <c r="K605" s="25" t="str">
        <f>IFERROR(__xludf.DUMMYFUNCTION("IFERROR(INDEX(FILTER('Kế hoạch chèn link (mới)'!$C$3:$C$2213,'Kế hoạch chèn link (mới)'!$D$3:$D$2213=$B605),3),"""")"),"vay nhanh")</f>
        <v>vay nhanh</v>
      </c>
      <c r="L605" s="25" t="str">
        <f>IFERROR(__xludf.DUMMYFUNCTION("IFERROR(INDEX(FILTER('Kế hoạch chèn link (mới)'!$B$3:$B$2213,'Kế hoạch chèn link (mới)'!$D$3:$D$2213=$B605),3),"""")"),"https://techcombank.com/thong-tin/blog/app-vay-tien-nhanh")</f>
        <v>https://techcombank.com/thong-tin/blog/app-vay-tien-nhanh</v>
      </c>
      <c r="M605" s="25" t="str">
        <f>IFERROR(__xludf.DUMMYFUNCTION("IFERROR(INDEX(FILTER('Kế hoạch chèn link (mới)'!$C$3:$C$2213,'Kế hoạch chèn link (mới)'!$D$3:$D$2213=$B605),4),"""")"),"lãi suất vay ngân hàng")</f>
        <v>lãi suất vay ngân hàng</v>
      </c>
      <c r="N605" s="25" t="str">
        <f>IFERROR(__xludf.DUMMYFUNCTION("IFERROR(INDEX(FILTER('Kế hoạch chèn link (mới)'!$B$3:$B$2213,'Kế hoạch chèn link (mới)'!$D$3:$D$2213=$B605),4),"""")"),"https://techcombank.com/thong-tin/blog/lai-suat-vay-ngan-hang")</f>
        <v>https://techcombank.com/thong-tin/blog/lai-suat-vay-ngan-hang</v>
      </c>
      <c r="O605" s="25" t="str">
        <f>IFERROR(__xludf.DUMMYFUNCTION("IFERROR(INDEX(FILTER('Kế hoạch chèn link (mới)'!$C$3:$C$2213,'Kế hoạch chèn link (mới)'!$D$3:$D$2213=$B605),5),"""")"),"")</f>
        <v/>
      </c>
      <c r="P605" s="25" t="str">
        <f>IFERROR(__xludf.DUMMYFUNCTION("IFERROR(INDEX(FILTER('Kế hoạch chèn link (mới)'!$B$3:$B$2213,'Kế hoạch chèn link (mới)'!$D$3:$D$2213=$B605),5),"""")"),"")</f>
        <v/>
      </c>
    </row>
    <row r="606">
      <c r="A606" s="6">
        <f t="shared" si="1"/>
        <v>605</v>
      </c>
      <c r="B606" s="8" t="s">
        <v>769</v>
      </c>
      <c r="C606" s="6">
        <f>COUNTIF('Kế hoạch chèn link (mới)'!$D$3:$D$2213,$B606)</f>
        <v>5</v>
      </c>
      <c r="D606" s="8" t="str">
        <f>IF(COUNTIFS('Kế hoạch chèn link (mới)'!$D$3:$D$2213,$B606,'Kế hoạch chèn link (mới)'!$I$3:$I$2213,"Đã chèn")&gt;=$C606,"Đã hoàn thành",IF(COUNTIFS('Kế hoạch chèn link (mới)'!$D$3:$D$2213,$B606,'Kế hoạch chèn link (mới)'!$I$3:$I$2213,"Đã chèn")&gt;0,"Đang làm","Chưa hoàn thành"))</f>
        <v>Chưa hoàn thành</v>
      </c>
      <c r="E606" s="8" t="b">
        <f t="shared" si="2"/>
        <v>0</v>
      </c>
      <c r="F606" s="25"/>
      <c r="G606" s="25" t="str">
        <f>IFERROR(__xludf.DUMMYFUNCTION("IFERROR(INDEX(FILTER('Kế hoạch chèn link (mới)'!$C$3:$C$2213,'Kế hoạch chèn link (mới)'!$D$3:$D$2213=$B606),1),"""")"),"thuế thu nhập doanh nghiệp")</f>
        <v>thuế thu nhập doanh nghiệp</v>
      </c>
      <c r="H606" s="25" t="str">
        <f>IFERROR(__xludf.DUMMYFUNCTION("IFERROR(INDEX(FILTER('Kế hoạch chèn link (mới)'!$B$3:$B$2213,'Kế hoạch chèn link (mới)'!$D$3:$D$2213=$B606),1),"""")"),"https://techcombank.com/thong-tin/blog/thue-thu-nhap-doanh-nghiep")</f>
        <v>https://techcombank.com/thong-tin/blog/thue-thu-nhap-doanh-nghiep</v>
      </c>
      <c r="I606" s="25" t="str">
        <f>IFERROR(__xludf.DUMMYFUNCTION("IFERROR(INDEX(FILTER('Kế hoạch chèn link (mới)'!$C$3:$C$2213,'Kế hoạch chèn link (mới)'!$D$3:$D$2213=$B606),2),"""")"),"thuế giá trị gia tăng")</f>
        <v>thuế giá trị gia tăng</v>
      </c>
      <c r="J606" s="25" t="str">
        <f>IFERROR(__xludf.DUMMYFUNCTION("IFERROR(INDEX(FILTER('Kế hoạch chèn link (mới)'!$B$3:$B$2213,'Kế hoạch chèn link (mới)'!$D$3:$D$2213=$B606),2),"""")"),"https://techcombank.com/thong-tin/blog/thue-vat-la-gi")</f>
        <v>https://techcombank.com/thong-tin/blog/thue-vat-la-gi</v>
      </c>
      <c r="K606" s="25" t="str">
        <f>IFERROR(__xludf.DUMMYFUNCTION("IFERROR(INDEX(FILTER('Kế hoạch chèn link (mới)'!$C$3:$C$2213,'Kế hoạch chèn link (mới)'!$D$3:$D$2213=$B606),3),"""")"),"tra cứu nợ thuế doanh nghiệp")</f>
        <v>tra cứu nợ thuế doanh nghiệp</v>
      </c>
      <c r="L606" s="25" t="str">
        <f>IFERROR(__xludf.DUMMYFUNCTION("IFERROR(INDEX(FILTER('Kế hoạch chèn link (mới)'!$B$3:$B$2213,'Kế hoạch chèn link (mới)'!$D$3:$D$2213=$B606),3),"""")"),"https://techcombank.com/thong-tin/blog/tra-cuu-no-thue-doanh-nghiep")</f>
        <v>https://techcombank.com/thong-tin/blog/tra-cuu-no-thue-doanh-nghiep</v>
      </c>
      <c r="M606" s="25" t="str">
        <f>IFERROR(__xludf.DUMMYFUNCTION("IFERROR(INDEX(FILTER('Kế hoạch chèn link (mới)'!$C$3:$C$2213,'Kế hoạch chèn link (mới)'!$D$3:$D$2213=$B606),4),"""")"),"công thức tính thuế TNDN")</f>
        <v>công thức tính thuế TNDN</v>
      </c>
      <c r="N606" s="25" t="str">
        <f>IFERROR(__xludf.DUMMYFUNCTION("IFERROR(INDEX(FILTER('Kế hoạch chèn link (mới)'!$B$3:$B$2213,'Kế hoạch chèn link (mới)'!$D$3:$D$2213=$B606),4),"""")"),"https://techcombank.com/thong-tin/blog/cach-tinh-thue-thu-nhap-doanh-nghiep")</f>
        <v>https://techcombank.com/thong-tin/blog/cach-tinh-thue-thu-nhap-doanh-nghiep</v>
      </c>
      <c r="O606" s="25" t="str">
        <f>IFERROR(__xludf.DUMMYFUNCTION("IFERROR(INDEX(FILTER('Kế hoạch chèn link (mới)'!$C$3:$C$2213,'Kế hoạch chèn link (mới)'!$D$3:$D$2213=$B606),5),"""")"),"thuế thu nhập cá nhân")</f>
        <v>thuế thu nhập cá nhân</v>
      </c>
      <c r="P606" s="25" t="str">
        <f>IFERROR(__xludf.DUMMYFUNCTION("IFERROR(INDEX(FILTER('Kế hoạch chèn link (mới)'!$B$3:$B$2213,'Kế hoạch chèn link (mới)'!$D$3:$D$2213=$B606),5),"""")"),"https://techcombank.com/thong-tin/blog/cach-tinh-thue-thu-nhap-ca-nhan-2025")</f>
        <v>https://techcombank.com/thong-tin/blog/cach-tinh-thue-thu-nhap-ca-nhan-2025</v>
      </c>
    </row>
    <row r="607">
      <c r="A607" s="6">
        <f t="shared" si="1"/>
        <v>606</v>
      </c>
      <c r="B607" s="8" t="s">
        <v>719</v>
      </c>
      <c r="C607" s="6">
        <f>COUNTIF('Kế hoạch chèn link (mới)'!$D$3:$D$2213,$B607)</f>
        <v>5</v>
      </c>
      <c r="D607" s="8" t="str">
        <f>IF(COUNTIFS('Kế hoạch chèn link (mới)'!$D$3:$D$2213,$B607,'Kế hoạch chèn link (mới)'!$I$3:$I$2213,"Đã chèn")&gt;=$C607,"Đã hoàn thành",IF(COUNTIFS('Kế hoạch chèn link (mới)'!$D$3:$D$2213,$B607,'Kế hoạch chèn link (mới)'!$I$3:$I$2213,"Đã chèn")&gt;0,"Đang làm","Chưa hoàn thành"))</f>
        <v>Chưa hoàn thành</v>
      </c>
      <c r="E607" s="8" t="b">
        <f t="shared" si="2"/>
        <v>0</v>
      </c>
      <c r="F607" s="25"/>
      <c r="G607" s="25" t="str">
        <f>IFERROR(__xludf.DUMMYFUNCTION("IFERROR(INDEX(FILTER('Kế hoạch chèn link (mới)'!$C$3:$C$2213,'Kế hoạch chèn link (mới)'!$D$3:$D$2213=$B607),1),"""")"),"nộp thuế online")</f>
        <v>nộp thuế online</v>
      </c>
      <c r="H607" s="25" t="str">
        <f>IFERROR(__xludf.DUMMYFUNCTION("IFERROR(INDEX(FILTER('Kế hoạch chèn link (mới)'!$B$3:$B$2213,'Kế hoạch chèn link (mới)'!$D$3:$D$2213=$B607),1),"""")"),"https://techcombank.com/thong-tin/blog/cach-nop-thue-dien-tu")</f>
        <v>https://techcombank.com/thong-tin/blog/cach-nop-thue-dien-tu</v>
      </c>
      <c r="I607" s="25" t="str">
        <f>IFERROR(__xludf.DUMMYFUNCTION("IFERROR(INDEX(FILTER('Kế hoạch chèn link (mới)'!$C$3:$C$2213,'Kế hoạch chèn link (mới)'!$D$3:$D$2213=$B607),2),"""")"),"thuế thu nhập doanh nghiệp")</f>
        <v>thuế thu nhập doanh nghiệp</v>
      </c>
      <c r="J607" s="25" t="str">
        <f>IFERROR(__xludf.DUMMYFUNCTION("IFERROR(INDEX(FILTER('Kế hoạch chèn link (mới)'!$B$3:$B$2213,'Kế hoạch chèn link (mới)'!$D$3:$D$2213=$B607),2),"""")"),"https://techcombank.com/thong-tin/blog/thue-thu-nhap-doanh-nghiep")</f>
        <v>https://techcombank.com/thong-tin/blog/thue-thu-nhap-doanh-nghiep</v>
      </c>
      <c r="K607" s="25" t="str">
        <f>IFERROR(__xludf.DUMMYFUNCTION("IFERROR(INDEX(FILTER('Kế hoạch chèn link (mới)'!$C$3:$C$2213,'Kế hoạch chèn link (mới)'!$D$3:$D$2213=$B607),3),"""")"),"thuế doanh nghiệp")</f>
        <v>thuế doanh nghiệp</v>
      </c>
      <c r="L607" s="25" t="str">
        <f>IFERROR(__xludf.DUMMYFUNCTION("IFERROR(INDEX(FILTER('Kế hoạch chèn link (mới)'!$B$3:$B$2213,'Kế hoạch chèn link (mới)'!$D$3:$D$2213=$B607),3),"""")"),"https://techcombank.com/thong-tin/blog/thue-doanh-nghiep")</f>
        <v>https://techcombank.com/thong-tin/blog/thue-doanh-nghiep</v>
      </c>
      <c r="M607" s="25" t="str">
        <f>IFERROR(__xludf.DUMMYFUNCTION("IFERROR(INDEX(FILTER('Kế hoạch chèn link (mới)'!$C$3:$C$2213,'Kế hoạch chèn link (mới)'!$D$3:$D$2213=$B607),4),"""")"),"cách tính thuế thu nhập doanh nghiệp")</f>
        <v>cách tính thuế thu nhập doanh nghiệp</v>
      </c>
      <c r="N607" s="25" t="str">
        <f>IFERROR(__xludf.DUMMYFUNCTION("IFERROR(INDEX(FILTER('Kế hoạch chèn link (mới)'!$B$3:$B$2213,'Kế hoạch chèn link (mới)'!$D$3:$D$2213=$B607),4),"""")"),"https://techcombank.com/thong-tin/blog/cach-tinh-thue-thu-nhap-doanh-nghiep")</f>
        <v>https://techcombank.com/thong-tin/blog/cach-tinh-thue-thu-nhap-doanh-nghiep</v>
      </c>
      <c r="O607" s="25" t="str">
        <f>IFERROR(__xludf.DUMMYFUNCTION("IFERROR(INDEX(FILTER('Kế hoạch chèn link (mới)'!$C$3:$C$2213,'Kế hoạch chèn link (mới)'!$D$3:$D$2213=$B607),5),"""")"),"thuế hộ kinh doanh")</f>
        <v>thuế hộ kinh doanh</v>
      </c>
      <c r="P607" s="25" t="str">
        <f>IFERROR(__xludf.DUMMYFUNCTION("IFERROR(INDEX(FILTER('Kế hoạch chèn link (mới)'!$B$3:$B$2213,'Kế hoạch chèn link (mới)'!$D$3:$D$2213=$B607),5),"""")"),"https://techcombank.com/thong-tin/blog/ho-kinh-doanh-dong-thue-nhu-nao")</f>
        <v>https://techcombank.com/thong-tin/blog/ho-kinh-doanh-dong-thue-nhu-nao</v>
      </c>
    </row>
    <row r="608">
      <c r="A608" s="6">
        <f t="shared" si="1"/>
        <v>607</v>
      </c>
      <c r="B608" s="8" t="s">
        <v>987</v>
      </c>
      <c r="C608" s="6">
        <f>COUNTIF('Kế hoạch chèn link (mới)'!$D$3:$D$2213,$B608)</f>
        <v>5</v>
      </c>
      <c r="D608" s="8" t="str">
        <f>IF(COUNTIFS('Kế hoạch chèn link (mới)'!$D$3:$D$2213,$B608,'Kế hoạch chèn link (mới)'!$I$3:$I$2213,"Đã chèn")&gt;=$C608,"Đã hoàn thành",IF(COUNTIFS('Kế hoạch chèn link (mới)'!$D$3:$D$2213,$B608,'Kế hoạch chèn link (mới)'!$I$3:$I$2213,"Đã chèn")&gt;0,"Đang làm","Chưa hoàn thành"))</f>
        <v>Chưa hoàn thành</v>
      </c>
      <c r="E608" s="8" t="b">
        <f t="shared" si="2"/>
        <v>0</v>
      </c>
      <c r="F608" s="25"/>
      <c r="G608" s="25" t="str">
        <f>IFERROR(__xludf.DUMMYFUNCTION("IFERROR(INDEX(FILTER('Kế hoạch chèn link (mới)'!$C$3:$C$2213,'Kế hoạch chèn link (mới)'!$D$3:$D$2213=$B608),1),"""")"),"thuế giá trị gia tăng")</f>
        <v>thuế giá trị gia tăng</v>
      </c>
      <c r="H608" s="25" t="str">
        <f>IFERROR(__xludf.DUMMYFUNCTION("IFERROR(INDEX(FILTER('Kế hoạch chèn link (mới)'!$B$3:$B$2213,'Kế hoạch chèn link (mới)'!$D$3:$D$2213=$B608),1),"""")"),"https://techcombank.com/thong-tin/blog/thue-vat-la-gi")</f>
        <v>https://techcombank.com/thong-tin/blog/thue-vat-la-gi</v>
      </c>
      <c r="I608" s="25" t="str">
        <f>IFERROR(__xludf.DUMMYFUNCTION("IFERROR(INDEX(FILTER('Kế hoạch chèn link (mới)'!$C$3:$C$2213,'Kế hoạch chèn link (mới)'!$D$3:$D$2213=$B608),2),"""")"),"thuế thu nhập cá nhân")</f>
        <v>thuế thu nhập cá nhân</v>
      </c>
      <c r="J608" s="25" t="str">
        <f>IFERROR(__xludf.DUMMYFUNCTION("IFERROR(INDEX(FILTER('Kế hoạch chèn link (mới)'!$B$3:$B$2213,'Kế hoạch chèn link (mới)'!$D$3:$D$2213=$B608),2),"""")"),"https://techcombank.com/thong-tin/blog/cach-tinh-thue-thu-nhap-ca-nhan-2025")</f>
        <v>https://techcombank.com/thong-tin/blog/cach-tinh-thue-thu-nhap-ca-nhan-2025</v>
      </c>
      <c r="K608" s="25" t="str">
        <f>IFERROR(__xludf.DUMMYFUNCTION("IFERROR(INDEX(FILTER('Kế hoạch chèn link (mới)'!$C$3:$C$2213,'Kế hoạch chèn link (mới)'!$D$3:$D$2213=$B608),3),"""")"),"thuế TNCN")</f>
        <v>thuế TNCN</v>
      </c>
      <c r="L608" s="25" t="str">
        <f>IFERROR(__xludf.DUMMYFUNCTION("IFERROR(INDEX(FILTER('Kế hoạch chèn link (mới)'!$B$3:$B$2213,'Kế hoạch chèn link (mới)'!$D$3:$D$2213=$B608),3),"""")"),"https://techcombank.com/thong-tin/blog/thue-thu-nhap-ca-nhan")</f>
        <v>https://techcombank.com/thong-tin/blog/thue-thu-nhap-ca-nhan</v>
      </c>
      <c r="M608" s="25" t="str">
        <f>IFERROR(__xludf.DUMMYFUNCTION("IFERROR(INDEX(FILTER('Kế hoạch chèn link (mới)'!$C$3:$C$2213,'Kế hoạch chèn link (mới)'!$D$3:$D$2213=$B608),4),"""")"),"rút tiền bằng mã QR")</f>
        <v>rút tiền bằng mã QR</v>
      </c>
      <c r="N608" s="25" t="str">
        <f>IFERROR(__xludf.DUMMYFUNCTION("IFERROR(INDEX(FILTER('Kế hoạch chèn link (mới)'!$B$3:$B$2213,'Kế hoạch chèn link (mới)'!$D$3:$D$2213=$B608),4),"""")"),"https://techcombank.com/thong-tin/blog/rut-tien-bang-ma-qr-la-gi-cach-thuc-hien-nhu-the-nao")</f>
        <v>https://techcombank.com/thong-tin/blog/rut-tien-bang-ma-qr-la-gi-cach-thuc-hien-nhu-the-nao</v>
      </c>
      <c r="O608" s="25" t="str">
        <f>IFERROR(__xludf.DUMMYFUNCTION("IFERROR(INDEX(FILTER('Kế hoạch chèn link (mới)'!$C$3:$C$2213,'Kế hoạch chèn link (mới)'!$D$3:$D$2213=$B608),5),"""")"),"cách mở tài khoản hộ kinh doanh")</f>
        <v>cách mở tài khoản hộ kinh doanh</v>
      </c>
      <c r="P608" s="25" t="str">
        <f>IFERROR(__xludf.DUMMYFUNCTION("IFERROR(INDEX(FILTER('Kế hoạch chèn link (mới)'!$B$3:$B$2213,'Kế hoạch chèn link (mới)'!$D$3:$D$2213=$B608),5),"""")"),"https://techcombank.com/thong-tin/blog/mo-tai-khoan-ho-kinh-doanh")</f>
        <v>https://techcombank.com/thong-tin/blog/mo-tai-khoan-ho-kinh-doanh</v>
      </c>
    </row>
    <row r="609">
      <c r="A609" s="6">
        <f t="shared" si="1"/>
        <v>608</v>
      </c>
      <c r="B609" s="8" t="s">
        <v>620</v>
      </c>
      <c r="C609" s="6">
        <f>COUNTIF('Kế hoạch chèn link (mới)'!$D$3:$D$2213,$B609)</f>
        <v>5</v>
      </c>
      <c r="D609" s="8" t="str">
        <f>IF(COUNTIFS('Kế hoạch chèn link (mới)'!$D$3:$D$2213,$B609,'Kế hoạch chèn link (mới)'!$I$3:$I$2213,"Đã chèn")&gt;=$C609,"Đã hoàn thành",IF(COUNTIFS('Kế hoạch chèn link (mới)'!$D$3:$D$2213,$B609,'Kế hoạch chèn link (mới)'!$I$3:$I$2213,"Đã chèn")&gt;0,"Đang làm","Chưa hoàn thành"))</f>
        <v>Chưa hoàn thành</v>
      </c>
      <c r="E609" s="8" t="b">
        <f t="shared" si="2"/>
        <v>0</v>
      </c>
      <c r="F609" s="25"/>
      <c r="G609" s="25" t="str">
        <f>IFERROR(__xludf.DUMMYFUNCTION("IFERROR(INDEX(FILTER('Kế hoạch chèn link (mới)'!$C$3:$C$2213,'Kế hoạch chèn link (mới)'!$D$3:$D$2213=$B609),1),"""")"),"nộp thuế hộ trên etax")</f>
        <v>nộp thuế hộ trên etax</v>
      </c>
      <c r="H609" s="25" t="str">
        <f>IFERROR(__xludf.DUMMYFUNCTION("IFERROR(INDEX(FILTER('Kế hoạch chèn link (mới)'!$B$3:$B$2213,'Kế hoạch chèn link (mới)'!$D$3:$D$2213=$B609),1),"""")"),"https://techcombank.com/thong-tin/blog/cach-nop-thue-dien-tu")</f>
        <v>https://techcombank.com/thong-tin/blog/cach-nop-thue-dien-tu</v>
      </c>
      <c r="I609" s="25" t="str">
        <f>IFERROR(__xludf.DUMMYFUNCTION("IFERROR(INDEX(FILTER('Kế hoạch chèn link (mới)'!$C$3:$C$2213,'Kế hoạch chèn link (mới)'!$D$3:$D$2213=$B609),2),"""")"),"thuế giá trị gia tăng")</f>
        <v>thuế giá trị gia tăng</v>
      </c>
      <c r="J609" s="25" t="str">
        <f>IFERROR(__xludf.DUMMYFUNCTION("IFERROR(INDEX(FILTER('Kế hoạch chèn link (mới)'!$B$3:$B$2213,'Kế hoạch chèn link (mới)'!$D$3:$D$2213=$B609),2),"""")"),"https://techcombank.com/thong-tin/blog/thue-vat-la-gi")</f>
        <v>https://techcombank.com/thong-tin/blog/thue-vat-la-gi</v>
      </c>
      <c r="K609" s="25" t="str">
        <f>IFERROR(__xludf.DUMMYFUNCTION("IFERROR(INDEX(FILTER('Kế hoạch chèn link (mới)'!$C$3:$C$2213,'Kế hoạch chèn link (mới)'!$D$3:$D$2213=$B609),3),"""")"),"thuế thu nhập cá nhân")</f>
        <v>thuế thu nhập cá nhân</v>
      </c>
      <c r="L609" s="25" t="str">
        <f>IFERROR(__xludf.DUMMYFUNCTION("IFERROR(INDEX(FILTER('Kế hoạch chèn link (mới)'!$B$3:$B$2213,'Kế hoạch chèn link (mới)'!$D$3:$D$2213=$B609),3),"""")"),"https://techcombank.com/thong-tin/blog/cach-tinh-thue-thu-nhap-ca-nhan-2025")</f>
        <v>https://techcombank.com/thong-tin/blog/cach-tinh-thue-thu-nhap-ca-nhan-2025</v>
      </c>
      <c r="M609" s="25" t="str">
        <f>IFERROR(__xludf.DUMMYFUNCTION("IFERROR(INDEX(FILTER('Kế hoạch chèn link (mới)'!$C$3:$C$2213,'Kế hoạch chèn link (mới)'!$D$3:$D$2213=$B609),4),"""")"),"thuế thu nhập cá nhân")</f>
        <v>thuế thu nhập cá nhân</v>
      </c>
      <c r="N609" s="25" t="str">
        <f>IFERROR(__xludf.DUMMYFUNCTION("IFERROR(INDEX(FILTER('Kế hoạch chèn link (mới)'!$B$3:$B$2213,'Kế hoạch chèn link (mới)'!$D$3:$D$2213=$B609),4),"""")"),"https://techcombank.com/thong-tin/blog/thue-thu-nhap-ca-nhan")</f>
        <v>https://techcombank.com/thong-tin/blog/thue-thu-nhap-ca-nhan</v>
      </c>
      <c r="O609" s="25" t="str">
        <f>IFERROR(__xludf.DUMMYFUNCTION("IFERROR(INDEX(FILTER('Kế hoạch chèn link (mới)'!$C$3:$C$2213,'Kế hoạch chèn link (mới)'!$D$3:$D$2213=$B609),5),"""")"),"thuế hộ kinh doanh")</f>
        <v>thuế hộ kinh doanh</v>
      </c>
      <c r="P609" s="25" t="str">
        <f>IFERROR(__xludf.DUMMYFUNCTION("IFERROR(INDEX(FILTER('Kế hoạch chèn link (mới)'!$B$3:$B$2213,'Kế hoạch chèn link (mới)'!$D$3:$D$2213=$B609),5),"""")"),"https://techcombank.com/thong-tin/blog/ho-kinh-doanh-dong-thue-nhu-nao")</f>
        <v>https://techcombank.com/thong-tin/blog/ho-kinh-doanh-dong-thue-nhu-nao</v>
      </c>
    </row>
    <row r="610">
      <c r="A610" s="6">
        <f t="shared" si="1"/>
        <v>609</v>
      </c>
      <c r="B610" s="8" t="s">
        <v>785</v>
      </c>
      <c r="C610" s="6">
        <f>COUNTIF('Kế hoạch chèn link (mới)'!$D$3:$D$2213,$B610)</f>
        <v>5</v>
      </c>
      <c r="D610" s="8" t="str">
        <f>IF(COUNTIFS('Kế hoạch chèn link (mới)'!$D$3:$D$2213,$B610,'Kế hoạch chèn link (mới)'!$I$3:$I$2213,"Đã chèn")&gt;=$C610,"Đã hoàn thành",IF(COUNTIFS('Kế hoạch chèn link (mới)'!$D$3:$D$2213,$B610,'Kế hoạch chèn link (mới)'!$I$3:$I$2213,"Đã chèn")&gt;0,"Đang làm","Chưa hoàn thành"))</f>
        <v>Chưa hoàn thành</v>
      </c>
      <c r="E610" s="8" t="b">
        <f t="shared" si="2"/>
        <v>0</v>
      </c>
      <c r="F610" s="25"/>
      <c r="G610" s="25" t="str">
        <f>IFERROR(__xludf.DUMMYFUNCTION("IFERROR(INDEX(FILTER('Kế hoạch chèn link (mới)'!$C$3:$C$2213,'Kế hoạch chèn link (mới)'!$D$3:$D$2213=$B610),1),"""")"),"thuế thu nhập doanh nghiệp")</f>
        <v>thuế thu nhập doanh nghiệp</v>
      </c>
      <c r="H610" s="25" t="str">
        <f>IFERROR(__xludf.DUMMYFUNCTION("IFERROR(INDEX(FILTER('Kế hoạch chèn link (mới)'!$B$3:$B$2213,'Kế hoạch chèn link (mới)'!$D$3:$D$2213=$B610),1),"""")"),"https://techcombank.com/thong-tin/blog/thue-thu-nhap-doanh-nghiep")</f>
        <v>https://techcombank.com/thong-tin/blog/thue-thu-nhap-doanh-nghiep</v>
      </c>
      <c r="I610" s="25" t="str">
        <f>IFERROR(__xludf.DUMMYFUNCTION("IFERROR(INDEX(FILTER('Kế hoạch chèn link (mới)'!$C$3:$C$2213,'Kế hoạch chèn link (mới)'!$D$3:$D$2213=$B610),2),"""")"),"thuế giá trị gia tăng")</f>
        <v>thuế giá trị gia tăng</v>
      </c>
      <c r="J610" s="25" t="str">
        <f>IFERROR(__xludf.DUMMYFUNCTION("IFERROR(INDEX(FILTER('Kế hoạch chèn link (mới)'!$B$3:$B$2213,'Kế hoạch chèn link (mới)'!$D$3:$D$2213=$B610),2),"""")"),"https://techcombank.com/thong-tin/blog/thue-vat-la-gi")</f>
        <v>https://techcombank.com/thong-tin/blog/thue-vat-la-gi</v>
      </c>
      <c r="K610" s="25" t="str">
        <f>IFERROR(__xludf.DUMMYFUNCTION("IFERROR(INDEX(FILTER('Kế hoạch chèn link (mới)'!$C$3:$C$2213,'Kế hoạch chèn link (mới)'!$D$3:$D$2213=$B610),3),"""")"),"thuế doanh nghiệp")</f>
        <v>thuế doanh nghiệp</v>
      </c>
      <c r="L610" s="25" t="str">
        <f>IFERROR(__xludf.DUMMYFUNCTION("IFERROR(INDEX(FILTER('Kế hoạch chèn link (mới)'!$B$3:$B$2213,'Kế hoạch chèn link (mới)'!$D$3:$D$2213=$B610),3),"""")"),"https://techcombank.com/thong-tin/blog/thue-doanh-nghiep")</f>
        <v>https://techcombank.com/thong-tin/blog/thue-doanh-nghiep</v>
      </c>
      <c r="M610" s="25" t="str">
        <f>IFERROR(__xludf.DUMMYFUNCTION("IFERROR(INDEX(FILTER('Kế hoạch chèn link (mới)'!$C$3:$C$2213,'Kế hoạch chèn link (mới)'!$D$3:$D$2213=$B610),4),"""")"),"thuế thu nhập cá nhân")</f>
        <v>thuế thu nhập cá nhân</v>
      </c>
      <c r="N610" s="25" t="str">
        <f>IFERROR(__xludf.DUMMYFUNCTION("IFERROR(INDEX(FILTER('Kế hoạch chèn link (mới)'!$B$3:$B$2213,'Kế hoạch chèn link (mới)'!$D$3:$D$2213=$B610),4),"""")"),"https://techcombank.com/thong-tin/blog/cach-tinh-thue-thu-nhap-ca-nhan-2025")</f>
        <v>https://techcombank.com/thong-tin/blog/cach-tinh-thue-thu-nhap-ca-nhan-2025</v>
      </c>
      <c r="O610" s="25" t="str">
        <f>IFERROR(__xludf.DUMMYFUNCTION("IFERROR(INDEX(FILTER('Kế hoạch chèn link (mới)'!$C$3:$C$2213,'Kế hoạch chèn link (mới)'!$D$3:$D$2213=$B610),5),"""")"),"mô hình kinh doanh là gì")</f>
        <v>mô hình kinh doanh là gì</v>
      </c>
      <c r="P610" s="25" t="str">
        <f>IFERROR(__xludf.DUMMYFUNCTION("IFERROR(INDEX(FILTER('Kế hoạch chèn link (mới)'!$B$3:$B$2213,'Kế hoạch chèn link (mới)'!$D$3:$D$2213=$B610),5),"""")"),"https://techcombank.com/thong-tin/blog/mo-hinh-kinh-doanh-la-gi")</f>
        <v>https://techcombank.com/thong-tin/blog/mo-hinh-kinh-doanh-la-gi</v>
      </c>
    </row>
    <row r="611">
      <c r="A611" s="6">
        <f t="shared" si="1"/>
        <v>610</v>
      </c>
      <c r="B611" s="8" t="s">
        <v>403</v>
      </c>
      <c r="C611" s="6">
        <f>COUNTIF('Kế hoạch chèn link (mới)'!$D$3:$D$2213,$B611)</f>
        <v>4</v>
      </c>
      <c r="D611" s="8" t="str">
        <f>IF(COUNTIFS('Kế hoạch chèn link (mới)'!$D$3:$D$2213,$B611,'Kế hoạch chèn link (mới)'!$I$3:$I$2213,"Đã chèn")&gt;=$C611,"Đã hoàn thành",IF(COUNTIFS('Kế hoạch chèn link (mới)'!$D$3:$D$2213,$B611,'Kế hoạch chèn link (mới)'!$I$3:$I$2213,"Đã chèn")&gt;0,"Đang làm","Chưa hoàn thành"))</f>
        <v>Chưa hoàn thành</v>
      </c>
      <c r="E611" s="8" t="b">
        <f t="shared" si="2"/>
        <v>0</v>
      </c>
      <c r="F611" s="25"/>
      <c r="G611" s="25" t="str">
        <f>IFERROR(__xludf.DUMMYFUNCTION("IFERROR(INDEX(FILTER('Kế hoạch chèn link (mới)'!$C$3:$C$2213,'Kế hoạch chèn link (mới)'!$D$3:$D$2213=$B611),1),"""")"),"đóng thuế đất online")</f>
        <v>đóng thuế đất online</v>
      </c>
      <c r="H611" s="25" t="str">
        <f>IFERROR(__xludf.DUMMYFUNCTION("IFERROR(INDEX(FILTER('Kế hoạch chèn link (mới)'!$B$3:$B$2213,'Kế hoạch chèn link (mới)'!$D$3:$D$2213=$B611),1),"""")"),"https://techcombank.com/thong-tin/blog/nop-thue-dat-qua-ngan-hang")</f>
        <v>https://techcombank.com/thong-tin/blog/nop-thue-dat-qua-ngan-hang</v>
      </c>
      <c r="I611" s="25" t="str">
        <f>IFERROR(__xludf.DUMMYFUNCTION("IFERROR(INDEX(FILTER('Kế hoạch chèn link (mới)'!$C$3:$C$2213,'Kế hoạch chèn link (mới)'!$D$3:$D$2213=$B611),2),"""")"),"nộp thuế hộ trên etax")</f>
        <v>nộp thuế hộ trên etax</v>
      </c>
      <c r="J611" s="25" t="str">
        <f>IFERROR(__xludf.DUMMYFUNCTION("IFERROR(INDEX(FILTER('Kế hoạch chèn link (mới)'!$B$3:$B$2213,'Kế hoạch chèn link (mới)'!$D$3:$D$2213=$B611),2),"""")"),"https://techcombank.com/thong-tin/blog/cach-nop-thue-dien-tu")</f>
        <v>https://techcombank.com/thong-tin/blog/cach-nop-thue-dien-tu</v>
      </c>
      <c r="K611" s="25" t="str">
        <f>IFERROR(__xludf.DUMMYFUNCTION("IFERROR(INDEX(FILTER('Kế hoạch chèn link (mới)'!$C$3:$C$2213,'Kế hoạch chèn link (mới)'!$D$3:$D$2213=$B611),3),"""")"),"cách tạo tài khoản ngân hàng")</f>
        <v>cách tạo tài khoản ngân hàng</v>
      </c>
      <c r="L611" s="25" t="str">
        <f>IFERROR(__xludf.DUMMYFUNCTION("IFERROR(INDEX(FILTER('Kế hoạch chèn link (mới)'!$B$3:$B$2213,'Kế hoạch chèn link (mới)'!$D$3:$D$2213=$B611),3),"""")"),"https://techcombank.com/thong-tin/blog/cach-mo-tai-khoan")</f>
        <v>https://techcombank.com/thong-tin/blog/cach-mo-tai-khoan</v>
      </c>
      <c r="M611" s="25" t="str">
        <f>IFERROR(__xludf.DUMMYFUNCTION("IFERROR(INDEX(FILTER('Kế hoạch chèn link (mới)'!$C$3:$C$2213,'Kế hoạch chèn link (mới)'!$D$3:$D$2213=$B611),4),"""")"),"tra cứu thuế TNCN")</f>
        <v>tra cứu thuế TNCN</v>
      </c>
      <c r="N611" s="25" t="str">
        <f>IFERROR(__xludf.DUMMYFUNCTION("IFERROR(INDEX(FILTER('Kế hoạch chèn link (mới)'!$B$3:$B$2213,'Kế hoạch chèn link (mới)'!$D$3:$D$2213=$B611),4),"""")"),"https://techcombank.com/thong-tin/blog/kiem-tra-thue-thu-nhap-ca-nhan")</f>
        <v>https://techcombank.com/thong-tin/blog/kiem-tra-thue-thu-nhap-ca-nhan</v>
      </c>
      <c r="O611" s="25" t="str">
        <f>IFERROR(__xludf.DUMMYFUNCTION("IFERROR(INDEX(FILTER('Kế hoạch chèn link (mới)'!$C$3:$C$2213,'Kế hoạch chèn link (mới)'!$D$3:$D$2213=$B611),5),"""")"),"")</f>
        <v/>
      </c>
      <c r="P611" s="25" t="str">
        <f>IFERROR(__xludf.DUMMYFUNCTION("IFERROR(INDEX(FILTER('Kế hoạch chèn link (mới)'!$B$3:$B$2213,'Kế hoạch chèn link (mới)'!$D$3:$D$2213=$B611),5),"""")"),"")</f>
        <v/>
      </c>
    </row>
    <row r="612">
      <c r="A612" s="6">
        <f t="shared" si="1"/>
        <v>611</v>
      </c>
      <c r="B612" s="8" t="s">
        <v>640</v>
      </c>
      <c r="C612" s="6">
        <f>COUNTIF('Kế hoạch chèn link (mới)'!$D$3:$D$2213,$B612)</f>
        <v>4</v>
      </c>
      <c r="D612" s="8" t="str">
        <f>IF(COUNTIFS('Kế hoạch chèn link (mới)'!$D$3:$D$2213,$B612,'Kế hoạch chèn link (mới)'!$I$3:$I$2213,"Đã chèn")&gt;=$C612,"Đã hoàn thành",IF(COUNTIFS('Kế hoạch chèn link (mới)'!$D$3:$D$2213,$B612,'Kế hoạch chèn link (mới)'!$I$3:$I$2213,"Đã chèn")&gt;0,"Đang làm","Chưa hoàn thành"))</f>
        <v>Chưa hoàn thành</v>
      </c>
      <c r="E612" s="8" t="b">
        <f t="shared" si="2"/>
        <v>0</v>
      </c>
      <c r="F612" s="25"/>
      <c r="G612" s="25" t="str">
        <f>IFERROR(__xludf.DUMMYFUNCTION("IFERROR(INDEX(FILTER('Kế hoạch chèn link (mới)'!$C$3:$C$2213,'Kế hoạch chèn link (mới)'!$D$3:$D$2213=$B612),1),"""")"),"thuế giá trị gia tăng")</f>
        <v>thuế giá trị gia tăng</v>
      </c>
      <c r="H612" s="25" t="str">
        <f>IFERROR(__xludf.DUMMYFUNCTION("IFERROR(INDEX(FILTER('Kế hoạch chèn link (mới)'!$B$3:$B$2213,'Kế hoạch chèn link (mới)'!$D$3:$D$2213=$B612),1),"""")"),"https://techcombank.com/thong-tin/blog/thue-vat-la-gi")</f>
        <v>https://techcombank.com/thong-tin/blog/thue-vat-la-gi</v>
      </c>
      <c r="I612" s="25" t="str">
        <f>IFERROR(__xludf.DUMMYFUNCTION("IFERROR(INDEX(FILTER('Kế hoạch chèn link (mới)'!$C$3:$C$2213,'Kế hoạch chèn link (mới)'!$D$3:$D$2213=$B612),2),"""")"),"thuế doanh nghiệp")</f>
        <v>thuế doanh nghiệp</v>
      </c>
      <c r="J612" s="25" t="str">
        <f>IFERROR(__xludf.DUMMYFUNCTION("IFERROR(INDEX(FILTER('Kế hoạch chèn link (mới)'!$B$3:$B$2213,'Kế hoạch chèn link (mới)'!$D$3:$D$2213=$B612),2),"""")"),"https://techcombank.com/thong-tin/blog/thue-doanh-nghiep")</f>
        <v>https://techcombank.com/thong-tin/blog/thue-doanh-nghiep</v>
      </c>
      <c r="K612" s="25" t="str">
        <f>IFERROR(__xludf.DUMMYFUNCTION("IFERROR(INDEX(FILTER('Kế hoạch chèn link (mới)'!$C$3:$C$2213,'Kế hoạch chèn link (mới)'!$D$3:$D$2213=$B612),3),"""")"),"cách tính thuế TNDN")</f>
        <v>cách tính thuế TNDN</v>
      </c>
      <c r="L612" s="25" t="str">
        <f>IFERROR(__xludf.DUMMYFUNCTION("IFERROR(INDEX(FILTER('Kế hoạch chèn link (mới)'!$B$3:$B$2213,'Kế hoạch chèn link (mới)'!$D$3:$D$2213=$B612),3),"""")"),"https://techcombank.com/thong-tin/blog/cach-tinh-thue-thu-nhap-doanh-nghiep")</f>
        <v>https://techcombank.com/thong-tin/blog/cach-tinh-thue-thu-nhap-doanh-nghiep</v>
      </c>
      <c r="M612" s="25" t="str">
        <f>IFERROR(__xludf.DUMMYFUNCTION("IFERROR(INDEX(FILTER('Kế hoạch chèn link (mới)'!$C$3:$C$2213,'Kế hoạch chèn link (mới)'!$D$3:$D$2213=$B612),4),"""")"),"số tài khoản phát tài phát lộc")</f>
        <v>số tài khoản phát tài phát lộc</v>
      </c>
      <c r="N612" s="25" t="str">
        <f>IFERROR(__xludf.DUMMYFUNCTION("IFERROR(INDEX(FILTER('Kế hoạch chèn link (mới)'!$B$3:$B$2213,'Kế hoạch chèn link (mới)'!$D$3:$D$2213=$B612),4),"""")"),"https://techcombank.com/thong-tin/blog/day-so-phat-tai-phat-loc")</f>
        <v>https://techcombank.com/thong-tin/blog/day-so-phat-tai-phat-loc</v>
      </c>
      <c r="O612" s="25" t="str">
        <f>IFERROR(__xludf.DUMMYFUNCTION("IFERROR(INDEX(FILTER('Kế hoạch chèn link (mới)'!$C$3:$C$2213,'Kế hoạch chèn link (mới)'!$D$3:$D$2213=$B612),5),"""")"),"")</f>
        <v/>
      </c>
      <c r="P612" s="25" t="str">
        <f>IFERROR(__xludf.DUMMYFUNCTION("IFERROR(INDEX(FILTER('Kế hoạch chèn link (mới)'!$B$3:$B$2213,'Kế hoạch chèn link (mới)'!$D$3:$D$2213=$B612),5),"""")"),"")</f>
        <v/>
      </c>
    </row>
    <row r="613">
      <c r="A613" s="6">
        <f t="shared" si="1"/>
        <v>612</v>
      </c>
      <c r="B613" s="8" t="s">
        <v>584</v>
      </c>
      <c r="C613" s="6">
        <f>COUNTIF('Kế hoạch chèn link (mới)'!$D$3:$D$2213,$B613)</f>
        <v>5</v>
      </c>
      <c r="D613" s="8" t="str">
        <f>IF(COUNTIFS('Kế hoạch chèn link (mới)'!$D$3:$D$2213,$B613,'Kế hoạch chèn link (mới)'!$I$3:$I$2213,"Đã chèn")&gt;=$C613,"Đã hoàn thành",IF(COUNTIFS('Kế hoạch chèn link (mới)'!$D$3:$D$2213,$B613,'Kế hoạch chèn link (mới)'!$I$3:$I$2213,"Đã chèn")&gt;0,"Đang làm","Chưa hoàn thành"))</f>
        <v>Chưa hoàn thành</v>
      </c>
      <c r="E613" s="8" t="b">
        <f t="shared" si="2"/>
        <v>0</v>
      </c>
      <c r="F613" s="25"/>
      <c r="G613" s="25" t="str">
        <f>IFERROR(__xludf.DUMMYFUNCTION("IFERROR(INDEX(FILTER('Kế hoạch chèn link (mới)'!$C$3:$C$2213,'Kế hoạch chèn link (mới)'!$D$3:$D$2213=$B613),1),"""")"),"nộp thuế hộ trên etax")</f>
        <v>nộp thuế hộ trên etax</v>
      </c>
      <c r="H613" s="25" t="str">
        <f>IFERROR(__xludf.DUMMYFUNCTION("IFERROR(INDEX(FILTER('Kế hoạch chèn link (mới)'!$B$3:$B$2213,'Kế hoạch chèn link (mới)'!$D$3:$D$2213=$B613),1),"""")"),"https://techcombank.com/thong-tin/blog/cach-nop-thue-dien-tu")</f>
        <v>https://techcombank.com/thong-tin/blog/cach-nop-thue-dien-tu</v>
      </c>
      <c r="I613" s="25" t="str">
        <f>IFERROR(__xludf.DUMMYFUNCTION("IFERROR(INDEX(FILTER('Kế hoạch chèn link (mới)'!$C$3:$C$2213,'Kế hoạch chèn link (mới)'!$D$3:$D$2213=$B613),2),"""")"),"thuế giá trị gia tăng")</f>
        <v>thuế giá trị gia tăng</v>
      </c>
      <c r="J613" s="25" t="str">
        <f>IFERROR(__xludf.DUMMYFUNCTION("IFERROR(INDEX(FILTER('Kế hoạch chèn link (mới)'!$B$3:$B$2213,'Kế hoạch chèn link (mới)'!$D$3:$D$2213=$B613),2),"""")"),"https://techcombank.com/thong-tin/blog/thue-vat-la-gi")</f>
        <v>https://techcombank.com/thong-tin/blog/thue-vat-la-gi</v>
      </c>
      <c r="K613" s="25" t="str">
        <f>IFERROR(__xludf.DUMMYFUNCTION("IFERROR(INDEX(FILTER('Kế hoạch chèn link (mới)'!$C$3:$C$2213,'Kế hoạch chèn link (mới)'!$D$3:$D$2213=$B613),3),"""")"),"thuế thu nhập cá nhân năm 2026")</f>
        <v>thuế thu nhập cá nhân năm 2026</v>
      </c>
      <c r="L613" s="25" t="str">
        <f>IFERROR(__xludf.DUMMYFUNCTION("IFERROR(INDEX(FILTER('Kế hoạch chèn link (mới)'!$B$3:$B$2213,'Kế hoạch chèn link (mới)'!$D$3:$D$2213=$B613),3),"""")"),"https://techcombank.com/thong-tin/blog/cach-tinh-thue-thu-nhap-ca-nhan-2025")</f>
        <v>https://techcombank.com/thong-tin/blog/cach-tinh-thue-thu-nhap-ca-nhan-2025</v>
      </c>
      <c r="M613" s="25" t="str">
        <f>IFERROR(__xludf.DUMMYFUNCTION("IFERROR(INDEX(FILTER('Kế hoạch chèn link (mới)'!$C$3:$C$2213,'Kế hoạch chèn link (mới)'!$D$3:$D$2213=$B613),4),"""")"),"thuế TNCN")</f>
        <v>thuế TNCN</v>
      </c>
      <c r="N613" s="25" t="str">
        <f>IFERROR(__xludf.DUMMYFUNCTION("IFERROR(INDEX(FILTER('Kế hoạch chèn link (mới)'!$B$3:$B$2213,'Kế hoạch chèn link (mới)'!$D$3:$D$2213=$B613),4),"""")"),"https://techcombank.com/thong-tin/blog/thue-thu-nhap-ca-nhan")</f>
        <v>https://techcombank.com/thong-tin/blog/thue-thu-nhap-ca-nhan</v>
      </c>
      <c r="O613" s="25" t="str">
        <f>IFERROR(__xludf.DUMMYFUNCTION("IFERROR(INDEX(FILTER('Kế hoạch chèn link (mới)'!$C$3:$C$2213,'Kế hoạch chèn link (mới)'!$D$3:$D$2213=$B613),5),"""")"),"cách tính thuế hộ kinh doanh")</f>
        <v>cách tính thuế hộ kinh doanh</v>
      </c>
      <c r="P613" s="25" t="str">
        <f>IFERROR(__xludf.DUMMYFUNCTION("IFERROR(INDEX(FILTER('Kế hoạch chèn link (mới)'!$B$3:$B$2213,'Kế hoạch chèn link (mới)'!$D$3:$D$2213=$B613),5),"""")"),"https://techcombank.com/thong-tin/blog/cach-tinh-thue-ho-kinh-doanh-nho-le")</f>
        <v>https://techcombank.com/thong-tin/blog/cach-tinh-thue-ho-kinh-doanh-nho-le</v>
      </c>
    </row>
    <row r="614">
      <c r="A614" s="6">
        <f t="shared" si="1"/>
        <v>613</v>
      </c>
      <c r="B614" s="8" t="s">
        <v>753</v>
      </c>
      <c r="C614" s="6">
        <f>COUNTIF('Kế hoạch chèn link (mới)'!$D$3:$D$2213,$B614)</f>
        <v>4</v>
      </c>
      <c r="D614" s="8" t="str">
        <f>IF(COUNTIFS('Kế hoạch chèn link (mới)'!$D$3:$D$2213,$B614,'Kế hoạch chèn link (mới)'!$I$3:$I$2213,"Đã chèn")&gt;=$C614,"Đã hoàn thành",IF(COUNTIFS('Kế hoạch chèn link (mới)'!$D$3:$D$2213,$B614,'Kế hoạch chèn link (mới)'!$I$3:$I$2213,"Đã chèn")&gt;0,"Đang làm","Chưa hoàn thành"))</f>
        <v>Chưa hoàn thành</v>
      </c>
      <c r="E614" s="8" t="b">
        <f t="shared" si="2"/>
        <v>0</v>
      </c>
      <c r="F614" s="25"/>
      <c r="G614" s="25" t="str">
        <f>IFERROR(__xludf.DUMMYFUNCTION("IFERROR(INDEX(FILTER('Kế hoạch chèn link (mới)'!$C$3:$C$2213,'Kế hoạch chèn link (mới)'!$D$3:$D$2213=$B614),1),"""")"),"cách tính thuế TNDN")</f>
        <v>cách tính thuế TNDN</v>
      </c>
      <c r="H614" s="25" t="str">
        <f>IFERROR(__xludf.DUMMYFUNCTION("IFERROR(INDEX(FILTER('Kế hoạch chèn link (mới)'!$B$3:$B$2213,'Kế hoạch chèn link (mới)'!$D$3:$D$2213=$B614),1),"""")"),"https://techcombank.com/thong-tin/blog/cach-tinh-thue-thu-nhap-doanh-nghiep")</f>
        <v>https://techcombank.com/thong-tin/blog/cach-tinh-thue-thu-nhap-doanh-nghiep</v>
      </c>
      <c r="I614" s="25" t="str">
        <f>IFERROR(__xludf.DUMMYFUNCTION("IFERROR(INDEX(FILTER('Kế hoạch chèn link (mới)'!$C$3:$C$2213,'Kế hoạch chèn link (mới)'!$D$3:$D$2213=$B614),2),"""")"),"thuế thu nhập cá nhân")</f>
        <v>thuế thu nhập cá nhân</v>
      </c>
      <c r="J614" s="25" t="str">
        <f>IFERROR(__xludf.DUMMYFUNCTION("IFERROR(INDEX(FILTER('Kế hoạch chèn link (mới)'!$B$3:$B$2213,'Kế hoạch chèn link (mới)'!$D$3:$D$2213=$B614),2),"""")"),"https://techcombank.com/thong-tin/blog/cach-tinh-thue-thu-nhap-ca-nhan-2025")</f>
        <v>https://techcombank.com/thong-tin/blog/cach-tinh-thue-thu-nhap-ca-nhan-2025</v>
      </c>
      <c r="K614" s="25" t="str">
        <f>IFERROR(__xludf.DUMMYFUNCTION("IFERROR(INDEX(FILTER('Kế hoạch chèn link (mới)'!$C$3:$C$2213,'Kế hoạch chèn link (mới)'!$D$3:$D$2213=$B614),3),"""")"),"thuế hộ kinh doanh")</f>
        <v>thuế hộ kinh doanh</v>
      </c>
      <c r="L614" s="25" t="str">
        <f>IFERROR(__xludf.DUMMYFUNCTION("IFERROR(INDEX(FILTER('Kế hoạch chèn link (mới)'!$B$3:$B$2213,'Kế hoạch chèn link (mới)'!$D$3:$D$2213=$B614),3),"""")"),"https://techcombank.com/thong-tin/blog/ho-kinh-doanh-dong-thue-nhu-nao")</f>
        <v>https://techcombank.com/thong-tin/blog/ho-kinh-doanh-dong-thue-nhu-nao</v>
      </c>
      <c r="M614" s="25" t="str">
        <f>IFERROR(__xludf.DUMMYFUNCTION("IFERROR(INDEX(FILTER('Kế hoạch chèn link (mới)'!$C$3:$C$2213,'Kế hoạch chèn link (mới)'!$D$3:$D$2213=$B614),4),"""")"),"cách tính thuế hộ kinh doanh")</f>
        <v>cách tính thuế hộ kinh doanh</v>
      </c>
      <c r="N614" s="25" t="str">
        <f>IFERROR(__xludf.DUMMYFUNCTION("IFERROR(INDEX(FILTER('Kế hoạch chèn link (mới)'!$B$3:$B$2213,'Kế hoạch chèn link (mới)'!$D$3:$D$2213=$B614),4),"""")"),"https://techcombank.com/thong-tin/blog/cach-tinh-thue-ho-kinh-doanh-nho-le")</f>
        <v>https://techcombank.com/thong-tin/blog/cach-tinh-thue-ho-kinh-doanh-nho-le</v>
      </c>
      <c r="O614" s="25" t="str">
        <f>IFERROR(__xludf.DUMMYFUNCTION("IFERROR(INDEX(FILTER('Kế hoạch chèn link (mới)'!$C$3:$C$2213,'Kế hoạch chèn link (mới)'!$D$3:$D$2213=$B614),5),"""")"),"")</f>
        <v/>
      </c>
      <c r="P614" s="25" t="str">
        <f>IFERROR(__xludf.DUMMYFUNCTION("IFERROR(INDEX(FILTER('Kế hoạch chèn link (mới)'!$B$3:$B$2213,'Kế hoạch chèn link (mới)'!$D$3:$D$2213=$B614),5),"""")"),"")</f>
        <v/>
      </c>
    </row>
    <row r="615">
      <c r="A615" s="6">
        <f t="shared" si="1"/>
        <v>614</v>
      </c>
      <c r="B615" s="8" t="s">
        <v>3222</v>
      </c>
      <c r="C615" s="6">
        <f>COUNTIF('Kế hoạch chèn link (mới)'!$D$3:$D$2213,$B615)</f>
        <v>1</v>
      </c>
      <c r="D615" s="8" t="str">
        <f>IF(COUNTIFS('Kế hoạch chèn link (mới)'!$D$3:$D$2213,$B615,'Kế hoạch chèn link (mới)'!$I$3:$I$2213,"Đã chèn")&gt;=$C615,"Đã hoàn thành",IF(COUNTIFS('Kế hoạch chèn link (mới)'!$D$3:$D$2213,$B615,'Kế hoạch chèn link (mới)'!$I$3:$I$2213,"Đã chèn")&gt;0,"Đang làm","Chưa hoàn thành"))</f>
        <v>Chưa hoàn thành</v>
      </c>
      <c r="E615" s="8" t="b">
        <f t="shared" si="2"/>
        <v>0</v>
      </c>
      <c r="F615" s="25"/>
      <c r="G615" s="25" t="str">
        <f>IFERROR(__xludf.DUMMYFUNCTION("IFERROR(INDEX(FILTER('Kế hoạch chèn link (mới)'!$C$3:$C$2213,'Kế hoạch chèn link (mới)'!$D$3:$D$2213=$B615),1),"""")"),"lãi suất gửi tiết kiệm ngân hàng")</f>
        <v>lãi suất gửi tiết kiệm ngân hàng</v>
      </c>
      <c r="H615" s="25" t="str">
        <f>IFERROR(__xludf.DUMMYFUNCTION("IFERROR(INDEX(FILTER('Kế hoạch chèn link (mới)'!$B$3:$B$2213,'Kế hoạch chèn link (mới)'!$D$3:$D$2213=$B615),1),"""")"),"https://techcombank.com/thong-tin/blog/lai-suat-tiet-kiem")</f>
        <v>https://techcombank.com/thong-tin/blog/lai-suat-tiet-kiem</v>
      </c>
      <c r="I615" s="25" t="str">
        <f>IFERROR(__xludf.DUMMYFUNCTION("IFERROR(INDEX(FILTER('Kế hoạch chèn link (mới)'!$C$3:$C$2213,'Kế hoạch chèn link (mới)'!$D$3:$D$2213=$B615),2),"""")"),"")</f>
        <v/>
      </c>
      <c r="J615" s="25" t="str">
        <f>IFERROR(__xludf.DUMMYFUNCTION("IFERROR(INDEX(FILTER('Kế hoạch chèn link (mới)'!$B$3:$B$2213,'Kế hoạch chèn link (mới)'!$D$3:$D$2213=$B615),2),"""")"),"")</f>
        <v/>
      </c>
      <c r="K615" s="25" t="str">
        <f>IFERROR(__xludf.DUMMYFUNCTION("IFERROR(INDEX(FILTER('Kế hoạch chèn link (mới)'!$C$3:$C$2213,'Kế hoạch chèn link (mới)'!$D$3:$D$2213=$B615),3),"""")"),"")</f>
        <v/>
      </c>
      <c r="L615" s="25" t="str">
        <f>IFERROR(__xludf.DUMMYFUNCTION("IFERROR(INDEX(FILTER('Kế hoạch chèn link (mới)'!$B$3:$B$2213,'Kế hoạch chèn link (mới)'!$D$3:$D$2213=$B615),3),"""")"),"")</f>
        <v/>
      </c>
      <c r="M615" s="25" t="str">
        <f>IFERROR(__xludf.DUMMYFUNCTION("IFERROR(INDEX(FILTER('Kế hoạch chèn link (mới)'!$C$3:$C$2213,'Kế hoạch chèn link (mới)'!$D$3:$D$2213=$B615),4),"""")"),"")</f>
        <v/>
      </c>
      <c r="N615" s="25" t="str">
        <f>IFERROR(__xludf.DUMMYFUNCTION("IFERROR(INDEX(FILTER('Kế hoạch chèn link (mới)'!$B$3:$B$2213,'Kế hoạch chèn link (mới)'!$D$3:$D$2213=$B615),4),"""")"),"")</f>
        <v/>
      </c>
      <c r="O615" s="25" t="str">
        <f>IFERROR(__xludf.DUMMYFUNCTION("IFERROR(INDEX(FILTER('Kế hoạch chèn link (mới)'!$C$3:$C$2213,'Kế hoạch chèn link (mới)'!$D$3:$D$2213=$B615),5),"""")"),"")</f>
        <v/>
      </c>
      <c r="P615" s="25" t="str">
        <f>IFERROR(__xludf.DUMMYFUNCTION("IFERROR(INDEX(FILTER('Kế hoạch chèn link (mới)'!$B$3:$B$2213,'Kế hoạch chèn link (mới)'!$D$3:$D$2213=$B615),5),"""")"),"")</f>
        <v/>
      </c>
    </row>
    <row r="616">
      <c r="A616" s="6">
        <f t="shared" si="1"/>
        <v>615</v>
      </c>
      <c r="B616" s="8" t="s">
        <v>743</v>
      </c>
      <c r="C616" s="6">
        <f>COUNTIF('Kế hoạch chèn link (mới)'!$D$3:$D$2213,$B616)</f>
        <v>4</v>
      </c>
      <c r="D616" s="8" t="str">
        <f>IF(COUNTIFS('Kế hoạch chèn link (mới)'!$D$3:$D$2213,$B616,'Kế hoạch chèn link (mới)'!$I$3:$I$2213,"Đã chèn")&gt;=$C616,"Đã hoàn thành",IF(COUNTIFS('Kế hoạch chèn link (mới)'!$D$3:$D$2213,$B616,'Kế hoạch chèn link (mới)'!$I$3:$I$2213,"Đã chèn")&gt;0,"Đang làm","Chưa hoàn thành"))</f>
        <v>Chưa hoàn thành</v>
      </c>
      <c r="E616" s="8" t="b">
        <f t="shared" si="2"/>
        <v>0</v>
      </c>
      <c r="F616" s="25"/>
      <c r="G616" s="25" t="str">
        <f>IFERROR(__xludf.DUMMYFUNCTION("IFERROR(INDEX(FILTER('Kế hoạch chèn link (mới)'!$C$3:$C$2213,'Kế hoạch chèn link (mới)'!$D$3:$D$2213=$B616),1),"""")"),"thuế thu nhập doanh nghiệp")</f>
        <v>thuế thu nhập doanh nghiệp</v>
      </c>
      <c r="H616" s="25" t="str">
        <f>IFERROR(__xludf.DUMMYFUNCTION("IFERROR(INDEX(FILTER('Kế hoạch chèn link (mới)'!$B$3:$B$2213,'Kế hoạch chèn link (mới)'!$D$3:$D$2213=$B616),1),"""")"),"https://techcombank.com/thong-tin/blog/thue-thu-nhap-doanh-nghiep")</f>
        <v>https://techcombank.com/thong-tin/blog/thue-thu-nhap-doanh-nghiep</v>
      </c>
      <c r="I616" s="25" t="str">
        <f>IFERROR(__xludf.DUMMYFUNCTION("IFERROR(INDEX(FILTER('Kế hoạch chèn link (mới)'!$C$3:$C$2213,'Kế hoạch chèn link (mới)'!$D$3:$D$2213=$B616),2),"""")"),"thuế thu nhập cá nhân")</f>
        <v>thuế thu nhập cá nhân</v>
      </c>
      <c r="J616" s="25" t="str">
        <f>IFERROR(__xludf.DUMMYFUNCTION("IFERROR(INDEX(FILTER('Kế hoạch chèn link (mới)'!$B$3:$B$2213,'Kế hoạch chèn link (mới)'!$D$3:$D$2213=$B616),2),"""")"),"https://techcombank.com/thong-tin/blog/cach-tinh-thue-thu-nhap-ca-nhan-2025")</f>
        <v>https://techcombank.com/thong-tin/blog/cach-tinh-thue-thu-nhap-ca-nhan-2025</v>
      </c>
      <c r="K616" s="25" t="str">
        <f>IFERROR(__xludf.DUMMYFUNCTION("IFERROR(INDEX(FILTER('Kế hoạch chèn link (mới)'!$C$3:$C$2213,'Kế hoạch chèn link (mới)'!$D$3:$D$2213=$B616),3),"""")"),"thuế hộ kinh doanh")</f>
        <v>thuế hộ kinh doanh</v>
      </c>
      <c r="L616" s="25" t="str">
        <f>IFERROR(__xludf.DUMMYFUNCTION("IFERROR(INDEX(FILTER('Kế hoạch chèn link (mới)'!$B$3:$B$2213,'Kế hoạch chèn link (mới)'!$D$3:$D$2213=$B616),3),"""")"),"https://techcombank.com/thong-tin/blog/ho-kinh-doanh-dong-thue-nhu-nao")</f>
        <v>https://techcombank.com/thong-tin/blog/ho-kinh-doanh-dong-thue-nhu-nao</v>
      </c>
      <c r="M616" s="25" t="str">
        <f>IFERROR(__xludf.DUMMYFUNCTION("IFERROR(INDEX(FILTER('Kế hoạch chèn link (mới)'!$C$3:$C$2213,'Kế hoạch chèn link (mới)'!$D$3:$D$2213=$B616),4),"""")"),"mô hình kinh doanh là gì")</f>
        <v>mô hình kinh doanh là gì</v>
      </c>
      <c r="N616" s="25" t="str">
        <f>IFERROR(__xludf.DUMMYFUNCTION("IFERROR(INDEX(FILTER('Kế hoạch chèn link (mới)'!$B$3:$B$2213,'Kế hoạch chèn link (mới)'!$D$3:$D$2213=$B616),4),"""")"),"https://techcombank.com/thong-tin/blog/mo-hinh-kinh-doanh-la-gi")</f>
        <v>https://techcombank.com/thong-tin/blog/mo-hinh-kinh-doanh-la-gi</v>
      </c>
      <c r="O616" s="25" t="str">
        <f>IFERROR(__xludf.DUMMYFUNCTION("IFERROR(INDEX(FILTER('Kế hoạch chèn link (mới)'!$C$3:$C$2213,'Kế hoạch chèn link (mới)'!$D$3:$D$2213=$B616),5),"""")"),"")</f>
        <v/>
      </c>
      <c r="P616" s="25" t="str">
        <f>IFERROR(__xludf.DUMMYFUNCTION("IFERROR(INDEX(FILTER('Kế hoạch chèn link (mới)'!$B$3:$B$2213,'Kế hoạch chèn link (mới)'!$D$3:$D$2213=$B616),5),"""")"),"")</f>
        <v/>
      </c>
    </row>
    <row r="617">
      <c r="A617" s="6">
        <f t="shared" si="1"/>
        <v>616</v>
      </c>
      <c r="B617" s="8" t="s">
        <v>705</v>
      </c>
      <c r="C617" s="6">
        <f>COUNTIF('Kế hoạch chèn link (mới)'!$D$3:$D$2213,$B617)</f>
        <v>5</v>
      </c>
      <c r="D617" s="8" t="str">
        <f>IF(COUNTIFS('Kế hoạch chèn link (mới)'!$D$3:$D$2213,$B617,'Kế hoạch chèn link (mới)'!$I$3:$I$2213,"Đã chèn")&gt;=$C617,"Đã hoàn thành",IF(COUNTIFS('Kế hoạch chèn link (mới)'!$D$3:$D$2213,$B617,'Kế hoạch chèn link (mới)'!$I$3:$I$2213,"Đã chèn")&gt;0,"Đang làm","Chưa hoàn thành"))</f>
        <v>Chưa hoàn thành</v>
      </c>
      <c r="E617" s="8" t="b">
        <f t="shared" si="2"/>
        <v>0</v>
      </c>
      <c r="F617" s="25"/>
      <c r="G617" s="25" t="str">
        <f>IFERROR(__xludf.DUMMYFUNCTION("IFERROR(INDEX(FILTER('Kế hoạch chèn link (mới)'!$C$3:$C$2213,'Kế hoạch chèn link (mới)'!$D$3:$D$2213=$B617),1),"""")"),"nộp thuế hộ trên etax")</f>
        <v>nộp thuế hộ trên etax</v>
      </c>
      <c r="H617" s="25" t="str">
        <f>IFERROR(__xludf.DUMMYFUNCTION("IFERROR(INDEX(FILTER('Kế hoạch chèn link (mới)'!$B$3:$B$2213,'Kế hoạch chèn link (mới)'!$D$3:$D$2213=$B617),1),"""")"),"https://techcombank.com/thong-tin/blog/cach-nop-thue-dien-tu")</f>
        <v>https://techcombank.com/thong-tin/blog/cach-nop-thue-dien-tu</v>
      </c>
      <c r="I617" s="25" t="str">
        <f>IFERROR(__xludf.DUMMYFUNCTION("IFERROR(INDEX(FILTER('Kế hoạch chèn link (mới)'!$C$3:$C$2213,'Kế hoạch chèn link (mới)'!$D$3:$D$2213=$B617),2),"""")"),"công ty sử dụng tài khoản cá nhân")</f>
        <v>công ty sử dụng tài khoản cá nhân</v>
      </c>
      <c r="J617" s="25" t="str">
        <f>IFERROR(__xludf.DUMMYFUNCTION("IFERROR(INDEX(FILTER('Kế hoạch chèn link (mới)'!$B$3:$B$2213,'Kế hoạch chèn link (mới)'!$D$3:$D$2213=$B617),2),"""")"),"https://techcombank.com/thong-tin/blog/cong-ty-su-dung-tai-khoan-ca-nhan")</f>
        <v>https://techcombank.com/thong-tin/blog/cong-ty-su-dung-tai-khoan-ca-nhan</v>
      </c>
      <c r="K617" s="25" t="str">
        <f>IFERROR(__xludf.DUMMYFUNCTION("IFERROR(INDEX(FILTER('Kế hoạch chèn link (mới)'!$C$3:$C$2213,'Kế hoạch chèn link (mới)'!$D$3:$D$2213=$B617),3),"""")"),"thuế thu nhập cá nhân")</f>
        <v>thuế thu nhập cá nhân</v>
      </c>
      <c r="L617" s="25" t="str">
        <f>IFERROR(__xludf.DUMMYFUNCTION("IFERROR(INDEX(FILTER('Kế hoạch chèn link (mới)'!$B$3:$B$2213,'Kế hoạch chèn link (mới)'!$D$3:$D$2213=$B617),3),"""")"),"https://techcombank.com/thong-tin/blog/cach-tinh-thue-thu-nhap-ca-nhan-2025")</f>
        <v>https://techcombank.com/thong-tin/blog/cach-tinh-thue-thu-nhap-ca-nhan-2025</v>
      </c>
      <c r="M617" s="25" t="str">
        <f>IFERROR(__xludf.DUMMYFUNCTION("IFERROR(INDEX(FILTER('Kế hoạch chèn link (mới)'!$C$3:$C$2213,'Kế hoạch chèn link (mới)'!$D$3:$D$2213=$B617),4),"""")"),"sao kê tài khoản ngân hàng")</f>
        <v>sao kê tài khoản ngân hàng</v>
      </c>
      <c r="N617" s="25" t="str">
        <f>IFERROR(__xludf.DUMMYFUNCTION("IFERROR(INDEX(FILTER('Kế hoạch chèn link (mới)'!$B$3:$B$2213,'Kế hoạch chèn link (mới)'!$D$3:$D$2213=$B617),4),"""")"),"https://techcombank.com/thong-tin/blog/cach-sao-ke-tai-khoan-ngan-hang")</f>
        <v>https://techcombank.com/thong-tin/blog/cach-sao-ke-tai-khoan-ngan-hang</v>
      </c>
      <c r="O617" s="25" t="str">
        <f>IFERROR(__xludf.DUMMYFUNCTION("IFERROR(INDEX(FILTER('Kế hoạch chèn link (mới)'!$C$3:$C$2213,'Kế hoạch chèn link (mới)'!$D$3:$D$2213=$B617),5),"""")"),"thuế thu nhập cá nhân")</f>
        <v>thuế thu nhập cá nhân</v>
      </c>
      <c r="P617" s="25" t="str">
        <f>IFERROR(__xludf.DUMMYFUNCTION("IFERROR(INDEX(FILTER('Kế hoạch chèn link (mới)'!$B$3:$B$2213,'Kế hoạch chèn link (mới)'!$D$3:$D$2213=$B617),5),"""")"),"https://techcombank.com/thong-tin/blog/thue-thu-nhap-ca-nhan")</f>
        <v>https://techcombank.com/thong-tin/blog/thue-thu-nhap-ca-nhan</v>
      </c>
    </row>
    <row r="618">
      <c r="A618" s="6">
        <f t="shared" si="1"/>
        <v>617</v>
      </c>
      <c r="B618" s="8" t="s">
        <v>1002</v>
      </c>
      <c r="C618" s="6">
        <f>COUNTIF('Kế hoạch chèn link (mới)'!$D$3:$D$2213,$B618)</f>
        <v>4</v>
      </c>
      <c r="D618" s="8" t="str">
        <f>IF(COUNTIFS('Kế hoạch chèn link (mới)'!$D$3:$D$2213,$B618,'Kế hoạch chèn link (mới)'!$I$3:$I$2213,"Đã chèn")&gt;=$C618,"Đã hoàn thành",IF(COUNTIFS('Kế hoạch chèn link (mới)'!$D$3:$D$2213,$B618,'Kế hoạch chèn link (mới)'!$I$3:$I$2213,"Đã chèn")&gt;0,"Đang làm","Chưa hoàn thành"))</f>
        <v>Chưa hoàn thành</v>
      </c>
      <c r="E618" s="8" t="b">
        <f t="shared" si="2"/>
        <v>0</v>
      </c>
      <c r="F618" s="25"/>
      <c r="G618" s="25" t="str">
        <f>IFERROR(__xludf.DUMMYFUNCTION("IFERROR(INDEX(FILTER('Kế hoạch chèn link (mới)'!$C$3:$C$2213,'Kế hoạch chèn link (mới)'!$D$3:$D$2213=$B618),1),"""")"),"1 Tệ bằng bao nhiêu tiền Việt")</f>
        <v>1 Tệ bằng bao nhiêu tiền Việt</v>
      </c>
      <c r="H618" s="25" t="str">
        <f>IFERROR(__xludf.DUMMYFUNCTION("IFERROR(INDEX(FILTER('Kế hoạch chèn link (mới)'!$B$3:$B$2213,'Kế hoạch chèn link (mới)'!$D$3:$D$2213=$B618),1),"""")"),"https://techcombank.com/thong-tin/blog/1-te-bang-bao-nhieu-tien-viet-nam")</f>
        <v>https://techcombank.com/thong-tin/blog/1-te-bang-bao-nhieu-tien-viet-nam</v>
      </c>
      <c r="I618" s="25" t="str">
        <f>IFERROR(__xludf.DUMMYFUNCTION("IFERROR(INDEX(FILTER('Kế hoạch chèn link (mới)'!$C$3:$C$2213,'Kế hoạch chèn link (mới)'!$D$3:$D$2213=$B618),2),"""")"),"1 đô bằng bao nhiêu tiền Việt")</f>
        <v>1 đô bằng bao nhiêu tiền Việt</v>
      </c>
      <c r="J618" s="25" t="str">
        <f>IFERROR(__xludf.DUMMYFUNCTION("IFERROR(INDEX(FILTER('Kế hoạch chèn link (mới)'!$B$3:$B$2213,'Kế hoạch chèn link (mới)'!$D$3:$D$2213=$B618),2),"""")"),"https://techcombank.com/thong-tin/blog/1-dong-do-la-my-bang-bao-nhieu-tien-viet-nam")</f>
        <v>https://techcombank.com/thong-tin/blog/1-dong-do-la-my-bang-bao-nhieu-tien-viet-nam</v>
      </c>
      <c r="K618" s="25" t="str">
        <f>IFERROR(__xludf.DUMMYFUNCTION("IFERROR(INDEX(FILTER('Kế hoạch chèn link (mới)'!$C$3:$C$2213,'Kế hoạch chèn link (mới)'!$D$3:$D$2213=$B618),3),"""")"),"tiền Nhật")</f>
        <v>tiền Nhật</v>
      </c>
      <c r="L618" s="25" t="str">
        <f>IFERROR(__xludf.DUMMYFUNCTION("IFERROR(INDEX(FILTER('Kế hoạch chèn link (mới)'!$B$3:$B$2213,'Kế hoạch chèn link (mới)'!$D$3:$D$2213=$B618),3),"""")"),"https://techcombank.com/thong-tin/blog/tien-nhat")</f>
        <v>https://techcombank.com/thong-tin/blog/tien-nhat</v>
      </c>
      <c r="M618" s="25" t="str">
        <f>IFERROR(__xludf.DUMMYFUNCTION("IFERROR(INDEX(FILTER('Kế hoạch chèn link (mới)'!$C$3:$C$2213,'Kế hoạch chèn link (mới)'!$D$3:$D$2213=$B618),4),"""")"),"1 Yên bằng bao nhiêu tiền Việt")</f>
        <v>1 Yên bằng bao nhiêu tiền Việt</v>
      </c>
      <c r="N618" s="25" t="str">
        <f>IFERROR(__xludf.DUMMYFUNCTION("IFERROR(INDEX(FILTER('Kế hoạch chèn link (mới)'!$B$3:$B$2213,'Kế hoạch chèn link (mới)'!$D$3:$D$2213=$B618),4),"""")"),"https://techcombank.com/thong-tin/blog/1-yen-bang-bao-nhieu-tien-viet-nam")</f>
        <v>https://techcombank.com/thong-tin/blog/1-yen-bang-bao-nhieu-tien-viet-nam</v>
      </c>
      <c r="O618" s="25" t="str">
        <f>IFERROR(__xludf.DUMMYFUNCTION("IFERROR(INDEX(FILTER('Kế hoạch chèn link (mới)'!$C$3:$C$2213,'Kế hoạch chèn link (mới)'!$D$3:$D$2213=$B618),5),"""")"),"")</f>
        <v/>
      </c>
      <c r="P618" s="25" t="str">
        <f>IFERROR(__xludf.DUMMYFUNCTION("IFERROR(INDEX(FILTER('Kế hoạch chèn link (mới)'!$B$3:$B$2213,'Kế hoạch chèn link (mới)'!$D$3:$D$2213=$B618),5),"""")"),"")</f>
        <v/>
      </c>
    </row>
    <row r="619">
      <c r="A619" s="6">
        <f t="shared" si="1"/>
        <v>618</v>
      </c>
      <c r="B619" s="8" t="s">
        <v>3226</v>
      </c>
      <c r="C619" s="6">
        <f>COUNTIF('Kế hoạch chèn link (mới)'!$D$3:$D$2213,$B619)</f>
        <v>3</v>
      </c>
      <c r="D619" s="8" t="str">
        <f>IF(COUNTIFS('Kế hoạch chèn link (mới)'!$D$3:$D$2213,$B619,'Kế hoạch chèn link (mới)'!$I$3:$I$2213,"Đã chèn")&gt;=$C619,"Đã hoàn thành",IF(COUNTIFS('Kế hoạch chèn link (mới)'!$D$3:$D$2213,$B619,'Kế hoạch chèn link (mới)'!$I$3:$I$2213,"Đã chèn")&gt;0,"Đang làm","Chưa hoàn thành"))</f>
        <v>Chưa hoàn thành</v>
      </c>
      <c r="E619" s="8" t="b">
        <f t="shared" si="2"/>
        <v>0</v>
      </c>
      <c r="F619" s="25"/>
      <c r="G619" s="25" t="str">
        <f>IFERROR(__xludf.DUMMYFUNCTION("IFERROR(INDEX(FILTER('Kế hoạch chèn link (mới)'!$C$3:$C$2213,'Kế hoạch chèn link (mới)'!$D$3:$D$2213=$B619),1),"""")"),"lãi suất chứng chỉ tiền gửi các ngân hàng")</f>
        <v>lãi suất chứng chỉ tiền gửi các ngân hàng</v>
      </c>
      <c r="H619" s="25" t="str">
        <f>IFERROR(__xludf.DUMMYFUNCTION("IFERROR(INDEX(FILTER('Kế hoạch chèn link (mới)'!$B$3:$B$2213,'Kế hoạch chèn link (mới)'!$D$3:$D$2213=$B619),1),"""")"),"https://techcombank.com/thong-tin/blog/lai-suat-chung-chi-tien-gui-cac-ngan-hang")</f>
        <v>https://techcombank.com/thong-tin/blog/lai-suat-chung-chi-tien-gui-cac-ngan-hang</v>
      </c>
      <c r="I619" s="25" t="str">
        <f>IFERROR(__xludf.DUMMYFUNCTION("IFERROR(INDEX(FILTER('Kế hoạch chèn link (mới)'!$C$3:$C$2213,'Kế hoạch chèn link (mới)'!$D$3:$D$2213=$B619),2),"""")"),"tính lãi suất ngân hàng")</f>
        <v>tính lãi suất ngân hàng</v>
      </c>
      <c r="J619" s="25" t="str">
        <f>IFERROR(__xludf.DUMMYFUNCTION("IFERROR(INDEX(FILTER('Kế hoạch chèn link (mới)'!$B$3:$B$2213,'Kế hoạch chèn link (mới)'!$D$3:$D$2213=$B619),2),"""")"),"https://techcombank.com/thong-tin/blog/cach-tinh-lai-suat-tien-gui-tiet-kiem")</f>
        <v>https://techcombank.com/thong-tin/blog/cach-tinh-lai-suat-tien-gui-tiet-kiem</v>
      </c>
      <c r="K619" s="25" t="str">
        <f>IFERROR(__xludf.DUMMYFUNCTION("IFERROR(INDEX(FILTER('Kế hoạch chèn link (mới)'!$C$3:$C$2213,'Kế hoạch chèn link (mới)'!$D$3:$D$2213=$B619),3),"""")"),"rút tiền tiết kiệm trước thời hạn")</f>
        <v>rút tiền tiết kiệm trước thời hạn</v>
      </c>
      <c r="L619" s="25" t="str">
        <f>IFERROR(__xludf.DUMMYFUNCTION("IFERROR(INDEX(FILTER('Kế hoạch chèn link (mới)'!$B$3:$B$2213,'Kế hoạch chèn link (mới)'!$D$3:$D$2213=$B619),3),"""")"),"https://techcombank.com/thong-tin/blog/rut-tien-tiet-kiem-truoc-thoi-han")</f>
        <v>https://techcombank.com/thong-tin/blog/rut-tien-tiet-kiem-truoc-thoi-han</v>
      </c>
      <c r="M619" s="25" t="str">
        <f>IFERROR(__xludf.DUMMYFUNCTION("IFERROR(INDEX(FILTER('Kế hoạch chèn link (mới)'!$C$3:$C$2213,'Kế hoạch chèn link (mới)'!$D$3:$D$2213=$B619),4),"""")"),"")</f>
        <v/>
      </c>
      <c r="N619" s="25" t="str">
        <f>IFERROR(__xludf.DUMMYFUNCTION("IFERROR(INDEX(FILTER('Kế hoạch chèn link (mới)'!$B$3:$B$2213,'Kế hoạch chèn link (mới)'!$D$3:$D$2213=$B619),4),"""")"),"")</f>
        <v/>
      </c>
      <c r="O619" s="25" t="str">
        <f>IFERROR(__xludf.DUMMYFUNCTION("IFERROR(INDEX(FILTER('Kế hoạch chèn link (mới)'!$C$3:$C$2213,'Kế hoạch chèn link (mới)'!$D$3:$D$2213=$B619),5),"""")"),"")</f>
        <v/>
      </c>
      <c r="P619" s="25" t="str">
        <f>IFERROR(__xludf.DUMMYFUNCTION("IFERROR(INDEX(FILTER('Kế hoạch chèn link (mới)'!$B$3:$B$2213,'Kế hoạch chèn link (mới)'!$D$3:$D$2213=$B619),5),"""")"),"")</f>
        <v/>
      </c>
    </row>
    <row r="620">
      <c r="A620" s="6">
        <f t="shared" si="1"/>
        <v>619</v>
      </c>
      <c r="B620" s="8" t="s">
        <v>3227</v>
      </c>
      <c r="C620" s="6">
        <f>COUNTIF('Kế hoạch chèn link (mới)'!$D$3:$D$2213,$B620)</f>
        <v>4</v>
      </c>
      <c r="D620" s="8" t="str">
        <f>IF(COUNTIFS('Kế hoạch chèn link (mới)'!$D$3:$D$2213,$B620,'Kế hoạch chèn link (mới)'!$I$3:$I$2213,"Đã chèn")&gt;=$C620,"Đã hoàn thành",IF(COUNTIFS('Kế hoạch chèn link (mới)'!$D$3:$D$2213,$B620,'Kế hoạch chèn link (mới)'!$I$3:$I$2213,"Đã chèn")&gt;0,"Đang làm","Chưa hoàn thành"))</f>
        <v>Chưa hoàn thành</v>
      </c>
      <c r="E620" s="8" t="b">
        <f t="shared" si="2"/>
        <v>0</v>
      </c>
      <c r="F620" s="25"/>
      <c r="G620" s="25" t="str">
        <f>IFERROR(__xludf.DUMMYFUNCTION("IFERROR(INDEX(FILTER('Kế hoạch chèn link (mới)'!$C$3:$C$2213,'Kế hoạch chèn link (mới)'!$D$3:$D$2213=$B620),1),"""")"),"rút tiền thẻ tín dụng")</f>
        <v>rút tiền thẻ tín dụng</v>
      </c>
      <c r="H620" s="25" t="str">
        <f>IFERROR(__xludf.DUMMYFUNCTION("IFERROR(INDEX(FILTER('Kế hoạch chèn link (mới)'!$B$3:$B$2213,'Kế hoạch chèn link (mới)'!$D$3:$D$2213=$B620),1),"""")"),"https://techcombank.com/thong-tin/blog/rut-tien-mat-tu-the-tin-dung")</f>
        <v>https://techcombank.com/thong-tin/blog/rut-tien-mat-tu-the-tin-dung</v>
      </c>
      <c r="I620" s="25" t="str">
        <f>IFERROR(__xludf.DUMMYFUNCTION("IFERROR(INDEX(FILTER('Kế hoạch chèn link (mới)'!$C$3:$C$2213,'Kế hoạch chèn link (mới)'!$D$3:$D$2213=$B620),2),"""")"),"lãi suất tiền gửi ngân hàng")</f>
        <v>lãi suất tiền gửi ngân hàng</v>
      </c>
      <c r="J620" s="25" t="str">
        <f>IFERROR(__xludf.DUMMYFUNCTION("IFERROR(INDEX(FILTER('Kế hoạch chèn link (mới)'!$B$3:$B$2213,'Kế hoạch chèn link (mới)'!$D$3:$D$2213=$B620),2),"""")"),"https://techcombank.com/thong-tin/blog/lai-suat-tiet-kiem")</f>
        <v>https://techcombank.com/thong-tin/blog/lai-suat-tiet-kiem</v>
      </c>
      <c r="K620" s="25" t="str">
        <f>IFERROR(__xludf.DUMMYFUNCTION("IFERROR(INDEX(FILTER('Kế hoạch chèn link (mới)'!$C$3:$C$2213,'Kế hoạch chèn link (mới)'!$D$3:$D$2213=$B620),3),"""")"),"tính lãi suất ngân hàng")</f>
        <v>tính lãi suất ngân hàng</v>
      </c>
      <c r="L620" s="25" t="str">
        <f>IFERROR(__xludf.DUMMYFUNCTION("IFERROR(INDEX(FILTER('Kế hoạch chèn link (mới)'!$B$3:$B$2213,'Kế hoạch chèn link (mới)'!$D$3:$D$2213=$B620),3),"""")"),"https://techcombank.com/thong-tin/blog/cach-tinh-lai-suat-tien-gui-tiet-kiem")</f>
        <v>https://techcombank.com/thong-tin/blog/cach-tinh-lai-suat-tien-gui-tiet-kiem</v>
      </c>
      <c r="M620" s="25" t="str">
        <f>IFERROR(__xludf.DUMMYFUNCTION("IFERROR(INDEX(FILTER('Kế hoạch chèn link (mới)'!$C$3:$C$2213,'Kế hoạch chèn link (mới)'!$D$3:$D$2213=$B620),4),"""")"),"vay")</f>
        <v>vay</v>
      </c>
      <c r="N620" s="25" t="str">
        <f>IFERROR(__xludf.DUMMYFUNCTION("IFERROR(INDEX(FILTER('Kế hoạch chèn link (mới)'!$B$3:$B$2213,'Kế hoạch chèn link (mới)'!$D$3:$D$2213=$B620),4),"""")"),"https://techcombank.com/thong-tin/blog/app-vay-tien-nhanh")</f>
        <v>https://techcombank.com/thong-tin/blog/app-vay-tien-nhanh</v>
      </c>
      <c r="O620" s="25" t="str">
        <f>IFERROR(__xludf.DUMMYFUNCTION("IFERROR(INDEX(FILTER('Kế hoạch chèn link (mới)'!$C$3:$C$2213,'Kế hoạch chèn link (mới)'!$D$3:$D$2213=$B620),5),"""")"),"")</f>
        <v/>
      </c>
      <c r="P620" s="25" t="str">
        <f>IFERROR(__xludf.DUMMYFUNCTION("IFERROR(INDEX(FILTER('Kế hoạch chèn link (mới)'!$B$3:$B$2213,'Kế hoạch chèn link (mới)'!$D$3:$D$2213=$B620),5),"""")"),"")</f>
        <v/>
      </c>
    </row>
    <row r="621">
      <c r="A621" s="6">
        <f t="shared" si="1"/>
        <v>620</v>
      </c>
      <c r="B621" s="8" t="s">
        <v>3229</v>
      </c>
      <c r="C621" s="6">
        <f>COUNTIF('Kế hoạch chèn link (mới)'!$D$3:$D$2213,$B621)</f>
        <v>1</v>
      </c>
      <c r="D621" s="8" t="str">
        <f>IF(COUNTIFS('Kế hoạch chèn link (mới)'!$D$3:$D$2213,$B621,'Kế hoạch chèn link (mới)'!$I$3:$I$2213,"Đã chèn")&gt;=$C621,"Đã hoàn thành",IF(COUNTIFS('Kế hoạch chèn link (mới)'!$D$3:$D$2213,$B621,'Kế hoạch chèn link (mới)'!$I$3:$I$2213,"Đã chèn")&gt;0,"Đang làm","Chưa hoàn thành"))</f>
        <v>Chưa hoàn thành</v>
      </c>
      <c r="E621" s="8" t="b">
        <f t="shared" si="2"/>
        <v>0</v>
      </c>
      <c r="F621" s="25"/>
      <c r="G621" s="25" t="str">
        <f>IFERROR(__xludf.DUMMYFUNCTION("IFERROR(INDEX(FILTER('Kế hoạch chèn link (mới)'!$C$3:$C$2213,'Kế hoạch chèn link (mới)'!$D$3:$D$2213=$B621),1),"""")"),"tỷ giá USD/VND")</f>
        <v>tỷ giá USD/VND</v>
      </c>
      <c r="H621" s="25" t="str">
        <f>IFERROR(__xludf.DUMMYFUNCTION("IFERROR(INDEX(FILTER('Kế hoạch chèn link (mới)'!$B$3:$B$2213,'Kế hoạch chèn link (mới)'!$D$3:$D$2213=$B621),1),"""")"),"https://techcombank.com/thong-tin/blog/1-dong-do-la-my-bang-bao-nhieu-tien-viet-nam")</f>
        <v>https://techcombank.com/thong-tin/blog/1-dong-do-la-my-bang-bao-nhieu-tien-viet-nam</v>
      </c>
      <c r="I621" s="25" t="str">
        <f>IFERROR(__xludf.DUMMYFUNCTION("IFERROR(INDEX(FILTER('Kế hoạch chèn link (mới)'!$C$3:$C$2213,'Kế hoạch chèn link (mới)'!$D$3:$D$2213=$B621),2),"""")"),"")</f>
        <v/>
      </c>
      <c r="J621" s="25" t="str">
        <f>IFERROR(__xludf.DUMMYFUNCTION("IFERROR(INDEX(FILTER('Kế hoạch chèn link (mới)'!$B$3:$B$2213,'Kế hoạch chèn link (mới)'!$D$3:$D$2213=$B621),2),"""")"),"")</f>
        <v/>
      </c>
      <c r="K621" s="25" t="str">
        <f>IFERROR(__xludf.DUMMYFUNCTION("IFERROR(INDEX(FILTER('Kế hoạch chèn link (mới)'!$C$3:$C$2213,'Kế hoạch chèn link (mới)'!$D$3:$D$2213=$B621),3),"""")"),"")</f>
        <v/>
      </c>
      <c r="L621" s="25" t="str">
        <f>IFERROR(__xludf.DUMMYFUNCTION("IFERROR(INDEX(FILTER('Kế hoạch chèn link (mới)'!$B$3:$B$2213,'Kế hoạch chèn link (mới)'!$D$3:$D$2213=$B621),3),"""")"),"")</f>
        <v/>
      </c>
      <c r="M621" s="25" t="str">
        <f>IFERROR(__xludf.DUMMYFUNCTION("IFERROR(INDEX(FILTER('Kế hoạch chèn link (mới)'!$C$3:$C$2213,'Kế hoạch chèn link (mới)'!$D$3:$D$2213=$B621),4),"""")"),"")</f>
        <v/>
      </c>
      <c r="N621" s="25" t="str">
        <f>IFERROR(__xludf.DUMMYFUNCTION("IFERROR(INDEX(FILTER('Kế hoạch chèn link (mới)'!$B$3:$B$2213,'Kế hoạch chèn link (mới)'!$D$3:$D$2213=$B621),4),"""")"),"")</f>
        <v/>
      </c>
      <c r="O621" s="25" t="str">
        <f>IFERROR(__xludf.DUMMYFUNCTION("IFERROR(INDEX(FILTER('Kế hoạch chèn link (mới)'!$C$3:$C$2213,'Kế hoạch chèn link (mới)'!$D$3:$D$2213=$B621),5),"""")"),"")</f>
        <v/>
      </c>
      <c r="P621" s="25" t="str">
        <f>IFERROR(__xludf.DUMMYFUNCTION("IFERROR(INDEX(FILTER('Kế hoạch chèn link (mới)'!$B$3:$B$2213,'Kế hoạch chèn link (mới)'!$D$3:$D$2213=$B621),5),"""")"),"")</f>
        <v/>
      </c>
    </row>
    <row r="622">
      <c r="A622" s="6">
        <f t="shared" si="1"/>
        <v>621</v>
      </c>
      <c r="B622" s="8" t="s">
        <v>3233</v>
      </c>
      <c r="C622" s="6">
        <f>COUNTIF('Kế hoạch chèn link (mới)'!$D$3:$D$2213,$B622)</f>
        <v>1</v>
      </c>
      <c r="D622" s="8" t="str">
        <f>IF(COUNTIFS('Kế hoạch chèn link (mới)'!$D$3:$D$2213,$B622,'Kế hoạch chèn link (mới)'!$I$3:$I$2213,"Đã chèn")&gt;=$C622,"Đã hoàn thành",IF(COUNTIFS('Kế hoạch chèn link (mới)'!$D$3:$D$2213,$B622,'Kế hoạch chèn link (mới)'!$I$3:$I$2213,"Đã chèn")&gt;0,"Đang làm","Chưa hoàn thành"))</f>
        <v>Chưa hoàn thành</v>
      </c>
      <c r="E622" s="8" t="b">
        <f t="shared" si="2"/>
        <v>0</v>
      </c>
      <c r="F622" s="25"/>
      <c r="G622" s="25" t="str">
        <f>IFERROR(__xludf.DUMMYFUNCTION("IFERROR(INDEX(FILTER('Kế hoạch chèn link (mới)'!$C$3:$C$2213,'Kế hoạch chèn link (mới)'!$D$3:$D$2213=$B622),1),"""")"),"tỷ giá USD/VND")</f>
        <v>tỷ giá USD/VND</v>
      </c>
      <c r="H622" s="25" t="str">
        <f>IFERROR(__xludf.DUMMYFUNCTION("IFERROR(INDEX(FILTER('Kế hoạch chèn link (mới)'!$B$3:$B$2213,'Kế hoạch chèn link (mới)'!$D$3:$D$2213=$B622),1),"""")"),"https://techcombank.com/thong-tin/blog/1-dong-do-la-my-bang-bao-nhieu-tien-viet-nam")</f>
        <v>https://techcombank.com/thong-tin/blog/1-dong-do-la-my-bang-bao-nhieu-tien-viet-nam</v>
      </c>
      <c r="I622" s="25" t="str">
        <f>IFERROR(__xludf.DUMMYFUNCTION("IFERROR(INDEX(FILTER('Kế hoạch chèn link (mới)'!$C$3:$C$2213,'Kế hoạch chèn link (mới)'!$D$3:$D$2213=$B622),2),"""")"),"")</f>
        <v/>
      </c>
      <c r="J622" s="25" t="str">
        <f>IFERROR(__xludf.DUMMYFUNCTION("IFERROR(INDEX(FILTER('Kế hoạch chèn link (mới)'!$B$3:$B$2213,'Kế hoạch chèn link (mới)'!$D$3:$D$2213=$B622),2),"""")"),"")</f>
        <v/>
      </c>
      <c r="K622" s="25" t="str">
        <f>IFERROR(__xludf.DUMMYFUNCTION("IFERROR(INDEX(FILTER('Kế hoạch chèn link (mới)'!$C$3:$C$2213,'Kế hoạch chèn link (mới)'!$D$3:$D$2213=$B622),3),"""")"),"")</f>
        <v/>
      </c>
      <c r="L622" s="25" t="str">
        <f>IFERROR(__xludf.DUMMYFUNCTION("IFERROR(INDEX(FILTER('Kế hoạch chèn link (mới)'!$B$3:$B$2213,'Kế hoạch chèn link (mới)'!$D$3:$D$2213=$B622),3),"""")"),"")</f>
        <v/>
      </c>
      <c r="M622" s="25" t="str">
        <f>IFERROR(__xludf.DUMMYFUNCTION("IFERROR(INDEX(FILTER('Kế hoạch chèn link (mới)'!$C$3:$C$2213,'Kế hoạch chèn link (mới)'!$D$3:$D$2213=$B622),4),"""")"),"")</f>
        <v/>
      </c>
      <c r="N622" s="25" t="str">
        <f>IFERROR(__xludf.DUMMYFUNCTION("IFERROR(INDEX(FILTER('Kế hoạch chèn link (mới)'!$B$3:$B$2213,'Kế hoạch chèn link (mới)'!$D$3:$D$2213=$B622),4),"""")"),"")</f>
        <v/>
      </c>
      <c r="O622" s="25" t="str">
        <f>IFERROR(__xludf.DUMMYFUNCTION("IFERROR(INDEX(FILTER('Kế hoạch chèn link (mới)'!$C$3:$C$2213,'Kế hoạch chèn link (mới)'!$D$3:$D$2213=$B622),5),"""")"),"")</f>
        <v/>
      </c>
      <c r="P622" s="25" t="str">
        <f>IFERROR(__xludf.DUMMYFUNCTION("IFERROR(INDEX(FILTER('Kế hoạch chèn link (mới)'!$B$3:$B$2213,'Kế hoạch chèn link (mới)'!$D$3:$D$2213=$B622),5),"""")"),"")</f>
        <v/>
      </c>
    </row>
    <row r="623">
      <c r="A623" s="6">
        <f t="shared" si="1"/>
        <v>622</v>
      </c>
      <c r="B623" s="8" t="s">
        <v>3234</v>
      </c>
      <c r="C623" s="6">
        <f>COUNTIF('Kế hoạch chèn link (mới)'!$D$3:$D$2213,$B623)</f>
        <v>3</v>
      </c>
      <c r="D623" s="8" t="str">
        <f>IF(COUNTIFS('Kế hoạch chèn link (mới)'!$D$3:$D$2213,$B623,'Kế hoạch chèn link (mới)'!$I$3:$I$2213,"Đã chèn")&gt;=$C623,"Đã hoàn thành",IF(COUNTIFS('Kế hoạch chèn link (mới)'!$D$3:$D$2213,$B623,'Kế hoạch chèn link (mới)'!$I$3:$I$2213,"Đã chèn")&gt;0,"Đang làm","Chưa hoàn thành"))</f>
        <v>Chưa hoàn thành</v>
      </c>
      <c r="E623" s="8" t="b">
        <f t="shared" si="2"/>
        <v>0</v>
      </c>
      <c r="F623" s="25"/>
      <c r="G623" s="25" t="str">
        <f>IFERROR(__xludf.DUMMYFUNCTION("IFERROR(INDEX(FILTER('Kế hoạch chèn link (mới)'!$C$3:$C$2213,'Kế hoạch chèn link (mới)'!$D$3:$D$2213=$B623),1),"""")"),"tỷ giá USD/VND")</f>
        <v>tỷ giá USD/VND</v>
      </c>
      <c r="H623" s="25" t="str">
        <f>IFERROR(__xludf.DUMMYFUNCTION("IFERROR(INDEX(FILTER('Kế hoạch chèn link (mới)'!$B$3:$B$2213,'Kế hoạch chèn link (mới)'!$D$3:$D$2213=$B623),1),"""")"),"https://techcombank.com/thong-tin/blog/1-dong-do-la-my-bang-bao-nhieu-tien-viet-nam")</f>
        <v>https://techcombank.com/thong-tin/blog/1-dong-do-la-my-bang-bao-nhieu-tien-viet-nam</v>
      </c>
      <c r="I623" s="25" t="str">
        <f>IFERROR(__xludf.DUMMYFUNCTION("IFERROR(INDEX(FILTER('Kế hoạch chèn link (mới)'!$C$3:$C$2213,'Kế hoạch chèn link (mới)'!$D$3:$D$2213=$B623),2),"""")"),"nhận tiền từ nước ngoài")</f>
        <v>nhận tiền từ nước ngoài</v>
      </c>
      <c r="J623" s="25" t="str">
        <f>IFERROR(__xludf.DUMMYFUNCTION("IFERROR(INDEX(FILTER('Kế hoạch chèn link (mới)'!$B$3:$B$2213,'Kế hoạch chèn link (mới)'!$D$3:$D$2213=$B623),2),"""")"),"https://techcombank.com/thong-tin/blog/cach-nhan-tien-tu-nuoc-ngoai-ve-viet-nam")</f>
        <v>https://techcombank.com/thong-tin/blog/cach-nhan-tien-tu-nuoc-ngoai-ve-viet-nam</v>
      </c>
      <c r="K623" s="25" t="str">
        <f>IFERROR(__xludf.DUMMYFUNCTION("IFERROR(INDEX(FILTER('Kế hoạch chèn link (mới)'!$C$3:$C$2213,'Kế hoạch chèn link (mới)'!$D$3:$D$2213=$B623),3),"""")"),"đổi tiền đô ở đâu")</f>
        <v>đổi tiền đô ở đâu</v>
      </c>
      <c r="L623" s="25" t="str">
        <f>IFERROR(__xludf.DUMMYFUNCTION("IFERROR(INDEX(FILTER('Kế hoạch chèn link (mới)'!$B$3:$B$2213,'Kế hoạch chèn link (mới)'!$D$3:$D$2213=$B623),3),"""")"),"https://techcombank.com/thong-tin/blog/doi-tien-do-o-dau")</f>
        <v>https://techcombank.com/thong-tin/blog/doi-tien-do-o-dau</v>
      </c>
      <c r="M623" s="25" t="str">
        <f>IFERROR(__xludf.DUMMYFUNCTION("IFERROR(INDEX(FILTER('Kế hoạch chèn link (mới)'!$C$3:$C$2213,'Kế hoạch chèn link (mới)'!$D$3:$D$2213=$B623),4),"""")"),"")</f>
        <v/>
      </c>
      <c r="N623" s="25" t="str">
        <f>IFERROR(__xludf.DUMMYFUNCTION("IFERROR(INDEX(FILTER('Kế hoạch chèn link (mới)'!$B$3:$B$2213,'Kế hoạch chèn link (mới)'!$D$3:$D$2213=$B623),4),"""")"),"")</f>
        <v/>
      </c>
      <c r="O623" s="25" t="str">
        <f>IFERROR(__xludf.DUMMYFUNCTION("IFERROR(INDEX(FILTER('Kế hoạch chèn link (mới)'!$C$3:$C$2213,'Kế hoạch chèn link (mới)'!$D$3:$D$2213=$B623),5),"""")"),"")</f>
        <v/>
      </c>
      <c r="P623" s="25" t="str">
        <f>IFERROR(__xludf.DUMMYFUNCTION("IFERROR(INDEX(FILTER('Kế hoạch chèn link (mới)'!$B$3:$B$2213,'Kế hoạch chèn link (mới)'!$D$3:$D$2213=$B623),5),"""")"),"")</f>
        <v/>
      </c>
    </row>
    <row r="624">
      <c r="A624" s="6">
        <f t="shared" si="1"/>
        <v>623</v>
      </c>
      <c r="B624" s="8" t="s">
        <v>3235</v>
      </c>
      <c r="C624" s="6">
        <f>COUNTIF('Kế hoạch chèn link (mới)'!$D$3:$D$2213,$B624)</f>
        <v>5</v>
      </c>
      <c r="D624" s="8" t="str">
        <f>IF(COUNTIFS('Kế hoạch chèn link (mới)'!$D$3:$D$2213,$B624,'Kế hoạch chèn link (mới)'!$I$3:$I$2213,"Đã chèn")&gt;=$C624,"Đã hoàn thành",IF(COUNTIFS('Kế hoạch chèn link (mới)'!$D$3:$D$2213,$B624,'Kế hoạch chèn link (mới)'!$I$3:$I$2213,"Đã chèn")&gt;0,"Đang làm","Chưa hoàn thành"))</f>
        <v>Chưa hoàn thành</v>
      </c>
      <c r="E624" s="8" t="b">
        <f t="shared" si="2"/>
        <v>0</v>
      </c>
      <c r="F624" s="25"/>
      <c r="G624" s="25" t="str">
        <f>IFERROR(__xludf.DUMMYFUNCTION("IFERROR(INDEX(FILTER('Kế hoạch chèn link (mới)'!$C$3:$C$2213,'Kế hoạch chèn link (mới)'!$D$3:$D$2213=$B624),1),"""")"),"chứng chỉ tiền gửi")</f>
        <v>chứng chỉ tiền gửi</v>
      </c>
      <c r="H624" s="25" t="str">
        <f>IFERROR(__xludf.DUMMYFUNCTION("IFERROR(INDEX(FILTER('Kế hoạch chèn link (mới)'!$B$3:$B$2213,'Kế hoạch chèn link (mới)'!$D$3:$D$2213=$B624),1),"""")"),"https://techcombank.com/thong-tin/blog/chung-chi-tien-gui-la-gi")</f>
        <v>https://techcombank.com/thong-tin/blog/chung-chi-tien-gui-la-gi</v>
      </c>
      <c r="I624" s="25" t="str">
        <f>IFERROR(__xludf.DUMMYFUNCTION("IFERROR(INDEX(FILTER('Kế hoạch chèn link (mới)'!$C$3:$C$2213,'Kế hoạch chèn link (mới)'!$D$3:$D$2213=$B624),2),"""")"),"lợi suất chứng chỉ tiền gửi")</f>
        <v>lợi suất chứng chỉ tiền gửi</v>
      </c>
      <c r="J624" s="25" t="str">
        <f>IFERROR(__xludf.DUMMYFUNCTION("IFERROR(INDEX(FILTER('Kế hoạch chèn link (mới)'!$B$3:$B$2213,'Kế hoạch chèn link (mới)'!$D$3:$D$2213=$B624),2),"""")"),"https://techcombank.com/thong-tin/blog/lai-suat-chung-chi-tien-gui-cac-ngan-hang")</f>
        <v>https://techcombank.com/thong-tin/blog/lai-suat-chung-chi-tien-gui-cac-ngan-hang</v>
      </c>
      <c r="K624" s="25" t="str">
        <f>IFERROR(__xludf.DUMMYFUNCTION("IFERROR(INDEX(FILTER('Kế hoạch chèn link (mới)'!$C$3:$C$2213,'Kế hoạch chèn link (mới)'!$D$3:$D$2213=$B624),3),"""")"),"lãi suất ngân hàng tiền gửi")</f>
        <v>lãi suất ngân hàng tiền gửi</v>
      </c>
      <c r="L624" s="25" t="str">
        <f>IFERROR(__xludf.DUMMYFUNCTION("IFERROR(INDEX(FILTER('Kế hoạch chèn link (mới)'!$B$3:$B$2213,'Kế hoạch chèn link (mới)'!$D$3:$D$2213=$B624),3),"""")"),"https://techcombank.com/thong-tin/blog/lai-suat-tiet-kiem")</f>
        <v>https://techcombank.com/thong-tin/blog/lai-suat-tiet-kiem</v>
      </c>
      <c r="M624" s="25" t="str">
        <f>IFERROR(__xludf.DUMMYFUNCTION("IFERROR(INDEX(FILTER('Kế hoạch chèn link (mới)'!$C$3:$C$2213,'Kế hoạch chèn link (mới)'!$D$3:$D$2213=$B624),4),"""")"),"tính lãi suất ngân hàng")</f>
        <v>tính lãi suất ngân hàng</v>
      </c>
      <c r="N624" s="25" t="str">
        <f>IFERROR(__xludf.DUMMYFUNCTION("IFERROR(INDEX(FILTER('Kế hoạch chèn link (mới)'!$B$3:$B$2213,'Kế hoạch chèn link (mới)'!$D$3:$D$2213=$B624),4),"""")"),"https://techcombank.com/thong-tin/blog/cach-tinh-lai-suat-tien-gui-tiet-kiem")</f>
        <v>https://techcombank.com/thong-tin/blog/cach-tinh-lai-suat-tien-gui-tiet-kiem</v>
      </c>
      <c r="O624" s="25" t="str">
        <f>IFERROR(__xludf.DUMMYFUNCTION("IFERROR(INDEX(FILTER('Kế hoạch chèn link (mới)'!$C$3:$C$2213,'Kế hoạch chèn link (mới)'!$D$3:$D$2213=$B624),5),"""")"),"phương pháp đầu tư chứng chỉ quỹ")</f>
        <v>phương pháp đầu tư chứng chỉ quỹ</v>
      </c>
      <c r="P624" s="25" t="str">
        <f>IFERROR(__xludf.DUMMYFUNCTION("IFERROR(INDEX(FILTER('Kế hoạch chèn link (mới)'!$B$3:$B$2213,'Kế hoạch chèn link (mới)'!$D$3:$D$2213=$B624),5),"""")"),"https://techcombank.com/thong-tin/blog/phuong-phap-dau-tu-chung-chi-quy")</f>
        <v>https://techcombank.com/thong-tin/blog/phuong-phap-dau-tu-chung-chi-quy</v>
      </c>
    </row>
    <row r="625">
      <c r="A625" s="6">
        <f t="shared" si="1"/>
        <v>624</v>
      </c>
      <c r="B625" s="8" t="s">
        <v>979</v>
      </c>
      <c r="C625" s="6">
        <f>COUNTIF('Kế hoạch chèn link (mới)'!$D$3:$D$2213,$B625)</f>
        <v>3</v>
      </c>
      <c r="D625" s="8" t="str">
        <f>IF(COUNTIFS('Kế hoạch chèn link (mới)'!$D$3:$D$2213,$B625,'Kế hoạch chèn link (mới)'!$I$3:$I$2213,"Đã chèn")&gt;=$C625,"Đã hoàn thành",IF(COUNTIFS('Kế hoạch chèn link (mới)'!$D$3:$D$2213,$B625,'Kế hoạch chèn link (mới)'!$I$3:$I$2213,"Đã chèn")&gt;0,"Đang làm","Chưa hoàn thành"))</f>
        <v>Chưa hoàn thành</v>
      </c>
      <c r="E625" s="8" t="b">
        <f t="shared" si="2"/>
        <v>0</v>
      </c>
      <c r="F625" s="25"/>
      <c r="G625" s="25" t="str">
        <f>IFERROR(__xludf.DUMMYFUNCTION("IFERROR(INDEX(FILTER('Kế hoạch chèn link (mới)'!$C$3:$C$2213,'Kế hoạch chèn link (mới)'!$D$3:$D$2213=$B625),1),"""")"),"tỷ giá USD/VND")</f>
        <v>tỷ giá USD/VND</v>
      </c>
      <c r="H625" s="25" t="str">
        <f>IFERROR(__xludf.DUMMYFUNCTION("IFERROR(INDEX(FILTER('Kế hoạch chèn link (mới)'!$B$3:$B$2213,'Kế hoạch chèn link (mới)'!$D$3:$D$2213=$B625),1),"""")"),"https://techcombank.com/thong-tin/blog/1-dong-do-la-my-bang-bao-nhieu-tien-viet-nam")</f>
        <v>https://techcombank.com/thong-tin/blog/1-dong-do-la-my-bang-bao-nhieu-tien-viet-nam</v>
      </c>
      <c r="I625" s="25" t="str">
        <f>IFERROR(__xludf.DUMMYFUNCTION("IFERROR(INDEX(FILTER('Kế hoạch chèn link (mới)'!$C$3:$C$2213,'Kế hoạch chèn link (mới)'!$D$3:$D$2213=$B625),2),"""")"),"tỷ giá Yên Nhật")</f>
        <v>tỷ giá Yên Nhật</v>
      </c>
      <c r="J625" s="25" t="str">
        <f>IFERROR(__xludf.DUMMYFUNCTION("IFERROR(INDEX(FILTER('Kế hoạch chèn link (mới)'!$B$3:$B$2213,'Kế hoạch chèn link (mới)'!$D$3:$D$2213=$B625),2),"""")"),"https://techcombank.com/thong-tin/blog/1-yen-bang-bao-nhieu-tien-viet-nam")</f>
        <v>https://techcombank.com/thong-tin/blog/1-yen-bang-bao-nhieu-tien-viet-nam</v>
      </c>
      <c r="K625" s="25" t="str">
        <f>IFERROR(__xludf.DUMMYFUNCTION("IFERROR(INDEX(FILTER('Kế hoạch chèn link (mới)'!$C$3:$C$2213,'Kế hoạch chèn link (mới)'!$D$3:$D$2213=$B625),3),"""")"),"1 Man Nhật")</f>
        <v>1 Man Nhật</v>
      </c>
      <c r="L625" s="25" t="str">
        <f>IFERROR(__xludf.DUMMYFUNCTION("IFERROR(INDEX(FILTER('Kế hoạch chèn link (mới)'!$B$3:$B$2213,'Kế hoạch chèn link (mới)'!$D$3:$D$2213=$B625),3),"""")"),"https://techcombank.com/thong-tin/blog/1-man-bang-bao-nhieu-tien-viet")</f>
        <v>https://techcombank.com/thong-tin/blog/1-man-bang-bao-nhieu-tien-viet</v>
      </c>
      <c r="M625" s="25" t="str">
        <f>IFERROR(__xludf.DUMMYFUNCTION("IFERROR(INDEX(FILTER('Kế hoạch chèn link (mới)'!$C$3:$C$2213,'Kế hoạch chèn link (mới)'!$D$3:$D$2213=$B625),4),"""")"),"")</f>
        <v/>
      </c>
      <c r="N625" s="25" t="str">
        <f>IFERROR(__xludf.DUMMYFUNCTION("IFERROR(INDEX(FILTER('Kế hoạch chèn link (mới)'!$B$3:$B$2213,'Kế hoạch chèn link (mới)'!$D$3:$D$2213=$B625),4),"""")"),"")</f>
        <v/>
      </c>
      <c r="O625" s="25" t="str">
        <f>IFERROR(__xludf.DUMMYFUNCTION("IFERROR(INDEX(FILTER('Kế hoạch chèn link (mới)'!$C$3:$C$2213,'Kế hoạch chèn link (mới)'!$D$3:$D$2213=$B625),5),"""")"),"")</f>
        <v/>
      </c>
      <c r="P625" s="25" t="str">
        <f>IFERROR(__xludf.DUMMYFUNCTION("IFERROR(INDEX(FILTER('Kế hoạch chèn link (mới)'!$B$3:$B$2213,'Kế hoạch chèn link (mới)'!$D$3:$D$2213=$B625),5),"""")"),"")</f>
        <v/>
      </c>
    </row>
    <row r="626">
      <c r="A626" s="6">
        <f t="shared" si="1"/>
        <v>625</v>
      </c>
      <c r="B626" s="8" t="s">
        <v>3236</v>
      </c>
      <c r="C626" s="6">
        <f>COUNTIF('Kế hoạch chèn link (mới)'!$D$3:$D$2213,$B626)</f>
        <v>4</v>
      </c>
      <c r="D626" s="8" t="str">
        <f>IF(COUNTIFS('Kế hoạch chèn link (mới)'!$D$3:$D$2213,$B626,'Kế hoạch chèn link (mới)'!$I$3:$I$2213,"Đã chèn")&gt;=$C626,"Đã hoàn thành",IF(COUNTIFS('Kế hoạch chèn link (mới)'!$D$3:$D$2213,$B626,'Kế hoạch chèn link (mới)'!$I$3:$I$2213,"Đã chèn")&gt;0,"Đang làm","Chưa hoàn thành"))</f>
        <v>Chưa hoàn thành</v>
      </c>
      <c r="E626" s="8" t="b">
        <f t="shared" si="2"/>
        <v>0</v>
      </c>
      <c r="F626" s="25"/>
      <c r="G626" s="25" t="str">
        <f>IFERROR(__xludf.DUMMYFUNCTION("IFERROR(INDEX(FILTER('Kế hoạch chèn link (mới)'!$C$3:$C$2213,'Kế hoạch chèn link (mới)'!$D$3:$D$2213=$B626),1),"""")"),"tỷ giá USD/VND")</f>
        <v>tỷ giá USD/VND</v>
      </c>
      <c r="H626" s="25" t="str">
        <f>IFERROR(__xludf.DUMMYFUNCTION("IFERROR(INDEX(FILTER('Kế hoạch chèn link (mới)'!$B$3:$B$2213,'Kế hoạch chèn link (mới)'!$D$3:$D$2213=$B626),1),"""")"),"https://techcombank.com/thong-tin/blog/1-dong-do-la-my-bang-bao-nhieu-tien-viet-nam")</f>
        <v>https://techcombank.com/thong-tin/blog/1-dong-do-la-my-bang-bao-nhieu-tien-viet-nam</v>
      </c>
      <c r="I626" s="25" t="str">
        <f>IFERROR(__xludf.DUMMYFUNCTION("IFERROR(INDEX(FILTER('Kế hoạch chèn link (mới)'!$C$3:$C$2213,'Kế hoạch chèn link (mới)'!$D$3:$D$2213=$B626),2),"""")"),"tiền Nhật")</f>
        <v>tiền Nhật</v>
      </c>
      <c r="J626" s="25" t="str">
        <f>IFERROR(__xludf.DUMMYFUNCTION("IFERROR(INDEX(FILTER('Kế hoạch chèn link (mới)'!$B$3:$B$2213,'Kế hoạch chèn link (mới)'!$D$3:$D$2213=$B626),2),"""")"),"https://techcombank.com/thong-tin/blog/tien-nhat")</f>
        <v>https://techcombank.com/thong-tin/blog/tien-nhat</v>
      </c>
      <c r="K626" s="25" t="str">
        <f>IFERROR(__xludf.DUMMYFUNCTION("IFERROR(INDEX(FILTER('Kế hoạch chèn link (mới)'!$C$3:$C$2213,'Kế hoạch chèn link (mới)'!$D$3:$D$2213=$B626),3),"""")"),"nhận kiều hối")</f>
        <v>nhận kiều hối</v>
      </c>
      <c r="L626" s="25" t="str">
        <f>IFERROR(__xludf.DUMMYFUNCTION("IFERROR(INDEX(FILTER('Kế hoạch chèn link (mới)'!$B$3:$B$2213,'Kế hoạch chèn link (mới)'!$D$3:$D$2213=$B626),3),"""")"),"https://techcombank.com/thong-tin/blog/cach-nhan-tien-tu-nuoc-ngoai-ve-viet-nam")</f>
        <v>https://techcombank.com/thong-tin/blog/cach-nhan-tien-tu-nuoc-ngoai-ve-viet-nam</v>
      </c>
      <c r="M626" s="25" t="str">
        <f>IFERROR(__xludf.DUMMYFUNCTION("IFERROR(INDEX(FILTER('Kế hoạch chèn link (mới)'!$C$3:$C$2213,'Kế hoạch chèn link (mới)'!$D$3:$D$2213=$B626),4),"""")"),"đổi tiền đô ở đâu")</f>
        <v>đổi tiền đô ở đâu</v>
      </c>
      <c r="N626" s="25" t="str">
        <f>IFERROR(__xludf.DUMMYFUNCTION("IFERROR(INDEX(FILTER('Kế hoạch chèn link (mới)'!$B$3:$B$2213,'Kế hoạch chèn link (mới)'!$D$3:$D$2213=$B626),4),"""")"),"https://techcombank.com/thong-tin/blog/doi-tien-do-o-dau")</f>
        <v>https://techcombank.com/thong-tin/blog/doi-tien-do-o-dau</v>
      </c>
      <c r="O626" s="25" t="str">
        <f>IFERROR(__xludf.DUMMYFUNCTION("IFERROR(INDEX(FILTER('Kế hoạch chèn link (mới)'!$C$3:$C$2213,'Kế hoạch chèn link (mới)'!$D$3:$D$2213=$B626),5),"""")"),"")</f>
        <v/>
      </c>
      <c r="P626" s="25" t="str">
        <f>IFERROR(__xludf.DUMMYFUNCTION("IFERROR(INDEX(FILTER('Kế hoạch chèn link (mới)'!$B$3:$B$2213,'Kế hoạch chèn link (mới)'!$D$3:$D$2213=$B626),5),"""")"),"")</f>
        <v/>
      </c>
    </row>
    <row r="627">
      <c r="A627" s="6">
        <f t="shared" si="1"/>
        <v>626</v>
      </c>
      <c r="B627" s="8" t="s">
        <v>1020</v>
      </c>
      <c r="C627" s="6">
        <f>COUNTIF('Kế hoạch chèn link (mới)'!$D$3:$D$2213,$B627)</f>
        <v>2</v>
      </c>
      <c r="D627" s="8" t="str">
        <f>IF(COUNTIFS('Kế hoạch chèn link (mới)'!$D$3:$D$2213,$B627,'Kế hoạch chèn link (mới)'!$I$3:$I$2213,"Đã chèn")&gt;=$C627,"Đã hoàn thành",IF(COUNTIFS('Kế hoạch chèn link (mới)'!$D$3:$D$2213,$B627,'Kế hoạch chèn link (mới)'!$I$3:$I$2213,"Đã chèn")&gt;0,"Đang làm","Chưa hoàn thành"))</f>
        <v>Chưa hoàn thành</v>
      </c>
      <c r="E627" s="8" t="b">
        <f t="shared" si="2"/>
        <v>0</v>
      </c>
      <c r="F627" s="25"/>
      <c r="G627" s="25" t="str">
        <f>IFERROR(__xludf.DUMMYFUNCTION("IFERROR(INDEX(FILTER('Kế hoạch chèn link (mới)'!$C$3:$C$2213,'Kế hoạch chèn link (mới)'!$D$3:$D$2213=$B627),1),"""")"),"tỷ giá Yên Nhật")</f>
        <v>tỷ giá Yên Nhật</v>
      </c>
      <c r="H627" s="25" t="str">
        <f>IFERROR(__xludf.DUMMYFUNCTION("IFERROR(INDEX(FILTER('Kế hoạch chèn link (mới)'!$B$3:$B$2213,'Kế hoạch chèn link (mới)'!$D$3:$D$2213=$B627),1),"""")"),"https://techcombank.com/thong-tin/blog/1-yen-bang-bao-nhieu-tien-viet-nam")</f>
        <v>https://techcombank.com/thong-tin/blog/1-yen-bang-bao-nhieu-tien-viet-nam</v>
      </c>
      <c r="I627" s="25" t="str">
        <f>IFERROR(__xludf.DUMMYFUNCTION("IFERROR(INDEX(FILTER('Kế hoạch chèn link (mới)'!$C$3:$C$2213,'Kế hoạch chèn link (mới)'!$D$3:$D$2213=$B627),2),"""")"),"nhận kiều hối")</f>
        <v>nhận kiều hối</v>
      </c>
      <c r="J627" s="25" t="str">
        <f>IFERROR(__xludf.DUMMYFUNCTION("IFERROR(INDEX(FILTER('Kế hoạch chèn link (mới)'!$B$3:$B$2213,'Kế hoạch chèn link (mới)'!$D$3:$D$2213=$B627),2),"""")"),"https://techcombank.com/thong-tin/blog/cach-nhan-tien-tu-nuoc-ngoai-ve-viet-nam")</f>
        <v>https://techcombank.com/thong-tin/blog/cach-nhan-tien-tu-nuoc-ngoai-ve-viet-nam</v>
      </c>
      <c r="K627" s="25" t="str">
        <f>IFERROR(__xludf.DUMMYFUNCTION("IFERROR(INDEX(FILTER('Kế hoạch chèn link (mới)'!$C$3:$C$2213,'Kế hoạch chèn link (mới)'!$D$3:$D$2213=$B627),3),"""")"),"")</f>
        <v/>
      </c>
      <c r="L627" s="25" t="str">
        <f>IFERROR(__xludf.DUMMYFUNCTION("IFERROR(INDEX(FILTER('Kế hoạch chèn link (mới)'!$B$3:$B$2213,'Kế hoạch chèn link (mới)'!$D$3:$D$2213=$B627),3),"""")"),"")</f>
        <v/>
      </c>
      <c r="M627" s="25" t="str">
        <f>IFERROR(__xludf.DUMMYFUNCTION("IFERROR(INDEX(FILTER('Kế hoạch chèn link (mới)'!$C$3:$C$2213,'Kế hoạch chèn link (mới)'!$D$3:$D$2213=$B627),4),"""")"),"")</f>
        <v/>
      </c>
      <c r="N627" s="25" t="str">
        <f>IFERROR(__xludf.DUMMYFUNCTION("IFERROR(INDEX(FILTER('Kế hoạch chèn link (mới)'!$B$3:$B$2213,'Kế hoạch chèn link (mới)'!$D$3:$D$2213=$B627),4),"""")"),"")</f>
        <v/>
      </c>
      <c r="O627" s="25" t="str">
        <f>IFERROR(__xludf.DUMMYFUNCTION("IFERROR(INDEX(FILTER('Kế hoạch chèn link (mới)'!$C$3:$C$2213,'Kế hoạch chèn link (mới)'!$D$3:$D$2213=$B627),5),"""")"),"")</f>
        <v/>
      </c>
      <c r="P627" s="25" t="str">
        <f>IFERROR(__xludf.DUMMYFUNCTION("IFERROR(INDEX(FILTER('Kế hoạch chèn link (mới)'!$B$3:$B$2213,'Kế hoạch chèn link (mới)'!$D$3:$D$2213=$B627),5),"""")"),"")</f>
        <v/>
      </c>
    </row>
    <row r="628">
      <c r="A628" s="6">
        <f t="shared" si="1"/>
        <v>627</v>
      </c>
      <c r="B628" s="8" t="s">
        <v>3239</v>
      </c>
      <c r="C628" s="6">
        <f>COUNTIF('Kế hoạch chèn link (mới)'!$D$3:$D$2213,$B628)</f>
        <v>4</v>
      </c>
      <c r="D628" s="8" t="str">
        <f>IF(COUNTIFS('Kế hoạch chèn link (mới)'!$D$3:$D$2213,$B628,'Kế hoạch chèn link (mới)'!$I$3:$I$2213,"Đã chèn")&gt;=$C628,"Đã hoàn thành",IF(COUNTIFS('Kế hoạch chèn link (mới)'!$D$3:$D$2213,$B628,'Kế hoạch chèn link (mới)'!$I$3:$I$2213,"Đã chèn")&gt;0,"Đang làm","Chưa hoàn thành"))</f>
        <v>Chưa hoàn thành</v>
      </c>
      <c r="E628" s="8" t="b">
        <f t="shared" si="2"/>
        <v>0</v>
      </c>
      <c r="F628" s="25"/>
      <c r="G628" s="25" t="str">
        <f>IFERROR(__xludf.DUMMYFUNCTION("IFERROR(INDEX(FILTER('Kế hoạch chèn link (mới)'!$C$3:$C$2213,'Kế hoạch chèn link (mới)'!$D$3:$D$2213=$B628),1),"""")"),"tỷ giá Nhân dân tệ")</f>
        <v>tỷ giá Nhân dân tệ</v>
      </c>
      <c r="H628" s="25" t="str">
        <f>IFERROR(__xludf.DUMMYFUNCTION("IFERROR(INDEX(FILTER('Kế hoạch chèn link (mới)'!$B$3:$B$2213,'Kế hoạch chèn link (mới)'!$D$3:$D$2213=$B628),1),"""")"),"https://techcombank.com/thong-tin/blog/1-te-bang-bao-nhieu-tien-viet-nam")</f>
        <v>https://techcombank.com/thong-tin/blog/1-te-bang-bao-nhieu-tien-viet-nam</v>
      </c>
      <c r="I628" s="25" t="str">
        <f>IFERROR(__xludf.DUMMYFUNCTION("IFERROR(INDEX(FILTER('Kế hoạch chèn link (mới)'!$C$3:$C$2213,'Kế hoạch chèn link (mới)'!$D$3:$D$2213=$B628),2),"""")"),"1 đô bằng bao nhiêu tiền Việt")</f>
        <v>1 đô bằng bao nhiêu tiền Việt</v>
      </c>
      <c r="J628" s="25" t="str">
        <f>IFERROR(__xludf.DUMMYFUNCTION("IFERROR(INDEX(FILTER('Kế hoạch chèn link (mới)'!$B$3:$B$2213,'Kế hoạch chèn link (mới)'!$D$3:$D$2213=$B628),2),"""")"),"https://techcombank.com/thong-tin/blog/1-dong-do-la-my-bang-bao-nhieu-tien-viet-nam")</f>
        <v>https://techcombank.com/thong-tin/blog/1-dong-do-la-my-bang-bao-nhieu-tien-viet-nam</v>
      </c>
      <c r="K628" s="25" t="str">
        <f>IFERROR(__xludf.DUMMYFUNCTION("IFERROR(INDEX(FILTER('Kế hoạch chèn link (mới)'!$C$3:$C$2213,'Kế hoạch chèn link (mới)'!$D$3:$D$2213=$B628),3),"""")"),"tiền Nhật")</f>
        <v>tiền Nhật</v>
      </c>
      <c r="L628" s="25" t="str">
        <f>IFERROR(__xludf.DUMMYFUNCTION("IFERROR(INDEX(FILTER('Kế hoạch chèn link (mới)'!$B$3:$B$2213,'Kế hoạch chèn link (mới)'!$D$3:$D$2213=$B628),3),"""")"),"https://techcombank.com/thong-tin/blog/tien-nhat")</f>
        <v>https://techcombank.com/thong-tin/blog/tien-nhat</v>
      </c>
      <c r="M628" s="25" t="str">
        <f>IFERROR(__xludf.DUMMYFUNCTION("IFERROR(INDEX(FILTER('Kế hoạch chèn link (mới)'!$C$3:$C$2213,'Kế hoạch chèn link (mới)'!$D$3:$D$2213=$B628),4),"""")"),"nhận tiền từ nước ngoài")</f>
        <v>nhận tiền từ nước ngoài</v>
      </c>
      <c r="N628" s="25" t="str">
        <f>IFERROR(__xludf.DUMMYFUNCTION("IFERROR(INDEX(FILTER('Kế hoạch chèn link (mới)'!$B$3:$B$2213,'Kế hoạch chèn link (mới)'!$D$3:$D$2213=$B628),4),"""")"),"https://techcombank.com/thong-tin/blog/cach-nhan-tien-tu-nuoc-ngoai-ve-viet-nam")</f>
        <v>https://techcombank.com/thong-tin/blog/cach-nhan-tien-tu-nuoc-ngoai-ve-viet-nam</v>
      </c>
      <c r="O628" s="25" t="str">
        <f>IFERROR(__xludf.DUMMYFUNCTION("IFERROR(INDEX(FILTER('Kế hoạch chèn link (mới)'!$C$3:$C$2213,'Kế hoạch chèn link (mới)'!$D$3:$D$2213=$B628),5),"""")"),"")</f>
        <v/>
      </c>
      <c r="P628" s="25" t="str">
        <f>IFERROR(__xludf.DUMMYFUNCTION("IFERROR(INDEX(FILTER('Kế hoạch chèn link (mới)'!$B$3:$B$2213,'Kế hoạch chèn link (mới)'!$D$3:$D$2213=$B628),5),"""")"),"")</f>
        <v/>
      </c>
    </row>
    <row r="629">
      <c r="A629" s="6">
        <f t="shared" si="1"/>
        <v>628</v>
      </c>
      <c r="B629" s="8" t="s">
        <v>3240</v>
      </c>
      <c r="C629" s="6">
        <f>COUNTIF('Kế hoạch chèn link (mới)'!$D$3:$D$2213,$B629)</f>
        <v>1</v>
      </c>
      <c r="D629" s="8" t="str">
        <f>IF(COUNTIFS('Kế hoạch chèn link (mới)'!$D$3:$D$2213,$B629,'Kế hoạch chèn link (mới)'!$I$3:$I$2213,"Đã chèn")&gt;=$C629,"Đã hoàn thành",IF(COUNTIFS('Kế hoạch chèn link (mới)'!$D$3:$D$2213,$B629,'Kế hoạch chèn link (mới)'!$I$3:$I$2213,"Đã chèn")&gt;0,"Đang làm","Chưa hoàn thành"))</f>
        <v>Chưa hoàn thành</v>
      </c>
      <c r="E629" s="8" t="b">
        <f t="shared" si="2"/>
        <v>0</v>
      </c>
      <c r="F629" s="25"/>
      <c r="G629" s="25" t="str">
        <f>IFERROR(__xludf.DUMMYFUNCTION("IFERROR(INDEX(FILTER('Kế hoạch chèn link (mới)'!$C$3:$C$2213,'Kế hoạch chèn link (mới)'!$D$3:$D$2213=$B629),1),"""")"),"thẻ hoàn tiền")</f>
        <v>thẻ hoàn tiền</v>
      </c>
      <c r="H629" s="25" t="str">
        <f>IFERROR(__xludf.DUMMYFUNCTION("IFERROR(INDEX(FILTER('Kế hoạch chèn link (mới)'!$B$3:$B$2213,'Kế hoạch chèn link (mới)'!$D$3:$D$2213=$B629),1),"""")"),"https://techcombank.com/thong-tin/blog/the-tin-dung-hoan-tien")</f>
        <v>https://techcombank.com/thong-tin/blog/the-tin-dung-hoan-tien</v>
      </c>
      <c r="I629" s="25" t="str">
        <f>IFERROR(__xludf.DUMMYFUNCTION("IFERROR(INDEX(FILTER('Kế hoạch chèn link (mới)'!$C$3:$C$2213,'Kế hoạch chèn link (mới)'!$D$3:$D$2213=$B629),2),"""")"),"")</f>
        <v/>
      </c>
      <c r="J629" s="25" t="str">
        <f>IFERROR(__xludf.DUMMYFUNCTION("IFERROR(INDEX(FILTER('Kế hoạch chèn link (mới)'!$B$3:$B$2213,'Kế hoạch chèn link (mới)'!$D$3:$D$2213=$B629),2),"""")"),"")</f>
        <v/>
      </c>
      <c r="K629" s="25" t="str">
        <f>IFERROR(__xludf.DUMMYFUNCTION("IFERROR(INDEX(FILTER('Kế hoạch chèn link (mới)'!$C$3:$C$2213,'Kế hoạch chèn link (mới)'!$D$3:$D$2213=$B629),3),"""")"),"")</f>
        <v/>
      </c>
      <c r="L629" s="25" t="str">
        <f>IFERROR(__xludf.DUMMYFUNCTION("IFERROR(INDEX(FILTER('Kế hoạch chèn link (mới)'!$B$3:$B$2213,'Kế hoạch chèn link (mới)'!$D$3:$D$2213=$B629),3),"""")"),"")</f>
        <v/>
      </c>
      <c r="M629" s="25" t="str">
        <f>IFERROR(__xludf.DUMMYFUNCTION("IFERROR(INDEX(FILTER('Kế hoạch chèn link (mới)'!$C$3:$C$2213,'Kế hoạch chèn link (mới)'!$D$3:$D$2213=$B629),4),"""")"),"")</f>
        <v/>
      </c>
      <c r="N629" s="25" t="str">
        <f>IFERROR(__xludf.DUMMYFUNCTION("IFERROR(INDEX(FILTER('Kế hoạch chèn link (mới)'!$B$3:$B$2213,'Kế hoạch chèn link (mới)'!$D$3:$D$2213=$B629),4),"""")"),"")</f>
        <v/>
      </c>
      <c r="O629" s="25" t="str">
        <f>IFERROR(__xludf.DUMMYFUNCTION("IFERROR(INDEX(FILTER('Kế hoạch chèn link (mới)'!$C$3:$C$2213,'Kế hoạch chèn link (mới)'!$D$3:$D$2213=$B629),5),"""")"),"")</f>
        <v/>
      </c>
      <c r="P629" s="25" t="str">
        <f>IFERROR(__xludf.DUMMYFUNCTION("IFERROR(INDEX(FILTER('Kế hoạch chèn link (mới)'!$B$3:$B$2213,'Kế hoạch chèn link (mới)'!$D$3:$D$2213=$B629),5),"""")"),"")</f>
        <v/>
      </c>
    </row>
    <row r="630">
      <c r="A630" s="6">
        <f t="shared" si="1"/>
        <v>629</v>
      </c>
      <c r="B630" s="8" t="s">
        <v>3241</v>
      </c>
      <c r="C630" s="6">
        <f>COUNTIF('Kế hoạch chèn link (mới)'!$D$3:$D$2213,$B630)</f>
        <v>3</v>
      </c>
      <c r="D630" s="8" t="str">
        <f>IF(COUNTIFS('Kế hoạch chèn link (mới)'!$D$3:$D$2213,$B630,'Kế hoạch chèn link (mới)'!$I$3:$I$2213,"Đã chèn")&gt;=$C630,"Đã hoàn thành",IF(COUNTIFS('Kế hoạch chèn link (mới)'!$D$3:$D$2213,$B630,'Kế hoạch chèn link (mới)'!$I$3:$I$2213,"Đã chèn")&gt;0,"Đang làm","Chưa hoàn thành"))</f>
        <v>Chưa hoàn thành</v>
      </c>
      <c r="E630" s="8" t="b">
        <f t="shared" si="2"/>
        <v>0</v>
      </c>
      <c r="F630" s="25"/>
      <c r="G630" s="25" t="str">
        <f>IFERROR(__xludf.DUMMYFUNCTION("IFERROR(INDEX(FILTER('Kế hoạch chèn link (mới)'!$C$3:$C$2213,'Kế hoạch chèn link (mới)'!$D$3:$D$2213=$B630),1),"""")"),"lãi suất ngân hàng tiền gửi")</f>
        <v>lãi suất ngân hàng tiền gửi</v>
      </c>
      <c r="H630" s="25" t="str">
        <f>IFERROR(__xludf.DUMMYFUNCTION("IFERROR(INDEX(FILTER('Kế hoạch chèn link (mới)'!$B$3:$B$2213,'Kế hoạch chèn link (mới)'!$D$3:$D$2213=$B630),1),"""")"),"https://techcombank.com/thong-tin/blog/lai-suat-tiet-kiem")</f>
        <v>https://techcombank.com/thong-tin/blog/lai-suat-tiet-kiem</v>
      </c>
      <c r="I630" s="25" t="str">
        <f>IFERROR(__xludf.DUMMYFUNCTION("IFERROR(INDEX(FILTER('Kế hoạch chèn link (mới)'!$C$3:$C$2213,'Kế hoạch chèn link (mới)'!$D$3:$D$2213=$B630),2),"""")"),"tính lãi suất tiết kiệm")</f>
        <v>tính lãi suất tiết kiệm</v>
      </c>
      <c r="J630" s="25" t="str">
        <f>IFERROR(__xludf.DUMMYFUNCTION("IFERROR(INDEX(FILTER('Kế hoạch chèn link (mới)'!$B$3:$B$2213,'Kế hoạch chèn link (mới)'!$D$3:$D$2213=$B630),2),"""")"),"https://techcombank.com/thong-tin/blog/cach-tinh-lai-suat-tien-gui-tiet-kiem")</f>
        <v>https://techcombank.com/thong-tin/blog/cach-tinh-lai-suat-tien-gui-tiet-kiem</v>
      </c>
      <c r="K630" s="25" t="str">
        <f>IFERROR(__xludf.DUMMYFUNCTION("IFERROR(INDEX(FILTER('Kế hoạch chèn link (mới)'!$C$3:$C$2213,'Kế hoạch chèn link (mới)'!$D$3:$D$2213=$B630),3),"""")"),"cách tiết kiệm tiền")</f>
        <v>cách tiết kiệm tiền</v>
      </c>
      <c r="L630" s="25" t="str">
        <f>IFERROR(__xludf.DUMMYFUNCTION("IFERROR(INDEX(FILTER('Kế hoạch chèn link (mới)'!$B$3:$B$2213,'Kế hoạch chèn link (mới)'!$D$3:$D$2213=$B630),3),"""")"),"https://techcombank.com/thong-tin/blog/cach-tiet-kiem-tien")</f>
        <v>https://techcombank.com/thong-tin/blog/cach-tiet-kiem-tien</v>
      </c>
      <c r="M630" s="25" t="str">
        <f>IFERROR(__xludf.DUMMYFUNCTION("IFERROR(INDEX(FILTER('Kế hoạch chèn link (mới)'!$C$3:$C$2213,'Kế hoạch chèn link (mới)'!$D$3:$D$2213=$B630),4),"""")"),"")</f>
        <v/>
      </c>
      <c r="N630" s="25" t="str">
        <f>IFERROR(__xludf.DUMMYFUNCTION("IFERROR(INDEX(FILTER('Kế hoạch chèn link (mới)'!$B$3:$B$2213,'Kế hoạch chèn link (mới)'!$D$3:$D$2213=$B630),4),"""")"),"")</f>
        <v/>
      </c>
      <c r="O630" s="25" t="str">
        <f>IFERROR(__xludf.DUMMYFUNCTION("IFERROR(INDEX(FILTER('Kế hoạch chèn link (mới)'!$C$3:$C$2213,'Kế hoạch chèn link (mới)'!$D$3:$D$2213=$B630),5),"""")"),"")</f>
        <v/>
      </c>
      <c r="P630" s="25" t="str">
        <f>IFERROR(__xludf.DUMMYFUNCTION("IFERROR(INDEX(FILTER('Kế hoạch chèn link (mới)'!$B$3:$B$2213,'Kế hoạch chèn link (mới)'!$D$3:$D$2213=$B630),5),"""")"),"")</f>
        <v/>
      </c>
    </row>
    <row r="631">
      <c r="A631" s="6">
        <f t="shared" si="1"/>
        <v>630</v>
      </c>
      <c r="B631" s="8" t="s">
        <v>3243</v>
      </c>
      <c r="C631" s="6">
        <f>COUNTIF('Kế hoạch chèn link (mới)'!$D$3:$D$2213,$B631)</f>
        <v>1</v>
      </c>
      <c r="D631" s="8" t="str">
        <f>IF(COUNTIFS('Kế hoạch chèn link (mới)'!$D$3:$D$2213,$B631,'Kế hoạch chèn link (mới)'!$I$3:$I$2213,"Đã chèn")&gt;=$C631,"Đã hoàn thành",IF(COUNTIFS('Kế hoạch chèn link (mới)'!$D$3:$D$2213,$B631,'Kế hoạch chèn link (mới)'!$I$3:$I$2213,"Đã chèn")&gt;0,"Đang làm","Chưa hoàn thành"))</f>
        <v>Chưa hoàn thành</v>
      </c>
      <c r="E631" s="8" t="b">
        <f t="shared" si="2"/>
        <v>0</v>
      </c>
      <c r="F631" s="25"/>
      <c r="G631" s="25" t="str">
        <f>IFERROR(__xludf.DUMMYFUNCTION("IFERROR(INDEX(FILTER('Kế hoạch chèn link (mới)'!$C$3:$C$2213,'Kế hoạch chèn link (mới)'!$D$3:$D$2213=$B631),1),"""")"),"thẻ Eco")</f>
        <v>thẻ Eco</v>
      </c>
      <c r="H631" s="25" t="str">
        <f>IFERROR(__xludf.DUMMYFUNCTION("IFERROR(INDEX(FILTER('Kế hoạch chèn link (mới)'!$B$3:$B$2213,'Kế hoạch chèn link (mới)'!$D$3:$D$2213=$B631),1),"""")"),"https://techcombank.com/thong-tin/blog/eco-card")</f>
        <v>https://techcombank.com/thong-tin/blog/eco-card</v>
      </c>
      <c r="I631" s="25" t="str">
        <f>IFERROR(__xludf.DUMMYFUNCTION("IFERROR(INDEX(FILTER('Kế hoạch chèn link (mới)'!$C$3:$C$2213,'Kế hoạch chèn link (mới)'!$D$3:$D$2213=$B631),2),"""")"),"")</f>
        <v/>
      </c>
      <c r="J631" s="25" t="str">
        <f>IFERROR(__xludf.DUMMYFUNCTION("IFERROR(INDEX(FILTER('Kế hoạch chèn link (mới)'!$B$3:$B$2213,'Kế hoạch chèn link (mới)'!$D$3:$D$2213=$B631),2),"""")"),"")</f>
        <v/>
      </c>
      <c r="K631" s="25" t="str">
        <f>IFERROR(__xludf.DUMMYFUNCTION("IFERROR(INDEX(FILTER('Kế hoạch chèn link (mới)'!$C$3:$C$2213,'Kế hoạch chèn link (mới)'!$D$3:$D$2213=$B631),3),"""")"),"")</f>
        <v/>
      </c>
      <c r="L631" s="25" t="str">
        <f>IFERROR(__xludf.DUMMYFUNCTION("IFERROR(INDEX(FILTER('Kế hoạch chèn link (mới)'!$B$3:$B$2213,'Kế hoạch chèn link (mới)'!$D$3:$D$2213=$B631),3),"""")"),"")</f>
        <v/>
      </c>
      <c r="M631" s="25" t="str">
        <f>IFERROR(__xludf.DUMMYFUNCTION("IFERROR(INDEX(FILTER('Kế hoạch chèn link (mới)'!$C$3:$C$2213,'Kế hoạch chèn link (mới)'!$D$3:$D$2213=$B631),4),"""")"),"")</f>
        <v/>
      </c>
      <c r="N631" s="25" t="str">
        <f>IFERROR(__xludf.DUMMYFUNCTION("IFERROR(INDEX(FILTER('Kế hoạch chèn link (mới)'!$B$3:$B$2213,'Kế hoạch chèn link (mới)'!$D$3:$D$2213=$B631),4),"""")"),"")</f>
        <v/>
      </c>
      <c r="O631" s="25" t="str">
        <f>IFERROR(__xludf.DUMMYFUNCTION("IFERROR(INDEX(FILTER('Kế hoạch chèn link (mới)'!$C$3:$C$2213,'Kế hoạch chèn link (mới)'!$D$3:$D$2213=$B631),5),"""")"),"")</f>
        <v/>
      </c>
      <c r="P631" s="25" t="str">
        <f>IFERROR(__xludf.DUMMYFUNCTION("IFERROR(INDEX(FILTER('Kế hoạch chèn link (mới)'!$B$3:$B$2213,'Kế hoạch chèn link (mới)'!$D$3:$D$2213=$B631),5),"""")"),"")</f>
        <v/>
      </c>
    </row>
    <row r="632">
      <c r="A632" s="6">
        <f t="shared" si="1"/>
        <v>631</v>
      </c>
      <c r="B632" s="8" t="s">
        <v>598</v>
      </c>
      <c r="C632" s="6">
        <f>COUNTIF('Kế hoạch chèn link (mới)'!$D$3:$D$2213,$B632)</f>
        <v>5</v>
      </c>
      <c r="D632" s="8" t="str">
        <f>IF(COUNTIFS('Kế hoạch chèn link (mới)'!$D$3:$D$2213,$B632,'Kế hoạch chèn link (mới)'!$I$3:$I$2213,"Đã chèn")&gt;=$C632,"Đã hoàn thành",IF(COUNTIFS('Kế hoạch chèn link (mới)'!$D$3:$D$2213,$B632,'Kế hoạch chèn link (mới)'!$I$3:$I$2213,"Đã chèn")&gt;0,"Đang làm","Chưa hoàn thành"))</f>
        <v>Chưa hoàn thành</v>
      </c>
      <c r="E632" s="8" t="b">
        <f t="shared" si="2"/>
        <v>0</v>
      </c>
      <c r="F632" s="25"/>
      <c r="G632" s="25" t="str">
        <f>IFERROR(__xludf.DUMMYFUNCTION("IFERROR(INDEX(FILTER('Kế hoạch chèn link (mới)'!$C$3:$C$2213,'Kế hoạch chèn link (mới)'!$D$3:$D$2213=$B632),1),"""")"),"nộp thuế hộ trên etax")</f>
        <v>nộp thuế hộ trên etax</v>
      </c>
      <c r="H632" s="25" t="str">
        <f>IFERROR(__xludf.DUMMYFUNCTION("IFERROR(INDEX(FILTER('Kế hoạch chèn link (mới)'!$B$3:$B$2213,'Kế hoạch chèn link (mới)'!$D$3:$D$2213=$B632),1),"""")"),"https://techcombank.com/thong-tin/blog/cach-nop-thue-dien-tu")</f>
        <v>https://techcombank.com/thong-tin/blog/cach-nop-thue-dien-tu</v>
      </c>
      <c r="I632" s="25" t="str">
        <f>IFERROR(__xludf.DUMMYFUNCTION("IFERROR(INDEX(FILTER('Kế hoạch chèn link (mới)'!$C$3:$C$2213,'Kế hoạch chèn link (mới)'!$D$3:$D$2213=$B632),2),"""")"),"thuế thu nhập doanh nghiệp")</f>
        <v>thuế thu nhập doanh nghiệp</v>
      </c>
      <c r="J632" s="25" t="str">
        <f>IFERROR(__xludf.DUMMYFUNCTION("IFERROR(INDEX(FILTER('Kế hoạch chèn link (mới)'!$B$3:$B$2213,'Kế hoạch chèn link (mới)'!$D$3:$D$2213=$B632),2),"""")"),"https://techcombank.com/thong-tin/blog/thue-thu-nhap-doanh-nghiep")</f>
        <v>https://techcombank.com/thong-tin/blog/thue-thu-nhap-doanh-nghiep</v>
      </c>
      <c r="K632" s="25" t="str">
        <f>IFERROR(__xludf.DUMMYFUNCTION("IFERROR(INDEX(FILTER('Kế hoạch chèn link (mới)'!$C$3:$C$2213,'Kế hoạch chèn link (mới)'!$D$3:$D$2213=$B632),3),"""")"),"thuế doanh nghiệp")</f>
        <v>thuế doanh nghiệp</v>
      </c>
      <c r="L632" s="25" t="str">
        <f>IFERROR(__xludf.DUMMYFUNCTION("IFERROR(INDEX(FILTER('Kế hoạch chèn link (mới)'!$B$3:$B$2213,'Kế hoạch chèn link (mới)'!$D$3:$D$2213=$B632),3),"""")"),"https://techcombank.com/thong-tin/blog/thue-doanh-nghiep")</f>
        <v>https://techcombank.com/thong-tin/blog/thue-doanh-nghiep</v>
      </c>
      <c r="M632" s="25" t="str">
        <f>IFERROR(__xludf.DUMMYFUNCTION("IFERROR(INDEX(FILTER('Kế hoạch chèn link (mới)'!$C$3:$C$2213,'Kế hoạch chèn link (mới)'!$D$3:$D$2213=$B632),4),"""")"),"cách tính thuế thu nhập doanh nghiệp")</f>
        <v>cách tính thuế thu nhập doanh nghiệp</v>
      </c>
      <c r="N632" s="25" t="str">
        <f>IFERROR(__xludf.DUMMYFUNCTION("IFERROR(INDEX(FILTER('Kế hoạch chèn link (mới)'!$B$3:$B$2213,'Kế hoạch chèn link (mới)'!$D$3:$D$2213=$B632),4),"""")"),"https://techcombank.com/thong-tin/blog/cach-tinh-thue-thu-nhap-doanh-nghiep")</f>
        <v>https://techcombank.com/thong-tin/blog/cach-tinh-thue-thu-nhap-doanh-nghiep</v>
      </c>
      <c r="O632" s="25" t="str">
        <f>IFERROR(__xludf.DUMMYFUNCTION("IFERROR(INDEX(FILTER('Kế hoạch chèn link (mới)'!$C$3:$C$2213,'Kế hoạch chèn link (mới)'!$D$3:$D$2213=$B632),5),"""")"),"mô hình kinh doanh là gì")</f>
        <v>mô hình kinh doanh là gì</v>
      </c>
      <c r="P632" s="25" t="str">
        <f>IFERROR(__xludf.DUMMYFUNCTION("IFERROR(INDEX(FILTER('Kế hoạch chèn link (mới)'!$B$3:$B$2213,'Kế hoạch chèn link (mới)'!$D$3:$D$2213=$B632),5),"""")"),"https://techcombank.com/thong-tin/blog/mo-hinh-kinh-doanh-la-gi")</f>
        <v>https://techcombank.com/thong-tin/blog/mo-hinh-kinh-doanh-la-gi</v>
      </c>
    </row>
    <row r="633">
      <c r="A633" s="6">
        <f t="shared" si="1"/>
        <v>632</v>
      </c>
      <c r="B633" s="8" t="s">
        <v>1856</v>
      </c>
      <c r="C633" s="6">
        <f>COUNTIF('Kế hoạch chèn link (mới)'!$D$3:$D$2213,$B633)</f>
        <v>4</v>
      </c>
      <c r="D633" s="8" t="str">
        <f>IF(COUNTIFS('Kế hoạch chèn link (mới)'!$D$3:$D$2213,$B633,'Kế hoạch chèn link (mới)'!$I$3:$I$2213,"Đã chèn")&gt;=$C633,"Đã hoàn thành",IF(COUNTIFS('Kế hoạch chèn link (mới)'!$D$3:$D$2213,$B633,'Kế hoạch chèn link (mới)'!$I$3:$I$2213,"Đã chèn")&gt;0,"Đang làm","Chưa hoàn thành"))</f>
        <v>Chưa hoàn thành</v>
      </c>
      <c r="E633" s="8" t="b">
        <f t="shared" si="2"/>
        <v>0</v>
      </c>
      <c r="F633" s="25"/>
      <c r="G633" s="25" t="str">
        <f>IFERROR(__xludf.DUMMYFUNCTION("IFERROR(INDEX(FILTER('Kế hoạch chèn link (mới)'!$C$3:$C$2213,'Kế hoạch chèn link (mới)'!$D$3:$D$2213=$B633),1),"""")"),"chọn ngân hàng uy tín")</f>
        <v>chọn ngân hàng uy tín</v>
      </c>
      <c r="H633" s="25" t="str">
        <f>IFERROR(__xludf.DUMMYFUNCTION("IFERROR(INDEX(FILTER('Kế hoạch chèn link (mới)'!$B$3:$B$2213,'Kế hoạch chèn link (mới)'!$D$3:$D$2213=$B633),1),"""")"),"https://techcombank.com/thong-tin/blog/ngan-hang-uy-tin")</f>
        <v>https://techcombank.com/thong-tin/blog/ngan-hang-uy-tin</v>
      </c>
      <c r="I633" s="25" t="str">
        <f>IFERROR(__xludf.DUMMYFUNCTION("IFERROR(INDEX(FILTER('Kế hoạch chèn link (mới)'!$C$3:$C$2213,'Kế hoạch chèn link (mới)'!$D$3:$D$2213=$B633),2),"""")"),"nộp tiền vào tài khoản")</f>
        <v>nộp tiền vào tài khoản</v>
      </c>
      <c r="J633" s="25" t="str">
        <f>IFERROR(__xludf.DUMMYFUNCTION("IFERROR(INDEX(FILTER('Kế hoạch chèn link (mới)'!$B$3:$B$2213,'Kế hoạch chèn link (mới)'!$D$3:$D$2213=$B633),2),"""")"),"https://techcombank.com/thong-tin/blog/nap-tien-vao-tai-khoan-ngan-hang")</f>
        <v>https://techcombank.com/thong-tin/blog/nap-tien-vao-tai-khoan-ngan-hang</v>
      </c>
      <c r="K633" s="25" t="str">
        <f>IFERROR(__xludf.DUMMYFUNCTION("IFERROR(INDEX(FILTER('Kế hoạch chèn link (mới)'!$C$3:$C$2213,'Kế hoạch chèn link (mới)'!$D$3:$D$2213=$B633),3),"""")"),"vay")</f>
        <v>vay</v>
      </c>
      <c r="L633" s="25" t="str">
        <f>IFERROR(__xludf.DUMMYFUNCTION("IFERROR(INDEX(FILTER('Kế hoạch chèn link (mới)'!$B$3:$B$2213,'Kế hoạch chèn link (mới)'!$D$3:$D$2213=$B633),3),"""")"),"https://techcombank.com/thong-tin/blog/app-vay-tien-nhanh")</f>
        <v>https://techcombank.com/thong-tin/blog/app-vay-tien-nhanh</v>
      </c>
      <c r="M633" s="25" t="str">
        <f>IFERROR(__xludf.DUMMYFUNCTION("IFERROR(INDEX(FILTER('Kế hoạch chèn link (mới)'!$C$3:$C$2213,'Kế hoạch chèn link (mới)'!$D$3:$D$2213=$B633),4),"""")"),"vay thấu chi")</f>
        <v>vay thấu chi</v>
      </c>
      <c r="N633" s="25" t="str">
        <f>IFERROR(__xludf.DUMMYFUNCTION("IFERROR(INDEX(FILTER('Kế hoạch chèn link (mới)'!$B$3:$B$2213,'Kế hoạch chèn link (mới)'!$D$3:$D$2213=$B633),4),"""")"),"https://techcombank.com/thong-tin/blog/vay-thau-chi-la-gi")</f>
        <v>https://techcombank.com/thong-tin/blog/vay-thau-chi-la-gi</v>
      </c>
      <c r="O633" s="25" t="str">
        <f>IFERROR(__xludf.DUMMYFUNCTION("IFERROR(INDEX(FILTER('Kế hoạch chèn link (mới)'!$C$3:$C$2213,'Kế hoạch chèn link (mới)'!$D$3:$D$2213=$B633),5),"""")"),"")</f>
        <v/>
      </c>
      <c r="P633" s="25" t="str">
        <f>IFERROR(__xludf.DUMMYFUNCTION("IFERROR(INDEX(FILTER('Kế hoạch chèn link (mới)'!$B$3:$B$2213,'Kế hoạch chèn link (mới)'!$D$3:$D$2213=$B633),5),"""")"),"")</f>
        <v/>
      </c>
    </row>
    <row r="634">
      <c r="A634" s="6">
        <f t="shared" si="1"/>
        <v>633</v>
      </c>
      <c r="B634" s="8" t="s">
        <v>341</v>
      </c>
      <c r="C634" s="6">
        <f>COUNTIF('Kế hoạch chèn link (mới)'!$D$3:$D$2213,$B634)</f>
        <v>4</v>
      </c>
      <c r="D634" s="8" t="str">
        <f>IF(COUNTIFS('Kế hoạch chèn link (mới)'!$D$3:$D$2213,$B634,'Kế hoạch chèn link (mới)'!$I$3:$I$2213,"Đã chèn")&gt;=$C634,"Đã hoàn thành",IF(COUNTIFS('Kế hoạch chèn link (mới)'!$D$3:$D$2213,$B634,'Kế hoạch chèn link (mới)'!$I$3:$I$2213,"Đã chèn")&gt;0,"Đang làm","Chưa hoàn thành"))</f>
        <v>Chưa hoàn thành</v>
      </c>
      <c r="E634" s="8" t="b">
        <f t="shared" si="2"/>
        <v>0</v>
      </c>
      <c r="F634" s="25"/>
      <c r="G634" s="25" t="str">
        <f>IFERROR(__xludf.DUMMYFUNCTION("IFERROR(INDEX(FILTER('Kế hoạch chèn link (mới)'!$C$3:$C$2213,'Kế hoạch chèn link (mới)'!$D$3:$D$2213=$B634),1),"""")"),"cách nộp thuế đất online")</f>
        <v>cách nộp thuế đất online</v>
      </c>
      <c r="H634" s="25" t="str">
        <f>IFERROR(__xludf.DUMMYFUNCTION("IFERROR(INDEX(FILTER('Kế hoạch chèn link (mới)'!$B$3:$B$2213,'Kế hoạch chèn link (mới)'!$D$3:$D$2213=$B634),1),"""")"),"https://techcombank.com/thong-tin/blog/nop-thue-dat-qua-ngan-hang")</f>
        <v>https://techcombank.com/thong-tin/blog/nop-thue-dat-qua-ngan-hang</v>
      </c>
      <c r="I634" s="25" t="str">
        <f>IFERROR(__xludf.DUMMYFUNCTION("IFERROR(INDEX(FILTER('Kế hoạch chèn link (mới)'!$C$3:$C$2213,'Kế hoạch chèn link (mới)'!$D$3:$D$2213=$B634),2),"""")"),"kiểm tra cic")</f>
        <v>kiểm tra cic</v>
      </c>
      <c r="J634" s="25" t="str">
        <f>IFERROR(__xludf.DUMMYFUNCTION("IFERROR(INDEX(FILTER('Kế hoạch chèn link (mới)'!$B$3:$B$2213,'Kế hoạch chèn link (mới)'!$D$3:$D$2213=$B634),2),"""")"),"https://techcombank.com/thong-tin/blog/cic-la-gi")</f>
        <v>https://techcombank.com/thong-tin/blog/cic-la-gi</v>
      </c>
      <c r="K634" s="25" t="str">
        <f>IFERROR(__xludf.DUMMYFUNCTION("IFERROR(INDEX(FILTER('Kế hoạch chèn link (mới)'!$C$3:$C$2213,'Kế hoạch chèn link (mới)'!$D$3:$D$2213=$B634),3),"""")"),"tính lãi vay ngân hàng")</f>
        <v>tính lãi vay ngân hàng</v>
      </c>
      <c r="L634" s="25" t="str">
        <f>IFERROR(__xludf.DUMMYFUNCTION("IFERROR(INDEX(FILTER('Kế hoạch chèn link (mới)'!$B$3:$B$2213,'Kế hoạch chèn link (mới)'!$D$3:$D$2213=$B634),3),"""")"),"https://techcombank.com/cong-cu-tien-ich/cong-cu-tinh-toan/bang-tinh-lai-suat-vay")</f>
        <v>https://techcombank.com/cong-cu-tien-ich/cong-cu-tinh-toan/bang-tinh-lai-suat-vay</v>
      </c>
      <c r="M634" s="25" t="str">
        <f>IFERROR(__xludf.DUMMYFUNCTION("IFERROR(INDEX(FILTER('Kế hoạch chèn link (mới)'!$C$3:$C$2213,'Kế hoạch chèn link (mới)'!$D$3:$D$2213=$B634),4),"""")"),"vay nhanh")</f>
        <v>vay nhanh</v>
      </c>
      <c r="N634" s="25" t="str">
        <f>IFERROR(__xludf.DUMMYFUNCTION("IFERROR(INDEX(FILTER('Kế hoạch chèn link (mới)'!$B$3:$B$2213,'Kế hoạch chèn link (mới)'!$D$3:$D$2213=$B634),4),"""")"),"https://techcombank.com/thong-tin/blog/app-vay-tien-nhanh")</f>
        <v>https://techcombank.com/thong-tin/blog/app-vay-tien-nhanh</v>
      </c>
      <c r="O634" s="25" t="str">
        <f>IFERROR(__xludf.DUMMYFUNCTION("IFERROR(INDEX(FILTER('Kế hoạch chèn link (mới)'!$C$3:$C$2213,'Kế hoạch chèn link (mới)'!$D$3:$D$2213=$B634),5),"""")"),"")</f>
        <v/>
      </c>
      <c r="P634" s="25" t="str">
        <f>IFERROR(__xludf.DUMMYFUNCTION("IFERROR(INDEX(FILTER('Kế hoạch chèn link (mới)'!$B$3:$B$2213,'Kế hoạch chèn link (mới)'!$D$3:$D$2213=$B634),5),"""")"),"")</f>
        <v/>
      </c>
    </row>
    <row r="635">
      <c r="A635" s="6">
        <f t="shared" si="1"/>
        <v>634</v>
      </c>
      <c r="B635" s="8" t="s">
        <v>3246</v>
      </c>
      <c r="C635" s="6">
        <f>COUNTIF('Kế hoạch chèn link (mới)'!$D$3:$D$2213,$B635)</f>
        <v>4</v>
      </c>
      <c r="D635" s="8" t="str">
        <f>IF(COUNTIFS('Kế hoạch chèn link (mới)'!$D$3:$D$2213,$B635,'Kế hoạch chèn link (mới)'!$I$3:$I$2213,"Đã chèn")&gt;=$C635,"Đã hoàn thành",IF(COUNTIFS('Kế hoạch chèn link (mới)'!$D$3:$D$2213,$B635,'Kế hoạch chèn link (mới)'!$I$3:$I$2213,"Đã chèn")&gt;0,"Đang làm","Chưa hoàn thành"))</f>
        <v>Chưa hoàn thành</v>
      </c>
      <c r="E635" s="8" t="b">
        <f t="shared" si="2"/>
        <v>0</v>
      </c>
      <c r="F635" s="25"/>
      <c r="G635" s="25" t="str">
        <f>IFERROR(__xludf.DUMMYFUNCTION("IFERROR(INDEX(FILTER('Kế hoạch chèn link (mới)'!$C$3:$C$2213,'Kế hoạch chèn link (mới)'!$D$3:$D$2213=$B635),1),"""")"),"rút tiền thẻ tín dụng")</f>
        <v>rút tiền thẻ tín dụng</v>
      </c>
      <c r="H635" s="25" t="str">
        <f>IFERROR(__xludf.DUMMYFUNCTION("IFERROR(INDEX(FILTER('Kế hoạch chèn link (mới)'!$B$3:$B$2213,'Kế hoạch chèn link (mới)'!$D$3:$D$2213=$B635),1),"""")"),"https://techcombank.com/thong-tin/blog/rut-tien-mat-tu-the-tin-dung")</f>
        <v>https://techcombank.com/thong-tin/blog/rut-tien-mat-tu-the-tin-dung</v>
      </c>
      <c r="I635" s="25" t="str">
        <f>IFERROR(__xludf.DUMMYFUNCTION("IFERROR(INDEX(FILTER('Kế hoạch chèn link (mới)'!$C$3:$C$2213,'Kế hoạch chèn link (mới)'!$D$3:$D$2213=$B635),2),"""")"),"xếp hạng tín dụng cá nhân")</f>
        <v>xếp hạng tín dụng cá nhân</v>
      </c>
      <c r="J635" s="25" t="str">
        <f>IFERROR(__xludf.DUMMYFUNCTION("IFERROR(INDEX(FILTER('Kế hoạch chèn link (mới)'!$B$3:$B$2213,'Kế hoạch chèn link (mới)'!$D$3:$D$2213=$B635),2),"""")"),"https://techcombank.com/thong-tin/blog/xep-hang-tin-dung")</f>
        <v>https://techcombank.com/thong-tin/blog/xep-hang-tin-dung</v>
      </c>
      <c r="K635" s="25" t="str">
        <f>IFERROR(__xludf.DUMMYFUNCTION("IFERROR(INDEX(FILTER('Kế hoạch chèn link (mới)'!$C$3:$C$2213,'Kế hoạch chèn link (mới)'!$D$3:$D$2213=$B635),3),"""")"),"tính lãi suất vay ngân hàng")</f>
        <v>tính lãi suất vay ngân hàng</v>
      </c>
      <c r="L635" s="25" t="str">
        <f>IFERROR(__xludf.DUMMYFUNCTION("IFERROR(INDEX(FILTER('Kế hoạch chèn link (mới)'!$B$3:$B$2213,'Kế hoạch chèn link (mới)'!$D$3:$D$2213=$B635),3),"""")"),"https://techcombank.com/cong-cu-tien-ich/cong-cu-tinh-toan/bang-tinh-lai-suat-vay")</f>
        <v>https://techcombank.com/cong-cu-tien-ich/cong-cu-tinh-toan/bang-tinh-lai-suat-vay</v>
      </c>
      <c r="M635" s="25" t="str">
        <f>IFERROR(__xludf.DUMMYFUNCTION("IFERROR(INDEX(FILTER('Kế hoạch chèn link (mới)'!$C$3:$C$2213,'Kế hoạch chèn link (mới)'!$D$3:$D$2213=$B635),4),"""")"),"vay")</f>
        <v>vay</v>
      </c>
      <c r="N635" s="25" t="str">
        <f>IFERROR(__xludf.DUMMYFUNCTION("IFERROR(INDEX(FILTER('Kế hoạch chèn link (mới)'!$B$3:$B$2213,'Kế hoạch chèn link (mới)'!$D$3:$D$2213=$B635),4),"""")"),"https://techcombank.com/thong-tin/blog/app-vay-tien-nhanh")</f>
        <v>https://techcombank.com/thong-tin/blog/app-vay-tien-nhanh</v>
      </c>
      <c r="O635" s="25" t="str">
        <f>IFERROR(__xludf.DUMMYFUNCTION("IFERROR(INDEX(FILTER('Kế hoạch chèn link (mới)'!$C$3:$C$2213,'Kế hoạch chèn link (mới)'!$D$3:$D$2213=$B635),5),"""")"),"")</f>
        <v/>
      </c>
      <c r="P635" s="25" t="str">
        <f>IFERROR(__xludf.DUMMYFUNCTION("IFERROR(INDEX(FILTER('Kế hoạch chèn link (mới)'!$B$3:$B$2213,'Kế hoạch chèn link (mới)'!$D$3:$D$2213=$B635),5),"""")"),"")</f>
        <v/>
      </c>
    </row>
    <row r="636">
      <c r="A636" s="6">
        <f t="shared" si="1"/>
        <v>635</v>
      </c>
      <c r="B636" s="8" t="s">
        <v>3247</v>
      </c>
      <c r="C636" s="6">
        <f>COUNTIF('Kế hoạch chèn link (mới)'!$D$3:$D$2213,$B636)</f>
        <v>3</v>
      </c>
      <c r="D636" s="8" t="str">
        <f>IF(COUNTIFS('Kế hoạch chèn link (mới)'!$D$3:$D$2213,$B636,'Kế hoạch chèn link (mới)'!$I$3:$I$2213,"Đã chèn")&gt;=$C636,"Đã hoàn thành",IF(COUNTIFS('Kế hoạch chèn link (mới)'!$D$3:$D$2213,$B636,'Kế hoạch chèn link (mới)'!$I$3:$I$2213,"Đã chèn")&gt;0,"Đang làm","Chưa hoàn thành"))</f>
        <v>Chưa hoàn thành</v>
      </c>
      <c r="E636" s="8" t="b">
        <f t="shared" si="2"/>
        <v>0</v>
      </c>
      <c r="F636" s="25"/>
      <c r="G636" s="25" t="str">
        <f>IFERROR(__xludf.DUMMYFUNCTION("IFERROR(INDEX(FILTER('Kế hoạch chèn link (mới)'!$C$3:$C$2213,'Kế hoạch chèn link (mới)'!$D$3:$D$2213=$B636),1),"""")"),"cách tính lãi suất vay")</f>
        <v>cách tính lãi suất vay</v>
      </c>
      <c r="H636" s="25" t="str">
        <f>IFERROR(__xludf.DUMMYFUNCTION("IFERROR(INDEX(FILTER('Kế hoạch chèn link (mới)'!$B$3:$B$2213,'Kế hoạch chèn link (mới)'!$D$3:$D$2213=$B636),1),"""")"),"https://techcombank.com/thong-tin/blog/cach-tinh-lai-vay-ngan-hang")</f>
        <v>https://techcombank.com/thong-tin/blog/cach-tinh-lai-vay-ngan-hang</v>
      </c>
      <c r="I636" s="25" t="str">
        <f>IFERROR(__xludf.DUMMYFUNCTION("IFERROR(INDEX(FILTER('Kế hoạch chèn link (mới)'!$C$3:$C$2213,'Kế hoạch chèn link (mới)'!$D$3:$D$2213=$B636),2),"""")"),"tính lãi suất vay ngân hàng")</f>
        <v>tính lãi suất vay ngân hàng</v>
      </c>
      <c r="J636" s="25" t="str">
        <f>IFERROR(__xludf.DUMMYFUNCTION("IFERROR(INDEX(FILTER('Kế hoạch chèn link (mới)'!$B$3:$B$2213,'Kế hoạch chèn link (mới)'!$D$3:$D$2213=$B636),2),"""")"),"https://techcombank.com/cong-cu-tien-ich/cong-cu-tinh-toan/bang-tinh-lai-suat-vay")</f>
        <v>https://techcombank.com/cong-cu-tien-ich/cong-cu-tinh-toan/bang-tinh-lai-suat-vay</v>
      </c>
      <c r="K636" s="25" t="str">
        <f>IFERROR(__xludf.DUMMYFUNCTION("IFERROR(INDEX(FILTER('Kế hoạch chèn link (mới)'!$C$3:$C$2213,'Kế hoạch chèn link (mới)'!$D$3:$D$2213=$B636),3),"""")"),"vay")</f>
        <v>vay</v>
      </c>
      <c r="L636" s="25" t="str">
        <f>IFERROR(__xludf.DUMMYFUNCTION("IFERROR(INDEX(FILTER('Kế hoạch chèn link (mới)'!$B$3:$B$2213,'Kế hoạch chèn link (mới)'!$D$3:$D$2213=$B636),3),"""")"),"https://techcombank.com/thong-tin/blog/app-vay-tien-nhanh")</f>
        <v>https://techcombank.com/thong-tin/blog/app-vay-tien-nhanh</v>
      </c>
      <c r="M636" s="25" t="str">
        <f>IFERROR(__xludf.DUMMYFUNCTION("IFERROR(INDEX(FILTER('Kế hoạch chèn link (mới)'!$C$3:$C$2213,'Kế hoạch chèn link (mới)'!$D$3:$D$2213=$B636),4),"""")"),"")</f>
        <v/>
      </c>
      <c r="N636" s="25" t="str">
        <f>IFERROR(__xludf.DUMMYFUNCTION("IFERROR(INDEX(FILTER('Kế hoạch chèn link (mới)'!$B$3:$B$2213,'Kế hoạch chèn link (mới)'!$D$3:$D$2213=$B636),4),"""")"),"")</f>
        <v/>
      </c>
      <c r="O636" s="25" t="str">
        <f>IFERROR(__xludf.DUMMYFUNCTION("IFERROR(INDEX(FILTER('Kế hoạch chèn link (mới)'!$C$3:$C$2213,'Kế hoạch chèn link (mới)'!$D$3:$D$2213=$B636),5),"""")"),"")</f>
        <v/>
      </c>
      <c r="P636" s="25" t="str">
        <f>IFERROR(__xludf.DUMMYFUNCTION("IFERROR(INDEX(FILTER('Kế hoạch chèn link (mới)'!$B$3:$B$2213,'Kế hoạch chèn link (mới)'!$D$3:$D$2213=$B636),5),"""")"),"")</f>
        <v/>
      </c>
    </row>
    <row r="637">
      <c r="A637" s="6">
        <f t="shared" si="1"/>
        <v>636</v>
      </c>
      <c r="B637" s="8" t="s">
        <v>3248</v>
      </c>
      <c r="C637" s="6">
        <f>COUNTIF('Kế hoạch chèn link (mới)'!$D$3:$D$2213,$B637)</f>
        <v>2</v>
      </c>
      <c r="D637" s="8" t="str">
        <f>IF(COUNTIFS('Kế hoạch chèn link (mới)'!$D$3:$D$2213,$B637,'Kế hoạch chèn link (mới)'!$I$3:$I$2213,"Đã chèn")&gt;=$C637,"Đã hoàn thành",IF(COUNTIFS('Kế hoạch chèn link (mới)'!$D$3:$D$2213,$B637,'Kế hoạch chèn link (mới)'!$I$3:$I$2213,"Đã chèn")&gt;0,"Đang làm","Chưa hoàn thành"))</f>
        <v>Chưa hoàn thành</v>
      </c>
      <c r="E637" s="8" t="b">
        <f t="shared" si="2"/>
        <v>0</v>
      </c>
      <c r="F637" s="25"/>
      <c r="G637" s="25" t="str">
        <f>IFERROR(__xludf.DUMMYFUNCTION("IFERROR(INDEX(FILTER('Kế hoạch chèn link (mới)'!$C$3:$C$2213,'Kế hoạch chèn link (mới)'!$D$3:$D$2213=$B637),1),"""")"),"lãi suất chứng chỉ tiền gửi các ngân hàng")</f>
        <v>lãi suất chứng chỉ tiền gửi các ngân hàng</v>
      </c>
      <c r="H637" s="25" t="str">
        <f>IFERROR(__xludf.DUMMYFUNCTION("IFERROR(INDEX(FILTER('Kế hoạch chèn link (mới)'!$B$3:$B$2213,'Kế hoạch chèn link (mới)'!$D$3:$D$2213=$B637),1),"""")"),"https://techcombank.com/thong-tin/blog/lai-suat-chung-chi-tien-gui-cac-ngan-hang")</f>
        <v>https://techcombank.com/thong-tin/blog/lai-suat-chung-chi-tien-gui-cac-ngan-hang</v>
      </c>
      <c r="I637" s="25" t="str">
        <f>IFERROR(__xludf.DUMMYFUNCTION("IFERROR(INDEX(FILTER('Kế hoạch chèn link (mới)'!$C$3:$C$2213,'Kế hoạch chèn link (mới)'!$D$3:$D$2213=$B637),2),"""")"),"cách tiết kiệm tiền")</f>
        <v>cách tiết kiệm tiền</v>
      </c>
      <c r="J637" s="25" t="str">
        <f>IFERROR(__xludf.DUMMYFUNCTION("IFERROR(INDEX(FILTER('Kế hoạch chèn link (mới)'!$B$3:$B$2213,'Kế hoạch chèn link (mới)'!$D$3:$D$2213=$B637),2),"""")"),"https://techcombank.com/thong-tin/blog/cach-tiet-kiem-tien")</f>
        <v>https://techcombank.com/thong-tin/blog/cach-tiet-kiem-tien</v>
      </c>
      <c r="K637" s="25" t="str">
        <f>IFERROR(__xludf.DUMMYFUNCTION("IFERROR(INDEX(FILTER('Kế hoạch chèn link (mới)'!$C$3:$C$2213,'Kế hoạch chèn link (mới)'!$D$3:$D$2213=$B637),3),"""")"),"")</f>
        <v/>
      </c>
      <c r="L637" s="25" t="str">
        <f>IFERROR(__xludf.DUMMYFUNCTION("IFERROR(INDEX(FILTER('Kế hoạch chèn link (mới)'!$B$3:$B$2213,'Kế hoạch chèn link (mới)'!$D$3:$D$2213=$B637),3),"""")"),"")</f>
        <v/>
      </c>
      <c r="M637" s="25" t="str">
        <f>IFERROR(__xludf.DUMMYFUNCTION("IFERROR(INDEX(FILTER('Kế hoạch chèn link (mới)'!$C$3:$C$2213,'Kế hoạch chèn link (mới)'!$D$3:$D$2213=$B637),4),"""")"),"")</f>
        <v/>
      </c>
      <c r="N637" s="25" t="str">
        <f>IFERROR(__xludf.DUMMYFUNCTION("IFERROR(INDEX(FILTER('Kế hoạch chèn link (mới)'!$B$3:$B$2213,'Kế hoạch chèn link (mới)'!$D$3:$D$2213=$B637),4),"""")"),"")</f>
        <v/>
      </c>
      <c r="O637" s="25" t="str">
        <f>IFERROR(__xludf.DUMMYFUNCTION("IFERROR(INDEX(FILTER('Kế hoạch chèn link (mới)'!$C$3:$C$2213,'Kế hoạch chèn link (mới)'!$D$3:$D$2213=$B637),5),"""")"),"")</f>
        <v/>
      </c>
      <c r="P637" s="25" t="str">
        <f>IFERROR(__xludf.DUMMYFUNCTION("IFERROR(INDEX(FILTER('Kế hoạch chèn link (mới)'!$B$3:$B$2213,'Kế hoạch chèn link (mới)'!$D$3:$D$2213=$B637),5),"""")"),"")</f>
        <v/>
      </c>
    </row>
    <row r="638">
      <c r="A638" s="6">
        <f t="shared" si="1"/>
        <v>637</v>
      </c>
      <c r="B638" s="8" t="s">
        <v>665</v>
      </c>
      <c r="C638" s="6">
        <f>COUNTIF('Kế hoạch chèn link (mới)'!$D$3:$D$2213,$B638)</f>
        <v>5</v>
      </c>
      <c r="D638" s="8" t="str">
        <f>IF(COUNTIFS('Kế hoạch chèn link (mới)'!$D$3:$D$2213,$B638,'Kế hoạch chèn link (mới)'!$I$3:$I$2213,"Đã chèn")&gt;=$C638,"Đã hoàn thành",IF(COUNTIFS('Kế hoạch chèn link (mới)'!$D$3:$D$2213,$B638,'Kế hoạch chèn link (mới)'!$I$3:$I$2213,"Đã chèn")&gt;0,"Đang làm","Chưa hoàn thành"))</f>
        <v>Chưa hoàn thành</v>
      </c>
      <c r="E638" s="8" t="b">
        <f t="shared" si="2"/>
        <v>0</v>
      </c>
      <c r="F638" s="25"/>
      <c r="G638" s="25" t="str">
        <f>IFERROR(__xludf.DUMMYFUNCTION("IFERROR(INDEX(FILTER('Kế hoạch chèn link (mới)'!$C$3:$C$2213,'Kế hoạch chèn link (mới)'!$D$3:$D$2213=$B638),1),"""")"),"nộp thuế online")</f>
        <v>nộp thuế online</v>
      </c>
      <c r="H638" s="25" t="str">
        <f>IFERROR(__xludf.DUMMYFUNCTION("IFERROR(INDEX(FILTER('Kế hoạch chèn link (mới)'!$B$3:$B$2213,'Kế hoạch chèn link (mới)'!$D$3:$D$2213=$B638),1),"""")"),"https://techcombank.com/thong-tin/blog/cach-nop-thue-dien-tu")</f>
        <v>https://techcombank.com/thong-tin/blog/cach-nop-thue-dien-tu</v>
      </c>
      <c r="I638" s="25" t="str">
        <f>IFERROR(__xludf.DUMMYFUNCTION("IFERROR(INDEX(FILTER('Kế hoạch chèn link (mới)'!$C$3:$C$2213,'Kế hoạch chèn link (mới)'!$D$3:$D$2213=$B638),2),"""")"),"thuế thu nhập doanh nghiệp")</f>
        <v>thuế thu nhập doanh nghiệp</v>
      </c>
      <c r="J638" s="25" t="str">
        <f>IFERROR(__xludf.DUMMYFUNCTION("IFERROR(INDEX(FILTER('Kế hoạch chèn link (mới)'!$B$3:$B$2213,'Kế hoạch chèn link (mới)'!$D$3:$D$2213=$B638),2),"""")"),"https://techcombank.com/thong-tin/blog/thue-thu-nhap-doanh-nghiep")</f>
        <v>https://techcombank.com/thong-tin/blog/thue-thu-nhap-doanh-nghiep</v>
      </c>
      <c r="K638" s="25" t="str">
        <f>IFERROR(__xludf.DUMMYFUNCTION("IFERROR(INDEX(FILTER('Kế hoạch chèn link (mới)'!$C$3:$C$2213,'Kế hoạch chèn link (mới)'!$D$3:$D$2213=$B638),3),"""")"),"thuế hộ kinh doanh")</f>
        <v>thuế hộ kinh doanh</v>
      </c>
      <c r="L638" s="25" t="str">
        <f>IFERROR(__xludf.DUMMYFUNCTION("IFERROR(INDEX(FILTER('Kế hoạch chèn link (mới)'!$B$3:$B$2213,'Kế hoạch chèn link (mới)'!$D$3:$D$2213=$B638),3),"""")"),"https://techcombank.com/thong-tin/blog/ho-kinh-doanh-dong-thue-nhu-nao")</f>
        <v>https://techcombank.com/thong-tin/blog/ho-kinh-doanh-dong-thue-nhu-nao</v>
      </c>
      <c r="M638" s="25" t="str">
        <f>IFERROR(__xludf.DUMMYFUNCTION("IFERROR(INDEX(FILTER('Kế hoạch chèn link (mới)'!$C$3:$C$2213,'Kế hoạch chèn link (mới)'!$D$3:$D$2213=$B638),4),"""")"),"mô hình kinh doanh")</f>
        <v>mô hình kinh doanh</v>
      </c>
      <c r="N638" s="25" t="str">
        <f>IFERROR(__xludf.DUMMYFUNCTION("IFERROR(INDEX(FILTER('Kế hoạch chèn link (mới)'!$B$3:$B$2213,'Kế hoạch chèn link (mới)'!$D$3:$D$2213=$B638),4),"""")"),"https://techcombank.com/thong-tin/blog/mo-hinh-kinh-doanh-la-gi")</f>
        <v>https://techcombank.com/thong-tin/blog/mo-hinh-kinh-doanh-la-gi</v>
      </c>
      <c r="O638" s="25" t="str">
        <f>IFERROR(__xludf.DUMMYFUNCTION("IFERROR(INDEX(FILTER('Kế hoạch chèn link (mới)'!$C$3:$C$2213,'Kế hoạch chèn link (mới)'!$D$3:$D$2213=$B638),5),"""")"),"gửi mã QR ngân hàng")</f>
        <v>gửi mã QR ngân hàng</v>
      </c>
      <c r="P638" s="25" t="str">
        <f>IFERROR(__xludf.DUMMYFUNCTION("IFERROR(INDEX(FILTER('Kế hoạch chèn link (mới)'!$B$3:$B$2213,'Kế hoạch chèn link (mới)'!$D$3:$D$2213=$B638),5),"""")"),"https://techcombank.com/thong-tin/blog/gui-ma-qr-ngan-hang")</f>
        <v>https://techcombank.com/thong-tin/blog/gui-ma-qr-ngan-hang</v>
      </c>
    </row>
    <row r="639">
      <c r="A639" s="6">
        <f t="shared" si="1"/>
        <v>638</v>
      </c>
      <c r="B639" s="8" t="s">
        <v>3252</v>
      </c>
      <c r="C639" s="6">
        <f>COUNTIF('Kế hoạch chèn link (mới)'!$D$3:$D$2213,$B639)</f>
        <v>1</v>
      </c>
      <c r="D639" s="8" t="str">
        <f>IF(COUNTIFS('Kế hoạch chèn link (mới)'!$D$3:$D$2213,$B639,'Kế hoạch chèn link (mới)'!$I$3:$I$2213,"Đã chèn")&gt;=$C639,"Đã hoàn thành",IF(COUNTIFS('Kế hoạch chèn link (mới)'!$D$3:$D$2213,$B639,'Kế hoạch chèn link (mới)'!$I$3:$I$2213,"Đã chèn")&gt;0,"Đang làm","Chưa hoàn thành"))</f>
        <v>Chưa hoàn thành</v>
      </c>
      <c r="E639" s="8" t="b">
        <f t="shared" si="2"/>
        <v>0</v>
      </c>
      <c r="F639" s="25"/>
      <c r="G639" s="25" t="str">
        <f>IFERROR(__xludf.DUMMYFUNCTION("IFERROR(INDEX(FILTER('Kế hoạch chèn link (mới)'!$C$3:$C$2213,'Kế hoạch chèn link (mới)'!$D$3:$D$2213=$B639),1),"""")"),"cách lấy voucher Traveloka")</f>
        <v>cách lấy voucher Traveloka</v>
      </c>
      <c r="H639" s="25" t="str">
        <f>IFERROR(__xludf.DUMMYFUNCTION("IFERROR(INDEX(FILTER('Kế hoạch chèn link (mới)'!$B$3:$B$2213,'Kế hoạch chèn link (mới)'!$D$3:$D$2213=$B639),1),"""")"),"https://techcombank.com/thong-tin/blog/traveloka-voucher")</f>
        <v>https://techcombank.com/thong-tin/blog/traveloka-voucher</v>
      </c>
      <c r="I639" s="25" t="str">
        <f>IFERROR(__xludf.DUMMYFUNCTION("IFERROR(INDEX(FILTER('Kế hoạch chèn link (mới)'!$C$3:$C$2213,'Kế hoạch chèn link (mới)'!$D$3:$D$2213=$B639),2),"""")"),"")</f>
        <v/>
      </c>
      <c r="J639" s="25" t="str">
        <f>IFERROR(__xludf.DUMMYFUNCTION("IFERROR(INDEX(FILTER('Kế hoạch chèn link (mới)'!$B$3:$B$2213,'Kế hoạch chèn link (mới)'!$D$3:$D$2213=$B639),2),"""")"),"")</f>
        <v/>
      </c>
      <c r="K639" s="25" t="str">
        <f>IFERROR(__xludf.DUMMYFUNCTION("IFERROR(INDEX(FILTER('Kế hoạch chèn link (mới)'!$C$3:$C$2213,'Kế hoạch chèn link (mới)'!$D$3:$D$2213=$B639),3),"""")"),"")</f>
        <v/>
      </c>
      <c r="L639" s="25" t="str">
        <f>IFERROR(__xludf.DUMMYFUNCTION("IFERROR(INDEX(FILTER('Kế hoạch chèn link (mới)'!$B$3:$B$2213,'Kế hoạch chèn link (mới)'!$D$3:$D$2213=$B639),3),"""")"),"")</f>
        <v/>
      </c>
      <c r="M639" s="25" t="str">
        <f>IFERROR(__xludf.DUMMYFUNCTION("IFERROR(INDEX(FILTER('Kế hoạch chèn link (mới)'!$C$3:$C$2213,'Kế hoạch chèn link (mới)'!$D$3:$D$2213=$B639),4),"""")"),"")</f>
        <v/>
      </c>
      <c r="N639" s="25" t="str">
        <f>IFERROR(__xludf.DUMMYFUNCTION("IFERROR(INDEX(FILTER('Kế hoạch chèn link (mới)'!$B$3:$B$2213,'Kế hoạch chèn link (mới)'!$D$3:$D$2213=$B639),4),"""")"),"")</f>
        <v/>
      </c>
      <c r="O639" s="25" t="str">
        <f>IFERROR(__xludf.DUMMYFUNCTION("IFERROR(INDEX(FILTER('Kế hoạch chèn link (mới)'!$C$3:$C$2213,'Kế hoạch chèn link (mới)'!$D$3:$D$2213=$B639),5),"""")"),"")</f>
        <v/>
      </c>
      <c r="P639" s="25" t="str">
        <f>IFERROR(__xludf.DUMMYFUNCTION("IFERROR(INDEX(FILTER('Kế hoạch chèn link (mới)'!$B$3:$B$2213,'Kế hoạch chèn link (mới)'!$D$3:$D$2213=$B639),5),"""")"),"")</f>
        <v/>
      </c>
    </row>
    <row r="640">
      <c r="A640" s="6">
        <f t="shared" si="1"/>
        <v>639</v>
      </c>
      <c r="B640" s="8" t="s">
        <v>2933</v>
      </c>
      <c r="C640" s="6">
        <f>COUNTIF('Kế hoạch chèn link (mới)'!$D$3:$D$2213,$B640)</f>
        <v>5</v>
      </c>
      <c r="D640" s="8" t="str">
        <f>IF(COUNTIFS('Kế hoạch chèn link (mới)'!$D$3:$D$2213,$B640,'Kế hoạch chèn link (mới)'!$I$3:$I$2213,"Đã chèn")&gt;=$C640,"Đã hoàn thành",IF(COUNTIFS('Kế hoạch chèn link (mới)'!$D$3:$D$2213,$B640,'Kế hoạch chèn link (mới)'!$I$3:$I$2213,"Đã chèn")&gt;0,"Đang làm","Chưa hoàn thành"))</f>
        <v>Chưa hoàn thành</v>
      </c>
      <c r="E640" s="8" t="b">
        <f t="shared" si="2"/>
        <v>0</v>
      </c>
      <c r="F640" s="25"/>
      <c r="G640" s="25" t="str">
        <f>IFERROR(__xludf.DUMMYFUNCTION("IFERROR(INDEX(FILTER('Kế hoạch chèn link (mới)'!$C$3:$C$2213,'Kế hoạch chèn link (mới)'!$D$3:$D$2213=$B640),1),"""")"),"rút tiền không cần thẻ")</f>
        <v>rút tiền không cần thẻ</v>
      </c>
      <c r="H640" s="25" t="str">
        <f>IFERROR(__xludf.DUMMYFUNCTION("IFERROR(INDEX(FILTER('Kế hoạch chèn link (mới)'!$B$3:$B$2213,'Kế hoạch chèn link (mới)'!$D$3:$D$2213=$B640),1),"""")"),"https://techcombank.com/thong-tin/blog/rut-tien-bang-ma-qr-la-gi-cach-thuc-hien-nhu-the-nao")</f>
        <v>https://techcombank.com/thong-tin/blog/rut-tien-bang-ma-qr-la-gi-cach-thuc-hien-nhu-the-nao</v>
      </c>
      <c r="I640" s="25" t="str">
        <f>IFERROR(__xludf.DUMMYFUNCTION("IFERROR(INDEX(FILTER('Kế hoạch chèn link (mới)'!$C$3:$C$2213,'Kế hoạch chèn link (mới)'!$D$3:$D$2213=$B640),2),"""")"),"tra cứu cic miễn phí")</f>
        <v>tra cứu cic miễn phí</v>
      </c>
      <c r="J640" s="25" t="str">
        <f>IFERROR(__xludf.DUMMYFUNCTION("IFERROR(INDEX(FILTER('Kế hoạch chèn link (mới)'!$B$3:$B$2213,'Kế hoạch chèn link (mới)'!$D$3:$D$2213=$B640),2),"""")"),"https://techcombank.com/thong-tin/blog/cic-la-gi")</f>
        <v>https://techcombank.com/thong-tin/blog/cic-la-gi</v>
      </c>
      <c r="K640" s="25" t="str">
        <f>IFERROR(__xludf.DUMMYFUNCTION("IFERROR(INDEX(FILTER('Kế hoạch chèn link (mới)'!$C$3:$C$2213,'Kế hoạch chèn link (mới)'!$D$3:$D$2213=$B640),3),"""")"),"mở thẻ tín dụng")</f>
        <v>mở thẻ tín dụng</v>
      </c>
      <c r="L640" s="25" t="str">
        <f>IFERROR(__xludf.DUMMYFUNCTION("IFERROR(INDEX(FILTER('Kế hoạch chèn link (mới)'!$B$3:$B$2213,'Kế hoạch chèn link (mới)'!$D$3:$D$2213=$B640),3),"""")"),"https://techcombank.com/thong-tin/blog/lam-the-tin-dung")</f>
        <v>https://techcombank.com/thong-tin/blog/lam-the-tin-dung</v>
      </c>
      <c r="M640" s="25" t="str">
        <f>IFERROR(__xludf.DUMMYFUNCTION("IFERROR(INDEX(FILTER('Kế hoạch chèn link (mới)'!$C$3:$C$2213,'Kế hoạch chèn link (mới)'!$D$3:$D$2213=$B640),4),"""")"),"thẻ tín dụng Techcombank Everyday")</f>
        <v>thẻ tín dụng Techcombank Everyday</v>
      </c>
      <c r="N640" s="25" t="str">
        <f>IFERROR(__xludf.DUMMYFUNCTION("IFERROR(INDEX(FILTER('Kế hoạch chèn link (mới)'!$B$3:$B$2213,'Kế hoạch chèn link (mới)'!$D$3:$D$2213=$B640),4),"""")"),"https://techcombank.com/khach-hang-ca-nhan/chi-tieu/the/the-tin-dung/techcombank-everyday")</f>
        <v>https://techcombank.com/khach-hang-ca-nhan/chi-tieu/the/the-tin-dung/techcombank-everyday</v>
      </c>
      <c r="O640" s="25" t="str">
        <f>IFERROR(__xludf.DUMMYFUNCTION("IFERROR(INDEX(FILTER('Kế hoạch chèn link (mới)'!$C$3:$C$2213,'Kế hoạch chèn link (mới)'!$D$3:$D$2213=$B640),5),"""")"),"cách hủy thẻ tín dụng")</f>
        <v>cách hủy thẻ tín dụng</v>
      </c>
      <c r="P640" s="25" t="str">
        <f>IFERROR(__xludf.DUMMYFUNCTION("IFERROR(INDEX(FILTER('Kế hoạch chèn link (mới)'!$B$3:$B$2213,'Kế hoạch chèn link (mới)'!$D$3:$D$2213=$B640),5),"""")"),"https://techcombank.com/thong-tin/blog/cach-huy-the-tin-dung")</f>
        <v>https://techcombank.com/thong-tin/blog/cach-huy-the-tin-dung</v>
      </c>
    </row>
    <row r="641">
      <c r="A641" s="6">
        <f t="shared" si="1"/>
        <v>640</v>
      </c>
      <c r="B641" s="8" t="s">
        <v>1402</v>
      </c>
      <c r="C641" s="6">
        <f>COUNTIF('Kế hoạch chèn link (mới)'!$D$3:$D$2213,$B641)</f>
        <v>1</v>
      </c>
      <c r="D641" s="8" t="str">
        <f>IF(COUNTIFS('Kế hoạch chèn link (mới)'!$D$3:$D$2213,$B641,'Kế hoạch chèn link (mới)'!$I$3:$I$2213,"Đã chèn")&gt;=$C641,"Đã hoàn thành",IF(COUNTIFS('Kế hoạch chèn link (mới)'!$D$3:$D$2213,$B641,'Kế hoạch chèn link (mới)'!$I$3:$I$2213,"Đã chèn")&gt;0,"Đang làm","Chưa hoàn thành"))</f>
        <v>Chưa hoàn thành</v>
      </c>
      <c r="E641" s="8" t="b">
        <f t="shared" si="2"/>
        <v>0</v>
      </c>
      <c r="F641" s="25"/>
      <c r="G641" s="25" t="str">
        <f>IFERROR(__xludf.DUMMYFUNCTION("IFERROR(INDEX(FILTER('Kế hoạch chèn link (mới)'!$C$3:$C$2213,'Kế hoạch chèn link (mới)'!$D$3:$D$2213=$B641),1),"""")"),"giá điện sinh hoạt mới nhất")</f>
        <v>giá điện sinh hoạt mới nhất</v>
      </c>
      <c r="H641" s="25" t="str">
        <f>IFERROR(__xludf.DUMMYFUNCTION("IFERROR(INDEX(FILTER('Kế hoạch chèn link (mới)'!$B$3:$B$2213,'Kế hoạch chèn link (mới)'!$D$3:$D$2213=$B641),1),"""")"),"https://techcombank.com/thong-tin/blog/cach-tinh-tien-dien-sinh-hoat")</f>
        <v>https://techcombank.com/thong-tin/blog/cach-tinh-tien-dien-sinh-hoat</v>
      </c>
      <c r="I641" s="25" t="str">
        <f>IFERROR(__xludf.DUMMYFUNCTION("IFERROR(INDEX(FILTER('Kế hoạch chèn link (mới)'!$C$3:$C$2213,'Kế hoạch chèn link (mới)'!$D$3:$D$2213=$B641),2),"""")"),"")</f>
        <v/>
      </c>
      <c r="J641" s="25" t="str">
        <f>IFERROR(__xludf.DUMMYFUNCTION("IFERROR(INDEX(FILTER('Kế hoạch chèn link (mới)'!$B$3:$B$2213,'Kế hoạch chèn link (mới)'!$D$3:$D$2213=$B641),2),"""")"),"")</f>
        <v/>
      </c>
      <c r="K641" s="25" t="str">
        <f>IFERROR(__xludf.DUMMYFUNCTION("IFERROR(INDEX(FILTER('Kế hoạch chèn link (mới)'!$C$3:$C$2213,'Kế hoạch chèn link (mới)'!$D$3:$D$2213=$B641),3),"""")"),"")</f>
        <v/>
      </c>
      <c r="L641" s="25" t="str">
        <f>IFERROR(__xludf.DUMMYFUNCTION("IFERROR(INDEX(FILTER('Kế hoạch chèn link (mới)'!$B$3:$B$2213,'Kế hoạch chèn link (mới)'!$D$3:$D$2213=$B641),3),"""")"),"")</f>
        <v/>
      </c>
      <c r="M641" s="25" t="str">
        <f>IFERROR(__xludf.DUMMYFUNCTION("IFERROR(INDEX(FILTER('Kế hoạch chèn link (mới)'!$C$3:$C$2213,'Kế hoạch chèn link (mới)'!$D$3:$D$2213=$B641),4),"""")"),"")</f>
        <v/>
      </c>
      <c r="N641" s="25" t="str">
        <f>IFERROR(__xludf.DUMMYFUNCTION("IFERROR(INDEX(FILTER('Kế hoạch chèn link (mới)'!$B$3:$B$2213,'Kế hoạch chèn link (mới)'!$D$3:$D$2213=$B641),4),"""")"),"")</f>
        <v/>
      </c>
      <c r="O641" s="25" t="str">
        <f>IFERROR(__xludf.DUMMYFUNCTION("IFERROR(INDEX(FILTER('Kế hoạch chèn link (mới)'!$C$3:$C$2213,'Kế hoạch chèn link (mới)'!$D$3:$D$2213=$B641),5),"""")"),"")</f>
        <v/>
      </c>
      <c r="P641" s="25" t="str">
        <f>IFERROR(__xludf.DUMMYFUNCTION("IFERROR(INDEX(FILTER('Kế hoạch chèn link (mới)'!$B$3:$B$2213,'Kế hoạch chèn link (mới)'!$D$3:$D$2213=$B641),5),"""")"),"")</f>
        <v/>
      </c>
    </row>
    <row r="642">
      <c r="A642" s="6">
        <f t="shared" si="1"/>
        <v>641</v>
      </c>
      <c r="B642" s="8" t="s">
        <v>607</v>
      </c>
      <c r="C642" s="6">
        <f>COUNTIF('Kế hoạch chèn link (mới)'!$D$3:$D$2213,$B642)</f>
        <v>5</v>
      </c>
      <c r="D642" s="8" t="str">
        <f>IF(COUNTIFS('Kế hoạch chèn link (mới)'!$D$3:$D$2213,$B642,'Kế hoạch chèn link (mới)'!$I$3:$I$2213,"Đã chèn")&gt;=$C642,"Đã hoàn thành",IF(COUNTIFS('Kế hoạch chèn link (mới)'!$D$3:$D$2213,$B642,'Kế hoạch chèn link (mới)'!$I$3:$I$2213,"Đã chèn")&gt;0,"Đang làm","Chưa hoàn thành"))</f>
        <v>Chưa hoàn thành</v>
      </c>
      <c r="E642" s="8" t="b">
        <f t="shared" si="2"/>
        <v>0</v>
      </c>
      <c r="F642" s="25"/>
      <c r="G642" s="25" t="str">
        <f>IFERROR(__xludf.DUMMYFUNCTION("IFERROR(INDEX(FILTER('Kế hoạch chèn link (mới)'!$C$3:$C$2213,'Kế hoạch chèn link (mới)'!$D$3:$D$2213=$B642),1),"""")"),"nộp thuế hộ trên etax")</f>
        <v>nộp thuế hộ trên etax</v>
      </c>
      <c r="H642" s="25" t="str">
        <f>IFERROR(__xludf.DUMMYFUNCTION("IFERROR(INDEX(FILTER('Kế hoạch chèn link (mới)'!$B$3:$B$2213,'Kế hoạch chèn link (mới)'!$D$3:$D$2213=$B642),1),"""")"),"https://techcombank.com/thong-tin/blog/cach-nop-thue-dien-tu")</f>
        <v>https://techcombank.com/thong-tin/blog/cach-nop-thue-dien-tu</v>
      </c>
      <c r="I642" s="25" t="str">
        <f>IFERROR(__xludf.DUMMYFUNCTION("IFERROR(INDEX(FILTER('Kế hoạch chèn link (mới)'!$C$3:$C$2213,'Kế hoạch chèn link (mới)'!$D$3:$D$2213=$B642),2),"""")"),"tra cứu nợ thuế theo mã số thuế")</f>
        <v>tra cứu nợ thuế theo mã số thuế</v>
      </c>
      <c r="J642" s="25" t="str">
        <f>IFERROR(__xludf.DUMMYFUNCTION("IFERROR(INDEX(FILTER('Kế hoạch chèn link (mới)'!$B$3:$B$2213,'Kế hoạch chèn link (mới)'!$D$3:$D$2213=$B642),2),"""")"),"https://techcombank.com/thong-tin/blog/tra-cuu-no-thue-doanh-nghiep")</f>
        <v>https://techcombank.com/thong-tin/blog/tra-cuu-no-thue-doanh-nghiep</v>
      </c>
      <c r="K642" s="25" t="str">
        <f>IFERROR(__xludf.DUMMYFUNCTION("IFERROR(INDEX(FILTER('Kế hoạch chèn link (mới)'!$C$3:$C$2213,'Kế hoạch chèn link (mới)'!$D$3:$D$2213=$B642),3),"""")"),"kiểm tra thuế TNCN online")</f>
        <v>kiểm tra thuế TNCN online</v>
      </c>
      <c r="L642" s="25" t="str">
        <f>IFERROR(__xludf.DUMMYFUNCTION("IFERROR(INDEX(FILTER('Kế hoạch chèn link (mới)'!$B$3:$B$2213,'Kế hoạch chèn link (mới)'!$D$3:$D$2213=$B642),3),"""")"),"https://techcombank.com/thong-tin/blog/kiem-tra-thue-thu-nhap-ca-nhan")</f>
        <v>https://techcombank.com/thong-tin/blog/kiem-tra-thue-thu-nhap-ca-nhan</v>
      </c>
      <c r="M642" s="25" t="str">
        <f>IFERROR(__xludf.DUMMYFUNCTION("IFERROR(INDEX(FILTER('Kế hoạch chèn link (mới)'!$C$3:$C$2213,'Kế hoạch chèn link (mới)'!$D$3:$D$2213=$B642),4),"""")"),"thuế hộ kinh doanh")</f>
        <v>thuế hộ kinh doanh</v>
      </c>
      <c r="N642" s="25" t="str">
        <f>IFERROR(__xludf.DUMMYFUNCTION("IFERROR(INDEX(FILTER('Kế hoạch chèn link (mới)'!$B$3:$B$2213,'Kế hoạch chèn link (mới)'!$D$3:$D$2213=$B642),4),"""")"),"https://techcombank.com/thong-tin/blog/ho-kinh-doanh-dong-thue-nhu-nao")</f>
        <v>https://techcombank.com/thong-tin/blog/ho-kinh-doanh-dong-thue-nhu-nao</v>
      </c>
      <c r="O642" s="25" t="str">
        <f>IFERROR(__xludf.DUMMYFUNCTION("IFERROR(INDEX(FILTER('Kế hoạch chèn link (mới)'!$C$3:$C$2213,'Kế hoạch chèn link (mới)'!$D$3:$D$2213=$B642),5),"""")"),"tài khoản hộ kinh doanh")</f>
        <v>tài khoản hộ kinh doanh</v>
      </c>
      <c r="P642" s="25" t="str">
        <f>IFERROR(__xludf.DUMMYFUNCTION("IFERROR(INDEX(FILTER('Kế hoạch chèn link (mới)'!$B$3:$B$2213,'Kế hoạch chèn link (mới)'!$D$3:$D$2213=$B642),5),"""")"),"https://techcombank.com/thong-tin/blog/mo-tai-khoan-ho-kinh-doanh")</f>
        <v>https://techcombank.com/thong-tin/blog/mo-tai-khoan-ho-kinh-doanh</v>
      </c>
    </row>
    <row r="643">
      <c r="A643" s="6">
        <f t="shared" si="1"/>
        <v>642</v>
      </c>
      <c r="B643" s="8" t="s">
        <v>1075</v>
      </c>
      <c r="C643" s="6">
        <f>COUNTIF('Kế hoạch chèn link (mới)'!$D$3:$D$2213,$B643)</f>
        <v>4</v>
      </c>
      <c r="D643" s="8" t="str">
        <f>IF(COUNTIFS('Kế hoạch chèn link (mới)'!$D$3:$D$2213,$B643,'Kế hoạch chèn link (mới)'!$I$3:$I$2213,"Đã chèn")&gt;=$C643,"Đã hoàn thành",IF(COUNTIFS('Kế hoạch chèn link (mới)'!$D$3:$D$2213,$B643,'Kế hoạch chèn link (mới)'!$I$3:$I$2213,"Đã chèn")&gt;0,"Đang làm","Chưa hoàn thành"))</f>
        <v>Chưa hoàn thành</v>
      </c>
      <c r="E643" s="8" t="b">
        <f t="shared" si="2"/>
        <v>0</v>
      </c>
      <c r="F643" s="25"/>
      <c r="G643" s="25" t="str">
        <f>IFERROR(__xludf.DUMMYFUNCTION("IFERROR(INDEX(FILTER('Kế hoạch chèn link (mới)'!$C$3:$C$2213,'Kế hoạch chèn link (mới)'!$D$3:$D$2213=$B643),1),"""")"),"tra cứu nợ thuế theo mã số thuế")</f>
        <v>tra cứu nợ thuế theo mã số thuế</v>
      </c>
      <c r="H643" s="25" t="str">
        <f>IFERROR(__xludf.DUMMYFUNCTION("IFERROR(INDEX(FILTER('Kế hoạch chèn link (mới)'!$B$3:$B$2213,'Kế hoạch chèn link (mới)'!$D$3:$D$2213=$B643),1),"""")"),"https://techcombank.com/thong-tin/blog/tra-cuu-no-thue-doanh-nghiep")</f>
        <v>https://techcombank.com/thong-tin/blog/tra-cuu-no-thue-doanh-nghiep</v>
      </c>
      <c r="I643" s="25" t="str">
        <f>IFERROR(__xludf.DUMMYFUNCTION("IFERROR(INDEX(FILTER('Kế hoạch chèn link (mới)'!$C$3:$C$2213,'Kế hoạch chèn link (mới)'!$D$3:$D$2213=$B643),2),"""")"),"thuế thu nhập cá nhân")</f>
        <v>thuế thu nhập cá nhân</v>
      </c>
      <c r="J643" s="25" t="str">
        <f>IFERROR(__xludf.DUMMYFUNCTION("IFERROR(INDEX(FILTER('Kế hoạch chèn link (mới)'!$B$3:$B$2213,'Kế hoạch chèn link (mới)'!$D$3:$D$2213=$B643),2),"""")"),"https://techcombank.com/thong-tin/blog/cach-tinh-thue-thu-nhap-ca-nhan-2025")</f>
        <v>https://techcombank.com/thong-tin/blog/cach-tinh-thue-thu-nhap-ca-nhan-2025</v>
      </c>
      <c r="K643" s="25" t="str">
        <f>IFERROR(__xludf.DUMMYFUNCTION("IFERROR(INDEX(FILTER('Kế hoạch chèn link (mới)'!$C$3:$C$2213,'Kế hoạch chèn link (mới)'!$D$3:$D$2213=$B643),3),"""")"),"tra cứu thuế TNCN")</f>
        <v>tra cứu thuế TNCN</v>
      </c>
      <c r="L643" s="25" t="str">
        <f>IFERROR(__xludf.DUMMYFUNCTION("IFERROR(INDEX(FILTER('Kế hoạch chèn link (mới)'!$B$3:$B$2213,'Kế hoạch chèn link (mới)'!$D$3:$D$2213=$B643),3),"""")"),"https://techcombank.com/thong-tin/blog/kiem-tra-thue-thu-nhap-ca-nhan")</f>
        <v>https://techcombank.com/thong-tin/blog/kiem-tra-thue-thu-nhap-ca-nhan</v>
      </c>
      <c r="M643" s="25" t="str">
        <f>IFERROR(__xludf.DUMMYFUNCTION("IFERROR(INDEX(FILTER('Kế hoạch chèn link (mới)'!$C$3:$C$2213,'Kế hoạch chèn link (mới)'!$D$3:$D$2213=$B643),4),"""")"),"thuế TNCN")</f>
        <v>thuế TNCN</v>
      </c>
      <c r="N643" s="25" t="str">
        <f>IFERROR(__xludf.DUMMYFUNCTION("IFERROR(INDEX(FILTER('Kế hoạch chèn link (mới)'!$B$3:$B$2213,'Kế hoạch chèn link (mới)'!$D$3:$D$2213=$B643),4),"""")"),"https://techcombank.com/thong-tin/blog/thue-thu-nhap-ca-nhan")</f>
        <v>https://techcombank.com/thong-tin/blog/thue-thu-nhap-ca-nhan</v>
      </c>
      <c r="O643" s="25" t="str">
        <f>IFERROR(__xludf.DUMMYFUNCTION("IFERROR(INDEX(FILTER('Kế hoạch chèn link (mới)'!$C$3:$C$2213,'Kế hoạch chèn link (mới)'!$D$3:$D$2213=$B643),5),"""")"),"")</f>
        <v/>
      </c>
      <c r="P643" s="25" t="str">
        <f>IFERROR(__xludf.DUMMYFUNCTION("IFERROR(INDEX(FILTER('Kế hoạch chèn link (mới)'!$B$3:$B$2213,'Kế hoạch chèn link (mới)'!$D$3:$D$2213=$B643),5),"""")"),"")</f>
        <v/>
      </c>
    </row>
    <row r="644">
      <c r="A644" s="6">
        <f t="shared" si="1"/>
        <v>643</v>
      </c>
      <c r="B644" s="8" t="s">
        <v>765</v>
      </c>
      <c r="C644" s="6">
        <f>COUNTIF('Kế hoạch chèn link (mới)'!$D$3:$D$2213,$B644)</f>
        <v>3</v>
      </c>
      <c r="D644" s="8" t="str">
        <f>IF(COUNTIFS('Kế hoạch chèn link (mới)'!$D$3:$D$2213,$B644,'Kế hoạch chèn link (mới)'!$I$3:$I$2213,"Đã chèn")&gt;=$C644,"Đã hoàn thành",IF(COUNTIFS('Kế hoạch chèn link (mới)'!$D$3:$D$2213,$B644,'Kế hoạch chèn link (mới)'!$I$3:$I$2213,"Đã chèn")&gt;0,"Đang làm","Chưa hoàn thành"))</f>
        <v>Chưa hoàn thành</v>
      </c>
      <c r="E644" s="8" t="b">
        <f t="shared" si="2"/>
        <v>0</v>
      </c>
      <c r="F644" s="25"/>
      <c r="G644" s="25" t="str">
        <f>IFERROR(__xludf.DUMMYFUNCTION("IFERROR(INDEX(FILTER('Kế hoạch chèn link (mới)'!$C$3:$C$2213,'Kế hoạch chèn link (mới)'!$D$3:$D$2213=$B644),1),"""")"),"thuế thu nhập doanh nghiệp")</f>
        <v>thuế thu nhập doanh nghiệp</v>
      </c>
      <c r="H644" s="25" t="str">
        <f>IFERROR(__xludf.DUMMYFUNCTION("IFERROR(INDEX(FILTER('Kế hoạch chèn link (mới)'!$B$3:$B$2213,'Kế hoạch chèn link (mới)'!$D$3:$D$2213=$B644),1),"""")"),"https://techcombank.com/thong-tin/blog/thue-thu-nhap-doanh-nghiep")</f>
        <v>https://techcombank.com/thong-tin/blog/thue-thu-nhap-doanh-nghiep</v>
      </c>
      <c r="I644" s="25" t="str">
        <f>IFERROR(__xludf.DUMMYFUNCTION("IFERROR(INDEX(FILTER('Kế hoạch chèn link (mới)'!$C$3:$C$2213,'Kế hoạch chèn link (mới)'!$D$3:$D$2213=$B644),2),"""")"),"thuế giá trị gia tăng")</f>
        <v>thuế giá trị gia tăng</v>
      </c>
      <c r="J644" s="25" t="str">
        <f>IFERROR(__xludf.DUMMYFUNCTION("IFERROR(INDEX(FILTER('Kế hoạch chèn link (mới)'!$B$3:$B$2213,'Kế hoạch chèn link (mới)'!$D$3:$D$2213=$B644),2),"""")"),"https://techcombank.com/thong-tin/blog/thue-vat-la-gi")</f>
        <v>https://techcombank.com/thong-tin/blog/thue-vat-la-gi</v>
      </c>
      <c r="K644" s="25" t="str">
        <f>IFERROR(__xludf.DUMMYFUNCTION("IFERROR(INDEX(FILTER('Kế hoạch chèn link (mới)'!$C$3:$C$2213,'Kế hoạch chèn link (mới)'!$D$3:$D$2213=$B644),3),"""")"),"thuế doanh nghiệp")</f>
        <v>thuế doanh nghiệp</v>
      </c>
      <c r="L644" s="25" t="str">
        <f>IFERROR(__xludf.DUMMYFUNCTION("IFERROR(INDEX(FILTER('Kế hoạch chèn link (mới)'!$B$3:$B$2213,'Kế hoạch chèn link (mới)'!$D$3:$D$2213=$B644),3),"""")"),"https://techcombank.com/thong-tin/blog/thue-doanh-nghiep")</f>
        <v>https://techcombank.com/thong-tin/blog/thue-doanh-nghiep</v>
      </c>
      <c r="M644" s="25" t="str">
        <f>IFERROR(__xludf.DUMMYFUNCTION("IFERROR(INDEX(FILTER('Kế hoạch chèn link (mới)'!$C$3:$C$2213,'Kế hoạch chèn link (mới)'!$D$3:$D$2213=$B644),4),"""")"),"")</f>
        <v/>
      </c>
      <c r="N644" s="25" t="str">
        <f>IFERROR(__xludf.DUMMYFUNCTION("IFERROR(INDEX(FILTER('Kế hoạch chèn link (mới)'!$B$3:$B$2213,'Kế hoạch chèn link (mới)'!$D$3:$D$2213=$B644),4),"""")"),"")</f>
        <v/>
      </c>
      <c r="O644" s="25" t="str">
        <f>IFERROR(__xludf.DUMMYFUNCTION("IFERROR(INDEX(FILTER('Kế hoạch chèn link (mới)'!$C$3:$C$2213,'Kế hoạch chèn link (mới)'!$D$3:$D$2213=$B644),5),"""")"),"")</f>
        <v/>
      </c>
      <c r="P644" s="25" t="str">
        <f>IFERROR(__xludf.DUMMYFUNCTION("IFERROR(INDEX(FILTER('Kế hoạch chèn link (mới)'!$B$3:$B$2213,'Kế hoạch chèn link (mới)'!$D$3:$D$2213=$B644),5),"""")"),"")</f>
        <v/>
      </c>
    </row>
    <row r="645">
      <c r="A645" s="6">
        <f t="shared" si="1"/>
        <v>644</v>
      </c>
      <c r="B645" s="8" t="s">
        <v>679</v>
      </c>
      <c r="C645" s="6">
        <f>COUNTIF('Kế hoạch chèn link (mới)'!$D$3:$D$2213,$B645)</f>
        <v>3</v>
      </c>
      <c r="D645" s="8" t="str">
        <f>IF(COUNTIFS('Kế hoạch chèn link (mới)'!$D$3:$D$2213,$B645,'Kế hoạch chèn link (mới)'!$I$3:$I$2213,"Đã chèn")&gt;=$C645,"Đã hoàn thành",IF(COUNTIFS('Kế hoạch chèn link (mới)'!$D$3:$D$2213,$B645,'Kế hoạch chèn link (mới)'!$I$3:$I$2213,"Đã chèn")&gt;0,"Đang làm","Chưa hoàn thành"))</f>
        <v>Chưa hoàn thành</v>
      </c>
      <c r="E645" s="8" t="b">
        <f t="shared" si="2"/>
        <v>0</v>
      </c>
      <c r="F645" s="25"/>
      <c r="G645" s="25" t="str">
        <f>IFERROR(__xludf.DUMMYFUNCTION("IFERROR(INDEX(FILTER('Kế hoạch chèn link (mới)'!$C$3:$C$2213,'Kế hoạch chèn link (mới)'!$D$3:$D$2213=$B645),1),"""")"),"nộp thuế online")</f>
        <v>nộp thuế online</v>
      </c>
      <c r="H645" s="25" t="str">
        <f>IFERROR(__xludf.DUMMYFUNCTION("IFERROR(INDEX(FILTER('Kế hoạch chèn link (mới)'!$B$3:$B$2213,'Kế hoạch chèn link (mới)'!$D$3:$D$2213=$B645),1),"""")"),"https://techcombank.com/thong-tin/blog/cach-nop-thue-dien-tu")</f>
        <v>https://techcombank.com/thong-tin/blog/cach-nop-thue-dien-tu</v>
      </c>
      <c r="I645" s="25" t="str">
        <f>IFERROR(__xludf.DUMMYFUNCTION("IFERROR(INDEX(FILTER('Kế hoạch chèn link (mới)'!$C$3:$C$2213,'Kế hoạch chèn link (mới)'!$D$3:$D$2213=$B645),2),"""")"),"tra cứu nợ thuế doanh nghiệp")</f>
        <v>tra cứu nợ thuế doanh nghiệp</v>
      </c>
      <c r="J645" s="25" t="str">
        <f>IFERROR(__xludf.DUMMYFUNCTION("IFERROR(INDEX(FILTER('Kế hoạch chèn link (mới)'!$B$3:$B$2213,'Kế hoạch chèn link (mới)'!$D$3:$D$2213=$B645),2),"""")"),"https://techcombank.com/thong-tin/blog/tra-cuu-no-thue-doanh-nghiep")</f>
        <v>https://techcombank.com/thong-tin/blog/tra-cuu-no-thue-doanh-nghiep</v>
      </c>
      <c r="K645" s="25" t="str">
        <f>IFERROR(__xludf.DUMMYFUNCTION("IFERROR(INDEX(FILTER('Kế hoạch chèn link (mới)'!$C$3:$C$2213,'Kế hoạch chèn link (mới)'!$D$3:$D$2213=$B645),3),"""")"),"thuế doanh nghiệp")</f>
        <v>thuế doanh nghiệp</v>
      </c>
      <c r="L645" s="25" t="str">
        <f>IFERROR(__xludf.DUMMYFUNCTION("IFERROR(INDEX(FILTER('Kế hoạch chèn link (mới)'!$B$3:$B$2213,'Kế hoạch chèn link (mới)'!$D$3:$D$2213=$B645),3),"""")"),"https://techcombank.com/thong-tin/blog/thue-doanh-nghiep")</f>
        <v>https://techcombank.com/thong-tin/blog/thue-doanh-nghiep</v>
      </c>
      <c r="M645" s="25" t="str">
        <f>IFERROR(__xludf.DUMMYFUNCTION("IFERROR(INDEX(FILTER('Kế hoạch chèn link (mới)'!$C$3:$C$2213,'Kế hoạch chèn link (mới)'!$D$3:$D$2213=$B645),4),"""")"),"")</f>
        <v/>
      </c>
      <c r="N645" s="25" t="str">
        <f>IFERROR(__xludf.DUMMYFUNCTION("IFERROR(INDEX(FILTER('Kế hoạch chèn link (mới)'!$B$3:$B$2213,'Kế hoạch chèn link (mới)'!$D$3:$D$2213=$B645),4),"""")"),"")</f>
        <v/>
      </c>
      <c r="O645" s="25" t="str">
        <f>IFERROR(__xludf.DUMMYFUNCTION("IFERROR(INDEX(FILTER('Kế hoạch chèn link (mới)'!$C$3:$C$2213,'Kế hoạch chèn link (mới)'!$D$3:$D$2213=$B645),5),"""")"),"")</f>
        <v/>
      </c>
      <c r="P645" s="25" t="str">
        <f>IFERROR(__xludf.DUMMYFUNCTION("IFERROR(INDEX(FILTER('Kế hoạch chèn link (mới)'!$B$3:$B$2213,'Kế hoạch chèn link (mới)'!$D$3:$D$2213=$B645),5),"""")"),"")</f>
        <v/>
      </c>
    </row>
    <row r="646">
      <c r="A646" s="6">
        <f t="shared" si="1"/>
        <v>645</v>
      </c>
      <c r="B646" s="8" t="s">
        <v>1060</v>
      </c>
      <c r="C646" s="6">
        <f>COUNTIF('Kế hoạch chèn link (mới)'!$D$3:$D$2213,$B646)</f>
        <v>5</v>
      </c>
      <c r="D646" s="8" t="str">
        <f>IF(COUNTIFS('Kế hoạch chèn link (mới)'!$D$3:$D$2213,$B646,'Kế hoạch chèn link (mới)'!$I$3:$I$2213,"Đã chèn")&gt;=$C646,"Đã hoàn thành",IF(COUNTIFS('Kế hoạch chèn link (mới)'!$D$3:$D$2213,$B646,'Kế hoạch chèn link (mới)'!$I$3:$I$2213,"Đã chèn")&gt;0,"Đang làm","Chưa hoàn thành"))</f>
        <v>Chưa hoàn thành</v>
      </c>
      <c r="E646" s="8" t="b">
        <f t="shared" si="2"/>
        <v>0</v>
      </c>
      <c r="F646" s="25"/>
      <c r="G646" s="25" t="str">
        <f>IFERROR(__xludf.DUMMYFUNCTION("IFERROR(INDEX(FILTER('Kế hoạch chèn link (mới)'!$C$3:$C$2213,'Kế hoạch chèn link (mới)'!$D$3:$D$2213=$B646),1),"""")"),"tra cứu nợ thuế doanh nghiệp")</f>
        <v>tra cứu nợ thuế doanh nghiệp</v>
      </c>
      <c r="H646" s="25" t="str">
        <f>IFERROR(__xludf.DUMMYFUNCTION("IFERROR(INDEX(FILTER('Kế hoạch chèn link (mới)'!$B$3:$B$2213,'Kế hoạch chèn link (mới)'!$D$3:$D$2213=$B646),1),"""")"),"https://techcombank.com/thong-tin/blog/tra-cuu-no-thue-doanh-nghiep")</f>
        <v>https://techcombank.com/thong-tin/blog/tra-cuu-no-thue-doanh-nghiep</v>
      </c>
      <c r="I646" s="25" t="str">
        <f>IFERROR(__xludf.DUMMYFUNCTION("IFERROR(INDEX(FILTER('Kế hoạch chèn link (mới)'!$C$3:$C$2213,'Kế hoạch chèn link (mới)'!$D$3:$D$2213=$B646),2),"""")"),"thuế hộ kinh doanh")</f>
        <v>thuế hộ kinh doanh</v>
      </c>
      <c r="J646" s="25" t="str">
        <f>IFERROR(__xludf.DUMMYFUNCTION("IFERROR(INDEX(FILTER('Kế hoạch chèn link (mới)'!$B$3:$B$2213,'Kế hoạch chèn link (mới)'!$D$3:$D$2213=$B646),2),"""")"),"https://techcombank.com/thong-tin/blog/ho-kinh-doanh-dong-thue-nhu-nao")</f>
        <v>https://techcombank.com/thong-tin/blog/ho-kinh-doanh-dong-thue-nhu-nao</v>
      </c>
      <c r="K646" s="25" t="str">
        <f>IFERROR(__xludf.DUMMYFUNCTION("IFERROR(INDEX(FILTER('Kế hoạch chèn link (mới)'!$C$3:$C$2213,'Kế hoạch chèn link (mới)'!$D$3:$D$2213=$B646),3),"""")"),"mở tài khoản hộ kinh doanh")</f>
        <v>mở tài khoản hộ kinh doanh</v>
      </c>
      <c r="L646" s="25" t="str">
        <f>IFERROR(__xludf.DUMMYFUNCTION("IFERROR(INDEX(FILTER('Kế hoạch chèn link (mới)'!$B$3:$B$2213,'Kế hoạch chèn link (mới)'!$D$3:$D$2213=$B646),3),"""")"),"https://techcombank.com/thong-tin/blog/mo-tai-khoan-ho-kinh-doanh")</f>
        <v>https://techcombank.com/thong-tin/blog/mo-tai-khoan-ho-kinh-doanh</v>
      </c>
      <c r="M646" s="25" t="str">
        <f>IFERROR(__xludf.DUMMYFUNCTION("IFERROR(INDEX(FILTER('Kế hoạch chèn link (mới)'!$C$3:$C$2213,'Kế hoạch chèn link (mới)'!$D$3:$D$2213=$B646),4),"""")"),"cách tính thuế hộ kinh doanh")</f>
        <v>cách tính thuế hộ kinh doanh</v>
      </c>
      <c r="N646" s="25" t="str">
        <f>IFERROR(__xludf.DUMMYFUNCTION("IFERROR(INDEX(FILTER('Kế hoạch chèn link (mới)'!$B$3:$B$2213,'Kế hoạch chèn link (mới)'!$D$3:$D$2213=$B646),4),"""")"),"https://techcombank.com/thong-tin/blog/cach-tinh-thue-ho-kinh-doanh-nho-le")</f>
        <v>https://techcombank.com/thong-tin/blog/cach-tinh-thue-ho-kinh-doanh-nho-le</v>
      </c>
      <c r="O646" s="25" t="str">
        <f>IFERROR(__xludf.DUMMYFUNCTION("IFERROR(INDEX(FILTER('Kế hoạch chèn link (mới)'!$C$3:$C$2213,'Kế hoạch chèn link (mới)'!$D$3:$D$2213=$B646),5),"""")"),"vay")</f>
        <v>vay</v>
      </c>
      <c r="P646" s="25" t="str">
        <f>IFERROR(__xludf.DUMMYFUNCTION("IFERROR(INDEX(FILTER('Kế hoạch chèn link (mới)'!$B$3:$B$2213,'Kế hoạch chèn link (mới)'!$D$3:$D$2213=$B646),5),"""")"),"https://techcombank.com/thong-tin/blog/app-vay-tien-nhanh")</f>
        <v>https://techcombank.com/thong-tin/blog/app-vay-tien-nhanh</v>
      </c>
    </row>
    <row r="647">
      <c r="A647" s="6">
        <f t="shared" si="1"/>
        <v>646</v>
      </c>
      <c r="B647" s="8" t="s">
        <v>3258</v>
      </c>
      <c r="C647" s="6">
        <f>COUNTIF('Kế hoạch chèn link (mới)'!$D$3:$D$2213,$B647)</f>
        <v>4</v>
      </c>
      <c r="D647" s="8" t="str">
        <f>IF(COUNTIFS('Kế hoạch chèn link (mới)'!$D$3:$D$2213,$B647,'Kế hoạch chèn link (mới)'!$I$3:$I$2213,"Đã chèn")&gt;=$C647,"Đã hoàn thành",IF(COUNTIFS('Kế hoạch chèn link (mới)'!$D$3:$D$2213,$B647,'Kế hoạch chèn link (mới)'!$I$3:$I$2213,"Đã chèn")&gt;0,"Đang làm","Chưa hoàn thành"))</f>
        <v>Chưa hoàn thành</v>
      </c>
      <c r="E647" s="8" t="b">
        <f t="shared" si="2"/>
        <v>0</v>
      </c>
      <c r="F647" s="25"/>
      <c r="G647" s="25" t="str">
        <f>IFERROR(__xludf.DUMMYFUNCTION("IFERROR(INDEX(FILTER('Kế hoạch chèn link (mới)'!$C$3:$C$2213,'Kế hoạch chèn link (mới)'!$D$3:$D$2213=$B647),1),"""")"),"Techcombank Eco")</f>
        <v>Techcombank Eco</v>
      </c>
      <c r="H647" s="25" t="str">
        <f>IFERROR(__xludf.DUMMYFUNCTION("IFERROR(INDEX(FILTER('Kế hoạch chèn link (mới)'!$B$3:$B$2213,'Kế hoạch chèn link (mới)'!$D$3:$D$2213=$B647),1),"""")"),"https://techcombank.com/thong-tin/blog/eco-card")</f>
        <v>https://techcombank.com/thong-tin/blog/eco-card</v>
      </c>
      <c r="I647" s="25" t="str">
        <f>IFERROR(__xludf.DUMMYFUNCTION("IFERROR(INDEX(FILTER('Kế hoạch chèn link (mới)'!$C$3:$C$2213,'Kế hoạch chèn link (mới)'!$D$3:$D$2213=$B647),2),"""")"),"cách tính lãi suất vay")</f>
        <v>cách tính lãi suất vay</v>
      </c>
      <c r="J647" s="25" t="str">
        <f>IFERROR(__xludf.DUMMYFUNCTION("IFERROR(INDEX(FILTER('Kế hoạch chèn link (mới)'!$B$3:$B$2213,'Kế hoạch chèn link (mới)'!$D$3:$D$2213=$B647),2),"""")"),"https://techcombank.com/thong-tin/blog/cach-tinh-lai-vay-ngan-hang")</f>
        <v>https://techcombank.com/thong-tin/blog/cach-tinh-lai-vay-ngan-hang</v>
      </c>
      <c r="K647" s="25" t="str">
        <f>IFERROR(__xludf.DUMMYFUNCTION("IFERROR(INDEX(FILTER('Kế hoạch chèn link (mới)'!$C$3:$C$2213,'Kế hoạch chèn link (mới)'!$D$3:$D$2213=$B647),3),"""")"),"vay tiền")</f>
        <v>vay tiền</v>
      </c>
      <c r="L647" s="25" t="str">
        <f>IFERROR(__xludf.DUMMYFUNCTION("IFERROR(INDEX(FILTER('Kế hoạch chèn link (mới)'!$B$3:$B$2213,'Kế hoạch chèn link (mới)'!$D$3:$D$2213=$B647),3),"""")"),"https://techcombank.com/thong-tin/blog/app-vay-tien-nhanh")</f>
        <v>https://techcombank.com/thong-tin/blog/app-vay-tien-nhanh</v>
      </c>
      <c r="M647" s="25" t="str">
        <f>IFERROR(__xludf.DUMMYFUNCTION("IFERROR(INDEX(FILTER('Kế hoạch chèn link (mới)'!$C$3:$C$2213,'Kế hoạch chèn link (mới)'!$D$3:$D$2213=$B647),4),"""")"),"kiểm tra nợ xấu")</f>
        <v>kiểm tra nợ xấu</v>
      </c>
      <c r="N647" s="25" t="str">
        <f>IFERROR(__xludf.DUMMYFUNCTION("IFERROR(INDEX(FILTER('Kế hoạch chèn link (mới)'!$B$3:$B$2213,'Kế hoạch chèn link (mới)'!$D$3:$D$2213=$B647),4),"""")"),"https://techcombank.com/thong-tin/blog/kiem-tra-no-xau")</f>
        <v>https://techcombank.com/thong-tin/blog/kiem-tra-no-xau</v>
      </c>
      <c r="O647" s="25" t="str">
        <f>IFERROR(__xludf.DUMMYFUNCTION("IFERROR(INDEX(FILTER('Kế hoạch chèn link (mới)'!$C$3:$C$2213,'Kế hoạch chèn link (mới)'!$D$3:$D$2213=$B647),5),"""")"),"")</f>
        <v/>
      </c>
      <c r="P647" s="25" t="str">
        <f>IFERROR(__xludf.DUMMYFUNCTION("IFERROR(INDEX(FILTER('Kế hoạch chèn link (mới)'!$B$3:$B$2213,'Kế hoạch chèn link (mới)'!$D$3:$D$2213=$B647),5),"""")"),"")</f>
        <v/>
      </c>
    </row>
    <row r="648">
      <c r="A648" s="6">
        <f t="shared" si="1"/>
        <v>647</v>
      </c>
      <c r="B648" s="8" t="s">
        <v>3259</v>
      </c>
      <c r="C648" s="6">
        <f>COUNTIF('Kế hoạch chèn link (mới)'!$D$3:$D$2213,$B648)</f>
        <v>1</v>
      </c>
      <c r="D648" s="8" t="str">
        <f>IF(COUNTIFS('Kế hoạch chèn link (mới)'!$D$3:$D$2213,$B648,'Kế hoạch chèn link (mới)'!$I$3:$I$2213,"Đã chèn")&gt;=$C648,"Đã hoàn thành",IF(COUNTIFS('Kế hoạch chèn link (mới)'!$D$3:$D$2213,$B648,'Kế hoạch chèn link (mới)'!$I$3:$I$2213,"Đã chèn")&gt;0,"Đang làm","Chưa hoàn thành"))</f>
        <v>Chưa hoàn thành</v>
      </c>
      <c r="E648" s="8" t="b">
        <f t="shared" si="2"/>
        <v>0</v>
      </c>
      <c r="F648" s="25"/>
      <c r="G648" s="25" t="str">
        <f>IFERROR(__xludf.DUMMYFUNCTION("IFERROR(INDEX(FILTER('Kế hoạch chèn link (mới)'!$C$3:$C$2213,'Kế hoạch chèn link (mới)'!$D$3:$D$2213=$B648),1),"""")"),"tính lãi suất vay ngân hàng")</f>
        <v>tính lãi suất vay ngân hàng</v>
      </c>
      <c r="H648" s="25" t="str">
        <f>IFERROR(__xludf.DUMMYFUNCTION("IFERROR(INDEX(FILTER('Kế hoạch chèn link (mới)'!$B$3:$B$2213,'Kế hoạch chèn link (mới)'!$D$3:$D$2213=$B648),1),"""")"),"https://techcombank.com/cong-cu-tien-ich/cong-cu-tinh-toan/bang-tinh-lai-suat-vay")</f>
        <v>https://techcombank.com/cong-cu-tien-ich/cong-cu-tinh-toan/bang-tinh-lai-suat-vay</v>
      </c>
      <c r="I648" s="25" t="str">
        <f>IFERROR(__xludf.DUMMYFUNCTION("IFERROR(INDEX(FILTER('Kế hoạch chèn link (mới)'!$C$3:$C$2213,'Kế hoạch chèn link (mới)'!$D$3:$D$2213=$B648),2),"""")"),"")</f>
        <v/>
      </c>
      <c r="J648" s="25" t="str">
        <f>IFERROR(__xludf.DUMMYFUNCTION("IFERROR(INDEX(FILTER('Kế hoạch chèn link (mới)'!$B$3:$B$2213,'Kế hoạch chèn link (mới)'!$D$3:$D$2213=$B648),2),"""")"),"")</f>
        <v/>
      </c>
      <c r="K648" s="25" t="str">
        <f>IFERROR(__xludf.DUMMYFUNCTION("IFERROR(INDEX(FILTER('Kế hoạch chèn link (mới)'!$C$3:$C$2213,'Kế hoạch chèn link (mới)'!$D$3:$D$2213=$B648),3),"""")"),"")</f>
        <v/>
      </c>
      <c r="L648" s="25" t="str">
        <f>IFERROR(__xludf.DUMMYFUNCTION("IFERROR(INDEX(FILTER('Kế hoạch chèn link (mới)'!$B$3:$B$2213,'Kế hoạch chèn link (mới)'!$D$3:$D$2213=$B648),3),"""")"),"")</f>
        <v/>
      </c>
      <c r="M648" s="25" t="str">
        <f>IFERROR(__xludf.DUMMYFUNCTION("IFERROR(INDEX(FILTER('Kế hoạch chèn link (mới)'!$C$3:$C$2213,'Kế hoạch chèn link (mới)'!$D$3:$D$2213=$B648),4),"""")"),"")</f>
        <v/>
      </c>
      <c r="N648" s="25" t="str">
        <f>IFERROR(__xludf.DUMMYFUNCTION("IFERROR(INDEX(FILTER('Kế hoạch chèn link (mới)'!$B$3:$B$2213,'Kế hoạch chèn link (mới)'!$D$3:$D$2213=$B648),4),"""")"),"")</f>
        <v/>
      </c>
      <c r="O648" s="25" t="str">
        <f>IFERROR(__xludf.DUMMYFUNCTION("IFERROR(INDEX(FILTER('Kế hoạch chèn link (mới)'!$C$3:$C$2213,'Kế hoạch chèn link (mới)'!$D$3:$D$2213=$B648),5),"""")"),"")</f>
        <v/>
      </c>
      <c r="P648" s="25" t="str">
        <f>IFERROR(__xludf.DUMMYFUNCTION("IFERROR(INDEX(FILTER('Kế hoạch chèn link (mới)'!$B$3:$B$2213,'Kế hoạch chèn link (mới)'!$D$3:$D$2213=$B648),5),"""")"),"")</f>
        <v/>
      </c>
    </row>
    <row r="649">
      <c r="A649" s="6">
        <f t="shared" si="1"/>
        <v>648</v>
      </c>
      <c r="B649" s="8" t="s">
        <v>3260</v>
      </c>
      <c r="C649" s="6">
        <f>COUNTIF('Kế hoạch chèn link (mới)'!$D$3:$D$2213,$B649)</f>
        <v>4</v>
      </c>
      <c r="D649" s="8" t="str">
        <f>IF(COUNTIFS('Kế hoạch chèn link (mới)'!$D$3:$D$2213,$B649,'Kế hoạch chèn link (mới)'!$I$3:$I$2213,"Đã chèn")&gt;=$C649,"Đã hoàn thành",IF(COUNTIFS('Kế hoạch chèn link (mới)'!$D$3:$D$2213,$B649,'Kế hoạch chèn link (mới)'!$I$3:$I$2213,"Đã chèn")&gt;0,"Đang làm","Chưa hoàn thành"))</f>
        <v>Chưa hoàn thành</v>
      </c>
      <c r="E649" s="8" t="b">
        <f t="shared" si="2"/>
        <v>0</v>
      </c>
      <c r="F649" s="25"/>
      <c r="G649" s="25" t="str">
        <f>IFERROR(__xludf.DUMMYFUNCTION("IFERROR(INDEX(FILTER('Kế hoạch chèn link (mới)'!$C$3:$C$2213,'Kế hoạch chèn link (mới)'!$D$3:$D$2213=$B649),1),"""")"),"rút tiền thẻ tín dụng")</f>
        <v>rút tiền thẻ tín dụng</v>
      </c>
      <c r="H649" s="25" t="str">
        <f>IFERROR(__xludf.DUMMYFUNCTION("IFERROR(INDEX(FILTER('Kế hoạch chèn link (mới)'!$B$3:$B$2213,'Kế hoạch chèn link (mới)'!$D$3:$D$2213=$B649),1),"""")"),"https://techcombank.com/thong-tin/blog/rut-tien-mat-tu-the-tin-dung")</f>
        <v>https://techcombank.com/thong-tin/blog/rut-tien-mat-tu-the-tin-dung</v>
      </c>
      <c r="I649" s="25" t="str">
        <f>IFERROR(__xludf.DUMMYFUNCTION("IFERROR(INDEX(FILTER('Kế hoạch chèn link (mới)'!$C$3:$C$2213,'Kế hoạch chèn link (mới)'!$D$3:$D$2213=$B649),2),"""")"),"cách tính lãi suất vay ngân hàng")</f>
        <v>cách tính lãi suất vay ngân hàng</v>
      </c>
      <c r="J649" s="25" t="str">
        <f>IFERROR(__xludf.DUMMYFUNCTION("IFERROR(INDEX(FILTER('Kế hoạch chèn link (mới)'!$B$3:$B$2213,'Kế hoạch chèn link (mới)'!$D$3:$D$2213=$B649),2),"""")"),"https://techcombank.com/thong-tin/blog/cach-tinh-lai-vay-ngan-hang")</f>
        <v>https://techcombank.com/thong-tin/blog/cach-tinh-lai-vay-ngan-hang</v>
      </c>
      <c r="K649" s="25" t="str">
        <f>IFERROR(__xludf.DUMMYFUNCTION("IFERROR(INDEX(FILTER('Kế hoạch chèn link (mới)'!$C$3:$C$2213,'Kế hoạch chèn link (mới)'!$D$3:$D$2213=$B649),3),"""")"),"tính lãi suất vay ngân hàng")</f>
        <v>tính lãi suất vay ngân hàng</v>
      </c>
      <c r="L649" s="25" t="str">
        <f>IFERROR(__xludf.DUMMYFUNCTION("IFERROR(INDEX(FILTER('Kế hoạch chèn link (mới)'!$B$3:$B$2213,'Kế hoạch chèn link (mới)'!$D$3:$D$2213=$B649),3),"""")"),"https://techcombank.com/cong-cu-tien-ich/cong-cu-tinh-toan/bang-tinh-lai-suat-vay")</f>
        <v>https://techcombank.com/cong-cu-tien-ich/cong-cu-tinh-toan/bang-tinh-lai-suat-vay</v>
      </c>
      <c r="M649" s="25" t="str">
        <f>IFERROR(__xludf.DUMMYFUNCTION("IFERROR(INDEX(FILTER('Kế hoạch chèn link (mới)'!$C$3:$C$2213,'Kế hoạch chèn link (mới)'!$D$3:$D$2213=$B649),4),"""")"),"vay")</f>
        <v>vay</v>
      </c>
      <c r="N649" s="25" t="str">
        <f>IFERROR(__xludf.DUMMYFUNCTION("IFERROR(INDEX(FILTER('Kế hoạch chèn link (mới)'!$B$3:$B$2213,'Kế hoạch chèn link (mới)'!$D$3:$D$2213=$B649),4),"""")"),"https://techcombank.com/thong-tin/blog/app-vay-tien-nhanh")</f>
        <v>https://techcombank.com/thong-tin/blog/app-vay-tien-nhanh</v>
      </c>
      <c r="O649" s="25" t="str">
        <f>IFERROR(__xludf.DUMMYFUNCTION("IFERROR(INDEX(FILTER('Kế hoạch chèn link (mới)'!$C$3:$C$2213,'Kế hoạch chèn link (mới)'!$D$3:$D$2213=$B649),5),"""")"),"")</f>
        <v/>
      </c>
      <c r="P649" s="25" t="str">
        <f>IFERROR(__xludf.DUMMYFUNCTION("IFERROR(INDEX(FILTER('Kế hoạch chèn link (mới)'!$B$3:$B$2213,'Kế hoạch chèn link (mới)'!$D$3:$D$2213=$B649),5),"""")"),"")</f>
        <v/>
      </c>
    </row>
    <row r="650">
      <c r="A650" s="6">
        <f t="shared" si="1"/>
        <v>649</v>
      </c>
      <c r="B650" s="8" t="s">
        <v>3265</v>
      </c>
      <c r="C650" s="6">
        <f>COUNTIF('Kế hoạch chèn link (mới)'!$D$3:$D$2213,$B650)</f>
        <v>1</v>
      </c>
      <c r="D650" s="8" t="str">
        <f>IF(COUNTIFS('Kế hoạch chèn link (mới)'!$D$3:$D$2213,$B650,'Kế hoạch chèn link (mới)'!$I$3:$I$2213,"Đã chèn")&gt;=$C650,"Đã hoàn thành",IF(COUNTIFS('Kế hoạch chèn link (mới)'!$D$3:$D$2213,$B650,'Kế hoạch chèn link (mới)'!$I$3:$I$2213,"Đã chèn")&gt;0,"Đang làm","Chưa hoàn thành"))</f>
        <v>Chưa hoàn thành</v>
      </c>
      <c r="E650" s="8" t="b">
        <f t="shared" si="2"/>
        <v>0</v>
      </c>
      <c r="F650" s="25"/>
      <c r="G650" s="25" t="str">
        <f>IFERROR(__xludf.DUMMYFUNCTION("IFERROR(INDEX(FILTER('Kế hoạch chèn link (mới)'!$C$3:$C$2213,'Kế hoạch chèn link (mới)'!$D$3:$D$2213=$B650),1),"""")"),"rút tiền thẻ tín dụng")</f>
        <v>rút tiền thẻ tín dụng</v>
      </c>
      <c r="H650" s="25" t="str">
        <f>IFERROR(__xludf.DUMMYFUNCTION("IFERROR(INDEX(FILTER('Kế hoạch chèn link (mới)'!$B$3:$B$2213,'Kế hoạch chèn link (mới)'!$D$3:$D$2213=$B650),1),"""")"),"https://techcombank.com/thong-tin/blog/rut-tien-mat-tu-the-tin-dung")</f>
        <v>https://techcombank.com/thong-tin/blog/rut-tien-mat-tu-the-tin-dung</v>
      </c>
      <c r="I650" s="25" t="str">
        <f>IFERROR(__xludf.DUMMYFUNCTION("IFERROR(INDEX(FILTER('Kế hoạch chèn link (mới)'!$C$3:$C$2213,'Kế hoạch chèn link (mới)'!$D$3:$D$2213=$B650),2),"""")"),"")</f>
        <v/>
      </c>
      <c r="J650" s="25" t="str">
        <f>IFERROR(__xludf.DUMMYFUNCTION("IFERROR(INDEX(FILTER('Kế hoạch chèn link (mới)'!$B$3:$B$2213,'Kế hoạch chèn link (mới)'!$D$3:$D$2213=$B650),2),"""")"),"")</f>
        <v/>
      </c>
      <c r="K650" s="25" t="str">
        <f>IFERROR(__xludf.DUMMYFUNCTION("IFERROR(INDEX(FILTER('Kế hoạch chèn link (mới)'!$C$3:$C$2213,'Kế hoạch chèn link (mới)'!$D$3:$D$2213=$B650),3),"""")"),"")</f>
        <v/>
      </c>
      <c r="L650" s="25" t="str">
        <f>IFERROR(__xludf.DUMMYFUNCTION("IFERROR(INDEX(FILTER('Kế hoạch chèn link (mới)'!$B$3:$B$2213,'Kế hoạch chèn link (mới)'!$D$3:$D$2213=$B650),3),"""")"),"")</f>
        <v/>
      </c>
      <c r="M650" s="25" t="str">
        <f>IFERROR(__xludf.DUMMYFUNCTION("IFERROR(INDEX(FILTER('Kế hoạch chèn link (mới)'!$C$3:$C$2213,'Kế hoạch chèn link (mới)'!$D$3:$D$2213=$B650),4),"""")"),"")</f>
        <v/>
      </c>
      <c r="N650" s="25" t="str">
        <f>IFERROR(__xludf.DUMMYFUNCTION("IFERROR(INDEX(FILTER('Kế hoạch chèn link (mới)'!$B$3:$B$2213,'Kế hoạch chèn link (mới)'!$D$3:$D$2213=$B650),4),"""")"),"")</f>
        <v/>
      </c>
      <c r="O650" s="25" t="str">
        <f>IFERROR(__xludf.DUMMYFUNCTION("IFERROR(INDEX(FILTER('Kế hoạch chèn link (mới)'!$C$3:$C$2213,'Kế hoạch chèn link (mới)'!$D$3:$D$2213=$B650),5),"""")"),"")</f>
        <v/>
      </c>
      <c r="P650" s="25" t="str">
        <f>IFERROR(__xludf.DUMMYFUNCTION("IFERROR(INDEX(FILTER('Kế hoạch chèn link (mới)'!$B$3:$B$2213,'Kế hoạch chèn link (mới)'!$D$3:$D$2213=$B650),5),"""")"),"")</f>
        <v/>
      </c>
    </row>
    <row r="651">
      <c r="A651" s="6">
        <f t="shared" si="1"/>
        <v>650</v>
      </c>
      <c r="B651" s="8" t="s">
        <v>805</v>
      </c>
      <c r="C651" s="6">
        <f>COUNTIF('Kế hoạch chèn link (mới)'!$D$3:$D$2213,$B651)</f>
        <v>4</v>
      </c>
      <c r="D651" s="8" t="str">
        <f>IF(COUNTIFS('Kế hoạch chèn link (mới)'!$D$3:$D$2213,$B651,'Kế hoạch chèn link (mới)'!$I$3:$I$2213,"Đã chèn")&gt;=$C651,"Đã hoàn thành",IF(COUNTIFS('Kế hoạch chèn link (mới)'!$D$3:$D$2213,$B651,'Kế hoạch chèn link (mới)'!$I$3:$I$2213,"Đã chèn")&gt;0,"Đang làm","Chưa hoàn thành"))</f>
        <v>Chưa hoàn thành</v>
      </c>
      <c r="E651" s="8" t="b">
        <f t="shared" si="2"/>
        <v>0</v>
      </c>
      <c r="F651" s="25"/>
      <c r="G651" s="25" t="str">
        <f>IFERROR(__xludf.DUMMYFUNCTION("IFERROR(INDEX(FILTER('Kế hoạch chèn link (mới)'!$C$3:$C$2213,'Kế hoạch chèn link (mới)'!$D$3:$D$2213=$B651),1),"""")"),"thuế thu nhập doanh nghiệp")</f>
        <v>thuế thu nhập doanh nghiệp</v>
      </c>
      <c r="H651" s="25" t="str">
        <f>IFERROR(__xludf.DUMMYFUNCTION("IFERROR(INDEX(FILTER('Kế hoạch chèn link (mới)'!$B$3:$B$2213,'Kế hoạch chèn link (mới)'!$D$3:$D$2213=$B651),1),"""")"),"https://techcombank.com/thong-tin/blog/thue-thu-nhap-doanh-nghiep")</f>
        <v>https://techcombank.com/thong-tin/blog/thue-thu-nhap-doanh-nghiep</v>
      </c>
      <c r="I651" s="25" t="str">
        <f>IFERROR(__xludf.DUMMYFUNCTION("IFERROR(INDEX(FILTER('Kế hoạch chèn link (mới)'!$C$3:$C$2213,'Kế hoạch chèn link (mới)'!$D$3:$D$2213=$B651),2),"""")"),"kiểm tra nợ thuế doanh nghiệp")</f>
        <v>kiểm tra nợ thuế doanh nghiệp</v>
      </c>
      <c r="J651" s="25" t="str">
        <f>IFERROR(__xludf.DUMMYFUNCTION("IFERROR(INDEX(FILTER('Kế hoạch chèn link (mới)'!$B$3:$B$2213,'Kế hoạch chèn link (mới)'!$D$3:$D$2213=$B651),2),"""")"),"https://techcombank.com/thong-tin/blog/tra-cuu-no-thue-doanh-nghiep")</f>
        <v>https://techcombank.com/thong-tin/blog/tra-cuu-no-thue-doanh-nghiep</v>
      </c>
      <c r="K651" s="25" t="str">
        <f>IFERROR(__xludf.DUMMYFUNCTION("IFERROR(INDEX(FILTER('Kế hoạch chèn link (mới)'!$C$3:$C$2213,'Kế hoạch chèn link (mới)'!$D$3:$D$2213=$B651),3),"""")"),"cách tính thuế thu nhập doanh nghiệp")</f>
        <v>cách tính thuế thu nhập doanh nghiệp</v>
      </c>
      <c r="L651" s="25" t="str">
        <f>IFERROR(__xludf.DUMMYFUNCTION("IFERROR(INDEX(FILTER('Kế hoạch chèn link (mới)'!$B$3:$B$2213,'Kế hoạch chèn link (mới)'!$D$3:$D$2213=$B651),3),"""")"),"https://techcombank.com/thong-tin/blog/cach-tinh-thue-thu-nhap-doanh-nghiep")</f>
        <v>https://techcombank.com/thong-tin/blog/cach-tinh-thue-thu-nhap-doanh-nghiep</v>
      </c>
      <c r="M651" s="25" t="str">
        <f>IFERROR(__xludf.DUMMYFUNCTION("IFERROR(INDEX(FILTER('Kế hoạch chèn link (mới)'!$C$3:$C$2213,'Kế hoạch chèn link (mới)'!$D$3:$D$2213=$B651),4),"""")"),"kiểm tra thuế thu nhập cá nhân")</f>
        <v>kiểm tra thuế thu nhập cá nhân</v>
      </c>
      <c r="N651" s="25" t="str">
        <f>IFERROR(__xludf.DUMMYFUNCTION("IFERROR(INDEX(FILTER('Kế hoạch chèn link (mới)'!$B$3:$B$2213,'Kế hoạch chèn link (mới)'!$D$3:$D$2213=$B651),4),"""")"),"https://techcombank.com/thong-tin/blog/kiem-tra-thue-thu-nhap-ca-nhan")</f>
        <v>https://techcombank.com/thong-tin/blog/kiem-tra-thue-thu-nhap-ca-nhan</v>
      </c>
      <c r="O651" s="25" t="str">
        <f>IFERROR(__xludf.DUMMYFUNCTION("IFERROR(INDEX(FILTER('Kế hoạch chèn link (mới)'!$C$3:$C$2213,'Kế hoạch chèn link (mới)'!$D$3:$D$2213=$B651),5),"""")"),"")</f>
        <v/>
      </c>
      <c r="P651" s="25" t="str">
        <f>IFERROR(__xludf.DUMMYFUNCTION("IFERROR(INDEX(FILTER('Kế hoạch chèn link (mới)'!$B$3:$B$2213,'Kế hoạch chèn link (mới)'!$D$3:$D$2213=$B651),5),"""")"),"")</f>
        <v/>
      </c>
    </row>
    <row r="652">
      <c r="A652" s="6">
        <f t="shared" si="1"/>
        <v>651</v>
      </c>
      <c r="B652" s="8" t="s">
        <v>3267</v>
      </c>
      <c r="C652" s="6">
        <f>COUNTIF('Kế hoạch chèn link (mới)'!$D$3:$D$2213,$B652)</f>
        <v>5</v>
      </c>
      <c r="D652" s="8" t="str">
        <f>IF(COUNTIFS('Kế hoạch chèn link (mới)'!$D$3:$D$2213,$B652,'Kế hoạch chèn link (mới)'!$I$3:$I$2213,"Đã chèn")&gt;=$C652,"Đã hoàn thành",IF(COUNTIFS('Kế hoạch chèn link (mới)'!$D$3:$D$2213,$B652,'Kế hoạch chèn link (mới)'!$I$3:$I$2213,"Đã chèn")&gt;0,"Đang làm","Chưa hoàn thành"))</f>
        <v>Chưa hoàn thành</v>
      </c>
      <c r="E652" s="8" t="b">
        <f t="shared" si="2"/>
        <v>0</v>
      </c>
      <c r="F652" s="25"/>
      <c r="G652" s="25" t="str">
        <f>IFERROR(__xludf.DUMMYFUNCTION("IFERROR(INDEX(FILTER('Kế hoạch chèn link (mới)'!$C$3:$C$2213,'Kế hoạch chèn link (mới)'!$D$3:$D$2213=$B652),1),"""")"),"tính lãi vay ngân hàng")</f>
        <v>tính lãi vay ngân hàng</v>
      </c>
      <c r="H652" s="25" t="str">
        <f>IFERROR(__xludf.DUMMYFUNCTION("IFERROR(INDEX(FILTER('Kế hoạch chèn link (mới)'!$B$3:$B$2213,'Kế hoạch chèn link (mới)'!$D$3:$D$2213=$B652),1),"""")"),"https://techcombank.com/cong-cu-tien-ich/cong-cu-tinh-toan/bang-tinh-lai-suat-vay")</f>
        <v>https://techcombank.com/cong-cu-tien-ich/cong-cu-tinh-toan/bang-tinh-lai-suat-vay</v>
      </c>
      <c r="I652" s="25" t="str">
        <f>IFERROR(__xludf.DUMMYFUNCTION("IFERROR(INDEX(FILTER('Kế hoạch chèn link (mới)'!$C$3:$C$2213,'Kế hoạch chèn link (mới)'!$D$3:$D$2213=$B652),2),"""")"),"vay")</f>
        <v>vay</v>
      </c>
      <c r="J652" s="25" t="str">
        <f>IFERROR(__xludf.DUMMYFUNCTION("IFERROR(INDEX(FILTER('Kế hoạch chèn link (mới)'!$B$3:$B$2213,'Kế hoạch chèn link (mới)'!$D$3:$D$2213=$B652),2),"""")"),"https://techcombank.com/thong-tin/blog/app-vay-tien-nhanh")</f>
        <v>https://techcombank.com/thong-tin/blog/app-vay-tien-nhanh</v>
      </c>
      <c r="K652" s="25" t="str">
        <f>IFERROR(__xludf.DUMMYFUNCTION("IFERROR(INDEX(FILTER('Kế hoạch chèn link (mới)'!$C$3:$C$2213,'Kế hoạch chèn link (mới)'!$D$3:$D$2213=$B652),3),"""")"),"lãi suất cho vay ngân hàng")</f>
        <v>lãi suất cho vay ngân hàng</v>
      </c>
      <c r="L652" s="25" t="str">
        <f>IFERROR(__xludf.DUMMYFUNCTION("IFERROR(INDEX(FILTER('Kế hoạch chèn link (mới)'!$B$3:$B$2213,'Kế hoạch chèn link (mới)'!$D$3:$D$2213=$B652),3),"""")"),"https://techcombank.com/thong-tin/blog/lai-suat-vay-ngan-hang")</f>
        <v>https://techcombank.com/thong-tin/blog/lai-suat-vay-ngan-hang</v>
      </c>
      <c r="M652" s="25" t="str">
        <f>IFERROR(__xludf.DUMMYFUNCTION("IFERROR(INDEX(FILTER('Kế hoạch chèn link (mới)'!$C$3:$C$2213,'Kế hoạch chèn link (mới)'!$D$3:$D$2213=$B652),4),"""")"),"vay thấu chi")</f>
        <v>vay thấu chi</v>
      </c>
      <c r="N652" s="25" t="str">
        <f>IFERROR(__xludf.DUMMYFUNCTION("IFERROR(INDEX(FILTER('Kế hoạch chèn link (mới)'!$B$3:$B$2213,'Kế hoạch chèn link (mới)'!$D$3:$D$2213=$B652),4),"""")"),"https://techcombank.com/thong-tin/blog/vay-thau-chi-la-gi")</f>
        <v>https://techcombank.com/thong-tin/blog/vay-thau-chi-la-gi</v>
      </c>
      <c r="O652" s="25" t="str">
        <f>IFERROR(__xludf.DUMMYFUNCTION("IFERROR(INDEX(FILTER('Kế hoạch chèn link (mới)'!$C$3:$C$2213,'Kế hoạch chèn link (mới)'!$D$3:$D$2213=$B652),5),"""")"),"nên vay tín chấp ở đâu")</f>
        <v>nên vay tín chấp ở đâu</v>
      </c>
      <c r="P652" s="25" t="str">
        <f>IFERROR(__xludf.DUMMYFUNCTION("IFERROR(INDEX(FILTER('Kế hoạch chèn link (mới)'!$B$3:$B$2213,'Kế hoạch chèn link (mới)'!$D$3:$D$2213=$B652),5),"""")"),"https://techcombank.com/thong-tin/blog/nen-vay-tin-chap-o-dau")</f>
        <v>https://techcombank.com/thong-tin/blog/nen-vay-tin-chap-o-dau</v>
      </c>
    </row>
    <row r="653">
      <c r="A653" s="6">
        <f t="shared" si="1"/>
        <v>652</v>
      </c>
      <c r="B653" s="8" t="s">
        <v>642</v>
      </c>
      <c r="C653" s="6">
        <f>COUNTIF('Kế hoạch chèn link (mới)'!$D$3:$D$2213,$B653)</f>
        <v>4</v>
      </c>
      <c r="D653" s="8" t="str">
        <f>IF(COUNTIFS('Kế hoạch chèn link (mới)'!$D$3:$D$2213,$B653,'Kế hoạch chèn link (mới)'!$I$3:$I$2213,"Đã chèn")&gt;=$C653,"Đã hoàn thành",IF(COUNTIFS('Kế hoạch chèn link (mới)'!$D$3:$D$2213,$B653,'Kế hoạch chèn link (mới)'!$I$3:$I$2213,"Đã chèn")&gt;0,"Đang làm","Chưa hoàn thành"))</f>
        <v>Chưa hoàn thành</v>
      </c>
      <c r="E653" s="8" t="b">
        <f t="shared" si="2"/>
        <v>0</v>
      </c>
      <c r="F653" s="25"/>
      <c r="G653" s="25" t="str">
        <f>IFERROR(__xludf.DUMMYFUNCTION("IFERROR(INDEX(FILTER('Kế hoạch chèn link (mới)'!$C$3:$C$2213,'Kế hoạch chèn link (mới)'!$D$3:$D$2213=$B653),1),"""")"),"nộp thuế online")</f>
        <v>nộp thuế online</v>
      </c>
      <c r="H653" s="25" t="str">
        <f>IFERROR(__xludf.DUMMYFUNCTION("IFERROR(INDEX(FILTER('Kế hoạch chèn link (mới)'!$B$3:$B$2213,'Kế hoạch chèn link (mới)'!$D$3:$D$2213=$B653),1),"""")"),"https://techcombank.com/thong-tin/blog/cach-nop-thue-dien-tu")</f>
        <v>https://techcombank.com/thong-tin/blog/cach-nop-thue-dien-tu</v>
      </c>
      <c r="I653" s="25" t="str">
        <f>IFERROR(__xludf.DUMMYFUNCTION("IFERROR(INDEX(FILTER('Kế hoạch chèn link (mới)'!$C$3:$C$2213,'Kế hoạch chèn link (mới)'!$D$3:$D$2213=$B653),2),"""")"),"thuế hộ kinh doanh")</f>
        <v>thuế hộ kinh doanh</v>
      </c>
      <c r="J653" s="25" t="str">
        <f>IFERROR(__xludf.DUMMYFUNCTION("IFERROR(INDEX(FILTER('Kế hoạch chèn link (mới)'!$B$3:$B$2213,'Kế hoạch chèn link (mới)'!$D$3:$D$2213=$B653),2),"""")"),"https://techcombank.com/thong-tin/blog/ho-kinh-doanh-dong-thue-nhu-nao")</f>
        <v>https://techcombank.com/thong-tin/blog/ho-kinh-doanh-dong-thue-nhu-nao</v>
      </c>
      <c r="K653" s="25" t="str">
        <f>IFERROR(__xludf.DUMMYFUNCTION("IFERROR(INDEX(FILTER('Kế hoạch chèn link (mới)'!$C$3:$C$2213,'Kế hoạch chèn link (mới)'!$D$3:$D$2213=$B653),3),"""")"),"tài khoản hộ kinh doanh")</f>
        <v>tài khoản hộ kinh doanh</v>
      </c>
      <c r="L653" s="25" t="str">
        <f>IFERROR(__xludf.DUMMYFUNCTION("IFERROR(INDEX(FILTER('Kế hoạch chèn link (mới)'!$B$3:$B$2213,'Kế hoạch chèn link (mới)'!$D$3:$D$2213=$B653),3),"""")"),"https://techcombank.com/thong-tin/blog/mo-tai-khoan-ho-kinh-doanh")</f>
        <v>https://techcombank.com/thong-tin/blog/mo-tai-khoan-ho-kinh-doanh</v>
      </c>
      <c r="M653" s="25" t="str">
        <f>IFERROR(__xludf.DUMMYFUNCTION("IFERROR(INDEX(FILTER('Kế hoạch chèn link (mới)'!$C$3:$C$2213,'Kế hoạch chèn link (mới)'!$D$3:$D$2213=$B653),4),"""")"),"cách tính thuế hộ kinh doanh")</f>
        <v>cách tính thuế hộ kinh doanh</v>
      </c>
      <c r="N653" s="25" t="str">
        <f>IFERROR(__xludf.DUMMYFUNCTION("IFERROR(INDEX(FILTER('Kế hoạch chèn link (mới)'!$B$3:$B$2213,'Kế hoạch chèn link (mới)'!$D$3:$D$2213=$B653),4),"""")"),"https://techcombank.com/thong-tin/blog/cach-tinh-thue-ho-kinh-doanh-nho-le")</f>
        <v>https://techcombank.com/thong-tin/blog/cach-tinh-thue-ho-kinh-doanh-nho-le</v>
      </c>
      <c r="O653" s="25" t="str">
        <f>IFERROR(__xludf.DUMMYFUNCTION("IFERROR(INDEX(FILTER('Kế hoạch chèn link (mới)'!$C$3:$C$2213,'Kế hoạch chèn link (mới)'!$D$3:$D$2213=$B653),5),"""")"),"")</f>
        <v/>
      </c>
      <c r="P653" s="25" t="str">
        <f>IFERROR(__xludf.DUMMYFUNCTION("IFERROR(INDEX(FILTER('Kế hoạch chèn link (mới)'!$B$3:$B$2213,'Kế hoạch chèn link (mới)'!$D$3:$D$2213=$B653),5),"""")"),"")</f>
        <v/>
      </c>
    </row>
    <row r="654">
      <c r="A654" s="6">
        <f t="shared" si="1"/>
        <v>653</v>
      </c>
      <c r="B654" s="8" t="s">
        <v>1917</v>
      </c>
      <c r="C654" s="6">
        <f>COUNTIF('Kế hoạch chèn link (mới)'!$D$3:$D$2213,$B654)</f>
        <v>4</v>
      </c>
      <c r="D654" s="8" t="str">
        <f>IF(COUNTIFS('Kế hoạch chèn link (mới)'!$D$3:$D$2213,$B654,'Kế hoạch chèn link (mới)'!$I$3:$I$2213,"Đã chèn")&gt;=$C654,"Đã hoàn thành",IF(COUNTIFS('Kế hoạch chèn link (mới)'!$D$3:$D$2213,$B654,'Kế hoạch chèn link (mới)'!$I$3:$I$2213,"Đã chèn")&gt;0,"Đang làm","Chưa hoàn thành"))</f>
        <v>Chưa hoàn thành</v>
      </c>
      <c r="E654" s="8" t="b">
        <f t="shared" si="2"/>
        <v>0</v>
      </c>
      <c r="F654" s="25"/>
      <c r="G654" s="25" t="str">
        <f>IFERROR(__xludf.DUMMYFUNCTION("IFERROR(INDEX(FILTER('Kế hoạch chèn link (mới)'!$C$3:$C$2213,'Kế hoạch chèn link (mới)'!$D$3:$D$2213=$B654),1),"""")"),"ngân hàng uy tín")</f>
        <v>ngân hàng uy tín</v>
      </c>
      <c r="H654" s="25" t="str">
        <f>IFERROR(__xludf.DUMMYFUNCTION("IFERROR(INDEX(FILTER('Kế hoạch chèn link (mới)'!$B$3:$B$2213,'Kế hoạch chèn link (mới)'!$D$3:$D$2213=$B654),1),"""")"),"https://techcombank.com/thong-tin/blog/ngan-hang-uy-tin")</f>
        <v>https://techcombank.com/thong-tin/blog/ngan-hang-uy-tin</v>
      </c>
      <c r="I654" s="25" t="str">
        <f>IFERROR(__xludf.DUMMYFUNCTION("IFERROR(INDEX(FILTER('Kế hoạch chèn link (mới)'!$C$3:$C$2213,'Kế hoạch chèn link (mới)'!$D$3:$D$2213=$B654),2),"""")"),"tỷ giá Nhân dân tệ")</f>
        <v>tỷ giá Nhân dân tệ</v>
      </c>
      <c r="J654" s="25" t="str">
        <f>IFERROR(__xludf.DUMMYFUNCTION("IFERROR(INDEX(FILTER('Kế hoạch chèn link (mới)'!$B$3:$B$2213,'Kế hoạch chèn link (mới)'!$D$3:$D$2213=$B654),2),"""")"),"https://techcombank.com/thong-tin/blog/1-te-bang-bao-nhieu-tien-viet-nam")</f>
        <v>https://techcombank.com/thong-tin/blog/1-te-bang-bao-nhieu-tien-viet-nam</v>
      </c>
      <c r="K654" s="25" t="str">
        <f>IFERROR(__xludf.DUMMYFUNCTION("IFERROR(INDEX(FILTER('Kế hoạch chèn link (mới)'!$C$3:$C$2213,'Kế hoạch chèn link (mới)'!$D$3:$D$2213=$B654),3),"""")"),"tỷ giá Won")</f>
        <v>tỷ giá Won</v>
      </c>
      <c r="L654" s="25" t="str">
        <f>IFERROR(__xludf.DUMMYFUNCTION("IFERROR(INDEX(FILTER('Kế hoạch chèn link (mới)'!$B$3:$B$2213,'Kế hoạch chèn link (mới)'!$D$3:$D$2213=$B654),3),"""")"),"https://techcombank.com/thong-tin/blog/1-won-bang-bao-nhieu-tien-viet")</f>
        <v>https://techcombank.com/thong-tin/blog/1-won-bang-bao-nhieu-tien-viet</v>
      </c>
      <c r="M654" s="25" t="str">
        <f>IFERROR(__xludf.DUMMYFUNCTION("IFERROR(INDEX(FILTER('Kế hoạch chèn link (mới)'!$C$3:$C$2213,'Kế hoạch chèn link (mới)'!$D$3:$D$2213=$B654),4),"""")"),"tỷ giá Đài tệ")</f>
        <v>tỷ giá Đài tệ</v>
      </c>
      <c r="N654" s="25" t="str">
        <f>IFERROR(__xludf.DUMMYFUNCTION("IFERROR(INDEX(FILTER('Kế hoạch chèn link (mới)'!$B$3:$B$2213,'Kế hoạch chèn link (mới)'!$D$3:$D$2213=$B654),4),"""")"),"https://techcombank.com/thong-tin/blog/tien-dai-loan")</f>
        <v>https://techcombank.com/thong-tin/blog/tien-dai-loan</v>
      </c>
      <c r="O654" s="25" t="str">
        <f>IFERROR(__xludf.DUMMYFUNCTION("IFERROR(INDEX(FILTER('Kế hoạch chèn link (mới)'!$C$3:$C$2213,'Kế hoạch chèn link (mới)'!$D$3:$D$2213=$B654),5),"""")"),"")</f>
        <v/>
      </c>
      <c r="P654" s="25" t="str">
        <f>IFERROR(__xludf.DUMMYFUNCTION("IFERROR(INDEX(FILTER('Kế hoạch chèn link (mới)'!$B$3:$B$2213,'Kế hoạch chèn link (mới)'!$D$3:$D$2213=$B654),5),"""")"),"")</f>
        <v/>
      </c>
    </row>
    <row r="655">
      <c r="A655" s="6">
        <f t="shared" si="1"/>
        <v>654</v>
      </c>
      <c r="B655" s="8" t="s">
        <v>3268</v>
      </c>
      <c r="C655" s="6">
        <f>COUNTIF('Kế hoạch chèn link (mới)'!$D$3:$D$2213,$B655)</f>
        <v>3</v>
      </c>
      <c r="D655" s="8" t="str">
        <f>IF(COUNTIFS('Kế hoạch chèn link (mới)'!$D$3:$D$2213,$B655,'Kế hoạch chèn link (mới)'!$I$3:$I$2213,"Đã chèn")&gt;=$C655,"Đã hoàn thành",IF(COUNTIFS('Kế hoạch chèn link (mới)'!$D$3:$D$2213,$B655,'Kế hoạch chèn link (mới)'!$I$3:$I$2213,"Đã chèn")&gt;0,"Đang làm","Chưa hoàn thành"))</f>
        <v>Chưa hoàn thành</v>
      </c>
      <c r="E655" s="8" t="b">
        <f t="shared" si="2"/>
        <v>0</v>
      </c>
      <c r="F655" s="25"/>
      <c r="G655" s="25" t="str">
        <f>IFERROR(__xludf.DUMMYFUNCTION("IFERROR(INDEX(FILTER('Kế hoạch chèn link (mới)'!$C$3:$C$2213,'Kế hoạch chèn link (mới)'!$D$3:$D$2213=$B655),1),"""")"),"tỷ giá USD/VND")</f>
        <v>tỷ giá USD/VND</v>
      </c>
      <c r="H655" s="25" t="str">
        <f>IFERROR(__xludf.DUMMYFUNCTION("IFERROR(INDEX(FILTER('Kế hoạch chèn link (mới)'!$B$3:$B$2213,'Kế hoạch chèn link (mới)'!$D$3:$D$2213=$B655),1),"""")"),"https://techcombank.com/thong-tin/blog/1-dong-do-la-my-bang-bao-nhieu-tien-viet-nam")</f>
        <v>https://techcombank.com/thong-tin/blog/1-dong-do-la-my-bang-bao-nhieu-tien-viet-nam</v>
      </c>
      <c r="I655" s="25" t="str">
        <f>IFERROR(__xludf.DUMMYFUNCTION("IFERROR(INDEX(FILTER('Kế hoạch chèn link (mới)'!$C$3:$C$2213,'Kế hoạch chèn link (mới)'!$D$3:$D$2213=$B655),2),"""")"),"1 triệu đô bằng bao nhiêu tiền Việt")</f>
        <v>1 triệu đô bằng bao nhiêu tiền Việt</v>
      </c>
      <c r="J655" s="25" t="str">
        <f>IFERROR(__xludf.DUMMYFUNCTION("IFERROR(INDEX(FILTER('Kế hoạch chèn link (mới)'!$B$3:$B$2213,'Kế hoạch chèn link (mới)'!$D$3:$D$2213=$B655),2),"""")"),"https://techcombank.com/thong-tin/blog/1-trieu-do-bang-bao-nhieu-tien-viet")</f>
        <v>https://techcombank.com/thong-tin/blog/1-trieu-do-bang-bao-nhieu-tien-viet</v>
      </c>
      <c r="K655" s="25" t="str">
        <f>IFERROR(__xludf.DUMMYFUNCTION("IFERROR(INDEX(FILTER('Kế hoạch chèn link (mới)'!$C$3:$C$2213,'Kế hoạch chèn link (mới)'!$D$3:$D$2213=$B655),3),"""")"),"nhận kiều hối")</f>
        <v>nhận kiều hối</v>
      </c>
      <c r="L655" s="25" t="str">
        <f>IFERROR(__xludf.DUMMYFUNCTION("IFERROR(INDEX(FILTER('Kế hoạch chèn link (mới)'!$B$3:$B$2213,'Kế hoạch chèn link (mới)'!$D$3:$D$2213=$B655),3),"""")"),"https://techcombank.com/thong-tin/blog/cach-nhan-tien-tu-nuoc-ngoai-ve-viet-nam")</f>
        <v>https://techcombank.com/thong-tin/blog/cach-nhan-tien-tu-nuoc-ngoai-ve-viet-nam</v>
      </c>
      <c r="M655" s="25" t="str">
        <f>IFERROR(__xludf.DUMMYFUNCTION("IFERROR(INDEX(FILTER('Kế hoạch chèn link (mới)'!$C$3:$C$2213,'Kế hoạch chèn link (mới)'!$D$3:$D$2213=$B655),4),"""")"),"")</f>
        <v/>
      </c>
      <c r="N655" s="25" t="str">
        <f>IFERROR(__xludf.DUMMYFUNCTION("IFERROR(INDEX(FILTER('Kế hoạch chèn link (mới)'!$B$3:$B$2213,'Kế hoạch chèn link (mới)'!$D$3:$D$2213=$B655),4),"""")"),"")</f>
        <v/>
      </c>
      <c r="O655" s="25" t="str">
        <f>IFERROR(__xludf.DUMMYFUNCTION("IFERROR(INDEX(FILTER('Kế hoạch chèn link (mới)'!$C$3:$C$2213,'Kế hoạch chèn link (mới)'!$D$3:$D$2213=$B655),5),"""")"),"")</f>
        <v/>
      </c>
      <c r="P655" s="25" t="str">
        <f>IFERROR(__xludf.DUMMYFUNCTION("IFERROR(INDEX(FILTER('Kế hoạch chèn link (mới)'!$B$3:$B$2213,'Kế hoạch chèn link (mới)'!$D$3:$D$2213=$B655),5),"""")"),"")</f>
        <v/>
      </c>
    </row>
    <row r="656">
      <c r="A656" s="6">
        <f t="shared" si="1"/>
        <v>655</v>
      </c>
      <c r="B656" s="8" t="s">
        <v>1941</v>
      </c>
      <c r="C656" s="6">
        <f>COUNTIF('Kế hoạch chèn link (mới)'!$D$3:$D$2213,$B656)</f>
        <v>3</v>
      </c>
      <c r="D656" s="8" t="str">
        <f>IF(COUNTIFS('Kế hoạch chèn link (mới)'!$D$3:$D$2213,$B656,'Kế hoạch chèn link (mới)'!$I$3:$I$2213,"Đã chèn")&gt;=$C656,"Đã hoàn thành",IF(COUNTIFS('Kế hoạch chèn link (mới)'!$D$3:$D$2213,$B656,'Kế hoạch chèn link (mới)'!$I$3:$I$2213,"Đã chèn")&gt;0,"Đang làm","Chưa hoàn thành"))</f>
        <v>Chưa hoàn thành</v>
      </c>
      <c r="E656" s="8" t="b">
        <f t="shared" si="2"/>
        <v>0</v>
      </c>
      <c r="F656" s="25"/>
      <c r="G656" s="25" t="str">
        <f>IFERROR(__xludf.DUMMYFUNCTION("IFERROR(INDEX(FILTER('Kế hoạch chèn link (mới)'!$C$3:$C$2213,'Kế hoạch chèn link (mới)'!$D$3:$D$2213=$B656),1),"""")"),"chọn ngân hàng uy tín")</f>
        <v>chọn ngân hàng uy tín</v>
      </c>
      <c r="H656" s="25" t="str">
        <f>IFERROR(__xludf.DUMMYFUNCTION("IFERROR(INDEX(FILTER('Kế hoạch chèn link (mới)'!$B$3:$B$2213,'Kế hoạch chèn link (mới)'!$D$3:$D$2213=$B656),1),"""")"),"https://techcombank.com/thong-tin/blog/ngan-hang-uy-tin")</f>
        <v>https://techcombank.com/thong-tin/blog/ngan-hang-uy-tin</v>
      </c>
      <c r="I656" s="25" t="str">
        <f>IFERROR(__xludf.DUMMYFUNCTION("IFERROR(INDEX(FILTER('Kế hoạch chèn link (mới)'!$C$3:$C$2213,'Kế hoạch chèn link (mới)'!$D$3:$D$2213=$B656),2),"""")"),"tỷ giá Nhân dân tệ")</f>
        <v>tỷ giá Nhân dân tệ</v>
      </c>
      <c r="J656" s="25" t="str">
        <f>IFERROR(__xludf.DUMMYFUNCTION("IFERROR(INDEX(FILTER('Kế hoạch chèn link (mới)'!$B$3:$B$2213,'Kế hoạch chèn link (mới)'!$D$3:$D$2213=$B656),2),"""")"),"https://techcombank.com/thong-tin/blog/1-te-bang-bao-nhieu-tien-viet-nam")</f>
        <v>https://techcombank.com/thong-tin/blog/1-te-bang-bao-nhieu-tien-viet-nam</v>
      </c>
      <c r="K656" s="25" t="str">
        <f>IFERROR(__xludf.DUMMYFUNCTION("IFERROR(INDEX(FILTER('Kế hoạch chèn link (mới)'!$C$3:$C$2213,'Kế hoạch chèn link (mới)'!$D$3:$D$2213=$B656),3),"""")"),"nhận kiều hối")</f>
        <v>nhận kiều hối</v>
      </c>
      <c r="L656" s="25" t="str">
        <f>IFERROR(__xludf.DUMMYFUNCTION("IFERROR(INDEX(FILTER('Kế hoạch chèn link (mới)'!$B$3:$B$2213,'Kế hoạch chèn link (mới)'!$D$3:$D$2213=$B656),3),"""")"),"https://techcombank.com/thong-tin/blog/cach-nhan-tien-tu-nuoc-ngoai-ve-viet-nam")</f>
        <v>https://techcombank.com/thong-tin/blog/cach-nhan-tien-tu-nuoc-ngoai-ve-viet-nam</v>
      </c>
      <c r="M656" s="25" t="str">
        <f>IFERROR(__xludf.DUMMYFUNCTION("IFERROR(INDEX(FILTER('Kế hoạch chèn link (mới)'!$C$3:$C$2213,'Kế hoạch chèn link (mới)'!$D$3:$D$2213=$B656),4),"""")"),"")</f>
        <v/>
      </c>
      <c r="N656" s="25" t="str">
        <f>IFERROR(__xludf.DUMMYFUNCTION("IFERROR(INDEX(FILTER('Kế hoạch chèn link (mới)'!$B$3:$B$2213,'Kế hoạch chèn link (mới)'!$D$3:$D$2213=$B656),4),"""")"),"")</f>
        <v/>
      </c>
      <c r="O656" s="25" t="str">
        <f>IFERROR(__xludf.DUMMYFUNCTION("IFERROR(INDEX(FILTER('Kế hoạch chèn link (mới)'!$C$3:$C$2213,'Kế hoạch chèn link (mới)'!$D$3:$D$2213=$B656),5),"""")"),"")</f>
        <v/>
      </c>
      <c r="P656" s="25" t="str">
        <f>IFERROR(__xludf.DUMMYFUNCTION("IFERROR(INDEX(FILTER('Kế hoạch chèn link (mới)'!$B$3:$B$2213,'Kế hoạch chèn link (mới)'!$D$3:$D$2213=$B656),5),"""")"),"")</f>
        <v/>
      </c>
    </row>
    <row r="657">
      <c r="A657" s="6">
        <f t="shared" si="1"/>
        <v>656</v>
      </c>
      <c r="B657" s="8" t="s">
        <v>3274</v>
      </c>
      <c r="C657" s="6">
        <f>COUNTIF('Kế hoạch chèn link (mới)'!$D$3:$D$2213,$B657)</f>
        <v>1</v>
      </c>
      <c r="D657" s="8" t="str">
        <f>IF(COUNTIFS('Kế hoạch chèn link (mới)'!$D$3:$D$2213,$B657,'Kế hoạch chèn link (mới)'!$I$3:$I$2213,"Đã chèn")&gt;=$C657,"Đã hoàn thành",IF(COUNTIFS('Kế hoạch chèn link (mới)'!$D$3:$D$2213,$B657,'Kế hoạch chèn link (mới)'!$I$3:$I$2213,"Đã chèn")&gt;0,"Đang làm","Chưa hoàn thành"))</f>
        <v>Chưa hoàn thành</v>
      </c>
      <c r="E657" s="8" t="b">
        <f t="shared" si="2"/>
        <v>0</v>
      </c>
      <c r="F657" s="25"/>
      <c r="G657" s="25" t="str">
        <f>IFERROR(__xludf.DUMMYFUNCTION("IFERROR(INDEX(FILTER('Kế hoạch chèn link (mới)'!$C$3:$C$2213,'Kế hoạch chèn link (mới)'!$D$3:$D$2213=$B657),1),"""")"),"công cụ tính lãi tiết kiệm")</f>
        <v>công cụ tính lãi tiết kiệm</v>
      </c>
      <c r="H657" s="25" t="str">
        <f>IFERROR(__xludf.DUMMYFUNCTION("IFERROR(INDEX(FILTER('Kế hoạch chèn link (mới)'!$B$3:$B$2213,'Kế hoạch chèn link (mới)'!$D$3:$D$2213=$B657),1),"""")"),"https://techcombank.com/cong-cu-tien-ich/cong-cu-tinh-toan/bang-tinh-lai-suat-tiet-kiem")</f>
        <v>https://techcombank.com/cong-cu-tien-ich/cong-cu-tinh-toan/bang-tinh-lai-suat-tiet-kiem</v>
      </c>
      <c r="I657" s="25" t="str">
        <f>IFERROR(__xludf.DUMMYFUNCTION("IFERROR(INDEX(FILTER('Kế hoạch chèn link (mới)'!$C$3:$C$2213,'Kế hoạch chèn link (mới)'!$D$3:$D$2213=$B657),2),"""")"),"")</f>
        <v/>
      </c>
      <c r="J657" s="25" t="str">
        <f>IFERROR(__xludf.DUMMYFUNCTION("IFERROR(INDEX(FILTER('Kế hoạch chèn link (mới)'!$B$3:$B$2213,'Kế hoạch chèn link (mới)'!$D$3:$D$2213=$B657),2),"""")"),"")</f>
        <v/>
      </c>
      <c r="K657" s="25" t="str">
        <f>IFERROR(__xludf.DUMMYFUNCTION("IFERROR(INDEX(FILTER('Kế hoạch chèn link (mới)'!$C$3:$C$2213,'Kế hoạch chèn link (mới)'!$D$3:$D$2213=$B657),3),"""")"),"")</f>
        <v/>
      </c>
      <c r="L657" s="25" t="str">
        <f>IFERROR(__xludf.DUMMYFUNCTION("IFERROR(INDEX(FILTER('Kế hoạch chèn link (mới)'!$B$3:$B$2213,'Kế hoạch chèn link (mới)'!$D$3:$D$2213=$B657),3),"""")"),"")</f>
        <v/>
      </c>
      <c r="M657" s="25" t="str">
        <f>IFERROR(__xludf.DUMMYFUNCTION("IFERROR(INDEX(FILTER('Kế hoạch chèn link (mới)'!$C$3:$C$2213,'Kế hoạch chèn link (mới)'!$D$3:$D$2213=$B657),4),"""")"),"")</f>
        <v/>
      </c>
      <c r="N657" s="25" t="str">
        <f>IFERROR(__xludf.DUMMYFUNCTION("IFERROR(INDEX(FILTER('Kế hoạch chèn link (mới)'!$B$3:$B$2213,'Kế hoạch chèn link (mới)'!$D$3:$D$2213=$B657),4),"""")"),"")</f>
        <v/>
      </c>
      <c r="O657" s="25" t="str">
        <f>IFERROR(__xludf.DUMMYFUNCTION("IFERROR(INDEX(FILTER('Kế hoạch chèn link (mới)'!$C$3:$C$2213,'Kế hoạch chèn link (mới)'!$D$3:$D$2213=$B657),5),"""")"),"")</f>
        <v/>
      </c>
      <c r="P657" s="25" t="str">
        <f>IFERROR(__xludf.DUMMYFUNCTION("IFERROR(INDEX(FILTER('Kế hoạch chèn link (mới)'!$B$3:$B$2213,'Kế hoạch chèn link (mới)'!$D$3:$D$2213=$B657),5),"""")"),"")</f>
        <v/>
      </c>
    </row>
    <row r="658">
      <c r="A658" s="6">
        <f t="shared" si="1"/>
        <v>657</v>
      </c>
      <c r="B658" s="8" t="s">
        <v>1901</v>
      </c>
      <c r="C658" s="6">
        <f>COUNTIF('Kế hoạch chèn link (mới)'!$D$3:$D$2213,$B658)</f>
        <v>4</v>
      </c>
      <c r="D658" s="8" t="str">
        <f>IF(COUNTIFS('Kế hoạch chèn link (mới)'!$D$3:$D$2213,$B658,'Kế hoạch chèn link (mới)'!$I$3:$I$2213,"Đã chèn")&gt;=$C658,"Đã hoàn thành",IF(COUNTIFS('Kế hoạch chèn link (mới)'!$D$3:$D$2213,$B658,'Kế hoạch chèn link (mới)'!$I$3:$I$2213,"Đã chèn")&gt;0,"Đang làm","Chưa hoàn thành"))</f>
        <v>Chưa hoàn thành</v>
      </c>
      <c r="E658" s="8" t="b">
        <f t="shared" si="2"/>
        <v>0</v>
      </c>
      <c r="F658" s="25"/>
      <c r="G658" s="25" t="str">
        <f>IFERROR(__xludf.DUMMYFUNCTION("IFERROR(INDEX(FILTER('Kế hoạch chèn link (mới)'!$C$3:$C$2213,'Kế hoạch chèn link (mới)'!$D$3:$D$2213=$B658),1),"""")"),"ngân hàng uy tín")</f>
        <v>ngân hàng uy tín</v>
      </c>
      <c r="H658" s="25" t="str">
        <f>IFERROR(__xludf.DUMMYFUNCTION("IFERROR(INDEX(FILTER('Kế hoạch chèn link (mới)'!$B$3:$B$2213,'Kế hoạch chèn link (mới)'!$D$3:$D$2213=$B658),1),"""")"),"https://techcombank.com/thong-tin/blog/ngan-hang-uy-tin")</f>
        <v>https://techcombank.com/thong-tin/blog/ngan-hang-uy-tin</v>
      </c>
      <c r="I658" s="25" t="str">
        <f>IFERROR(__xludf.DUMMYFUNCTION("IFERROR(INDEX(FILTER('Kế hoạch chèn link (mới)'!$C$3:$C$2213,'Kế hoạch chèn link (mới)'!$D$3:$D$2213=$B658),2),"""")"),"mở thẻ tín dụng")</f>
        <v>mở thẻ tín dụng</v>
      </c>
      <c r="J658" s="25" t="str">
        <f>IFERROR(__xludf.DUMMYFUNCTION("IFERROR(INDEX(FILTER('Kế hoạch chèn link (mới)'!$B$3:$B$2213,'Kế hoạch chèn link (mới)'!$D$3:$D$2213=$B658),2),"""")"),"https://techcombank.com/thong-tin/blog/lam-the-tin-dung")</f>
        <v>https://techcombank.com/thong-tin/blog/lam-the-tin-dung</v>
      </c>
      <c r="K658" s="25" t="str">
        <f>IFERROR(__xludf.DUMMYFUNCTION("IFERROR(INDEX(FILTER('Kế hoạch chèn link (mới)'!$C$3:$C$2213,'Kế hoạch chèn link (mới)'!$D$3:$D$2213=$B658),3),"""")"),"thẻ tín dụng hoàn tiền")</f>
        <v>thẻ tín dụng hoàn tiền</v>
      </c>
      <c r="L658" s="25" t="str">
        <f>IFERROR(__xludf.DUMMYFUNCTION("IFERROR(INDEX(FILTER('Kế hoạch chèn link (mới)'!$B$3:$B$2213,'Kế hoạch chèn link (mới)'!$D$3:$D$2213=$B658),3),"""")"),"https://techcombank.com/thong-tin/blog/the-tin-dung-hoan-tien")</f>
        <v>https://techcombank.com/thong-tin/blog/the-tin-dung-hoan-tien</v>
      </c>
      <c r="M658" s="25" t="str">
        <f>IFERROR(__xludf.DUMMYFUNCTION("IFERROR(INDEX(FILTER('Kế hoạch chèn link (mới)'!$C$3:$C$2213,'Kế hoạch chèn link (mới)'!$D$3:$D$2213=$B658),4),"""")"),"cách hủy thẻ tín dụng")</f>
        <v>cách hủy thẻ tín dụng</v>
      </c>
      <c r="N658" s="25" t="str">
        <f>IFERROR(__xludf.DUMMYFUNCTION("IFERROR(INDEX(FILTER('Kế hoạch chèn link (mới)'!$B$3:$B$2213,'Kế hoạch chèn link (mới)'!$D$3:$D$2213=$B658),4),"""")"),"https://techcombank.com/thong-tin/blog/cach-huy-the-tin-dung")</f>
        <v>https://techcombank.com/thong-tin/blog/cach-huy-the-tin-dung</v>
      </c>
      <c r="O658" s="25" t="str">
        <f>IFERROR(__xludf.DUMMYFUNCTION("IFERROR(INDEX(FILTER('Kế hoạch chèn link (mới)'!$C$3:$C$2213,'Kế hoạch chèn link (mới)'!$D$3:$D$2213=$B658),5),"""")"),"")</f>
        <v/>
      </c>
      <c r="P658" s="25" t="str">
        <f>IFERROR(__xludf.DUMMYFUNCTION("IFERROR(INDEX(FILTER('Kế hoạch chèn link (mới)'!$B$3:$B$2213,'Kế hoạch chèn link (mới)'!$D$3:$D$2213=$B658),5),"""")"),"")</f>
        <v/>
      </c>
    </row>
    <row r="659">
      <c r="A659" s="6">
        <f t="shared" si="1"/>
        <v>658</v>
      </c>
      <c r="B659" s="8" t="s">
        <v>3275</v>
      </c>
      <c r="C659" s="6">
        <f>COUNTIF('Kế hoạch chèn link (mới)'!$D$3:$D$2213,$B659)</f>
        <v>3</v>
      </c>
      <c r="D659" s="8" t="str">
        <f>IF(COUNTIFS('Kế hoạch chèn link (mới)'!$D$3:$D$2213,$B659,'Kế hoạch chèn link (mới)'!$I$3:$I$2213,"Đã chèn")&gt;=$C659,"Đã hoàn thành",IF(COUNTIFS('Kế hoạch chèn link (mới)'!$D$3:$D$2213,$B659,'Kế hoạch chèn link (mới)'!$I$3:$I$2213,"Đã chèn")&gt;0,"Đang làm","Chưa hoàn thành"))</f>
        <v>Chưa hoàn thành</v>
      </c>
      <c r="E659" s="8" t="b">
        <f t="shared" si="2"/>
        <v>0</v>
      </c>
      <c r="F659" s="25"/>
      <c r="G659" s="25" t="str">
        <f>IFERROR(__xludf.DUMMYFUNCTION("IFERROR(INDEX(FILTER('Kế hoạch chèn link (mới)'!$C$3:$C$2213,'Kế hoạch chèn link (mới)'!$D$3:$D$2213=$B659),1),"""")"),"làm thẻ tín dụng")</f>
        <v>làm thẻ tín dụng</v>
      </c>
      <c r="H659" s="25" t="str">
        <f>IFERROR(__xludf.DUMMYFUNCTION("IFERROR(INDEX(FILTER('Kế hoạch chèn link (mới)'!$B$3:$B$2213,'Kế hoạch chèn link (mới)'!$D$3:$D$2213=$B659),1),"""")"),"https://techcombank.com/thong-tin/blog/lam-the-tin-dung")</f>
        <v>https://techcombank.com/thong-tin/blog/lam-the-tin-dung</v>
      </c>
      <c r="I659" s="25" t="str">
        <f>IFERROR(__xludf.DUMMYFUNCTION("IFERROR(INDEX(FILTER('Kế hoạch chèn link (mới)'!$C$3:$C$2213,'Kế hoạch chèn link (mới)'!$D$3:$D$2213=$B659),2),"""")"),"thẻ tín dụng Techcombank Everyday")</f>
        <v>thẻ tín dụng Techcombank Everyday</v>
      </c>
      <c r="J659" s="25" t="str">
        <f>IFERROR(__xludf.DUMMYFUNCTION("IFERROR(INDEX(FILTER('Kế hoạch chèn link (mới)'!$B$3:$B$2213,'Kế hoạch chèn link (mới)'!$D$3:$D$2213=$B659),2),"""")"),"https://techcombank.com/khach-hang-ca-nhan/chi-tieu/the/the-tin-dung/techcombank-everyday")</f>
        <v>https://techcombank.com/khach-hang-ca-nhan/chi-tieu/the/the-tin-dung/techcombank-everyday</v>
      </c>
      <c r="K659" s="25" t="str">
        <f>IFERROR(__xludf.DUMMYFUNCTION("IFERROR(INDEX(FILTER('Kế hoạch chèn link (mới)'!$C$3:$C$2213,'Kế hoạch chèn link (mới)'!$D$3:$D$2213=$B659),3),"""")"),"thẻ hoàn tiền")</f>
        <v>thẻ hoàn tiền</v>
      </c>
      <c r="L659" s="25" t="str">
        <f>IFERROR(__xludf.DUMMYFUNCTION("IFERROR(INDEX(FILTER('Kế hoạch chèn link (mới)'!$B$3:$B$2213,'Kế hoạch chèn link (mới)'!$D$3:$D$2213=$B659),3),"""")"),"https://techcombank.com/thong-tin/blog/the-tin-dung-hoan-tien")</f>
        <v>https://techcombank.com/thong-tin/blog/the-tin-dung-hoan-tien</v>
      </c>
      <c r="M659" s="25" t="str">
        <f>IFERROR(__xludf.DUMMYFUNCTION("IFERROR(INDEX(FILTER('Kế hoạch chèn link (mới)'!$C$3:$C$2213,'Kế hoạch chèn link (mới)'!$D$3:$D$2213=$B659),4),"""")"),"")</f>
        <v/>
      </c>
      <c r="N659" s="25" t="str">
        <f>IFERROR(__xludf.DUMMYFUNCTION("IFERROR(INDEX(FILTER('Kế hoạch chèn link (mới)'!$B$3:$B$2213,'Kế hoạch chèn link (mới)'!$D$3:$D$2213=$B659),4),"""")"),"")</f>
        <v/>
      </c>
      <c r="O659" s="25" t="str">
        <f>IFERROR(__xludf.DUMMYFUNCTION("IFERROR(INDEX(FILTER('Kế hoạch chèn link (mới)'!$C$3:$C$2213,'Kế hoạch chèn link (mới)'!$D$3:$D$2213=$B659),5),"""")"),"")</f>
        <v/>
      </c>
      <c r="P659" s="25" t="str">
        <f>IFERROR(__xludf.DUMMYFUNCTION("IFERROR(INDEX(FILTER('Kế hoạch chèn link (mới)'!$B$3:$B$2213,'Kế hoạch chèn link (mới)'!$D$3:$D$2213=$B659),5),"""")"),"")</f>
        <v/>
      </c>
    </row>
    <row r="660">
      <c r="A660" s="6">
        <f t="shared" si="1"/>
        <v>659</v>
      </c>
      <c r="B660" s="8" t="s">
        <v>3269</v>
      </c>
      <c r="C660" s="6">
        <f>COUNTIF('Kế hoạch chèn link (mới)'!$D$3:$D$2213,$B660)</f>
        <v>2</v>
      </c>
      <c r="D660" s="8" t="str">
        <f>IF(COUNTIFS('Kế hoạch chèn link (mới)'!$D$3:$D$2213,$B660,'Kế hoạch chèn link (mới)'!$I$3:$I$2213,"Đã chèn")&gt;=$C660,"Đã hoàn thành",IF(COUNTIFS('Kế hoạch chèn link (mới)'!$D$3:$D$2213,$B660,'Kế hoạch chèn link (mới)'!$I$3:$I$2213,"Đã chèn")&gt;0,"Đang làm","Chưa hoàn thành"))</f>
        <v>Chưa hoàn thành</v>
      </c>
      <c r="E660" s="8" t="b">
        <f t="shared" si="2"/>
        <v>0</v>
      </c>
      <c r="F660" s="25"/>
      <c r="G660" s="25" t="str">
        <f>IFERROR(__xludf.DUMMYFUNCTION("IFERROR(INDEX(FILTER('Kế hoạch chèn link (mới)'!$C$3:$C$2213,'Kế hoạch chèn link (mới)'!$D$3:$D$2213=$B660),1),"""")"),"Techcombank Eco")</f>
        <v>Techcombank Eco</v>
      </c>
      <c r="H660" s="25" t="str">
        <f>IFERROR(__xludf.DUMMYFUNCTION("IFERROR(INDEX(FILTER('Kế hoạch chèn link (mới)'!$B$3:$B$2213,'Kế hoạch chèn link (mới)'!$D$3:$D$2213=$B660),1),"""")"),"https://techcombank.com/thong-tin/blog/eco-card")</f>
        <v>https://techcombank.com/thong-tin/blog/eco-card</v>
      </c>
      <c r="I660" s="25" t="str">
        <f>IFERROR(__xludf.DUMMYFUNCTION("IFERROR(INDEX(FILTER('Kế hoạch chèn link (mới)'!$C$3:$C$2213,'Kế hoạch chèn link (mới)'!$D$3:$D$2213=$B660),2),"""")"),"cách hủy thẻ tín dụng")</f>
        <v>cách hủy thẻ tín dụng</v>
      </c>
      <c r="J660" s="25" t="str">
        <f>IFERROR(__xludf.DUMMYFUNCTION("IFERROR(INDEX(FILTER('Kế hoạch chèn link (mới)'!$B$3:$B$2213,'Kế hoạch chèn link (mới)'!$D$3:$D$2213=$B660),2),"""")"),"https://techcombank.com/thong-tin/blog/cach-huy-the-tin-dung")</f>
        <v>https://techcombank.com/thong-tin/blog/cach-huy-the-tin-dung</v>
      </c>
      <c r="K660" s="25" t="str">
        <f>IFERROR(__xludf.DUMMYFUNCTION("IFERROR(INDEX(FILTER('Kế hoạch chèn link (mới)'!$C$3:$C$2213,'Kế hoạch chèn link (mới)'!$D$3:$D$2213=$B660),3),"""")"),"")</f>
        <v/>
      </c>
      <c r="L660" s="25" t="str">
        <f>IFERROR(__xludf.DUMMYFUNCTION("IFERROR(INDEX(FILTER('Kế hoạch chèn link (mới)'!$B$3:$B$2213,'Kế hoạch chèn link (mới)'!$D$3:$D$2213=$B660),3),"""")"),"")</f>
        <v/>
      </c>
      <c r="M660" s="25" t="str">
        <f>IFERROR(__xludf.DUMMYFUNCTION("IFERROR(INDEX(FILTER('Kế hoạch chèn link (mới)'!$C$3:$C$2213,'Kế hoạch chèn link (mới)'!$D$3:$D$2213=$B660),4),"""")"),"")</f>
        <v/>
      </c>
      <c r="N660" s="25" t="str">
        <f>IFERROR(__xludf.DUMMYFUNCTION("IFERROR(INDEX(FILTER('Kế hoạch chèn link (mới)'!$B$3:$B$2213,'Kế hoạch chèn link (mới)'!$D$3:$D$2213=$B660),4),"""")"),"")</f>
        <v/>
      </c>
      <c r="O660" s="25" t="str">
        <f>IFERROR(__xludf.DUMMYFUNCTION("IFERROR(INDEX(FILTER('Kế hoạch chèn link (mới)'!$C$3:$C$2213,'Kế hoạch chèn link (mới)'!$D$3:$D$2213=$B660),5),"""")"),"")</f>
        <v/>
      </c>
      <c r="P660" s="25" t="str">
        <f>IFERROR(__xludf.DUMMYFUNCTION("IFERROR(INDEX(FILTER('Kế hoạch chèn link (mới)'!$B$3:$B$2213,'Kế hoạch chèn link (mới)'!$D$3:$D$2213=$B660),5),"""")"),"")</f>
        <v/>
      </c>
    </row>
    <row r="661">
      <c r="A661" s="6">
        <f t="shared" si="1"/>
        <v>660</v>
      </c>
      <c r="B661" s="8" t="s">
        <v>3276</v>
      </c>
      <c r="C661" s="6">
        <f>COUNTIF('Kế hoạch chèn link (mới)'!$D$3:$D$2213,$B661)</f>
        <v>4</v>
      </c>
      <c r="D661" s="8" t="str">
        <f>IF(COUNTIFS('Kế hoạch chèn link (mới)'!$D$3:$D$2213,$B661,'Kế hoạch chèn link (mới)'!$I$3:$I$2213,"Đã chèn")&gt;=$C661,"Đã hoàn thành",IF(COUNTIFS('Kế hoạch chèn link (mới)'!$D$3:$D$2213,$B661,'Kế hoạch chèn link (mới)'!$I$3:$I$2213,"Đã chèn")&gt;0,"Đang làm","Chưa hoàn thành"))</f>
        <v>Chưa hoàn thành</v>
      </c>
      <c r="E661" s="8" t="b">
        <f t="shared" si="2"/>
        <v>0</v>
      </c>
      <c r="F661" s="25"/>
      <c r="G661" s="25" t="str">
        <f>IFERROR(__xludf.DUMMYFUNCTION("IFERROR(INDEX(FILTER('Kế hoạch chèn link (mới)'!$C$3:$C$2213,'Kế hoạch chèn link (mới)'!$D$3:$D$2213=$B661),1),"""")"),"mở thẻ tín dụng")</f>
        <v>mở thẻ tín dụng</v>
      </c>
      <c r="H661" s="25" t="str">
        <f>IFERROR(__xludf.DUMMYFUNCTION("IFERROR(INDEX(FILTER('Kế hoạch chèn link (mới)'!$B$3:$B$2213,'Kế hoạch chèn link (mới)'!$D$3:$D$2213=$B661),1),"""")"),"https://techcombank.com/thong-tin/blog/lam-the-tin-dung")</f>
        <v>https://techcombank.com/thong-tin/blog/lam-the-tin-dung</v>
      </c>
      <c r="I661" s="25" t="str">
        <f>IFERROR(__xludf.DUMMYFUNCTION("IFERROR(INDEX(FILTER('Kế hoạch chèn link (mới)'!$C$3:$C$2213,'Kế hoạch chèn link (mới)'!$D$3:$D$2213=$B661),2),"""")"),"thẻ tín dụng hoàn tiền")</f>
        <v>thẻ tín dụng hoàn tiền</v>
      </c>
      <c r="J661" s="25" t="str">
        <f>IFERROR(__xludf.DUMMYFUNCTION("IFERROR(INDEX(FILTER('Kế hoạch chèn link (mới)'!$B$3:$B$2213,'Kế hoạch chèn link (mới)'!$D$3:$D$2213=$B661),2),"""")"),"https://techcombank.com/thong-tin/blog/the-tin-dung-hoan-tien")</f>
        <v>https://techcombank.com/thong-tin/blog/the-tin-dung-hoan-tien</v>
      </c>
      <c r="K661" s="25" t="str">
        <f>IFERROR(__xludf.DUMMYFUNCTION("IFERROR(INDEX(FILTER('Kế hoạch chèn link (mới)'!$C$3:$C$2213,'Kế hoạch chèn link (mới)'!$D$3:$D$2213=$B661),3),"""")"),"thanh toán dư nợ thẻ tín dụng")</f>
        <v>thanh toán dư nợ thẻ tín dụng</v>
      </c>
      <c r="L661" s="25" t="str">
        <f>IFERROR(__xludf.DUMMYFUNCTION("IFERROR(INDEX(FILTER('Kế hoạch chèn link (mới)'!$B$3:$B$2213,'Kế hoạch chèn link (mới)'!$D$3:$D$2213=$B661),3),"""")"),"https://techcombank.com/thong-tin/blog/cach-thanh-toan-the-tin-dung")</f>
        <v>https://techcombank.com/thong-tin/blog/cach-thanh-toan-the-tin-dung</v>
      </c>
      <c r="M661" s="25" t="str">
        <f>IFERROR(__xludf.DUMMYFUNCTION("IFERROR(INDEX(FILTER('Kế hoạch chèn link (mới)'!$C$3:$C$2213,'Kế hoạch chèn link (mới)'!$D$3:$D$2213=$B661),4),"""")"),"cách tính lãi suất vay")</f>
        <v>cách tính lãi suất vay</v>
      </c>
      <c r="N661" s="25" t="str">
        <f>IFERROR(__xludf.DUMMYFUNCTION("IFERROR(INDEX(FILTER('Kế hoạch chèn link (mới)'!$B$3:$B$2213,'Kế hoạch chèn link (mới)'!$D$3:$D$2213=$B661),4),"""")"),"https://techcombank.com/thong-tin/blog/cach-tinh-lai-vay-ngan-hang")</f>
        <v>https://techcombank.com/thong-tin/blog/cach-tinh-lai-vay-ngan-hang</v>
      </c>
      <c r="O661" s="25" t="str">
        <f>IFERROR(__xludf.DUMMYFUNCTION("IFERROR(INDEX(FILTER('Kế hoạch chèn link (mới)'!$C$3:$C$2213,'Kế hoạch chèn link (mới)'!$D$3:$D$2213=$B661),5),"""")"),"")</f>
        <v/>
      </c>
      <c r="P661" s="25" t="str">
        <f>IFERROR(__xludf.DUMMYFUNCTION("IFERROR(INDEX(FILTER('Kế hoạch chèn link (mới)'!$B$3:$B$2213,'Kế hoạch chèn link (mới)'!$D$3:$D$2213=$B661),5),"""")"),"")</f>
        <v/>
      </c>
    </row>
    <row r="662">
      <c r="A662" s="6">
        <f t="shared" si="1"/>
        <v>661</v>
      </c>
      <c r="B662" s="8" t="s">
        <v>3281</v>
      </c>
      <c r="C662" s="6">
        <f>COUNTIF('Kế hoạch chèn link (mới)'!$D$3:$D$2213,$B662)</f>
        <v>1</v>
      </c>
      <c r="D662" s="8" t="str">
        <f>IF(COUNTIFS('Kế hoạch chèn link (mới)'!$D$3:$D$2213,$B662,'Kế hoạch chèn link (mới)'!$I$3:$I$2213,"Đã chèn")&gt;=$C662,"Đã hoàn thành",IF(COUNTIFS('Kế hoạch chèn link (mới)'!$D$3:$D$2213,$B662,'Kế hoạch chèn link (mới)'!$I$3:$I$2213,"Đã chèn")&gt;0,"Đang làm","Chưa hoàn thành"))</f>
        <v>Chưa hoàn thành</v>
      </c>
      <c r="E662" s="8" t="b">
        <f t="shared" si="2"/>
        <v>0</v>
      </c>
      <c r="F662" s="25"/>
      <c r="G662" s="25" t="str">
        <f>IFERROR(__xludf.DUMMYFUNCTION("IFERROR(INDEX(FILTER('Kế hoạch chèn link (mới)'!$C$3:$C$2213,'Kế hoạch chèn link (mới)'!$D$3:$D$2213=$B662),1),"""")"),"tỷ giá USD/VND")</f>
        <v>tỷ giá USD/VND</v>
      </c>
      <c r="H662" s="25" t="str">
        <f>IFERROR(__xludf.DUMMYFUNCTION("IFERROR(INDEX(FILTER('Kế hoạch chèn link (mới)'!$B$3:$B$2213,'Kế hoạch chèn link (mới)'!$D$3:$D$2213=$B662),1),"""")"),"https://techcombank.com/thong-tin/blog/1-dong-do-la-my-bang-bao-nhieu-tien-viet-nam")</f>
        <v>https://techcombank.com/thong-tin/blog/1-dong-do-la-my-bang-bao-nhieu-tien-viet-nam</v>
      </c>
      <c r="I662" s="25" t="str">
        <f>IFERROR(__xludf.DUMMYFUNCTION("IFERROR(INDEX(FILTER('Kế hoạch chèn link (mới)'!$C$3:$C$2213,'Kế hoạch chèn link (mới)'!$D$3:$D$2213=$B662),2),"""")"),"")</f>
        <v/>
      </c>
      <c r="J662" s="25" t="str">
        <f>IFERROR(__xludf.DUMMYFUNCTION("IFERROR(INDEX(FILTER('Kế hoạch chèn link (mới)'!$B$3:$B$2213,'Kế hoạch chèn link (mới)'!$D$3:$D$2213=$B662),2),"""")"),"")</f>
        <v/>
      </c>
      <c r="K662" s="25" t="str">
        <f>IFERROR(__xludf.DUMMYFUNCTION("IFERROR(INDEX(FILTER('Kế hoạch chèn link (mới)'!$C$3:$C$2213,'Kế hoạch chèn link (mới)'!$D$3:$D$2213=$B662),3),"""")"),"")</f>
        <v/>
      </c>
      <c r="L662" s="25" t="str">
        <f>IFERROR(__xludf.DUMMYFUNCTION("IFERROR(INDEX(FILTER('Kế hoạch chèn link (mới)'!$B$3:$B$2213,'Kế hoạch chèn link (mới)'!$D$3:$D$2213=$B662),3),"""")"),"")</f>
        <v/>
      </c>
      <c r="M662" s="25" t="str">
        <f>IFERROR(__xludf.DUMMYFUNCTION("IFERROR(INDEX(FILTER('Kế hoạch chèn link (mới)'!$C$3:$C$2213,'Kế hoạch chèn link (mới)'!$D$3:$D$2213=$B662),4),"""")"),"")</f>
        <v/>
      </c>
      <c r="N662" s="25" t="str">
        <f>IFERROR(__xludf.DUMMYFUNCTION("IFERROR(INDEX(FILTER('Kế hoạch chèn link (mới)'!$B$3:$B$2213,'Kế hoạch chèn link (mới)'!$D$3:$D$2213=$B662),4),"""")"),"")</f>
        <v/>
      </c>
      <c r="O662" s="25" t="str">
        <f>IFERROR(__xludf.DUMMYFUNCTION("IFERROR(INDEX(FILTER('Kế hoạch chèn link (mới)'!$C$3:$C$2213,'Kế hoạch chèn link (mới)'!$D$3:$D$2213=$B662),5),"""")"),"")</f>
        <v/>
      </c>
      <c r="P662" s="25" t="str">
        <f>IFERROR(__xludf.DUMMYFUNCTION("IFERROR(INDEX(FILTER('Kế hoạch chèn link (mới)'!$B$3:$B$2213,'Kế hoạch chèn link (mới)'!$D$3:$D$2213=$B662),5),"""")"),"")</f>
        <v/>
      </c>
    </row>
    <row r="663">
      <c r="A663" s="6">
        <f t="shared" si="1"/>
        <v>662</v>
      </c>
      <c r="B663" s="8" t="s">
        <v>3283</v>
      </c>
      <c r="C663" s="6">
        <f>COUNTIF('Kế hoạch chèn link (mới)'!$D$3:$D$2213,$B663)</f>
        <v>4</v>
      </c>
      <c r="D663" s="8" t="str">
        <f>IF(COUNTIFS('Kế hoạch chèn link (mới)'!$D$3:$D$2213,$B663,'Kế hoạch chèn link (mới)'!$I$3:$I$2213,"Đã chèn")&gt;=$C663,"Đã hoàn thành",IF(COUNTIFS('Kế hoạch chèn link (mới)'!$D$3:$D$2213,$B663,'Kế hoạch chèn link (mới)'!$I$3:$I$2213,"Đã chèn")&gt;0,"Đang làm","Chưa hoàn thành"))</f>
        <v>Chưa hoàn thành</v>
      </c>
      <c r="E663" s="8" t="b">
        <f t="shared" si="2"/>
        <v>0</v>
      </c>
      <c r="F663" s="25"/>
      <c r="G663" s="25" t="str">
        <f>IFERROR(__xludf.DUMMYFUNCTION("IFERROR(INDEX(FILTER('Kế hoạch chèn link (mới)'!$C$3:$C$2213,'Kế hoạch chèn link (mới)'!$D$3:$D$2213=$B663),1),"""")"),"cách tính lãi suất vay")</f>
        <v>cách tính lãi suất vay</v>
      </c>
      <c r="H663" s="25" t="str">
        <f>IFERROR(__xludf.DUMMYFUNCTION("IFERROR(INDEX(FILTER('Kế hoạch chèn link (mới)'!$B$3:$B$2213,'Kế hoạch chèn link (mới)'!$D$3:$D$2213=$B663),1),"""")"),"https://techcombank.com/thong-tin/blog/cach-tinh-lai-vay-ngan-hang")</f>
        <v>https://techcombank.com/thong-tin/blog/cach-tinh-lai-vay-ngan-hang</v>
      </c>
      <c r="I663" s="25" t="str">
        <f>IFERROR(__xludf.DUMMYFUNCTION("IFERROR(INDEX(FILTER('Kế hoạch chèn link (mới)'!$C$3:$C$2213,'Kế hoạch chèn link (mới)'!$D$3:$D$2213=$B663),2),"""")"),"tính lãi suất vay ngân hàng")</f>
        <v>tính lãi suất vay ngân hàng</v>
      </c>
      <c r="J663" s="25" t="str">
        <f>IFERROR(__xludf.DUMMYFUNCTION("IFERROR(INDEX(FILTER('Kế hoạch chèn link (mới)'!$B$3:$B$2213,'Kế hoạch chèn link (mới)'!$D$3:$D$2213=$B663),2),"""")"),"https://techcombank.com/cong-cu-tien-ich/cong-cu-tinh-toan/bang-tinh-lai-suat-vay")</f>
        <v>https://techcombank.com/cong-cu-tien-ich/cong-cu-tinh-toan/bang-tinh-lai-suat-vay</v>
      </c>
      <c r="K663" s="25" t="str">
        <f>IFERROR(__xludf.DUMMYFUNCTION("IFERROR(INDEX(FILTER('Kế hoạch chèn link (mới)'!$C$3:$C$2213,'Kế hoạch chèn link (mới)'!$D$3:$D$2213=$B663),3),"""")"),"vay nhanh")</f>
        <v>vay nhanh</v>
      </c>
      <c r="L663" s="25" t="str">
        <f>IFERROR(__xludf.DUMMYFUNCTION("IFERROR(INDEX(FILTER('Kế hoạch chèn link (mới)'!$B$3:$B$2213,'Kế hoạch chèn link (mới)'!$D$3:$D$2213=$B663),3),"""")"),"https://techcombank.com/thong-tin/blog/app-vay-tien-nhanh")</f>
        <v>https://techcombank.com/thong-tin/blog/app-vay-tien-nhanh</v>
      </c>
      <c r="M663" s="25" t="str">
        <f>IFERROR(__xludf.DUMMYFUNCTION("IFERROR(INDEX(FILTER('Kế hoạch chèn link (mới)'!$C$3:$C$2213,'Kế hoạch chèn link (mới)'!$D$3:$D$2213=$B663),4),"""")"),"lãi suất vay ngân hàng")</f>
        <v>lãi suất vay ngân hàng</v>
      </c>
      <c r="N663" s="25" t="str">
        <f>IFERROR(__xludf.DUMMYFUNCTION("IFERROR(INDEX(FILTER('Kế hoạch chèn link (mới)'!$B$3:$B$2213,'Kế hoạch chèn link (mới)'!$D$3:$D$2213=$B663),4),"""")"),"https://techcombank.com/thong-tin/blog/lai-suat-vay-ngan-hang")</f>
        <v>https://techcombank.com/thong-tin/blog/lai-suat-vay-ngan-hang</v>
      </c>
      <c r="O663" s="25" t="str">
        <f>IFERROR(__xludf.DUMMYFUNCTION("IFERROR(INDEX(FILTER('Kế hoạch chèn link (mới)'!$C$3:$C$2213,'Kế hoạch chèn link (mới)'!$D$3:$D$2213=$B663),5),"""")"),"")</f>
        <v/>
      </c>
      <c r="P663" s="25" t="str">
        <f>IFERROR(__xludf.DUMMYFUNCTION("IFERROR(INDEX(FILTER('Kế hoạch chèn link (mới)'!$B$3:$B$2213,'Kế hoạch chèn link (mới)'!$D$3:$D$2213=$B663),5),"""")"),"")</f>
        <v/>
      </c>
    </row>
    <row r="664">
      <c r="A664" s="6">
        <f t="shared" si="1"/>
        <v>663</v>
      </c>
      <c r="B664" s="8" t="s">
        <v>3284</v>
      </c>
      <c r="C664" s="6">
        <f>COUNTIF('Kế hoạch chèn link (mới)'!$D$3:$D$2213,$B664)</f>
        <v>3</v>
      </c>
      <c r="D664" s="8" t="str">
        <f>IF(COUNTIFS('Kế hoạch chèn link (mới)'!$D$3:$D$2213,$B664,'Kế hoạch chèn link (mới)'!$I$3:$I$2213,"Đã chèn")&gt;=$C664,"Đã hoàn thành",IF(COUNTIFS('Kế hoạch chèn link (mới)'!$D$3:$D$2213,$B664,'Kế hoạch chèn link (mới)'!$I$3:$I$2213,"Đã chèn")&gt;0,"Đang làm","Chưa hoàn thành"))</f>
        <v>Chưa hoàn thành</v>
      </c>
      <c r="E664" s="8" t="b">
        <f t="shared" si="2"/>
        <v>0</v>
      </c>
      <c r="F664" s="25"/>
      <c r="G664" s="25" t="str">
        <f>IFERROR(__xludf.DUMMYFUNCTION("IFERROR(INDEX(FILTER('Kế hoạch chèn link (mới)'!$C$3:$C$2213,'Kế hoạch chèn link (mới)'!$D$3:$D$2213=$B664),1),"""")"),"kiểm tra cic")</f>
        <v>kiểm tra cic</v>
      </c>
      <c r="H664" s="25" t="str">
        <f>IFERROR(__xludf.DUMMYFUNCTION("IFERROR(INDEX(FILTER('Kế hoạch chèn link (mới)'!$B$3:$B$2213,'Kế hoạch chèn link (mới)'!$D$3:$D$2213=$B664),1),"""")"),"https://techcombank.com/thong-tin/blog/cic-la-gi")</f>
        <v>https://techcombank.com/thong-tin/blog/cic-la-gi</v>
      </c>
      <c r="I664" s="25" t="str">
        <f>IFERROR(__xludf.DUMMYFUNCTION("IFERROR(INDEX(FILTER('Kế hoạch chèn link (mới)'!$C$3:$C$2213,'Kế hoạch chèn link (mới)'!$D$3:$D$2213=$B664),2),"""")"),"cách tính lãi suất vay")</f>
        <v>cách tính lãi suất vay</v>
      </c>
      <c r="J664" s="25" t="str">
        <f>IFERROR(__xludf.DUMMYFUNCTION("IFERROR(INDEX(FILTER('Kế hoạch chèn link (mới)'!$B$3:$B$2213,'Kế hoạch chèn link (mới)'!$D$3:$D$2213=$B664),2),"""")"),"https://techcombank.com/thong-tin/blog/cach-tinh-lai-vay-ngan-hang")</f>
        <v>https://techcombank.com/thong-tin/blog/cach-tinh-lai-vay-ngan-hang</v>
      </c>
      <c r="K664" s="25" t="str">
        <f>IFERROR(__xludf.DUMMYFUNCTION("IFERROR(INDEX(FILTER('Kế hoạch chèn link (mới)'!$C$3:$C$2213,'Kế hoạch chèn link (mới)'!$D$3:$D$2213=$B664),3),"""")"),"vay nhanh")</f>
        <v>vay nhanh</v>
      </c>
      <c r="L664" s="25" t="str">
        <f>IFERROR(__xludf.DUMMYFUNCTION("IFERROR(INDEX(FILTER('Kế hoạch chèn link (mới)'!$B$3:$B$2213,'Kế hoạch chèn link (mới)'!$D$3:$D$2213=$B664),3),"""")"),"https://techcombank.com/thong-tin/blog/app-vay-tien-nhanh")</f>
        <v>https://techcombank.com/thong-tin/blog/app-vay-tien-nhanh</v>
      </c>
      <c r="M664" s="25" t="str">
        <f>IFERROR(__xludf.DUMMYFUNCTION("IFERROR(INDEX(FILTER('Kế hoạch chèn link (mới)'!$C$3:$C$2213,'Kế hoạch chèn link (mới)'!$D$3:$D$2213=$B664),4),"""")"),"")</f>
        <v/>
      </c>
      <c r="N664" s="25" t="str">
        <f>IFERROR(__xludf.DUMMYFUNCTION("IFERROR(INDEX(FILTER('Kế hoạch chèn link (mới)'!$B$3:$B$2213,'Kế hoạch chèn link (mới)'!$D$3:$D$2213=$B664),4),"""")"),"")</f>
        <v/>
      </c>
      <c r="O664" s="25" t="str">
        <f>IFERROR(__xludf.DUMMYFUNCTION("IFERROR(INDEX(FILTER('Kế hoạch chèn link (mới)'!$C$3:$C$2213,'Kế hoạch chèn link (mới)'!$D$3:$D$2213=$B664),5),"""")"),"")</f>
        <v/>
      </c>
      <c r="P664" s="25" t="str">
        <f>IFERROR(__xludf.DUMMYFUNCTION("IFERROR(INDEX(FILTER('Kế hoạch chèn link (mới)'!$B$3:$B$2213,'Kế hoạch chèn link (mới)'!$D$3:$D$2213=$B664),5),"""")"),"")</f>
        <v/>
      </c>
    </row>
    <row r="665">
      <c r="A665" s="6">
        <f t="shared" si="1"/>
        <v>664</v>
      </c>
      <c r="B665" s="8" t="s">
        <v>3285</v>
      </c>
      <c r="C665" s="6">
        <f>COUNTIF('Kế hoạch chèn link (mới)'!$D$3:$D$2213,$B665)</f>
        <v>4</v>
      </c>
      <c r="D665" s="8" t="str">
        <f>IF(COUNTIFS('Kế hoạch chèn link (mới)'!$D$3:$D$2213,$B665,'Kế hoạch chèn link (mới)'!$I$3:$I$2213,"Đã chèn")&gt;=$C665,"Đã hoàn thành",IF(COUNTIFS('Kế hoạch chèn link (mới)'!$D$3:$D$2213,$B665,'Kế hoạch chèn link (mới)'!$I$3:$I$2213,"Đã chèn")&gt;0,"Đang làm","Chưa hoàn thành"))</f>
        <v>Chưa hoàn thành</v>
      </c>
      <c r="E665" s="8" t="b">
        <f t="shared" si="2"/>
        <v>0</v>
      </c>
      <c r="F665" s="25"/>
      <c r="G665" s="25" t="str">
        <f>IFERROR(__xludf.DUMMYFUNCTION("IFERROR(INDEX(FILTER('Kế hoạch chèn link (mới)'!$C$3:$C$2213,'Kế hoạch chèn link (mới)'!$D$3:$D$2213=$B665),1),"""")"),"vay 1 tỷ mỗi tháng trả bao nhiêu")</f>
        <v>vay 1 tỷ mỗi tháng trả bao nhiêu</v>
      </c>
      <c r="H665" s="25" t="str">
        <f>IFERROR(__xludf.DUMMYFUNCTION("IFERROR(INDEX(FILTER('Kế hoạch chèn link (mới)'!$B$3:$B$2213,'Kế hoạch chèn link (mới)'!$D$3:$D$2213=$B665),1),"""")"),"https://techcombank.com/thong-tin/blog/vay-ngan-hang-1-ty-moi-thang-tra-bao-nhieu")</f>
        <v>https://techcombank.com/thong-tin/blog/vay-ngan-hang-1-ty-moi-thang-tra-bao-nhieu</v>
      </c>
      <c r="I665" s="25" t="str">
        <f>IFERROR(__xludf.DUMMYFUNCTION("IFERROR(INDEX(FILTER('Kế hoạch chèn link (mới)'!$C$3:$C$2213,'Kế hoạch chèn link (mới)'!$D$3:$D$2213=$B665),2),"""")"),"tính lãi vay ngân hàng")</f>
        <v>tính lãi vay ngân hàng</v>
      </c>
      <c r="J665" s="25" t="str">
        <f>IFERROR(__xludf.DUMMYFUNCTION("IFERROR(INDEX(FILTER('Kế hoạch chèn link (mới)'!$B$3:$B$2213,'Kế hoạch chèn link (mới)'!$D$3:$D$2213=$B665),2),"""")"),"https://techcombank.com/cong-cu-tien-ich/cong-cu-tinh-toan/bang-tinh-lai-suat-vay")</f>
        <v>https://techcombank.com/cong-cu-tien-ich/cong-cu-tinh-toan/bang-tinh-lai-suat-vay</v>
      </c>
      <c r="K665" s="25" t="str">
        <f>IFERROR(__xludf.DUMMYFUNCTION("IFERROR(INDEX(FILTER('Kế hoạch chèn link (mới)'!$C$3:$C$2213,'Kế hoạch chèn link (mới)'!$D$3:$D$2213=$B665),3),"""")"),"vay nhanh")</f>
        <v>vay nhanh</v>
      </c>
      <c r="L665" s="25" t="str">
        <f>IFERROR(__xludf.DUMMYFUNCTION("IFERROR(INDEX(FILTER('Kế hoạch chèn link (mới)'!$B$3:$B$2213,'Kế hoạch chèn link (mới)'!$D$3:$D$2213=$B665),3),"""")"),"https://techcombank.com/thong-tin/blog/app-vay-tien-nhanh")</f>
        <v>https://techcombank.com/thong-tin/blog/app-vay-tien-nhanh</v>
      </c>
      <c r="M665" s="25" t="str">
        <f>IFERROR(__xludf.DUMMYFUNCTION("IFERROR(INDEX(FILTER('Kế hoạch chèn link (mới)'!$C$3:$C$2213,'Kế hoạch chèn link (mới)'!$D$3:$D$2213=$B665),4),"""")"),"vay tín chấp không trả được có sao không")</f>
        <v>vay tín chấp không trả được có sao không</v>
      </c>
      <c r="N665" s="25" t="str">
        <f>IFERROR(__xludf.DUMMYFUNCTION("IFERROR(INDEX(FILTER('Kế hoạch chèn link (mới)'!$B$3:$B$2213,'Kế hoạch chèn link (mới)'!$D$3:$D$2213=$B665),4),"""")"),"https://techcombank.com/thong-tin/blog/vay-tin-chap-khong-tra-duoc-co-sao-khong")</f>
        <v>https://techcombank.com/thong-tin/blog/vay-tin-chap-khong-tra-duoc-co-sao-khong</v>
      </c>
      <c r="O665" s="25" t="str">
        <f>IFERROR(__xludf.DUMMYFUNCTION("IFERROR(INDEX(FILTER('Kế hoạch chèn link (mới)'!$C$3:$C$2213,'Kế hoạch chèn link (mới)'!$D$3:$D$2213=$B665),5),"""")"),"")</f>
        <v/>
      </c>
      <c r="P665" s="25" t="str">
        <f>IFERROR(__xludf.DUMMYFUNCTION("IFERROR(INDEX(FILTER('Kế hoạch chèn link (mới)'!$B$3:$B$2213,'Kế hoạch chèn link (mới)'!$D$3:$D$2213=$B665),5),"""")"),"")</f>
        <v/>
      </c>
    </row>
    <row r="666">
      <c r="A666" s="6">
        <f t="shared" si="1"/>
        <v>665</v>
      </c>
      <c r="B666" s="8" t="s">
        <v>3286</v>
      </c>
      <c r="C666" s="6">
        <f>COUNTIF('Kế hoạch chèn link (mới)'!$D$3:$D$2213,$B666)</f>
        <v>4</v>
      </c>
      <c r="D666" s="8" t="str">
        <f>IF(COUNTIFS('Kế hoạch chèn link (mới)'!$D$3:$D$2213,$B666,'Kế hoạch chèn link (mới)'!$I$3:$I$2213,"Đã chèn")&gt;=$C666,"Đã hoàn thành",IF(COUNTIFS('Kế hoạch chèn link (mới)'!$D$3:$D$2213,$B666,'Kế hoạch chèn link (mới)'!$I$3:$I$2213,"Đã chèn")&gt;0,"Đang làm","Chưa hoàn thành"))</f>
        <v>Chưa hoàn thành</v>
      </c>
      <c r="E666" s="8" t="b">
        <f t="shared" si="2"/>
        <v>0</v>
      </c>
      <c r="F666" s="25"/>
      <c r="G666" s="25" t="str">
        <f>IFERROR(__xludf.DUMMYFUNCTION("IFERROR(INDEX(FILTER('Kế hoạch chèn link (mới)'!$C$3:$C$2213,'Kế hoạch chèn link (mới)'!$D$3:$D$2213=$B666),1),"""")"),"cách tính lãi suất vay")</f>
        <v>cách tính lãi suất vay</v>
      </c>
      <c r="H666" s="25" t="str">
        <f>IFERROR(__xludf.DUMMYFUNCTION("IFERROR(INDEX(FILTER('Kế hoạch chèn link (mới)'!$B$3:$B$2213,'Kế hoạch chèn link (mới)'!$D$3:$D$2213=$B666),1),"""")"),"https://techcombank.com/thong-tin/blog/cach-tinh-lai-vay-ngan-hang")</f>
        <v>https://techcombank.com/thong-tin/blog/cach-tinh-lai-vay-ngan-hang</v>
      </c>
      <c r="I666" s="25" t="str">
        <f>IFERROR(__xludf.DUMMYFUNCTION("IFERROR(INDEX(FILTER('Kế hoạch chèn link (mới)'!$C$3:$C$2213,'Kế hoạch chèn link (mới)'!$D$3:$D$2213=$B666),2),"""")"),"vay tiền")</f>
        <v>vay tiền</v>
      </c>
      <c r="J666" s="25" t="str">
        <f>IFERROR(__xludf.DUMMYFUNCTION("IFERROR(INDEX(FILTER('Kế hoạch chèn link (mới)'!$B$3:$B$2213,'Kế hoạch chèn link (mới)'!$D$3:$D$2213=$B666),2),"""")"),"https://techcombank.com/thong-tin/blog/app-vay-tien-nhanh")</f>
        <v>https://techcombank.com/thong-tin/blog/app-vay-tien-nhanh</v>
      </c>
      <c r="K666" s="25" t="str">
        <f>IFERROR(__xludf.DUMMYFUNCTION("IFERROR(INDEX(FILTER('Kế hoạch chèn link (mới)'!$C$3:$C$2213,'Kế hoạch chèn link (mới)'!$D$3:$D$2213=$B666),3),"""")"),"lãi suất vay ngân hàng")</f>
        <v>lãi suất vay ngân hàng</v>
      </c>
      <c r="L666" s="25" t="str">
        <f>IFERROR(__xludf.DUMMYFUNCTION("IFERROR(INDEX(FILTER('Kế hoạch chèn link (mới)'!$B$3:$B$2213,'Kế hoạch chèn link (mới)'!$D$3:$D$2213=$B666),3),"""")"),"https://techcombank.com/thong-tin/blog/lai-suat-vay-ngan-hang")</f>
        <v>https://techcombank.com/thong-tin/blog/lai-suat-vay-ngan-hang</v>
      </c>
      <c r="M666" s="25" t="str">
        <f>IFERROR(__xludf.DUMMYFUNCTION("IFERROR(INDEX(FILTER('Kế hoạch chèn link (mới)'!$C$3:$C$2213,'Kế hoạch chèn link (mới)'!$D$3:$D$2213=$B666),4),"""")"),"vay tín chấp không trả được có sao không")</f>
        <v>vay tín chấp không trả được có sao không</v>
      </c>
      <c r="N666" s="25" t="str">
        <f>IFERROR(__xludf.DUMMYFUNCTION("IFERROR(INDEX(FILTER('Kế hoạch chèn link (mới)'!$B$3:$B$2213,'Kế hoạch chèn link (mới)'!$D$3:$D$2213=$B666),4),"""")"),"https://techcombank.com/thong-tin/blog/vay-tin-chap-khong-tra-duoc-co-sao-khong")</f>
        <v>https://techcombank.com/thong-tin/blog/vay-tin-chap-khong-tra-duoc-co-sao-khong</v>
      </c>
      <c r="O666" s="25" t="str">
        <f>IFERROR(__xludf.DUMMYFUNCTION("IFERROR(INDEX(FILTER('Kế hoạch chèn link (mới)'!$C$3:$C$2213,'Kế hoạch chèn link (mới)'!$D$3:$D$2213=$B666),5),"""")"),"")</f>
        <v/>
      </c>
      <c r="P666" s="25" t="str">
        <f>IFERROR(__xludf.DUMMYFUNCTION("IFERROR(INDEX(FILTER('Kế hoạch chèn link (mới)'!$B$3:$B$2213,'Kế hoạch chèn link (mới)'!$D$3:$D$2213=$B666),5),"""")"),"")</f>
        <v/>
      </c>
    </row>
    <row r="667">
      <c r="A667" s="6">
        <f t="shared" si="1"/>
        <v>666</v>
      </c>
      <c r="B667" s="8" t="s">
        <v>3288</v>
      </c>
      <c r="C667" s="6">
        <f>COUNTIF('Kế hoạch chèn link (mới)'!$D$3:$D$2213,$B667)</f>
        <v>3</v>
      </c>
      <c r="D667" s="8" t="str">
        <f>IF(COUNTIFS('Kế hoạch chèn link (mới)'!$D$3:$D$2213,$B667,'Kế hoạch chèn link (mới)'!$I$3:$I$2213,"Đã chèn")&gt;=$C667,"Đã hoàn thành",IF(COUNTIFS('Kế hoạch chèn link (mới)'!$D$3:$D$2213,$B667,'Kế hoạch chèn link (mới)'!$I$3:$I$2213,"Đã chèn")&gt;0,"Đang làm","Chưa hoàn thành"))</f>
        <v>Chưa hoàn thành</v>
      </c>
      <c r="E667" s="8" t="b">
        <f t="shared" si="2"/>
        <v>0</v>
      </c>
      <c r="F667" s="25"/>
      <c r="G667" s="25" t="str">
        <f>IFERROR(__xludf.DUMMYFUNCTION("IFERROR(INDEX(FILTER('Kế hoạch chèn link (mới)'!$C$3:$C$2213,'Kế hoạch chèn link (mới)'!$D$3:$D$2213=$B667),1),"""")"),"cách tính lãi suất vay")</f>
        <v>cách tính lãi suất vay</v>
      </c>
      <c r="H667" s="25" t="str">
        <f>IFERROR(__xludf.DUMMYFUNCTION("IFERROR(INDEX(FILTER('Kế hoạch chèn link (mới)'!$B$3:$B$2213,'Kế hoạch chèn link (mới)'!$D$3:$D$2213=$B667),1),"""")"),"https://techcombank.com/thong-tin/blog/cach-tinh-lai-vay-ngan-hang")</f>
        <v>https://techcombank.com/thong-tin/blog/cach-tinh-lai-vay-ngan-hang</v>
      </c>
      <c r="I667" s="25" t="str">
        <f>IFERROR(__xludf.DUMMYFUNCTION("IFERROR(INDEX(FILTER('Kế hoạch chèn link (mới)'!$C$3:$C$2213,'Kế hoạch chèn link (mới)'!$D$3:$D$2213=$B667),2),"""")"),"app vay nhanh")</f>
        <v>app vay nhanh</v>
      </c>
      <c r="J667" s="25" t="str">
        <f>IFERROR(__xludf.DUMMYFUNCTION("IFERROR(INDEX(FILTER('Kế hoạch chèn link (mới)'!$B$3:$B$2213,'Kế hoạch chèn link (mới)'!$D$3:$D$2213=$B667),2),"""")"),"https://techcombank.com/thong-tin/blog/app-vay-tien-nhanh")</f>
        <v>https://techcombank.com/thong-tin/blog/app-vay-tien-nhanh</v>
      </c>
      <c r="K667" s="25" t="str">
        <f>IFERROR(__xludf.DUMMYFUNCTION("IFERROR(INDEX(FILTER('Kế hoạch chèn link (mới)'!$C$3:$C$2213,'Kế hoạch chèn link (mới)'!$D$3:$D$2213=$B667),3),"""")"),"thấu chi là gì")</f>
        <v>thấu chi là gì</v>
      </c>
      <c r="L667" s="25" t="str">
        <f>IFERROR(__xludf.DUMMYFUNCTION("IFERROR(INDEX(FILTER('Kế hoạch chèn link (mới)'!$B$3:$B$2213,'Kế hoạch chèn link (mới)'!$D$3:$D$2213=$B667),3),"""")"),"https://techcombank.com/thong-tin/blog/vay-thau-chi-la-gi")</f>
        <v>https://techcombank.com/thong-tin/blog/vay-thau-chi-la-gi</v>
      </c>
      <c r="M667" s="25" t="str">
        <f>IFERROR(__xludf.DUMMYFUNCTION("IFERROR(INDEX(FILTER('Kế hoạch chèn link (mới)'!$C$3:$C$2213,'Kế hoạch chèn link (mới)'!$D$3:$D$2213=$B667),4),"""")"),"")</f>
        <v/>
      </c>
      <c r="N667" s="25" t="str">
        <f>IFERROR(__xludf.DUMMYFUNCTION("IFERROR(INDEX(FILTER('Kế hoạch chèn link (mới)'!$B$3:$B$2213,'Kế hoạch chèn link (mới)'!$D$3:$D$2213=$B667),4),"""")"),"")</f>
        <v/>
      </c>
      <c r="O667" s="25" t="str">
        <f>IFERROR(__xludf.DUMMYFUNCTION("IFERROR(INDEX(FILTER('Kế hoạch chèn link (mới)'!$C$3:$C$2213,'Kế hoạch chèn link (mới)'!$D$3:$D$2213=$B667),5),"""")"),"")</f>
        <v/>
      </c>
      <c r="P667" s="25" t="str">
        <f>IFERROR(__xludf.DUMMYFUNCTION("IFERROR(INDEX(FILTER('Kế hoạch chèn link (mới)'!$B$3:$B$2213,'Kế hoạch chèn link (mới)'!$D$3:$D$2213=$B667),5),"""")"),"")</f>
        <v/>
      </c>
    </row>
    <row r="668">
      <c r="A668" s="6">
        <f t="shared" si="1"/>
        <v>667</v>
      </c>
      <c r="B668" s="8" t="s">
        <v>3290</v>
      </c>
      <c r="C668" s="6">
        <f>COUNTIF('Kế hoạch chèn link (mới)'!$D$3:$D$2213,$B668)</f>
        <v>3</v>
      </c>
      <c r="D668" s="8" t="str">
        <f>IF(COUNTIFS('Kế hoạch chèn link (mới)'!$D$3:$D$2213,$B668,'Kế hoạch chèn link (mới)'!$I$3:$I$2213,"Đã chèn")&gt;=$C668,"Đã hoàn thành",IF(COUNTIFS('Kế hoạch chèn link (mới)'!$D$3:$D$2213,$B668,'Kế hoạch chèn link (mới)'!$I$3:$I$2213,"Đã chèn")&gt;0,"Đang làm","Chưa hoàn thành"))</f>
        <v>Chưa hoàn thành</v>
      </c>
      <c r="E668" s="8" t="b">
        <f t="shared" si="2"/>
        <v>0</v>
      </c>
      <c r="F668" s="25"/>
      <c r="G668" s="25" t="str">
        <f>IFERROR(__xludf.DUMMYFUNCTION("IFERROR(INDEX(FILTER('Kế hoạch chèn link (mới)'!$C$3:$C$2213,'Kế hoạch chèn link (mới)'!$D$3:$D$2213=$B668),1),"""")"),"cách tính lãi suất vay")</f>
        <v>cách tính lãi suất vay</v>
      </c>
      <c r="H668" s="25" t="str">
        <f>IFERROR(__xludf.DUMMYFUNCTION("IFERROR(INDEX(FILTER('Kế hoạch chèn link (mới)'!$B$3:$B$2213,'Kế hoạch chèn link (mới)'!$D$3:$D$2213=$B668),1),"""")"),"https://techcombank.com/thong-tin/blog/cach-tinh-lai-vay-ngan-hang")</f>
        <v>https://techcombank.com/thong-tin/blog/cach-tinh-lai-vay-ngan-hang</v>
      </c>
      <c r="I668" s="25" t="str">
        <f>IFERROR(__xludf.DUMMYFUNCTION("IFERROR(INDEX(FILTER('Kế hoạch chèn link (mới)'!$C$3:$C$2213,'Kế hoạch chèn link (mới)'!$D$3:$D$2213=$B668),2),"""")"),"vay tiền")</f>
        <v>vay tiền</v>
      </c>
      <c r="J668" s="25" t="str">
        <f>IFERROR(__xludf.DUMMYFUNCTION("IFERROR(INDEX(FILTER('Kế hoạch chèn link (mới)'!$B$3:$B$2213,'Kế hoạch chèn link (mới)'!$D$3:$D$2213=$B668),2),"""")"),"https://techcombank.com/thong-tin/blog/app-vay-tien-nhanh")</f>
        <v>https://techcombank.com/thong-tin/blog/app-vay-tien-nhanh</v>
      </c>
      <c r="K668" s="25" t="str">
        <f>IFERROR(__xludf.DUMMYFUNCTION("IFERROR(INDEX(FILTER('Kế hoạch chèn link (mới)'!$C$3:$C$2213,'Kế hoạch chèn link (mới)'!$D$3:$D$2213=$B668),3),"""")"),"lãi suất cho vay ngân hàng")</f>
        <v>lãi suất cho vay ngân hàng</v>
      </c>
      <c r="L668" s="25" t="str">
        <f>IFERROR(__xludf.DUMMYFUNCTION("IFERROR(INDEX(FILTER('Kế hoạch chèn link (mới)'!$B$3:$B$2213,'Kế hoạch chèn link (mới)'!$D$3:$D$2213=$B668),3),"""")"),"https://techcombank.com/thong-tin/blog/lai-suat-vay-ngan-hang")</f>
        <v>https://techcombank.com/thong-tin/blog/lai-suat-vay-ngan-hang</v>
      </c>
      <c r="M668" s="25" t="str">
        <f>IFERROR(__xludf.DUMMYFUNCTION("IFERROR(INDEX(FILTER('Kế hoạch chèn link (mới)'!$C$3:$C$2213,'Kế hoạch chèn link (mới)'!$D$3:$D$2213=$B668),4),"""")"),"")</f>
        <v/>
      </c>
      <c r="N668" s="25" t="str">
        <f>IFERROR(__xludf.DUMMYFUNCTION("IFERROR(INDEX(FILTER('Kế hoạch chèn link (mới)'!$B$3:$B$2213,'Kế hoạch chèn link (mới)'!$D$3:$D$2213=$B668),4),"""")"),"")</f>
        <v/>
      </c>
      <c r="O668" s="25" t="str">
        <f>IFERROR(__xludf.DUMMYFUNCTION("IFERROR(INDEX(FILTER('Kế hoạch chèn link (mới)'!$C$3:$C$2213,'Kế hoạch chèn link (mới)'!$D$3:$D$2213=$B668),5),"""")"),"")</f>
        <v/>
      </c>
      <c r="P668" s="25" t="str">
        <f>IFERROR(__xludf.DUMMYFUNCTION("IFERROR(INDEX(FILTER('Kế hoạch chèn link (mới)'!$B$3:$B$2213,'Kế hoạch chèn link (mới)'!$D$3:$D$2213=$B668),5),"""")"),"")</f>
        <v/>
      </c>
    </row>
    <row r="669">
      <c r="A669" s="6">
        <f t="shared" si="1"/>
        <v>668</v>
      </c>
      <c r="B669" s="8" t="s">
        <v>3291</v>
      </c>
      <c r="C669" s="6">
        <f>COUNTIF('Kế hoạch chèn link (mới)'!$D$3:$D$2213,$B669)</f>
        <v>5</v>
      </c>
      <c r="D669" s="8" t="str">
        <f>IF(COUNTIFS('Kế hoạch chèn link (mới)'!$D$3:$D$2213,$B669,'Kế hoạch chèn link (mới)'!$I$3:$I$2213,"Đã chèn")&gt;=$C669,"Đã hoàn thành",IF(COUNTIFS('Kế hoạch chèn link (mới)'!$D$3:$D$2213,$B669,'Kế hoạch chèn link (mới)'!$I$3:$I$2213,"Đã chèn")&gt;0,"Đang làm","Chưa hoàn thành"))</f>
        <v>Chưa hoàn thành</v>
      </c>
      <c r="E669" s="8" t="b">
        <f t="shared" si="2"/>
        <v>0</v>
      </c>
      <c r="F669" s="25"/>
      <c r="G669" s="25" t="str">
        <f>IFERROR(__xludf.DUMMYFUNCTION("IFERROR(INDEX(FILTER('Kế hoạch chèn link (mới)'!$C$3:$C$2213,'Kế hoạch chèn link (mới)'!$D$3:$D$2213=$B669),1),"""")"),"vay 1 tỷ mỗi tháng trả bao nhiêu")</f>
        <v>vay 1 tỷ mỗi tháng trả bao nhiêu</v>
      </c>
      <c r="H669" s="25" t="str">
        <f>IFERROR(__xludf.DUMMYFUNCTION("IFERROR(INDEX(FILTER('Kế hoạch chèn link (mới)'!$B$3:$B$2213,'Kế hoạch chèn link (mới)'!$D$3:$D$2213=$B669),1),"""")"),"https://techcombank.com/thong-tin/blog/vay-ngan-hang-1-ty-moi-thang-tra-bao-nhieu")</f>
        <v>https://techcombank.com/thong-tin/blog/vay-ngan-hang-1-ty-moi-thang-tra-bao-nhieu</v>
      </c>
      <c r="I669" s="25" t="str">
        <f>IFERROR(__xludf.DUMMYFUNCTION("IFERROR(INDEX(FILTER('Kế hoạch chèn link (mới)'!$C$3:$C$2213,'Kế hoạch chèn link (mới)'!$D$3:$D$2213=$B669),2),"""")"),"cách tính lãi suất vay")</f>
        <v>cách tính lãi suất vay</v>
      </c>
      <c r="J669" s="25" t="str">
        <f>IFERROR(__xludf.DUMMYFUNCTION("IFERROR(INDEX(FILTER('Kế hoạch chèn link (mới)'!$B$3:$B$2213,'Kế hoạch chèn link (mới)'!$D$3:$D$2213=$B669),2),"""")"),"https://techcombank.com/thong-tin/blog/cach-tinh-lai-vay-ngan-hang")</f>
        <v>https://techcombank.com/thong-tin/blog/cach-tinh-lai-vay-ngan-hang</v>
      </c>
      <c r="K669" s="25" t="str">
        <f>IFERROR(__xludf.DUMMYFUNCTION("IFERROR(INDEX(FILTER('Kế hoạch chèn link (mới)'!$C$3:$C$2213,'Kế hoạch chèn link (mới)'!$D$3:$D$2213=$B669),3),"""")"),"tính lãi suất vay ngân hàng")</f>
        <v>tính lãi suất vay ngân hàng</v>
      </c>
      <c r="L669" s="25" t="str">
        <f>IFERROR(__xludf.DUMMYFUNCTION("IFERROR(INDEX(FILTER('Kế hoạch chèn link (mới)'!$B$3:$B$2213,'Kế hoạch chèn link (mới)'!$D$3:$D$2213=$B669),3),"""")"),"https://techcombank.com/cong-cu-tien-ich/cong-cu-tinh-toan/bang-tinh-lai-suat-vay")</f>
        <v>https://techcombank.com/cong-cu-tien-ich/cong-cu-tinh-toan/bang-tinh-lai-suat-vay</v>
      </c>
      <c r="M669" s="25" t="str">
        <f>IFERROR(__xludf.DUMMYFUNCTION("IFERROR(INDEX(FILTER('Kế hoạch chèn link (mới)'!$C$3:$C$2213,'Kế hoạch chèn link (mới)'!$D$3:$D$2213=$B669),4),"""")"),"vay nhanh")</f>
        <v>vay nhanh</v>
      </c>
      <c r="N669" s="25" t="str">
        <f>IFERROR(__xludf.DUMMYFUNCTION("IFERROR(INDEX(FILTER('Kế hoạch chèn link (mới)'!$B$3:$B$2213,'Kế hoạch chèn link (mới)'!$D$3:$D$2213=$B669),4),"""")"),"https://techcombank.com/thong-tin/blog/app-vay-tien-nhanh")</f>
        <v>https://techcombank.com/thong-tin/blog/app-vay-tien-nhanh</v>
      </c>
      <c r="O669" s="25" t="str">
        <f>IFERROR(__xludf.DUMMYFUNCTION("IFERROR(INDEX(FILTER('Kế hoạch chèn link (mới)'!$C$3:$C$2213,'Kế hoạch chèn link (mới)'!$D$3:$D$2213=$B669),5),"""")"),"lãi suất cho vay ngân hàng")</f>
        <v>lãi suất cho vay ngân hàng</v>
      </c>
      <c r="P669" s="25" t="str">
        <f>IFERROR(__xludf.DUMMYFUNCTION("IFERROR(INDEX(FILTER('Kế hoạch chèn link (mới)'!$B$3:$B$2213,'Kế hoạch chèn link (mới)'!$D$3:$D$2213=$B669),5),"""")"),"https://techcombank.com/thong-tin/blog/lai-suat-vay-ngan-hang")</f>
        <v>https://techcombank.com/thong-tin/blog/lai-suat-vay-ngan-hang</v>
      </c>
    </row>
    <row r="670">
      <c r="A670" s="6">
        <f t="shared" si="1"/>
        <v>669</v>
      </c>
      <c r="B670" s="8" t="s">
        <v>3292</v>
      </c>
      <c r="C670" s="6">
        <f>COUNTIF('Kế hoạch chèn link (mới)'!$D$3:$D$2213,$B670)</f>
        <v>3</v>
      </c>
      <c r="D670" s="8" t="str">
        <f>IF(COUNTIFS('Kế hoạch chèn link (mới)'!$D$3:$D$2213,$B670,'Kế hoạch chèn link (mới)'!$I$3:$I$2213,"Đã chèn")&gt;=$C670,"Đã hoàn thành",IF(COUNTIFS('Kế hoạch chèn link (mới)'!$D$3:$D$2213,$B670,'Kế hoạch chèn link (mới)'!$I$3:$I$2213,"Đã chèn")&gt;0,"Đang làm","Chưa hoàn thành"))</f>
        <v>Chưa hoàn thành</v>
      </c>
      <c r="E670" s="8" t="b">
        <f t="shared" si="2"/>
        <v>0</v>
      </c>
      <c r="F670" s="25"/>
      <c r="G670" s="25" t="str">
        <f>IFERROR(__xludf.DUMMYFUNCTION("IFERROR(INDEX(FILTER('Kế hoạch chèn link (mới)'!$C$3:$C$2213,'Kế hoạch chèn link (mới)'!$D$3:$D$2213=$B670),1),"""")"),"tính lãi suất vay ngân hàng")</f>
        <v>tính lãi suất vay ngân hàng</v>
      </c>
      <c r="H670" s="25" t="str">
        <f>IFERROR(__xludf.DUMMYFUNCTION("IFERROR(INDEX(FILTER('Kế hoạch chèn link (mới)'!$B$3:$B$2213,'Kế hoạch chèn link (mới)'!$D$3:$D$2213=$B670),1),"""")"),"https://techcombank.com/cong-cu-tien-ich/cong-cu-tinh-toan/bang-tinh-lai-suat-vay")</f>
        <v>https://techcombank.com/cong-cu-tien-ich/cong-cu-tinh-toan/bang-tinh-lai-suat-vay</v>
      </c>
      <c r="I670" s="25" t="str">
        <f>IFERROR(__xludf.DUMMYFUNCTION("IFERROR(INDEX(FILTER('Kế hoạch chèn link (mới)'!$C$3:$C$2213,'Kế hoạch chèn link (mới)'!$D$3:$D$2213=$B670),2),"""")"),"app vay tiền nhanh")</f>
        <v>app vay tiền nhanh</v>
      </c>
      <c r="J670" s="25" t="str">
        <f>IFERROR(__xludf.DUMMYFUNCTION("IFERROR(INDEX(FILTER('Kế hoạch chèn link (mới)'!$B$3:$B$2213,'Kế hoạch chèn link (mới)'!$D$3:$D$2213=$B670),2),"""")"),"https://techcombank.com/thong-tin/blog/app-vay-tien-nhanh")</f>
        <v>https://techcombank.com/thong-tin/blog/app-vay-tien-nhanh</v>
      </c>
      <c r="K670" s="25" t="str">
        <f>IFERROR(__xludf.DUMMYFUNCTION("IFERROR(INDEX(FILTER('Kế hoạch chèn link (mới)'!$C$3:$C$2213,'Kế hoạch chèn link (mới)'!$D$3:$D$2213=$B670),3),"""")"),"lãi suất vay ngân hàng hiện nay")</f>
        <v>lãi suất vay ngân hàng hiện nay</v>
      </c>
      <c r="L670" s="25" t="str">
        <f>IFERROR(__xludf.DUMMYFUNCTION("IFERROR(INDEX(FILTER('Kế hoạch chèn link (mới)'!$B$3:$B$2213,'Kế hoạch chèn link (mới)'!$D$3:$D$2213=$B670),3),"""")"),"https://techcombank.com/thong-tin/blog/lai-suat-vay-ngan-hang")</f>
        <v>https://techcombank.com/thong-tin/blog/lai-suat-vay-ngan-hang</v>
      </c>
      <c r="M670" s="25" t="str">
        <f>IFERROR(__xludf.DUMMYFUNCTION("IFERROR(INDEX(FILTER('Kế hoạch chèn link (mới)'!$C$3:$C$2213,'Kế hoạch chèn link (mới)'!$D$3:$D$2213=$B670),4),"""")"),"")</f>
        <v/>
      </c>
      <c r="N670" s="25" t="str">
        <f>IFERROR(__xludf.DUMMYFUNCTION("IFERROR(INDEX(FILTER('Kế hoạch chèn link (mới)'!$B$3:$B$2213,'Kế hoạch chèn link (mới)'!$D$3:$D$2213=$B670),4),"""")"),"")</f>
        <v/>
      </c>
      <c r="O670" s="25" t="str">
        <f>IFERROR(__xludf.DUMMYFUNCTION("IFERROR(INDEX(FILTER('Kế hoạch chèn link (mới)'!$C$3:$C$2213,'Kế hoạch chèn link (mới)'!$D$3:$D$2213=$B670),5),"""")"),"")</f>
        <v/>
      </c>
      <c r="P670" s="25" t="str">
        <f>IFERROR(__xludf.DUMMYFUNCTION("IFERROR(INDEX(FILTER('Kế hoạch chèn link (mới)'!$B$3:$B$2213,'Kế hoạch chèn link (mới)'!$D$3:$D$2213=$B670),5),"""")"),"")</f>
        <v/>
      </c>
    </row>
    <row r="671">
      <c r="A671" s="6">
        <f t="shared" si="1"/>
        <v>670</v>
      </c>
      <c r="B671" s="8" t="s">
        <v>3293</v>
      </c>
      <c r="C671" s="6">
        <f>COUNTIF('Kế hoạch chèn link (mới)'!$D$3:$D$2213,$B671)</f>
        <v>3</v>
      </c>
      <c r="D671" s="8" t="str">
        <f>IF(COUNTIFS('Kế hoạch chèn link (mới)'!$D$3:$D$2213,$B671,'Kế hoạch chèn link (mới)'!$I$3:$I$2213,"Đã chèn")&gt;=$C671,"Đã hoàn thành",IF(COUNTIFS('Kế hoạch chèn link (mới)'!$D$3:$D$2213,$B671,'Kế hoạch chèn link (mới)'!$I$3:$I$2213,"Đã chèn")&gt;0,"Đang làm","Chưa hoàn thành"))</f>
        <v>Chưa hoàn thành</v>
      </c>
      <c r="E671" s="8" t="b">
        <f t="shared" si="2"/>
        <v>0</v>
      </c>
      <c r="F671" s="25"/>
      <c r="G671" s="25" t="str">
        <f>IFERROR(__xludf.DUMMYFUNCTION("IFERROR(INDEX(FILTER('Kế hoạch chèn link (mới)'!$C$3:$C$2213,'Kế hoạch chèn link (mới)'!$D$3:$D$2213=$B671),1),"""")"),"tính lãi suất vay ngân hàng")</f>
        <v>tính lãi suất vay ngân hàng</v>
      </c>
      <c r="H671" s="25" t="str">
        <f>IFERROR(__xludf.DUMMYFUNCTION("IFERROR(INDEX(FILTER('Kế hoạch chèn link (mới)'!$B$3:$B$2213,'Kế hoạch chèn link (mới)'!$D$3:$D$2213=$B671),1),"""")"),"https://techcombank.com/cong-cu-tien-ich/cong-cu-tinh-toan/bang-tinh-lai-suat-vay")</f>
        <v>https://techcombank.com/cong-cu-tien-ich/cong-cu-tinh-toan/bang-tinh-lai-suat-vay</v>
      </c>
      <c r="I671" s="25" t="str">
        <f>IFERROR(__xludf.DUMMYFUNCTION("IFERROR(INDEX(FILTER('Kế hoạch chèn link (mới)'!$C$3:$C$2213,'Kế hoạch chèn link (mới)'!$D$3:$D$2213=$B671),2),"""")"),"vay")</f>
        <v>vay</v>
      </c>
      <c r="J671" s="25" t="str">
        <f>IFERROR(__xludf.DUMMYFUNCTION("IFERROR(INDEX(FILTER('Kế hoạch chèn link (mới)'!$B$3:$B$2213,'Kế hoạch chèn link (mới)'!$D$3:$D$2213=$B671),2),"""")"),"https://techcombank.com/thong-tin/blog/app-vay-tien-nhanh")</f>
        <v>https://techcombank.com/thong-tin/blog/app-vay-tien-nhanh</v>
      </c>
      <c r="K671" s="25" t="str">
        <f>IFERROR(__xludf.DUMMYFUNCTION("IFERROR(INDEX(FILTER('Kế hoạch chèn link (mới)'!$C$3:$C$2213,'Kế hoạch chèn link (mới)'!$D$3:$D$2213=$B671),3),"""")"),"lãi suất vay ngân hàng hiện nay")</f>
        <v>lãi suất vay ngân hàng hiện nay</v>
      </c>
      <c r="L671" s="25" t="str">
        <f>IFERROR(__xludf.DUMMYFUNCTION("IFERROR(INDEX(FILTER('Kế hoạch chèn link (mới)'!$B$3:$B$2213,'Kế hoạch chèn link (mới)'!$D$3:$D$2213=$B671),3),"""")"),"https://techcombank.com/thong-tin/blog/lai-suat-vay-ngan-hang")</f>
        <v>https://techcombank.com/thong-tin/blog/lai-suat-vay-ngan-hang</v>
      </c>
      <c r="M671" s="25" t="str">
        <f>IFERROR(__xludf.DUMMYFUNCTION("IFERROR(INDEX(FILTER('Kế hoạch chèn link (mới)'!$C$3:$C$2213,'Kế hoạch chèn link (mới)'!$D$3:$D$2213=$B671),4),"""")"),"")</f>
        <v/>
      </c>
      <c r="N671" s="25" t="str">
        <f>IFERROR(__xludf.DUMMYFUNCTION("IFERROR(INDEX(FILTER('Kế hoạch chèn link (mới)'!$B$3:$B$2213,'Kế hoạch chèn link (mới)'!$D$3:$D$2213=$B671),4),"""")"),"")</f>
        <v/>
      </c>
      <c r="O671" s="25" t="str">
        <f>IFERROR(__xludf.DUMMYFUNCTION("IFERROR(INDEX(FILTER('Kế hoạch chèn link (mới)'!$C$3:$C$2213,'Kế hoạch chèn link (mới)'!$D$3:$D$2213=$B671),5),"""")"),"")</f>
        <v/>
      </c>
      <c r="P671" s="25" t="str">
        <f>IFERROR(__xludf.DUMMYFUNCTION("IFERROR(INDEX(FILTER('Kế hoạch chèn link (mới)'!$B$3:$B$2213,'Kế hoạch chèn link (mới)'!$D$3:$D$2213=$B671),5),"""")"),"")</f>
        <v/>
      </c>
    </row>
    <row r="672">
      <c r="A672" s="6">
        <f t="shared" si="1"/>
        <v>671</v>
      </c>
      <c r="B672" s="8" t="s">
        <v>3295</v>
      </c>
      <c r="C672" s="6">
        <f>COUNTIF('Kế hoạch chèn link (mới)'!$D$3:$D$2213,$B672)</f>
        <v>3</v>
      </c>
      <c r="D672" s="8" t="str">
        <f>IF(COUNTIFS('Kế hoạch chèn link (mới)'!$D$3:$D$2213,$B672,'Kế hoạch chèn link (mới)'!$I$3:$I$2213,"Đã chèn")&gt;=$C672,"Đã hoàn thành",IF(COUNTIFS('Kế hoạch chèn link (mới)'!$D$3:$D$2213,$B672,'Kế hoạch chèn link (mới)'!$I$3:$I$2213,"Đã chèn")&gt;0,"Đang làm","Chưa hoàn thành"))</f>
        <v>Chưa hoàn thành</v>
      </c>
      <c r="E672" s="8" t="b">
        <f t="shared" si="2"/>
        <v>0</v>
      </c>
      <c r="F672" s="25"/>
      <c r="G672" s="25" t="str">
        <f>IFERROR(__xludf.DUMMYFUNCTION("IFERROR(INDEX(FILTER('Kế hoạch chèn link (mới)'!$C$3:$C$2213,'Kế hoạch chèn link (mới)'!$D$3:$D$2213=$B672),1),"""")"),"tỷ giá USD/VND")</f>
        <v>tỷ giá USD/VND</v>
      </c>
      <c r="H672" s="25" t="str">
        <f>IFERROR(__xludf.DUMMYFUNCTION("IFERROR(INDEX(FILTER('Kế hoạch chèn link (mới)'!$B$3:$B$2213,'Kế hoạch chèn link (mới)'!$D$3:$D$2213=$B672),1),"""")"),"https://techcombank.com/thong-tin/blog/1-dong-do-la-my-bang-bao-nhieu-tien-viet-nam")</f>
        <v>https://techcombank.com/thong-tin/blog/1-dong-do-la-my-bang-bao-nhieu-tien-viet-nam</v>
      </c>
      <c r="I672" s="25" t="str">
        <f>IFERROR(__xludf.DUMMYFUNCTION("IFERROR(INDEX(FILTER('Kế hoạch chèn link (mới)'!$C$3:$C$2213,'Kế hoạch chèn link (mới)'!$D$3:$D$2213=$B672),2),"""")"),"tính lãi suất vay ngân hàng")</f>
        <v>tính lãi suất vay ngân hàng</v>
      </c>
      <c r="J672" s="25" t="str">
        <f>IFERROR(__xludf.DUMMYFUNCTION("IFERROR(INDEX(FILTER('Kế hoạch chèn link (mới)'!$B$3:$B$2213,'Kế hoạch chèn link (mới)'!$D$3:$D$2213=$B672),2),"""")"),"https://techcombank.com/cong-cu-tien-ich/cong-cu-tinh-toan/bang-tinh-lai-suat-vay")</f>
        <v>https://techcombank.com/cong-cu-tien-ich/cong-cu-tinh-toan/bang-tinh-lai-suat-vay</v>
      </c>
      <c r="K672" s="25" t="str">
        <f>IFERROR(__xludf.DUMMYFUNCTION("IFERROR(INDEX(FILTER('Kế hoạch chèn link (mới)'!$C$3:$C$2213,'Kế hoạch chèn link (mới)'!$D$3:$D$2213=$B672),3),"""")"),"vay tiền")</f>
        <v>vay tiền</v>
      </c>
      <c r="L672" s="25" t="str">
        <f>IFERROR(__xludf.DUMMYFUNCTION("IFERROR(INDEX(FILTER('Kế hoạch chèn link (mới)'!$B$3:$B$2213,'Kế hoạch chèn link (mới)'!$D$3:$D$2213=$B672),3),"""")"),"https://techcombank.com/thong-tin/blog/app-vay-tien-nhanh")</f>
        <v>https://techcombank.com/thong-tin/blog/app-vay-tien-nhanh</v>
      </c>
      <c r="M672" s="25" t="str">
        <f>IFERROR(__xludf.DUMMYFUNCTION("IFERROR(INDEX(FILTER('Kế hoạch chèn link (mới)'!$C$3:$C$2213,'Kế hoạch chèn link (mới)'!$D$3:$D$2213=$B672),4),"""")"),"")</f>
        <v/>
      </c>
      <c r="N672" s="25" t="str">
        <f>IFERROR(__xludf.DUMMYFUNCTION("IFERROR(INDEX(FILTER('Kế hoạch chèn link (mới)'!$B$3:$B$2213,'Kế hoạch chèn link (mới)'!$D$3:$D$2213=$B672),4),"""")"),"")</f>
        <v/>
      </c>
      <c r="O672" s="25" t="str">
        <f>IFERROR(__xludf.DUMMYFUNCTION("IFERROR(INDEX(FILTER('Kế hoạch chèn link (mới)'!$C$3:$C$2213,'Kế hoạch chèn link (mới)'!$D$3:$D$2213=$B672),5),"""")"),"")</f>
        <v/>
      </c>
      <c r="P672" s="25" t="str">
        <f>IFERROR(__xludf.DUMMYFUNCTION("IFERROR(INDEX(FILTER('Kế hoạch chèn link (mới)'!$B$3:$B$2213,'Kế hoạch chèn link (mới)'!$D$3:$D$2213=$B672),5),"""")"),"")</f>
        <v/>
      </c>
    </row>
    <row r="673">
      <c r="A673" s="6">
        <f t="shared" si="1"/>
        <v>672</v>
      </c>
      <c r="B673" s="8" t="s">
        <v>3298</v>
      </c>
      <c r="C673" s="6">
        <f>COUNTIF('Kế hoạch chèn link (mới)'!$D$3:$D$2213,$B673)</f>
        <v>5</v>
      </c>
      <c r="D673" s="8" t="str">
        <f>IF(COUNTIFS('Kế hoạch chèn link (mới)'!$D$3:$D$2213,$B673,'Kế hoạch chèn link (mới)'!$I$3:$I$2213,"Đã chèn")&gt;=$C673,"Đã hoàn thành",IF(COUNTIFS('Kế hoạch chèn link (mới)'!$D$3:$D$2213,$B673,'Kế hoạch chèn link (mới)'!$I$3:$I$2213,"Đã chèn")&gt;0,"Đang làm","Chưa hoàn thành"))</f>
        <v>Chưa hoàn thành</v>
      </c>
      <c r="E673" s="8" t="b">
        <f t="shared" si="2"/>
        <v>0</v>
      </c>
      <c r="F673" s="25"/>
      <c r="G673" s="25" t="str">
        <f>IFERROR(__xludf.DUMMYFUNCTION("IFERROR(INDEX(FILTER('Kế hoạch chèn link (mới)'!$C$3:$C$2213,'Kế hoạch chèn link (mới)'!$D$3:$D$2213=$B673),1),"""")"),"cic là gì")</f>
        <v>cic là gì</v>
      </c>
      <c r="H673" s="25" t="str">
        <f>IFERROR(__xludf.DUMMYFUNCTION("IFERROR(INDEX(FILTER('Kế hoạch chèn link (mới)'!$B$3:$B$2213,'Kế hoạch chèn link (mới)'!$D$3:$D$2213=$B673),1),"""")"),"https://techcombank.com/thong-tin/blog/cic-la-gi")</f>
        <v>https://techcombank.com/thong-tin/blog/cic-la-gi</v>
      </c>
      <c r="I673" s="25" t="str">
        <f>IFERROR(__xludf.DUMMYFUNCTION("IFERROR(INDEX(FILTER('Kế hoạch chèn link (mới)'!$C$3:$C$2213,'Kế hoạch chèn link (mới)'!$D$3:$D$2213=$B673),2),"""")"),"tính lãi vay ngân hàng")</f>
        <v>tính lãi vay ngân hàng</v>
      </c>
      <c r="J673" s="25" t="str">
        <f>IFERROR(__xludf.DUMMYFUNCTION("IFERROR(INDEX(FILTER('Kế hoạch chèn link (mới)'!$B$3:$B$2213,'Kế hoạch chèn link (mới)'!$D$3:$D$2213=$B673),2),"""")"),"https://techcombank.com/cong-cu-tien-ich/cong-cu-tinh-toan/bang-tinh-lai-suat-vay")</f>
        <v>https://techcombank.com/cong-cu-tien-ich/cong-cu-tinh-toan/bang-tinh-lai-suat-vay</v>
      </c>
      <c r="K673" s="25" t="str">
        <f>IFERROR(__xludf.DUMMYFUNCTION("IFERROR(INDEX(FILTER('Kế hoạch chèn link (mới)'!$C$3:$C$2213,'Kế hoạch chèn link (mới)'!$D$3:$D$2213=$B673),3),"""")"),"vay tiền")</f>
        <v>vay tiền</v>
      </c>
      <c r="L673" s="25" t="str">
        <f>IFERROR(__xludf.DUMMYFUNCTION("IFERROR(INDEX(FILTER('Kế hoạch chèn link (mới)'!$B$3:$B$2213,'Kế hoạch chèn link (mới)'!$D$3:$D$2213=$B673),3),"""")"),"https://techcombank.com/thong-tin/blog/app-vay-tien-nhanh")</f>
        <v>https://techcombank.com/thong-tin/blog/app-vay-tien-nhanh</v>
      </c>
      <c r="M673" s="25" t="str">
        <f>IFERROR(__xludf.DUMMYFUNCTION("IFERROR(INDEX(FILTER('Kế hoạch chèn link (mới)'!$C$3:$C$2213,'Kế hoạch chèn link (mới)'!$D$3:$D$2213=$B673),4),"""")"),"lãi suất cho vay ngân hàng")</f>
        <v>lãi suất cho vay ngân hàng</v>
      </c>
      <c r="N673" s="25" t="str">
        <f>IFERROR(__xludf.DUMMYFUNCTION("IFERROR(INDEX(FILTER('Kế hoạch chèn link (mới)'!$B$3:$B$2213,'Kế hoạch chèn link (mới)'!$D$3:$D$2213=$B673),4),"""")"),"https://techcombank.com/thong-tin/blog/lai-suat-vay-ngan-hang")</f>
        <v>https://techcombank.com/thong-tin/blog/lai-suat-vay-ngan-hang</v>
      </c>
      <c r="O673" s="25" t="str">
        <f>IFERROR(__xludf.DUMMYFUNCTION("IFERROR(INDEX(FILTER('Kế hoạch chèn link (mới)'!$C$3:$C$2213,'Kế hoạch chèn link (mới)'!$D$3:$D$2213=$B673),5),"""")"),"vay thấu chi")</f>
        <v>vay thấu chi</v>
      </c>
      <c r="P673" s="25" t="str">
        <f>IFERROR(__xludf.DUMMYFUNCTION("IFERROR(INDEX(FILTER('Kế hoạch chèn link (mới)'!$B$3:$B$2213,'Kế hoạch chèn link (mới)'!$D$3:$D$2213=$B673),5),"""")"),"https://techcombank.com/thong-tin/blog/vay-thau-chi-la-gi")</f>
        <v>https://techcombank.com/thong-tin/blog/vay-thau-chi-la-gi</v>
      </c>
    </row>
    <row r="674">
      <c r="A674" s="6">
        <f t="shared" si="1"/>
        <v>673</v>
      </c>
      <c r="B674" s="8" t="s">
        <v>3300</v>
      </c>
      <c r="C674" s="6">
        <f>COUNTIF('Kế hoạch chèn link (mới)'!$D$3:$D$2213,$B674)</f>
        <v>3</v>
      </c>
      <c r="D674" s="8" t="str">
        <f>IF(COUNTIFS('Kế hoạch chèn link (mới)'!$D$3:$D$2213,$B674,'Kế hoạch chèn link (mới)'!$I$3:$I$2213,"Đã chèn")&gt;=$C674,"Đã hoàn thành",IF(COUNTIFS('Kế hoạch chèn link (mới)'!$D$3:$D$2213,$B674,'Kế hoạch chèn link (mới)'!$I$3:$I$2213,"Đã chèn")&gt;0,"Đang làm","Chưa hoàn thành"))</f>
        <v>Chưa hoàn thành</v>
      </c>
      <c r="E674" s="8" t="b">
        <f t="shared" si="2"/>
        <v>0</v>
      </c>
      <c r="F674" s="25"/>
      <c r="G674" s="25" t="str">
        <f>IFERROR(__xludf.DUMMYFUNCTION("IFERROR(INDEX(FILTER('Kế hoạch chèn link (mới)'!$C$3:$C$2213,'Kế hoạch chèn link (mới)'!$D$3:$D$2213=$B674),1),"""")"),"tính lãi suất vay ngân hàng")</f>
        <v>tính lãi suất vay ngân hàng</v>
      </c>
      <c r="H674" s="25" t="str">
        <f>IFERROR(__xludf.DUMMYFUNCTION("IFERROR(INDEX(FILTER('Kế hoạch chèn link (mới)'!$B$3:$B$2213,'Kế hoạch chèn link (mới)'!$D$3:$D$2213=$B674),1),"""")"),"https://techcombank.com/cong-cu-tien-ich/cong-cu-tinh-toan/bang-tinh-lai-suat-vay")</f>
        <v>https://techcombank.com/cong-cu-tien-ich/cong-cu-tinh-toan/bang-tinh-lai-suat-vay</v>
      </c>
      <c r="I674" s="25" t="str">
        <f>IFERROR(__xludf.DUMMYFUNCTION("IFERROR(INDEX(FILTER('Kế hoạch chèn link (mới)'!$C$3:$C$2213,'Kế hoạch chèn link (mới)'!$D$3:$D$2213=$B674),2),"""")"),"vay nhanh")</f>
        <v>vay nhanh</v>
      </c>
      <c r="J674" s="25" t="str">
        <f>IFERROR(__xludf.DUMMYFUNCTION("IFERROR(INDEX(FILTER('Kế hoạch chèn link (mới)'!$B$3:$B$2213,'Kế hoạch chèn link (mới)'!$D$3:$D$2213=$B674),2),"""")"),"https://techcombank.com/thong-tin/blog/app-vay-tien-nhanh")</f>
        <v>https://techcombank.com/thong-tin/blog/app-vay-tien-nhanh</v>
      </c>
      <c r="K674" s="25" t="str">
        <f>IFERROR(__xludf.DUMMYFUNCTION("IFERROR(INDEX(FILTER('Kế hoạch chèn link (mới)'!$C$3:$C$2213,'Kế hoạch chèn link (mới)'!$D$3:$D$2213=$B674),3),"""")"),"lãi suất vay ngân hàng")</f>
        <v>lãi suất vay ngân hàng</v>
      </c>
      <c r="L674" s="25" t="str">
        <f>IFERROR(__xludf.DUMMYFUNCTION("IFERROR(INDEX(FILTER('Kế hoạch chèn link (mới)'!$B$3:$B$2213,'Kế hoạch chèn link (mới)'!$D$3:$D$2213=$B674),3),"""")"),"https://techcombank.com/thong-tin/blog/lai-suat-vay-ngan-hang")</f>
        <v>https://techcombank.com/thong-tin/blog/lai-suat-vay-ngan-hang</v>
      </c>
      <c r="M674" s="25" t="str">
        <f>IFERROR(__xludf.DUMMYFUNCTION("IFERROR(INDEX(FILTER('Kế hoạch chèn link (mới)'!$C$3:$C$2213,'Kế hoạch chèn link (mới)'!$D$3:$D$2213=$B674),4),"""")"),"")</f>
        <v/>
      </c>
      <c r="N674" s="25" t="str">
        <f>IFERROR(__xludf.DUMMYFUNCTION("IFERROR(INDEX(FILTER('Kế hoạch chèn link (mới)'!$B$3:$B$2213,'Kế hoạch chèn link (mới)'!$D$3:$D$2213=$B674),4),"""")"),"")</f>
        <v/>
      </c>
      <c r="O674" s="25" t="str">
        <f>IFERROR(__xludf.DUMMYFUNCTION("IFERROR(INDEX(FILTER('Kế hoạch chèn link (mới)'!$C$3:$C$2213,'Kế hoạch chèn link (mới)'!$D$3:$D$2213=$B674),5),"""")"),"")</f>
        <v/>
      </c>
      <c r="P674" s="25" t="str">
        <f>IFERROR(__xludf.DUMMYFUNCTION("IFERROR(INDEX(FILTER('Kế hoạch chèn link (mới)'!$B$3:$B$2213,'Kế hoạch chèn link (mới)'!$D$3:$D$2213=$B674),5),"""")"),"")</f>
        <v/>
      </c>
    </row>
    <row r="675">
      <c r="A675" s="6">
        <f t="shared" si="1"/>
        <v>674</v>
      </c>
      <c r="B675" s="8" t="s">
        <v>3301</v>
      </c>
      <c r="C675" s="6">
        <f>COUNTIF('Kế hoạch chèn link (mới)'!$D$3:$D$2213,$B675)</f>
        <v>2</v>
      </c>
      <c r="D675" s="8" t="str">
        <f>IF(COUNTIFS('Kế hoạch chèn link (mới)'!$D$3:$D$2213,$B675,'Kế hoạch chèn link (mới)'!$I$3:$I$2213,"Đã chèn")&gt;=$C675,"Đã hoàn thành",IF(COUNTIFS('Kế hoạch chèn link (mới)'!$D$3:$D$2213,$B675,'Kế hoạch chèn link (mới)'!$I$3:$I$2213,"Đã chèn")&gt;0,"Đang làm","Chưa hoàn thành"))</f>
        <v>Chưa hoàn thành</v>
      </c>
      <c r="E675" s="8" t="b">
        <f t="shared" si="2"/>
        <v>0</v>
      </c>
      <c r="F675" s="25"/>
      <c r="G675" s="25" t="str">
        <f>IFERROR(__xludf.DUMMYFUNCTION("IFERROR(INDEX(FILTER('Kế hoạch chèn link (mới)'!$C$3:$C$2213,'Kế hoạch chèn link (mới)'!$D$3:$D$2213=$B675),1),"""")"),"tính lãi vay ngân hàng")</f>
        <v>tính lãi vay ngân hàng</v>
      </c>
      <c r="H675" s="25" t="str">
        <f>IFERROR(__xludf.DUMMYFUNCTION("IFERROR(INDEX(FILTER('Kế hoạch chèn link (mới)'!$B$3:$B$2213,'Kế hoạch chèn link (mới)'!$D$3:$D$2213=$B675),1),"""")"),"https://techcombank.com/cong-cu-tien-ich/cong-cu-tinh-toan/bang-tinh-lai-suat-vay")</f>
        <v>https://techcombank.com/cong-cu-tien-ich/cong-cu-tinh-toan/bang-tinh-lai-suat-vay</v>
      </c>
      <c r="I675" s="25" t="str">
        <f>IFERROR(__xludf.DUMMYFUNCTION("IFERROR(INDEX(FILTER('Kế hoạch chèn link (mới)'!$C$3:$C$2213,'Kế hoạch chèn link (mới)'!$D$3:$D$2213=$B675),2),"""")"),"lãi vay ngân hàng hiện nay")</f>
        <v>lãi vay ngân hàng hiện nay</v>
      </c>
      <c r="J675" s="25" t="str">
        <f>IFERROR(__xludf.DUMMYFUNCTION("IFERROR(INDEX(FILTER('Kế hoạch chèn link (mới)'!$B$3:$B$2213,'Kế hoạch chèn link (mới)'!$D$3:$D$2213=$B675),2),"""")"),"https://techcombank.com/thong-tin/blog/lai-suat-vay-ngan-hang")</f>
        <v>https://techcombank.com/thong-tin/blog/lai-suat-vay-ngan-hang</v>
      </c>
      <c r="K675" s="25" t="str">
        <f>IFERROR(__xludf.DUMMYFUNCTION("IFERROR(INDEX(FILTER('Kế hoạch chèn link (mới)'!$C$3:$C$2213,'Kế hoạch chèn link (mới)'!$D$3:$D$2213=$B675),3),"""")"),"")</f>
        <v/>
      </c>
      <c r="L675" s="25" t="str">
        <f>IFERROR(__xludf.DUMMYFUNCTION("IFERROR(INDEX(FILTER('Kế hoạch chèn link (mới)'!$B$3:$B$2213,'Kế hoạch chèn link (mới)'!$D$3:$D$2213=$B675),3),"""")"),"")</f>
        <v/>
      </c>
      <c r="M675" s="25" t="str">
        <f>IFERROR(__xludf.DUMMYFUNCTION("IFERROR(INDEX(FILTER('Kế hoạch chèn link (mới)'!$C$3:$C$2213,'Kế hoạch chèn link (mới)'!$D$3:$D$2213=$B675),4),"""")"),"")</f>
        <v/>
      </c>
      <c r="N675" s="25" t="str">
        <f>IFERROR(__xludf.DUMMYFUNCTION("IFERROR(INDEX(FILTER('Kế hoạch chèn link (mới)'!$B$3:$B$2213,'Kế hoạch chèn link (mới)'!$D$3:$D$2213=$B675),4),"""")"),"")</f>
        <v/>
      </c>
      <c r="O675" s="25" t="str">
        <f>IFERROR(__xludf.DUMMYFUNCTION("IFERROR(INDEX(FILTER('Kế hoạch chèn link (mới)'!$C$3:$C$2213,'Kế hoạch chèn link (mới)'!$D$3:$D$2213=$B675),5),"""")"),"")</f>
        <v/>
      </c>
      <c r="P675" s="25" t="str">
        <f>IFERROR(__xludf.DUMMYFUNCTION("IFERROR(INDEX(FILTER('Kế hoạch chèn link (mới)'!$B$3:$B$2213,'Kế hoạch chèn link (mới)'!$D$3:$D$2213=$B675),5),"""")"),"")</f>
        <v/>
      </c>
    </row>
    <row r="676">
      <c r="A676" s="6">
        <f t="shared" si="1"/>
        <v>675</v>
      </c>
      <c r="B676" s="8" t="s">
        <v>3302</v>
      </c>
      <c r="C676" s="6">
        <f>COUNTIF('Kế hoạch chèn link (mới)'!$D$3:$D$2213,$B676)</f>
        <v>3</v>
      </c>
      <c r="D676" s="8" t="str">
        <f>IF(COUNTIFS('Kế hoạch chèn link (mới)'!$D$3:$D$2213,$B676,'Kế hoạch chèn link (mới)'!$I$3:$I$2213,"Đã chèn")&gt;=$C676,"Đã hoàn thành",IF(COUNTIFS('Kế hoạch chèn link (mới)'!$D$3:$D$2213,$B676,'Kế hoạch chèn link (mới)'!$I$3:$I$2213,"Đã chèn")&gt;0,"Đang làm","Chưa hoàn thành"))</f>
        <v>Chưa hoàn thành</v>
      </c>
      <c r="E676" s="8" t="b">
        <f t="shared" si="2"/>
        <v>0</v>
      </c>
      <c r="F676" s="25"/>
      <c r="G676" s="25" t="str">
        <f>IFERROR(__xludf.DUMMYFUNCTION("IFERROR(INDEX(FILTER('Kế hoạch chèn link (mới)'!$C$3:$C$2213,'Kế hoạch chèn link (mới)'!$D$3:$D$2213=$B676),1),"""")"),"tính lãi suất vay ngân hàng")</f>
        <v>tính lãi suất vay ngân hàng</v>
      </c>
      <c r="H676" s="25" t="str">
        <f>IFERROR(__xludf.DUMMYFUNCTION("IFERROR(INDEX(FILTER('Kế hoạch chèn link (mới)'!$B$3:$B$2213,'Kế hoạch chèn link (mới)'!$D$3:$D$2213=$B676),1),"""")"),"https://techcombank.com/cong-cu-tien-ich/cong-cu-tinh-toan/bang-tinh-lai-suat-vay")</f>
        <v>https://techcombank.com/cong-cu-tien-ich/cong-cu-tinh-toan/bang-tinh-lai-suat-vay</v>
      </c>
      <c r="I676" s="25" t="str">
        <f>IFERROR(__xludf.DUMMYFUNCTION("IFERROR(INDEX(FILTER('Kế hoạch chèn link (mới)'!$C$3:$C$2213,'Kế hoạch chèn link (mới)'!$D$3:$D$2213=$B676),2),"""")"),"lãi suất cho vay ngân hàng")</f>
        <v>lãi suất cho vay ngân hàng</v>
      </c>
      <c r="J676" s="25" t="str">
        <f>IFERROR(__xludf.DUMMYFUNCTION("IFERROR(INDEX(FILTER('Kế hoạch chèn link (mới)'!$B$3:$B$2213,'Kế hoạch chèn link (mới)'!$D$3:$D$2213=$B676),2),"""")"),"https://techcombank.com/thong-tin/blog/lai-suat-vay-ngan-hang")</f>
        <v>https://techcombank.com/thong-tin/blog/lai-suat-vay-ngan-hang</v>
      </c>
      <c r="K676" s="25" t="str">
        <f>IFERROR(__xludf.DUMMYFUNCTION("IFERROR(INDEX(FILTER('Kế hoạch chèn link (mới)'!$C$3:$C$2213,'Kế hoạch chèn link (mới)'!$D$3:$D$2213=$B676),3),"""")"),"vay thấu chi")</f>
        <v>vay thấu chi</v>
      </c>
      <c r="L676" s="25" t="str">
        <f>IFERROR(__xludf.DUMMYFUNCTION("IFERROR(INDEX(FILTER('Kế hoạch chèn link (mới)'!$B$3:$B$2213,'Kế hoạch chèn link (mới)'!$D$3:$D$2213=$B676),3),"""")"),"https://techcombank.com/thong-tin/blog/vay-thau-chi-la-gi")</f>
        <v>https://techcombank.com/thong-tin/blog/vay-thau-chi-la-gi</v>
      </c>
      <c r="M676" s="25" t="str">
        <f>IFERROR(__xludf.DUMMYFUNCTION("IFERROR(INDEX(FILTER('Kế hoạch chèn link (mới)'!$C$3:$C$2213,'Kế hoạch chèn link (mới)'!$D$3:$D$2213=$B676),4),"""")"),"")</f>
        <v/>
      </c>
      <c r="N676" s="25" t="str">
        <f>IFERROR(__xludf.DUMMYFUNCTION("IFERROR(INDEX(FILTER('Kế hoạch chèn link (mới)'!$B$3:$B$2213,'Kế hoạch chèn link (mới)'!$D$3:$D$2213=$B676),4),"""")"),"")</f>
        <v/>
      </c>
      <c r="O676" s="25" t="str">
        <f>IFERROR(__xludf.DUMMYFUNCTION("IFERROR(INDEX(FILTER('Kế hoạch chèn link (mới)'!$C$3:$C$2213,'Kế hoạch chèn link (mới)'!$D$3:$D$2213=$B676),5),"""")"),"")</f>
        <v/>
      </c>
      <c r="P676" s="25" t="str">
        <f>IFERROR(__xludf.DUMMYFUNCTION("IFERROR(INDEX(FILTER('Kế hoạch chèn link (mới)'!$B$3:$B$2213,'Kế hoạch chèn link (mới)'!$D$3:$D$2213=$B676),5),"""")"),"")</f>
        <v/>
      </c>
    </row>
    <row r="677">
      <c r="A677" s="6">
        <f t="shared" si="1"/>
        <v>676</v>
      </c>
      <c r="B677" s="8" t="s">
        <v>3303</v>
      </c>
      <c r="C677" s="6">
        <f>COUNTIF('Kế hoạch chèn link (mới)'!$D$3:$D$2213,$B677)</f>
        <v>3</v>
      </c>
      <c r="D677" s="8" t="str">
        <f>IF(COUNTIFS('Kế hoạch chèn link (mới)'!$D$3:$D$2213,$B677,'Kế hoạch chèn link (mới)'!$I$3:$I$2213,"Đã chèn")&gt;=$C677,"Đã hoàn thành",IF(COUNTIFS('Kế hoạch chèn link (mới)'!$D$3:$D$2213,$B677,'Kế hoạch chèn link (mới)'!$I$3:$I$2213,"Đã chèn")&gt;0,"Đang làm","Chưa hoàn thành"))</f>
        <v>Chưa hoàn thành</v>
      </c>
      <c r="E677" s="8" t="b">
        <f t="shared" si="2"/>
        <v>0</v>
      </c>
      <c r="F677" s="25"/>
      <c r="G677" s="25" t="str">
        <f>IFERROR(__xludf.DUMMYFUNCTION("IFERROR(INDEX(FILTER('Kế hoạch chèn link (mới)'!$C$3:$C$2213,'Kế hoạch chèn link (mới)'!$D$3:$D$2213=$B677),1),"""")"),"cách tính lãi suất vay")</f>
        <v>cách tính lãi suất vay</v>
      </c>
      <c r="H677" s="25" t="str">
        <f>IFERROR(__xludf.DUMMYFUNCTION("IFERROR(INDEX(FILTER('Kế hoạch chèn link (mới)'!$B$3:$B$2213,'Kế hoạch chèn link (mới)'!$D$3:$D$2213=$B677),1),"""")"),"https://techcombank.com/thong-tin/blog/cach-tinh-lai-vay-ngan-hang")</f>
        <v>https://techcombank.com/thong-tin/blog/cach-tinh-lai-vay-ngan-hang</v>
      </c>
      <c r="I677" s="25" t="str">
        <f>IFERROR(__xludf.DUMMYFUNCTION("IFERROR(INDEX(FILTER('Kế hoạch chèn link (mới)'!$C$3:$C$2213,'Kế hoạch chèn link (mới)'!$D$3:$D$2213=$B677),2),"""")"),"lãi suất ngân hàng hiện nay")</f>
        <v>lãi suất ngân hàng hiện nay</v>
      </c>
      <c r="J677" s="25" t="str">
        <f>IFERROR(__xludf.DUMMYFUNCTION("IFERROR(INDEX(FILTER('Kế hoạch chèn link (mới)'!$B$3:$B$2213,'Kế hoạch chèn link (mới)'!$D$3:$D$2213=$B677),2),"""")"),"https://techcombank.com/thong-tin/blog/lai-suat-tiet-kiem")</f>
        <v>https://techcombank.com/thong-tin/blog/lai-suat-tiet-kiem</v>
      </c>
      <c r="K677" s="25" t="str">
        <f>IFERROR(__xludf.DUMMYFUNCTION("IFERROR(INDEX(FILTER('Kế hoạch chèn link (mới)'!$C$3:$C$2213,'Kế hoạch chèn link (mới)'!$D$3:$D$2213=$B677),3),"""")"),"lãi suất vay ngân hàng hiện nay")</f>
        <v>lãi suất vay ngân hàng hiện nay</v>
      </c>
      <c r="L677" s="25" t="str">
        <f>IFERROR(__xludf.DUMMYFUNCTION("IFERROR(INDEX(FILTER('Kế hoạch chèn link (mới)'!$B$3:$B$2213,'Kế hoạch chèn link (mới)'!$D$3:$D$2213=$B677),3),"""")"),"https://techcombank.com/thong-tin/blog/lai-suat-vay-ngan-hang")</f>
        <v>https://techcombank.com/thong-tin/blog/lai-suat-vay-ngan-hang</v>
      </c>
      <c r="M677" s="25" t="str">
        <f>IFERROR(__xludf.DUMMYFUNCTION("IFERROR(INDEX(FILTER('Kế hoạch chèn link (mới)'!$C$3:$C$2213,'Kế hoạch chèn link (mới)'!$D$3:$D$2213=$B677),4),"""")"),"")</f>
        <v/>
      </c>
      <c r="N677" s="25" t="str">
        <f>IFERROR(__xludf.DUMMYFUNCTION("IFERROR(INDEX(FILTER('Kế hoạch chèn link (mới)'!$B$3:$B$2213,'Kế hoạch chèn link (mới)'!$D$3:$D$2213=$B677),4),"""")"),"")</f>
        <v/>
      </c>
      <c r="O677" s="25" t="str">
        <f>IFERROR(__xludf.DUMMYFUNCTION("IFERROR(INDEX(FILTER('Kế hoạch chèn link (mới)'!$C$3:$C$2213,'Kế hoạch chèn link (mới)'!$D$3:$D$2213=$B677),5),"""")"),"")</f>
        <v/>
      </c>
      <c r="P677" s="25" t="str">
        <f>IFERROR(__xludf.DUMMYFUNCTION("IFERROR(INDEX(FILTER('Kế hoạch chèn link (mới)'!$B$3:$B$2213,'Kế hoạch chèn link (mới)'!$D$3:$D$2213=$B677),5),"""")"),"")</f>
        <v/>
      </c>
    </row>
    <row r="678">
      <c r="A678" s="6">
        <f t="shared" si="1"/>
        <v>677</v>
      </c>
      <c r="B678" s="8" t="s">
        <v>3304</v>
      </c>
      <c r="C678" s="6">
        <f>COUNTIF('Kế hoạch chèn link (mới)'!$D$3:$D$2213,$B678)</f>
        <v>4</v>
      </c>
      <c r="D678" s="8" t="str">
        <f>IF(COUNTIFS('Kế hoạch chèn link (mới)'!$D$3:$D$2213,$B678,'Kế hoạch chèn link (mới)'!$I$3:$I$2213,"Đã chèn")&gt;=$C678,"Đã hoàn thành",IF(COUNTIFS('Kế hoạch chèn link (mới)'!$D$3:$D$2213,$B678,'Kế hoạch chèn link (mới)'!$I$3:$I$2213,"Đã chèn")&gt;0,"Đang làm","Chưa hoàn thành"))</f>
        <v>Chưa hoàn thành</v>
      </c>
      <c r="E678" s="8" t="b">
        <f t="shared" si="2"/>
        <v>0</v>
      </c>
      <c r="F678" s="25"/>
      <c r="G678" s="25" t="str">
        <f>IFERROR(__xludf.DUMMYFUNCTION("IFERROR(INDEX(FILTER('Kế hoạch chèn link (mới)'!$C$3:$C$2213,'Kế hoạch chèn link (mới)'!$D$3:$D$2213=$B678),1),"""")"),"cách tính lãi suất vay")</f>
        <v>cách tính lãi suất vay</v>
      </c>
      <c r="H678" s="25" t="str">
        <f>IFERROR(__xludf.DUMMYFUNCTION("IFERROR(INDEX(FILTER('Kế hoạch chèn link (mới)'!$B$3:$B$2213,'Kế hoạch chèn link (mới)'!$D$3:$D$2213=$B678),1),"""")"),"https://techcombank.com/thong-tin/blog/cach-tinh-lai-vay-ngan-hang")</f>
        <v>https://techcombank.com/thong-tin/blog/cach-tinh-lai-vay-ngan-hang</v>
      </c>
      <c r="I678" s="25" t="str">
        <f>IFERROR(__xludf.DUMMYFUNCTION("IFERROR(INDEX(FILTER('Kế hoạch chèn link (mới)'!$C$3:$C$2213,'Kế hoạch chèn link (mới)'!$D$3:$D$2213=$B678),2),"""")"),"lãi suất ngân hàng")</f>
        <v>lãi suất ngân hàng</v>
      </c>
      <c r="J678" s="25" t="str">
        <f>IFERROR(__xludf.DUMMYFUNCTION("IFERROR(INDEX(FILTER('Kế hoạch chèn link (mới)'!$B$3:$B$2213,'Kế hoạch chèn link (mới)'!$D$3:$D$2213=$B678),2),"""")"),"https://techcombank.com/thong-tin/blog/lai-suat-tiet-kiem")</f>
        <v>https://techcombank.com/thong-tin/blog/lai-suat-tiet-kiem</v>
      </c>
      <c r="K678" s="25" t="str">
        <f>IFERROR(__xludf.DUMMYFUNCTION("IFERROR(INDEX(FILTER('Kế hoạch chèn link (mới)'!$C$3:$C$2213,'Kế hoạch chèn link (mới)'!$D$3:$D$2213=$B678),3),"""")"),"tính lãi vay ngân hàng")</f>
        <v>tính lãi vay ngân hàng</v>
      </c>
      <c r="L678" s="25" t="str">
        <f>IFERROR(__xludf.DUMMYFUNCTION("IFERROR(INDEX(FILTER('Kế hoạch chèn link (mới)'!$B$3:$B$2213,'Kế hoạch chèn link (mới)'!$D$3:$D$2213=$B678),3),"""")"),"https://techcombank.com/cong-cu-tien-ich/cong-cu-tinh-toan/bang-tinh-lai-suat-vay")</f>
        <v>https://techcombank.com/cong-cu-tien-ich/cong-cu-tinh-toan/bang-tinh-lai-suat-vay</v>
      </c>
      <c r="M678" s="25" t="str">
        <f>IFERROR(__xludf.DUMMYFUNCTION("IFERROR(INDEX(FILTER('Kế hoạch chèn link (mới)'!$C$3:$C$2213,'Kế hoạch chèn link (mới)'!$D$3:$D$2213=$B678),4),"""")"),"lãi vay ngân hàng hiện nay")</f>
        <v>lãi vay ngân hàng hiện nay</v>
      </c>
      <c r="N678" s="25" t="str">
        <f>IFERROR(__xludf.DUMMYFUNCTION("IFERROR(INDEX(FILTER('Kế hoạch chèn link (mới)'!$B$3:$B$2213,'Kế hoạch chèn link (mới)'!$D$3:$D$2213=$B678),4),"""")"),"https://techcombank.com/thong-tin/blog/lai-suat-vay-ngan-hang")</f>
        <v>https://techcombank.com/thong-tin/blog/lai-suat-vay-ngan-hang</v>
      </c>
      <c r="O678" s="25" t="str">
        <f>IFERROR(__xludf.DUMMYFUNCTION("IFERROR(INDEX(FILTER('Kế hoạch chèn link (mới)'!$C$3:$C$2213,'Kế hoạch chèn link (mới)'!$D$3:$D$2213=$B678),5),"""")"),"")</f>
        <v/>
      </c>
      <c r="P678" s="25" t="str">
        <f>IFERROR(__xludf.DUMMYFUNCTION("IFERROR(INDEX(FILTER('Kế hoạch chèn link (mới)'!$B$3:$B$2213,'Kế hoạch chèn link (mới)'!$D$3:$D$2213=$B678),5),"""")"),"")</f>
        <v/>
      </c>
    </row>
    <row r="679">
      <c r="A679" s="6">
        <f t="shared" si="1"/>
        <v>678</v>
      </c>
      <c r="B679" s="8" t="s">
        <v>1923</v>
      </c>
      <c r="C679" s="6">
        <f>COUNTIF('Kế hoạch chèn link (mới)'!$D$3:$D$2213,$B679)</f>
        <v>3</v>
      </c>
      <c r="D679" s="8" t="str">
        <f>IF(COUNTIFS('Kế hoạch chèn link (mới)'!$D$3:$D$2213,$B679,'Kế hoạch chèn link (mới)'!$I$3:$I$2213,"Đã chèn")&gt;=$C679,"Đã hoàn thành",IF(COUNTIFS('Kế hoạch chèn link (mới)'!$D$3:$D$2213,$B679,'Kế hoạch chèn link (mới)'!$I$3:$I$2213,"Đã chèn")&gt;0,"Đang làm","Chưa hoàn thành"))</f>
        <v>Chưa hoàn thành</v>
      </c>
      <c r="E679" s="8" t="b">
        <f t="shared" si="2"/>
        <v>0</v>
      </c>
      <c r="F679" s="25"/>
      <c r="G679" s="25" t="str">
        <f>IFERROR(__xludf.DUMMYFUNCTION("IFERROR(INDEX(FILTER('Kế hoạch chèn link (mới)'!$C$3:$C$2213,'Kế hoạch chèn link (mới)'!$D$3:$D$2213=$B679),1),"""")"),"ngân hàng uy tín")</f>
        <v>ngân hàng uy tín</v>
      </c>
      <c r="H679" s="25" t="str">
        <f>IFERROR(__xludf.DUMMYFUNCTION("IFERROR(INDEX(FILTER('Kế hoạch chèn link (mới)'!$B$3:$B$2213,'Kế hoạch chèn link (mới)'!$D$3:$D$2213=$B679),1),"""")"),"https://techcombank.com/thong-tin/blog/ngan-hang-uy-tin")</f>
        <v>https://techcombank.com/thong-tin/blog/ngan-hang-uy-tin</v>
      </c>
      <c r="I679" s="25" t="str">
        <f>IFERROR(__xludf.DUMMYFUNCTION("IFERROR(INDEX(FILTER('Kế hoạch chèn link (mới)'!$C$3:$C$2213,'Kế hoạch chèn link (mới)'!$D$3:$D$2213=$B679),2),"""")"),"tính lãi suất vay ngân hàng")</f>
        <v>tính lãi suất vay ngân hàng</v>
      </c>
      <c r="J679" s="25" t="str">
        <f>IFERROR(__xludf.DUMMYFUNCTION("IFERROR(INDEX(FILTER('Kế hoạch chèn link (mới)'!$B$3:$B$2213,'Kế hoạch chèn link (mới)'!$D$3:$D$2213=$B679),2),"""")"),"https://techcombank.com/cong-cu-tien-ich/cong-cu-tinh-toan/bang-tinh-lai-suat-vay")</f>
        <v>https://techcombank.com/cong-cu-tien-ich/cong-cu-tinh-toan/bang-tinh-lai-suat-vay</v>
      </c>
      <c r="K679" s="25" t="str">
        <f>IFERROR(__xludf.DUMMYFUNCTION("IFERROR(INDEX(FILTER('Kế hoạch chèn link (mới)'!$C$3:$C$2213,'Kế hoạch chèn link (mới)'!$D$3:$D$2213=$B679),3),"""")"),"lãi suất cho vay ngân hàng")</f>
        <v>lãi suất cho vay ngân hàng</v>
      </c>
      <c r="L679" s="25" t="str">
        <f>IFERROR(__xludf.DUMMYFUNCTION("IFERROR(INDEX(FILTER('Kế hoạch chèn link (mới)'!$B$3:$B$2213,'Kế hoạch chèn link (mới)'!$D$3:$D$2213=$B679),3),"""")"),"https://techcombank.com/thong-tin/blog/lai-suat-vay-ngan-hang")</f>
        <v>https://techcombank.com/thong-tin/blog/lai-suat-vay-ngan-hang</v>
      </c>
      <c r="M679" s="25" t="str">
        <f>IFERROR(__xludf.DUMMYFUNCTION("IFERROR(INDEX(FILTER('Kế hoạch chèn link (mới)'!$C$3:$C$2213,'Kế hoạch chèn link (mới)'!$D$3:$D$2213=$B679),4),"""")"),"")</f>
        <v/>
      </c>
      <c r="N679" s="25" t="str">
        <f>IFERROR(__xludf.DUMMYFUNCTION("IFERROR(INDEX(FILTER('Kế hoạch chèn link (mới)'!$B$3:$B$2213,'Kế hoạch chèn link (mới)'!$D$3:$D$2213=$B679),4),"""")"),"")</f>
        <v/>
      </c>
      <c r="O679" s="25" t="str">
        <f>IFERROR(__xludf.DUMMYFUNCTION("IFERROR(INDEX(FILTER('Kế hoạch chèn link (mới)'!$C$3:$C$2213,'Kế hoạch chèn link (mới)'!$D$3:$D$2213=$B679),5),"""")"),"")</f>
        <v/>
      </c>
      <c r="P679" s="25" t="str">
        <f>IFERROR(__xludf.DUMMYFUNCTION("IFERROR(INDEX(FILTER('Kế hoạch chèn link (mới)'!$B$3:$B$2213,'Kế hoạch chèn link (mới)'!$D$3:$D$2213=$B679),5),"""")"),"")</f>
        <v/>
      </c>
    </row>
    <row r="680">
      <c r="A680" s="6">
        <f t="shared" si="1"/>
        <v>679</v>
      </c>
      <c r="B680" s="8" t="s">
        <v>3308</v>
      </c>
      <c r="C680" s="6">
        <f>COUNTIF('Kế hoạch chèn link (mới)'!$D$3:$D$2213,$B680)</f>
        <v>4</v>
      </c>
      <c r="D680" s="8" t="str">
        <f>IF(COUNTIFS('Kế hoạch chèn link (mới)'!$D$3:$D$2213,$B680,'Kế hoạch chèn link (mới)'!$I$3:$I$2213,"Đã chèn")&gt;=$C680,"Đã hoàn thành",IF(COUNTIFS('Kế hoạch chèn link (mới)'!$D$3:$D$2213,$B680,'Kế hoạch chèn link (mới)'!$I$3:$I$2213,"Đã chèn")&gt;0,"Đang làm","Chưa hoàn thành"))</f>
        <v>Chưa hoàn thành</v>
      </c>
      <c r="E680" s="8" t="b">
        <f t="shared" si="2"/>
        <v>0</v>
      </c>
      <c r="F680" s="25"/>
      <c r="G680" s="25" t="str">
        <f>IFERROR(__xludf.DUMMYFUNCTION("IFERROR(INDEX(FILTER('Kế hoạch chèn link (mới)'!$C$3:$C$2213,'Kế hoạch chèn link (mới)'!$D$3:$D$2213=$B680),1),"""")"),"mô hình kinh doanh")</f>
        <v>mô hình kinh doanh</v>
      </c>
      <c r="H680" s="25" t="str">
        <f>IFERROR(__xludf.DUMMYFUNCTION("IFERROR(INDEX(FILTER('Kế hoạch chèn link (mới)'!$B$3:$B$2213,'Kế hoạch chèn link (mới)'!$D$3:$D$2213=$B680),1),"""")"),"https://techcombank.com/thong-tin/blog/mo-hinh-kinh-doanh-la-gi")</f>
        <v>https://techcombank.com/thong-tin/blog/mo-hinh-kinh-doanh-la-gi</v>
      </c>
      <c r="I680" s="25" t="str">
        <f>IFERROR(__xludf.DUMMYFUNCTION("IFERROR(INDEX(FILTER('Kế hoạch chèn link (mới)'!$C$3:$C$2213,'Kế hoạch chèn link (mới)'!$D$3:$D$2213=$B680),2),"""")"),"lãi suất ngân hàng")</f>
        <v>lãi suất ngân hàng</v>
      </c>
      <c r="J680" s="25" t="str">
        <f>IFERROR(__xludf.DUMMYFUNCTION("IFERROR(INDEX(FILTER('Kế hoạch chèn link (mới)'!$B$3:$B$2213,'Kế hoạch chèn link (mới)'!$D$3:$D$2213=$B680),2),"""")"),"https://techcombank.com/thong-tin/blog/lai-suat-tiet-kiem")</f>
        <v>https://techcombank.com/thong-tin/blog/lai-suat-tiet-kiem</v>
      </c>
      <c r="K680" s="25" t="str">
        <f>IFERROR(__xludf.DUMMYFUNCTION("IFERROR(INDEX(FILTER('Kế hoạch chèn link (mới)'!$C$3:$C$2213,'Kế hoạch chèn link (mới)'!$D$3:$D$2213=$B680),3),"""")"),"lãi suất vay ngân hàng")</f>
        <v>lãi suất vay ngân hàng</v>
      </c>
      <c r="L680" s="25" t="str">
        <f>IFERROR(__xludf.DUMMYFUNCTION("IFERROR(INDEX(FILTER('Kế hoạch chèn link (mới)'!$B$3:$B$2213,'Kế hoạch chèn link (mới)'!$D$3:$D$2213=$B680),3),"""")"),"https://techcombank.com/thong-tin/blog/lai-suat-vay-ngan-hang")</f>
        <v>https://techcombank.com/thong-tin/blog/lai-suat-vay-ngan-hang</v>
      </c>
      <c r="M680" s="25" t="str">
        <f>IFERROR(__xludf.DUMMYFUNCTION("IFERROR(INDEX(FILTER('Kế hoạch chèn link (mới)'!$C$3:$C$2213,'Kế hoạch chèn link (mới)'!$D$3:$D$2213=$B680),4),"""")"),"thấu chi là gì")</f>
        <v>thấu chi là gì</v>
      </c>
      <c r="N680" s="25" t="str">
        <f>IFERROR(__xludf.DUMMYFUNCTION("IFERROR(INDEX(FILTER('Kế hoạch chèn link (mới)'!$B$3:$B$2213,'Kế hoạch chèn link (mới)'!$D$3:$D$2213=$B680),4),"""")"),"https://techcombank.com/thong-tin/blog/vay-thau-chi-la-gi")</f>
        <v>https://techcombank.com/thong-tin/blog/vay-thau-chi-la-gi</v>
      </c>
      <c r="O680" s="25" t="str">
        <f>IFERROR(__xludf.DUMMYFUNCTION("IFERROR(INDEX(FILTER('Kế hoạch chèn link (mới)'!$C$3:$C$2213,'Kế hoạch chèn link (mới)'!$D$3:$D$2213=$B680),5),"""")"),"")</f>
        <v/>
      </c>
      <c r="P680" s="25" t="str">
        <f>IFERROR(__xludf.DUMMYFUNCTION("IFERROR(INDEX(FILTER('Kế hoạch chèn link (mới)'!$B$3:$B$2213,'Kế hoạch chèn link (mới)'!$D$3:$D$2213=$B680),5),"""")"),"")</f>
        <v/>
      </c>
    </row>
    <row r="681">
      <c r="A681" s="6">
        <f t="shared" si="1"/>
        <v>680</v>
      </c>
      <c r="B681" s="8" t="s">
        <v>1056</v>
      </c>
      <c r="C681" s="6">
        <f>COUNTIF('Kế hoạch chèn link (mới)'!$D$3:$D$2213,$B681)</f>
        <v>2</v>
      </c>
      <c r="D681" s="8" t="str">
        <f>IF(COUNTIFS('Kế hoạch chèn link (mới)'!$D$3:$D$2213,$B681,'Kế hoạch chèn link (mới)'!$I$3:$I$2213,"Đã chèn")&gt;=$C681,"Đã hoàn thành",IF(COUNTIFS('Kế hoạch chèn link (mới)'!$D$3:$D$2213,$B681,'Kế hoạch chèn link (mới)'!$I$3:$I$2213,"Đã chèn")&gt;0,"Đang làm","Chưa hoàn thành"))</f>
        <v>Chưa hoàn thành</v>
      </c>
      <c r="E681" s="8" t="b">
        <f t="shared" si="2"/>
        <v>0</v>
      </c>
      <c r="F681" s="25"/>
      <c r="G681" s="25" t="str">
        <f>IFERROR(__xludf.DUMMYFUNCTION("IFERROR(INDEX(FILTER('Kế hoạch chèn link (mới)'!$C$3:$C$2213,'Kế hoạch chèn link (mới)'!$D$3:$D$2213=$B681),1),"""")"),"cách tính lãi suất vay ngân hàng")</f>
        <v>cách tính lãi suất vay ngân hàng</v>
      </c>
      <c r="H681" s="25" t="str">
        <f>IFERROR(__xludf.DUMMYFUNCTION("IFERROR(INDEX(FILTER('Kế hoạch chèn link (mới)'!$B$3:$B$2213,'Kế hoạch chèn link (mới)'!$D$3:$D$2213=$B681),1),"""")"),"https://techcombank.com/thong-tin/blog/cach-tinh-lai-vay-ngan-hang")</f>
        <v>https://techcombank.com/thong-tin/blog/cach-tinh-lai-vay-ngan-hang</v>
      </c>
      <c r="I681" s="25" t="str">
        <f>IFERROR(__xludf.DUMMYFUNCTION("IFERROR(INDEX(FILTER('Kế hoạch chèn link (mới)'!$C$3:$C$2213,'Kế hoạch chèn link (mới)'!$D$3:$D$2213=$B681),2),"""")"),"lãi suất vay ngân hàng")</f>
        <v>lãi suất vay ngân hàng</v>
      </c>
      <c r="J681" s="25" t="str">
        <f>IFERROR(__xludf.DUMMYFUNCTION("IFERROR(INDEX(FILTER('Kế hoạch chèn link (mới)'!$B$3:$B$2213,'Kế hoạch chèn link (mới)'!$D$3:$D$2213=$B681),2),"""")"),"https://techcombank.com/thong-tin/blog/lai-suat-vay-ngan-hang")</f>
        <v>https://techcombank.com/thong-tin/blog/lai-suat-vay-ngan-hang</v>
      </c>
      <c r="K681" s="25" t="str">
        <f>IFERROR(__xludf.DUMMYFUNCTION("IFERROR(INDEX(FILTER('Kế hoạch chèn link (mới)'!$C$3:$C$2213,'Kế hoạch chèn link (mới)'!$D$3:$D$2213=$B681),3),"""")"),"")</f>
        <v/>
      </c>
      <c r="L681" s="25" t="str">
        <f>IFERROR(__xludf.DUMMYFUNCTION("IFERROR(INDEX(FILTER('Kế hoạch chèn link (mới)'!$B$3:$B$2213,'Kế hoạch chèn link (mới)'!$D$3:$D$2213=$B681),3),"""")"),"")</f>
        <v/>
      </c>
      <c r="M681" s="25" t="str">
        <f>IFERROR(__xludf.DUMMYFUNCTION("IFERROR(INDEX(FILTER('Kế hoạch chèn link (mới)'!$C$3:$C$2213,'Kế hoạch chèn link (mới)'!$D$3:$D$2213=$B681),4),"""")"),"")</f>
        <v/>
      </c>
      <c r="N681" s="25" t="str">
        <f>IFERROR(__xludf.DUMMYFUNCTION("IFERROR(INDEX(FILTER('Kế hoạch chèn link (mới)'!$B$3:$B$2213,'Kế hoạch chèn link (mới)'!$D$3:$D$2213=$B681),4),"""")"),"")</f>
        <v/>
      </c>
      <c r="O681" s="25" t="str">
        <f>IFERROR(__xludf.DUMMYFUNCTION("IFERROR(INDEX(FILTER('Kế hoạch chèn link (mới)'!$C$3:$C$2213,'Kế hoạch chèn link (mới)'!$D$3:$D$2213=$B681),5),"""")"),"")</f>
        <v/>
      </c>
      <c r="P681" s="25" t="str">
        <f>IFERROR(__xludf.DUMMYFUNCTION("IFERROR(INDEX(FILTER('Kế hoạch chèn link (mới)'!$B$3:$B$2213,'Kế hoạch chèn link (mới)'!$D$3:$D$2213=$B681),5),"""")"),"")</f>
        <v/>
      </c>
    </row>
    <row r="682">
      <c r="A682" s="6">
        <f t="shared" si="1"/>
        <v>681</v>
      </c>
      <c r="B682" s="8" t="s">
        <v>3148</v>
      </c>
      <c r="C682" s="6">
        <f>COUNTIF('Kế hoạch chèn link (mới)'!$D$3:$D$2213,$B682)</f>
        <v>4</v>
      </c>
      <c r="D682" s="8" t="str">
        <f>IF(COUNTIFS('Kế hoạch chèn link (mới)'!$D$3:$D$2213,$B682,'Kế hoạch chèn link (mới)'!$I$3:$I$2213,"Đã chèn")&gt;=$C682,"Đã hoàn thành",IF(COUNTIFS('Kế hoạch chèn link (mới)'!$D$3:$D$2213,$B682,'Kế hoạch chèn link (mới)'!$I$3:$I$2213,"Đã chèn")&gt;0,"Đang làm","Chưa hoàn thành"))</f>
        <v>Chưa hoàn thành</v>
      </c>
      <c r="E682" s="8" t="b">
        <f t="shared" si="2"/>
        <v>0</v>
      </c>
      <c r="F682" s="25"/>
      <c r="G682" s="25" t="str">
        <f>IFERROR(__xludf.DUMMYFUNCTION("IFERROR(INDEX(FILTER('Kế hoạch chèn link (mới)'!$C$3:$C$2213,'Kế hoạch chèn link (mới)'!$D$3:$D$2213=$B682),1),"""")"),"quét NFC CCCD trên iPhone")</f>
        <v>quét NFC CCCD trên iPhone</v>
      </c>
      <c r="H682" s="25" t="str">
        <f>IFERROR(__xludf.DUMMYFUNCTION("IFERROR(INDEX(FILTER('Kế hoạch chèn link (mới)'!$B$3:$B$2213,'Kế hoạch chèn link (mới)'!$D$3:$D$2213=$B682),1),"""")"),"https://techcombank.com/thong-tin/blog/cach-quet-nfc-cccd-tren-iphone")</f>
        <v>https://techcombank.com/thong-tin/blog/cach-quet-nfc-cccd-tren-iphone</v>
      </c>
      <c r="I682" s="25" t="str">
        <f>IFERROR(__xludf.DUMMYFUNCTION("IFERROR(INDEX(FILTER('Kế hoạch chèn link (mới)'!$C$3:$C$2213,'Kế hoạch chèn link (mới)'!$D$3:$D$2213=$B682),2),"""")"),"app vay tiền")</f>
        <v>app vay tiền</v>
      </c>
      <c r="J682" s="25" t="str">
        <f>IFERROR(__xludf.DUMMYFUNCTION("IFERROR(INDEX(FILTER('Kế hoạch chèn link (mới)'!$B$3:$B$2213,'Kế hoạch chèn link (mới)'!$D$3:$D$2213=$B682),2),"""")"),"https://techcombank.com/thong-tin/blog/app-vay-tien-nhanh")</f>
        <v>https://techcombank.com/thong-tin/blog/app-vay-tien-nhanh</v>
      </c>
      <c r="K682" s="25" t="str">
        <f>IFERROR(__xludf.DUMMYFUNCTION("IFERROR(INDEX(FILTER('Kế hoạch chèn link (mới)'!$C$3:$C$2213,'Kế hoạch chèn link (mới)'!$D$3:$D$2213=$B682),3),"""")"),"lãi suất vay ngân hàng")</f>
        <v>lãi suất vay ngân hàng</v>
      </c>
      <c r="L682" s="25" t="str">
        <f>IFERROR(__xludf.DUMMYFUNCTION("IFERROR(INDEX(FILTER('Kế hoạch chèn link (mới)'!$B$3:$B$2213,'Kế hoạch chèn link (mới)'!$D$3:$D$2213=$B682),3),"""")"),"https://techcombank.com/thong-tin/blog/lai-suat-vay-ngan-hang")</f>
        <v>https://techcombank.com/thong-tin/blog/lai-suat-vay-ngan-hang</v>
      </c>
      <c r="M682" s="25" t="str">
        <f>IFERROR(__xludf.DUMMYFUNCTION("IFERROR(INDEX(FILTER('Kế hoạch chèn link (mới)'!$C$3:$C$2213,'Kế hoạch chèn link (mới)'!$D$3:$D$2213=$B682),4),"""")"),"nên vay tín chấp ở đâu")</f>
        <v>nên vay tín chấp ở đâu</v>
      </c>
      <c r="N682" s="25" t="str">
        <f>IFERROR(__xludf.DUMMYFUNCTION("IFERROR(INDEX(FILTER('Kế hoạch chèn link (mới)'!$B$3:$B$2213,'Kế hoạch chèn link (mới)'!$D$3:$D$2213=$B682),4),"""")"),"https://techcombank.com/thong-tin/blog/nen-vay-tin-chap-o-dau")</f>
        <v>https://techcombank.com/thong-tin/blog/nen-vay-tin-chap-o-dau</v>
      </c>
      <c r="O682" s="25" t="str">
        <f>IFERROR(__xludf.DUMMYFUNCTION("IFERROR(INDEX(FILTER('Kế hoạch chèn link (mới)'!$C$3:$C$2213,'Kế hoạch chèn link (mới)'!$D$3:$D$2213=$B682),5),"""")"),"")</f>
        <v/>
      </c>
      <c r="P682" s="25" t="str">
        <f>IFERROR(__xludf.DUMMYFUNCTION("IFERROR(INDEX(FILTER('Kế hoạch chèn link (mới)'!$B$3:$B$2213,'Kế hoạch chèn link (mới)'!$D$3:$D$2213=$B682),5),"""")"),"")</f>
        <v/>
      </c>
    </row>
    <row r="683">
      <c r="A683" s="6">
        <f t="shared" si="1"/>
        <v>682</v>
      </c>
      <c r="B683" s="8" t="s">
        <v>3310</v>
      </c>
      <c r="C683" s="6">
        <f>COUNTIF('Kế hoạch chèn link (mới)'!$D$3:$D$2213,$B683)</f>
        <v>4</v>
      </c>
      <c r="D683" s="8" t="str">
        <f>IF(COUNTIFS('Kế hoạch chèn link (mới)'!$D$3:$D$2213,$B683,'Kế hoạch chèn link (mới)'!$I$3:$I$2213,"Đã chèn")&gt;=$C683,"Đã hoàn thành",IF(COUNTIFS('Kế hoạch chèn link (mới)'!$D$3:$D$2213,$B683,'Kế hoạch chèn link (mới)'!$I$3:$I$2213,"Đã chèn")&gt;0,"Đang làm","Chưa hoàn thành"))</f>
        <v>Chưa hoàn thành</v>
      </c>
      <c r="E683" s="8" t="b">
        <f t="shared" si="2"/>
        <v>0</v>
      </c>
      <c r="F683" s="25"/>
      <c r="G683" s="25" t="str">
        <f>IFERROR(__xludf.DUMMYFUNCTION("IFERROR(INDEX(FILTER('Kế hoạch chèn link (mới)'!$C$3:$C$2213,'Kế hoạch chèn link (mới)'!$D$3:$D$2213=$B683),1),"""")"),"vay thế chấp sổ đỏ ngân hàng")</f>
        <v>vay thế chấp sổ đỏ ngân hàng</v>
      </c>
      <c r="H683" s="25" t="str">
        <f>IFERROR(__xludf.DUMMYFUNCTION("IFERROR(INDEX(FILTER('Kế hoạch chèn link (mới)'!$B$3:$B$2213,'Kế hoạch chèn link (mới)'!$D$3:$D$2213=$B683),1),"""")"),"https://techcombank.com/thong-tin/blog/lai-suat-vay-the-chap-so-do")</f>
        <v>https://techcombank.com/thong-tin/blog/lai-suat-vay-the-chap-so-do</v>
      </c>
      <c r="I683" s="25" t="str">
        <f>IFERROR(__xludf.DUMMYFUNCTION("IFERROR(INDEX(FILTER('Kế hoạch chèn link (mới)'!$C$3:$C$2213,'Kế hoạch chèn link (mới)'!$D$3:$D$2213=$B683),2),"""")"),"hồ sơ thủ tục xóa thế chấp")</f>
        <v>hồ sơ thủ tục xóa thế chấp</v>
      </c>
      <c r="J683" s="25" t="str">
        <f>IFERROR(__xludf.DUMMYFUNCTION("IFERROR(INDEX(FILTER('Kế hoạch chèn link (mới)'!$B$3:$B$2213,'Kế hoạch chèn link (mới)'!$D$3:$D$2213=$B683),2),"""")"),"https://techcombank.com/thong-tin/blog/ho-so-thu-tuc-xoa-the-chap")</f>
        <v>https://techcombank.com/thong-tin/blog/ho-so-thu-tuc-xoa-the-chap</v>
      </c>
      <c r="K683" s="25" t="str">
        <f>IFERROR(__xludf.DUMMYFUNCTION("IFERROR(INDEX(FILTER('Kế hoạch chèn link (mới)'!$C$3:$C$2213,'Kế hoạch chèn link (mới)'!$D$3:$D$2213=$B683),3),"""")"),"lãi vay ngân hàng hiện nay")</f>
        <v>lãi vay ngân hàng hiện nay</v>
      </c>
      <c r="L683" s="25" t="str">
        <f>IFERROR(__xludf.DUMMYFUNCTION("IFERROR(INDEX(FILTER('Kế hoạch chèn link (mới)'!$B$3:$B$2213,'Kế hoạch chèn link (mới)'!$D$3:$D$2213=$B683),3),"""")"),"https://techcombank.com/thong-tin/blog/lai-suat-vay-ngan-hang")</f>
        <v>https://techcombank.com/thong-tin/blog/lai-suat-vay-ngan-hang</v>
      </c>
      <c r="M683" s="25" t="str">
        <f>IFERROR(__xludf.DUMMYFUNCTION("IFERROR(INDEX(FILTER('Kế hoạch chèn link (mới)'!$C$3:$C$2213,'Kế hoạch chèn link (mới)'!$D$3:$D$2213=$B683),4),"""")"),"vay thấu chi")</f>
        <v>vay thấu chi</v>
      </c>
      <c r="N683" s="25" t="str">
        <f>IFERROR(__xludf.DUMMYFUNCTION("IFERROR(INDEX(FILTER('Kế hoạch chèn link (mới)'!$B$3:$B$2213,'Kế hoạch chèn link (mới)'!$D$3:$D$2213=$B683),4),"""")"),"https://techcombank.com/thong-tin/blog/vay-thau-chi-la-gi")</f>
        <v>https://techcombank.com/thong-tin/blog/vay-thau-chi-la-gi</v>
      </c>
      <c r="O683" s="25" t="str">
        <f>IFERROR(__xludf.DUMMYFUNCTION("IFERROR(INDEX(FILTER('Kế hoạch chèn link (mới)'!$C$3:$C$2213,'Kế hoạch chèn link (mới)'!$D$3:$D$2213=$B683),5),"""")"),"")</f>
        <v/>
      </c>
      <c r="P683" s="25" t="str">
        <f>IFERROR(__xludf.DUMMYFUNCTION("IFERROR(INDEX(FILTER('Kế hoạch chèn link (mới)'!$B$3:$B$2213,'Kế hoạch chèn link (mới)'!$D$3:$D$2213=$B683),5),"""")"),"")</f>
        <v/>
      </c>
    </row>
    <row r="684">
      <c r="A684" s="6">
        <f t="shared" si="1"/>
        <v>683</v>
      </c>
      <c r="B684" s="8" t="s">
        <v>3311</v>
      </c>
      <c r="C684" s="6">
        <f>COUNTIF('Kế hoạch chèn link (mới)'!$D$3:$D$2213,$B684)</f>
        <v>4</v>
      </c>
      <c r="D684" s="8" t="str">
        <f>IF(COUNTIFS('Kế hoạch chèn link (mới)'!$D$3:$D$2213,$B684,'Kế hoạch chèn link (mới)'!$I$3:$I$2213,"Đã chèn")&gt;=$C684,"Đã hoàn thành",IF(COUNTIFS('Kế hoạch chèn link (mới)'!$D$3:$D$2213,$B684,'Kế hoạch chèn link (mới)'!$I$3:$I$2213,"Đã chèn")&gt;0,"Đang làm","Chưa hoàn thành"))</f>
        <v>Chưa hoàn thành</v>
      </c>
      <c r="E684" s="8" t="b">
        <f t="shared" si="2"/>
        <v>0</v>
      </c>
      <c r="F684" s="25"/>
      <c r="G684" s="25" t="str">
        <f>IFERROR(__xludf.DUMMYFUNCTION("IFERROR(INDEX(FILTER('Kế hoạch chèn link (mới)'!$C$3:$C$2213,'Kế hoạch chèn link (mới)'!$D$3:$D$2213=$B684),1),"""")"),"cách tính lãi suất vay")</f>
        <v>cách tính lãi suất vay</v>
      </c>
      <c r="H684" s="25" t="str">
        <f>IFERROR(__xludf.DUMMYFUNCTION("IFERROR(INDEX(FILTER('Kế hoạch chèn link (mới)'!$B$3:$B$2213,'Kế hoạch chèn link (mới)'!$D$3:$D$2213=$B684),1),"""")"),"https://techcombank.com/thong-tin/blog/cach-tinh-lai-vay-ngan-hang")</f>
        <v>https://techcombank.com/thong-tin/blog/cach-tinh-lai-vay-ngan-hang</v>
      </c>
      <c r="I684" s="25" t="str">
        <f>IFERROR(__xludf.DUMMYFUNCTION("IFERROR(INDEX(FILTER('Kế hoạch chèn link (mới)'!$C$3:$C$2213,'Kế hoạch chèn link (mới)'!$D$3:$D$2213=$B684),2),"""")"),"tính lãi vay ngân hàng")</f>
        <v>tính lãi vay ngân hàng</v>
      </c>
      <c r="J684" s="25" t="str">
        <f>IFERROR(__xludf.DUMMYFUNCTION("IFERROR(INDEX(FILTER('Kế hoạch chèn link (mới)'!$B$3:$B$2213,'Kế hoạch chèn link (mới)'!$D$3:$D$2213=$B684),2),"""")"),"https://techcombank.com/cong-cu-tien-ich/cong-cu-tinh-toan/bang-tinh-lai-suat-vay")</f>
        <v>https://techcombank.com/cong-cu-tien-ich/cong-cu-tinh-toan/bang-tinh-lai-suat-vay</v>
      </c>
      <c r="K684" s="25" t="str">
        <f>IFERROR(__xludf.DUMMYFUNCTION("IFERROR(INDEX(FILTER('Kế hoạch chèn link (mới)'!$C$3:$C$2213,'Kế hoạch chèn link (mới)'!$D$3:$D$2213=$B684),3),"""")"),"vay nhanh")</f>
        <v>vay nhanh</v>
      </c>
      <c r="L684" s="25" t="str">
        <f>IFERROR(__xludf.DUMMYFUNCTION("IFERROR(INDEX(FILTER('Kế hoạch chèn link (mới)'!$B$3:$B$2213,'Kế hoạch chèn link (mới)'!$D$3:$D$2213=$B684),3),"""")"),"https://techcombank.com/thong-tin/blog/app-vay-tien-nhanh")</f>
        <v>https://techcombank.com/thong-tin/blog/app-vay-tien-nhanh</v>
      </c>
      <c r="M684" s="25" t="str">
        <f>IFERROR(__xludf.DUMMYFUNCTION("IFERROR(INDEX(FILTER('Kế hoạch chèn link (mới)'!$C$3:$C$2213,'Kế hoạch chèn link (mới)'!$D$3:$D$2213=$B684),4),"""")"),"vay thấu chi")</f>
        <v>vay thấu chi</v>
      </c>
      <c r="N684" s="25" t="str">
        <f>IFERROR(__xludf.DUMMYFUNCTION("IFERROR(INDEX(FILTER('Kế hoạch chèn link (mới)'!$B$3:$B$2213,'Kế hoạch chèn link (mới)'!$D$3:$D$2213=$B684),4),"""")"),"https://techcombank.com/thong-tin/blog/vay-thau-chi-la-gi")</f>
        <v>https://techcombank.com/thong-tin/blog/vay-thau-chi-la-gi</v>
      </c>
      <c r="O684" s="25" t="str">
        <f>IFERROR(__xludf.DUMMYFUNCTION("IFERROR(INDEX(FILTER('Kế hoạch chèn link (mới)'!$C$3:$C$2213,'Kế hoạch chèn link (mới)'!$D$3:$D$2213=$B684),5),"""")"),"")</f>
        <v/>
      </c>
      <c r="P684" s="25" t="str">
        <f>IFERROR(__xludf.DUMMYFUNCTION("IFERROR(INDEX(FILTER('Kế hoạch chèn link (mới)'!$B$3:$B$2213,'Kế hoạch chèn link (mới)'!$D$3:$D$2213=$B684),5),"""")"),"")</f>
        <v/>
      </c>
    </row>
    <row r="685">
      <c r="A685" s="6">
        <f t="shared" si="1"/>
        <v>684</v>
      </c>
      <c r="B685" s="8" t="s">
        <v>1949</v>
      </c>
      <c r="C685" s="6">
        <f>COUNTIF('Kế hoạch chèn link (mới)'!$D$3:$D$2213,$B685)</f>
        <v>4</v>
      </c>
      <c r="D685" s="8" t="str">
        <f>IF(COUNTIFS('Kế hoạch chèn link (mới)'!$D$3:$D$2213,$B685,'Kế hoạch chèn link (mới)'!$I$3:$I$2213,"Đã chèn")&gt;=$C685,"Đã hoàn thành",IF(COUNTIFS('Kế hoạch chèn link (mới)'!$D$3:$D$2213,$B685,'Kế hoạch chèn link (mới)'!$I$3:$I$2213,"Đã chèn")&gt;0,"Đang làm","Chưa hoàn thành"))</f>
        <v>Chưa hoàn thành</v>
      </c>
      <c r="E685" s="8" t="b">
        <f t="shared" si="2"/>
        <v>0</v>
      </c>
      <c r="F685" s="25"/>
      <c r="G685" s="25" t="str">
        <f>IFERROR(__xludf.DUMMYFUNCTION("IFERROR(INDEX(FILTER('Kế hoạch chèn link (mới)'!$C$3:$C$2213,'Kế hoạch chèn link (mới)'!$D$3:$D$2213=$B685),1),"""")"),"ngân hàng uy tín")</f>
        <v>ngân hàng uy tín</v>
      </c>
      <c r="H685" s="25" t="str">
        <f>IFERROR(__xludf.DUMMYFUNCTION("IFERROR(INDEX(FILTER('Kế hoạch chèn link (mới)'!$B$3:$B$2213,'Kế hoạch chèn link (mới)'!$D$3:$D$2213=$B685),1),"""")"),"https://techcombank.com/thong-tin/blog/ngan-hang-uy-tin")</f>
        <v>https://techcombank.com/thong-tin/blog/ngan-hang-uy-tin</v>
      </c>
      <c r="I685" s="25" t="str">
        <f>IFERROR(__xludf.DUMMYFUNCTION("IFERROR(INDEX(FILTER('Kế hoạch chèn link (mới)'!$C$3:$C$2213,'Kế hoạch chèn link (mới)'!$D$3:$D$2213=$B685),2),"""")"),"tính lãi vay ngân hàng")</f>
        <v>tính lãi vay ngân hàng</v>
      </c>
      <c r="J685" s="25" t="str">
        <f>IFERROR(__xludf.DUMMYFUNCTION("IFERROR(INDEX(FILTER('Kế hoạch chèn link (mới)'!$B$3:$B$2213,'Kế hoạch chèn link (mới)'!$D$3:$D$2213=$B685),2),"""")"),"https://techcombank.com/cong-cu-tien-ich/cong-cu-tinh-toan/bang-tinh-lai-suat-vay")</f>
        <v>https://techcombank.com/cong-cu-tien-ich/cong-cu-tinh-toan/bang-tinh-lai-suat-vay</v>
      </c>
      <c r="K685" s="25" t="str">
        <f>IFERROR(__xludf.DUMMYFUNCTION("IFERROR(INDEX(FILTER('Kế hoạch chèn link (mới)'!$C$3:$C$2213,'Kế hoạch chèn link (mới)'!$D$3:$D$2213=$B685),3),"""")"),"vay tiền")</f>
        <v>vay tiền</v>
      </c>
      <c r="L685" s="25" t="str">
        <f>IFERROR(__xludf.DUMMYFUNCTION("IFERROR(INDEX(FILTER('Kế hoạch chèn link (mới)'!$B$3:$B$2213,'Kế hoạch chèn link (mới)'!$D$3:$D$2213=$B685),3),"""")"),"https://techcombank.com/thong-tin/blog/app-vay-tien-nhanh")</f>
        <v>https://techcombank.com/thong-tin/blog/app-vay-tien-nhanh</v>
      </c>
      <c r="M685" s="25" t="str">
        <f>IFERROR(__xludf.DUMMYFUNCTION("IFERROR(INDEX(FILTER('Kế hoạch chèn link (mới)'!$C$3:$C$2213,'Kế hoạch chèn link (mới)'!$D$3:$D$2213=$B685),4),"""")"),"lãi suất cho vay ngân hàng")</f>
        <v>lãi suất cho vay ngân hàng</v>
      </c>
      <c r="N685" s="25" t="str">
        <f>IFERROR(__xludf.DUMMYFUNCTION("IFERROR(INDEX(FILTER('Kế hoạch chèn link (mới)'!$B$3:$B$2213,'Kế hoạch chèn link (mới)'!$D$3:$D$2213=$B685),4),"""")"),"https://techcombank.com/thong-tin/blog/lai-suat-vay-ngan-hang")</f>
        <v>https://techcombank.com/thong-tin/blog/lai-suat-vay-ngan-hang</v>
      </c>
      <c r="O685" s="25" t="str">
        <f>IFERROR(__xludf.DUMMYFUNCTION("IFERROR(INDEX(FILTER('Kế hoạch chèn link (mới)'!$C$3:$C$2213,'Kế hoạch chèn link (mới)'!$D$3:$D$2213=$B685),5),"""")"),"")</f>
        <v/>
      </c>
      <c r="P685" s="25" t="str">
        <f>IFERROR(__xludf.DUMMYFUNCTION("IFERROR(INDEX(FILTER('Kế hoạch chèn link (mới)'!$B$3:$B$2213,'Kế hoạch chèn link (mới)'!$D$3:$D$2213=$B685),5),"""")"),"")</f>
        <v/>
      </c>
    </row>
    <row r="686">
      <c r="A686" s="6">
        <f t="shared" si="1"/>
        <v>685</v>
      </c>
      <c r="B686" s="8" t="s">
        <v>2127</v>
      </c>
      <c r="C686" s="6">
        <f>COUNTIF('Kế hoạch chèn link (mới)'!$D$3:$D$2213,$B686)</f>
        <v>4</v>
      </c>
      <c r="D686" s="8" t="str">
        <f>IF(COUNTIFS('Kế hoạch chèn link (mới)'!$D$3:$D$2213,$B686,'Kế hoạch chèn link (mới)'!$I$3:$I$2213,"Đã chèn")&gt;=$C686,"Đã hoàn thành",IF(COUNTIFS('Kế hoạch chèn link (mới)'!$D$3:$D$2213,$B686,'Kế hoạch chèn link (mới)'!$I$3:$I$2213,"Đã chèn")&gt;0,"Đang làm","Chưa hoàn thành"))</f>
        <v>Chưa hoàn thành</v>
      </c>
      <c r="E686" s="8" t="b">
        <f t="shared" si="2"/>
        <v>0</v>
      </c>
      <c r="F686" s="25"/>
      <c r="G686" s="25" t="str">
        <f>IFERROR(__xludf.DUMMYFUNCTION("IFERROR(INDEX(FILTER('Kế hoạch chèn link (mới)'!$C$3:$C$2213,'Kế hoạch chèn link (mới)'!$D$3:$D$2213=$B686),1),"""")"),"bao nhiêu tuổi được mở tài khoản ngân hàng")</f>
        <v>bao nhiêu tuổi được mở tài khoản ngân hàng</v>
      </c>
      <c r="H686" s="25" t="str">
        <f>IFERROR(__xludf.DUMMYFUNCTION("IFERROR(INDEX(FILTER('Kế hoạch chèn link (mới)'!$B$3:$B$2213,'Kế hoạch chèn link (mới)'!$D$3:$D$2213=$B686),1),"""")"),"https://techcombank.com/thong-tin/blog/bao-nhieu-tuoi-duoc-mo-tai-khoan-ngan-hang")</f>
        <v>https://techcombank.com/thong-tin/blog/bao-nhieu-tuoi-duoc-mo-tai-khoan-ngan-hang</v>
      </c>
      <c r="I686" s="25" t="str">
        <f>IFERROR(__xludf.DUMMYFUNCTION("IFERROR(INDEX(FILTER('Kế hoạch chèn link (mới)'!$C$3:$C$2213,'Kế hoạch chèn link (mới)'!$D$3:$D$2213=$B686),2),"""")"),"rút tiết kiệm trước hạn")</f>
        <v>rút tiết kiệm trước hạn</v>
      </c>
      <c r="J686" s="25" t="str">
        <f>IFERROR(__xludf.DUMMYFUNCTION("IFERROR(INDEX(FILTER('Kế hoạch chèn link (mới)'!$B$3:$B$2213,'Kế hoạch chèn link (mới)'!$D$3:$D$2213=$B686),2),"""")"),"https://techcombank.com/thong-tin/blog/rut-tien-tiet-kiem-truoc-thoi-han")</f>
        <v>https://techcombank.com/thong-tin/blog/rut-tien-tiet-kiem-truoc-thoi-han</v>
      </c>
      <c r="K686" s="25" t="str">
        <f>IFERROR(__xludf.DUMMYFUNCTION("IFERROR(INDEX(FILTER('Kế hoạch chèn link (mới)'!$C$3:$C$2213,'Kế hoạch chèn link (mới)'!$D$3:$D$2213=$B686),3),"""")"),"sổ tiết kiệm")</f>
        <v>sổ tiết kiệm</v>
      </c>
      <c r="L686" s="25" t="str">
        <f>IFERROR(__xludf.DUMMYFUNCTION("IFERROR(INDEX(FILTER('Kế hoạch chèn link (mới)'!$B$3:$B$2213,'Kế hoạch chèn link (mới)'!$D$3:$D$2213=$B686),3),"""")"),"https://techcombank.com/thong-tin/blog/so-tiet-kiem-ngan-hang")</f>
        <v>https://techcombank.com/thong-tin/blog/so-tiet-kiem-ngan-hang</v>
      </c>
      <c r="M686" s="25" t="str">
        <f>IFERROR(__xludf.DUMMYFUNCTION("IFERROR(INDEX(FILTER('Kế hoạch chèn link (mới)'!$C$3:$C$2213,'Kế hoạch chèn link (mới)'!$D$3:$D$2213=$B686),4),"""")"),"lãi vay ngân hàng hiện nay")</f>
        <v>lãi vay ngân hàng hiện nay</v>
      </c>
      <c r="N686" s="25" t="str">
        <f>IFERROR(__xludf.DUMMYFUNCTION("IFERROR(INDEX(FILTER('Kế hoạch chèn link (mới)'!$B$3:$B$2213,'Kế hoạch chèn link (mới)'!$D$3:$D$2213=$B686),4),"""")"),"https://techcombank.com/thong-tin/blog/lai-suat-vay-ngan-hang")</f>
        <v>https://techcombank.com/thong-tin/blog/lai-suat-vay-ngan-hang</v>
      </c>
      <c r="O686" s="25" t="str">
        <f>IFERROR(__xludf.DUMMYFUNCTION("IFERROR(INDEX(FILTER('Kế hoạch chèn link (mới)'!$C$3:$C$2213,'Kế hoạch chèn link (mới)'!$D$3:$D$2213=$B686),5),"""")"),"")</f>
        <v/>
      </c>
      <c r="P686" s="25" t="str">
        <f>IFERROR(__xludf.DUMMYFUNCTION("IFERROR(INDEX(FILTER('Kế hoạch chèn link (mới)'!$B$3:$B$2213,'Kế hoạch chèn link (mới)'!$D$3:$D$2213=$B686),5),"""")"),"")</f>
        <v/>
      </c>
    </row>
    <row r="687">
      <c r="A687" s="6">
        <f t="shared" si="1"/>
        <v>686</v>
      </c>
      <c r="B687" s="8" t="s">
        <v>735</v>
      </c>
      <c r="C687" s="6">
        <f>COUNTIF('Kế hoạch chèn link (mới)'!$D$3:$D$2213,$B687)</f>
        <v>5</v>
      </c>
      <c r="D687" s="8" t="str">
        <f>IF(COUNTIFS('Kế hoạch chèn link (mới)'!$D$3:$D$2213,$B687,'Kế hoạch chèn link (mới)'!$I$3:$I$2213,"Đã chèn")&gt;=$C687,"Đã hoàn thành",IF(COUNTIFS('Kế hoạch chèn link (mới)'!$D$3:$D$2213,$B687,'Kế hoạch chèn link (mới)'!$I$3:$I$2213,"Đã chèn")&gt;0,"Đang làm","Chưa hoàn thành"))</f>
        <v>Chưa hoàn thành</v>
      </c>
      <c r="E687" s="8" t="b">
        <f t="shared" si="2"/>
        <v>0</v>
      </c>
      <c r="F687" s="25"/>
      <c r="G687" s="25" t="str">
        <f>IFERROR(__xludf.DUMMYFUNCTION("IFERROR(INDEX(FILTER('Kế hoạch chèn link (mới)'!$C$3:$C$2213,'Kế hoạch chèn link (mới)'!$D$3:$D$2213=$B687),1),"""")"),"sổ tiết kiệm")</f>
        <v>sổ tiết kiệm</v>
      </c>
      <c r="H687" s="25" t="str">
        <f>IFERROR(__xludf.DUMMYFUNCTION("IFERROR(INDEX(FILTER('Kế hoạch chèn link (mới)'!$B$3:$B$2213,'Kế hoạch chèn link (mới)'!$D$3:$D$2213=$B687),1),"""")"),"https://techcombank.com/thong-tin/blog/so-tiet-kiem-ngan-hang")</f>
        <v>https://techcombank.com/thong-tin/blog/so-tiet-kiem-ngan-hang</v>
      </c>
      <c r="I687" s="25" t="str">
        <f>IFERROR(__xludf.DUMMYFUNCTION("IFERROR(INDEX(FILTER('Kế hoạch chèn link (mới)'!$C$3:$C$2213,'Kế hoạch chèn link (mới)'!$D$3:$D$2213=$B687),2),"""")"),"tính lãi vay ngân hàng")</f>
        <v>tính lãi vay ngân hàng</v>
      </c>
      <c r="J687" s="25" t="str">
        <f>IFERROR(__xludf.DUMMYFUNCTION("IFERROR(INDEX(FILTER('Kế hoạch chèn link (mới)'!$B$3:$B$2213,'Kế hoạch chèn link (mới)'!$D$3:$D$2213=$B687),2),"""")"),"https://techcombank.com/cong-cu-tien-ich/cong-cu-tinh-toan/bang-tinh-lai-suat-vay")</f>
        <v>https://techcombank.com/cong-cu-tien-ich/cong-cu-tinh-toan/bang-tinh-lai-suat-vay</v>
      </c>
      <c r="K687" s="25" t="str">
        <f>IFERROR(__xludf.DUMMYFUNCTION("IFERROR(INDEX(FILTER('Kế hoạch chèn link (mới)'!$C$3:$C$2213,'Kế hoạch chèn link (mới)'!$D$3:$D$2213=$B687),3),"""")"),"vay tiền")</f>
        <v>vay tiền</v>
      </c>
      <c r="L687" s="25" t="str">
        <f>IFERROR(__xludf.DUMMYFUNCTION("IFERROR(INDEX(FILTER('Kế hoạch chèn link (mới)'!$B$3:$B$2213,'Kế hoạch chèn link (mới)'!$D$3:$D$2213=$B687),3),"""")"),"https://techcombank.com/thong-tin/blog/app-vay-tien-nhanh")</f>
        <v>https://techcombank.com/thong-tin/blog/app-vay-tien-nhanh</v>
      </c>
      <c r="M687" s="25" t="str">
        <f>IFERROR(__xludf.DUMMYFUNCTION("IFERROR(INDEX(FILTER('Kế hoạch chèn link (mới)'!$C$3:$C$2213,'Kế hoạch chèn link (mới)'!$D$3:$D$2213=$B687),4),"""")"),"lãi suất cho vay ngân hàng")</f>
        <v>lãi suất cho vay ngân hàng</v>
      </c>
      <c r="N687" s="25" t="str">
        <f>IFERROR(__xludf.DUMMYFUNCTION("IFERROR(INDEX(FILTER('Kế hoạch chèn link (mới)'!$B$3:$B$2213,'Kế hoạch chèn link (mới)'!$D$3:$D$2213=$B687),4),"""")"),"https://techcombank.com/thong-tin/blog/lai-suat-vay-ngan-hang")</f>
        <v>https://techcombank.com/thong-tin/blog/lai-suat-vay-ngan-hang</v>
      </c>
      <c r="O687" s="25" t="str">
        <f>IFERROR(__xludf.DUMMYFUNCTION("IFERROR(INDEX(FILTER('Kế hoạch chèn link (mới)'!$C$3:$C$2213,'Kế hoạch chèn link (mới)'!$D$3:$D$2213=$B687),5),"""")"),"nợ xấu")</f>
        <v>nợ xấu</v>
      </c>
      <c r="P687" s="25" t="str">
        <f>IFERROR(__xludf.DUMMYFUNCTION("IFERROR(INDEX(FILTER('Kế hoạch chèn link (mới)'!$B$3:$B$2213,'Kế hoạch chèn link (mới)'!$D$3:$D$2213=$B687),5),"""")"),"https://techcombank.com/thong-tin/blog/no-xau-la-gi")</f>
        <v>https://techcombank.com/thong-tin/blog/no-xau-la-gi</v>
      </c>
    </row>
    <row r="688">
      <c r="A688" s="6">
        <f t="shared" si="1"/>
        <v>687</v>
      </c>
      <c r="B688" s="8" t="s">
        <v>3315</v>
      </c>
      <c r="C688" s="6">
        <f>COUNTIF('Kế hoạch chèn link (mới)'!$D$3:$D$2213,$B688)</f>
        <v>3</v>
      </c>
      <c r="D688" s="8" t="str">
        <f>IF(COUNTIFS('Kế hoạch chèn link (mới)'!$D$3:$D$2213,$B688,'Kế hoạch chèn link (mới)'!$I$3:$I$2213,"Đã chèn")&gt;=$C688,"Đã hoàn thành",IF(COUNTIFS('Kế hoạch chèn link (mới)'!$D$3:$D$2213,$B688,'Kế hoạch chèn link (mới)'!$I$3:$I$2213,"Đã chèn")&gt;0,"Đang làm","Chưa hoàn thành"))</f>
        <v>Chưa hoàn thành</v>
      </c>
      <c r="E688" s="8" t="b">
        <f t="shared" si="2"/>
        <v>0</v>
      </c>
      <c r="F688" s="25"/>
      <c r="G688" s="25" t="str">
        <f>IFERROR(__xludf.DUMMYFUNCTION("IFERROR(INDEX(FILTER('Kế hoạch chèn link (mới)'!$C$3:$C$2213,'Kế hoạch chèn link (mới)'!$D$3:$D$2213=$B688),1),"""")"),"lãi suất ngân hàng")</f>
        <v>lãi suất ngân hàng</v>
      </c>
      <c r="H688" s="25" t="str">
        <f>IFERROR(__xludf.DUMMYFUNCTION("IFERROR(INDEX(FILTER('Kế hoạch chèn link (mới)'!$B$3:$B$2213,'Kế hoạch chèn link (mới)'!$D$3:$D$2213=$B688),1),"""")"),"https://techcombank.com/thong-tin/blog/lai-suat-tiet-kiem")</f>
        <v>https://techcombank.com/thong-tin/blog/lai-suat-tiet-kiem</v>
      </c>
      <c r="I688" s="25" t="str">
        <f>IFERROR(__xludf.DUMMYFUNCTION("IFERROR(INDEX(FILTER('Kế hoạch chèn link (mới)'!$C$3:$C$2213,'Kế hoạch chèn link (mới)'!$D$3:$D$2213=$B688),2),"""")"),"lãi suất vay ngân hàng")</f>
        <v>lãi suất vay ngân hàng</v>
      </c>
      <c r="J688" s="25" t="str">
        <f>IFERROR(__xludf.DUMMYFUNCTION("IFERROR(INDEX(FILTER('Kế hoạch chèn link (mới)'!$B$3:$B$2213,'Kế hoạch chèn link (mới)'!$D$3:$D$2213=$B688),2),"""")"),"https://techcombank.com/thong-tin/blog/lai-suat-vay-ngan-hang")</f>
        <v>https://techcombank.com/thong-tin/blog/lai-suat-vay-ngan-hang</v>
      </c>
      <c r="K688" s="25" t="str">
        <f>IFERROR(__xludf.DUMMYFUNCTION("IFERROR(INDEX(FILTER('Kế hoạch chèn link (mới)'!$C$3:$C$2213,'Kế hoạch chèn link (mới)'!$D$3:$D$2213=$B688),3),"""")"),"vay thấu chi")</f>
        <v>vay thấu chi</v>
      </c>
      <c r="L688" s="25" t="str">
        <f>IFERROR(__xludf.DUMMYFUNCTION("IFERROR(INDEX(FILTER('Kế hoạch chèn link (mới)'!$B$3:$B$2213,'Kế hoạch chèn link (mới)'!$D$3:$D$2213=$B688),3),"""")"),"https://techcombank.com/thong-tin/blog/vay-thau-chi-la-gi")</f>
        <v>https://techcombank.com/thong-tin/blog/vay-thau-chi-la-gi</v>
      </c>
      <c r="M688" s="25" t="str">
        <f>IFERROR(__xludf.DUMMYFUNCTION("IFERROR(INDEX(FILTER('Kế hoạch chèn link (mới)'!$C$3:$C$2213,'Kế hoạch chèn link (mới)'!$D$3:$D$2213=$B688),4),"""")"),"")</f>
        <v/>
      </c>
      <c r="N688" s="25" t="str">
        <f>IFERROR(__xludf.DUMMYFUNCTION("IFERROR(INDEX(FILTER('Kế hoạch chèn link (mới)'!$B$3:$B$2213,'Kế hoạch chèn link (mới)'!$D$3:$D$2213=$B688),4),"""")"),"")</f>
        <v/>
      </c>
      <c r="O688" s="25" t="str">
        <f>IFERROR(__xludf.DUMMYFUNCTION("IFERROR(INDEX(FILTER('Kế hoạch chèn link (mới)'!$C$3:$C$2213,'Kế hoạch chèn link (mới)'!$D$3:$D$2213=$B688),5),"""")"),"")</f>
        <v/>
      </c>
      <c r="P688" s="25" t="str">
        <f>IFERROR(__xludf.DUMMYFUNCTION("IFERROR(INDEX(FILTER('Kế hoạch chèn link (mới)'!$B$3:$B$2213,'Kế hoạch chèn link (mới)'!$D$3:$D$2213=$B688),5),"""")"),"")</f>
        <v/>
      </c>
    </row>
    <row r="689">
      <c r="A689" s="6">
        <f t="shared" si="1"/>
        <v>688</v>
      </c>
      <c r="B689" s="8" t="s">
        <v>3317</v>
      </c>
      <c r="C689" s="6">
        <f>COUNTIF('Kế hoạch chèn link (mới)'!$D$3:$D$2213,$B689)</f>
        <v>5</v>
      </c>
      <c r="D689" s="8" t="str">
        <f>IF(COUNTIFS('Kế hoạch chèn link (mới)'!$D$3:$D$2213,$B689,'Kế hoạch chèn link (mới)'!$I$3:$I$2213,"Đã chèn")&gt;=$C689,"Đã hoàn thành",IF(COUNTIFS('Kế hoạch chèn link (mới)'!$D$3:$D$2213,$B689,'Kế hoạch chèn link (mới)'!$I$3:$I$2213,"Đã chèn")&gt;0,"Đang làm","Chưa hoàn thành"))</f>
        <v>Chưa hoàn thành</v>
      </c>
      <c r="E689" s="8" t="b">
        <f t="shared" si="2"/>
        <v>0</v>
      </c>
      <c r="F689" s="25"/>
      <c r="G689" s="25" t="str">
        <f>IFERROR(__xludf.DUMMYFUNCTION("IFERROR(INDEX(FILTER('Kế hoạch chèn link (mới)'!$C$3:$C$2213,'Kế hoạch chèn link (mới)'!$D$3:$D$2213=$B689),1),"""")"),"vay thế chấp sổ đỏ ngân hàng")</f>
        <v>vay thế chấp sổ đỏ ngân hàng</v>
      </c>
      <c r="H689" s="25" t="str">
        <f>IFERROR(__xludf.DUMMYFUNCTION("IFERROR(INDEX(FILTER('Kế hoạch chèn link (mới)'!$B$3:$B$2213,'Kế hoạch chèn link (mới)'!$D$3:$D$2213=$B689),1),"""")"),"https://techcombank.com/thong-tin/blog/lai-suat-vay-the-chap-so-do")</f>
        <v>https://techcombank.com/thong-tin/blog/lai-suat-vay-the-chap-so-do</v>
      </c>
      <c r="I689" s="25" t="str">
        <f>IFERROR(__xludf.DUMMYFUNCTION("IFERROR(INDEX(FILTER('Kế hoạch chèn link (mới)'!$C$3:$C$2213,'Kế hoạch chèn link (mới)'!$D$3:$D$2213=$B689),2),"""")"),"tính lãi vay ngân hàng")</f>
        <v>tính lãi vay ngân hàng</v>
      </c>
      <c r="J689" s="25" t="str">
        <f>IFERROR(__xludf.DUMMYFUNCTION("IFERROR(INDEX(FILTER('Kế hoạch chèn link (mới)'!$B$3:$B$2213,'Kế hoạch chèn link (mới)'!$D$3:$D$2213=$B689),2),"""")"),"https://techcombank.com/cong-cu-tien-ich/cong-cu-tinh-toan/bang-tinh-lai-suat-vay")</f>
        <v>https://techcombank.com/cong-cu-tien-ich/cong-cu-tinh-toan/bang-tinh-lai-suat-vay</v>
      </c>
      <c r="K689" s="25" t="str">
        <f>IFERROR(__xludf.DUMMYFUNCTION("IFERROR(INDEX(FILTER('Kế hoạch chèn link (mới)'!$C$3:$C$2213,'Kế hoạch chèn link (mới)'!$D$3:$D$2213=$B689),3),"""")"),"vay tiền")</f>
        <v>vay tiền</v>
      </c>
      <c r="L689" s="25" t="str">
        <f>IFERROR(__xludf.DUMMYFUNCTION("IFERROR(INDEX(FILTER('Kế hoạch chèn link (mới)'!$B$3:$B$2213,'Kế hoạch chèn link (mới)'!$D$3:$D$2213=$B689),3),"""")"),"https://techcombank.com/thong-tin/blog/app-vay-tien-nhanh")</f>
        <v>https://techcombank.com/thong-tin/blog/app-vay-tien-nhanh</v>
      </c>
      <c r="M689" s="25" t="str">
        <f>IFERROR(__xludf.DUMMYFUNCTION("IFERROR(INDEX(FILTER('Kế hoạch chèn link (mới)'!$C$3:$C$2213,'Kế hoạch chèn link (mới)'!$D$3:$D$2213=$B689),4),"""")"),"lãi vay ngân hàng hiện nay")</f>
        <v>lãi vay ngân hàng hiện nay</v>
      </c>
      <c r="N689" s="25" t="str">
        <f>IFERROR(__xludf.DUMMYFUNCTION("IFERROR(INDEX(FILTER('Kế hoạch chèn link (mới)'!$B$3:$B$2213,'Kế hoạch chèn link (mới)'!$D$3:$D$2213=$B689),4),"""")"),"https://techcombank.com/thong-tin/blog/lai-suat-vay-ngan-hang")</f>
        <v>https://techcombank.com/thong-tin/blog/lai-suat-vay-ngan-hang</v>
      </c>
      <c r="O689" s="25" t="str">
        <f>IFERROR(__xludf.DUMMYFUNCTION("IFERROR(INDEX(FILTER('Kế hoạch chèn link (mới)'!$C$3:$C$2213,'Kế hoạch chèn link (mới)'!$D$3:$D$2213=$B689),5),"""")"),"nên vay tín chấp ở đâu")</f>
        <v>nên vay tín chấp ở đâu</v>
      </c>
      <c r="P689" s="25" t="str">
        <f>IFERROR(__xludf.DUMMYFUNCTION("IFERROR(INDEX(FILTER('Kế hoạch chèn link (mới)'!$B$3:$B$2213,'Kế hoạch chèn link (mới)'!$D$3:$D$2213=$B689),5),"""")"),"https://techcombank.com/thong-tin/blog/nen-vay-tin-chap-o-dau")</f>
        <v>https://techcombank.com/thong-tin/blog/nen-vay-tin-chap-o-dau</v>
      </c>
    </row>
    <row r="690">
      <c r="A690" s="6">
        <f t="shared" si="1"/>
        <v>689</v>
      </c>
      <c r="B690" s="8" t="s">
        <v>3318</v>
      </c>
      <c r="C690" s="6">
        <f>COUNTIF('Kế hoạch chèn link (mới)'!$D$3:$D$2213,$B690)</f>
        <v>3</v>
      </c>
      <c r="D690" s="8" t="str">
        <f>IF(COUNTIFS('Kế hoạch chèn link (mới)'!$D$3:$D$2213,$B690,'Kế hoạch chèn link (mới)'!$I$3:$I$2213,"Đã chèn")&gt;=$C690,"Đã hoàn thành",IF(COUNTIFS('Kế hoạch chèn link (mới)'!$D$3:$D$2213,$B690,'Kế hoạch chèn link (mới)'!$I$3:$I$2213,"Đã chèn")&gt;0,"Đang làm","Chưa hoàn thành"))</f>
        <v>Chưa hoàn thành</v>
      </c>
      <c r="E690" s="8" t="b">
        <f t="shared" si="2"/>
        <v>0</v>
      </c>
      <c r="F690" s="25"/>
      <c r="G690" s="25" t="str">
        <f>IFERROR(__xludf.DUMMYFUNCTION("IFERROR(INDEX(FILTER('Kế hoạch chèn link (mới)'!$C$3:$C$2213,'Kế hoạch chèn link (mới)'!$D$3:$D$2213=$B690),1),"""")"),"xếp hạng tín dụng cá nhân")</f>
        <v>xếp hạng tín dụng cá nhân</v>
      </c>
      <c r="H690" s="25" t="str">
        <f>IFERROR(__xludf.DUMMYFUNCTION("IFERROR(INDEX(FILTER('Kế hoạch chèn link (mới)'!$B$3:$B$2213,'Kế hoạch chèn link (mới)'!$D$3:$D$2213=$B690),1),"""")"),"https://techcombank.com/thong-tin/blog/xep-hang-tin-dung")</f>
        <v>https://techcombank.com/thong-tin/blog/xep-hang-tin-dung</v>
      </c>
      <c r="I690" s="25" t="str">
        <f>IFERROR(__xludf.DUMMYFUNCTION("IFERROR(INDEX(FILTER('Kế hoạch chèn link (mới)'!$C$3:$C$2213,'Kế hoạch chèn link (mới)'!$D$3:$D$2213=$B690),2),"""")"),"nợ xấu là gì")</f>
        <v>nợ xấu là gì</v>
      </c>
      <c r="J690" s="25" t="str">
        <f>IFERROR(__xludf.DUMMYFUNCTION("IFERROR(INDEX(FILTER('Kế hoạch chèn link (mới)'!$B$3:$B$2213,'Kế hoạch chèn link (mới)'!$D$3:$D$2213=$B690),2),"""")"),"https://techcombank.com/thong-tin/blog/no-xau-la-gi")</f>
        <v>https://techcombank.com/thong-tin/blog/no-xau-la-gi</v>
      </c>
      <c r="K690" s="25" t="str">
        <f>IFERROR(__xludf.DUMMYFUNCTION("IFERROR(INDEX(FILTER('Kế hoạch chèn link (mới)'!$C$3:$C$2213,'Kế hoạch chèn link (mới)'!$D$3:$D$2213=$B690),3),"""")"),"vay tín chấp không trả được có sao không")</f>
        <v>vay tín chấp không trả được có sao không</v>
      </c>
      <c r="L690" s="25" t="str">
        <f>IFERROR(__xludf.DUMMYFUNCTION("IFERROR(INDEX(FILTER('Kế hoạch chèn link (mới)'!$B$3:$B$2213,'Kế hoạch chèn link (mới)'!$D$3:$D$2213=$B690),3),"""")"),"https://techcombank.com/thong-tin/blog/vay-tin-chap-khong-tra-duoc-co-sao-khong")</f>
        <v>https://techcombank.com/thong-tin/blog/vay-tin-chap-khong-tra-duoc-co-sao-khong</v>
      </c>
      <c r="M690" s="25" t="str">
        <f>IFERROR(__xludf.DUMMYFUNCTION("IFERROR(INDEX(FILTER('Kế hoạch chèn link (mới)'!$C$3:$C$2213,'Kế hoạch chèn link (mới)'!$D$3:$D$2213=$B690),4),"""")"),"")</f>
        <v/>
      </c>
      <c r="N690" s="25" t="str">
        <f>IFERROR(__xludf.DUMMYFUNCTION("IFERROR(INDEX(FILTER('Kế hoạch chèn link (mới)'!$B$3:$B$2213,'Kế hoạch chèn link (mới)'!$D$3:$D$2213=$B690),4),"""")"),"")</f>
        <v/>
      </c>
      <c r="O690" s="25" t="str">
        <f>IFERROR(__xludf.DUMMYFUNCTION("IFERROR(INDEX(FILTER('Kế hoạch chèn link (mới)'!$C$3:$C$2213,'Kế hoạch chèn link (mới)'!$D$3:$D$2213=$B690),5),"""")"),"")</f>
        <v/>
      </c>
      <c r="P690" s="25" t="str">
        <f>IFERROR(__xludf.DUMMYFUNCTION("IFERROR(INDEX(FILTER('Kế hoạch chèn link (mới)'!$B$3:$B$2213,'Kế hoạch chèn link (mới)'!$D$3:$D$2213=$B690),5),"""")"),"")</f>
        <v/>
      </c>
    </row>
    <row r="691">
      <c r="A691" s="6">
        <f t="shared" si="1"/>
        <v>690</v>
      </c>
      <c r="B691" s="8" t="s">
        <v>3319</v>
      </c>
      <c r="C691" s="6">
        <f>COUNTIF('Kế hoạch chèn link (mới)'!$D$3:$D$2213,$B691)</f>
        <v>2</v>
      </c>
      <c r="D691" s="8" t="str">
        <f>IF(COUNTIFS('Kế hoạch chèn link (mới)'!$D$3:$D$2213,$B691,'Kế hoạch chèn link (mới)'!$I$3:$I$2213,"Đã chèn")&gt;=$C691,"Đã hoàn thành",IF(COUNTIFS('Kế hoạch chèn link (mới)'!$D$3:$D$2213,$B691,'Kế hoạch chèn link (mới)'!$I$3:$I$2213,"Đã chèn")&gt;0,"Đang làm","Chưa hoàn thành"))</f>
        <v>Chưa hoàn thành</v>
      </c>
      <c r="E691" s="8" t="b">
        <f t="shared" si="2"/>
        <v>0</v>
      </c>
      <c r="F691" s="25"/>
      <c r="G691" s="25" t="str">
        <f>IFERROR(__xludf.DUMMYFUNCTION("IFERROR(INDEX(FILTER('Kế hoạch chèn link (mới)'!$C$3:$C$2213,'Kế hoạch chèn link (mới)'!$D$3:$D$2213=$B691),1),"""")"),"tính lãi suất vay ngân hàng")</f>
        <v>tính lãi suất vay ngân hàng</v>
      </c>
      <c r="H691" s="25" t="str">
        <f>IFERROR(__xludf.DUMMYFUNCTION("IFERROR(INDEX(FILTER('Kế hoạch chèn link (mới)'!$B$3:$B$2213,'Kế hoạch chèn link (mới)'!$D$3:$D$2213=$B691),1),"""")"),"https://techcombank.com/cong-cu-tien-ich/cong-cu-tinh-toan/bang-tinh-lai-suat-vay")</f>
        <v>https://techcombank.com/cong-cu-tien-ich/cong-cu-tinh-toan/bang-tinh-lai-suat-vay</v>
      </c>
      <c r="I691" s="25" t="str">
        <f>IFERROR(__xludf.DUMMYFUNCTION("IFERROR(INDEX(FILTER('Kế hoạch chèn link (mới)'!$C$3:$C$2213,'Kế hoạch chèn link (mới)'!$D$3:$D$2213=$B691),2),"""")"),"lãi suất cho vay ngân hàng")</f>
        <v>lãi suất cho vay ngân hàng</v>
      </c>
      <c r="J691" s="25" t="str">
        <f>IFERROR(__xludf.DUMMYFUNCTION("IFERROR(INDEX(FILTER('Kế hoạch chèn link (mới)'!$B$3:$B$2213,'Kế hoạch chèn link (mới)'!$D$3:$D$2213=$B691),2),"""")"),"https://techcombank.com/thong-tin/blog/lai-suat-vay-ngan-hang")</f>
        <v>https://techcombank.com/thong-tin/blog/lai-suat-vay-ngan-hang</v>
      </c>
      <c r="K691" s="25" t="str">
        <f>IFERROR(__xludf.DUMMYFUNCTION("IFERROR(INDEX(FILTER('Kế hoạch chèn link (mới)'!$C$3:$C$2213,'Kế hoạch chèn link (mới)'!$D$3:$D$2213=$B691),3),"""")"),"")</f>
        <v/>
      </c>
      <c r="L691" s="25" t="str">
        <f>IFERROR(__xludf.DUMMYFUNCTION("IFERROR(INDEX(FILTER('Kế hoạch chèn link (mới)'!$B$3:$B$2213,'Kế hoạch chèn link (mới)'!$D$3:$D$2213=$B691),3),"""")"),"")</f>
        <v/>
      </c>
      <c r="M691" s="25" t="str">
        <f>IFERROR(__xludf.DUMMYFUNCTION("IFERROR(INDEX(FILTER('Kế hoạch chèn link (mới)'!$C$3:$C$2213,'Kế hoạch chèn link (mới)'!$D$3:$D$2213=$B691),4),"""")"),"")</f>
        <v/>
      </c>
      <c r="N691" s="25" t="str">
        <f>IFERROR(__xludf.DUMMYFUNCTION("IFERROR(INDEX(FILTER('Kế hoạch chèn link (mới)'!$B$3:$B$2213,'Kế hoạch chèn link (mới)'!$D$3:$D$2213=$B691),4),"""")"),"")</f>
        <v/>
      </c>
      <c r="O691" s="25" t="str">
        <f>IFERROR(__xludf.DUMMYFUNCTION("IFERROR(INDEX(FILTER('Kế hoạch chèn link (mới)'!$C$3:$C$2213,'Kế hoạch chèn link (mới)'!$D$3:$D$2213=$B691),5),"""")"),"")</f>
        <v/>
      </c>
      <c r="P691" s="25" t="str">
        <f>IFERROR(__xludf.DUMMYFUNCTION("IFERROR(INDEX(FILTER('Kế hoạch chèn link (mới)'!$B$3:$B$2213,'Kế hoạch chèn link (mới)'!$D$3:$D$2213=$B691),5),"""")"),"")</f>
        <v/>
      </c>
    </row>
    <row r="692">
      <c r="A692" s="6">
        <f t="shared" si="1"/>
        <v>691</v>
      </c>
      <c r="B692" s="8" t="s">
        <v>3320</v>
      </c>
      <c r="C692" s="6">
        <f>COUNTIF('Kế hoạch chèn link (mới)'!$D$3:$D$2213,$B692)</f>
        <v>4</v>
      </c>
      <c r="D692" s="8" t="str">
        <f>IF(COUNTIFS('Kế hoạch chèn link (mới)'!$D$3:$D$2213,$B692,'Kế hoạch chèn link (mới)'!$I$3:$I$2213,"Đã chèn")&gt;=$C692,"Đã hoàn thành",IF(COUNTIFS('Kế hoạch chèn link (mới)'!$D$3:$D$2213,$B692,'Kế hoạch chèn link (mới)'!$I$3:$I$2213,"Đã chèn")&gt;0,"Đang làm","Chưa hoàn thành"))</f>
        <v>Chưa hoàn thành</v>
      </c>
      <c r="E692" s="8" t="b">
        <f t="shared" si="2"/>
        <v>0</v>
      </c>
      <c r="F692" s="25"/>
      <c r="G692" s="25" t="str">
        <f>IFERROR(__xludf.DUMMYFUNCTION("IFERROR(INDEX(FILTER('Kế hoạch chèn link (mới)'!$C$3:$C$2213,'Kế hoạch chèn link (mới)'!$D$3:$D$2213=$B692),1),"""")"),"vay thế chấp sổ đỏ ngân hàng")</f>
        <v>vay thế chấp sổ đỏ ngân hàng</v>
      </c>
      <c r="H692" s="25" t="str">
        <f>IFERROR(__xludf.DUMMYFUNCTION("IFERROR(INDEX(FILTER('Kế hoạch chèn link (mới)'!$B$3:$B$2213,'Kế hoạch chèn link (mới)'!$D$3:$D$2213=$B692),1),"""")"),"https://techcombank.com/thong-tin/blog/lai-suat-vay-the-chap-so-do")</f>
        <v>https://techcombank.com/thong-tin/blog/lai-suat-vay-the-chap-so-do</v>
      </c>
      <c r="I692" s="25" t="str">
        <f>IFERROR(__xludf.DUMMYFUNCTION("IFERROR(INDEX(FILTER('Kế hoạch chèn link (mới)'!$C$3:$C$2213,'Kế hoạch chèn link (mới)'!$D$3:$D$2213=$B692),2),"""")"),"hồ sơ thủ tục xóa thế chấp")</f>
        <v>hồ sơ thủ tục xóa thế chấp</v>
      </c>
      <c r="J692" s="25" t="str">
        <f>IFERROR(__xludf.DUMMYFUNCTION("IFERROR(INDEX(FILTER('Kế hoạch chèn link (mới)'!$B$3:$B$2213,'Kế hoạch chèn link (mới)'!$D$3:$D$2213=$B692),2),"""")"),"https://techcombank.com/thong-tin/blog/ho-so-thu-tuc-xoa-the-chap")</f>
        <v>https://techcombank.com/thong-tin/blog/ho-so-thu-tuc-xoa-the-chap</v>
      </c>
      <c r="K692" s="25" t="str">
        <f>IFERROR(__xludf.DUMMYFUNCTION("IFERROR(INDEX(FILTER('Kế hoạch chèn link (mới)'!$C$3:$C$2213,'Kế hoạch chèn link (mới)'!$D$3:$D$2213=$B692),3),"""")"),"tính lãi suất vay ngân hàng")</f>
        <v>tính lãi suất vay ngân hàng</v>
      </c>
      <c r="L692" s="25" t="str">
        <f>IFERROR(__xludf.DUMMYFUNCTION("IFERROR(INDEX(FILTER('Kế hoạch chèn link (mới)'!$B$3:$B$2213,'Kế hoạch chèn link (mới)'!$D$3:$D$2213=$B692),3),"""")"),"https://techcombank.com/cong-cu-tien-ich/cong-cu-tinh-toan/bang-tinh-lai-suat-vay")</f>
        <v>https://techcombank.com/cong-cu-tien-ich/cong-cu-tinh-toan/bang-tinh-lai-suat-vay</v>
      </c>
      <c r="M692" s="25" t="str">
        <f>IFERROR(__xludf.DUMMYFUNCTION("IFERROR(INDEX(FILTER('Kế hoạch chèn link (mới)'!$C$3:$C$2213,'Kế hoạch chèn link (mới)'!$D$3:$D$2213=$B692),4),"""")"),"lãi suất vay ngân hàng")</f>
        <v>lãi suất vay ngân hàng</v>
      </c>
      <c r="N692" s="25" t="str">
        <f>IFERROR(__xludf.DUMMYFUNCTION("IFERROR(INDEX(FILTER('Kế hoạch chèn link (mới)'!$B$3:$B$2213,'Kế hoạch chèn link (mới)'!$D$3:$D$2213=$B692),4),"""")"),"https://techcombank.com/thong-tin/blog/lai-suat-vay-ngan-hang")</f>
        <v>https://techcombank.com/thong-tin/blog/lai-suat-vay-ngan-hang</v>
      </c>
      <c r="O692" s="25" t="str">
        <f>IFERROR(__xludf.DUMMYFUNCTION("IFERROR(INDEX(FILTER('Kế hoạch chèn link (mới)'!$C$3:$C$2213,'Kế hoạch chèn link (mới)'!$D$3:$D$2213=$B692),5),"""")"),"")</f>
        <v/>
      </c>
      <c r="P692" s="25" t="str">
        <f>IFERROR(__xludf.DUMMYFUNCTION("IFERROR(INDEX(FILTER('Kế hoạch chèn link (mới)'!$B$3:$B$2213,'Kế hoạch chèn link (mới)'!$D$3:$D$2213=$B692),5),"""")"),"")</f>
        <v/>
      </c>
    </row>
    <row r="693">
      <c r="A693" s="6">
        <f t="shared" si="1"/>
        <v>692</v>
      </c>
      <c r="B693" s="8" t="s">
        <v>2365</v>
      </c>
      <c r="C693" s="6">
        <f>COUNTIF('Kế hoạch chèn link (mới)'!$D$3:$D$2213,$B693)</f>
        <v>4</v>
      </c>
      <c r="D693" s="8" t="str">
        <f>IF(COUNTIFS('Kế hoạch chèn link (mới)'!$D$3:$D$2213,$B693,'Kế hoạch chèn link (mới)'!$I$3:$I$2213,"Đã chèn")&gt;=$C693,"Đã hoàn thành",IF(COUNTIFS('Kế hoạch chèn link (mới)'!$D$3:$D$2213,$B693,'Kế hoạch chèn link (mới)'!$I$3:$I$2213,"Đã chèn")&gt;0,"Đang làm","Chưa hoàn thành"))</f>
        <v>Chưa hoàn thành</v>
      </c>
      <c r="E693" s="8" t="b">
        <f t="shared" si="2"/>
        <v>0</v>
      </c>
      <c r="F693" s="25"/>
      <c r="G693" s="25" t="str">
        <f>IFERROR(__xludf.DUMMYFUNCTION("IFERROR(INDEX(FILTER('Kế hoạch chèn link (mới)'!$C$3:$C$2213,'Kế hoạch chèn link (mới)'!$D$3:$D$2213=$B693),1),"""")"),"sao kê tài khoản ngân hàng")</f>
        <v>sao kê tài khoản ngân hàng</v>
      </c>
      <c r="H693" s="25" t="str">
        <f>IFERROR(__xludf.DUMMYFUNCTION("IFERROR(INDEX(FILTER('Kế hoạch chèn link (mới)'!$B$3:$B$2213,'Kế hoạch chèn link (mới)'!$D$3:$D$2213=$B693),1),"""")"),"https://techcombank.com/thong-tin/blog/cach-sao-ke-tai-khoan-ngan-hang")</f>
        <v>https://techcombank.com/thong-tin/blog/cach-sao-ke-tai-khoan-ngan-hang</v>
      </c>
      <c r="I693" s="25" t="str">
        <f>IFERROR(__xludf.DUMMYFUNCTION("IFERROR(INDEX(FILTER('Kế hoạch chèn link (mới)'!$C$3:$C$2213,'Kế hoạch chèn link (mới)'!$D$3:$D$2213=$B693),2),"""")"),"vay thế chấp sổ đỏ ngân hàng")</f>
        <v>vay thế chấp sổ đỏ ngân hàng</v>
      </c>
      <c r="J693" s="25" t="str">
        <f>IFERROR(__xludf.DUMMYFUNCTION("IFERROR(INDEX(FILTER('Kế hoạch chèn link (mới)'!$B$3:$B$2213,'Kế hoạch chèn link (mới)'!$D$3:$D$2213=$B693),2),"""")"),"https://techcombank.com/thong-tin/blog/lai-suat-vay-the-chap-so-do")</f>
        <v>https://techcombank.com/thong-tin/blog/lai-suat-vay-the-chap-so-do</v>
      </c>
      <c r="K693" s="25" t="str">
        <f>IFERROR(__xludf.DUMMYFUNCTION("IFERROR(INDEX(FILTER('Kế hoạch chèn link (mới)'!$C$3:$C$2213,'Kế hoạch chèn link (mới)'!$D$3:$D$2213=$B693),3),"""")"),"tính lãi vay ngân hàng")</f>
        <v>tính lãi vay ngân hàng</v>
      </c>
      <c r="L693" s="25" t="str">
        <f>IFERROR(__xludf.DUMMYFUNCTION("IFERROR(INDEX(FILTER('Kế hoạch chèn link (mới)'!$B$3:$B$2213,'Kế hoạch chèn link (mới)'!$D$3:$D$2213=$B693),3),"""")"),"https://techcombank.com/cong-cu-tien-ich/cong-cu-tinh-toan/bang-tinh-lai-suat-vay")</f>
        <v>https://techcombank.com/cong-cu-tien-ich/cong-cu-tinh-toan/bang-tinh-lai-suat-vay</v>
      </c>
      <c r="M693" s="25" t="str">
        <f>IFERROR(__xludf.DUMMYFUNCTION("IFERROR(INDEX(FILTER('Kế hoạch chèn link (mới)'!$C$3:$C$2213,'Kế hoạch chèn link (mới)'!$D$3:$D$2213=$B693),4),"""")"),"vay thấu chi")</f>
        <v>vay thấu chi</v>
      </c>
      <c r="N693" s="25" t="str">
        <f>IFERROR(__xludf.DUMMYFUNCTION("IFERROR(INDEX(FILTER('Kế hoạch chèn link (mới)'!$B$3:$B$2213,'Kế hoạch chèn link (mới)'!$D$3:$D$2213=$B693),4),"""")"),"https://techcombank.com/thong-tin/blog/vay-thau-chi-la-gi")</f>
        <v>https://techcombank.com/thong-tin/blog/vay-thau-chi-la-gi</v>
      </c>
      <c r="O693" s="25" t="str">
        <f>IFERROR(__xludf.DUMMYFUNCTION("IFERROR(INDEX(FILTER('Kế hoạch chèn link (mới)'!$C$3:$C$2213,'Kế hoạch chèn link (mới)'!$D$3:$D$2213=$B693),5),"""")"),"")</f>
        <v/>
      </c>
      <c r="P693" s="25" t="str">
        <f>IFERROR(__xludf.DUMMYFUNCTION("IFERROR(INDEX(FILTER('Kế hoạch chèn link (mới)'!$B$3:$B$2213,'Kế hoạch chèn link (mới)'!$D$3:$D$2213=$B693),5),"""")"),"")</f>
        <v/>
      </c>
    </row>
    <row r="694">
      <c r="A694" s="6">
        <f t="shared" si="1"/>
        <v>693</v>
      </c>
      <c r="B694" s="8" t="s">
        <v>3324</v>
      </c>
      <c r="C694" s="6">
        <f>COUNTIF('Kế hoạch chèn link (mới)'!$D$3:$D$2213,$B694)</f>
        <v>4</v>
      </c>
      <c r="D694" s="8" t="str">
        <f>IF(COUNTIFS('Kế hoạch chèn link (mới)'!$D$3:$D$2213,$B694,'Kế hoạch chèn link (mới)'!$I$3:$I$2213,"Đã chèn")&gt;=$C694,"Đã hoàn thành",IF(COUNTIFS('Kế hoạch chèn link (mới)'!$D$3:$D$2213,$B694,'Kế hoạch chèn link (mới)'!$I$3:$I$2213,"Đã chèn")&gt;0,"Đang làm","Chưa hoàn thành"))</f>
        <v>Chưa hoàn thành</v>
      </c>
      <c r="E694" s="8" t="b">
        <f t="shared" si="2"/>
        <v>0</v>
      </c>
      <c r="F694" s="25"/>
      <c r="G694" s="25" t="str">
        <f>IFERROR(__xludf.DUMMYFUNCTION("IFERROR(INDEX(FILTER('Kế hoạch chèn link (mới)'!$C$3:$C$2213,'Kế hoạch chèn link (mới)'!$D$3:$D$2213=$B694),1),"""")"),"vay thế chấp sổ đỏ")</f>
        <v>vay thế chấp sổ đỏ</v>
      </c>
      <c r="H694" s="25" t="str">
        <f>IFERROR(__xludf.DUMMYFUNCTION("IFERROR(INDEX(FILTER('Kế hoạch chèn link (mới)'!$B$3:$B$2213,'Kế hoạch chèn link (mới)'!$D$3:$D$2213=$B694),1),"""")"),"https://techcombank.com/thong-tin/blog/lai-suat-vay-the-chap-so-do")</f>
        <v>https://techcombank.com/thong-tin/blog/lai-suat-vay-the-chap-so-do</v>
      </c>
      <c r="I694" s="25" t="str">
        <f>IFERROR(__xludf.DUMMYFUNCTION("IFERROR(INDEX(FILTER('Kế hoạch chèn link (mới)'!$C$3:$C$2213,'Kế hoạch chèn link (mới)'!$D$3:$D$2213=$B694),2),"""")"),"xóa thế chấp sổ đỏ")</f>
        <v>xóa thế chấp sổ đỏ</v>
      </c>
      <c r="J694" s="25" t="str">
        <f>IFERROR(__xludf.DUMMYFUNCTION("IFERROR(INDEX(FILTER('Kế hoạch chèn link (mới)'!$B$3:$B$2213,'Kế hoạch chèn link (mới)'!$D$3:$D$2213=$B694),2),"""")"),"https://techcombank.com/thong-tin/blog/ho-so-thu-tuc-xoa-the-chap")</f>
        <v>https://techcombank.com/thong-tin/blog/ho-so-thu-tuc-xoa-the-chap</v>
      </c>
      <c r="K694" s="25" t="str">
        <f>IFERROR(__xludf.DUMMYFUNCTION("IFERROR(INDEX(FILTER('Kế hoạch chèn link (mới)'!$C$3:$C$2213,'Kế hoạch chèn link (mới)'!$D$3:$D$2213=$B694),3),"""")"),"tính lãi vay ngân hàng")</f>
        <v>tính lãi vay ngân hàng</v>
      </c>
      <c r="L694" s="25" t="str">
        <f>IFERROR(__xludf.DUMMYFUNCTION("IFERROR(INDEX(FILTER('Kế hoạch chèn link (mới)'!$B$3:$B$2213,'Kế hoạch chèn link (mới)'!$D$3:$D$2213=$B694),3),"""")"),"https://techcombank.com/cong-cu-tien-ich/cong-cu-tinh-toan/bang-tinh-lai-suat-vay")</f>
        <v>https://techcombank.com/cong-cu-tien-ich/cong-cu-tinh-toan/bang-tinh-lai-suat-vay</v>
      </c>
      <c r="M694" s="25" t="str">
        <f>IFERROR(__xludf.DUMMYFUNCTION("IFERROR(INDEX(FILTER('Kế hoạch chèn link (mới)'!$C$3:$C$2213,'Kế hoạch chèn link (mới)'!$D$3:$D$2213=$B694),4),"""")"),"lãi vay ngân hàng hiện nay")</f>
        <v>lãi vay ngân hàng hiện nay</v>
      </c>
      <c r="N694" s="25" t="str">
        <f>IFERROR(__xludf.DUMMYFUNCTION("IFERROR(INDEX(FILTER('Kế hoạch chèn link (mới)'!$B$3:$B$2213,'Kế hoạch chèn link (mới)'!$D$3:$D$2213=$B694),4),"""")"),"https://techcombank.com/thong-tin/blog/lai-suat-vay-ngan-hang")</f>
        <v>https://techcombank.com/thong-tin/blog/lai-suat-vay-ngan-hang</v>
      </c>
      <c r="O694" s="25" t="str">
        <f>IFERROR(__xludf.DUMMYFUNCTION("IFERROR(INDEX(FILTER('Kế hoạch chèn link (mới)'!$C$3:$C$2213,'Kế hoạch chèn link (mới)'!$D$3:$D$2213=$B694),5),"""")"),"")</f>
        <v/>
      </c>
      <c r="P694" s="25" t="str">
        <f>IFERROR(__xludf.DUMMYFUNCTION("IFERROR(INDEX(FILTER('Kế hoạch chèn link (mới)'!$B$3:$B$2213,'Kế hoạch chèn link (mới)'!$D$3:$D$2213=$B694),5),"""")"),"")</f>
        <v/>
      </c>
    </row>
    <row r="695">
      <c r="A695" s="6">
        <f t="shared" si="1"/>
        <v>694</v>
      </c>
      <c r="B695" s="8" t="s">
        <v>3325</v>
      </c>
      <c r="C695" s="6">
        <f>COUNTIF('Kế hoạch chèn link (mới)'!$D$3:$D$2213,$B695)</f>
        <v>2</v>
      </c>
      <c r="D695" s="8" t="str">
        <f>IF(COUNTIFS('Kế hoạch chèn link (mới)'!$D$3:$D$2213,$B695,'Kế hoạch chèn link (mới)'!$I$3:$I$2213,"Đã chèn")&gt;=$C695,"Đã hoàn thành",IF(COUNTIFS('Kế hoạch chèn link (mới)'!$D$3:$D$2213,$B695,'Kế hoạch chèn link (mới)'!$I$3:$I$2213,"Đã chèn")&gt;0,"Đang làm","Chưa hoàn thành"))</f>
        <v>Chưa hoàn thành</v>
      </c>
      <c r="E695" s="8" t="b">
        <f t="shared" si="2"/>
        <v>0</v>
      </c>
      <c r="F695" s="25"/>
      <c r="G695" s="25" t="str">
        <f>IFERROR(__xludf.DUMMYFUNCTION("IFERROR(INDEX(FILTER('Kế hoạch chèn link (mới)'!$C$3:$C$2213,'Kế hoạch chèn link (mới)'!$D$3:$D$2213=$B695),1),"""")"),"lãi suất vay thế chấp sổ hồng")</f>
        <v>lãi suất vay thế chấp sổ hồng</v>
      </c>
      <c r="H695" s="25" t="str">
        <f>IFERROR(__xludf.DUMMYFUNCTION("IFERROR(INDEX(FILTER('Kế hoạch chèn link (mới)'!$B$3:$B$2213,'Kế hoạch chèn link (mới)'!$D$3:$D$2213=$B695),1),"""")"),"https://techcombank.com/thong-tin/blog/lai-suat-vay-the-chap-so-do")</f>
        <v>https://techcombank.com/thong-tin/blog/lai-suat-vay-the-chap-so-do</v>
      </c>
      <c r="I695" s="25" t="str">
        <f>IFERROR(__xludf.DUMMYFUNCTION("IFERROR(INDEX(FILTER('Kế hoạch chèn link (mới)'!$C$3:$C$2213,'Kế hoạch chèn link (mới)'!$D$3:$D$2213=$B695),2),"""")"),"lãi suất vay ngân hàng")</f>
        <v>lãi suất vay ngân hàng</v>
      </c>
      <c r="J695" s="25" t="str">
        <f>IFERROR(__xludf.DUMMYFUNCTION("IFERROR(INDEX(FILTER('Kế hoạch chèn link (mới)'!$B$3:$B$2213,'Kế hoạch chèn link (mới)'!$D$3:$D$2213=$B695),2),"""")"),"https://techcombank.com/thong-tin/blog/lai-suat-vay-ngan-hang")</f>
        <v>https://techcombank.com/thong-tin/blog/lai-suat-vay-ngan-hang</v>
      </c>
      <c r="K695" s="25" t="str">
        <f>IFERROR(__xludf.DUMMYFUNCTION("IFERROR(INDEX(FILTER('Kế hoạch chèn link (mới)'!$C$3:$C$2213,'Kế hoạch chèn link (mới)'!$D$3:$D$2213=$B695),3),"""")"),"")</f>
        <v/>
      </c>
      <c r="L695" s="25" t="str">
        <f>IFERROR(__xludf.DUMMYFUNCTION("IFERROR(INDEX(FILTER('Kế hoạch chèn link (mới)'!$B$3:$B$2213,'Kế hoạch chèn link (mới)'!$D$3:$D$2213=$B695),3),"""")"),"")</f>
        <v/>
      </c>
      <c r="M695" s="25" t="str">
        <f>IFERROR(__xludf.DUMMYFUNCTION("IFERROR(INDEX(FILTER('Kế hoạch chèn link (mới)'!$C$3:$C$2213,'Kế hoạch chèn link (mới)'!$D$3:$D$2213=$B695),4),"""")"),"")</f>
        <v/>
      </c>
      <c r="N695" s="25" t="str">
        <f>IFERROR(__xludf.DUMMYFUNCTION("IFERROR(INDEX(FILTER('Kế hoạch chèn link (mới)'!$B$3:$B$2213,'Kế hoạch chèn link (mới)'!$D$3:$D$2213=$B695),4),"""")"),"")</f>
        <v/>
      </c>
      <c r="O695" s="25" t="str">
        <f>IFERROR(__xludf.DUMMYFUNCTION("IFERROR(INDEX(FILTER('Kế hoạch chèn link (mới)'!$C$3:$C$2213,'Kế hoạch chèn link (mới)'!$D$3:$D$2213=$B695),5),"""")"),"")</f>
        <v/>
      </c>
      <c r="P695" s="25" t="str">
        <f>IFERROR(__xludf.DUMMYFUNCTION("IFERROR(INDEX(FILTER('Kế hoạch chèn link (mới)'!$B$3:$B$2213,'Kế hoạch chèn link (mới)'!$D$3:$D$2213=$B695),5),"""")"),"")</f>
        <v/>
      </c>
    </row>
    <row r="696">
      <c r="A696" s="6">
        <f t="shared" si="1"/>
        <v>695</v>
      </c>
      <c r="B696" s="8" t="s">
        <v>3326</v>
      </c>
      <c r="C696" s="6">
        <f>COUNTIF('Kế hoạch chèn link (mới)'!$D$3:$D$2213,$B696)</f>
        <v>3</v>
      </c>
      <c r="D696" s="8" t="str">
        <f>IF(COUNTIFS('Kế hoạch chèn link (mới)'!$D$3:$D$2213,$B696,'Kế hoạch chèn link (mới)'!$I$3:$I$2213,"Đã chèn")&gt;=$C696,"Đã hoàn thành",IF(COUNTIFS('Kế hoạch chèn link (mới)'!$D$3:$D$2213,$B696,'Kế hoạch chèn link (mới)'!$I$3:$I$2213,"Đã chèn")&gt;0,"Đang làm","Chưa hoàn thành"))</f>
        <v>Chưa hoàn thành</v>
      </c>
      <c r="E696" s="8" t="b">
        <f t="shared" si="2"/>
        <v>0</v>
      </c>
      <c r="F696" s="25"/>
      <c r="G696" s="25" t="str">
        <f>IFERROR(__xludf.DUMMYFUNCTION("IFERROR(INDEX(FILTER('Kế hoạch chèn link (mới)'!$C$3:$C$2213,'Kế hoạch chèn link (mới)'!$D$3:$D$2213=$B696),1),"""")"),"vay thế chấp sổ đỏ")</f>
        <v>vay thế chấp sổ đỏ</v>
      </c>
      <c r="H696" s="25" t="str">
        <f>IFERROR(__xludf.DUMMYFUNCTION("IFERROR(INDEX(FILTER('Kế hoạch chèn link (mới)'!$B$3:$B$2213,'Kế hoạch chèn link (mới)'!$D$3:$D$2213=$B696),1),"""")"),"https://techcombank.com/thong-tin/blog/lai-suat-vay-the-chap-so-do")</f>
        <v>https://techcombank.com/thong-tin/blog/lai-suat-vay-the-chap-so-do</v>
      </c>
      <c r="I696" s="25" t="str">
        <f>IFERROR(__xludf.DUMMYFUNCTION("IFERROR(INDEX(FILTER('Kế hoạch chèn link (mới)'!$C$3:$C$2213,'Kế hoạch chèn link (mới)'!$D$3:$D$2213=$B696),2),"""")"),"xóa thế chấp sổ đỏ")</f>
        <v>xóa thế chấp sổ đỏ</v>
      </c>
      <c r="J696" s="25" t="str">
        <f>IFERROR(__xludf.DUMMYFUNCTION("IFERROR(INDEX(FILTER('Kế hoạch chèn link (mới)'!$B$3:$B$2213,'Kế hoạch chèn link (mới)'!$D$3:$D$2213=$B696),2),"""")"),"https://techcombank.com/thong-tin/blog/ho-so-thu-tuc-xoa-the-chap")</f>
        <v>https://techcombank.com/thong-tin/blog/ho-so-thu-tuc-xoa-the-chap</v>
      </c>
      <c r="K696" s="25" t="str">
        <f>IFERROR(__xludf.DUMMYFUNCTION("IFERROR(INDEX(FILTER('Kế hoạch chèn link (mới)'!$C$3:$C$2213,'Kế hoạch chèn link (mới)'!$D$3:$D$2213=$B696),3),"""")"),"thấu chi là gì")</f>
        <v>thấu chi là gì</v>
      </c>
      <c r="L696" s="25" t="str">
        <f>IFERROR(__xludf.DUMMYFUNCTION("IFERROR(INDEX(FILTER('Kế hoạch chèn link (mới)'!$B$3:$B$2213,'Kế hoạch chèn link (mới)'!$D$3:$D$2213=$B696),3),"""")"),"https://techcombank.com/thong-tin/blog/vay-thau-chi-la-gi")</f>
        <v>https://techcombank.com/thong-tin/blog/vay-thau-chi-la-gi</v>
      </c>
      <c r="M696" s="25" t="str">
        <f>IFERROR(__xludf.DUMMYFUNCTION("IFERROR(INDEX(FILTER('Kế hoạch chèn link (mới)'!$C$3:$C$2213,'Kế hoạch chèn link (mới)'!$D$3:$D$2213=$B696),4),"""")"),"")</f>
        <v/>
      </c>
      <c r="N696" s="25" t="str">
        <f>IFERROR(__xludf.DUMMYFUNCTION("IFERROR(INDEX(FILTER('Kế hoạch chèn link (mới)'!$B$3:$B$2213,'Kế hoạch chèn link (mới)'!$D$3:$D$2213=$B696),4),"""")"),"")</f>
        <v/>
      </c>
      <c r="O696" s="25" t="str">
        <f>IFERROR(__xludf.DUMMYFUNCTION("IFERROR(INDEX(FILTER('Kế hoạch chèn link (mới)'!$C$3:$C$2213,'Kế hoạch chèn link (mới)'!$D$3:$D$2213=$B696),5),"""")"),"")</f>
        <v/>
      </c>
      <c r="P696" s="25" t="str">
        <f>IFERROR(__xludf.DUMMYFUNCTION("IFERROR(INDEX(FILTER('Kế hoạch chèn link (mới)'!$B$3:$B$2213,'Kế hoạch chèn link (mới)'!$D$3:$D$2213=$B696),5),"""")"),"")</f>
        <v/>
      </c>
    </row>
    <row r="697">
      <c r="A697" s="6">
        <f t="shared" si="1"/>
        <v>696</v>
      </c>
      <c r="B697" s="8" t="s">
        <v>72</v>
      </c>
      <c r="C697" s="6">
        <f>COUNTIF('Kế hoạch chèn link (mới)'!$D$3:$D$2213,$B697)</f>
        <v>3</v>
      </c>
      <c r="D697" s="8" t="str">
        <f>IF(COUNTIFS('Kế hoạch chèn link (mới)'!$D$3:$D$2213,$B697,'Kế hoạch chèn link (mới)'!$I$3:$I$2213,"Đã chèn")&gt;=$C697,"Đã hoàn thành",IF(COUNTIFS('Kế hoạch chèn link (mới)'!$D$3:$D$2213,$B697,'Kế hoạch chèn link (mới)'!$I$3:$I$2213,"Đã chèn")&gt;0,"Đang làm","Chưa hoàn thành"))</f>
        <v>Chưa hoàn thành</v>
      </c>
      <c r="E697" s="8" t="b">
        <f t="shared" si="2"/>
        <v>0</v>
      </c>
      <c r="F697" s="25"/>
      <c r="G697" s="25" t="str">
        <f>IFERROR(__xludf.DUMMYFUNCTION("IFERROR(INDEX(FILTER('Kế hoạch chèn link (mới)'!$C$3:$C$2213,'Kế hoạch chèn link (mới)'!$D$3:$D$2213=$B697),1),"""")"),"lãi suất vay mua ô tô")</f>
        <v>lãi suất vay mua ô tô</v>
      </c>
      <c r="H697" s="25" t="str">
        <f>IFERROR(__xludf.DUMMYFUNCTION("IFERROR(INDEX(FILTER('Kế hoạch chèn link (mới)'!$B$3:$B$2213,'Kế hoạch chèn link (mới)'!$D$3:$D$2213=$B697),1),"""")"),"https://techcombank.com/thong-tin/blog/lai-suat-vay-mua-o-to")</f>
        <v>https://techcombank.com/thong-tin/blog/lai-suat-vay-mua-o-to</v>
      </c>
      <c r="I697" s="25" t="str">
        <f>IFERROR(__xludf.DUMMYFUNCTION("IFERROR(INDEX(FILTER('Kế hoạch chèn link (mới)'!$C$3:$C$2213,'Kế hoạch chèn link (mới)'!$D$3:$D$2213=$B697),2),"""")"),"tính lãi suất vay ngân hàng")</f>
        <v>tính lãi suất vay ngân hàng</v>
      </c>
      <c r="J697" s="25" t="str">
        <f>IFERROR(__xludf.DUMMYFUNCTION("IFERROR(INDEX(FILTER('Kế hoạch chèn link (mới)'!$B$3:$B$2213,'Kế hoạch chèn link (mới)'!$D$3:$D$2213=$B697),2),"""")"),"https://techcombank.com/cong-cu-tien-ich/cong-cu-tinh-toan/bang-tinh-lai-suat-vay")</f>
        <v>https://techcombank.com/cong-cu-tien-ich/cong-cu-tinh-toan/bang-tinh-lai-suat-vay</v>
      </c>
      <c r="K697" s="25" t="str">
        <f>IFERROR(__xludf.DUMMYFUNCTION("IFERROR(INDEX(FILTER('Kế hoạch chèn link (mới)'!$C$3:$C$2213,'Kế hoạch chèn link (mới)'!$D$3:$D$2213=$B697),3),"""")"),"lãi suất cho vay ngân hàng")</f>
        <v>lãi suất cho vay ngân hàng</v>
      </c>
      <c r="L697" s="25" t="str">
        <f>IFERROR(__xludf.DUMMYFUNCTION("IFERROR(INDEX(FILTER('Kế hoạch chèn link (mới)'!$B$3:$B$2213,'Kế hoạch chèn link (mới)'!$D$3:$D$2213=$B697),3),"""")"),"https://techcombank.com/thong-tin/blog/lai-suat-vay-ngan-hang")</f>
        <v>https://techcombank.com/thong-tin/blog/lai-suat-vay-ngan-hang</v>
      </c>
      <c r="M697" s="25" t="str">
        <f>IFERROR(__xludf.DUMMYFUNCTION("IFERROR(INDEX(FILTER('Kế hoạch chèn link (mới)'!$C$3:$C$2213,'Kế hoạch chèn link (mới)'!$D$3:$D$2213=$B697),4),"""")"),"")</f>
        <v/>
      </c>
      <c r="N697" s="25" t="str">
        <f>IFERROR(__xludf.DUMMYFUNCTION("IFERROR(INDEX(FILTER('Kế hoạch chèn link (mới)'!$B$3:$B$2213,'Kế hoạch chèn link (mới)'!$D$3:$D$2213=$B697),4),"""")"),"")</f>
        <v/>
      </c>
      <c r="O697" s="25" t="str">
        <f>IFERROR(__xludf.DUMMYFUNCTION("IFERROR(INDEX(FILTER('Kế hoạch chèn link (mới)'!$C$3:$C$2213,'Kế hoạch chèn link (mới)'!$D$3:$D$2213=$B697),5),"""")"),"")</f>
        <v/>
      </c>
      <c r="P697" s="25" t="str">
        <f>IFERROR(__xludf.DUMMYFUNCTION("IFERROR(INDEX(FILTER('Kế hoạch chèn link (mới)'!$B$3:$B$2213,'Kế hoạch chèn link (mới)'!$D$3:$D$2213=$B697),5),"""")"),"")</f>
        <v/>
      </c>
    </row>
    <row r="698">
      <c r="A698" s="6">
        <f t="shared" si="1"/>
        <v>697</v>
      </c>
      <c r="B698" s="8" t="s">
        <v>3327</v>
      </c>
      <c r="C698" s="6">
        <f>COUNTIF('Kế hoạch chèn link (mới)'!$D$3:$D$2213,$B698)</f>
        <v>4</v>
      </c>
      <c r="D698" s="8" t="str">
        <f>IF(COUNTIFS('Kế hoạch chèn link (mới)'!$D$3:$D$2213,$B698,'Kế hoạch chèn link (mới)'!$I$3:$I$2213,"Đã chèn")&gt;=$C698,"Đã hoàn thành",IF(COUNTIFS('Kế hoạch chèn link (mới)'!$D$3:$D$2213,$B698,'Kế hoạch chèn link (mới)'!$I$3:$I$2213,"Đã chèn")&gt;0,"Đang làm","Chưa hoàn thành"))</f>
        <v>Chưa hoàn thành</v>
      </c>
      <c r="E698" s="8" t="b">
        <f t="shared" si="2"/>
        <v>0</v>
      </c>
      <c r="F698" s="25"/>
      <c r="G698" s="25" t="str">
        <f>IFERROR(__xludf.DUMMYFUNCTION("IFERROR(INDEX(FILTER('Kế hoạch chèn link (mới)'!$C$3:$C$2213,'Kế hoạch chèn link (mới)'!$D$3:$D$2213=$B698),1),"""")"),"hồ sơ thủ tục xóa thế chấp")</f>
        <v>hồ sơ thủ tục xóa thế chấp</v>
      </c>
      <c r="H698" s="25" t="str">
        <f>IFERROR(__xludf.DUMMYFUNCTION("IFERROR(INDEX(FILTER('Kế hoạch chèn link (mới)'!$B$3:$B$2213,'Kế hoạch chèn link (mới)'!$D$3:$D$2213=$B698),1),"""")"),"https://techcombank.com/thong-tin/blog/ho-so-thu-tuc-xoa-the-chap")</f>
        <v>https://techcombank.com/thong-tin/blog/ho-so-thu-tuc-xoa-the-chap</v>
      </c>
      <c r="I698" s="25" t="str">
        <f>IFERROR(__xludf.DUMMYFUNCTION("IFERROR(INDEX(FILTER('Kế hoạch chèn link (mới)'!$C$3:$C$2213,'Kế hoạch chèn link (mới)'!$D$3:$D$2213=$B698),2),"""")"),"vay tiền")</f>
        <v>vay tiền</v>
      </c>
      <c r="J698" s="25" t="str">
        <f>IFERROR(__xludf.DUMMYFUNCTION("IFERROR(INDEX(FILTER('Kế hoạch chèn link (mới)'!$B$3:$B$2213,'Kế hoạch chèn link (mới)'!$D$3:$D$2213=$B698),2),"""")"),"https://techcombank.com/thong-tin/blog/app-vay-tien-nhanh")</f>
        <v>https://techcombank.com/thong-tin/blog/app-vay-tien-nhanh</v>
      </c>
      <c r="K698" s="25" t="str">
        <f>IFERROR(__xludf.DUMMYFUNCTION("IFERROR(INDEX(FILTER('Kế hoạch chèn link (mới)'!$C$3:$C$2213,'Kế hoạch chèn link (mới)'!$D$3:$D$2213=$B698),3),"""")"),"lãi suất vay ngân hàng")</f>
        <v>lãi suất vay ngân hàng</v>
      </c>
      <c r="L698" s="25" t="str">
        <f>IFERROR(__xludf.DUMMYFUNCTION("IFERROR(INDEX(FILTER('Kế hoạch chèn link (mới)'!$B$3:$B$2213,'Kế hoạch chèn link (mới)'!$D$3:$D$2213=$B698),3),"""")"),"https://techcombank.com/thong-tin/blog/lai-suat-vay-ngan-hang")</f>
        <v>https://techcombank.com/thong-tin/blog/lai-suat-vay-ngan-hang</v>
      </c>
      <c r="M698" s="25" t="str">
        <f>IFERROR(__xludf.DUMMYFUNCTION("IFERROR(INDEX(FILTER('Kế hoạch chèn link (mới)'!$C$3:$C$2213,'Kế hoạch chèn link (mới)'!$D$3:$D$2213=$B698),4),"""")"),"nợ xấu")</f>
        <v>nợ xấu</v>
      </c>
      <c r="N698" s="25" t="str">
        <f>IFERROR(__xludf.DUMMYFUNCTION("IFERROR(INDEX(FILTER('Kế hoạch chèn link (mới)'!$B$3:$B$2213,'Kế hoạch chèn link (mới)'!$D$3:$D$2213=$B698),4),"""")"),"https://techcombank.com/thong-tin/blog/no-xau-la-gi")</f>
        <v>https://techcombank.com/thong-tin/blog/no-xau-la-gi</v>
      </c>
      <c r="O698" s="25" t="str">
        <f>IFERROR(__xludf.DUMMYFUNCTION("IFERROR(INDEX(FILTER('Kế hoạch chèn link (mới)'!$C$3:$C$2213,'Kế hoạch chèn link (mới)'!$D$3:$D$2213=$B698),5),"""")"),"")</f>
        <v/>
      </c>
      <c r="P698" s="25" t="str">
        <f>IFERROR(__xludf.DUMMYFUNCTION("IFERROR(INDEX(FILTER('Kế hoạch chèn link (mới)'!$B$3:$B$2213,'Kế hoạch chèn link (mới)'!$D$3:$D$2213=$B698),5),"""")"),"")</f>
        <v/>
      </c>
    </row>
    <row r="699">
      <c r="A699" s="6">
        <f t="shared" si="1"/>
        <v>698</v>
      </c>
      <c r="B699" s="8" t="s">
        <v>1608</v>
      </c>
      <c r="C699" s="6">
        <f>COUNTIF('Kế hoạch chèn link (mới)'!$D$3:$D$2213,$B699)</f>
        <v>5</v>
      </c>
      <c r="D699" s="8" t="str">
        <f>IF(COUNTIFS('Kế hoạch chèn link (mới)'!$D$3:$D$2213,$B699,'Kế hoạch chèn link (mới)'!$I$3:$I$2213,"Đã chèn")&gt;=$C699,"Đã hoàn thành",IF(COUNTIFS('Kế hoạch chèn link (mới)'!$D$3:$D$2213,$B699,'Kế hoạch chèn link (mới)'!$I$3:$I$2213,"Đã chèn")&gt;0,"Đang làm","Chưa hoàn thành"))</f>
        <v>Chưa hoàn thành</v>
      </c>
      <c r="E699" s="8" t="b">
        <f t="shared" si="2"/>
        <v>0</v>
      </c>
      <c r="F699" s="25"/>
      <c r="G699" s="25" t="str">
        <f>IFERROR(__xludf.DUMMYFUNCTION("IFERROR(INDEX(FILTER('Kế hoạch chèn link (mới)'!$C$3:$C$2213,'Kế hoạch chèn link (mới)'!$D$3:$D$2213=$B699),1),"""")"),"thuế thu nhập cá nhân")</f>
        <v>thuế thu nhập cá nhân</v>
      </c>
      <c r="H699" s="25" t="str">
        <f>IFERROR(__xludf.DUMMYFUNCTION("IFERROR(INDEX(FILTER('Kế hoạch chèn link (mới)'!$B$3:$B$2213,'Kế hoạch chèn link (mới)'!$D$3:$D$2213=$B699),1),"""")"),"https://techcombank.com/thong-tin/blog/cach-tinh-thue-thu-nhap-ca-nhan-2025")</f>
        <v>https://techcombank.com/thong-tin/blog/cach-tinh-thue-thu-nhap-ca-nhan-2025</v>
      </c>
      <c r="I699" s="25" t="str">
        <f>IFERROR(__xludf.DUMMYFUNCTION("IFERROR(INDEX(FILTER('Kế hoạch chèn link (mới)'!$C$3:$C$2213,'Kế hoạch chèn link (mới)'!$D$3:$D$2213=$B699),2),"""")"),"sao kê tài khoản ngân hàng")</f>
        <v>sao kê tài khoản ngân hàng</v>
      </c>
      <c r="J699" s="25" t="str">
        <f>IFERROR(__xludf.DUMMYFUNCTION("IFERROR(INDEX(FILTER('Kế hoạch chèn link (mới)'!$B$3:$B$2213,'Kế hoạch chèn link (mới)'!$D$3:$D$2213=$B699),2),"""")"),"https://techcombank.com/thong-tin/blog/cach-sao-ke-tai-khoan-ngan-hang")</f>
        <v>https://techcombank.com/thong-tin/blog/cach-sao-ke-tai-khoan-ngan-hang</v>
      </c>
      <c r="K699" s="25" t="str">
        <f>IFERROR(__xludf.DUMMYFUNCTION("IFERROR(INDEX(FILTER('Kế hoạch chèn link (mới)'!$C$3:$C$2213,'Kế hoạch chèn link (mới)'!$D$3:$D$2213=$B699),3),"""")"),"cách tính lãi suất vay")</f>
        <v>cách tính lãi suất vay</v>
      </c>
      <c r="L699" s="25" t="str">
        <f>IFERROR(__xludf.DUMMYFUNCTION("IFERROR(INDEX(FILTER('Kế hoạch chèn link (mới)'!$B$3:$B$2213,'Kế hoạch chèn link (mới)'!$D$3:$D$2213=$B699),3),"""")"),"https://techcombank.com/thong-tin/blog/cach-tinh-lai-vay-ngan-hang")</f>
        <v>https://techcombank.com/thong-tin/blog/cach-tinh-lai-vay-ngan-hang</v>
      </c>
      <c r="M699" s="25" t="str">
        <f>IFERROR(__xludf.DUMMYFUNCTION("IFERROR(INDEX(FILTER('Kế hoạch chèn link (mới)'!$C$3:$C$2213,'Kế hoạch chèn link (mới)'!$D$3:$D$2213=$B699),4),"""")"),"tính lãi vay ngân hàng")</f>
        <v>tính lãi vay ngân hàng</v>
      </c>
      <c r="N699" s="25" t="str">
        <f>IFERROR(__xludf.DUMMYFUNCTION("IFERROR(INDEX(FILTER('Kế hoạch chèn link (mới)'!$B$3:$B$2213,'Kế hoạch chèn link (mới)'!$D$3:$D$2213=$B699),4),"""")"),"https://techcombank.com/cong-cu-tien-ich/cong-cu-tinh-toan/bang-tinh-lai-suat-vay")</f>
        <v>https://techcombank.com/cong-cu-tien-ich/cong-cu-tinh-toan/bang-tinh-lai-suat-vay</v>
      </c>
      <c r="O699" s="25" t="str">
        <f>IFERROR(__xludf.DUMMYFUNCTION("IFERROR(INDEX(FILTER('Kế hoạch chèn link (mới)'!$C$3:$C$2213,'Kế hoạch chèn link (mới)'!$D$3:$D$2213=$B699),5),"""")"),"vay tiền app")</f>
        <v>vay tiền app</v>
      </c>
      <c r="P699" s="25" t="str">
        <f>IFERROR(__xludf.DUMMYFUNCTION("IFERROR(INDEX(FILTER('Kế hoạch chèn link (mới)'!$B$3:$B$2213,'Kế hoạch chèn link (mới)'!$D$3:$D$2213=$B699),5),"""")"),"https://techcombank.com/thong-tin/blog/app-vay-tien-nhanh")</f>
        <v>https://techcombank.com/thong-tin/blog/app-vay-tien-nhanh</v>
      </c>
    </row>
    <row r="700">
      <c r="A700" s="6">
        <f t="shared" si="1"/>
        <v>699</v>
      </c>
      <c r="B700" s="8" t="s">
        <v>3330</v>
      </c>
      <c r="C700" s="6">
        <f>COUNTIF('Kế hoạch chèn link (mới)'!$D$3:$D$2213,$B700)</f>
        <v>2</v>
      </c>
      <c r="D700" s="8" t="str">
        <f>IF(COUNTIFS('Kế hoạch chèn link (mới)'!$D$3:$D$2213,$B700,'Kế hoạch chèn link (mới)'!$I$3:$I$2213,"Đã chèn")&gt;=$C700,"Đã hoàn thành",IF(COUNTIFS('Kế hoạch chèn link (mới)'!$D$3:$D$2213,$B700,'Kế hoạch chèn link (mới)'!$I$3:$I$2213,"Đã chèn")&gt;0,"Đang làm","Chưa hoàn thành"))</f>
        <v>Chưa hoàn thành</v>
      </c>
      <c r="E700" s="8" t="b">
        <f t="shared" si="2"/>
        <v>0</v>
      </c>
      <c r="F700" s="25"/>
      <c r="G700" s="25" t="str">
        <f>IFERROR(__xludf.DUMMYFUNCTION("IFERROR(INDEX(FILTER('Kế hoạch chèn link (mới)'!$C$3:$C$2213,'Kế hoạch chèn link (mới)'!$D$3:$D$2213=$B700),1),"""")"),"tính lãi suất vay ngân hàng")</f>
        <v>tính lãi suất vay ngân hàng</v>
      </c>
      <c r="H700" s="25" t="str">
        <f>IFERROR(__xludf.DUMMYFUNCTION("IFERROR(INDEX(FILTER('Kế hoạch chèn link (mới)'!$B$3:$B$2213,'Kế hoạch chèn link (mới)'!$D$3:$D$2213=$B700),1),"""")"),"https://techcombank.com/cong-cu-tien-ich/cong-cu-tinh-toan/bang-tinh-lai-suat-vay")</f>
        <v>https://techcombank.com/cong-cu-tien-ich/cong-cu-tinh-toan/bang-tinh-lai-suat-vay</v>
      </c>
      <c r="I700" s="25" t="str">
        <f>IFERROR(__xludf.DUMMYFUNCTION("IFERROR(INDEX(FILTER('Kế hoạch chèn link (mới)'!$C$3:$C$2213,'Kế hoạch chèn link (mới)'!$D$3:$D$2213=$B700),2),"""")"),"lãi suất vay ngân hàng")</f>
        <v>lãi suất vay ngân hàng</v>
      </c>
      <c r="J700" s="25" t="str">
        <f>IFERROR(__xludf.DUMMYFUNCTION("IFERROR(INDEX(FILTER('Kế hoạch chèn link (mới)'!$B$3:$B$2213,'Kế hoạch chèn link (mới)'!$D$3:$D$2213=$B700),2),"""")"),"https://techcombank.com/thong-tin/blog/lai-suat-vay-ngan-hang")</f>
        <v>https://techcombank.com/thong-tin/blog/lai-suat-vay-ngan-hang</v>
      </c>
      <c r="K700" s="25" t="str">
        <f>IFERROR(__xludf.DUMMYFUNCTION("IFERROR(INDEX(FILTER('Kế hoạch chèn link (mới)'!$C$3:$C$2213,'Kế hoạch chèn link (mới)'!$D$3:$D$2213=$B700),3),"""")"),"")</f>
        <v/>
      </c>
      <c r="L700" s="25" t="str">
        <f>IFERROR(__xludf.DUMMYFUNCTION("IFERROR(INDEX(FILTER('Kế hoạch chèn link (mới)'!$B$3:$B$2213,'Kế hoạch chèn link (mới)'!$D$3:$D$2213=$B700),3),"""")"),"")</f>
        <v/>
      </c>
      <c r="M700" s="25" t="str">
        <f>IFERROR(__xludf.DUMMYFUNCTION("IFERROR(INDEX(FILTER('Kế hoạch chèn link (mới)'!$C$3:$C$2213,'Kế hoạch chèn link (mới)'!$D$3:$D$2213=$B700),4),"""")"),"")</f>
        <v/>
      </c>
      <c r="N700" s="25" t="str">
        <f>IFERROR(__xludf.DUMMYFUNCTION("IFERROR(INDEX(FILTER('Kế hoạch chèn link (mới)'!$B$3:$B$2213,'Kế hoạch chèn link (mới)'!$D$3:$D$2213=$B700),4),"""")"),"")</f>
        <v/>
      </c>
      <c r="O700" s="25" t="str">
        <f>IFERROR(__xludf.DUMMYFUNCTION("IFERROR(INDEX(FILTER('Kế hoạch chèn link (mới)'!$C$3:$C$2213,'Kế hoạch chèn link (mới)'!$D$3:$D$2213=$B700),5),"""")"),"")</f>
        <v/>
      </c>
      <c r="P700" s="25" t="str">
        <f>IFERROR(__xludf.DUMMYFUNCTION("IFERROR(INDEX(FILTER('Kế hoạch chèn link (mới)'!$B$3:$B$2213,'Kế hoạch chèn link (mới)'!$D$3:$D$2213=$B700),5),"""")"),"")</f>
        <v/>
      </c>
    </row>
    <row r="701">
      <c r="A701" s="6">
        <f t="shared" si="1"/>
        <v>700</v>
      </c>
      <c r="B701" s="8" t="s">
        <v>3333</v>
      </c>
      <c r="C701" s="6">
        <f>COUNTIF('Kế hoạch chèn link (mới)'!$D$3:$D$2213,$B701)</f>
        <v>4</v>
      </c>
      <c r="D701" s="8" t="str">
        <f>IF(COUNTIFS('Kế hoạch chèn link (mới)'!$D$3:$D$2213,$B701,'Kế hoạch chèn link (mới)'!$I$3:$I$2213,"Đã chèn")&gt;=$C701,"Đã hoàn thành",IF(COUNTIFS('Kế hoạch chèn link (mới)'!$D$3:$D$2213,$B701,'Kế hoạch chèn link (mới)'!$I$3:$I$2213,"Đã chèn")&gt;0,"Đang làm","Chưa hoàn thành"))</f>
        <v>Chưa hoàn thành</v>
      </c>
      <c r="E701" s="8" t="b">
        <f t="shared" si="2"/>
        <v>0</v>
      </c>
      <c r="F701" s="25"/>
      <c r="G701" s="25" t="str">
        <f>IFERROR(__xludf.DUMMYFUNCTION("IFERROR(INDEX(FILTER('Kế hoạch chèn link (mới)'!$C$3:$C$2213,'Kế hoạch chèn link (mới)'!$D$3:$D$2213=$B701),1),"""")"),"xếp hạng tín dụng")</f>
        <v>xếp hạng tín dụng</v>
      </c>
      <c r="H701" s="25" t="str">
        <f>IFERROR(__xludf.DUMMYFUNCTION("IFERROR(INDEX(FILTER('Kế hoạch chèn link (mới)'!$B$3:$B$2213,'Kế hoạch chèn link (mới)'!$D$3:$D$2213=$B701),1),"""")"),"https://techcombank.com/thong-tin/blog/xep-hang-tin-dung")</f>
        <v>https://techcombank.com/thong-tin/blog/xep-hang-tin-dung</v>
      </c>
      <c r="I701" s="25" t="str">
        <f>IFERROR(__xludf.DUMMYFUNCTION("IFERROR(INDEX(FILTER('Kế hoạch chèn link (mới)'!$C$3:$C$2213,'Kế hoạch chèn link (mới)'!$D$3:$D$2213=$B701),2),"""")"),"thuế hộ kinh doanh")</f>
        <v>thuế hộ kinh doanh</v>
      </c>
      <c r="J701" s="25" t="str">
        <f>IFERROR(__xludf.DUMMYFUNCTION("IFERROR(INDEX(FILTER('Kế hoạch chèn link (mới)'!$B$3:$B$2213,'Kế hoạch chèn link (mới)'!$D$3:$D$2213=$B701),2),"""")"),"https://techcombank.com/thong-tin/blog/ho-kinh-doanh-dong-thue-nhu-nao")</f>
        <v>https://techcombank.com/thong-tin/blog/ho-kinh-doanh-dong-thue-nhu-nao</v>
      </c>
      <c r="K701" s="25" t="str">
        <f>IFERROR(__xludf.DUMMYFUNCTION("IFERROR(INDEX(FILTER('Kế hoạch chèn link (mới)'!$C$3:$C$2213,'Kế hoạch chèn link (mới)'!$D$3:$D$2213=$B701),3),"""")"),"tài khoản hộ kinh doanh")</f>
        <v>tài khoản hộ kinh doanh</v>
      </c>
      <c r="L701" s="25" t="str">
        <f>IFERROR(__xludf.DUMMYFUNCTION("IFERROR(INDEX(FILTER('Kế hoạch chèn link (mới)'!$B$3:$B$2213,'Kế hoạch chèn link (mới)'!$D$3:$D$2213=$B701),3),"""")"),"https://techcombank.com/thong-tin/blog/mo-tai-khoan-ho-kinh-doanh")</f>
        <v>https://techcombank.com/thong-tin/blog/mo-tai-khoan-ho-kinh-doanh</v>
      </c>
      <c r="M701" s="25" t="str">
        <f>IFERROR(__xludf.DUMMYFUNCTION("IFERROR(INDEX(FILTER('Kế hoạch chèn link (mới)'!$C$3:$C$2213,'Kế hoạch chèn link (mới)'!$D$3:$D$2213=$B701),4),"""")"),"lãi suất vay ngân hàng")</f>
        <v>lãi suất vay ngân hàng</v>
      </c>
      <c r="N701" s="25" t="str">
        <f>IFERROR(__xludf.DUMMYFUNCTION("IFERROR(INDEX(FILTER('Kế hoạch chèn link (mới)'!$B$3:$B$2213,'Kế hoạch chèn link (mới)'!$D$3:$D$2213=$B701),4),"""")"),"https://techcombank.com/thong-tin/blog/lai-suat-vay-ngan-hang")</f>
        <v>https://techcombank.com/thong-tin/blog/lai-suat-vay-ngan-hang</v>
      </c>
      <c r="O701" s="25" t="str">
        <f>IFERROR(__xludf.DUMMYFUNCTION("IFERROR(INDEX(FILTER('Kế hoạch chèn link (mới)'!$C$3:$C$2213,'Kế hoạch chèn link (mới)'!$D$3:$D$2213=$B701),5),"""")"),"")</f>
        <v/>
      </c>
      <c r="P701" s="25" t="str">
        <f>IFERROR(__xludf.DUMMYFUNCTION("IFERROR(INDEX(FILTER('Kế hoạch chèn link (mới)'!$B$3:$B$2213,'Kế hoạch chèn link (mới)'!$D$3:$D$2213=$B701),5),"""")"),"")</f>
        <v/>
      </c>
    </row>
    <row r="702">
      <c r="A702" s="6">
        <f t="shared" si="1"/>
        <v>701</v>
      </c>
      <c r="B702" s="8" t="s">
        <v>1171</v>
      </c>
      <c r="C702" s="6">
        <f>COUNTIF('Kế hoạch chèn link (mới)'!$D$3:$D$2213,$B702)</f>
        <v>4</v>
      </c>
      <c r="D702" s="8" t="str">
        <f>IF(COUNTIFS('Kế hoạch chèn link (mới)'!$D$3:$D$2213,$B702,'Kế hoạch chèn link (mới)'!$I$3:$I$2213,"Đã chèn")&gt;=$C702,"Đã hoàn thành",IF(COUNTIFS('Kế hoạch chèn link (mới)'!$D$3:$D$2213,$B702,'Kế hoạch chèn link (mới)'!$I$3:$I$2213,"Đã chèn")&gt;0,"Đang làm","Chưa hoàn thành"))</f>
        <v>Chưa hoàn thành</v>
      </c>
      <c r="E702" s="8" t="b">
        <f t="shared" si="2"/>
        <v>0</v>
      </c>
      <c r="F702" s="25"/>
      <c r="G702" s="25" t="str">
        <f>IFERROR(__xludf.DUMMYFUNCTION("IFERROR(INDEX(FILTER('Kế hoạch chèn link (mới)'!$C$3:$C$2213,'Kế hoạch chèn link (mới)'!$D$3:$D$2213=$B702),1),"""")"),"cic là gì")</f>
        <v>cic là gì</v>
      </c>
      <c r="H702" s="25" t="str">
        <f>IFERROR(__xludf.DUMMYFUNCTION("IFERROR(INDEX(FILTER('Kế hoạch chèn link (mới)'!$B$3:$B$2213,'Kế hoạch chèn link (mới)'!$D$3:$D$2213=$B702),1),"""")"),"https://techcombank.com/thong-tin/blog/cic-la-gi")</f>
        <v>https://techcombank.com/thong-tin/blog/cic-la-gi</v>
      </c>
      <c r="I702" s="25" t="str">
        <f>IFERROR(__xludf.DUMMYFUNCTION("IFERROR(INDEX(FILTER('Kế hoạch chèn link (mới)'!$C$3:$C$2213,'Kế hoạch chèn link (mới)'!$D$3:$D$2213=$B702),2),"""")"),"tính lãi vay ngân hàng")</f>
        <v>tính lãi vay ngân hàng</v>
      </c>
      <c r="J702" s="25" t="str">
        <f>IFERROR(__xludf.DUMMYFUNCTION("IFERROR(INDEX(FILTER('Kế hoạch chèn link (mới)'!$B$3:$B$2213,'Kế hoạch chèn link (mới)'!$D$3:$D$2213=$B702),2),"""")"),"https://techcombank.com/cong-cu-tien-ich/cong-cu-tinh-toan/bang-tinh-lai-suat-vay")</f>
        <v>https://techcombank.com/cong-cu-tien-ich/cong-cu-tinh-toan/bang-tinh-lai-suat-vay</v>
      </c>
      <c r="K702" s="25" t="str">
        <f>IFERROR(__xludf.DUMMYFUNCTION("IFERROR(INDEX(FILTER('Kế hoạch chèn link (mới)'!$C$3:$C$2213,'Kế hoạch chèn link (mới)'!$D$3:$D$2213=$B702),3),"""")"),"lãi suất vay ngân hàng")</f>
        <v>lãi suất vay ngân hàng</v>
      </c>
      <c r="L702" s="25" t="str">
        <f>IFERROR(__xludf.DUMMYFUNCTION("IFERROR(INDEX(FILTER('Kế hoạch chèn link (mới)'!$B$3:$B$2213,'Kế hoạch chèn link (mới)'!$D$3:$D$2213=$B702),3),"""")"),"https://techcombank.com/thong-tin/blog/lai-suat-vay-ngan-hang")</f>
        <v>https://techcombank.com/thong-tin/blog/lai-suat-vay-ngan-hang</v>
      </c>
      <c r="M702" s="25" t="str">
        <f>IFERROR(__xludf.DUMMYFUNCTION("IFERROR(INDEX(FILTER('Kế hoạch chèn link (mới)'!$C$3:$C$2213,'Kế hoạch chèn link (mới)'!$D$3:$D$2213=$B702),4),"""")"),"nên vay tín chấp ở đâu")</f>
        <v>nên vay tín chấp ở đâu</v>
      </c>
      <c r="N702" s="25" t="str">
        <f>IFERROR(__xludf.DUMMYFUNCTION("IFERROR(INDEX(FILTER('Kế hoạch chèn link (mới)'!$B$3:$B$2213,'Kế hoạch chèn link (mới)'!$D$3:$D$2213=$B702),4),"""")"),"https://techcombank.com/thong-tin/blog/nen-vay-tin-chap-o-dau")</f>
        <v>https://techcombank.com/thong-tin/blog/nen-vay-tin-chap-o-dau</v>
      </c>
      <c r="O702" s="25" t="str">
        <f>IFERROR(__xludf.DUMMYFUNCTION("IFERROR(INDEX(FILTER('Kế hoạch chèn link (mới)'!$C$3:$C$2213,'Kế hoạch chèn link (mới)'!$D$3:$D$2213=$B702),5),"""")"),"")</f>
        <v/>
      </c>
      <c r="P702" s="25" t="str">
        <f>IFERROR(__xludf.DUMMYFUNCTION("IFERROR(INDEX(FILTER('Kế hoạch chèn link (mới)'!$B$3:$B$2213,'Kế hoạch chèn link (mới)'!$D$3:$D$2213=$B702),5),"""")"),"")</f>
        <v/>
      </c>
    </row>
    <row r="703">
      <c r="A703" s="6">
        <f t="shared" si="1"/>
        <v>702</v>
      </c>
      <c r="B703" s="8" t="s">
        <v>3335</v>
      </c>
      <c r="C703" s="6">
        <f>COUNTIF('Kế hoạch chèn link (mới)'!$D$3:$D$2213,$B703)</f>
        <v>2</v>
      </c>
      <c r="D703" s="8" t="str">
        <f>IF(COUNTIFS('Kế hoạch chèn link (mới)'!$D$3:$D$2213,$B703,'Kế hoạch chèn link (mới)'!$I$3:$I$2213,"Đã chèn")&gt;=$C703,"Đã hoàn thành",IF(COUNTIFS('Kế hoạch chèn link (mới)'!$D$3:$D$2213,$B703,'Kế hoạch chèn link (mới)'!$I$3:$I$2213,"Đã chèn")&gt;0,"Đang làm","Chưa hoàn thành"))</f>
        <v>Chưa hoàn thành</v>
      </c>
      <c r="E703" s="8" t="b">
        <f t="shared" si="2"/>
        <v>0</v>
      </c>
      <c r="F703" s="25"/>
      <c r="G703" s="25" t="str">
        <f>IFERROR(__xludf.DUMMYFUNCTION("IFERROR(INDEX(FILTER('Kế hoạch chèn link (mới)'!$C$3:$C$2213,'Kế hoạch chèn link (mới)'!$D$3:$D$2213=$B703),1),"""")"),"nợ xấu")</f>
        <v>nợ xấu</v>
      </c>
      <c r="H703" s="25" t="str">
        <f>IFERROR(__xludf.DUMMYFUNCTION("IFERROR(INDEX(FILTER('Kế hoạch chèn link (mới)'!$B$3:$B$2213,'Kế hoạch chèn link (mới)'!$D$3:$D$2213=$B703),1),"""")"),"https://techcombank.com/thong-tin/blog/no-xau-la-gi")</f>
        <v>https://techcombank.com/thong-tin/blog/no-xau-la-gi</v>
      </c>
      <c r="I703" s="25" t="str">
        <f>IFERROR(__xludf.DUMMYFUNCTION("IFERROR(INDEX(FILTER('Kế hoạch chèn link (mới)'!$C$3:$C$2213,'Kế hoạch chèn link (mới)'!$D$3:$D$2213=$B703),2),"""")"),"vay tín chấp không trả được có sao không")</f>
        <v>vay tín chấp không trả được có sao không</v>
      </c>
      <c r="J703" s="25" t="str">
        <f>IFERROR(__xludf.DUMMYFUNCTION("IFERROR(INDEX(FILTER('Kế hoạch chèn link (mới)'!$B$3:$B$2213,'Kế hoạch chèn link (mới)'!$D$3:$D$2213=$B703),2),"""")"),"https://techcombank.com/thong-tin/blog/vay-tin-chap-khong-tra-duoc-co-sao-khong")</f>
        <v>https://techcombank.com/thong-tin/blog/vay-tin-chap-khong-tra-duoc-co-sao-khong</v>
      </c>
      <c r="K703" s="25" t="str">
        <f>IFERROR(__xludf.DUMMYFUNCTION("IFERROR(INDEX(FILTER('Kế hoạch chèn link (mới)'!$C$3:$C$2213,'Kế hoạch chèn link (mới)'!$D$3:$D$2213=$B703),3),"""")"),"")</f>
        <v/>
      </c>
      <c r="L703" s="25" t="str">
        <f>IFERROR(__xludf.DUMMYFUNCTION("IFERROR(INDEX(FILTER('Kế hoạch chèn link (mới)'!$B$3:$B$2213,'Kế hoạch chèn link (mới)'!$D$3:$D$2213=$B703),3),"""")"),"")</f>
        <v/>
      </c>
      <c r="M703" s="25" t="str">
        <f>IFERROR(__xludf.DUMMYFUNCTION("IFERROR(INDEX(FILTER('Kế hoạch chèn link (mới)'!$C$3:$C$2213,'Kế hoạch chèn link (mới)'!$D$3:$D$2213=$B703),4),"""")"),"")</f>
        <v/>
      </c>
      <c r="N703" s="25" t="str">
        <f>IFERROR(__xludf.DUMMYFUNCTION("IFERROR(INDEX(FILTER('Kế hoạch chèn link (mới)'!$B$3:$B$2213,'Kế hoạch chèn link (mới)'!$D$3:$D$2213=$B703),4),"""")"),"")</f>
        <v/>
      </c>
      <c r="O703" s="25" t="str">
        <f>IFERROR(__xludf.DUMMYFUNCTION("IFERROR(INDEX(FILTER('Kế hoạch chèn link (mới)'!$C$3:$C$2213,'Kế hoạch chèn link (mới)'!$D$3:$D$2213=$B703),5),"""")"),"")</f>
        <v/>
      </c>
      <c r="P703" s="25" t="str">
        <f>IFERROR(__xludf.DUMMYFUNCTION("IFERROR(INDEX(FILTER('Kế hoạch chèn link (mới)'!$B$3:$B$2213,'Kế hoạch chèn link (mới)'!$D$3:$D$2213=$B703),5),"""")"),"")</f>
        <v/>
      </c>
    </row>
    <row r="704">
      <c r="A704" s="6">
        <f t="shared" si="1"/>
        <v>703</v>
      </c>
      <c r="B704" s="8" t="s">
        <v>3336</v>
      </c>
      <c r="C704" s="6">
        <f>COUNTIF('Kế hoạch chèn link (mới)'!$D$3:$D$2213,$B704)</f>
        <v>4</v>
      </c>
      <c r="D704" s="8" t="str">
        <f>IF(COUNTIFS('Kế hoạch chèn link (mới)'!$D$3:$D$2213,$B704,'Kế hoạch chèn link (mới)'!$I$3:$I$2213,"Đã chèn")&gt;=$C704,"Đã hoàn thành",IF(COUNTIFS('Kế hoạch chèn link (mới)'!$D$3:$D$2213,$B704,'Kế hoạch chèn link (mới)'!$I$3:$I$2213,"Đã chèn")&gt;0,"Đang làm","Chưa hoàn thành"))</f>
        <v>Chưa hoàn thành</v>
      </c>
      <c r="E704" s="8" t="b">
        <f t="shared" si="2"/>
        <v>0</v>
      </c>
      <c r="F704" s="25"/>
      <c r="G704" s="25" t="str">
        <f>IFERROR(__xludf.DUMMYFUNCTION("IFERROR(INDEX(FILTER('Kế hoạch chèn link (mới)'!$C$3:$C$2213,'Kế hoạch chèn link (mới)'!$D$3:$D$2213=$B704),1),"""")"),"kiểm tra cic")</f>
        <v>kiểm tra cic</v>
      </c>
      <c r="H704" s="25" t="str">
        <f>IFERROR(__xludf.DUMMYFUNCTION("IFERROR(INDEX(FILTER('Kế hoạch chèn link (mới)'!$B$3:$B$2213,'Kế hoạch chèn link (mới)'!$D$3:$D$2213=$B704),1),"""")"),"https://techcombank.com/thong-tin/blog/cic-la-gi")</f>
        <v>https://techcombank.com/thong-tin/blog/cic-la-gi</v>
      </c>
      <c r="I704" s="25" t="str">
        <f>IFERROR(__xludf.DUMMYFUNCTION("IFERROR(INDEX(FILTER('Kế hoạch chèn link (mới)'!$C$3:$C$2213,'Kế hoạch chèn link (mới)'!$D$3:$D$2213=$B704),2),"""")"),"xếp hạng tín dụng cá nhân")</f>
        <v>xếp hạng tín dụng cá nhân</v>
      </c>
      <c r="J704" s="25" t="str">
        <f>IFERROR(__xludf.DUMMYFUNCTION("IFERROR(INDEX(FILTER('Kế hoạch chèn link (mới)'!$B$3:$B$2213,'Kế hoạch chèn link (mới)'!$D$3:$D$2213=$B704),2),"""")"),"https://techcombank.com/thong-tin/blog/xep-hang-tin-dung")</f>
        <v>https://techcombank.com/thong-tin/blog/xep-hang-tin-dung</v>
      </c>
      <c r="K704" s="25" t="str">
        <f>IFERROR(__xludf.DUMMYFUNCTION("IFERROR(INDEX(FILTER('Kế hoạch chèn link (mới)'!$C$3:$C$2213,'Kế hoạch chèn link (mới)'!$D$3:$D$2213=$B704),3),"""")"),"tra cứu nợ xấu")</f>
        <v>tra cứu nợ xấu</v>
      </c>
      <c r="L704" s="25" t="str">
        <f>IFERROR(__xludf.DUMMYFUNCTION("IFERROR(INDEX(FILTER('Kế hoạch chèn link (mới)'!$B$3:$B$2213,'Kế hoạch chèn link (mới)'!$D$3:$D$2213=$B704),3),"""")"),"https://techcombank.com/thong-tin/blog/kiem-tra-no-xau")</f>
        <v>https://techcombank.com/thong-tin/blog/kiem-tra-no-xau</v>
      </c>
      <c r="M704" s="25" t="str">
        <f>IFERROR(__xludf.DUMMYFUNCTION("IFERROR(INDEX(FILTER('Kế hoạch chèn link (mới)'!$C$3:$C$2213,'Kế hoạch chèn link (mới)'!$D$3:$D$2213=$B704),4),"""")"),"nợ xấu")</f>
        <v>nợ xấu</v>
      </c>
      <c r="N704" s="25" t="str">
        <f>IFERROR(__xludf.DUMMYFUNCTION("IFERROR(INDEX(FILTER('Kế hoạch chèn link (mới)'!$B$3:$B$2213,'Kế hoạch chèn link (mới)'!$D$3:$D$2213=$B704),4),"""")"),"https://techcombank.com/thong-tin/blog/no-xau-la-gi")</f>
        <v>https://techcombank.com/thong-tin/blog/no-xau-la-gi</v>
      </c>
      <c r="O704" s="25" t="str">
        <f>IFERROR(__xludf.DUMMYFUNCTION("IFERROR(INDEX(FILTER('Kế hoạch chèn link (mới)'!$C$3:$C$2213,'Kế hoạch chèn link (mới)'!$D$3:$D$2213=$B704),5),"""")"),"")</f>
        <v/>
      </c>
      <c r="P704" s="25" t="str">
        <f>IFERROR(__xludf.DUMMYFUNCTION("IFERROR(INDEX(FILTER('Kế hoạch chèn link (mới)'!$B$3:$B$2213,'Kế hoạch chèn link (mới)'!$D$3:$D$2213=$B704),5),"""")"),"")</f>
        <v/>
      </c>
    </row>
    <row r="705">
      <c r="A705" s="6">
        <f t="shared" si="1"/>
        <v>704</v>
      </c>
      <c r="B705" s="8" t="s">
        <v>3337</v>
      </c>
      <c r="C705" s="6">
        <f>COUNTIF('Kế hoạch chèn link (mới)'!$D$3:$D$2213,$B705)</f>
        <v>3</v>
      </c>
      <c r="D705" s="8" t="str">
        <f>IF(COUNTIFS('Kế hoạch chèn link (mới)'!$D$3:$D$2213,$B705,'Kế hoạch chèn link (mới)'!$I$3:$I$2213,"Đã chèn")&gt;=$C705,"Đã hoàn thành",IF(COUNTIFS('Kế hoạch chèn link (mới)'!$D$3:$D$2213,$B705,'Kế hoạch chèn link (mới)'!$I$3:$I$2213,"Đã chèn")&gt;0,"Đang làm","Chưa hoàn thành"))</f>
        <v>Chưa hoàn thành</v>
      </c>
      <c r="E705" s="8" t="b">
        <f t="shared" si="2"/>
        <v>0</v>
      </c>
      <c r="F705" s="25"/>
      <c r="G705" s="25" t="str">
        <f>IFERROR(__xludf.DUMMYFUNCTION("IFERROR(INDEX(FILTER('Kế hoạch chèn link (mới)'!$C$3:$C$2213,'Kế hoạch chèn link (mới)'!$D$3:$D$2213=$B705),1),"""")"),"lãi suất vay ngân hàng hiện nay")</f>
        <v>lãi suất vay ngân hàng hiện nay</v>
      </c>
      <c r="H705" s="25" t="str">
        <f>IFERROR(__xludf.DUMMYFUNCTION("IFERROR(INDEX(FILTER('Kế hoạch chèn link (mới)'!$B$3:$B$2213,'Kế hoạch chèn link (mới)'!$D$3:$D$2213=$B705),1),"""")"),"https://techcombank.com/thong-tin/blog/lai-suat-vay-ngan-hang")</f>
        <v>https://techcombank.com/thong-tin/blog/lai-suat-vay-ngan-hang</v>
      </c>
      <c r="I705" s="25" t="str">
        <f>IFERROR(__xludf.DUMMYFUNCTION("IFERROR(INDEX(FILTER('Kế hoạch chèn link (mới)'!$C$3:$C$2213,'Kế hoạch chèn link (mới)'!$D$3:$D$2213=$B705),2),"""")"),"vay thấu chi")</f>
        <v>vay thấu chi</v>
      </c>
      <c r="J705" s="25" t="str">
        <f>IFERROR(__xludf.DUMMYFUNCTION("IFERROR(INDEX(FILTER('Kế hoạch chèn link (mới)'!$B$3:$B$2213,'Kế hoạch chèn link (mới)'!$D$3:$D$2213=$B705),2),"""")"),"https://techcombank.com/thong-tin/blog/vay-thau-chi-la-gi")</f>
        <v>https://techcombank.com/thong-tin/blog/vay-thau-chi-la-gi</v>
      </c>
      <c r="K705" s="25" t="str">
        <f>IFERROR(__xludf.DUMMYFUNCTION("IFERROR(INDEX(FILTER('Kế hoạch chèn link (mới)'!$C$3:$C$2213,'Kế hoạch chèn link (mới)'!$D$3:$D$2213=$B705),3),"""")"),"nợ xấu")</f>
        <v>nợ xấu</v>
      </c>
      <c r="L705" s="25" t="str">
        <f>IFERROR(__xludf.DUMMYFUNCTION("IFERROR(INDEX(FILTER('Kế hoạch chèn link (mới)'!$B$3:$B$2213,'Kế hoạch chèn link (mới)'!$D$3:$D$2213=$B705),3),"""")"),"https://techcombank.com/thong-tin/blog/no-xau-la-gi")</f>
        <v>https://techcombank.com/thong-tin/blog/no-xau-la-gi</v>
      </c>
      <c r="M705" s="25" t="str">
        <f>IFERROR(__xludf.DUMMYFUNCTION("IFERROR(INDEX(FILTER('Kế hoạch chèn link (mới)'!$C$3:$C$2213,'Kế hoạch chèn link (mới)'!$D$3:$D$2213=$B705),4),"""")"),"")</f>
        <v/>
      </c>
      <c r="N705" s="25" t="str">
        <f>IFERROR(__xludf.DUMMYFUNCTION("IFERROR(INDEX(FILTER('Kế hoạch chèn link (mới)'!$B$3:$B$2213,'Kế hoạch chèn link (mới)'!$D$3:$D$2213=$B705),4),"""")"),"")</f>
        <v/>
      </c>
      <c r="O705" s="25" t="str">
        <f>IFERROR(__xludf.DUMMYFUNCTION("IFERROR(INDEX(FILTER('Kế hoạch chèn link (mới)'!$C$3:$C$2213,'Kế hoạch chèn link (mới)'!$D$3:$D$2213=$B705),5),"""")"),"")</f>
        <v/>
      </c>
      <c r="P705" s="25" t="str">
        <f>IFERROR(__xludf.DUMMYFUNCTION("IFERROR(INDEX(FILTER('Kế hoạch chèn link (mới)'!$B$3:$B$2213,'Kế hoạch chèn link (mới)'!$D$3:$D$2213=$B705),5),"""")"),"")</f>
        <v/>
      </c>
    </row>
    <row r="706">
      <c r="A706" s="6">
        <f t="shared" si="1"/>
        <v>705</v>
      </c>
      <c r="B706" s="8" t="s">
        <v>3338</v>
      </c>
      <c r="C706" s="6">
        <f>COUNTIF('Kế hoạch chèn link (mới)'!$D$3:$D$2213,$B706)</f>
        <v>3</v>
      </c>
      <c r="D706" s="8" t="str">
        <f>IF(COUNTIFS('Kế hoạch chèn link (mới)'!$D$3:$D$2213,$B706,'Kế hoạch chèn link (mới)'!$I$3:$I$2213,"Đã chèn")&gt;=$C706,"Đã hoàn thành",IF(COUNTIFS('Kế hoạch chèn link (mới)'!$D$3:$D$2213,$B706,'Kế hoạch chèn link (mới)'!$I$3:$I$2213,"Đã chèn")&gt;0,"Đang làm","Chưa hoàn thành"))</f>
        <v>Chưa hoàn thành</v>
      </c>
      <c r="E706" s="8" t="b">
        <f t="shared" si="2"/>
        <v>0</v>
      </c>
      <c r="F706" s="25"/>
      <c r="G706" s="25" t="str">
        <f>IFERROR(__xludf.DUMMYFUNCTION("IFERROR(INDEX(FILTER('Kế hoạch chèn link (mới)'!$C$3:$C$2213,'Kế hoạch chèn link (mới)'!$D$3:$D$2213=$B706),1),"""")"),"cic là gì")</f>
        <v>cic là gì</v>
      </c>
      <c r="H706" s="25" t="str">
        <f>IFERROR(__xludf.DUMMYFUNCTION("IFERROR(INDEX(FILTER('Kế hoạch chèn link (mới)'!$B$3:$B$2213,'Kế hoạch chèn link (mới)'!$D$3:$D$2213=$B706),1),"""")"),"https://techcombank.com/thong-tin/blog/cic-la-gi")</f>
        <v>https://techcombank.com/thong-tin/blog/cic-la-gi</v>
      </c>
      <c r="I706" s="25" t="str">
        <f>IFERROR(__xludf.DUMMYFUNCTION("IFERROR(INDEX(FILTER('Kế hoạch chèn link (mới)'!$C$3:$C$2213,'Kế hoạch chèn link (mới)'!$D$3:$D$2213=$B706),2),"""")"),"vay thấu chi")</f>
        <v>vay thấu chi</v>
      </c>
      <c r="J706" s="25" t="str">
        <f>IFERROR(__xludf.DUMMYFUNCTION("IFERROR(INDEX(FILTER('Kế hoạch chèn link (mới)'!$B$3:$B$2213,'Kế hoạch chèn link (mới)'!$D$3:$D$2213=$B706),2),"""")"),"https://techcombank.com/thong-tin/blog/vay-thau-chi-la-gi")</f>
        <v>https://techcombank.com/thong-tin/blog/vay-thau-chi-la-gi</v>
      </c>
      <c r="K706" s="25" t="str">
        <f>IFERROR(__xludf.DUMMYFUNCTION("IFERROR(INDEX(FILTER('Kế hoạch chèn link (mới)'!$C$3:$C$2213,'Kế hoạch chèn link (mới)'!$D$3:$D$2213=$B706),3),"""")"),"nên vay tín chấp ở đâu")</f>
        <v>nên vay tín chấp ở đâu</v>
      </c>
      <c r="L706" s="25" t="str">
        <f>IFERROR(__xludf.DUMMYFUNCTION("IFERROR(INDEX(FILTER('Kế hoạch chèn link (mới)'!$B$3:$B$2213,'Kế hoạch chèn link (mới)'!$D$3:$D$2213=$B706),3),"""")"),"https://techcombank.com/thong-tin/blog/nen-vay-tin-chap-o-dau")</f>
        <v>https://techcombank.com/thong-tin/blog/nen-vay-tin-chap-o-dau</v>
      </c>
      <c r="M706" s="25" t="str">
        <f>IFERROR(__xludf.DUMMYFUNCTION("IFERROR(INDEX(FILTER('Kế hoạch chèn link (mới)'!$C$3:$C$2213,'Kế hoạch chèn link (mới)'!$D$3:$D$2213=$B706),4),"""")"),"")</f>
        <v/>
      </c>
      <c r="N706" s="25" t="str">
        <f>IFERROR(__xludf.DUMMYFUNCTION("IFERROR(INDEX(FILTER('Kế hoạch chèn link (mới)'!$B$3:$B$2213,'Kế hoạch chèn link (mới)'!$D$3:$D$2213=$B706),4),"""")"),"")</f>
        <v/>
      </c>
      <c r="O706" s="25" t="str">
        <f>IFERROR(__xludf.DUMMYFUNCTION("IFERROR(INDEX(FILTER('Kế hoạch chèn link (mới)'!$C$3:$C$2213,'Kế hoạch chèn link (mới)'!$D$3:$D$2213=$B706),5),"""")"),"")</f>
        <v/>
      </c>
      <c r="P706" s="25" t="str">
        <f>IFERROR(__xludf.DUMMYFUNCTION("IFERROR(INDEX(FILTER('Kế hoạch chèn link (mới)'!$B$3:$B$2213,'Kế hoạch chèn link (mới)'!$D$3:$D$2213=$B706),5),"""")"),"")</f>
        <v/>
      </c>
    </row>
    <row r="707">
      <c r="A707" s="6">
        <f t="shared" si="1"/>
        <v>706</v>
      </c>
      <c r="B707" s="8" t="s">
        <v>3341</v>
      </c>
      <c r="C707" s="6">
        <f>COUNTIF('Kế hoạch chèn link (mới)'!$D$3:$D$2213,$B707)</f>
        <v>4</v>
      </c>
      <c r="D707" s="8" t="str">
        <f>IF(COUNTIFS('Kế hoạch chèn link (mới)'!$D$3:$D$2213,$B707,'Kế hoạch chèn link (mới)'!$I$3:$I$2213,"Đã chèn")&gt;=$C707,"Đã hoàn thành",IF(COUNTIFS('Kế hoạch chèn link (mới)'!$D$3:$D$2213,$B707,'Kế hoạch chèn link (mới)'!$I$3:$I$2213,"Đã chèn")&gt;0,"Đang làm","Chưa hoàn thành"))</f>
        <v>Chưa hoàn thành</v>
      </c>
      <c r="E707" s="8" t="b">
        <f t="shared" si="2"/>
        <v>0</v>
      </c>
      <c r="F707" s="25"/>
      <c r="G707" s="25" t="str">
        <f>IFERROR(__xludf.DUMMYFUNCTION("IFERROR(INDEX(FILTER('Kế hoạch chèn link (mới)'!$C$3:$C$2213,'Kế hoạch chèn link (mới)'!$D$3:$D$2213=$B707),1),"""")"),"tính lãi suất vay ngân hàng")</f>
        <v>tính lãi suất vay ngân hàng</v>
      </c>
      <c r="H707" s="25" t="str">
        <f>IFERROR(__xludf.DUMMYFUNCTION("IFERROR(INDEX(FILTER('Kế hoạch chèn link (mới)'!$B$3:$B$2213,'Kế hoạch chèn link (mới)'!$D$3:$D$2213=$B707),1),"""")"),"https://techcombank.com/cong-cu-tien-ich/cong-cu-tinh-toan/bang-tinh-lai-suat-vay")</f>
        <v>https://techcombank.com/cong-cu-tien-ich/cong-cu-tinh-toan/bang-tinh-lai-suat-vay</v>
      </c>
      <c r="I707" s="25" t="str">
        <f>IFERROR(__xludf.DUMMYFUNCTION("IFERROR(INDEX(FILTER('Kế hoạch chèn link (mới)'!$C$3:$C$2213,'Kế hoạch chèn link (mới)'!$D$3:$D$2213=$B707),2),"""")"),"vay tiền")</f>
        <v>vay tiền</v>
      </c>
      <c r="J707" s="25" t="str">
        <f>IFERROR(__xludf.DUMMYFUNCTION("IFERROR(INDEX(FILTER('Kế hoạch chèn link (mới)'!$B$3:$B$2213,'Kế hoạch chèn link (mới)'!$D$3:$D$2213=$B707),2),"""")"),"https://techcombank.com/thong-tin/blog/app-vay-tien-nhanh")</f>
        <v>https://techcombank.com/thong-tin/blog/app-vay-tien-nhanh</v>
      </c>
      <c r="K707" s="25" t="str">
        <f>IFERROR(__xludf.DUMMYFUNCTION("IFERROR(INDEX(FILTER('Kế hoạch chèn link (mới)'!$C$3:$C$2213,'Kế hoạch chèn link (mới)'!$D$3:$D$2213=$B707),3),"""")"),"lãi suất vay ngân hàng hiện nay")</f>
        <v>lãi suất vay ngân hàng hiện nay</v>
      </c>
      <c r="L707" s="25" t="str">
        <f>IFERROR(__xludf.DUMMYFUNCTION("IFERROR(INDEX(FILTER('Kế hoạch chèn link (mới)'!$B$3:$B$2213,'Kế hoạch chèn link (mới)'!$D$3:$D$2213=$B707),3),"""")"),"https://techcombank.com/thong-tin/blog/lai-suat-vay-ngan-hang")</f>
        <v>https://techcombank.com/thong-tin/blog/lai-suat-vay-ngan-hang</v>
      </c>
      <c r="M707" s="25" t="str">
        <f>IFERROR(__xludf.DUMMYFUNCTION("IFERROR(INDEX(FILTER('Kế hoạch chèn link (mới)'!$C$3:$C$2213,'Kế hoạch chèn link (mới)'!$D$3:$D$2213=$B707),4),"""")"),"vay thấu chi")</f>
        <v>vay thấu chi</v>
      </c>
      <c r="N707" s="25" t="str">
        <f>IFERROR(__xludf.DUMMYFUNCTION("IFERROR(INDEX(FILTER('Kế hoạch chèn link (mới)'!$B$3:$B$2213,'Kế hoạch chèn link (mới)'!$D$3:$D$2213=$B707),4),"""")"),"https://techcombank.com/thong-tin/blog/vay-thau-chi-la-gi")</f>
        <v>https://techcombank.com/thong-tin/blog/vay-thau-chi-la-gi</v>
      </c>
      <c r="O707" s="25" t="str">
        <f>IFERROR(__xludf.DUMMYFUNCTION("IFERROR(INDEX(FILTER('Kế hoạch chèn link (mới)'!$C$3:$C$2213,'Kế hoạch chèn link (mới)'!$D$3:$D$2213=$B707),5),"""")"),"")</f>
        <v/>
      </c>
      <c r="P707" s="25" t="str">
        <f>IFERROR(__xludf.DUMMYFUNCTION("IFERROR(INDEX(FILTER('Kế hoạch chèn link (mới)'!$B$3:$B$2213,'Kế hoạch chèn link (mới)'!$D$3:$D$2213=$B707),5),"""")"),"")</f>
        <v/>
      </c>
    </row>
    <row r="708">
      <c r="A708" s="6">
        <f t="shared" si="1"/>
        <v>707</v>
      </c>
      <c r="B708" s="8" t="s">
        <v>3344</v>
      </c>
      <c r="C708" s="6">
        <f>COUNTIF('Kế hoạch chèn link (mới)'!$D$3:$D$2213,$B708)</f>
        <v>3</v>
      </c>
      <c r="D708" s="8" t="str">
        <f>IF(COUNTIFS('Kế hoạch chèn link (mới)'!$D$3:$D$2213,$B708,'Kế hoạch chèn link (mới)'!$I$3:$I$2213,"Đã chèn")&gt;=$C708,"Đã hoàn thành",IF(COUNTIFS('Kế hoạch chèn link (mới)'!$D$3:$D$2213,$B708,'Kế hoạch chèn link (mới)'!$I$3:$I$2213,"Đã chèn")&gt;0,"Đang làm","Chưa hoàn thành"))</f>
        <v>Chưa hoàn thành</v>
      </c>
      <c r="E708" s="8" t="b">
        <f t="shared" si="2"/>
        <v>0</v>
      </c>
      <c r="F708" s="25"/>
      <c r="G708" s="25" t="str">
        <f>IFERROR(__xludf.DUMMYFUNCTION("IFERROR(INDEX(FILTER('Kế hoạch chèn link (mới)'!$C$3:$C$2213,'Kế hoạch chèn link (mới)'!$D$3:$D$2213=$B708),1),"""")"),"cic là gì")</f>
        <v>cic là gì</v>
      </c>
      <c r="H708" s="25" t="str">
        <f>IFERROR(__xludf.DUMMYFUNCTION("IFERROR(INDEX(FILTER('Kế hoạch chèn link (mới)'!$B$3:$B$2213,'Kế hoạch chèn link (mới)'!$D$3:$D$2213=$B708),1),"""")"),"https://techcombank.com/thong-tin/blog/cic-la-gi")</f>
        <v>https://techcombank.com/thong-tin/blog/cic-la-gi</v>
      </c>
      <c r="I708" s="25" t="str">
        <f>IFERROR(__xludf.DUMMYFUNCTION("IFERROR(INDEX(FILTER('Kế hoạch chèn link (mới)'!$C$3:$C$2213,'Kế hoạch chèn link (mới)'!$D$3:$D$2213=$B708),2),"""")"),"cách tính lãi suất vay")</f>
        <v>cách tính lãi suất vay</v>
      </c>
      <c r="J708" s="25" t="str">
        <f>IFERROR(__xludf.DUMMYFUNCTION("IFERROR(INDEX(FILTER('Kế hoạch chèn link (mới)'!$B$3:$B$2213,'Kế hoạch chèn link (mới)'!$D$3:$D$2213=$B708),2),"""")"),"https://techcombank.com/thong-tin/blog/cach-tinh-lai-vay-ngan-hang")</f>
        <v>https://techcombank.com/thong-tin/blog/cach-tinh-lai-vay-ngan-hang</v>
      </c>
      <c r="K708" s="25" t="str">
        <f>IFERROR(__xludf.DUMMYFUNCTION("IFERROR(INDEX(FILTER('Kế hoạch chèn link (mới)'!$C$3:$C$2213,'Kế hoạch chèn link (mới)'!$D$3:$D$2213=$B708),3),"""")"),"tính lãi suất vay ngân hàng")</f>
        <v>tính lãi suất vay ngân hàng</v>
      </c>
      <c r="L708" s="25" t="str">
        <f>IFERROR(__xludf.DUMMYFUNCTION("IFERROR(INDEX(FILTER('Kế hoạch chèn link (mới)'!$B$3:$B$2213,'Kế hoạch chèn link (mới)'!$D$3:$D$2213=$B708),3),"""")"),"https://techcombank.com/cong-cu-tien-ich/cong-cu-tinh-toan/bang-tinh-lai-suat-vay")</f>
        <v>https://techcombank.com/cong-cu-tien-ich/cong-cu-tinh-toan/bang-tinh-lai-suat-vay</v>
      </c>
      <c r="M708" s="25" t="str">
        <f>IFERROR(__xludf.DUMMYFUNCTION("IFERROR(INDEX(FILTER('Kế hoạch chèn link (mới)'!$C$3:$C$2213,'Kế hoạch chèn link (mới)'!$D$3:$D$2213=$B708),4),"""")"),"")</f>
        <v/>
      </c>
      <c r="N708" s="25" t="str">
        <f>IFERROR(__xludf.DUMMYFUNCTION("IFERROR(INDEX(FILTER('Kế hoạch chèn link (mới)'!$B$3:$B$2213,'Kế hoạch chèn link (mới)'!$D$3:$D$2213=$B708),4),"""")"),"")</f>
        <v/>
      </c>
      <c r="O708" s="25" t="str">
        <f>IFERROR(__xludf.DUMMYFUNCTION("IFERROR(INDEX(FILTER('Kế hoạch chèn link (mới)'!$C$3:$C$2213,'Kế hoạch chèn link (mới)'!$D$3:$D$2213=$B708),5),"""")"),"")</f>
        <v/>
      </c>
      <c r="P708" s="25" t="str">
        <f>IFERROR(__xludf.DUMMYFUNCTION("IFERROR(INDEX(FILTER('Kế hoạch chèn link (mới)'!$B$3:$B$2213,'Kế hoạch chèn link (mới)'!$D$3:$D$2213=$B708),5),"""")"),"")</f>
        <v/>
      </c>
    </row>
    <row r="709">
      <c r="A709" s="6">
        <f t="shared" si="1"/>
        <v>708</v>
      </c>
      <c r="B709" s="8" t="s">
        <v>3345</v>
      </c>
      <c r="C709" s="6">
        <f>COUNTIF('Kế hoạch chèn link (mới)'!$D$3:$D$2213,$B709)</f>
        <v>3</v>
      </c>
      <c r="D709" s="8" t="str">
        <f>IF(COUNTIFS('Kế hoạch chèn link (mới)'!$D$3:$D$2213,$B709,'Kế hoạch chèn link (mới)'!$I$3:$I$2213,"Đã chèn")&gt;=$C709,"Đã hoàn thành",IF(COUNTIFS('Kế hoạch chèn link (mới)'!$D$3:$D$2213,$B709,'Kế hoạch chèn link (mới)'!$I$3:$I$2213,"Đã chèn")&gt;0,"Đang làm","Chưa hoàn thành"))</f>
        <v>Chưa hoàn thành</v>
      </c>
      <c r="E709" s="8" t="b">
        <f t="shared" si="2"/>
        <v>0</v>
      </c>
      <c r="F709" s="25"/>
      <c r="G709" s="25" t="str">
        <f>IFERROR(__xludf.DUMMYFUNCTION("IFERROR(INDEX(FILTER('Kế hoạch chèn link (mới)'!$C$3:$C$2213,'Kế hoạch chèn link (mới)'!$D$3:$D$2213=$B709),1),"""")"),"cic là gì")</f>
        <v>cic là gì</v>
      </c>
      <c r="H709" s="25" t="str">
        <f>IFERROR(__xludf.DUMMYFUNCTION("IFERROR(INDEX(FILTER('Kế hoạch chèn link (mới)'!$B$3:$B$2213,'Kế hoạch chèn link (mới)'!$D$3:$D$2213=$B709),1),"""")"),"https://techcombank.com/thong-tin/blog/cic-la-gi")</f>
        <v>https://techcombank.com/thong-tin/blog/cic-la-gi</v>
      </c>
      <c r="I709" s="25" t="str">
        <f>IFERROR(__xludf.DUMMYFUNCTION("IFERROR(INDEX(FILTER('Kế hoạch chèn link (mới)'!$C$3:$C$2213,'Kế hoạch chèn link (mới)'!$D$3:$D$2213=$B709),2),"""")"),"lãi suất vay thế chấp sổ đỏ")</f>
        <v>lãi suất vay thế chấp sổ đỏ</v>
      </c>
      <c r="J709" s="25" t="str">
        <f>IFERROR(__xludf.DUMMYFUNCTION("IFERROR(INDEX(FILTER('Kế hoạch chèn link (mới)'!$B$3:$B$2213,'Kế hoạch chèn link (mới)'!$D$3:$D$2213=$B709),2),"""")"),"https://techcombank.com/thong-tin/blog/lai-suat-vay-the-chap-so-do")</f>
        <v>https://techcombank.com/thong-tin/blog/lai-suat-vay-the-chap-so-do</v>
      </c>
      <c r="K709" s="25" t="str">
        <f>IFERROR(__xludf.DUMMYFUNCTION("IFERROR(INDEX(FILTER('Kế hoạch chèn link (mới)'!$C$3:$C$2213,'Kế hoạch chèn link (mới)'!$D$3:$D$2213=$B709),3),"""")"),"lãi suất cho vay ngân hàng")</f>
        <v>lãi suất cho vay ngân hàng</v>
      </c>
      <c r="L709" s="25" t="str">
        <f>IFERROR(__xludf.DUMMYFUNCTION("IFERROR(INDEX(FILTER('Kế hoạch chèn link (mới)'!$B$3:$B$2213,'Kế hoạch chèn link (mới)'!$D$3:$D$2213=$B709),3),"""")"),"https://techcombank.com/thong-tin/blog/lai-suat-vay-ngan-hang")</f>
        <v>https://techcombank.com/thong-tin/blog/lai-suat-vay-ngan-hang</v>
      </c>
      <c r="M709" s="25" t="str">
        <f>IFERROR(__xludf.DUMMYFUNCTION("IFERROR(INDEX(FILTER('Kế hoạch chèn link (mới)'!$C$3:$C$2213,'Kế hoạch chèn link (mới)'!$D$3:$D$2213=$B709),4),"""")"),"")</f>
        <v/>
      </c>
      <c r="N709" s="25" t="str">
        <f>IFERROR(__xludf.DUMMYFUNCTION("IFERROR(INDEX(FILTER('Kế hoạch chèn link (mới)'!$B$3:$B$2213,'Kế hoạch chèn link (mới)'!$D$3:$D$2213=$B709),4),"""")"),"")</f>
        <v/>
      </c>
      <c r="O709" s="25" t="str">
        <f>IFERROR(__xludf.DUMMYFUNCTION("IFERROR(INDEX(FILTER('Kế hoạch chèn link (mới)'!$C$3:$C$2213,'Kế hoạch chèn link (mới)'!$D$3:$D$2213=$B709),5),"""")"),"")</f>
        <v/>
      </c>
      <c r="P709" s="25" t="str">
        <f>IFERROR(__xludf.DUMMYFUNCTION("IFERROR(INDEX(FILTER('Kế hoạch chèn link (mới)'!$B$3:$B$2213,'Kế hoạch chèn link (mới)'!$D$3:$D$2213=$B709),5),"""")"),"")</f>
        <v/>
      </c>
    </row>
    <row r="710">
      <c r="A710" s="6">
        <f t="shared" si="1"/>
        <v>709</v>
      </c>
      <c r="B710" s="8" t="s">
        <v>3346</v>
      </c>
      <c r="C710" s="6">
        <f>COUNTIF('Kế hoạch chèn link (mới)'!$D$3:$D$2213,$B710)</f>
        <v>2</v>
      </c>
      <c r="D710" s="8" t="str">
        <f>IF(COUNTIFS('Kế hoạch chèn link (mới)'!$D$3:$D$2213,$B710,'Kế hoạch chèn link (mới)'!$I$3:$I$2213,"Đã chèn")&gt;=$C710,"Đã hoàn thành",IF(COUNTIFS('Kế hoạch chèn link (mới)'!$D$3:$D$2213,$B710,'Kế hoạch chèn link (mới)'!$I$3:$I$2213,"Đã chèn")&gt;0,"Đang làm","Chưa hoàn thành"))</f>
        <v>Chưa hoàn thành</v>
      </c>
      <c r="E710" s="8" t="b">
        <f t="shared" si="2"/>
        <v>0</v>
      </c>
      <c r="F710" s="25"/>
      <c r="G710" s="25" t="str">
        <f>IFERROR(__xludf.DUMMYFUNCTION("IFERROR(INDEX(FILTER('Kế hoạch chèn link (mới)'!$C$3:$C$2213,'Kế hoạch chèn link (mới)'!$D$3:$D$2213=$B710),1),"""")"),"tính lãi suất vay ngân hàng")</f>
        <v>tính lãi suất vay ngân hàng</v>
      </c>
      <c r="H710" s="25" t="str">
        <f>IFERROR(__xludf.DUMMYFUNCTION("IFERROR(INDEX(FILTER('Kế hoạch chèn link (mới)'!$B$3:$B$2213,'Kế hoạch chèn link (mới)'!$D$3:$D$2213=$B710),1),"""")"),"https://techcombank.com/cong-cu-tien-ich/cong-cu-tinh-toan/bang-tinh-lai-suat-vay")</f>
        <v>https://techcombank.com/cong-cu-tien-ich/cong-cu-tinh-toan/bang-tinh-lai-suat-vay</v>
      </c>
      <c r="I710" s="25" t="str">
        <f>IFERROR(__xludf.DUMMYFUNCTION("IFERROR(INDEX(FILTER('Kế hoạch chèn link (mới)'!$C$3:$C$2213,'Kế hoạch chèn link (mới)'!$D$3:$D$2213=$B710),2),"""")"),"lãi suất vay ngân hàng")</f>
        <v>lãi suất vay ngân hàng</v>
      </c>
      <c r="J710" s="25" t="str">
        <f>IFERROR(__xludf.DUMMYFUNCTION("IFERROR(INDEX(FILTER('Kế hoạch chèn link (mới)'!$B$3:$B$2213,'Kế hoạch chèn link (mới)'!$D$3:$D$2213=$B710),2),"""")"),"https://techcombank.com/thong-tin/blog/lai-suat-vay-ngan-hang")</f>
        <v>https://techcombank.com/thong-tin/blog/lai-suat-vay-ngan-hang</v>
      </c>
      <c r="K710" s="25" t="str">
        <f>IFERROR(__xludf.DUMMYFUNCTION("IFERROR(INDEX(FILTER('Kế hoạch chèn link (mới)'!$C$3:$C$2213,'Kế hoạch chèn link (mới)'!$D$3:$D$2213=$B710),3),"""")"),"")</f>
        <v/>
      </c>
      <c r="L710" s="25" t="str">
        <f>IFERROR(__xludf.DUMMYFUNCTION("IFERROR(INDEX(FILTER('Kế hoạch chèn link (mới)'!$B$3:$B$2213,'Kế hoạch chèn link (mới)'!$D$3:$D$2213=$B710),3),"""")"),"")</f>
        <v/>
      </c>
      <c r="M710" s="25" t="str">
        <f>IFERROR(__xludf.DUMMYFUNCTION("IFERROR(INDEX(FILTER('Kế hoạch chèn link (mới)'!$C$3:$C$2213,'Kế hoạch chèn link (mới)'!$D$3:$D$2213=$B710),4),"""")"),"")</f>
        <v/>
      </c>
      <c r="N710" s="25" t="str">
        <f>IFERROR(__xludf.DUMMYFUNCTION("IFERROR(INDEX(FILTER('Kế hoạch chèn link (mới)'!$B$3:$B$2213,'Kế hoạch chèn link (mới)'!$D$3:$D$2213=$B710),4),"""")"),"")</f>
        <v/>
      </c>
      <c r="O710" s="25" t="str">
        <f>IFERROR(__xludf.DUMMYFUNCTION("IFERROR(INDEX(FILTER('Kế hoạch chèn link (mới)'!$C$3:$C$2213,'Kế hoạch chèn link (mới)'!$D$3:$D$2213=$B710),5),"""")"),"")</f>
        <v/>
      </c>
      <c r="P710" s="25" t="str">
        <f>IFERROR(__xludf.DUMMYFUNCTION("IFERROR(INDEX(FILTER('Kế hoạch chèn link (mới)'!$B$3:$B$2213,'Kế hoạch chèn link (mới)'!$D$3:$D$2213=$B710),5),"""")"),"")</f>
        <v/>
      </c>
    </row>
    <row r="711">
      <c r="A711" s="6">
        <f t="shared" si="1"/>
        <v>710</v>
      </c>
      <c r="B711" s="8" t="s">
        <v>967</v>
      </c>
      <c r="C711" s="6">
        <f>COUNTIF('Kế hoạch chèn link (mới)'!$D$3:$D$2213,$B711)</f>
        <v>3</v>
      </c>
      <c r="D711" s="8" t="str">
        <f>IF(COUNTIFS('Kế hoạch chèn link (mới)'!$D$3:$D$2213,$B711,'Kế hoạch chèn link (mới)'!$I$3:$I$2213,"Đã chèn")&gt;=$C711,"Đã hoàn thành",IF(COUNTIFS('Kế hoạch chèn link (mới)'!$D$3:$D$2213,$B711,'Kế hoạch chèn link (mới)'!$I$3:$I$2213,"Đã chèn")&gt;0,"Đang làm","Chưa hoàn thành"))</f>
        <v>Chưa hoàn thành</v>
      </c>
      <c r="E711" s="8" t="b">
        <f t="shared" si="2"/>
        <v>0</v>
      </c>
      <c r="F711" s="25"/>
      <c r="G711" s="25" t="str">
        <f>IFERROR(__xludf.DUMMYFUNCTION("IFERROR(INDEX(FILTER('Kế hoạch chèn link (mới)'!$C$3:$C$2213,'Kế hoạch chèn link (mới)'!$D$3:$D$2213=$B711),1),"""")"),"thuế giá trị gia tăng")</f>
        <v>thuế giá trị gia tăng</v>
      </c>
      <c r="H711" s="25" t="str">
        <f>IFERROR(__xludf.DUMMYFUNCTION("IFERROR(INDEX(FILTER('Kế hoạch chèn link (mới)'!$B$3:$B$2213,'Kế hoạch chèn link (mới)'!$D$3:$D$2213=$B711),1),"""")"),"https://techcombank.com/thong-tin/blog/thue-vat-la-gi")</f>
        <v>https://techcombank.com/thong-tin/blog/thue-vat-la-gi</v>
      </c>
      <c r="I711" s="25" t="str">
        <f>IFERROR(__xludf.DUMMYFUNCTION("IFERROR(INDEX(FILTER('Kế hoạch chèn link (mới)'!$C$3:$C$2213,'Kế hoạch chèn link (mới)'!$D$3:$D$2213=$B711),2),"""")"),"cách tiết kiệm tiền")</f>
        <v>cách tiết kiệm tiền</v>
      </c>
      <c r="J711" s="25" t="str">
        <f>IFERROR(__xludf.DUMMYFUNCTION("IFERROR(INDEX(FILTER('Kế hoạch chèn link (mới)'!$B$3:$B$2213,'Kế hoạch chèn link (mới)'!$D$3:$D$2213=$B711),2),"""")"),"https://techcombank.com/thong-tin/blog/cach-tiet-kiem-tien")</f>
        <v>https://techcombank.com/thong-tin/blog/cach-tiet-kiem-tien</v>
      </c>
      <c r="K711" s="25" t="str">
        <f>IFERROR(__xludf.DUMMYFUNCTION("IFERROR(INDEX(FILTER('Kế hoạch chèn link (mới)'!$C$3:$C$2213,'Kế hoạch chèn link (mới)'!$D$3:$D$2213=$B711),3),"""")"),"công cụ tính lãi tiết kiệm")</f>
        <v>công cụ tính lãi tiết kiệm</v>
      </c>
      <c r="L711" s="25" t="str">
        <f>IFERROR(__xludf.DUMMYFUNCTION("IFERROR(INDEX(FILTER('Kế hoạch chèn link (mới)'!$B$3:$B$2213,'Kế hoạch chèn link (mới)'!$D$3:$D$2213=$B711),3),"""")"),"https://techcombank.com/cong-cu-tien-ich/cong-cu-tinh-toan/bang-tinh-lai-suat-tiet-kiem")</f>
        <v>https://techcombank.com/cong-cu-tien-ich/cong-cu-tinh-toan/bang-tinh-lai-suat-tiet-kiem</v>
      </c>
      <c r="M711" s="25" t="str">
        <f>IFERROR(__xludf.DUMMYFUNCTION("IFERROR(INDEX(FILTER('Kế hoạch chèn link (mới)'!$C$3:$C$2213,'Kế hoạch chèn link (mới)'!$D$3:$D$2213=$B711),4),"""")"),"")</f>
        <v/>
      </c>
      <c r="N711" s="25" t="str">
        <f>IFERROR(__xludf.DUMMYFUNCTION("IFERROR(INDEX(FILTER('Kế hoạch chèn link (mới)'!$B$3:$B$2213,'Kế hoạch chèn link (mới)'!$D$3:$D$2213=$B711),4),"""")"),"")</f>
        <v/>
      </c>
      <c r="O711" s="25" t="str">
        <f>IFERROR(__xludf.DUMMYFUNCTION("IFERROR(INDEX(FILTER('Kế hoạch chèn link (mới)'!$C$3:$C$2213,'Kế hoạch chèn link (mới)'!$D$3:$D$2213=$B711),5),"""")"),"")</f>
        <v/>
      </c>
      <c r="P711" s="25" t="str">
        <f>IFERROR(__xludf.DUMMYFUNCTION("IFERROR(INDEX(FILTER('Kế hoạch chèn link (mới)'!$B$3:$B$2213,'Kế hoạch chèn link (mới)'!$D$3:$D$2213=$B711),5),"""")"),"")</f>
        <v/>
      </c>
    </row>
    <row r="712">
      <c r="A712" s="6">
        <f t="shared" si="1"/>
        <v>711</v>
      </c>
      <c r="B712" s="8" t="s">
        <v>1364</v>
      </c>
      <c r="C712" s="6">
        <f>COUNTIF('Kế hoạch chèn link (mới)'!$D$3:$D$2213,$B712)</f>
        <v>2</v>
      </c>
      <c r="D712" s="8" t="str">
        <f>IF(COUNTIFS('Kế hoạch chèn link (mới)'!$D$3:$D$2213,$B712,'Kế hoạch chèn link (mới)'!$I$3:$I$2213,"Đã chèn")&gt;=$C712,"Đã hoàn thành",IF(COUNTIFS('Kế hoạch chèn link (mới)'!$D$3:$D$2213,$B712,'Kế hoạch chèn link (mới)'!$I$3:$I$2213,"Đã chèn")&gt;0,"Đang làm","Chưa hoàn thành"))</f>
        <v>Chưa hoàn thành</v>
      </c>
      <c r="E712" s="8" t="b">
        <f t="shared" si="2"/>
        <v>0</v>
      </c>
      <c r="F712" s="25"/>
      <c r="G712" s="25" t="str">
        <f>IFERROR(__xludf.DUMMYFUNCTION("IFERROR(INDEX(FILTER('Kế hoạch chèn link (mới)'!$C$3:$C$2213,'Kế hoạch chèn link (mới)'!$D$3:$D$2213=$B712),1),"""")"),"cách nạp tiền điện thoại viettel")</f>
        <v>cách nạp tiền điện thoại viettel</v>
      </c>
      <c r="H712" s="25" t="str">
        <f>IFERROR(__xludf.DUMMYFUNCTION("IFERROR(INDEX(FILTER('Kế hoạch chèn link (mới)'!$B$3:$B$2213,'Kế hoạch chèn link (mới)'!$D$3:$D$2213=$B712),1),"""")"),"https://techcombank.com/thong-tin/blog/cach-nap-the-viettel")</f>
        <v>https://techcombank.com/thong-tin/blog/cach-nap-the-viettel</v>
      </c>
      <c r="I712" s="25" t="str">
        <f>IFERROR(__xludf.DUMMYFUNCTION("IFERROR(INDEX(FILTER('Kế hoạch chèn link (mới)'!$C$3:$C$2213,'Kế hoạch chèn link (mới)'!$D$3:$D$2213=$B712),2),"""")"),"tiền chuyển khoản bị treo")</f>
        <v>tiền chuyển khoản bị treo</v>
      </c>
      <c r="J712" s="25" t="str">
        <f>IFERROR(__xludf.DUMMYFUNCTION("IFERROR(INDEX(FILTER('Kế hoạch chèn link (mới)'!$B$3:$B$2213,'Kế hoạch chèn link (mới)'!$D$3:$D$2213=$B712),2),"""")"),"https://techcombank.com/thong-tin/blog/chuyen-khoan-thanh-cong-nhung-khong-nhan-duoc-tien")</f>
        <v>https://techcombank.com/thong-tin/blog/chuyen-khoan-thanh-cong-nhung-khong-nhan-duoc-tien</v>
      </c>
      <c r="K712" s="25" t="str">
        <f>IFERROR(__xludf.DUMMYFUNCTION("IFERROR(INDEX(FILTER('Kế hoạch chèn link (mới)'!$C$3:$C$2213,'Kế hoạch chèn link (mới)'!$D$3:$D$2213=$B712),3),"""")"),"")</f>
        <v/>
      </c>
      <c r="L712" s="25" t="str">
        <f>IFERROR(__xludf.DUMMYFUNCTION("IFERROR(INDEX(FILTER('Kế hoạch chèn link (mới)'!$B$3:$B$2213,'Kế hoạch chèn link (mới)'!$D$3:$D$2213=$B712),3),"""")"),"")</f>
        <v/>
      </c>
      <c r="M712" s="25" t="str">
        <f>IFERROR(__xludf.DUMMYFUNCTION("IFERROR(INDEX(FILTER('Kế hoạch chèn link (mới)'!$C$3:$C$2213,'Kế hoạch chèn link (mới)'!$D$3:$D$2213=$B712),4),"""")"),"")</f>
        <v/>
      </c>
      <c r="N712" s="25" t="str">
        <f>IFERROR(__xludf.DUMMYFUNCTION("IFERROR(INDEX(FILTER('Kế hoạch chèn link (mới)'!$B$3:$B$2213,'Kế hoạch chèn link (mới)'!$D$3:$D$2213=$B712),4),"""")"),"")</f>
        <v/>
      </c>
      <c r="O712" s="25" t="str">
        <f>IFERROR(__xludf.DUMMYFUNCTION("IFERROR(INDEX(FILTER('Kế hoạch chèn link (mới)'!$C$3:$C$2213,'Kế hoạch chèn link (mới)'!$D$3:$D$2213=$B712),5),"""")"),"")</f>
        <v/>
      </c>
      <c r="P712" s="25" t="str">
        <f>IFERROR(__xludf.DUMMYFUNCTION("IFERROR(INDEX(FILTER('Kế hoạch chèn link (mới)'!$B$3:$B$2213,'Kế hoạch chèn link (mới)'!$D$3:$D$2213=$B712),5),"""")"),"")</f>
        <v/>
      </c>
    </row>
    <row r="713">
      <c r="A713" s="6">
        <f t="shared" si="1"/>
        <v>712</v>
      </c>
      <c r="B713" s="8" t="s">
        <v>2121</v>
      </c>
      <c r="C713" s="6">
        <f>COUNTIF('Kế hoạch chèn link (mới)'!$D$3:$D$2213,$B713)</f>
        <v>3</v>
      </c>
      <c r="D713" s="8" t="str">
        <f>IF(COUNTIFS('Kế hoạch chèn link (mới)'!$D$3:$D$2213,$B713,'Kế hoạch chèn link (mới)'!$I$3:$I$2213,"Đã chèn")&gt;=$C713,"Đã hoàn thành",IF(COUNTIFS('Kế hoạch chèn link (mới)'!$D$3:$D$2213,$B713,'Kế hoạch chèn link (mới)'!$I$3:$I$2213,"Đã chèn")&gt;0,"Đang làm","Chưa hoàn thành"))</f>
        <v>Chưa hoàn thành</v>
      </c>
      <c r="E713" s="8" t="b">
        <f t="shared" si="2"/>
        <v>0</v>
      </c>
      <c r="F713" s="25"/>
      <c r="G713" s="25" t="str">
        <f>IFERROR(__xludf.DUMMYFUNCTION("IFERROR(INDEX(FILTER('Kế hoạch chèn link (mới)'!$C$3:$C$2213,'Kế hoạch chèn link (mới)'!$D$3:$D$2213=$B713),1),"""")"),"bao nhiêu tuổi được mở tài khoản ngân hàng")</f>
        <v>bao nhiêu tuổi được mở tài khoản ngân hàng</v>
      </c>
      <c r="H713" s="25" t="str">
        <f>IFERROR(__xludf.DUMMYFUNCTION("IFERROR(INDEX(FILTER('Kế hoạch chèn link (mới)'!$B$3:$B$2213,'Kế hoạch chèn link (mới)'!$D$3:$D$2213=$B713),1),"""")"),"https://techcombank.com/thong-tin/blog/bao-nhieu-tuoi-duoc-mo-tai-khoan-ngan-hang")</f>
        <v>https://techcombank.com/thong-tin/blog/bao-nhieu-tuoi-duoc-mo-tai-khoan-ngan-hang</v>
      </c>
      <c r="I713" s="25" t="str">
        <f>IFERROR(__xludf.DUMMYFUNCTION("IFERROR(INDEX(FILTER('Kế hoạch chèn link (mới)'!$C$3:$C$2213,'Kế hoạch chèn link (mới)'!$D$3:$D$2213=$B713),2),"""")"),"số tài khoản phát tài phát lộc")</f>
        <v>số tài khoản phát tài phát lộc</v>
      </c>
      <c r="J713" s="25" t="str">
        <f>IFERROR(__xludf.DUMMYFUNCTION("IFERROR(INDEX(FILTER('Kế hoạch chèn link (mới)'!$B$3:$B$2213,'Kế hoạch chèn link (mới)'!$D$3:$D$2213=$B713),2),"""")"),"https://techcombank.com/thong-tin/blog/day-so-phat-tai-phat-loc")</f>
        <v>https://techcombank.com/thong-tin/blog/day-so-phat-tai-phat-loc</v>
      </c>
      <c r="K713" s="25" t="str">
        <f>IFERROR(__xludf.DUMMYFUNCTION("IFERROR(INDEX(FILTER('Kế hoạch chèn link (mới)'!$C$3:$C$2213,'Kế hoạch chèn link (mới)'!$D$3:$D$2213=$B713),3),"""")"),"phương pháp đầu tư chứng chỉ quỹ")</f>
        <v>phương pháp đầu tư chứng chỉ quỹ</v>
      </c>
      <c r="L713" s="25" t="str">
        <f>IFERROR(__xludf.DUMMYFUNCTION("IFERROR(INDEX(FILTER('Kế hoạch chèn link (mới)'!$B$3:$B$2213,'Kế hoạch chèn link (mới)'!$D$3:$D$2213=$B713),3),"""")"),"https://techcombank.com/thong-tin/blog/phuong-phap-dau-tu-chung-chi-quy")</f>
        <v>https://techcombank.com/thong-tin/blog/phuong-phap-dau-tu-chung-chi-quy</v>
      </c>
      <c r="M713" s="25" t="str">
        <f>IFERROR(__xludf.DUMMYFUNCTION("IFERROR(INDEX(FILTER('Kế hoạch chèn link (mới)'!$C$3:$C$2213,'Kế hoạch chèn link (mới)'!$D$3:$D$2213=$B713),4),"""")"),"")</f>
        <v/>
      </c>
      <c r="N713" s="25" t="str">
        <f>IFERROR(__xludf.DUMMYFUNCTION("IFERROR(INDEX(FILTER('Kế hoạch chèn link (mới)'!$B$3:$B$2213,'Kế hoạch chèn link (mới)'!$D$3:$D$2213=$B713),4),"""")"),"")</f>
        <v/>
      </c>
      <c r="O713" s="25" t="str">
        <f>IFERROR(__xludf.DUMMYFUNCTION("IFERROR(INDEX(FILTER('Kế hoạch chèn link (mới)'!$C$3:$C$2213,'Kế hoạch chèn link (mới)'!$D$3:$D$2213=$B713),5),"""")"),"")</f>
        <v/>
      </c>
      <c r="P713" s="25" t="str">
        <f>IFERROR(__xludf.DUMMYFUNCTION("IFERROR(INDEX(FILTER('Kế hoạch chèn link (mới)'!$B$3:$B$2213,'Kế hoạch chèn link (mới)'!$D$3:$D$2213=$B713),5),"""")"),"")</f>
        <v/>
      </c>
    </row>
    <row r="714">
      <c r="A714" s="6">
        <f t="shared" si="1"/>
        <v>713</v>
      </c>
      <c r="B714" s="8" t="s">
        <v>3350</v>
      </c>
      <c r="C714" s="6">
        <f>COUNTIF('Kế hoạch chèn link (mới)'!$D$3:$D$2213,$B714)</f>
        <v>2</v>
      </c>
      <c r="D714" s="8" t="str">
        <f>IF(COUNTIFS('Kế hoạch chèn link (mới)'!$D$3:$D$2213,$B714,'Kế hoạch chèn link (mới)'!$I$3:$I$2213,"Đã chèn")&gt;=$C714,"Đã hoàn thành",IF(COUNTIFS('Kế hoạch chèn link (mới)'!$D$3:$D$2213,$B714,'Kế hoạch chèn link (mới)'!$I$3:$I$2213,"Đã chèn")&gt;0,"Đang làm","Chưa hoàn thành"))</f>
        <v>Chưa hoàn thành</v>
      </c>
      <c r="E714" s="8" t="b">
        <f t="shared" si="2"/>
        <v>0</v>
      </c>
      <c r="F714" s="25"/>
      <c r="G714" s="25" t="str">
        <f>IFERROR(__xludf.DUMMYFUNCTION("IFERROR(INDEX(FILTER('Kế hoạch chèn link (mới)'!$C$3:$C$2213,'Kế hoạch chèn link (mới)'!$D$3:$D$2213=$B714),1),"""")"),"lãi suất ngân hàng")</f>
        <v>lãi suất ngân hàng</v>
      </c>
      <c r="H714" s="25" t="str">
        <f>IFERROR(__xludf.DUMMYFUNCTION("IFERROR(INDEX(FILTER('Kế hoạch chèn link (mới)'!$B$3:$B$2213,'Kế hoạch chèn link (mới)'!$D$3:$D$2213=$B714),1),"""")"),"https://techcombank.com/thong-tin/blog/lai-suat-tiet-kiem")</f>
        <v>https://techcombank.com/thong-tin/blog/lai-suat-tiet-kiem</v>
      </c>
      <c r="I714" s="25" t="str">
        <f>IFERROR(__xludf.DUMMYFUNCTION("IFERROR(INDEX(FILTER('Kế hoạch chèn link (mới)'!$C$3:$C$2213,'Kế hoạch chèn link (mới)'!$D$3:$D$2213=$B714),2),"""")"),"bảng tính lãi suất tiết kiệm")</f>
        <v>bảng tính lãi suất tiết kiệm</v>
      </c>
      <c r="J714" s="25" t="str">
        <f>IFERROR(__xludf.DUMMYFUNCTION("IFERROR(INDEX(FILTER('Kế hoạch chèn link (mới)'!$B$3:$B$2213,'Kế hoạch chèn link (mới)'!$D$3:$D$2213=$B714),2),"""")"),"https://techcombank.com/cong-cu-tien-ich/cong-cu-tinh-toan/bang-tinh-lai-suat-tiet-kiem")</f>
        <v>https://techcombank.com/cong-cu-tien-ich/cong-cu-tinh-toan/bang-tinh-lai-suat-tiet-kiem</v>
      </c>
      <c r="K714" s="25" t="str">
        <f>IFERROR(__xludf.DUMMYFUNCTION("IFERROR(INDEX(FILTER('Kế hoạch chèn link (mới)'!$C$3:$C$2213,'Kế hoạch chèn link (mới)'!$D$3:$D$2213=$B714),3),"""")"),"")</f>
        <v/>
      </c>
      <c r="L714" s="25" t="str">
        <f>IFERROR(__xludf.DUMMYFUNCTION("IFERROR(INDEX(FILTER('Kế hoạch chèn link (mới)'!$B$3:$B$2213,'Kế hoạch chèn link (mới)'!$D$3:$D$2213=$B714),3),"""")"),"")</f>
        <v/>
      </c>
      <c r="M714" s="25" t="str">
        <f>IFERROR(__xludf.DUMMYFUNCTION("IFERROR(INDEX(FILTER('Kế hoạch chèn link (mới)'!$C$3:$C$2213,'Kế hoạch chèn link (mới)'!$D$3:$D$2213=$B714),4),"""")"),"")</f>
        <v/>
      </c>
      <c r="N714" s="25" t="str">
        <f>IFERROR(__xludf.DUMMYFUNCTION("IFERROR(INDEX(FILTER('Kế hoạch chèn link (mới)'!$B$3:$B$2213,'Kế hoạch chèn link (mới)'!$D$3:$D$2213=$B714),4),"""")"),"")</f>
        <v/>
      </c>
      <c r="O714" s="25" t="str">
        <f>IFERROR(__xludf.DUMMYFUNCTION("IFERROR(INDEX(FILTER('Kế hoạch chèn link (mới)'!$C$3:$C$2213,'Kế hoạch chèn link (mới)'!$D$3:$D$2213=$B714),5),"""")"),"")</f>
        <v/>
      </c>
      <c r="P714" s="25" t="str">
        <f>IFERROR(__xludf.DUMMYFUNCTION("IFERROR(INDEX(FILTER('Kế hoạch chèn link (mới)'!$B$3:$B$2213,'Kế hoạch chèn link (mới)'!$D$3:$D$2213=$B714),5),"""")"),"")</f>
        <v/>
      </c>
    </row>
    <row r="715">
      <c r="A715" s="6">
        <f t="shared" si="1"/>
        <v>714</v>
      </c>
      <c r="B715" s="8" t="s">
        <v>2420</v>
      </c>
      <c r="C715" s="6">
        <f>COUNTIF('Kế hoạch chèn link (mới)'!$D$3:$D$2213,$B715)</f>
        <v>1</v>
      </c>
      <c r="D715" s="8" t="str">
        <f>IF(COUNTIFS('Kế hoạch chèn link (mới)'!$D$3:$D$2213,$B715,'Kế hoạch chèn link (mới)'!$I$3:$I$2213,"Đã chèn")&gt;=$C715,"Đã hoàn thành",IF(COUNTIFS('Kế hoạch chèn link (mới)'!$D$3:$D$2213,$B715,'Kế hoạch chèn link (mới)'!$I$3:$I$2213,"Đã chèn")&gt;0,"Đang làm","Chưa hoàn thành"))</f>
        <v>Chưa hoàn thành</v>
      </c>
      <c r="E715" s="8" t="b">
        <f t="shared" si="2"/>
        <v>0</v>
      </c>
      <c r="F715" s="25"/>
      <c r="G715" s="25" t="str">
        <f>IFERROR(__xludf.DUMMYFUNCTION("IFERROR(INDEX(FILTER('Kế hoạch chèn link (mới)'!$C$3:$C$2213,'Kế hoạch chèn link (mới)'!$D$3:$D$2213=$B715),1),"""")"),"sao kê tài khoản ngân hàng")</f>
        <v>sao kê tài khoản ngân hàng</v>
      </c>
      <c r="H715" s="25" t="str">
        <f>IFERROR(__xludf.DUMMYFUNCTION("IFERROR(INDEX(FILTER('Kế hoạch chèn link (mới)'!$B$3:$B$2213,'Kế hoạch chèn link (mới)'!$D$3:$D$2213=$B715),1),"""")"),"https://techcombank.com/thong-tin/blog/cach-sao-ke-tai-khoan-ngan-hang")</f>
        <v>https://techcombank.com/thong-tin/blog/cach-sao-ke-tai-khoan-ngan-hang</v>
      </c>
      <c r="I715" s="25" t="str">
        <f>IFERROR(__xludf.DUMMYFUNCTION("IFERROR(INDEX(FILTER('Kế hoạch chèn link (mới)'!$C$3:$C$2213,'Kế hoạch chèn link (mới)'!$D$3:$D$2213=$B715),2),"""")"),"")</f>
        <v/>
      </c>
      <c r="J715" s="25" t="str">
        <f>IFERROR(__xludf.DUMMYFUNCTION("IFERROR(INDEX(FILTER('Kế hoạch chèn link (mới)'!$B$3:$B$2213,'Kế hoạch chèn link (mới)'!$D$3:$D$2213=$B715),2),"""")"),"")</f>
        <v/>
      </c>
      <c r="K715" s="25" t="str">
        <f>IFERROR(__xludf.DUMMYFUNCTION("IFERROR(INDEX(FILTER('Kế hoạch chèn link (mới)'!$C$3:$C$2213,'Kế hoạch chèn link (mới)'!$D$3:$D$2213=$B715),3),"""")"),"")</f>
        <v/>
      </c>
      <c r="L715" s="25" t="str">
        <f>IFERROR(__xludf.DUMMYFUNCTION("IFERROR(INDEX(FILTER('Kế hoạch chèn link (mới)'!$B$3:$B$2213,'Kế hoạch chèn link (mới)'!$D$3:$D$2213=$B715),3),"""")"),"")</f>
        <v/>
      </c>
      <c r="M715" s="25" t="str">
        <f>IFERROR(__xludf.DUMMYFUNCTION("IFERROR(INDEX(FILTER('Kế hoạch chèn link (mới)'!$C$3:$C$2213,'Kế hoạch chèn link (mới)'!$D$3:$D$2213=$B715),4),"""")"),"")</f>
        <v/>
      </c>
      <c r="N715" s="25" t="str">
        <f>IFERROR(__xludf.DUMMYFUNCTION("IFERROR(INDEX(FILTER('Kế hoạch chèn link (mới)'!$B$3:$B$2213,'Kế hoạch chèn link (mới)'!$D$3:$D$2213=$B715),4),"""")"),"")</f>
        <v/>
      </c>
      <c r="O715" s="25" t="str">
        <f>IFERROR(__xludf.DUMMYFUNCTION("IFERROR(INDEX(FILTER('Kế hoạch chèn link (mới)'!$C$3:$C$2213,'Kế hoạch chèn link (mới)'!$D$3:$D$2213=$B715),5),"""")"),"")</f>
        <v/>
      </c>
      <c r="P715" s="25" t="str">
        <f>IFERROR(__xludf.DUMMYFUNCTION("IFERROR(INDEX(FILTER('Kế hoạch chèn link (mới)'!$B$3:$B$2213,'Kế hoạch chèn link (mới)'!$D$3:$D$2213=$B715),5),"""")"),"")</f>
        <v/>
      </c>
    </row>
    <row r="716">
      <c r="A716" s="6">
        <f t="shared" si="1"/>
        <v>715</v>
      </c>
      <c r="B716" s="8" t="s">
        <v>1913</v>
      </c>
      <c r="C716" s="6">
        <f>COUNTIF('Kế hoạch chèn link (mới)'!$D$3:$D$2213,$B716)</f>
        <v>2</v>
      </c>
      <c r="D716" s="8" t="str">
        <f>IF(COUNTIFS('Kế hoạch chèn link (mới)'!$D$3:$D$2213,$B716,'Kế hoạch chèn link (mới)'!$I$3:$I$2213,"Đã chèn")&gt;=$C716,"Đã hoàn thành",IF(COUNTIFS('Kế hoạch chèn link (mới)'!$D$3:$D$2213,$B716,'Kế hoạch chèn link (mới)'!$I$3:$I$2213,"Đã chèn")&gt;0,"Đang làm","Chưa hoàn thành"))</f>
        <v>Chưa hoàn thành</v>
      </c>
      <c r="E716" s="8" t="b">
        <f t="shared" si="2"/>
        <v>0</v>
      </c>
      <c r="F716" s="25"/>
      <c r="G716" s="25" t="str">
        <f>IFERROR(__xludf.DUMMYFUNCTION("IFERROR(INDEX(FILTER('Kế hoạch chèn link (mới)'!$C$3:$C$2213,'Kế hoạch chèn link (mới)'!$D$3:$D$2213=$B716),1),"""")"),"ngân hàng uy tín")</f>
        <v>ngân hàng uy tín</v>
      </c>
      <c r="H716" s="25" t="str">
        <f>IFERROR(__xludf.DUMMYFUNCTION("IFERROR(INDEX(FILTER('Kế hoạch chèn link (mới)'!$B$3:$B$2213,'Kế hoạch chèn link (mới)'!$D$3:$D$2213=$B716),1),"""")"),"https://techcombank.com/thong-tin/blog/ngan-hang-uy-tin")</f>
        <v>https://techcombank.com/thong-tin/blog/ngan-hang-uy-tin</v>
      </c>
      <c r="I716" s="25" t="str">
        <f>IFERROR(__xludf.DUMMYFUNCTION("IFERROR(INDEX(FILTER('Kế hoạch chèn link (mới)'!$C$3:$C$2213,'Kế hoạch chèn link (mới)'!$D$3:$D$2213=$B716),2),"""")"),"quét NFC CCCD")</f>
        <v>quét NFC CCCD</v>
      </c>
      <c r="J716" s="25" t="str">
        <f>IFERROR(__xludf.DUMMYFUNCTION("IFERROR(INDEX(FILTER('Kế hoạch chèn link (mới)'!$B$3:$B$2213,'Kế hoạch chèn link (mới)'!$D$3:$D$2213=$B716),2),"""")"),"https://techcombank.com/thong-tin/blog/cach-quet-nfc-cccd-tren-iphone")</f>
        <v>https://techcombank.com/thong-tin/blog/cach-quet-nfc-cccd-tren-iphone</v>
      </c>
      <c r="K716" s="25" t="str">
        <f>IFERROR(__xludf.DUMMYFUNCTION("IFERROR(INDEX(FILTER('Kế hoạch chèn link (mới)'!$C$3:$C$2213,'Kế hoạch chèn link (mới)'!$D$3:$D$2213=$B716),3),"""")"),"")</f>
        <v/>
      </c>
      <c r="L716" s="25" t="str">
        <f>IFERROR(__xludf.DUMMYFUNCTION("IFERROR(INDEX(FILTER('Kế hoạch chèn link (mới)'!$B$3:$B$2213,'Kế hoạch chèn link (mới)'!$D$3:$D$2213=$B716),3),"""")"),"")</f>
        <v/>
      </c>
      <c r="M716" s="25" t="str">
        <f>IFERROR(__xludf.DUMMYFUNCTION("IFERROR(INDEX(FILTER('Kế hoạch chèn link (mới)'!$C$3:$C$2213,'Kế hoạch chèn link (mới)'!$D$3:$D$2213=$B716),4),"""")"),"")</f>
        <v/>
      </c>
      <c r="N716" s="25" t="str">
        <f>IFERROR(__xludf.DUMMYFUNCTION("IFERROR(INDEX(FILTER('Kế hoạch chèn link (mới)'!$B$3:$B$2213,'Kế hoạch chèn link (mới)'!$D$3:$D$2213=$B716),4),"""")"),"")</f>
        <v/>
      </c>
      <c r="O716" s="25" t="str">
        <f>IFERROR(__xludf.DUMMYFUNCTION("IFERROR(INDEX(FILTER('Kế hoạch chèn link (mới)'!$C$3:$C$2213,'Kế hoạch chèn link (mới)'!$D$3:$D$2213=$B716),5),"""")"),"")</f>
        <v/>
      </c>
      <c r="P716" s="25" t="str">
        <f>IFERROR(__xludf.DUMMYFUNCTION("IFERROR(INDEX(FILTER('Kế hoạch chèn link (mới)'!$B$3:$B$2213,'Kế hoạch chèn link (mới)'!$D$3:$D$2213=$B716),5),"""")"),"")</f>
        <v/>
      </c>
    </row>
    <row r="717">
      <c r="A717" s="6">
        <f t="shared" si="1"/>
        <v>716</v>
      </c>
      <c r="B717" s="8" t="s">
        <v>3351</v>
      </c>
      <c r="C717" s="6">
        <f>COUNTIF('Kế hoạch chèn link (mới)'!$D$3:$D$2213,$B717)</f>
        <v>2</v>
      </c>
      <c r="D717" s="8" t="str">
        <f>IF(COUNTIFS('Kế hoạch chèn link (mới)'!$D$3:$D$2213,$B717,'Kế hoạch chèn link (mới)'!$I$3:$I$2213,"Đã chèn")&gt;=$C717,"Đã hoàn thành",IF(COUNTIFS('Kế hoạch chèn link (mới)'!$D$3:$D$2213,$B717,'Kế hoạch chèn link (mới)'!$I$3:$I$2213,"Đã chèn")&gt;0,"Đang làm","Chưa hoàn thành"))</f>
        <v>Chưa hoàn thành</v>
      </c>
      <c r="E717" s="8" t="b">
        <f t="shared" si="2"/>
        <v>0</v>
      </c>
      <c r="F717" s="25"/>
      <c r="G717" s="25" t="str">
        <f>IFERROR(__xludf.DUMMYFUNCTION("IFERROR(INDEX(FILTER('Kế hoạch chèn link (mới)'!$C$3:$C$2213,'Kế hoạch chèn link (mới)'!$D$3:$D$2213=$B717),1),"""")"),"1 triệu đô bằng bao nhiêu tiền Việt")</f>
        <v>1 triệu đô bằng bao nhiêu tiền Việt</v>
      </c>
      <c r="H717" s="25" t="str">
        <f>IFERROR(__xludf.DUMMYFUNCTION("IFERROR(INDEX(FILTER('Kế hoạch chèn link (mới)'!$B$3:$B$2213,'Kế hoạch chèn link (mới)'!$D$3:$D$2213=$B717),1),"""")"),"https://techcombank.com/thong-tin/blog/1-trieu-do-bang-bao-nhieu-tien-viet")</f>
        <v>https://techcombank.com/thong-tin/blog/1-trieu-do-bang-bao-nhieu-tien-viet</v>
      </c>
      <c r="I717" s="25" t="str">
        <f>IFERROR(__xludf.DUMMYFUNCTION("IFERROR(INDEX(FILTER('Kế hoạch chèn link (mới)'!$C$3:$C$2213,'Kế hoạch chèn link (mới)'!$D$3:$D$2213=$B717),2),"""")"),"đổi USD ở đâu")</f>
        <v>đổi USD ở đâu</v>
      </c>
      <c r="J717" s="25" t="str">
        <f>IFERROR(__xludf.DUMMYFUNCTION("IFERROR(INDEX(FILTER('Kế hoạch chèn link (mới)'!$B$3:$B$2213,'Kế hoạch chèn link (mới)'!$D$3:$D$2213=$B717),2),"""")"),"https://techcombank.com/thong-tin/blog/doi-tien-do-o-dau")</f>
        <v>https://techcombank.com/thong-tin/blog/doi-tien-do-o-dau</v>
      </c>
      <c r="K717" s="25" t="str">
        <f>IFERROR(__xludf.DUMMYFUNCTION("IFERROR(INDEX(FILTER('Kế hoạch chèn link (mới)'!$C$3:$C$2213,'Kế hoạch chèn link (mới)'!$D$3:$D$2213=$B717),3),"""")"),"")</f>
        <v/>
      </c>
      <c r="L717" s="25" t="str">
        <f>IFERROR(__xludf.DUMMYFUNCTION("IFERROR(INDEX(FILTER('Kế hoạch chèn link (mới)'!$B$3:$B$2213,'Kế hoạch chèn link (mới)'!$D$3:$D$2213=$B717),3),"""")"),"")</f>
        <v/>
      </c>
      <c r="M717" s="25" t="str">
        <f>IFERROR(__xludf.DUMMYFUNCTION("IFERROR(INDEX(FILTER('Kế hoạch chèn link (mới)'!$C$3:$C$2213,'Kế hoạch chèn link (mới)'!$D$3:$D$2213=$B717),4),"""")"),"")</f>
        <v/>
      </c>
      <c r="N717" s="25" t="str">
        <f>IFERROR(__xludf.DUMMYFUNCTION("IFERROR(INDEX(FILTER('Kế hoạch chèn link (mới)'!$B$3:$B$2213,'Kế hoạch chèn link (mới)'!$D$3:$D$2213=$B717),4),"""")"),"")</f>
        <v/>
      </c>
      <c r="O717" s="25" t="str">
        <f>IFERROR(__xludf.DUMMYFUNCTION("IFERROR(INDEX(FILTER('Kế hoạch chèn link (mới)'!$C$3:$C$2213,'Kế hoạch chèn link (mới)'!$D$3:$D$2213=$B717),5),"""")"),"")</f>
        <v/>
      </c>
      <c r="P717" s="25" t="str">
        <f>IFERROR(__xludf.DUMMYFUNCTION("IFERROR(INDEX(FILTER('Kế hoạch chèn link (mới)'!$B$3:$B$2213,'Kế hoạch chèn link (mới)'!$D$3:$D$2213=$B717),5),"""")"),"")</f>
        <v/>
      </c>
    </row>
    <row r="718">
      <c r="A718" s="6">
        <f t="shared" si="1"/>
        <v>717</v>
      </c>
      <c r="B718" s="8" t="s">
        <v>3353</v>
      </c>
      <c r="C718" s="6">
        <f>COUNTIF('Kế hoạch chèn link (mới)'!$D$3:$D$2213,$B718)</f>
        <v>1</v>
      </c>
      <c r="D718" s="8" t="str">
        <f>IF(COUNTIFS('Kế hoạch chèn link (mới)'!$D$3:$D$2213,$B718,'Kế hoạch chèn link (mới)'!$I$3:$I$2213,"Đã chèn")&gt;=$C718,"Đã hoàn thành",IF(COUNTIFS('Kế hoạch chèn link (mới)'!$D$3:$D$2213,$B718,'Kế hoạch chèn link (mới)'!$I$3:$I$2213,"Đã chèn")&gt;0,"Đang làm","Chưa hoàn thành"))</f>
        <v>Chưa hoàn thành</v>
      </c>
      <c r="E718" s="8" t="b">
        <f t="shared" si="2"/>
        <v>0</v>
      </c>
      <c r="F718" s="25"/>
      <c r="G718" s="25" t="str">
        <f>IFERROR(__xludf.DUMMYFUNCTION("IFERROR(INDEX(FILTER('Kế hoạch chèn link (mới)'!$C$3:$C$2213,'Kế hoạch chèn link (mới)'!$D$3:$D$2213=$B718),1),"""")"),"tính lãi vay ngân hàng")</f>
        <v>tính lãi vay ngân hàng</v>
      </c>
      <c r="H718" s="25" t="str">
        <f>IFERROR(__xludf.DUMMYFUNCTION("IFERROR(INDEX(FILTER('Kế hoạch chèn link (mới)'!$B$3:$B$2213,'Kế hoạch chèn link (mới)'!$D$3:$D$2213=$B718),1),"""")"),"https://techcombank.com/cong-cu-tien-ich/cong-cu-tinh-toan/bang-tinh-lai-suat-vay")</f>
        <v>https://techcombank.com/cong-cu-tien-ich/cong-cu-tinh-toan/bang-tinh-lai-suat-vay</v>
      </c>
      <c r="I718" s="25" t="str">
        <f>IFERROR(__xludf.DUMMYFUNCTION("IFERROR(INDEX(FILTER('Kế hoạch chèn link (mới)'!$C$3:$C$2213,'Kế hoạch chèn link (mới)'!$D$3:$D$2213=$B718),2),"""")"),"")</f>
        <v/>
      </c>
      <c r="J718" s="25" t="str">
        <f>IFERROR(__xludf.DUMMYFUNCTION("IFERROR(INDEX(FILTER('Kế hoạch chèn link (mới)'!$B$3:$B$2213,'Kế hoạch chèn link (mới)'!$D$3:$D$2213=$B718),2),"""")"),"")</f>
        <v/>
      </c>
      <c r="K718" s="25" t="str">
        <f>IFERROR(__xludf.DUMMYFUNCTION("IFERROR(INDEX(FILTER('Kế hoạch chèn link (mới)'!$C$3:$C$2213,'Kế hoạch chèn link (mới)'!$D$3:$D$2213=$B718),3),"""")"),"")</f>
        <v/>
      </c>
      <c r="L718" s="25" t="str">
        <f>IFERROR(__xludf.DUMMYFUNCTION("IFERROR(INDEX(FILTER('Kế hoạch chèn link (mới)'!$B$3:$B$2213,'Kế hoạch chèn link (mới)'!$D$3:$D$2213=$B718),3),"""")"),"")</f>
        <v/>
      </c>
      <c r="M718" s="25" t="str">
        <f>IFERROR(__xludf.DUMMYFUNCTION("IFERROR(INDEX(FILTER('Kế hoạch chèn link (mới)'!$C$3:$C$2213,'Kế hoạch chèn link (mới)'!$D$3:$D$2213=$B718),4),"""")"),"")</f>
        <v/>
      </c>
      <c r="N718" s="25" t="str">
        <f>IFERROR(__xludf.DUMMYFUNCTION("IFERROR(INDEX(FILTER('Kế hoạch chèn link (mới)'!$B$3:$B$2213,'Kế hoạch chèn link (mới)'!$D$3:$D$2213=$B718),4),"""")"),"")</f>
        <v/>
      </c>
      <c r="O718" s="25" t="str">
        <f>IFERROR(__xludf.DUMMYFUNCTION("IFERROR(INDEX(FILTER('Kế hoạch chèn link (mới)'!$C$3:$C$2213,'Kế hoạch chèn link (mới)'!$D$3:$D$2213=$B718),5),"""")"),"")</f>
        <v/>
      </c>
      <c r="P718" s="25" t="str">
        <f>IFERROR(__xludf.DUMMYFUNCTION("IFERROR(INDEX(FILTER('Kế hoạch chèn link (mới)'!$B$3:$B$2213,'Kế hoạch chèn link (mới)'!$D$3:$D$2213=$B718),5),"""")"),"")</f>
        <v/>
      </c>
    </row>
    <row r="719">
      <c r="A719" s="6">
        <f t="shared" si="1"/>
        <v>718</v>
      </c>
      <c r="B719" s="8" t="s">
        <v>3354</v>
      </c>
      <c r="C719" s="6">
        <f>COUNTIF('Kế hoạch chèn link (mới)'!$D$3:$D$2213,$B719)</f>
        <v>1</v>
      </c>
      <c r="D719" s="8" t="str">
        <f>IF(COUNTIFS('Kế hoạch chèn link (mới)'!$D$3:$D$2213,$B719,'Kế hoạch chèn link (mới)'!$I$3:$I$2213,"Đã chèn")&gt;=$C719,"Đã hoàn thành",IF(COUNTIFS('Kế hoạch chèn link (mới)'!$D$3:$D$2213,$B719,'Kế hoạch chèn link (mới)'!$I$3:$I$2213,"Đã chèn")&gt;0,"Đang làm","Chưa hoàn thành"))</f>
        <v>Chưa hoàn thành</v>
      </c>
      <c r="E719" s="8" t="b">
        <f t="shared" si="2"/>
        <v>0</v>
      </c>
      <c r="F719" s="25"/>
      <c r="G719" s="25" t="str">
        <f>IFERROR(__xludf.DUMMYFUNCTION("IFERROR(INDEX(FILTER('Kế hoạch chèn link (mới)'!$C$3:$C$2213,'Kế hoạch chèn link (mới)'!$D$3:$D$2213=$B719),1),"""")"),"cách lấy voucher Traveloka")</f>
        <v>cách lấy voucher Traveloka</v>
      </c>
      <c r="H719" s="25" t="str">
        <f>IFERROR(__xludf.DUMMYFUNCTION("IFERROR(INDEX(FILTER('Kế hoạch chèn link (mới)'!$B$3:$B$2213,'Kế hoạch chèn link (mới)'!$D$3:$D$2213=$B719),1),"""")"),"https://techcombank.com/thong-tin/blog/traveloka-voucher")</f>
        <v>https://techcombank.com/thong-tin/blog/traveloka-voucher</v>
      </c>
      <c r="I719" s="25" t="str">
        <f>IFERROR(__xludf.DUMMYFUNCTION("IFERROR(INDEX(FILTER('Kế hoạch chèn link (mới)'!$C$3:$C$2213,'Kế hoạch chèn link (mới)'!$D$3:$D$2213=$B719),2),"""")"),"")</f>
        <v/>
      </c>
      <c r="J719" s="25" t="str">
        <f>IFERROR(__xludf.DUMMYFUNCTION("IFERROR(INDEX(FILTER('Kế hoạch chèn link (mới)'!$B$3:$B$2213,'Kế hoạch chèn link (mới)'!$D$3:$D$2213=$B719),2),"""")"),"")</f>
        <v/>
      </c>
      <c r="K719" s="25" t="str">
        <f>IFERROR(__xludf.DUMMYFUNCTION("IFERROR(INDEX(FILTER('Kế hoạch chèn link (mới)'!$C$3:$C$2213,'Kế hoạch chèn link (mới)'!$D$3:$D$2213=$B719),3),"""")"),"")</f>
        <v/>
      </c>
      <c r="L719" s="25" t="str">
        <f>IFERROR(__xludf.DUMMYFUNCTION("IFERROR(INDEX(FILTER('Kế hoạch chèn link (mới)'!$B$3:$B$2213,'Kế hoạch chèn link (mới)'!$D$3:$D$2213=$B719),3),"""")"),"")</f>
        <v/>
      </c>
      <c r="M719" s="25" t="str">
        <f>IFERROR(__xludf.DUMMYFUNCTION("IFERROR(INDEX(FILTER('Kế hoạch chèn link (mới)'!$C$3:$C$2213,'Kế hoạch chèn link (mới)'!$D$3:$D$2213=$B719),4),"""")"),"")</f>
        <v/>
      </c>
      <c r="N719" s="25" t="str">
        <f>IFERROR(__xludf.DUMMYFUNCTION("IFERROR(INDEX(FILTER('Kế hoạch chèn link (mới)'!$B$3:$B$2213,'Kế hoạch chèn link (mới)'!$D$3:$D$2213=$B719),4),"""")"),"")</f>
        <v/>
      </c>
      <c r="O719" s="25" t="str">
        <f>IFERROR(__xludf.DUMMYFUNCTION("IFERROR(INDEX(FILTER('Kế hoạch chèn link (mới)'!$C$3:$C$2213,'Kế hoạch chèn link (mới)'!$D$3:$D$2213=$B719),5),"""")"),"")</f>
        <v/>
      </c>
      <c r="P719" s="25" t="str">
        <f>IFERROR(__xludf.DUMMYFUNCTION("IFERROR(INDEX(FILTER('Kế hoạch chèn link (mới)'!$B$3:$B$2213,'Kế hoạch chèn link (mới)'!$D$3:$D$2213=$B719),5),"""")"),"")</f>
        <v/>
      </c>
    </row>
    <row r="720">
      <c r="A720" s="6">
        <f t="shared" si="1"/>
        <v>719</v>
      </c>
      <c r="B720" s="8" t="s">
        <v>3355</v>
      </c>
      <c r="C720" s="6">
        <f>COUNTIF('Kế hoạch chèn link (mới)'!$D$3:$D$2213,$B720)</f>
        <v>1</v>
      </c>
      <c r="D720" s="8" t="str">
        <f>IF(COUNTIFS('Kế hoạch chèn link (mới)'!$D$3:$D$2213,$B720,'Kế hoạch chèn link (mới)'!$I$3:$I$2213,"Đã chèn")&gt;=$C720,"Đã hoàn thành",IF(COUNTIFS('Kế hoạch chèn link (mới)'!$D$3:$D$2213,$B720,'Kế hoạch chèn link (mới)'!$I$3:$I$2213,"Đã chèn")&gt;0,"Đang làm","Chưa hoàn thành"))</f>
        <v>Chưa hoàn thành</v>
      </c>
      <c r="E720" s="8" t="b">
        <f t="shared" si="2"/>
        <v>0</v>
      </c>
      <c r="F720" s="25"/>
      <c r="G720" s="25" t="str">
        <f>IFERROR(__xludf.DUMMYFUNCTION("IFERROR(INDEX(FILTER('Kế hoạch chèn link (mới)'!$C$3:$C$2213,'Kế hoạch chèn link (mới)'!$D$3:$D$2213=$B720),1),"""")"),"voucher Traveloka")</f>
        <v>voucher Traveloka</v>
      </c>
      <c r="H720" s="25" t="str">
        <f>IFERROR(__xludf.DUMMYFUNCTION("IFERROR(INDEX(FILTER('Kế hoạch chèn link (mới)'!$B$3:$B$2213,'Kế hoạch chèn link (mới)'!$D$3:$D$2213=$B720),1),"""")"),"https://techcombank.com/thong-tin/blog/traveloka-voucher")</f>
        <v>https://techcombank.com/thong-tin/blog/traveloka-voucher</v>
      </c>
      <c r="I720" s="25" t="str">
        <f>IFERROR(__xludf.DUMMYFUNCTION("IFERROR(INDEX(FILTER('Kế hoạch chèn link (mới)'!$C$3:$C$2213,'Kế hoạch chèn link (mới)'!$D$3:$D$2213=$B720),2),"""")"),"")</f>
        <v/>
      </c>
      <c r="J720" s="25" t="str">
        <f>IFERROR(__xludf.DUMMYFUNCTION("IFERROR(INDEX(FILTER('Kế hoạch chèn link (mới)'!$B$3:$B$2213,'Kế hoạch chèn link (mới)'!$D$3:$D$2213=$B720),2),"""")"),"")</f>
        <v/>
      </c>
      <c r="K720" s="25" t="str">
        <f>IFERROR(__xludf.DUMMYFUNCTION("IFERROR(INDEX(FILTER('Kế hoạch chèn link (mới)'!$C$3:$C$2213,'Kế hoạch chèn link (mới)'!$D$3:$D$2213=$B720),3),"""")"),"")</f>
        <v/>
      </c>
      <c r="L720" s="25" t="str">
        <f>IFERROR(__xludf.DUMMYFUNCTION("IFERROR(INDEX(FILTER('Kế hoạch chèn link (mới)'!$B$3:$B$2213,'Kế hoạch chèn link (mới)'!$D$3:$D$2213=$B720),3),"""")"),"")</f>
        <v/>
      </c>
      <c r="M720" s="25" t="str">
        <f>IFERROR(__xludf.DUMMYFUNCTION("IFERROR(INDEX(FILTER('Kế hoạch chèn link (mới)'!$C$3:$C$2213,'Kế hoạch chèn link (mới)'!$D$3:$D$2213=$B720),4),"""")"),"")</f>
        <v/>
      </c>
      <c r="N720" s="25" t="str">
        <f>IFERROR(__xludf.DUMMYFUNCTION("IFERROR(INDEX(FILTER('Kế hoạch chèn link (mới)'!$B$3:$B$2213,'Kế hoạch chèn link (mới)'!$D$3:$D$2213=$B720),4),"""")"),"")</f>
        <v/>
      </c>
      <c r="O720" s="25" t="str">
        <f>IFERROR(__xludf.DUMMYFUNCTION("IFERROR(INDEX(FILTER('Kế hoạch chèn link (mới)'!$C$3:$C$2213,'Kế hoạch chèn link (mới)'!$D$3:$D$2213=$B720),5),"""")"),"")</f>
        <v/>
      </c>
      <c r="P720" s="25" t="str">
        <f>IFERROR(__xludf.DUMMYFUNCTION("IFERROR(INDEX(FILTER('Kế hoạch chèn link (mới)'!$B$3:$B$2213,'Kế hoạch chèn link (mới)'!$D$3:$D$2213=$B720),5),"""")"),"")</f>
        <v/>
      </c>
    </row>
    <row r="721">
      <c r="A721" s="6">
        <f t="shared" si="1"/>
        <v>720</v>
      </c>
      <c r="B721" s="8" t="s">
        <v>3356</v>
      </c>
      <c r="C721" s="6">
        <f>COUNTIF('Kế hoạch chèn link (mới)'!$D$3:$D$2213,$B721)</f>
        <v>1</v>
      </c>
      <c r="D721" s="8" t="str">
        <f>IF(COUNTIFS('Kế hoạch chèn link (mới)'!$D$3:$D$2213,$B721,'Kế hoạch chèn link (mới)'!$I$3:$I$2213,"Đã chèn")&gt;=$C721,"Đã hoàn thành",IF(COUNTIFS('Kế hoạch chèn link (mới)'!$D$3:$D$2213,$B721,'Kế hoạch chèn link (mới)'!$I$3:$I$2213,"Đã chèn")&gt;0,"Đang làm","Chưa hoàn thành"))</f>
        <v>Chưa hoàn thành</v>
      </c>
      <c r="E721" s="8" t="b">
        <f t="shared" si="2"/>
        <v>0</v>
      </c>
      <c r="F721" s="25"/>
      <c r="G721" s="25" t="str">
        <f>IFERROR(__xludf.DUMMYFUNCTION("IFERROR(INDEX(FILTER('Kế hoạch chèn link (mới)'!$C$3:$C$2213,'Kế hoạch chèn link (mới)'!$D$3:$D$2213=$B721),1),"""")"),"cách lấy voucher Traveloka")</f>
        <v>cách lấy voucher Traveloka</v>
      </c>
      <c r="H721" s="25" t="str">
        <f>IFERROR(__xludf.DUMMYFUNCTION("IFERROR(INDEX(FILTER('Kế hoạch chèn link (mới)'!$B$3:$B$2213,'Kế hoạch chèn link (mới)'!$D$3:$D$2213=$B721),1),"""")"),"https://techcombank.com/thong-tin/blog/traveloka-voucher")</f>
        <v>https://techcombank.com/thong-tin/blog/traveloka-voucher</v>
      </c>
      <c r="I721" s="25" t="str">
        <f>IFERROR(__xludf.DUMMYFUNCTION("IFERROR(INDEX(FILTER('Kế hoạch chèn link (mới)'!$C$3:$C$2213,'Kế hoạch chèn link (mới)'!$D$3:$D$2213=$B721),2),"""")"),"")</f>
        <v/>
      </c>
      <c r="J721" s="25" t="str">
        <f>IFERROR(__xludf.DUMMYFUNCTION("IFERROR(INDEX(FILTER('Kế hoạch chèn link (mới)'!$B$3:$B$2213,'Kế hoạch chèn link (mới)'!$D$3:$D$2213=$B721),2),"""")"),"")</f>
        <v/>
      </c>
      <c r="K721" s="25" t="str">
        <f>IFERROR(__xludf.DUMMYFUNCTION("IFERROR(INDEX(FILTER('Kế hoạch chèn link (mới)'!$C$3:$C$2213,'Kế hoạch chèn link (mới)'!$D$3:$D$2213=$B721),3),"""")"),"")</f>
        <v/>
      </c>
      <c r="L721" s="25" t="str">
        <f>IFERROR(__xludf.DUMMYFUNCTION("IFERROR(INDEX(FILTER('Kế hoạch chèn link (mới)'!$B$3:$B$2213,'Kế hoạch chèn link (mới)'!$D$3:$D$2213=$B721),3),"""")"),"")</f>
        <v/>
      </c>
      <c r="M721" s="25" t="str">
        <f>IFERROR(__xludf.DUMMYFUNCTION("IFERROR(INDEX(FILTER('Kế hoạch chèn link (mới)'!$C$3:$C$2213,'Kế hoạch chèn link (mới)'!$D$3:$D$2213=$B721),4),"""")"),"")</f>
        <v/>
      </c>
      <c r="N721" s="25" t="str">
        <f>IFERROR(__xludf.DUMMYFUNCTION("IFERROR(INDEX(FILTER('Kế hoạch chèn link (mới)'!$B$3:$B$2213,'Kế hoạch chèn link (mới)'!$D$3:$D$2213=$B721),4),"""")"),"")</f>
        <v/>
      </c>
      <c r="O721" s="25" t="str">
        <f>IFERROR(__xludf.DUMMYFUNCTION("IFERROR(INDEX(FILTER('Kế hoạch chèn link (mới)'!$C$3:$C$2213,'Kế hoạch chèn link (mới)'!$D$3:$D$2213=$B721),5),"""")"),"")</f>
        <v/>
      </c>
      <c r="P721" s="25" t="str">
        <f>IFERROR(__xludf.DUMMYFUNCTION("IFERROR(INDEX(FILTER('Kế hoạch chèn link (mới)'!$B$3:$B$2213,'Kế hoạch chèn link (mới)'!$D$3:$D$2213=$B721),5),"""")"),"")</f>
        <v/>
      </c>
    </row>
    <row r="722">
      <c r="A722" s="6">
        <f t="shared" si="1"/>
        <v>721</v>
      </c>
      <c r="B722" s="8" t="s">
        <v>3357</v>
      </c>
      <c r="C722" s="6">
        <f>COUNTIF('Kế hoạch chèn link (mới)'!$D$3:$D$2213,$B722)</f>
        <v>1</v>
      </c>
      <c r="D722" s="8" t="str">
        <f>IF(COUNTIFS('Kế hoạch chèn link (mới)'!$D$3:$D$2213,$B722,'Kế hoạch chèn link (mới)'!$I$3:$I$2213,"Đã chèn")&gt;=$C722,"Đã hoàn thành",IF(COUNTIFS('Kế hoạch chèn link (mới)'!$D$3:$D$2213,$B722,'Kế hoạch chèn link (mới)'!$I$3:$I$2213,"Đã chèn")&gt;0,"Đang làm","Chưa hoàn thành"))</f>
        <v>Chưa hoàn thành</v>
      </c>
      <c r="E722" s="8" t="b">
        <f t="shared" si="2"/>
        <v>0</v>
      </c>
      <c r="F722" s="25"/>
      <c r="G722" s="25" t="str">
        <f>IFERROR(__xludf.DUMMYFUNCTION("IFERROR(INDEX(FILTER('Kế hoạch chèn link (mới)'!$C$3:$C$2213,'Kế hoạch chèn link (mới)'!$D$3:$D$2213=$B722),1),"""")"),"cách lấy voucher Traveloka")</f>
        <v>cách lấy voucher Traveloka</v>
      </c>
      <c r="H722" s="25" t="str">
        <f>IFERROR(__xludf.DUMMYFUNCTION("IFERROR(INDEX(FILTER('Kế hoạch chèn link (mới)'!$B$3:$B$2213,'Kế hoạch chèn link (mới)'!$D$3:$D$2213=$B722),1),"""")"),"https://techcombank.com/thong-tin/blog/traveloka-voucher")</f>
        <v>https://techcombank.com/thong-tin/blog/traveloka-voucher</v>
      </c>
      <c r="I722" s="25" t="str">
        <f>IFERROR(__xludf.DUMMYFUNCTION("IFERROR(INDEX(FILTER('Kế hoạch chèn link (mới)'!$C$3:$C$2213,'Kế hoạch chèn link (mới)'!$D$3:$D$2213=$B722),2),"""")"),"")</f>
        <v/>
      </c>
      <c r="J722" s="25" t="str">
        <f>IFERROR(__xludf.DUMMYFUNCTION("IFERROR(INDEX(FILTER('Kế hoạch chèn link (mới)'!$B$3:$B$2213,'Kế hoạch chèn link (mới)'!$D$3:$D$2213=$B722),2),"""")"),"")</f>
        <v/>
      </c>
      <c r="K722" s="25" t="str">
        <f>IFERROR(__xludf.DUMMYFUNCTION("IFERROR(INDEX(FILTER('Kế hoạch chèn link (mới)'!$C$3:$C$2213,'Kế hoạch chèn link (mới)'!$D$3:$D$2213=$B722),3),"""")"),"")</f>
        <v/>
      </c>
      <c r="L722" s="25" t="str">
        <f>IFERROR(__xludf.DUMMYFUNCTION("IFERROR(INDEX(FILTER('Kế hoạch chèn link (mới)'!$B$3:$B$2213,'Kế hoạch chèn link (mới)'!$D$3:$D$2213=$B722),3),"""")"),"")</f>
        <v/>
      </c>
      <c r="M722" s="25" t="str">
        <f>IFERROR(__xludf.DUMMYFUNCTION("IFERROR(INDEX(FILTER('Kế hoạch chèn link (mới)'!$C$3:$C$2213,'Kế hoạch chèn link (mới)'!$D$3:$D$2213=$B722),4),"""")"),"")</f>
        <v/>
      </c>
      <c r="N722" s="25" t="str">
        <f>IFERROR(__xludf.DUMMYFUNCTION("IFERROR(INDEX(FILTER('Kế hoạch chèn link (mới)'!$B$3:$B$2213,'Kế hoạch chèn link (mới)'!$D$3:$D$2213=$B722),4),"""")"),"")</f>
        <v/>
      </c>
      <c r="O722" s="25" t="str">
        <f>IFERROR(__xludf.DUMMYFUNCTION("IFERROR(INDEX(FILTER('Kế hoạch chèn link (mới)'!$C$3:$C$2213,'Kế hoạch chèn link (mới)'!$D$3:$D$2213=$B722),5),"""")"),"")</f>
        <v/>
      </c>
      <c r="P722" s="25" t="str">
        <f>IFERROR(__xludf.DUMMYFUNCTION("IFERROR(INDEX(FILTER('Kế hoạch chèn link (mới)'!$B$3:$B$2213,'Kế hoạch chèn link (mới)'!$D$3:$D$2213=$B722),5),"""")"),"")</f>
        <v/>
      </c>
    </row>
    <row r="723">
      <c r="A723" s="6">
        <f t="shared" si="1"/>
        <v>722</v>
      </c>
      <c r="B723" s="8" t="s">
        <v>3358</v>
      </c>
      <c r="C723" s="6">
        <f>COUNTIF('Kế hoạch chèn link (mới)'!$D$3:$D$2213,$B723)</f>
        <v>1</v>
      </c>
      <c r="D723" s="8" t="str">
        <f>IF(COUNTIFS('Kế hoạch chèn link (mới)'!$D$3:$D$2213,$B723,'Kế hoạch chèn link (mới)'!$I$3:$I$2213,"Đã chèn")&gt;=$C723,"Đã hoàn thành",IF(COUNTIFS('Kế hoạch chèn link (mới)'!$D$3:$D$2213,$B723,'Kế hoạch chèn link (mới)'!$I$3:$I$2213,"Đã chèn")&gt;0,"Đang làm","Chưa hoàn thành"))</f>
        <v>Chưa hoàn thành</v>
      </c>
      <c r="E723" s="8" t="b">
        <f t="shared" si="2"/>
        <v>0</v>
      </c>
      <c r="F723" s="25"/>
      <c r="G723" s="25" t="str">
        <f>IFERROR(__xludf.DUMMYFUNCTION("IFERROR(INDEX(FILTER('Kế hoạch chèn link (mới)'!$C$3:$C$2213,'Kế hoạch chèn link (mới)'!$D$3:$D$2213=$B723),1),"""")"),"cách lấy voucher Traveloka")</f>
        <v>cách lấy voucher Traveloka</v>
      </c>
      <c r="H723" s="25" t="str">
        <f>IFERROR(__xludf.DUMMYFUNCTION("IFERROR(INDEX(FILTER('Kế hoạch chèn link (mới)'!$B$3:$B$2213,'Kế hoạch chèn link (mới)'!$D$3:$D$2213=$B723),1),"""")"),"https://techcombank.com/thong-tin/blog/traveloka-voucher")</f>
        <v>https://techcombank.com/thong-tin/blog/traveloka-voucher</v>
      </c>
      <c r="I723" s="25" t="str">
        <f>IFERROR(__xludf.DUMMYFUNCTION("IFERROR(INDEX(FILTER('Kế hoạch chèn link (mới)'!$C$3:$C$2213,'Kế hoạch chèn link (mới)'!$D$3:$D$2213=$B723),2),"""")"),"")</f>
        <v/>
      </c>
      <c r="J723" s="25" t="str">
        <f>IFERROR(__xludf.DUMMYFUNCTION("IFERROR(INDEX(FILTER('Kế hoạch chèn link (mới)'!$B$3:$B$2213,'Kế hoạch chèn link (mới)'!$D$3:$D$2213=$B723),2),"""")"),"")</f>
        <v/>
      </c>
      <c r="K723" s="25" t="str">
        <f>IFERROR(__xludf.DUMMYFUNCTION("IFERROR(INDEX(FILTER('Kế hoạch chèn link (mới)'!$C$3:$C$2213,'Kế hoạch chèn link (mới)'!$D$3:$D$2213=$B723),3),"""")"),"")</f>
        <v/>
      </c>
      <c r="L723" s="25" t="str">
        <f>IFERROR(__xludf.DUMMYFUNCTION("IFERROR(INDEX(FILTER('Kế hoạch chèn link (mới)'!$B$3:$B$2213,'Kế hoạch chèn link (mới)'!$D$3:$D$2213=$B723),3),"""")"),"")</f>
        <v/>
      </c>
      <c r="M723" s="25" t="str">
        <f>IFERROR(__xludf.DUMMYFUNCTION("IFERROR(INDEX(FILTER('Kế hoạch chèn link (mới)'!$C$3:$C$2213,'Kế hoạch chèn link (mới)'!$D$3:$D$2213=$B723),4),"""")"),"")</f>
        <v/>
      </c>
      <c r="N723" s="25" t="str">
        <f>IFERROR(__xludf.DUMMYFUNCTION("IFERROR(INDEX(FILTER('Kế hoạch chèn link (mới)'!$B$3:$B$2213,'Kế hoạch chèn link (mới)'!$D$3:$D$2213=$B723),4),"""")"),"")</f>
        <v/>
      </c>
      <c r="O723" s="25" t="str">
        <f>IFERROR(__xludf.DUMMYFUNCTION("IFERROR(INDEX(FILTER('Kế hoạch chèn link (mới)'!$C$3:$C$2213,'Kế hoạch chèn link (mới)'!$D$3:$D$2213=$B723),5),"""")"),"")</f>
        <v/>
      </c>
      <c r="P723" s="25" t="str">
        <f>IFERROR(__xludf.DUMMYFUNCTION("IFERROR(INDEX(FILTER('Kế hoạch chèn link (mới)'!$B$3:$B$2213,'Kế hoạch chèn link (mới)'!$D$3:$D$2213=$B723),5),"""")"),"")</f>
        <v/>
      </c>
    </row>
    <row r="724">
      <c r="A724" s="6">
        <f t="shared" si="1"/>
        <v>723</v>
      </c>
      <c r="B724" s="8" t="s">
        <v>3359</v>
      </c>
      <c r="C724" s="6">
        <f>COUNTIF('Kế hoạch chèn link (mới)'!$D$3:$D$2213,$B724)</f>
        <v>1</v>
      </c>
      <c r="D724" s="8" t="str">
        <f>IF(COUNTIFS('Kế hoạch chèn link (mới)'!$D$3:$D$2213,$B724,'Kế hoạch chèn link (mới)'!$I$3:$I$2213,"Đã chèn")&gt;=$C724,"Đã hoàn thành",IF(COUNTIFS('Kế hoạch chèn link (mới)'!$D$3:$D$2213,$B724,'Kế hoạch chèn link (mới)'!$I$3:$I$2213,"Đã chèn")&gt;0,"Đang làm","Chưa hoàn thành"))</f>
        <v>Chưa hoàn thành</v>
      </c>
      <c r="E724" s="8" t="b">
        <f t="shared" si="2"/>
        <v>0</v>
      </c>
      <c r="F724" s="25"/>
      <c r="G724" s="25" t="str">
        <f>IFERROR(__xludf.DUMMYFUNCTION("IFERROR(INDEX(FILTER('Kế hoạch chèn link (mới)'!$C$3:$C$2213,'Kế hoạch chèn link (mới)'!$D$3:$D$2213=$B724),1),"""")"),"cách lấy voucher Traveloka")</f>
        <v>cách lấy voucher Traveloka</v>
      </c>
      <c r="H724" s="25" t="str">
        <f>IFERROR(__xludf.DUMMYFUNCTION("IFERROR(INDEX(FILTER('Kế hoạch chèn link (mới)'!$B$3:$B$2213,'Kế hoạch chèn link (mới)'!$D$3:$D$2213=$B724),1),"""")"),"https://techcombank.com/thong-tin/blog/traveloka-voucher")</f>
        <v>https://techcombank.com/thong-tin/blog/traveloka-voucher</v>
      </c>
      <c r="I724" s="25" t="str">
        <f>IFERROR(__xludf.DUMMYFUNCTION("IFERROR(INDEX(FILTER('Kế hoạch chèn link (mới)'!$C$3:$C$2213,'Kế hoạch chèn link (mới)'!$D$3:$D$2213=$B724),2),"""")"),"")</f>
        <v/>
      </c>
      <c r="J724" s="25" t="str">
        <f>IFERROR(__xludf.DUMMYFUNCTION("IFERROR(INDEX(FILTER('Kế hoạch chèn link (mới)'!$B$3:$B$2213,'Kế hoạch chèn link (mới)'!$D$3:$D$2213=$B724),2),"""")"),"")</f>
        <v/>
      </c>
      <c r="K724" s="25" t="str">
        <f>IFERROR(__xludf.DUMMYFUNCTION("IFERROR(INDEX(FILTER('Kế hoạch chèn link (mới)'!$C$3:$C$2213,'Kế hoạch chèn link (mới)'!$D$3:$D$2213=$B724),3),"""")"),"")</f>
        <v/>
      </c>
      <c r="L724" s="25" t="str">
        <f>IFERROR(__xludf.DUMMYFUNCTION("IFERROR(INDEX(FILTER('Kế hoạch chèn link (mới)'!$B$3:$B$2213,'Kế hoạch chèn link (mới)'!$D$3:$D$2213=$B724),3),"""")"),"")</f>
        <v/>
      </c>
      <c r="M724" s="25" t="str">
        <f>IFERROR(__xludf.DUMMYFUNCTION("IFERROR(INDEX(FILTER('Kế hoạch chèn link (mới)'!$C$3:$C$2213,'Kế hoạch chèn link (mới)'!$D$3:$D$2213=$B724),4),"""")"),"")</f>
        <v/>
      </c>
      <c r="N724" s="25" t="str">
        <f>IFERROR(__xludf.DUMMYFUNCTION("IFERROR(INDEX(FILTER('Kế hoạch chèn link (mới)'!$B$3:$B$2213,'Kế hoạch chèn link (mới)'!$D$3:$D$2213=$B724),4),"""")"),"")</f>
        <v/>
      </c>
      <c r="O724" s="25" t="str">
        <f>IFERROR(__xludf.DUMMYFUNCTION("IFERROR(INDEX(FILTER('Kế hoạch chèn link (mới)'!$C$3:$C$2213,'Kế hoạch chèn link (mới)'!$D$3:$D$2213=$B724),5),"""")"),"")</f>
        <v/>
      </c>
      <c r="P724" s="25" t="str">
        <f>IFERROR(__xludf.DUMMYFUNCTION("IFERROR(INDEX(FILTER('Kế hoạch chèn link (mới)'!$B$3:$B$2213,'Kế hoạch chèn link (mới)'!$D$3:$D$2213=$B724),5),"""")"),"")</f>
        <v/>
      </c>
    </row>
    <row r="725">
      <c r="A725" s="6">
        <f t="shared" si="1"/>
        <v>724</v>
      </c>
      <c r="B725" s="8" t="s">
        <v>3360</v>
      </c>
      <c r="C725" s="6">
        <f>COUNTIF('Kế hoạch chèn link (mới)'!$D$3:$D$2213,$B725)</f>
        <v>1</v>
      </c>
      <c r="D725" s="8" t="str">
        <f>IF(COUNTIFS('Kế hoạch chèn link (mới)'!$D$3:$D$2213,$B725,'Kế hoạch chèn link (mới)'!$I$3:$I$2213,"Đã chèn")&gt;=$C725,"Đã hoàn thành",IF(COUNTIFS('Kế hoạch chèn link (mới)'!$D$3:$D$2213,$B725,'Kế hoạch chèn link (mới)'!$I$3:$I$2213,"Đã chèn")&gt;0,"Đang làm","Chưa hoàn thành"))</f>
        <v>Chưa hoàn thành</v>
      </c>
      <c r="E725" s="8" t="b">
        <f t="shared" si="2"/>
        <v>0</v>
      </c>
      <c r="F725" s="25"/>
      <c r="G725" s="25" t="str">
        <f>IFERROR(__xludf.DUMMYFUNCTION("IFERROR(INDEX(FILTER('Kế hoạch chèn link (mới)'!$C$3:$C$2213,'Kế hoạch chèn link (mới)'!$D$3:$D$2213=$B725),1),"""")"),"cách lấy voucher Traveloka")</f>
        <v>cách lấy voucher Traveloka</v>
      </c>
      <c r="H725" s="25" t="str">
        <f>IFERROR(__xludf.DUMMYFUNCTION("IFERROR(INDEX(FILTER('Kế hoạch chèn link (mới)'!$B$3:$B$2213,'Kế hoạch chèn link (mới)'!$D$3:$D$2213=$B725),1),"""")"),"https://techcombank.com/thong-tin/blog/traveloka-voucher")</f>
        <v>https://techcombank.com/thong-tin/blog/traveloka-voucher</v>
      </c>
      <c r="I725" s="25" t="str">
        <f>IFERROR(__xludf.DUMMYFUNCTION("IFERROR(INDEX(FILTER('Kế hoạch chèn link (mới)'!$C$3:$C$2213,'Kế hoạch chèn link (mới)'!$D$3:$D$2213=$B725),2),"""")"),"")</f>
        <v/>
      </c>
      <c r="J725" s="25" t="str">
        <f>IFERROR(__xludf.DUMMYFUNCTION("IFERROR(INDEX(FILTER('Kế hoạch chèn link (mới)'!$B$3:$B$2213,'Kế hoạch chèn link (mới)'!$D$3:$D$2213=$B725),2),"""")"),"")</f>
        <v/>
      </c>
      <c r="K725" s="25" t="str">
        <f>IFERROR(__xludf.DUMMYFUNCTION("IFERROR(INDEX(FILTER('Kế hoạch chèn link (mới)'!$C$3:$C$2213,'Kế hoạch chèn link (mới)'!$D$3:$D$2213=$B725),3),"""")"),"")</f>
        <v/>
      </c>
      <c r="L725" s="25" t="str">
        <f>IFERROR(__xludf.DUMMYFUNCTION("IFERROR(INDEX(FILTER('Kế hoạch chèn link (mới)'!$B$3:$B$2213,'Kế hoạch chèn link (mới)'!$D$3:$D$2213=$B725),3),"""")"),"")</f>
        <v/>
      </c>
      <c r="M725" s="25" t="str">
        <f>IFERROR(__xludf.DUMMYFUNCTION("IFERROR(INDEX(FILTER('Kế hoạch chèn link (mới)'!$C$3:$C$2213,'Kế hoạch chèn link (mới)'!$D$3:$D$2213=$B725),4),"""")"),"")</f>
        <v/>
      </c>
      <c r="N725" s="25" t="str">
        <f>IFERROR(__xludf.DUMMYFUNCTION("IFERROR(INDEX(FILTER('Kế hoạch chèn link (mới)'!$B$3:$B$2213,'Kế hoạch chèn link (mới)'!$D$3:$D$2213=$B725),4),"""")"),"")</f>
        <v/>
      </c>
      <c r="O725" s="25" t="str">
        <f>IFERROR(__xludf.DUMMYFUNCTION("IFERROR(INDEX(FILTER('Kế hoạch chèn link (mới)'!$C$3:$C$2213,'Kế hoạch chèn link (mới)'!$D$3:$D$2213=$B725),5),"""")"),"")</f>
        <v/>
      </c>
      <c r="P725" s="25" t="str">
        <f>IFERROR(__xludf.DUMMYFUNCTION("IFERROR(INDEX(FILTER('Kế hoạch chèn link (mới)'!$B$3:$B$2213,'Kế hoạch chèn link (mới)'!$D$3:$D$2213=$B725),5),"""")"),"")</f>
        <v/>
      </c>
    </row>
    <row r="726">
      <c r="A726" s="6">
        <f t="shared" si="1"/>
        <v>725</v>
      </c>
      <c r="B726" s="8" t="s">
        <v>3218</v>
      </c>
      <c r="C726" s="6">
        <f>COUNTIF('Kế hoạch chèn link (mới)'!$D$3:$D$2213,$B726)</f>
        <v>2</v>
      </c>
      <c r="D726" s="8" t="str">
        <f>IF(COUNTIFS('Kế hoạch chèn link (mới)'!$D$3:$D$2213,$B726,'Kế hoạch chèn link (mới)'!$I$3:$I$2213,"Đã chèn")&gt;=$C726,"Đã hoàn thành",IF(COUNTIFS('Kế hoạch chèn link (mới)'!$D$3:$D$2213,$B726,'Kế hoạch chèn link (mới)'!$I$3:$I$2213,"Đã chèn")&gt;0,"Đang làm","Chưa hoàn thành"))</f>
        <v>Chưa hoàn thành</v>
      </c>
      <c r="E726" s="8" t="b">
        <f t="shared" si="2"/>
        <v>0</v>
      </c>
      <c r="F726" s="25"/>
      <c r="G726" s="25" t="str">
        <f>IFERROR(__xludf.DUMMYFUNCTION("IFERROR(INDEX(FILTER('Kế hoạch chèn link (mới)'!$C$3:$C$2213,'Kế hoạch chèn link (mới)'!$D$3:$D$2213=$B726),1),"""")"),"thẻ Eco")</f>
        <v>thẻ Eco</v>
      </c>
      <c r="H726" s="25" t="str">
        <f>IFERROR(__xludf.DUMMYFUNCTION("IFERROR(INDEX(FILTER('Kế hoạch chèn link (mới)'!$B$3:$B$2213,'Kế hoạch chèn link (mới)'!$D$3:$D$2213=$B726),1),"""")"),"https://techcombank.com/thong-tin/blog/eco-card")</f>
        <v>https://techcombank.com/thong-tin/blog/eco-card</v>
      </c>
      <c r="I726" s="25" t="str">
        <f>IFERROR(__xludf.DUMMYFUNCTION("IFERROR(INDEX(FILTER('Kế hoạch chèn link (mới)'!$C$3:$C$2213,'Kế hoạch chèn link (mới)'!$D$3:$D$2213=$B726),2),"""")"),"cách lấy voucher Traveloka")</f>
        <v>cách lấy voucher Traveloka</v>
      </c>
      <c r="J726" s="25" t="str">
        <f>IFERROR(__xludf.DUMMYFUNCTION("IFERROR(INDEX(FILTER('Kế hoạch chèn link (mới)'!$B$3:$B$2213,'Kế hoạch chèn link (mới)'!$D$3:$D$2213=$B726),2),"""")"),"https://techcombank.com/thong-tin/blog/traveloka-voucher")</f>
        <v>https://techcombank.com/thong-tin/blog/traveloka-voucher</v>
      </c>
      <c r="K726" s="25" t="str">
        <f>IFERROR(__xludf.DUMMYFUNCTION("IFERROR(INDEX(FILTER('Kế hoạch chèn link (mới)'!$C$3:$C$2213,'Kế hoạch chèn link (mới)'!$D$3:$D$2213=$B726),3),"""")"),"")</f>
        <v/>
      </c>
      <c r="L726" s="25" t="str">
        <f>IFERROR(__xludf.DUMMYFUNCTION("IFERROR(INDEX(FILTER('Kế hoạch chèn link (mới)'!$B$3:$B$2213,'Kế hoạch chèn link (mới)'!$D$3:$D$2213=$B726),3),"""")"),"")</f>
        <v/>
      </c>
      <c r="M726" s="25" t="str">
        <f>IFERROR(__xludf.DUMMYFUNCTION("IFERROR(INDEX(FILTER('Kế hoạch chèn link (mới)'!$C$3:$C$2213,'Kế hoạch chèn link (mới)'!$D$3:$D$2213=$B726),4),"""")"),"")</f>
        <v/>
      </c>
      <c r="N726" s="25" t="str">
        <f>IFERROR(__xludf.DUMMYFUNCTION("IFERROR(INDEX(FILTER('Kế hoạch chèn link (mới)'!$B$3:$B$2213,'Kế hoạch chèn link (mới)'!$D$3:$D$2213=$B726),4),"""")"),"")</f>
        <v/>
      </c>
      <c r="O726" s="25" t="str">
        <f>IFERROR(__xludf.DUMMYFUNCTION("IFERROR(INDEX(FILTER('Kế hoạch chèn link (mới)'!$C$3:$C$2213,'Kế hoạch chèn link (mới)'!$D$3:$D$2213=$B726),5),"""")"),"")</f>
        <v/>
      </c>
      <c r="P726" s="25" t="str">
        <f>IFERROR(__xludf.DUMMYFUNCTION("IFERROR(INDEX(FILTER('Kế hoạch chèn link (mới)'!$B$3:$B$2213,'Kế hoạch chèn link (mới)'!$D$3:$D$2213=$B726),5),"""")"),"")</f>
        <v/>
      </c>
    </row>
    <row r="727">
      <c r="A727" s="6">
        <f t="shared" si="1"/>
        <v>726</v>
      </c>
      <c r="B727" s="8" t="s">
        <v>3361</v>
      </c>
      <c r="C727" s="6">
        <f>COUNTIF('Kế hoạch chèn link (mới)'!$D$3:$D$2213,$B727)</f>
        <v>1</v>
      </c>
      <c r="D727" s="8" t="str">
        <f>IF(COUNTIFS('Kế hoạch chèn link (mới)'!$D$3:$D$2213,$B727,'Kế hoạch chèn link (mới)'!$I$3:$I$2213,"Đã chèn")&gt;=$C727,"Đã hoàn thành",IF(COUNTIFS('Kế hoạch chèn link (mới)'!$D$3:$D$2213,$B727,'Kế hoạch chèn link (mới)'!$I$3:$I$2213,"Đã chèn")&gt;0,"Đang làm","Chưa hoàn thành"))</f>
        <v>Chưa hoàn thành</v>
      </c>
      <c r="E727" s="8" t="b">
        <f t="shared" si="2"/>
        <v>0</v>
      </c>
      <c r="F727" s="25"/>
      <c r="G727" s="25" t="str">
        <f>IFERROR(__xludf.DUMMYFUNCTION("IFERROR(INDEX(FILTER('Kế hoạch chèn link (mới)'!$C$3:$C$2213,'Kế hoạch chèn link (mới)'!$D$3:$D$2213=$B727),1),"""")"),"cách lấy voucher Traveloka")</f>
        <v>cách lấy voucher Traveloka</v>
      </c>
      <c r="H727" s="25" t="str">
        <f>IFERROR(__xludf.DUMMYFUNCTION("IFERROR(INDEX(FILTER('Kế hoạch chèn link (mới)'!$B$3:$B$2213,'Kế hoạch chèn link (mới)'!$D$3:$D$2213=$B727),1),"""")"),"https://techcombank.com/thong-tin/blog/traveloka-voucher")</f>
        <v>https://techcombank.com/thong-tin/blog/traveloka-voucher</v>
      </c>
      <c r="I727" s="25" t="str">
        <f>IFERROR(__xludf.DUMMYFUNCTION("IFERROR(INDEX(FILTER('Kế hoạch chèn link (mới)'!$C$3:$C$2213,'Kế hoạch chèn link (mới)'!$D$3:$D$2213=$B727),2),"""")"),"")</f>
        <v/>
      </c>
      <c r="J727" s="25" t="str">
        <f>IFERROR(__xludf.DUMMYFUNCTION("IFERROR(INDEX(FILTER('Kế hoạch chèn link (mới)'!$B$3:$B$2213,'Kế hoạch chèn link (mới)'!$D$3:$D$2213=$B727),2),"""")"),"")</f>
        <v/>
      </c>
      <c r="K727" s="25" t="str">
        <f>IFERROR(__xludf.DUMMYFUNCTION("IFERROR(INDEX(FILTER('Kế hoạch chèn link (mới)'!$C$3:$C$2213,'Kế hoạch chèn link (mới)'!$D$3:$D$2213=$B727),3),"""")"),"")</f>
        <v/>
      </c>
      <c r="L727" s="25" t="str">
        <f>IFERROR(__xludf.DUMMYFUNCTION("IFERROR(INDEX(FILTER('Kế hoạch chèn link (mới)'!$B$3:$B$2213,'Kế hoạch chèn link (mới)'!$D$3:$D$2213=$B727),3),"""")"),"")</f>
        <v/>
      </c>
      <c r="M727" s="25" t="str">
        <f>IFERROR(__xludf.DUMMYFUNCTION("IFERROR(INDEX(FILTER('Kế hoạch chèn link (mới)'!$C$3:$C$2213,'Kế hoạch chèn link (mới)'!$D$3:$D$2213=$B727),4),"""")"),"")</f>
        <v/>
      </c>
      <c r="N727" s="25" t="str">
        <f>IFERROR(__xludf.DUMMYFUNCTION("IFERROR(INDEX(FILTER('Kế hoạch chèn link (mới)'!$B$3:$B$2213,'Kế hoạch chèn link (mới)'!$D$3:$D$2213=$B727),4),"""")"),"")</f>
        <v/>
      </c>
      <c r="O727" s="25" t="str">
        <f>IFERROR(__xludf.DUMMYFUNCTION("IFERROR(INDEX(FILTER('Kế hoạch chèn link (mới)'!$C$3:$C$2213,'Kế hoạch chèn link (mới)'!$D$3:$D$2213=$B727),5),"""")"),"")</f>
        <v/>
      </c>
      <c r="P727" s="25" t="str">
        <f>IFERROR(__xludf.DUMMYFUNCTION("IFERROR(INDEX(FILTER('Kế hoạch chèn link (mới)'!$B$3:$B$2213,'Kế hoạch chèn link (mới)'!$D$3:$D$2213=$B727),5),"""")"),"")</f>
        <v/>
      </c>
    </row>
    <row r="728">
      <c r="A728" s="6">
        <f t="shared" si="1"/>
        <v>727</v>
      </c>
      <c r="B728" s="8" t="s">
        <v>3363</v>
      </c>
      <c r="C728" s="6">
        <f>COUNTIF('Kế hoạch chèn link (mới)'!$D$3:$D$2213,$B728)</f>
        <v>1</v>
      </c>
      <c r="D728" s="8" t="str">
        <f>IF(COUNTIFS('Kế hoạch chèn link (mới)'!$D$3:$D$2213,$B728,'Kế hoạch chèn link (mới)'!$I$3:$I$2213,"Đã chèn")&gt;=$C728,"Đã hoàn thành",IF(COUNTIFS('Kế hoạch chèn link (mới)'!$D$3:$D$2213,$B728,'Kế hoạch chèn link (mới)'!$I$3:$I$2213,"Đã chèn")&gt;0,"Đang làm","Chưa hoàn thành"))</f>
        <v>Chưa hoàn thành</v>
      </c>
      <c r="E728" s="8" t="b">
        <f t="shared" si="2"/>
        <v>0</v>
      </c>
      <c r="F728" s="25"/>
      <c r="G728" s="25" t="str">
        <f>IFERROR(__xludf.DUMMYFUNCTION("IFERROR(INDEX(FILTER('Kế hoạch chèn link (mới)'!$C$3:$C$2213,'Kế hoạch chèn link (mới)'!$D$3:$D$2213=$B728),1),"""")"),"cách lấy voucher Traveloka")</f>
        <v>cách lấy voucher Traveloka</v>
      </c>
      <c r="H728" s="25" t="str">
        <f>IFERROR(__xludf.DUMMYFUNCTION("IFERROR(INDEX(FILTER('Kế hoạch chèn link (mới)'!$B$3:$B$2213,'Kế hoạch chèn link (mới)'!$D$3:$D$2213=$B728),1),"""")"),"https://techcombank.com/thong-tin/blog/traveloka-voucher")</f>
        <v>https://techcombank.com/thong-tin/blog/traveloka-voucher</v>
      </c>
      <c r="I728" s="25" t="str">
        <f>IFERROR(__xludf.DUMMYFUNCTION("IFERROR(INDEX(FILTER('Kế hoạch chèn link (mới)'!$C$3:$C$2213,'Kế hoạch chèn link (mới)'!$D$3:$D$2213=$B728),2),"""")"),"")</f>
        <v/>
      </c>
      <c r="J728" s="25" t="str">
        <f>IFERROR(__xludf.DUMMYFUNCTION("IFERROR(INDEX(FILTER('Kế hoạch chèn link (mới)'!$B$3:$B$2213,'Kế hoạch chèn link (mới)'!$D$3:$D$2213=$B728),2),"""")"),"")</f>
        <v/>
      </c>
      <c r="K728" s="25" t="str">
        <f>IFERROR(__xludf.DUMMYFUNCTION("IFERROR(INDEX(FILTER('Kế hoạch chèn link (mới)'!$C$3:$C$2213,'Kế hoạch chèn link (mới)'!$D$3:$D$2213=$B728),3),"""")"),"")</f>
        <v/>
      </c>
      <c r="L728" s="25" t="str">
        <f>IFERROR(__xludf.DUMMYFUNCTION("IFERROR(INDEX(FILTER('Kế hoạch chèn link (mới)'!$B$3:$B$2213,'Kế hoạch chèn link (mới)'!$D$3:$D$2213=$B728),3),"""")"),"")</f>
        <v/>
      </c>
      <c r="M728" s="25" t="str">
        <f>IFERROR(__xludf.DUMMYFUNCTION("IFERROR(INDEX(FILTER('Kế hoạch chèn link (mới)'!$C$3:$C$2213,'Kế hoạch chèn link (mới)'!$D$3:$D$2213=$B728),4),"""")"),"")</f>
        <v/>
      </c>
      <c r="N728" s="25" t="str">
        <f>IFERROR(__xludf.DUMMYFUNCTION("IFERROR(INDEX(FILTER('Kế hoạch chèn link (mới)'!$B$3:$B$2213,'Kế hoạch chèn link (mới)'!$D$3:$D$2213=$B728),4),"""")"),"")</f>
        <v/>
      </c>
      <c r="O728" s="25" t="str">
        <f>IFERROR(__xludf.DUMMYFUNCTION("IFERROR(INDEX(FILTER('Kế hoạch chèn link (mới)'!$C$3:$C$2213,'Kế hoạch chèn link (mới)'!$D$3:$D$2213=$B728),5),"""")"),"")</f>
        <v/>
      </c>
      <c r="P728" s="25" t="str">
        <f>IFERROR(__xludf.DUMMYFUNCTION("IFERROR(INDEX(FILTER('Kế hoạch chèn link (mới)'!$B$3:$B$2213,'Kế hoạch chèn link (mới)'!$D$3:$D$2213=$B728),5),"""")"),"")</f>
        <v/>
      </c>
    </row>
    <row r="729">
      <c r="A729" s="6">
        <f t="shared" si="1"/>
        <v>728</v>
      </c>
      <c r="B729" s="8" t="s">
        <v>746</v>
      </c>
      <c r="C729" s="6">
        <f>COUNTIF('Kế hoạch chèn link (mới)'!$D$3:$D$2213,$B729)</f>
        <v>2</v>
      </c>
      <c r="D729" s="8" t="str">
        <f>IF(COUNTIFS('Kế hoạch chèn link (mới)'!$D$3:$D$2213,$B729,'Kế hoạch chèn link (mới)'!$I$3:$I$2213,"Đã chèn")&gt;=$C729,"Đã hoàn thành",IF(COUNTIFS('Kế hoạch chèn link (mới)'!$D$3:$D$2213,$B729,'Kế hoạch chèn link (mới)'!$I$3:$I$2213,"Đã chèn")&gt;0,"Đang làm","Chưa hoàn thành"))</f>
        <v>Chưa hoàn thành</v>
      </c>
      <c r="E729" s="8" t="b">
        <f t="shared" si="2"/>
        <v>0</v>
      </c>
      <c r="F729" s="25"/>
      <c r="G729" s="25" t="str">
        <f>IFERROR(__xludf.DUMMYFUNCTION("IFERROR(INDEX(FILTER('Kế hoạch chèn link (mới)'!$C$3:$C$2213,'Kế hoạch chèn link (mới)'!$D$3:$D$2213=$B729),1),"""")"),"thuế thu nhập doanh nghiệp")</f>
        <v>thuế thu nhập doanh nghiệp</v>
      </c>
      <c r="H729" s="25" t="str">
        <f>IFERROR(__xludf.DUMMYFUNCTION("IFERROR(INDEX(FILTER('Kế hoạch chèn link (mới)'!$B$3:$B$2213,'Kế hoạch chèn link (mới)'!$D$3:$D$2213=$B729),1),"""")"),"https://techcombank.com/thong-tin/blog/thue-thu-nhap-doanh-nghiep")</f>
        <v>https://techcombank.com/thong-tin/blog/thue-thu-nhap-doanh-nghiep</v>
      </c>
      <c r="I729" s="25" t="str">
        <f>IFERROR(__xludf.DUMMYFUNCTION("IFERROR(INDEX(FILTER('Kế hoạch chèn link (mới)'!$C$3:$C$2213,'Kế hoạch chèn link (mới)'!$D$3:$D$2213=$B729),2),"""")"),"công thức tính thuế TNDN")</f>
        <v>công thức tính thuế TNDN</v>
      </c>
      <c r="J729" s="25" t="str">
        <f>IFERROR(__xludf.DUMMYFUNCTION("IFERROR(INDEX(FILTER('Kế hoạch chèn link (mới)'!$B$3:$B$2213,'Kế hoạch chèn link (mới)'!$D$3:$D$2213=$B729),2),"""")"),"https://techcombank.com/thong-tin/blog/cach-tinh-thue-thu-nhap-doanh-nghiep")</f>
        <v>https://techcombank.com/thong-tin/blog/cach-tinh-thue-thu-nhap-doanh-nghiep</v>
      </c>
      <c r="K729" s="25" t="str">
        <f>IFERROR(__xludf.DUMMYFUNCTION("IFERROR(INDEX(FILTER('Kế hoạch chèn link (mới)'!$C$3:$C$2213,'Kế hoạch chèn link (mới)'!$D$3:$D$2213=$B729),3),"""")"),"")</f>
        <v/>
      </c>
      <c r="L729" s="25" t="str">
        <f>IFERROR(__xludf.DUMMYFUNCTION("IFERROR(INDEX(FILTER('Kế hoạch chèn link (mới)'!$B$3:$B$2213,'Kế hoạch chèn link (mới)'!$D$3:$D$2213=$B729),3),"""")"),"")</f>
        <v/>
      </c>
      <c r="M729" s="25" t="str">
        <f>IFERROR(__xludf.DUMMYFUNCTION("IFERROR(INDEX(FILTER('Kế hoạch chèn link (mới)'!$C$3:$C$2213,'Kế hoạch chèn link (mới)'!$D$3:$D$2213=$B729),4),"""")"),"")</f>
        <v/>
      </c>
      <c r="N729" s="25" t="str">
        <f>IFERROR(__xludf.DUMMYFUNCTION("IFERROR(INDEX(FILTER('Kế hoạch chèn link (mới)'!$B$3:$B$2213,'Kế hoạch chèn link (mới)'!$D$3:$D$2213=$B729),4),"""")"),"")</f>
        <v/>
      </c>
      <c r="O729" s="25" t="str">
        <f>IFERROR(__xludf.DUMMYFUNCTION("IFERROR(INDEX(FILTER('Kế hoạch chèn link (mới)'!$C$3:$C$2213,'Kế hoạch chèn link (mới)'!$D$3:$D$2213=$B729),5),"""")"),"")</f>
        <v/>
      </c>
      <c r="P729" s="25" t="str">
        <f>IFERROR(__xludf.DUMMYFUNCTION("IFERROR(INDEX(FILTER('Kế hoạch chèn link (mới)'!$B$3:$B$2213,'Kế hoạch chèn link (mới)'!$D$3:$D$2213=$B729),5),"""")"),"")</f>
        <v/>
      </c>
    </row>
    <row r="730">
      <c r="A730" s="6">
        <f t="shared" si="1"/>
        <v>729</v>
      </c>
      <c r="B730" s="8" t="s">
        <v>1742</v>
      </c>
      <c r="C730" s="6">
        <f>COUNTIF('Kế hoạch chèn link (mới)'!$D$3:$D$2213,$B730)</f>
        <v>4</v>
      </c>
      <c r="D730" s="8" t="str">
        <f>IF(COUNTIFS('Kế hoạch chèn link (mới)'!$D$3:$D$2213,$B730,'Kế hoạch chèn link (mới)'!$I$3:$I$2213,"Đã chèn")&gt;=$C730,"Đã hoàn thành",IF(COUNTIFS('Kế hoạch chèn link (mới)'!$D$3:$D$2213,$B730,'Kế hoạch chèn link (mới)'!$I$3:$I$2213,"Đã chèn")&gt;0,"Đang làm","Chưa hoàn thành"))</f>
        <v>Chưa hoàn thành</v>
      </c>
      <c r="E730" s="8" t="b">
        <f t="shared" si="2"/>
        <v>0</v>
      </c>
      <c r="F730" s="25"/>
      <c r="G730" s="25" t="str">
        <f>IFERROR(__xludf.DUMMYFUNCTION("IFERROR(INDEX(FILTER('Kế hoạch chèn link (mới)'!$C$3:$C$2213,'Kế hoạch chèn link (mới)'!$D$3:$D$2213=$B730),1),"""")"),"mở tài khoản ngân hàng online")</f>
        <v>mở tài khoản ngân hàng online</v>
      </c>
      <c r="H730" s="25" t="str">
        <f>IFERROR(__xludf.DUMMYFUNCTION("IFERROR(INDEX(FILTER('Kế hoạch chèn link (mới)'!$B$3:$B$2213,'Kế hoạch chèn link (mới)'!$D$3:$D$2213=$B730),1),"""")"),"https://techcombank.com/thong-tin/blog/cach-mo-tai-khoan")</f>
        <v>https://techcombank.com/thong-tin/blog/cach-mo-tai-khoan</v>
      </c>
      <c r="I730" s="25" t="str">
        <f>IFERROR(__xludf.DUMMYFUNCTION("IFERROR(INDEX(FILTER('Kế hoạch chèn link (mới)'!$C$3:$C$2213,'Kế hoạch chèn link (mới)'!$D$3:$D$2213=$B730),2),"""")"),"tiền chuyển khoản bị treo")</f>
        <v>tiền chuyển khoản bị treo</v>
      </c>
      <c r="J730" s="25" t="str">
        <f>IFERROR(__xludf.DUMMYFUNCTION("IFERROR(INDEX(FILTER('Kế hoạch chèn link (mới)'!$B$3:$B$2213,'Kế hoạch chèn link (mới)'!$D$3:$D$2213=$B730),2),"""")"),"https://techcombank.com/thong-tin/blog/chuyen-khoan-thanh-cong-nhung-khong-nhan-duoc-tien")</f>
        <v>https://techcombank.com/thong-tin/blog/chuyen-khoan-thanh-cong-nhung-khong-nhan-duoc-tien</v>
      </c>
      <c r="K730" s="25" t="str">
        <f>IFERROR(__xludf.DUMMYFUNCTION("IFERROR(INDEX(FILTER('Kế hoạch chèn link (mới)'!$C$3:$C$2213,'Kế hoạch chèn link (mới)'!$D$3:$D$2213=$B730),3),"""")"),"mở tài khoản ngân hàng cho học sinh")</f>
        <v>mở tài khoản ngân hàng cho học sinh</v>
      </c>
      <c r="L730" s="25" t="str">
        <f>IFERROR(__xludf.DUMMYFUNCTION("IFERROR(INDEX(FILTER('Kế hoạch chèn link (mới)'!$B$3:$B$2213,'Kế hoạch chèn link (mới)'!$D$3:$D$2213=$B730),3),"""")"),"https://techcombank.com/thong-tin/blog/mo-tai-khoan-ngan-hang-duoi-18-tuoi")</f>
        <v>https://techcombank.com/thong-tin/blog/mo-tai-khoan-ngan-hang-duoi-18-tuoi</v>
      </c>
      <c r="M730" s="25" t="str">
        <f>IFERROR(__xludf.DUMMYFUNCTION("IFERROR(INDEX(FILTER('Kế hoạch chèn link (mới)'!$C$3:$C$2213,'Kế hoạch chèn link (mới)'!$D$3:$D$2213=$B730),4),"""")"),"quét NFC CCCD")</f>
        <v>quét NFC CCCD</v>
      </c>
      <c r="N730" s="25" t="str">
        <f>IFERROR(__xludf.DUMMYFUNCTION("IFERROR(INDEX(FILTER('Kế hoạch chèn link (mới)'!$B$3:$B$2213,'Kế hoạch chèn link (mới)'!$D$3:$D$2213=$B730),4),"""")"),"https://techcombank.com/thong-tin/blog/cach-quet-nfc-cccd-tren-iphone")</f>
        <v>https://techcombank.com/thong-tin/blog/cach-quet-nfc-cccd-tren-iphone</v>
      </c>
      <c r="O730" s="25" t="str">
        <f>IFERROR(__xludf.DUMMYFUNCTION("IFERROR(INDEX(FILTER('Kế hoạch chèn link (mới)'!$C$3:$C$2213,'Kế hoạch chèn link (mới)'!$D$3:$D$2213=$B730),5),"""")"),"")</f>
        <v/>
      </c>
      <c r="P730" s="25" t="str">
        <f>IFERROR(__xludf.DUMMYFUNCTION("IFERROR(INDEX(FILTER('Kế hoạch chèn link (mới)'!$B$3:$B$2213,'Kế hoạch chèn link (mới)'!$D$3:$D$2213=$B730),5),"""")"),"")</f>
        <v/>
      </c>
    </row>
    <row r="731">
      <c r="A731" s="6">
        <f t="shared" si="1"/>
        <v>730</v>
      </c>
      <c r="B731" s="8" t="s">
        <v>934</v>
      </c>
      <c r="C731" s="6">
        <f>COUNTIF('Kế hoạch chèn link (mới)'!$D$3:$D$2213,$B731)</f>
        <v>3</v>
      </c>
      <c r="D731" s="8" t="str">
        <f>IF(COUNTIFS('Kế hoạch chèn link (mới)'!$D$3:$D$2213,$B731,'Kế hoạch chèn link (mới)'!$I$3:$I$2213,"Đã chèn")&gt;=$C731,"Đã hoàn thành",IF(COUNTIFS('Kế hoạch chèn link (mới)'!$D$3:$D$2213,$B731,'Kế hoạch chèn link (mới)'!$I$3:$I$2213,"Đã chèn")&gt;0,"Đang làm","Chưa hoàn thành"))</f>
        <v>Chưa hoàn thành</v>
      </c>
      <c r="E731" s="8" t="b">
        <f t="shared" si="2"/>
        <v>0</v>
      </c>
      <c r="F731" s="25"/>
      <c r="G731" s="25" t="str">
        <f>IFERROR(__xludf.DUMMYFUNCTION("IFERROR(INDEX(FILTER('Kế hoạch chèn link (mới)'!$C$3:$C$2213,'Kế hoạch chèn link (mới)'!$D$3:$D$2213=$B731),1),"""")"),"tra cứu cic")</f>
        <v>tra cứu cic</v>
      </c>
      <c r="H731" s="25" t="str">
        <f>IFERROR(__xludf.DUMMYFUNCTION("IFERROR(INDEX(FILTER('Kế hoạch chèn link (mới)'!$B$3:$B$2213,'Kế hoạch chèn link (mới)'!$D$3:$D$2213=$B731),1),"""")"),"https://techcombank.com/thong-tin/blog/cic-la-gi")</f>
        <v>https://techcombank.com/thong-tin/blog/cic-la-gi</v>
      </c>
      <c r="I731" s="25" t="str">
        <f>IFERROR(__xludf.DUMMYFUNCTION("IFERROR(INDEX(FILTER('Kế hoạch chèn link (mới)'!$C$3:$C$2213,'Kế hoạch chèn link (mới)'!$D$3:$D$2213=$B731),2),"""")"),"tính lãi suất vay ngân hàng")</f>
        <v>tính lãi suất vay ngân hàng</v>
      </c>
      <c r="J731" s="25" t="str">
        <f>IFERROR(__xludf.DUMMYFUNCTION("IFERROR(INDEX(FILTER('Kế hoạch chèn link (mới)'!$B$3:$B$2213,'Kế hoạch chèn link (mới)'!$D$3:$D$2213=$B731),2),"""")"),"https://techcombank.com/cong-cu-tien-ich/cong-cu-tinh-toan/bang-tinh-lai-suat-vay")</f>
        <v>https://techcombank.com/cong-cu-tien-ich/cong-cu-tinh-toan/bang-tinh-lai-suat-vay</v>
      </c>
      <c r="K731" s="25" t="str">
        <f>IFERROR(__xludf.DUMMYFUNCTION("IFERROR(INDEX(FILTER('Kế hoạch chèn link (mới)'!$C$3:$C$2213,'Kế hoạch chèn link (mới)'!$D$3:$D$2213=$B731),3),"""")"),"lãi suất vay ngân hàng")</f>
        <v>lãi suất vay ngân hàng</v>
      </c>
      <c r="L731" s="25" t="str">
        <f>IFERROR(__xludf.DUMMYFUNCTION("IFERROR(INDEX(FILTER('Kế hoạch chèn link (mới)'!$B$3:$B$2213,'Kế hoạch chèn link (mới)'!$D$3:$D$2213=$B731),3),"""")"),"https://techcombank.com/thong-tin/blog/lai-suat-vay-ngan-hang")</f>
        <v>https://techcombank.com/thong-tin/blog/lai-suat-vay-ngan-hang</v>
      </c>
      <c r="M731" s="25" t="str">
        <f>IFERROR(__xludf.DUMMYFUNCTION("IFERROR(INDEX(FILTER('Kế hoạch chèn link (mới)'!$C$3:$C$2213,'Kế hoạch chèn link (mới)'!$D$3:$D$2213=$B731),4),"""")"),"")</f>
        <v/>
      </c>
      <c r="N731" s="25" t="str">
        <f>IFERROR(__xludf.DUMMYFUNCTION("IFERROR(INDEX(FILTER('Kế hoạch chèn link (mới)'!$B$3:$B$2213,'Kế hoạch chèn link (mới)'!$D$3:$D$2213=$B731),4),"""")"),"")</f>
        <v/>
      </c>
      <c r="O731" s="25" t="str">
        <f>IFERROR(__xludf.DUMMYFUNCTION("IFERROR(INDEX(FILTER('Kế hoạch chèn link (mới)'!$C$3:$C$2213,'Kế hoạch chèn link (mới)'!$D$3:$D$2213=$B731),5),"""")"),"")</f>
        <v/>
      </c>
      <c r="P731" s="25" t="str">
        <f>IFERROR(__xludf.DUMMYFUNCTION("IFERROR(INDEX(FILTER('Kế hoạch chèn link (mới)'!$B$3:$B$2213,'Kế hoạch chèn link (mới)'!$D$3:$D$2213=$B731),5),"""")"),"")</f>
        <v/>
      </c>
    </row>
    <row r="732">
      <c r="A732" s="6">
        <f t="shared" si="1"/>
        <v>731</v>
      </c>
      <c r="B732" s="8" t="s">
        <v>3364</v>
      </c>
      <c r="C732" s="6">
        <f>COUNTIF('Kế hoạch chèn link (mới)'!$D$3:$D$2213,$B732)</f>
        <v>2</v>
      </c>
      <c r="D732" s="8" t="str">
        <f>IF(COUNTIFS('Kế hoạch chèn link (mới)'!$D$3:$D$2213,$B732,'Kế hoạch chèn link (mới)'!$I$3:$I$2213,"Đã chèn")&gt;=$C732,"Đã hoàn thành",IF(COUNTIFS('Kế hoạch chèn link (mới)'!$D$3:$D$2213,$B732,'Kế hoạch chèn link (mới)'!$I$3:$I$2213,"Đã chèn")&gt;0,"Đang làm","Chưa hoàn thành"))</f>
        <v>Chưa hoàn thành</v>
      </c>
      <c r="E732" s="8" t="b">
        <f t="shared" si="2"/>
        <v>0</v>
      </c>
      <c r="F732" s="25"/>
      <c r="G732" s="25" t="str">
        <f>IFERROR(__xludf.DUMMYFUNCTION("IFERROR(INDEX(FILTER('Kế hoạch chèn link (mới)'!$C$3:$C$2213,'Kế hoạch chèn link (mới)'!$D$3:$D$2213=$B732),1),"""")"),"lãi suất gửi tiết kiệm ngân hàng")</f>
        <v>lãi suất gửi tiết kiệm ngân hàng</v>
      </c>
      <c r="H732" s="25" t="str">
        <f>IFERROR(__xludf.DUMMYFUNCTION("IFERROR(INDEX(FILTER('Kế hoạch chèn link (mới)'!$B$3:$B$2213,'Kế hoạch chèn link (mới)'!$D$3:$D$2213=$B732),1),"""")"),"https://techcombank.com/thong-tin/blog/lai-suat-tiet-kiem")</f>
        <v>https://techcombank.com/thong-tin/blog/lai-suat-tiet-kiem</v>
      </c>
      <c r="I732" s="25" t="str">
        <f>IFERROR(__xludf.DUMMYFUNCTION("IFERROR(INDEX(FILTER('Kế hoạch chèn link (mới)'!$C$3:$C$2213,'Kế hoạch chèn link (mới)'!$D$3:$D$2213=$B732),2),"""")"),"bảng tính lãi suất tiết kiệm")</f>
        <v>bảng tính lãi suất tiết kiệm</v>
      </c>
      <c r="J732" s="25" t="str">
        <f>IFERROR(__xludf.DUMMYFUNCTION("IFERROR(INDEX(FILTER('Kế hoạch chèn link (mới)'!$B$3:$B$2213,'Kế hoạch chèn link (mới)'!$D$3:$D$2213=$B732),2),"""")"),"https://techcombank.com/cong-cu-tien-ich/cong-cu-tinh-toan/bang-tinh-lai-suat-tiet-kiem")</f>
        <v>https://techcombank.com/cong-cu-tien-ich/cong-cu-tinh-toan/bang-tinh-lai-suat-tiet-kiem</v>
      </c>
      <c r="K732" s="25" t="str">
        <f>IFERROR(__xludf.DUMMYFUNCTION("IFERROR(INDEX(FILTER('Kế hoạch chèn link (mới)'!$C$3:$C$2213,'Kế hoạch chèn link (mới)'!$D$3:$D$2213=$B732),3),"""")"),"")</f>
        <v/>
      </c>
      <c r="L732" s="25" t="str">
        <f>IFERROR(__xludf.DUMMYFUNCTION("IFERROR(INDEX(FILTER('Kế hoạch chèn link (mới)'!$B$3:$B$2213,'Kế hoạch chèn link (mới)'!$D$3:$D$2213=$B732),3),"""")"),"")</f>
        <v/>
      </c>
      <c r="M732" s="25" t="str">
        <f>IFERROR(__xludf.DUMMYFUNCTION("IFERROR(INDEX(FILTER('Kế hoạch chèn link (mới)'!$C$3:$C$2213,'Kế hoạch chèn link (mới)'!$D$3:$D$2213=$B732),4),"""")"),"")</f>
        <v/>
      </c>
      <c r="N732" s="25" t="str">
        <f>IFERROR(__xludf.DUMMYFUNCTION("IFERROR(INDEX(FILTER('Kế hoạch chèn link (mới)'!$B$3:$B$2213,'Kế hoạch chèn link (mới)'!$D$3:$D$2213=$B732),4),"""")"),"")</f>
        <v/>
      </c>
      <c r="O732" s="25" t="str">
        <f>IFERROR(__xludf.DUMMYFUNCTION("IFERROR(INDEX(FILTER('Kế hoạch chèn link (mới)'!$C$3:$C$2213,'Kế hoạch chèn link (mới)'!$D$3:$D$2213=$B732),5),"""")"),"")</f>
        <v/>
      </c>
      <c r="P732" s="25" t="str">
        <f>IFERROR(__xludf.DUMMYFUNCTION("IFERROR(INDEX(FILTER('Kế hoạch chèn link (mới)'!$B$3:$B$2213,'Kế hoạch chèn link (mới)'!$D$3:$D$2213=$B732),5),"""")"),"")</f>
        <v/>
      </c>
    </row>
    <row r="733">
      <c r="A733" s="6">
        <f t="shared" si="1"/>
        <v>732</v>
      </c>
      <c r="B733" s="8" t="s">
        <v>3228</v>
      </c>
      <c r="C733" s="6">
        <f>COUNTIF('Kế hoạch chèn link (mới)'!$D$3:$D$2213,$B733)</f>
        <v>1</v>
      </c>
      <c r="D733" s="8" t="str">
        <f>IF(COUNTIFS('Kế hoạch chèn link (mới)'!$D$3:$D$2213,$B733,'Kế hoạch chèn link (mới)'!$I$3:$I$2213,"Đã chèn")&gt;=$C733,"Đã hoàn thành",IF(COUNTIFS('Kế hoạch chèn link (mới)'!$D$3:$D$2213,$B733,'Kế hoạch chèn link (mới)'!$I$3:$I$2213,"Đã chèn")&gt;0,"Đang làm","Chưa hoàn thành"))</f>
        <v>Chưa hoàn thành</v>
      </c>
      <c r="E733" s="8" t="b">
        <f t="shared" si="2"/>
        <v>0</v>
      </c>
      <c r="F733" s="25"/>
      <c r="G733" s="25" t="str">
        <f>IFERROR(__xludf.DUMMYFUNCTION("IFERROR(INDEX(FILTER('Kế hoạch chèn link (mới)'!$C$3:$C$2213,'Kế hoạch chèn link (mới)'!$D$3:$D$2213=$B733),1),"""")"),"thẻ Eco")</f>
        <v>thẻ Eco</v>
      </c>
      <c r="H733" s="25" t="str">
        <f>IFERROR(__xludf.DUMMYFUNCTION("IFERROR(INDEX(FILTER('Kế hoạch chèn link (mới)'!$B$3:$B$2213,'Kế hoạch chèn link (mới)'!$D$3:$D$2213=$B733),1),"""")"),"https://techcombank.com/thong-tin/blog/eco-card")</f>
        <v>https://techcombank.com/thong-tin/blog/eco-card</v>
      </c>
      <c r="I733" s="25" t="str">
        <f>IFERROR(__xludf.DUMMYFUNCTION("IFERROR(INDEX(FILTER('Kế hoạch chèn link (mới)'!$C$3:$C$2213,'Kế hoạch chèn link (mới)'!$D$3:$D$2213=$B733),2),"""")"),"")</f>
        <v/>
      </c>
      <c r="J733" s="25" t="str">
        <f>IFERROR(__xludf.DUMMYFUNCTION("IFERROR(INDEX(FILTER('Kế hoạch chèn link (mới)'!$B$3:$B$2213,'Kế hoạch chèn link (mới)'!$D$3:$D$2213=$B733),2),"""")"),"")</f>
        <v/>
      </c>
      <c r="K733" s="25" t="str">
        <f>IFERROR(__xludf.DUMMYFUNCTION("IFERROR(INDEX(FILTER('Kế hoạch chèn link (mới)'!$C$3:$C$2213,'Kế hoạch chèn link (mới)'!$D$3:$D$2213=$B733),3),"""")"),"")</f>
        <v/>
      </c>
      <c r="L733" s="25" t="str">
        <f>IFERROR(__xludf.DUMMYFUNCTION("IFERROR(INDEX(FILTER('Kế hoạch chèn link (mới)'!$B$3:$B$2213,'Kế hoạch chèn link (mới)'!$D$3:$D$2213=$B733),3),"""")"),"")</f>
        <v/>
      </c>
      <c r="M733" s="25" t="str">
        <f>IFERROR(__xludf.DUMMYFUNCTION("IFERROR(INDEX(FILTER('Kế hoạch chèn link (mới)'!$C$3:$C$2213,'Kế hoạch chèn link (mới)'!$D$3:$D$2213=$B733),4),"""")"),"")</f>
        <v/>
      </c>
      <c r="N733" s="25" t="str">
        <f>IFERROR(__xludf.DUMMYFUNCTION("IFERROR(INDEX(FILTER('Kế hoạch chèn link (mới)'!$B$3:$B$2213,'Kế hoạch chèn link (mới)'!$D$3:$D$2213=$B733),4),"""")"),"")</f>
        <v/>
      </c>
      <c r="O733" s="25" t="str">
        <f>IFERROR(__xludf.DUMMYFUNCTION("IFERROR(INDEX(FILTER('Kế hoạch chèn link (mới)'!$C$3:$C$2213,'Kế hoạch chèn link (mới)'!$D$3:$D$2213=$B733),5),"""")"),"")</f>
        <v/>
      </c>
      <c r="P733" s="25" t="str">
        <f>IFERROR(__xludf.DUMMYFUNCTION("IFERROR(INDEX(FILTER('Kế hoạch chèn link (mới)'!$B$3:$B$2213,'Kế hoạch chèn link (mới)'!$D$3:$D$2213=$B733),5),"""")"),"")</f>
        <v/>
      </c>
    </row>
    <row r="734">
      <c r="A734" s="6">
        <f t="shared" si="1"/>
        <v>733</v>
      </c>
      <c r="B734" s="8" t="s">
        <v>3365</v>
      </c>
      <c r="C734" s="6">
        <f>COUNTIF('Kế hoạch chèn link (mới)'!$D$3:$D$2213,$B734)</f>
        <v>3</v>
      </c>
      <c r="D734" s="8" t="str">
        <f>IF(COUNTIFS('Kế hoạch chèn link (mới)'!$D$3:$D$2213,$B734,'Kế hoạch chèn link (mới)'!$I$3:$I$2213,"Đã chèn")&gt;=$C734,"Đã hoàn thành",IF(COUNTIFS('Kế hoạch chèn link (mới)'!$D$3:$D$2213,$B734,'Kế hoạch chèn link (mới)'!$I$3:$I$2213,"Đã chèn")&gt;0,"Đang làm","Chưa hoàn thành"))</f>
        <v>Chưa hoàn thành</v>
      </c>
      <c r="E734" s="8" t="b">
        <f t="shared" si="2"/>
        <v>0</v>
      </c>
      <c r="F734" s="25"/>
      <c r="G734" s="25" t="str">
        <f>IFERROR(__xludf.DUMMYFUNCTION("IFERROR(INDEX(FILTER('Kế hoạch chèn link (mới)'!$C$3:$C$2213,'Kế hoạch chèn link (mới)'!$D$3:$D$2213=$B734),1),"""")"),"tỷ giá USD/VND")</f>
        <v>tỷ giá USD/VND</v>
      </c>
      <c r="H734" s="25" t="str">
        <f>IFERROR(__xludf.DUMMYFUNCTION("IFERROR(INDEX(FILTER('Kế hoạch chèn link (mới)'!$B$3:$B$2213,'Kế hoạch chèn link (mới)'!$D$3:$D$2213=$B734),1),"""")"),"https://techcombank.com/thong-tin/blog/1-dong-do-la-my-bang-bao-nhieu-tien-viet-nam")</f>
        <v>https://techcombank.com/thong-tin/blog/1-dong-do-la-my-bang-bao-nhieu-tien-viet-nam</v>
      </c>
      <c r="I734" s="25" t="str">
        <f>IFERROR(__xludf.DUMMYFUNCTION("IFERROR(INDEX(FILTER('Kế hoạch chèn link (mới)'!$C$3:$C$2213,'Kế hoạch chèn link (mới)'!$D$3:$D$2213=$B734),2),"""")"),"1 triệu đô bằng bao nhiêu tiền Việt")</f>
        <v>1 triệu đô bằng bao nhiêu tiền Việt</v>
      </c>
      <c r="J734" s="25" t="str">
        <f>IFERROR(__xludf.DUMMYFUNCTION("IFERROR(INDEX(FILTER('Kế hoạch chèn link (mới)'!$B$3:$B$2213,'Kế hoạch chèn link (mới)'!$D$3:$D$2213=$B734),2),"""")"),"https://techcombank.com/thong-tin/blog/1-trieu-do-bang-bao-nhieu-tien-viet")</f>
        <v>https://techcombank.com/thong-tin/blog/1-trieu-do-bang-bao-nhieu-tien-viet</v>
      </c>
      <c r="K734" s="25" t="str">
        <f>IFERROR(__xludf.DUMMYFUNCTION("IFERROR(INDEX(FILTER('Kế hoạch chèn link (mới)'!$C$3:$C$2213,'Kế hoạch chèn link (mới)'!$D$3:$D$2213=$B734),3),"""")"),"nhận kiều hối")</f>
        <v>nhận kiều hối</v>
      </c>
      <c r="L734" s="25" t="str">
        <f>IFERROR(__xludf.DUMMYFUNCTION("IFERROR(INDEX(FILTER('Kế hoạch chèn link (mới)'!$B$3:$B$2213,'Kế hoạch chèn link (mới)'!$D$3:$D$2213=$B734),3),"""")"),"https://techcombank.com/thong-tin/blog/cach-nhan-tien-tu-nuoc-ngoai-ve-viet-nam")</f>
        <v>https://techcombank.com/thong-tin/blog/cach-nhan-tien-tu-nuoc-ngoai-ve-viet-nam</v>
      </c>
      <c r="M734" s="25" t="str">
        <f>IFERROR(__xludf.DUMMYFUNCTION("IFERROR(INDEX(FILTER('Kế hoạch chèn link (mới)'!$C$3:$C$2213,'Kế hoạch chèn link (mới)'!$D$3:$D$2213=$B734),4),"""")"),"")</f>
        <v/>
      </c>
      <c r="N734" s="25" t="str">
        <f>IFERROR(__xludf.DUMMYFUNCTION("IFERROR(INDEX(FILTER('Kế hoạch chèn link (mới)'!$B$3:$B$2213,'Kế hoạch chèn link (mới)'!$D$3:$D$2213=$B734),4),"""")"),"")</f>
        <v/>
      </c>
      <c r="O734" s="25" t="str">
        <f>IFERROR(__xludf.DUMMYFUNCTION("IFERROR(INDEX(FILTER('Kế hoạch chèn link (mới)'!$C$3:$C$2213,'Kế hoạch chèn link (mới)'!$D$3:$D$2213=$B734),5),"""")"),"")</f>
        <v/>
      </c>
      <c r="P734" s="25" t="str">
        <f>IFERROR(__xludf.DUMMYFUNCTION("IFERROR(INDEX(FILTER('Kế hoạch chèn link (mới)'!$B$3:$B$2213,'Kế hoạch chèn link (mới)'!$D$3:$D$2213=$B734),5),"""")"),"")</f>
        <v/>
      </c>
    </row>
    <row r="735">
      <c r="A735" s="6">
        <f t="shared" si="1"/>
        <v>734</v>
      </c>
      <c r="B735" s="8" t="s">
        <v>2468</v>
      </c>
      <c r="C735" s="6">
        <f>COUNTIF('Kế hoạch chèn link (mới)'!$D$3:$D$2213,$B735)</f>
        <v>1</v>
      </c>
      <c r="D735" s="8" t="str">
        <f>IF(COUNTIFS('Kế hoạch chèn link (mới)'!$D$3:$D$2213,$B735,'Kế hoạch chèn link (mới)'!$I$3:$I$2213,"Đã chèn")&gt;=$C735,"Đã hoàn thành",IF(COUNTIFS('Kế hoạch chèn link (mới)'!$D$3:$D$2213,$B735,'Kế hoạch chèn link (mới)'!$I$3:$I$2213,"Đã chèn")&gt;0,"Đang làm","Chưa hoàn thành"))</f>
        <v>Chưa hoàn thành</v>
      </c>
      <c r="E735" s="8" t="b">
        <f t="shared" si="2"/>
        <v>0</v>
      </c>
      <c r="F735" s="25"/>
      <c r="G735" s="25" t="str">
        <f>IFERROR(__xludf.DUMMYFUNCTION("IFERROR(INDEX(FILTER('Kế hoạch chèn link (mới)'!$C$3:$C$2213,'Kế hoạch chèn link (mới)'!$D$3:$D$2213=$B735),1),"""")"),"dãy số phát tài phát lộc")</f>
        <v>dãy số phát tài phát lộc</v>
      </c>
      <c r="H735" s="59" t="str">
        <f>IFERROR(__xludf.DUMMYFUNCTION("IFERROR(INDEX(FILTER('Kế hoạch chèn link (mới)'!$B$3:$B$2213,'Kế hoạch chèn link (mới)'!$D$3:$D$2213=$B735),1),"""")"),"https://techcombank.com/thong-tin/blog/day-so-phat-tai-phat-loc")</f>
        <v>https://techcombank.com/thong-tin/blog/day-so-phat-tai-phat-loc</v>
      </c>
      <c r="I735" s="25" t="str">
        <f>IFERROR(__xludf.DUMMYFUNCTION("IFERROR(INDEX(FILTER('Kế hoạch chèn link (mới)'!$C$3:$C$2213,'Kế hoạch chèn link (mới)'!$D$3:$D$2213=$B735),2),"""")"),"")</f>
        <v/>
      </c>
      <c r="J735" s="25" t="str">
        <f>IFERROR(__xludf.DUMMYFUNCTION("IFERROR(INDEX(FILTER('Kế hoạch chèn link (mới)'!$B$3:$B$2213,'Kế hoạch chèn link (mới)'!$D$3:$D$2213=$B735),2),"""")"),"")</f>
        <v/>
      </c>
      <c r="K735" s="25" t="str">
        <f>IFERROR(__xludf.DUMMYFUNCTION("IFERROR(INDEX(FILTER('Kế hoạch chèn link (mới)'!$C$3:$C$2213,'Kế hoạch chèn link (mới)'!$D$3:$D$2213=$B735),3),"""")"),"")</f>
        <v/>
      </c>
      <c r="L735" s="25" t="str">
        <f>IFERROR(__xludf.DUMMYFUNCTION("IFERROR(INDEX(FILTER('Kế hoạch chèn link (mới)'!$B$3:$B$2213,'Kế hoạch chèn link (mới)'!$D$3:$D$2213=$B735),3),"""")"),"")</f>
        <v/>
      </c>
      <c r="M735" s="25" t="str">
        <f>IFERROR(__xludf.DUMMYFUNCTION("IFERROR(INDEX(FILTER('Kế hoạch chèn link (mới)'!$C$3:$C$2213,'Kế hoạch chèn link (mới)'!$D$3:$D$2213=$B735),4),"""")"),"")</f>
        <v/>
      </c>
      <c r="N735" s="25" t="str">
        <f>IFERROR(__xludf.DUMMYFUNCTION("IFERROR(INDEX(FILTER('Kế hoạch chèn link (mới)'!$B$3:$B$2213,'Kế hoạch chèn link (mới)'!$D$3:$D$2213=$B735),4),"""")"),"")</f>
        <v/>
      </c>
      <c r="O735" s="25" t="str">
        <f>IFERROR(__xludf.DUMMYFUNCTION("IFERROR(INDEX(FILTER('Kế hoạch chèn link (mới)'!$C$3:$C$2213,'Kế hoạch chèn link (mới)'!$D$3:$D$2213=$B735),5),"""")"),"")</f>
        <v/>
      </c>
      <c r="P735" s="25" t="str">
        <f>IFERROR(__xludf.DUMMYFUNCTION("IFERROR(INDEX(FILTER('Kế hoạch chèn link (mới)'!$B$3:$B$2213,'Kế hoạch chèn link (mới)'!$D$3:$D$2213=$B735),5),"""")"),"")</f>
        <v/>
      </c>
    </row>
  </sheetData>
  <autoFilter ref="$A$1:$P$735"/>
  <conditionalFormatting sqref="D2:D735">
    <cfRule type="cellIs" dxfId="5" priority="1" stopIfTrue="1" operator="equal">
      <formula>"Chưa hoàn thành"</formula>
    </cfRule>
  </conditionalFormatting>
  <conditionalFormatting sqref="D2:D735">
    <cfRule type="cellIs" dxfId="9" priority="2" stopIfTrue="1" operator="equal">
      <formula>"Đang làm"</formula>
    </cfRule>
  </conditionalFormatting>
  <conditionalFormatting sqref="D2:D735">
    <cfRule type="cellIs" dxfId="17" priority="3" stopIfTrue="1" operator="equal">
      <formula>"Đã hoàn thành"</formula>
    </cfRule>
  </conditionalFormatting>
  <conditionalFormatting sqref="G2:P735">
    <cfRule type="expression" dxfId="18" priority="4" stopIfTrue="1">
      <formula>AND(G2&lt;&gt;"",ISEVEN(COLUMN()))</formula>
    </cfRule>
  </conditionalFormatting>
  <conditionalFormatting sqref="G2:P735">
    <cfRule type="expression" dxfId="19" priority="5" stopIfTrue="1">
      <formula>G2&lt;&gt;""</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49EE"/>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11.5"/>
    <col customWidth="1" min="2" max="2" width="62.75"/>
    <col customWidth="1" min="3" max="3" width="34.63"/>
    <col customWidth="1" min="4" max="4" width="59.13"/>
    <col customWidth="1" min="5" max="5" width="37.75"/>
    <col customWidth="1" min="6" max="6" width="45.13"/>
    <col customWidth="1" min="7" max="7" width="31.38"/>
    <col customWidth="1" hidden="1" min="8" max="8" width="13.25"/>
    <col customWidth="1" min="9" max="9" width="14.5"/>
    <col customWidth="1" min="10" max="10" width="25.13"/>
    <col hidden="1" min="11" max="12" width="12.63"/>
  </cols>
  <sheetData>
    <row r="1" ht="49.5" customHeight="1">
      <c r="A1" s="2" t="s">
        <v>2</v>
      </c>
      <c r="D1" s="4"/>
    </row>
    <row r="2" ht="33.0" customHeight="1">
      <c r="A2" s="7" t="s">
        <v>1</v>
      </c>
      <c r="B2" s="9" t="s">
        <v>28</v>
      </c>
      <c r="C2" s="9" t="s">
        <v>29</v>
      </c>
      <c r="D2" s="9" t="s">
        <v>30</v>
      </c>
      <c r="E2" s="9" t="s">
        <v>32</v>
      </c>
      <c r="F2" s="9" t="s">
        <v>33</v>
      </c>
      <c r="G2" s="9" t="s">
        <v>35</v>
      </c>
      <c r="H2" s="9" t="s">
        <v>36</v>
      </c>
      <c r="I2" s="9" t="s">
        <v>5</v>
      </c>
      <c r="J2" s="13" t="s">
        <v>7</v>
      </c>
      <c r="K2" s="14" t="s">
        <v>39</v>
      </c>
      <c r="L2" s="14" t="s">
        <v>42</v>
      </c>
      <c r="M2" s="14" t="s">
        <v>45</v>
      </c>
      <c r="N2" s="14"/>
    </row>
    <row r="3">
      <c r="A3" s="15">
        <v>1.0</v>
      </c>
      <c r="B3" s="16" t="s">
        <v>53</v>
      </c>
      <c r="C3" s="18" t="s">
        <v>55</v>
      </c>
      <c r="D3" s="16" t="s">
        <v>62</v>
      </c>
      <c r="E3" s="16" t="s">
        <v>64</v>
      </c>
      <c r="F3" s="16" t="s">
        <v>66</v>
      </c>
      <c r="G3" s="16" t="s">
        <v>68</v>
      </c>
      <c r="H3" s="20" t="s">
        <v>69</v>
      </c>
      <c r="I3" s="21" t="s">
        <v>70</v>
      </c>
      <c r="J3" s="22" t="s">
        <v>71</v>
      </c>
      <c r="K3" s="23">
        <v>1.0</v>
      </c>
      <c r="L3" s="24">
        <v>10.0</v>
      </c>
      <c r="M3" s="24" t="str">
        <f>IFERROR(VLOOKUP(D3,'Chủ đề bài nguồn'!$A$2:$C$735,3,0),"Khác")</f>
        <v>Vay thế chấp &amp; mua nhà/xe</v>
      </c>
      <c r="N3" s="24"/>
    </row>
    <row r="4">
      <c r="A4" s="15">
        <v>2.0</v>
      </c>
      <c r="B4" s="16" t="s">
        <v>53</v>
      </c>
      <c r="C4" s="18" t="s">
        <v>55</v>
      </c>
      <c r="D4" s="16" t="s">
        <v>72</v>
      </c>
      <c r="E4" s="16" t="s">
        <v>73</v>
      </c>
      <c r="F4" s="16" t="s">
        <v>74</v>
      </c>
      <c r="G4" s="16" t="s">
        <v>76</v>
      </c>
      <c r="H4" s="20" t="s">
        <v>69</v>
      </c>
      <c r="I4" s="21" t="s">
        <v>70</v>
      </c>
      <c r="J4" s="22" t="s">
        <v>71</v>
      </c>
      <c r="K4" s="23">
        <v>1.0</v>
      </c>
      <c r="L4" s="24">
        <v>11.0</v>
      </c>
      <c r="M4" s="24" t="str">
        <f>IFERROR(VLOOKUP(D4,'Chủ đề bài nguồn'!$A$2:$C$735,3,0),"Khác")</f>
        <v>Vay thế chấp &amp; mua nhà/xe</v>
      </c>
      <c r="N4" s="24"/>
    </row>
    <row r="5">
      <c r="A5" s="15">
        <v>3.0</v>
      </c>
      <c r="B5" s="16" t="s">
        <v>53</v>
      </c>
      <c r="C5" s="18" t="s">
        <v>55</v>
      </c>
      <c r="D5" s="16" t="s">
        <v>98</v>
      </c>
      <c r="E5" s="16" t="s">
        <v>99</v>
      </c>
      <c r="F5" s="16" t="s">
        <v>101</v>
      </c>
      <c r="G5" s="16" t="s">
        <v>103</v>
      </c>
      <c r="H5" s="20" t="s">
        <v>69</v>
      </c>
      <c r="I5" s="21" t="s">
        <v>70</v>
      </c>
      <c r="J5" s="22" t="s">
        <v>71</v>
      </c>
      <c r="K5" s="23">
        <v>1.0</v>
      </c>
      <c r="L5" s="24">
        <v>11.0</v>
      </c>
      <c r="M5" s="24" t="str">
        <f>IFERROR(VLOOKUP(D5,'Chủ đề bài nguồn'!$A$2:$C$735,3,0),"Khác")</f>
        <v>Khác</v>
      </c>
      <c r="N5" s="24"/>
    </row>
    <row r="6">
      <c r="A6" s="15">
        <v>4.0</v>
      </c>
      <c r="B6" s="16" t="s">
        <v>53</v>
      </c>
      <c r="C6" s="18" t="s">
        <v>124</v>
      </c>
      <c r="D6" s="16" t="s">
        <v>126</v>
      </c>
      <c r="E6" s="16" t="s">
        <v>127</v>
      </c>
      <c r="F6" s="16" t="s">
        <v>129</v>
      </c>
      <c r="G6" s="16" t="s">
        <v>131</v>
      </c>
      <c r="H6" s="20" t="s">
        <v>69</v>
      </c>
      <c r="I6" s="21" t="s">
        <v>70</v>
      </c>
      <c r="J6" s="22" t="s">
        <v>134</v>
      </c>
      <c r="K6" s="23">
        <v>1.0</v>
      </c>
      <c r="L6" s="24">
        <v>11.0</v>
      </c>
      <c r="M6" s="24" t="str">
        <f>IFERROR(VLOOKUP(D6,'Chủ đề bài nguồn'!$A$2:$C$735,3,0),"Khác")</f>
        <v>Vay tiêu dùng &amp; tín chấp</v>
      </c>
      <c r="N6" s="24"/>
    </row>
    <row r="7">
      <c r="A7" s="15">
        <v>5.0</v>
      </c>
      <c r="B7" s="16" t="s">
        <v>53</v>
      </c>
      <c r="C7" s="18" t="s">
        <v>55</v>
      </c>
      <c r="D7" s="16" t="s">
        <v>149</v>
      </c>
      <c r="E7" s="16" t="s">
        <v>151</v>
      </c>
      <c r="F7" s="16" t="s">
        <v>153</v>
      </c>
      <c r="G7" s="16" t="s">
        <v>103</v>
      </c>
      <c r="H7" s="20" t="s">
        <v>155</v>
      </c>
      <c r="I7" s="21" t="s">
        <v>70</v>
      </c>
      <c r="J7" s="22" t="s">
        <v>71</v>
      </c>
      <c r="K7" s="23">
        <v>1.0</v>
      </c>
      <c r="L7" s="24">
        <v>21.0</v>
      </c>
      <c r="M7" s="24" t="str">
        <f>IFERROR(VLOOKUP(D7,'Chủ đề bài nguồn'!$A$2:$C$735,3,0),"Khác")</f>
        <v>Vay thế chấp &amp; mua nhà/xe</v>
      </c>
      <c r="N7" s="24"/>
    </row>
    <row r="8">
      <c r="A8" s="15">
        <v>6.0</v>
      </c>
      <c r="B8" s="16" t="s">
        <v>53</v>
      </c>
      <c r="C8" s="18" t="s">
        <v>124</v>
      </c>
      <c r="D8" s="16" t="s">
        <v>173</v>
      </c>
      <c r="E8" s="16" t="s">
        <v>175</v>
      </c>
      <c r="F8" s="16" t="s">
        <v>176</v>
      </c>
      <c r="G8" s="16" t="s">
        <v>178</v>
      </c>
      <c r="H8" s="20" t="s">
        <v>155</v>
      </c>
      <c r="I8" s="21" t="s">
        <v>70</v>
      </c>
      <c r="J8" s="22" t="s">
        <v>71</v>
      </c>
      <c r="K8" s="23">
        <v>1.0</v>
      </c>
      <c r="L8" s="24">
        <v>21.0</v>
      </c>
      <c r="M8" s="24" t="str">
        <f>IFERROR(VLOOKUP(D8,'Chủ đề bài nguồn'!$A$2:$C$735,3,0),"Khác")</f>
        <v>Vay thế chấp &amp; mua nhà/xe</v>
      </c>
      <c r="N8" s="24"/>
    </row>
    <row r="9">
      <c r="A9" s="15">
        <v>7.0</v>
      </c>
      <c r="B9" s="16" t="s">
        <v>53</v>
      </c>
      <c r="C9" s="18" t="s">
        <v>193</v>
      </c>
      <c r="D9" s="16" t="s">
        <v>195</v>
      </c>
      <c r="E9" s="16" t="s">
        <v>196</v>
      </c>
      <c r="F9" s="16" t="s">
        <v>198</v>
      </c>
      <c r="G9" s="16" t="s">
        <v>200</v>
      </c>
      <c r="H9" s="20" t="s">
        <v>155</v>
      </c>
      <c r="I9" s="21" t="s">
        <v>70</v>
      </c>
      <c r="J9" s="22" t="s">
        <v>71</v>
      </c>
      <c r="K9" s="23">
        <v>1.0</v>
      </c>
      <c r="L9" s="24">
        <v>21.0</v>
      </c>
      <c r="M9" s="24" t="str">
        <f>IFERROR(VLOOKUP(D9,'Chủ đề bài nguồn'!$A$2:$C$735,3,0),"Khác")</f>
        <v>Vay thế chấp &amp; mua nhà/xe</v>
      </c>
      <c r="N9" s="24"/>
    </row>
    <row r="10">
      <c r="A10" s="15">
        <v>8.0</v>
      </c>
      <c r="B10" s="16" t="s">
        <v>53</v>
      </c>
      <c r="C10" s="18" t="s">
        <v>220</v>
      </c>
      <c r="D10" s="16" t="s">
        <v>222</v>
      </c>
      <c r="E10" s="16" t="s">
        <v>224</v>
      </c>
      <c r="F10" s="16" t="s">
        <v>226</v>
      </c>
      <c r="G10" s="16" t="s">
        <v>227</v>
      </c>
      <c r="H10" s="20" t="s">
        <v>229</v>
      </c>
      <c r="I10" s="21" t="s">
        <v>70</v>
      </c>
      <c r="J10" s="22" t="s">
        <v>71</v>
      </c>
      <c r="K10" s="23">
        <v>1.0</v>
      </c>
      <c r="L10" s="24">
        <v>31.0</v>
      </c>
      <c r="M10" s="24" t="str">
        <f>IFERROR(VLOOKUP(D10,'Chủ đề bài nguồn'!$A$2:$C$735,3,0),"Khác")</f>
        <v>Vay thế chấp &amp; mua nhà/xe</v>
      </c>
      <c r="N10" s="24"/>
    </row>
    <row r="11">
      <c r="A11" s="15">
        <v>9.0</v>
      </c>
      <c r="B11" s="16" t="s">
        <v>53</v>
      </c>
      <c r="C11" s="18" t="s">
        <v>124</v>
      </c>
      <c r="D11" s="16" t="s">
        <v>236</v>
      </c>
      <c r="E11" s="16" t="s">
        <v>237</v>
      </c>
      <c r="F11" s="16" t="s">
        <v>238</v>
      </c>
      <c r="G11" s="16" t="s">
        <v>239</v>
      </c>
      <c r="H11" s="20" t="s">
        <v>229</v>
      </c>
      <c r="I11" s="21" t="s">
        <v>70</v>
      </c>
      <c r="J11" s="22" t="s">
        <v>71</v>
      </c>
      <c r="K11" s="23">
        <v>1.0</v>
      </c>
      <c r="L11" s="24">
        <v>31.0</v>
      </c>
      <c r="M11" s="24" t="str">
        <f>IFERROR(VLOOKUP(D11,'Chủ đề bài nguồn'!$A$2:$C$735,3,0),"Khác")</f>
        <v>Vay thế chấp &amp; mua nhà/xe</v>
      </c>
      <c r="N11" s="24"/>
    </row>
    <row r="12">
      <c r="A12" s="15">
        <v>10.0</v>
      </c>
      <c r="B12" s="16" t="s">
        <v>53</v>
      </c>
      <c r="C12" s="18" t="s">
        <v>193</v>
      </c>
      <c r="D12" s="16" t="s">
        <v>259</v>
      </c>
      <c r="E12" s="16" t="s">
        <v>261</v>
      </c>
      <c r="F12" s="16" t="s">
        <v>263</v>
      </c>
      <c r="G12" s="16" t="s">
        <v>265</v>
      </c>
      <c r="H12" s="20" t="s">
        <v>229</v>
      </c>
      <c r="I12" s="21" t="s">
        <v>70</v>
      </c>
      <c r="J12" s="22" t="s">
        <v>71</v>
      </c>
      <c r="K12" s="23">
        <v>1.0</v>
      </c>
      <c r="L12" s="24">
        <v>31.0</v>
      </c>
      <c r="M12" s="24" t="str">
        <f>IFERROR(VLOOKUP(D12,'Chủ đề bài nguồn'!$A$2:$C$735,3,0),"Khác")</f>
        <v>Thẻ tín dụng</v>
      </c>
      <c r="N12" s="24"/>
    </row>
    <row r="13">
      <c r="A13" s="15">
        <v>11.0</v>
      </c>
      <c r="B13" s="16" t="s">
        <v>53</v>
      </c>
      <c r="C13" s="18" t="s">
        <v>193</v>
      </c>
      <c r="D13" s="16" t="s">
        <v>293</v>
      </c>
      <c r="E13" s="16" t="s">
        <v>295</v>
      </c>
      <c r="F13" s="16" t="s">
        <v>297</v>
      </c>
      <c r="G13" s="16" t="s">
        <v>299</v>
      </c>
      <c r="H13" s="20" t="s">
        <v>229</v>
      </c>
      <c r="I13" s="21" t="s">
        <v>70</v>
      </c>
      <c r="J13" s="22" t="s">
        <v>71</v>
      </c>
      <c r="K13" s="23">
        <v>1.0</v>
      </c>
      <c r="L13" s="24">
        <v>31.0</v>
      </c>
      <c r="M13" s="24" t="str">
        <f>IFERROR(VLOOKUP(D13,'Chủ đề bài nguồn'!$A$2:$C$735,3,0),"Khác")</f>
        <v>Thẻ tín dụng</v>
      </c>
      <c r="N13" s="24"/>
    </row>
    <row r="14">
      <c r="A14" s="15">
        <v>12.0</v>
      </c>
      <c r="B14" s="16" t="s">
        <v>313</v>
      </c>
      <c r="C14" s="18" t="s">
        <v>315</v>
      </c>
      <c r="D14" s="16" t="s">
        <v>316</v>
      </c>
      <c r="E14" s="16" t="s">
        <v>318</v>
      </c>
      <c r="F14" s="16" t="s">
        <v>320</v>
      </c>
      <c r="G14" s="16" t="s">
        <v>322</v>
      </c>
      <c r="H14" s="20" t="s">
        <v>155</v>
      </c>
      <c r="I14" s="21" t="s">
        <v>70</v>
      </c>
      <c r="J14" s="22" t="s">
        <v>71</v>
      </c>
      <c r="K14" s="23">
        <v>2.0</v>
      </c>
      <c r="L14" s="24">
        <v>21.0</v>
      </c>
      <c r="M14" s="24" t="str">
        <f>IFERROR(VLOOKUP(D14,'Chủ đề bài nguồn'!$A$2:$C$735,3,0),"Khác")</f>
        <v>Thuế</v>
      </c>
      <c r="N14" s="24"/>
    </row>
    <row r="15">
      <c r="A15" s="15">
        <v>13.0</v>
      </c>
      <c r="B15" s="16" t="s">
        <v>313</v>
      </c>
      <c r="C15" s="18" t="s">
        <v>315</v>
      </c>
      <c r="D15" s="16" t="s">
        <v>341</v>
      </c>
      <c r="E15" s="16" t="s">
        <v>343</v>
      </c>
      <c r="F15" s="16" t="s">
        <v>346</v>
      </c>
      <c r="G15" s="16" t="s">
        <v>347</v>
      </c>
      <c r="H15" s="20" t="s">
        <v>229</v>
      </c>
      <c r="I15" s="21" t="s">
        <v>70</v>
      </c>
      <c r="J15" s="22" t="s">
        <v>71</v>
      </c>
      <c r="K15" s="23">
        <v>2.0</v>
      </c>
      <c r="L15" s="24">
        <v>31.0</v>
      </c>
      <c r="M15" s="24" t="str">
        <f>IFERROR(VLOOKUP(D15,'Chủ đề bài nguồn'!$A$2:$C$735,3,0),"Khác")</f>
        <v>Doanh nghiệp (tài khoản, vay, tài chính)</v>
      </c>
      <c r="N15" s="24"/>
    </row>
    <row r="16">
      <c r="A16" s="15">
        <v>14.0</v>
      </c>
      <c r="B16" s="16" t="s">
        <v>313</v>
      </c>
      <c r="C16" s="18" t="s">
        <v>315</v>
      </c>
      <c r="D16" s="16" t="s">
        <v>376</v>
      </c>
      <c r="E16" s="16" t="s">
        <v>379</v>
      </c>
      <c r="F16" s="16" t="s">
        <v>381</v>
      </c>
      <c r="G16" s="16" t="s">
        <v>383</v>
      </c>
      <c r="H16" s="20" t="s">
        <v>229</v>
      </c>
      <c r="I16" s="21" t="s">
        <v>70</v>
      </c>
      <c r="J16" s="22" t="s">
        <v>387</v>
      </c>
      <c r="K16" s="23">
        <v>2.0</v>
      </c>
      <c r="L16" s="24">
        <v>31.0</v>
      </c>
      <c r="M16" s="24" t="str">
        <f>IFERROR(VLOOKUP(D16,'Chủ đề bài nguồn'!$A$2:$C$735,3,0),"Khác")</f>
        <v>Thanh toán, chuyển khoản &amp; QR</v>
      </c>
      <c r="N16" s="24"/>
    </row>
    <row r="17">
      <c r="A17" s="15">
        <v>15.0</v>
      </c>
      <c r="B17" s="16" t="s">
        <v>313</v>
      </c>
      <c r="C17" s="18" t="s">
        <v>401</v>
      </c>
      <c r="D17" s="16" t="s">
        <v>403</v>
      </c>
      <c r="E17" s="16" t="s">
        <v>405</v>
      </c>
      <c r="F17" s="16" t="s">
        <v>407</v>
      </c>
      <c r="G17" s="16" t="s">
        <v>409</v>
      </c>
      <c r="H17" s="20" t="s">
        <v>229</v>
      </c>
      <c r="I17" s="21" t="s">
        <v>70</v>
      </c>
      <c r="J17" s="22" t="s">
        <v>71</v>
      </c>
      <c r="K17" s="23">
        <v>2.0</v>
      </c>
      <c r="L17" s="24">
        <v>31.0</v>
      </c>
      <c r="M17" s="24" t="str">
        <f>IFERROR(VLOOKUP(D17,'Chủ đề bài nguồn'!$A$2:$C$735,3,0),"Khác")</f>
        <v>Thuế</v>
      </c>
      <c r="N17" s="24"/>
    </row>
    <row r="18">
      <c r="A18" s="15">
        <v>16.0</v>
      </c>
      <c r="B18" s="16" t="s">
        <v>313</v>
      </c>
      <c r="C18" s="18" t="s">
        <v>401</v>
      </c>
      <c r="D18" s="16" t="s">
        <v>427</v>
      </c>
      <c r="E18" s="16" t="s">
        <v>429</v>
      </c>
      <c r="F18" s="16" t="s">
        <v>431</v>
      </c>
      <c r="G18" s="16" t="s">
        <v>433</v>
      </c>
      <c r="H18" s="20" t="s">
        <v>229</v>
      </c>
      <c r="I18" s="21" t="s">
        <v>70</v>
      </c>
      <c r="J18" s="22" t="s">
        <v>436</v>
      </c>
      <c r="K18" s="23">
        <v>2.0</v>
      </c>
      <c r="L18" s="24">
        <v>31.0</v>
      </c>
      <c r="M18" s="24" t="str">
        <f>IFERROR(VLOOKUP(D18,'Chủ đề bài nguồn'!$A$2:$C$735,3,0),"Khác")</f>
        <v>Thuế</v>
      </c>
      <c r="N18" s="24"/>
    </row>
    <row r="19">
      <c r="A19" s="15">
        <v>17.0</v>
      </c>
      <c r="B19" s="16" t="s">
        <v>313</v>
      </c>
      <c r="C19" s="18" t="s">
        <v>451</v>
      </c>
      <c r="D19" s="16" t="s">
        <v>452</v>
      </c>
      <c r="E19" s="16" t="s">
        <v>454</v>
      </c>
      <c r="F19" s="16" t="s">
        <v>456</v>
      </c>
      <c r="G19" s="16" t="s">
        <v>458</v>
      </c>
      <c r="H19" s="20" t="s">
        <v>229</v>
      </c>
      <c r="I19" s="21" t="s">
        <v>70</v>
      </c>
      <c r="J19" s="22" t="s">
        <v>71</v>
      </c>
      <c r="K19" s="23">
        <v>2.0</v>
      </c>
      <c r="L19" s="24">
        <v>31.0</v>
      </c>
      <c r="M19" s="24" t="str">
        <f>IFERROR(VLOOKUP(D19,'Chủ đề bài nguồn'!$A$2:$C$735,3,0),"Khác")</f>
        <v>Vay thế chấp &amp; mua nhà/xe</v>
      </c>
      <c r="N19" s="24"/>
    </row>
    <row r="20">
      <c r="A20" s="15">
        <v>18.0</v>
      </c>
      <c r="B20" s="16" t="s">
        <v>313</v>
      </c>
      <c r="C20" s="18" t="s">
        <v>451</v>
      </c>
      <c r="D20" s="16" t="s">
        <v>474</v>
      </c>
      <c r="E20" s="16" t="s">
        <v>476</v>
      </c>
      <c r="F20" s="16" t="s">
        <v>479</v>
      </c>
      <c r="G20" s="16" t="s">
        <v>481</v>
      </c>
      <c r="H20" s="20" t="s">
        <v>229</v>
      </c>
      <c r="I20" s="21" t="s">
        <v>70</v>
      </c>
      <c r="J20" s="22" t="s">
        <v>483</v>
      </c>
      <c r="K20" s="23">
        <v>2.0</v>
      </c>
      <c r="L20" s="24">
        <v>31.0</v>
      </c>
      <c r="M20" s="24" t="str">
        <f>IFERROR(VLOOKUP(D20,'Chủ đề bài nguồn'!$A$2:$C$735,3,0),"Khác")</f>
        <v>Thuế</v>
      </c>
      <c r="N20" s="24"/>
    </row>
    <row r="21">
      <c r="A21" s="15">
        <v>19.0</v>
      </c>
      <c r="B21" s="16" t="s">
        <v>313</v>
      </c>
      <c r="C21" s="18" t="s">
        <v>451</v>
      </c>
      <c r="D21" s="16" t="s">
        <v>494</v>
      </c>
      <c r="E21" s="16" t="s">
        <v>496</v>
      </c>
      <c r="F21" s="16" t="s">
        <v>498</v>
      </c>
      <c r="G21" s="16" t="s">
        <v>499</v>
      </c>
      <c r="H21" s="20" t="s">
        <v>229</v>
      </c>
      <c r="I21" s="21" t="s">
        <v>70</v>
      </c>
      <c r="J21" s="22" t="s">
        <v>71</v>
      </c>
      <c r="K21" s="23">
        <v>2.0</v>
      </c>
      <c r="L21" s="24">
        <v>31.0</v>
      </c>
      <c r="M21" s="24" t="str">
        <f>IFERROR(VLOOKUP(D21,'Chủ đề bài nguồn'!$A$2:$C$735,3,0),"Khác")</f>
        <v>Doanh nghiệp (tài khoản, vay, tài chính)</v>
      </c>
      <c r="N21" s="24"/>
    </row>
    <row r="22">
      <c r="A22" s="15">
        <v>20.0</v>
      </c>
      <c r="B22" s="16" t="s">
        <v>316</v>
      </c>
      <c r="C22" s="18" t="s">
        <v>512</v>
      </c>
      <c r="D22" s="16" t="s">
        <v>514</v>
      </c>
      <c r="E22" s="16" t="s">
        <v>516</v>
      </c>
      <c r="F22" s="16" t="s">
        <v>518</v>
      </c>
      <c r="G22" s="16" t="s">
        <v>520</v>
      </c>
      <c r="H22" s="20" t="s">
        <v>69</v>
      </c>
      <c r="I22" s="21" t="s">
        <v>70</v>
      </c>
      <c r="J22" s="22" t="s">
        <v>71</v>
      </c>
      <c r="K22" s="23">
        <v>3.0</v>
      </c>
      <c r="L22" s="24">
        <v>10.0</v>
      </c>
      <c r="M22" s="24" t="str">
        <f>IFERROR(VLOOKUP(D22,'Chủ đề bài nguồn'!$A$2:$C$735,3,0),"Khác")</f>
        <v>Thuế</v>
      </c>
      <c r="N22" s="24"/>
    </row>
    <row r="23">
      <c r="A23" s="15">
        <v>21.0</v>
      </c>
      <c r="B23" s="16" t="s">
        <v>316</v>
      </c>
      <c r="C23" s="18" t="s">
        <v>512</v>
      </c>
      <c r="D23" s="16" t="s">
        <v>474</v>
      </c>
      <c r="E23" s="16" t="s">
        <v>533</v>
      </c>
      <c r="F23" s="16" t="s">
        <v>535</v>
      </c>
      <c r="G23" s="16" t="s">
        <v>536</v>
      </c>
      <c r="H23" s="20" t="s">
        <v>69</v>
      </c>
      <c r="I23" s="21" t="s">
        <v>70</v>
      </c>
      <c r="J23" s="22" t="s">
        <v>539</v>
      </c>
      <c r="K23" s="23">
        <v>3.0</v>
      </c>
      <c r="L23" s="24">
        <v>11.0</v>
      </c>
      <c r="M23" s="24" t="str">
        <f>IFERROR(VLOOKUP(D23,'Chủ đề bài nguồn'!$A$2:$C$735,3,0),"Khác")</f>
        <v>Thuế</v>
      </c>
      <c r="N23" s="24"/>
    </row>
    <row r="24">
      <c r="A24" s="15">
        <v>22.0</v>
      </c>
      <c r="B24" s="16" t="s">
        <v>316</v>
      </c>
      <c r="C24" s="18" t="s">
        <v>547</v>
      </c>
      <c r="D24" s="16" t="s">
        <v>548</v>
      </c>
      <c r="E24" s="16" t="s">
        <v>550</v>
      </c>
      <c r="F24" s="16" t="s">
        <v>552</v>
      </c>
      <c r="G24" s="16" t="s">
        <v>555</v>
      </c>
      <c r="H24" s="20" t="s">
        <v>155</v>
      </c>
      <c r="I24" s="21" t="s">
        <v>70</v>
      </c>
      <c r="J24" s="22" t="s">
        <v>71</v>
      </c>
      <c r="K24" s="23">
        <v>3.0</v>
      </c>
      <c r="L24" s="24">
        <v>21.0</v>
      </c>
      <c r="M24" s="24" t="str">
        <f>IFERROR(VLOOKUP(D24,'Chủ đề bài nguồn'!$A$2:$C$735,3,0),"Khác")</f>
        <v>Thuế</v>
      </c>
      <c r="N24" s="24"/>
    </row>
    <row r="25">
      <c r="A25" s="15">
        <v>23.0</v>
      </c>
      <c r="B25" s="16" t="s">
        <v>316</v>
      </c>
      <c r="C25" s="18" t="s">
        <v>547</v>
      </c>
      <c r="D25" s="16" t="s">
        <v>568</v>
      </c>
      <c r="E25" s="16" t="s">
        <v>569</v>
      </c>
      <c r="F25" s="16" t="s">
        <v>571</v>
      </c>
      <c r="G25" s="16" t="s">
        <v>572</v>
      </c>
      <c r="H25" s="20" t="s">
        <v>155</v>
      </c>
      <c r="I25" s="21" t="s">
        <v>70</v>
      </c>
      <c r="J25" s="22" t="s">
        <v>575</v>
      </c>
      <c r="K25" s="23">
        <v>3.0</v>
      </c>
      <c r="L25" s="24">
        <v>21.0</v>
      </c>
      <c r="M25" s="24" t="str">
        <f>IFERROR(VLOOKUP(D25,'Chủ đề bài nguồn'!$A$2:$C$735,3,0),"Khác")</f>
        <v>Thuế</v>
      </c>
      <c r="N25" s="24"/>
    </row>
    <row r="26">
      <c r="A26" s="15">
        <v>24.0</v>
      </c>
      <c r="B26" s="16" t="s">
        <v>316</v>
      </c>
      <c r="C26" s="18" t="s">
        <v>547</v>
      </c>
      <c r="D26" s="16" t="s">
        <v>584</v>
      </c>
      <c r="E26" s="16" t="s">
        <v>585</v>
      </c>
      <c r="F26" s="16" t="s">
        <v>587</v>
      </c>
      <c r="G26" s="16" t="s">
        <v>588</v>
      </c>
      <c r="H26" s="20" t="s">
        <v>155</v>
      </c>
      <c r="I26" s="21" t="s">
        <v>70</v>
      </c>
      <c r="J26" s="22" t="s">
        <v>71</v>
      </c>
      <c r="K26" s="23">
        <v>3.0</v>
      </c>
      <c r="L26" s="24">
        <v>21.0</v>
      </c>
      <c r="M26" s="24" t="str">
        <f>IFERROR(VLOOKUP(D26,'Chủ đề bài nguồn'!$A$2:$C$735,3,0),"Khác")</f>
        <v>Hộ kinh doanh &amp; bán hàng</v>
      </c>
      <c r="N26" s="24"/>
    </row>
    <row r="27">
      <c r="A27" s="15">
        <v>25.0</v>
      </c>
      <c r="B27" s="16" t="s">
        <v>316</v>
      </c>
      <c r="C27" s="18" t="s">
        <v>547</v>
      </c>
      <c r="D27" s="16" t="s">
        <v>591</v>
      </c>
      <c r="E27" s="16" t="s">
        <v>592</v>
      </c>
      <c r="F27" s="16" t="s">
        <v>593</v>
      </c>
      <c r="G27" s="16" t="s">
        <v>594</v>
      </c>
      <c r="H27" s="20" t="s">
        <v>155</v>
      </c>
      <c r="I27" s="21" t="s">
        <v>70</v>
      </c>
      <c r="J27" s="22" t="s">
        <v>596</v>
      </c>
      <c r="K27" s="23">
        <v>3.0</v>
      </c>
      <c r="L27" s="24">
        <v>21.0</v>
      </c>
      <c r="M27" s="24" t="str">
        <f>IFERROR(VLOOKUP(D27,'Chủ đề bài nguồn'!$A$2:$C$735,3,0),"Khác")</f>
        <v>Thuế</v>
      </c>
      <c r="N27" s="24"/>
    </row>
    <row r="28">
      <c r="A28" s="15">
        <v>26.0</v>
      </c>
      <c r="B28" s="16" t="s">
        <v>316</v>
      </c>
      <c r="C28" s="18" t="s">
        <v>547</v>
      </c>
      <c r="D28" s="16" t="s">
        <v>598</v>
      </c>
      <c r="E28" s="16" t="s">
        <v>599</v>
      </c>
      <c r="F28" s="16" t="s">
        <v>600</v>
      </c>
      <c r="G28" s="16" t="s">
        <v>601</v>
      </c>
      <c r="H28" s="20" t="s">
        <v>155</v>
      </c>
      <c r="I28" s="21" t="s">
        <v>70</v>
      </c>
      <c r="J28" s="22" t="s">
        <v>602</v>
      </c>
      <c r="K28" s="23">
        <v>3.0</v>
      </c>
      <c r="L28" s="24">
        <v>21.0</v>
      </c>
      <c r="M28" s="24" t="str">
        <f>IFERROR(VLOOKUP(D28,'Chủ đề bài nguồn'!$A$2:$C$735,3,0),"Khác")</f>
        <v>Thuế</v>
      </c>
      <c r="N28" s="24"/>
    </row>
    <row r="29">
      <c r="A29" s="15">
        <v>27.0</v>
      </c>
      <c r="B29" s="16" t="s">
        <v>316</v>
      </c>
      <c r="C29" s="18" t="s">
        <v>547</v>
      </c>
      <c r="D29" s="16" t="s">
        <v>604</v>
      </c>
      <c r="E29" s="16" t="s">
        <v>605</v>
      </c>
      <c r="F29" s="16" t="s">
        <v>606</v>
      </c>
      <c r="G29" s="16" t="s">
        <v>601</v>
      </c>
      <c r="H29" s="20" t="s">
        <v>155</v>
      </c>
      <c r="I29" s="21" t="s">
        <v>70</v>
      </c>
      <c r="J29" s="22" t="s">
        <v>575</v>
      </c>
      <c r="K29" s="23">
        <v>3.0</v>
      </c>
      <c r="L29" s="24">
        <v>21.0</v>
      </c>
      <c r="M29" s="24" t="str">
        <f>IFERROR(VLOOKUP(D29,'Chủ đề bài nguồn'!$A$2:$C$735,3,0),"Khác")</f>
        <v>Thuế</v>
      </c>
      <c r="N29" s="24"/>
    </row>
    <row r="30">
      <c r="A30" s="15">
        <v>28.0</v>
      </c>
      <c r="B30" s="16" t="s">
        <v>316</v>
      </c>
      <c r="C30" s="18" t="s">
        <v>547</v>
      </c>
      <c r="D30" s="16" t="s">
        <v>607</v>
      </c>
      <c r="E30" s="16" t="s">
        <v>608</v>
      </c>
      <c r="F30" s="16" t="s">
        <v>609</v>
      </c>
      <c r="G30" s="16" t="s">
        <v>601</v>
      </c>
      <c r="H30" s="20" t="s">
        <v>155</v>
      </c>
      <c r="I30" s="21" t="s">
        <v>70</v>
      </c>
      <c r="J30" s="22" t="s">
        <v>71</v>
      </c>
      <c r="K30" s="23">
        <v>3.0</v>
      </c>
      <c r="L30" s="24">
        <v>21.0</v>
      </c>
      <c r="M30" s="24" t="str">
        <f>IFERROR(VLOOKUP(D30,'Chủ đề bài nguồn'!$A$2:$C$735,3,0),"Khác")</f>
        <v>Thuế</v>
      </c>
      <c r="N30" s="24"/>
    </row>
    <row r="31">
      <c r="A31" s="15">
        <v>29.0</v>
      </c>
      <c r="B31" s="16" t="s">
        <v>316</v>
      </c>
      <c r="C31" s="18" t="s">
        <v>547</v>
      </c>
      <c r="D31" s="16" t="s">
        <v>610</v>
      </c>
      <c r="E31" s="16" t="s">
        <v>611</v>
      </c>
      <c r="F31" s="16" t="s">
        <v>612</v>
      </c>
      <c r="G31" s="16" t="s">
        <v>613</v>
      </c>
      <c r="H31" s="20" t="s">
        <v>155</v>
      </c>
      <c r="I31" s="21" t="s">
        <v>70</v>
      </c>
      <c r="J31" s="22" t="s">
        <v>575</v>
      </c>
      <c r="K31" s="23">
        <v>3.0</v>
      </c>
      <c r="L31" s="24">
        <v>21.0</v>
      </c>
      <c r="M31" s="24" t="str">
        <f>IFERROR(VLOOKUP(D31,'Chủ đề bài nguồn'!$A$2:$C$735,3,0),"Khác")</f>
        <v>Thuế</v>
      </c>
      <c r="N31" s="24"/>
    </row>
    <row r="32">
      <c r="A32" s="15">
        <v>30.0</v>
      </c>
      <c r="B32" s="16" t="s">
        <v>316</v>
      </c>
      <c r="C32" s="18" t="s">
        <v>547</v>
      </c>
      <c r="D32" s="16" t="s">
        <v>615</v>
      </c>
      <c r="E32" s="16" t="s">
        <v>616</v>
      </c>
      <c r="F32" s="16" t="s">
        <v>617</v>
      </c>
      <c r="G32" s="16" t="s">
        <v>618</v>
      </c>
      <c r="H32" s="20" t="s">
        <v>155</v>
      </c>
      <c r="I32" s="21" t="s">
        <v>70</v>
      </c>
      <c r="J32" s="22" t="s">
        <v>619</v>
      </c>
      <c r="K32" s="23">
        <v>3.0</v>
      </c>
      <c r="L32" s="24">
        <v>21.0</v>
      </c>
      <c r="M32" s="24" t="str">
        <f>IFERROR(VLOOKUP(D32,'Chủ đề bài nguồn'!$A$2:$C$735,3,0),"Khác")</f>
        <v>Hộ kinh doanh &amp; bán hàng</v>
      </c>
      <c r="N32" s="24"/>
    </row>
    <row r="33">
      <c r="A33" s="15">
        <v>31.0</v>
      </c>
      <c r="B33" s="16" t="s">
        <v>316</v>
      </c>
      <c r="C33" s="18" t="s">
        <v>547</v>
      </c>
      <c r="D33" s="16" t="s">
        <v>620</v>
      </c>
      <c r="E33" s="16" t="s">
        <v>621</v>
      </c>
      <c r="F33" s="16" t="s">
        <v>622</v>
      </c>
      <c r="G33" s="16" t="s">
        <v>623</v>
      </c>
      <c r="H33" s="20" t="s">
        <v>155</v>
      </c>
      <c r="I33" s="21" t="s">
        <v>70</v>
      </c>
      <c r="J33" s="22" t="s">
        <v>71</v>
      </c>
      <c r="K33" s="23">
        <v>3.0</v>
      </c>
      <c r="L33" s="24">
        <v>21.0</v>
      </c>
      <c r="M33" s="24" t="str">
        <f>IFERROR(VLOOKUP(D33,'Chủ đề bài nguồn'!$A$2:$C$735,3,0),"Khác")</f>
        <v>Thuế</v>
      </c>
      <c r="N33" s="24"/>
    </row>
    <row r="34">
      <c r="A34" s="15">
        <v>32.0</v>
      </c>
      <c r="B34" s="39" t="s">
        <v>316</v>
      </c>
      <c r="C34" s="18" t="s">
        <v>547</v>
      </c>
      <c r="D34" s="39" t="s">
        <v>627</v>
      </c>
      <c r="E34" s="16" t="s">
        <v>628</v>
      </c>
      <c r="F34" s="16" t="s">
        <v>629</v>
      </c>
      <c r="G34" s="16" t="s">
        <v>630</v>
      </c>
      <c r="H34" s="20" t="s">
        <v>155</v>
      </c>
      <c r="I34" s="21" t="s">
        <v>70</v>
      </c>
      <c r="J34" s="22" t="s">
        <v>575</v>
      </c>
      <c r="K34" s="23">
        <v>3.0</v>
      </c>
      <c r="L34" s="24">
        <v>21.0</v>
      </c>
      <c r="M34" s="24" t="str">
        <f>IFERROR(VLOOKUP(D34,'Chủ đề bài nguồn'!$A$2:$C$735,3,0),"Khác")</f>
        <v>Thuế</v>
      </c>
      <c r="N34" s="24"/>
    </row>
    <row r="35">
      <c r="A35" s="15">
        <v>33.0</v>
      </c>
      <c r="B35" s="16" t="s">
        <v>316</v>
      </c>
      <c r="C35" s="18" t="s">
        <v>512</v>
      </c>
      <c r="D35" s="16" t="s">
        <v>631</v>
      </c>
      <c r="E35" s="16" t="s">
        <v>632</v>
      </c>
      <c r="F35" s="16" t="s">
        <v>633</v>
      </c>
      <c r="G35" s="16" t="s">
        <v>634</v>
      </c>
      <c r="H35" s="20" t="s">
        <v>155</v>
      </c>
      <c r="I35" s="21" t="s">
        <v>70</v>
      </c>
      <c r="J35" s="22" t="s">
        <v>71</v>
      </c>
      <c r="K35" s="23">
        <v>3.0</v>
      </c>
      <c r="L35" s="24">
        <v>21.0</v>
      </c>
      <c r="M35" s="24" t="str">
        <f>IFERROR(VLOOKUP(D35,'Chủ đề bài nguồn'!$A$2:$C$735,3,0),"Khác")</f>
        <v>Thuế</v>
      </c>
      <c r="N35" s="24"/>
    </row>
    <row r="36">
      <c r="A36" s="15">
        <v>34.0</v>
      </c>
      <c r="B36" s="16" t="s">
        <v>316</v>
      </c>
      <c r="C36" s="18" t="s">
        <v>512</v>
      </c>
      <c r="D36" s="16" t="s">
        <v>635</v>
      </c>
      <c r="E36" s="16" t="s">
        <v>636</v>
      </c>
      <c r="F36" s="16" t="s">
        <v>637</v>
      </c>
      <c r="G36" s="16" t="s">
        <v>638</v>
      </c>
      <c r="H36" s="20" t="s">
        <v>155</v>
      </c>
      <c r="I36" s="21" t="s">
        <v>70</v>
      </c>
      <c r="J36" s="22" t="s">
        <v>639</v>
      </c>
      <c r="K36" s="23">
        <v>3.0</v>
      </c>
      <c r="L36" s="24">
        <v>21.0</v>
      </c>
      <c r="M36" s="24" t="str">
        <f>IFERROR(VLOOKUP(D36,'Chủ đề bài nguồn'!$A$2:$C$735,3,0),"Khác")</f>
        <v>Thuế</v>
      </c>
      <c r="N36" s="24"/>
    </row>
    <row r="37">
      <c r="A37" s="15">
        <v>35.0</v>
      </c>
      <c r="B37" s="16" t="s">
        <v>316</v>
      </c>
      <c r="C37" s="18" t="s">
        <v>512</v>
      </c>
      <c r="D37" s="16" t="s">
        <v>642</v>
      </c>
      <c r="E37" s="16" t="s">
        <v>643</v>
      </c>
      <c r="F37" s="16" t="s">
        <v>644</v>
      </c>
      <c r="G37" s="16" t="s">
        <v>645</v>
      </c>
      <c r="H37" s="20" t="s">
        <v>155</v>
      </c>
      <c r="I37" s="21" t="s">
        <v>70</v>
      </c>
      <c r="J37" s="22" t="s">
        <v>71</v>
      </c>
      <c r="K37" s="23">
        <v>3.0</v>
      </c>
      <c r="L37" s="24">
        <v>21.0</v>
      </c>
      <c r="M37" s="24" t="str">
        <f>IFERROR(VLOOKUP(D37,'Chủ đề bài nguồn'!$A$2:$C$735,3,0),"Khác")</f>
        <v>Thuế</v>
      </c>
      <c r="N37" s="24"/>
    </row>
    <row r="38">
      <c r="A38" s="15">
        <v>36.0</v>
      </c>
      <c r="B38" s="16" t="s">
        <v>316</v>
      </c>
      <c r="C38" s="18" t="s">
        <v>512</v>
      </c>
      <c r="D38" s="16" t="s">
        <v>646</v>
      </c>
      <c r="E38" s="16" t="s">
        <v>647</v>
      </c>
      <c r="F38" s="16" t="s">
        <v>648</v>
      </c>
      <c r="G38" s="16" t="s">
        <v>649</v>
      </c>
      <c r="H38" s="20" t="s">
        <v>155</v>
      </c>
      <c r="I38" s="21" t="s">
        <v>70</v>
      </c>
      <c r="J38" s="22" t="s">
        <v>650</v>
      </c>
      <c r="K38" s="23">
        <v>3.0</v>
      </c>
      <c r="L38" s="24">
        <v>21.0</v>
      </c>
      <c r="M38" s="24" t="str">
        <f>IFERROR(VLOOKUP(D38,'Chủ đề bài nguồn'!$A$2:$C$735,3,0),"Khác")</f>
        <v>Hộ kinh doanh &amp; bán hàng</v>
      </c>
      <c r="N38" s="24"/>
    </row>
    <row r="39">
      <c r="A39" s="15">
        <v>37.0</v>
      </c>
      <c r="B39" s="16" t="s">
        <v>316</v>
      </c>
      <c r="C39" s="18" t="s">
        <v>512</v>
      </c>
      <c r="D39" s="16" t="s">
        <v>313</v>
      </c>
      <c r="E39" s="16" t="s">
        <v>651</v>
      </c>
      <c r="F39" s="16" t="s">
        <v>652</v>
      </c>
      <c r="G39" s="16" t="s">
        <v>653</v>
      </c>
      <c r="H39" s="20" t="s">
        <v>155</v>
      </c>
      <c r="I39" s="21" t="s">
        <v>70</v>
      </c>
      <c r="J39" s="22" t="s">
        <v>71</v>
      </c>
      <c r="K39" s="23">
        <v>3.0</v>
      </c>
      <c r="L39" s="24">
        <v>21.0</v>
      </c>
      <c r="M39" s="24" t="str">
        <f>IFERROR(VLOOKUP(D39,'Chủ đề bài nguồn'!$A$2:$C$735,3,0),"Khác")</f>
        <v>Thuế</v>
      </c>
      <c r="N39" s="24"/>
    </row>
    <row r="40">
      <c r="A40" s="15">
        <v>38.0</v>
      </c>
      <c r="B40" s="16" t="s">
        <v>316</v>
      </c>
      <c r="C40" s="18" t="s">
        <v>512</v>
      </c>
      <c r="D40" s="16" t="s">
        <v>656</v>
      </c>
      <c r="E40" s="16" t="s">
        <v>657</v>
      </c>
      <c r="F40" s="16" t="s">
        <v>658</v>
      </c>
      <c r="G40" s="16" t="s">
        <v>659</v>
      </c>
      <c r="H40" s="20" t="s">
        <v>155</v>
      </c>
      <c r="I40" s="21" t="s">
        <v>70</v>
      </c>
      <c r="J40" s="22" t="s">
        <v>71</v>
      </c>
      <c r="K40" s="23">
        <v>3.0</v>
      </c>
      <c r="L40" s="24">
        <v>21.0</v>
      </c>
      <c r="M40" s="24" t="str">
        <f>IFERROR(VLOOKUP(D40,'Chủ đề bài nguồn'!$A$2:$C$735,3,0),"Khác")</f>
        <v>Thuế</v>
      </c>
      <c r="N40" s="24"/>
    </row>
    <row r="41">
      <c r="A41" s="15">
        <v>39.0</v>
      </c>
      <c r="B41" s="16" t="s">
        <v>316</v>
      </c>
      <c r="C41" s="18" t="s">
        <v>512</v>
      </c>
      <c r="D41" s="16" t="s">
        <v>660</v>
      </c>
      <c r="E41" s="16" t="s">
        <v>661</v>
      </c>
      <c r="F41" s="16" t="s">
        <v>662</v>
      </c>
      <c r="G41" s="16" t="s">
        <v>663</v>
      </c>
      <c r="H41" s="20" t="s">
        <v>155</v>
      </c>
      <c r="I41" s="21" t="s">
        <v>70</v>
      </c>
      <c r="J41" s="22" t="s">
        <v>664</v>
      </c>
      <c r="K41" s="23">
        <v>3.0</v>
      </c>
      <c r="L41" s="24">
        <v>21.0</v>
      </c>
      <c r="M41" s="24" t="str">
        <f>IFERROR(VLOOKUP(D41,'Chủ đề bài nguồn'!$A$2:$C$735,3,0),"Khác")</f>
        <v>Hộ kinh doanh &amp; bán hàng</v>
      </c>
      <c r="N41" s="24"/>
    </row>
    <row r="42">
      <c r="A42" s="15">
        <v>40.0</v>
      </c>
      <c r="B42" s="16" t="s">
        <v>316</v>
      </c>
      <c r="C42" s="18" t="s">
        <v>512</v>
      </c>
      <c r="D42" s="16" t="s">
        <v>665</v>
      </c>
      <c r="E42" s="16" t="s">
        <v>666</v>
      </c>
      <c r="F42" s="16" t="s">
        <v>667</v>
      </c>
      <c r="G42" s="16" t="s">
        <v>668</v>
      </c>
      <c r="H42" s="20" t="s">
        <v>155</v>
      </c>
      <c r="I42" s="21" t="s">
        <v>70</v>
      </c>
      <c r="J42" s="22" t="s">
        <v>71</v>
      </c>
      <c r="K42" s="23">
        <v>3.0</v>
      </c>
      <c r="L42" s="24">
        <v>21.0</v>
      </c>
      <c r="M42" s="24" t="str">
        <f>IFERROR(VLOOKUP(D42,'Chủ đề bài nguồn'!$A$2:$C$735,3,0),"Khác")</f>
        <v>Hộ kinh doanh &amp; bán hàng</v>
      </c>
      <c r="N42" s="24"/>
    </row>
    <row r="43">
      <c r="A43" s="15">
        <v>41.0</v>
      </c>
      <c r="B43" s="16" t="s">
        <v>316</v>
      </c>
      <c r="C43" s="18" t="s">
        <v>512</v>
      </c>
      <c r="D43" s="16" t="s">
        <v>669</v>
      </c>
      <c r="E43" s="16" t="s">
        <v>670</v>
      </c>
      <c r="F43" s="16" t="s">
        <v>671</v>
      </c>
      <c r="G43" s="16" t="s">
        <v>672</v>
      </c>
      <c r="H43" s="20" t="s">
        <v>155</v>
      </c>
      <c r="I43" s="21" t="s">
        <v>70</v>
      </c>
      <c r="J43" s="22" t="s">
        <v>71</v>
      </c>
      <c r="K43" s="23">
        <v>3.0</v>
      </c>
      <c r="L43" s="24">
        <v>21.0</v>
      </c>
      <c r="M43" s="24" t="str">
        <f>IFERROR(VLOOKUP(D43,'Chủ đề bài nguồn'!$A$2:$C$735,3,0),"Khác")</f>
        <v>Thuế</v>
      </c>
      <c r="N43" s="24"/>
    </row>
    <row r="44">
      <c r="A44" s="15">
        <v>42.0</v>
      </c>
      <c r="B44" s="16" t="s">
        <v>316</v>
      </c>
      <c r="C44" s="18" t="s">
        <v>512</v>
      </c>
      <c r="D44" s="16" t="s">
        <v>427</v>
      </c>
      <c r="E44" s="16" t="s">
        <v>429</v>
      </c>
      <c r="F44" s="16" t="s">
        <v>673</v>
      </c>
      <c r="G44" s="16" t="s">
        <v>674</v>
      </c>
      <c r="H44" s="20" t="s">
        <v>155</v>
      </c>
      <c r="I44" s="21" t="s">
        <v>70</v>
      </c>
      <c r="J44" s="22" t="s">
        <v>71</v>
      </c>
      <c r="K44" s="23">
        <v>3.0</v>
      </c>
      <c r="L44" s="24">
        <v>21.0</v>
      </c>
      <c r="M44" s="24" t="str">
        <f>IFERROR(VLOOKUP(D44,'Chủ đề bài nguồn'!$A$2:$C$735,3,0),"Khác")</f>
        <v>Thuế</v>
      </c>
      <c r="N44" s="24"/>
    </row>
    <row r="45">
      <c r="A45" s="15">
        <v>43.0</v>
      </c>
      <c r="B45" s="16" t="s">
        <v>316</v>
      </c>
      <c r="C45" s="18" t="s">
        <v>512</v>
      </c>
      <c r="D45" s="16" t="s">
        <v>675</v>
      </c>
      <c r="E45" s="16" t="s">
        <v>676</v>
      </c>
      <c r="F45" s="16" t="s">
        <v>677</v>
      </c>
      <c r="G45" s="16" t="s">
        <v>678</v>
      </c>
      <c r="H45" s="20" t="s">
        <v>155</v>
      </c>
      <c r="I45" s="21" t="s">
        <v>70</v>
      </c>
      <c r="J45" s="22" t="s">
        <v>71</v>
      </c>
      <c r="K45" s="23">
        <v>3.0</v>
      </c>
      <c r="L45" s="24">
        <v>21.0</v>
      </c>
      <c r="M45" s="24" t="str">
        <f>IFERROR(VLOOKUP(D45,'Chủ đề bài nguồn'!$A$2:$C$735,3,0),"Khác")</f>
        <v>Doanh nghiệp (tài khoản, vay, tài chính)</v>
      </c>
      <c r="N45" s="24"/>
    </row>
    <row r="46">
      <c r="A46" s="15">
        <v>44.0</v>
      </c>
      <c r="B46" s="16" t="s">
        <v>316</v>
      </c>
      <c r="C46" s="18" t="s">
        <v>512</v>
      </c>
      <c r="D46" s="16" t="s">
        <v>679</v>
      </c>
      <c r="E46" s="16" t="s">
        <v>680</v>
      </c>
      <c r="F46" s="16" t="s">
        <v>681</v>
      </c>
      <c r="G46" s="16" t="s">
        <v>684</v>
      </c>
      <c r="H46" s="20" t="s">
        <v>155</v>
      </c>
      <c r="I46" s="21" t="s">
        <v>70</v>
      </c>
      <c r="J46" s="22" t="s">
        <v>71</v>
      </c>
      <c r="K46" s="23">
        <v>3.0</v>
      </c>
      <c r="L46" s="24">
        <v>21.0</v>
      </c>
      <c r="M46" s="24" t="str">
        <f>IFERROR(VLOOKUP(D46,'Chủ đề bài nguồn'!$A$2:$C$735,3,0),"Khác")</f>
        <v>Thuế</v>
      </c>
      <c r="N46" s="24"/>
    </row>
    <row r="47">
      <c r="A47" s="15">
        <v>45.0</v>
      </c>
      <c r="B47" s="16" t="s">
        <v>316</v>
      </c>
      <c r="C47" s="18" t="s">
        <v>547</v>
      </c>
      <c r="D47" s="16" t="s">
        <v>686</v>
      </c>
      <c r="E47" s="16" t="s">
        <v>687</v>
      </c>
      <c r="F47" s="16" t="s">
        <v>688</v>
      </c>
      <c r="G47" s="16" t="s">
        <v>689</v>
      </c>
      <c r="H47" s="20" t="s">
        <v>229</v>
      </c>
      <c r="I47" s="21" t="s">
        <v>70</v>
      </c>
      <c r="J47" s="22" t="s">
        <v>690</v>
      </c>
      <c r="K47" s="23">
        <v>3.0</v>
      </c>
      <c r="L47" s="24">
        <v>31.0</v>
      </c>
      <c r="M47" s="24" t="str">
        <f>IFERROR(VLOOKUP(D47,'Chủ đề bài nguồn'!$A$2:$C$735,3,0),"Khác")</f>
        <v>Thuế</v>
      </c>
      <c r="N47" s="24"/>
    </row>
    <row r="48">
      <c r="A48" s="15">
        <v>46.0</v>
      </c>
      <c r="B48" s="16" t="s">
        <v>316</v>
      </c>
      <c r="C48" s="18" t="s">
        <v>547</v>
      </c>
      <c r="D48" s="16" t="s">
        <v>403</v>
      </c>
      <c r="E48" s="16" t="s">
        <v>691</v>
      </c>
      <c r="F48" s="16" t="s">
        <v>692</v>
      </c>
      <c r="G48" s="16" t="s">
        <v>693</v>
      </c>
      <c r="H48" s="20" t="s">
        <v>229</v>
      </c>
      <c r="I48" s="21" t="s">
        <v>70</v>
      </c>
      <c r="J48" s="22" t="s">
        <v>694</v>
      </c>
      <c r="K48" s="23">
        <v>3.0</v>
      </c>
      <c r="L48" s="24">
        <v>31.0</v>
      </c>
      <c r="M48" s="24" t="str">
        <f>IFERROR(VLOOKUP(D48,'Chủ đề bài nguồn'!$A$2:$C$735,3,0),"Khác")</f>
        <v>Thuế</v>
      </c>
      <c r="N48" s="24"/>
    </row>
    <row r="49">
      <c r="A49" s="15">
        <v>47.0</v>
      </c>
      <c r="B49" s="16" t="s">
        <v>316</v>
      </c>
      <c r="C49" s="18" t="s">
        <v>547</v>
      </c>
      <c r="D49" s="16" t="s">
        <v>695</v>
      </c>
      <c r="E49" s="16" t="s">
        <v>696</v>
      </c>
      <c r="F49" s="16" t="s">
        <v>697</v>
      </c>
      <c r="G49" s="16" t="s">
        <v>698</v>
      </c>
      <c r="H49" s="20" t="s">
        <v>229</v>
      </c>
      <c r="I49" s="21" t="s">
        <v>70</v>
      </c>
      <c r="J49" s="22" t="s">
        <v>699</v>
      </c>
      <c r="K49" s="23">
        <v>3.0</v>
      </c>
      <c r="L49" s="24">
        <v>31.0</v>
      </c>
      <c r="M49" s="24" t="str">
        <f>IFERROR(VLOOKUP(D49,'Chủ đề bài nguồn'!$A$2:$C$735,3,0),"Khác")</f>
        <v>Thuế</v>
      </c>
      <c r="N49" s="24"/>
    </row>
    <row r="50">
      <c r="A50" s="15">
        <v>48.0</v>
      </c>
      <c r="B50" s="16" t="s">
        <v>316</v>
      </c>
      <c r="C50" s="18" t="s">
        <v>547</v>
      </c>
      <c r="D50" s="16" t="s">
        <v>701</v>
      </c>
      <c r="E50" s="16" t="s">
        <v>702</v>
      </c>
      <c r="F50" s="16" t="s">
        <v>703</v>
      </c>
      <c r="G50" s="16" t="s">
        <v>601</v>
      </c>
      <c r="H50" s="20" t="s">
        <v>229</v>
      </c>
      <c r="I50" s="21" t="s">
        <v>70</v>
      </c>
      <c r="J50" s="22" t="s">
        <v>704</v>
      </c>
      <c r="K50" s="23">
        <v>3.0</v>
      </c>
      <c r="L50" s="24">
        <v>31.0</v>
      </c>
      <c r="M50" s="24" t="str">
        <f>IFERROR(VLOOKUP(D50,'Chủ đề bài nguồn'!$A$2:$C$735,3,0),"Khác")</f>
        <v>Thuế</v>
      </c>
      <c r="N50" s="24"/>
    </row>
    <row r="51">
      <c r="A51" s="15">
        <v>49.0</v>
      </c>
      <c r="B51" s="16" t="s">
        <v>316</v>
      </c>
      <c r="C51" s="18" t="s">
        <v>547</v>
      </c>
      <c r="D51" s="16" t="s">
        <v>705</v>
      </c>
      <c r="E51" s="16" t="s">
        <v>706</v>
      </c>
      <c r="F51" s="16" t="s">
        <v>692</v>
      </c>
      <c r="G51" s="16" t="s">
        <v>707</v>
      </c>
      <c r="H51" s="20" t="s">
        <v>229</v>
      </c>
      <c r="I51" s="21" t="s">
        <v>70</v>
      </c>
      <c r="J51" s="22" t="s">
        <v>694</v>
      </c>
      <c r="K51" s="23">
        <v>3.0</v>
      </c>
      <c r="L51" s="24">
        <v>31.0</v>
      </c>
      <c r="M51" s="24" t="str">
        <f>IFERROR(VLOOKUP(D51,'Chủ đề bài nguồn'!$A$2:$C$735,3,0),"Khác")</f>
        <v>Thuế</v>
      </c>
      <c r="N51" s="24"/>
    </row>
    <row r="52">
      <c r="A52" s="15">
        <v>50.0</v>
      </c>
      <c r="B52" s="16" t="s">
        <v>316</v>
      </c>
      <c r="C52" s="18" t="s">
        <v>512</v>
      </c>
      <c r="D52" s="16" t="s">
        <v>709</v>
      </c>
      <c r="E52" s="16" t="s">
        <v>710</v>
      </c>
      <c r="F52" s="16" t="s">
        <v>711</v>
      </c>
      <c r="G52" s="16" t="s">
        <v>712</v>
      </c>
      <c r="H52" s="20" t="s">
        <v>229</v>
      </c>
      <c r="I52" s="21" t="s">
        <v>70</v>
      </c>
      <c r="J52" s="22" t="s">
        <v>713</v>
      </c>
      <c r="K52" s="23">
        <v>3.0</v>
      </c>
      <c r="L52" s="24">
        <v>31.0</v>
      </c>
      <c r="M52" s="24" t="str">
        <f>IFERROR(VLOOKUP(D52,'Chủ đề bài nguồn'!$A$2:$C$735,3,0),"Khác")</f>
        <v>Thuế</v>
      </c>
      <c r="N52" s="24"/>
    </row>
    <row r="53">
      <c r="A53" s="15">
        <v>51.0</v>
      </c>
      <c r="B53" s="16" t="s">
        <v>316</v>
      </c>
      <c r="C53" s="18" t="s">
        <v>512</v>
      </c>
      <c r="D53" s="16" t="s">
        <v>714</v>
      </c>
      <c r="E53" s="16" t="s">
        <v>715</v>
      </c>
      <c r="F53" s="16" t="s">
        <v>716</v>
      </c>
      <c r="G53" s="16" t="s">
        <v>717</v>
      </c>
      <c r="H53" s="20" t="s">
        <v>229</v>
      </c>
      <c r="I53" s="21" t="s">
        <v>70</v>
      </c>
      <c r="J53" s="22" t="s">
        <v>718</v>
      </c>
      <c r="K53" s="23">
        <v>3.0</v>
      </c>
      <c r="L53" s="24">
        <v>31.0</v>
      </c>
      <c r="M53" s="24" t="str">
        <f>IFERROR(VLOOKUP(D53,'Chủ đề bài nguồn'!$A$2:$C$735,3,0),"Khác")</f>
        <v>Thuế</v>
      </c>
      <c r="N53" s="24"/>
    </row>
    <row r="54">
      <c r="A54" s="15">
        <v>52.0</v>
      </c>
      <c r="B54" s="16" t="s">
        <v>316</v>
      </c>
      <c r="C54" s="18" t="s">
        <v>512</v>
      </c>
      <c r="D54" s="16" t="s">
        <v>719</v>
      </c>
      <c r="E54" s="16" t="s">
        <v>720</v>
      </c>
      <c r="F54" s="16" t="s">
        <v>721</v>
      </c>
      <c r="G54" s="16" t="s">
        <v>722</v>
      </c>
      <c r="H54" s="20" t="s">
        <v>229</v>
      </c>
      <c r="I54" s="21" t="s">
        <v>70</v>
      </c>
      <c r="J54" s="22" t="s">
        <v>71</v>
      </c>
      <c r="K54" s="23">
        <v>3.0</v>
      </c>
      <c r="L54" s="24">
        <v>31.0</v>
      </c>
      <c r="M54" s="24" t="str">
        <f>IFERROR(VLOOKUP(D54,'Chủ đề bài nguồn'!$A$2:$C$735,3,0),"Khác")</f>
        <v>Thuế</v>
      </c>
      <c r="N54" s="24"/>
    </row>
    <row r="55">
      <c r="A55" s="15">
        <v>53.0</v>
      </c>
      <c r="B55" s="16" t="s">
        <v>640</v>
      </c>
      <c r="C55" s="18" t="s">
        <v>725</v>
      </c>
      <c r="D55" s="16" t="s">
        <v>726</v>
      </c>
      <c r="E55" s="16" t="s">
        <v>710</v>
      </c>
      <c r="F55" s="16" t="s">
        <v>727</v>
      </c>
      <c r="G55" s="16" t="s">
        <v>728</v>
      </c>
      <c r="H55" s="20" t="s">
        <v>69</v>
      </c>
      <c r="I55" s="21" t="s">
        <v>70</v>
      </c>
      <c r="J55" s="22" t="s">
        <v>71</v>
      </c>
      <c r="K55" s="23">
        <v>4.0</v>
      </c>
      <c r="L55" s="24">
        <v>10.0</v>
      </c>
      <c r="M55" s="24" t="str">
        <f>IFERROR(VLOOKUP(D55,'Chủ đề bài nguồn'!$A$2:$C$735,3,0),"Khác")</f>
        <v>Thuế</v>
      </c>
      <c r="N55" s="24"/>
    </row>
    <row r="56">
      <c r="A56" s="15">
        <v>54.0</v>
      </c>
      <c r="B56" s="16" t="s">
        <v>640</v>
      </c>
      <c r="C56" s="18" t="s">
        <v>725</v>
      </c>
      <c r="D56" s="16" t="s">
        <v>714</v>
      </c>
      <c r="E56" s="16" t="s">
        <v>729</v>
      </c>
      <c r="F56" s="16" t="s">
        <v>730</v>
      </c>
      <c r="G56" s="16" t="s">
        <v>731</v>
      </c>
      <c r="H56" s="20" t="s">
        <v>69</v>
      </c>
      <c r="I56" s="21" t="s">
        <v>70</v>
      </c>
      <c r="J56" s="22" t="s">
        <v>733</v>
      </c>
      <c r="K56" s="23">
        <v>4.0</v>
      </c>
      <c r="L56" s="24">
        <v>10.0</v>
      </c>
      <c r="M56" s="24" t="str">
        <f>IFERROR(VLOOKUP(D56,'Chủ đề bài nguồn'!$A$2:$C$735,3,0),"Khác")</f>
        <v>Thuế</v>
      </c>
      <c r="N56" s="24"/>
    </row>
    <row r="57">
      <c r="A57" s="15">
        <v>55.0</v>
      </c>
      <c r="B57" s="16" t="s">
        <v>640</v>
      </c>
      <c r="C57" s="18" t="s">
        <v>725</v>
      </c>
      <c r="D57" s="16" t="s">
        <v>669</v>
      </c>
      <c r="E57" s="16" t="s">
        <v>710</v>
      </c>
      <c r="F57" s="16" t="s">
        <v>734</v>
      </c>
      <c r="G57" s="16" t="s">
        <v>728</v>
      </c>
      <c r="H57" s="20" t="s">
        <v>69</v>
      </c>
      <c r="I57" s="21" t="s">
        <v>70</v>
      </c>
      <c r="J57" s="22" t="s">
        <v>71</v>
      </c>
      <c r="K57" s="23">
        <v>4.0</v>
      </c>
      <c r="L57" s="24">
        <v>10.0</v>
      </c>
      <c r="M57" s="24" t="str">
        <f>IFERROR(VLOOKUP(D57,'Chủ đề bài nguồn'!$A$2:$C$735,3,0),"Khác")</f>
        <v>Thuế</v>
      </c>
      <c r="N57" s="24"/>
    </row>
    <row r="58">
      <c r="A58" s="15">
        <v>56.0</v>
      </c>
      <c r="B58" s="16" t="s">
        <v>640</v>
      </c>
      <c r="C58" s="18" t="s">
        <v>725</v>
      </c>
      <c r="D58" s="16" t="s">
        <v>736</v>
      </c>
      <c r="E58" s="16" t="s">
        <v>737</v>
      </c>
      <c r="F58" s="16" t="s">
        <v>738</v>
      </c>
      <c r="G58" s="16" t="s">
        <v>731</v>
      </c>
      <c r="H58" s="20" t="s">
        <v>69</v>
      </c>
      <c r="I58" s="21" t="s">
        <v>70</v>
      </c>
      <c r="J58" s="22" t="s">
        <v>739</v>
      </c>
      <c r="K58" s="23">
        <v>4.0</v>
      </c>
      <c r="L58" s="24">
        <v>10.0</v>
      </c>
      <c r="M58" s="24" t="str">
        <f>IFERROR(VLOOKUP(D58,'Chủ đề bài nguồn'!$A$2:$C$735,3,0),"Khác")</f>
        <v>Doanh nghiệp (tài khoản, vay, tài chính)</v>
      </c>
      <c r="N58" s="24"/>
    </row>
    <row r="59">
      <c r="A59" s="15">
        <v>57.0</v>
      </c>
      <c r="B59" s="16" t="s">
        <v>640</v>
      </c>
      <c r="C59" s="18" t="s">
        <v>725</v>
      </c>
      <c r="D59" s="16" t="s">
        <v>740</v>
      </c>
      <c r="E59" s="16" t="s">
        <v>741</v>
      </c>
      <c r="F59" s="16" t="s">
        <v>742</v>
      </c>
      <c r="G59" s="16" t="s">
        <v>728</v>
      </c>
      <c r="H59" s="20" t="s">
        <v>69</v>
      </c>
      <c r="I59" s="21" t="s">
        <v>70</v>
      </c>
      <c r="J59" s="22" t="s">
        <v>71</v>
      </c>
      <c r="K59" s="23">
        <v>4.0</v>
      </c>
      <c r="L59" s="24">
        <v>10.0</v>
      </c>
      <c r="M59" s="24" t="str">
        <f>IFERROR(VLOOKUP(D59,'Chủ đề bài nguồn'!$A$2:$C$735,3,0),"Khác")</f>
        <v>Doanh nghiệp (tài khoản, vay, tài chính)</v>
      </c>
      <c r="N59" s="24"/>
    </row>
    <row r="60">
      <c r="A60" s="15">
        <v>58.0</v>
      </c>
      <c r="B60" s="16" t="s">
        <v>640</v>
      </c>
      <c r="C60" s="18" t="s">
        <v>725</v>
      </c>
      <c r="D60" s="16" t="s">
        <v>743</v>
      </c>
      <c r="E60" s="16" t="s">
        <v>744</v>
      </c>
      <c r="F60" s="16" t="s">
        <v>745</v>
      </c>
      <c r="G60" s="16" t="s">
        <v>728</v>
      </c>
      <c r="H60" s="20" t="s">
        <v>69</v>
      </c>
      <c r="I60" s="21" t="s">
        <v>70</v>
      </c>
      <c r="J60" s="22" t="s">
        <v>71</v>
      </c>
      <c r="K60" s="23">
        <v>4.0</v>
      </c>
      <c r="L60" s="24">
        <v>10.0</v>
      </c>
      <c r="M60" s="24" t="str">
        <f>IFERROR(VLOOKUP(D60,'Chủ đề bài nguồn'!$A$2:$C$735,3,0),"Khác")</f>
        <v>Hộ kinh doanh &amp; bán hàng</v>
      </c>
      <c r="N60" s="24"/>
    </row>
    <row r="61">
      <c r="A61" s="15">
        <v>59.0</v>
      </c>
      <c r="B61" s="16" t="s">
        <v>640</v>
      </c>
      <c r="C61" s="18" t="s">
        <v>725</v>
      </c>
      <c r="D61" s="16" t="s">
        <v>746</v>
      </c>
      <c r="E61" s="16" t="s">
        <v>747</v>
      </c>
      <c r="F61" s="16" t="s">
        <v>748</v>
      </c>
      <c r="G61" s="16" t="s">
        <v>728</v>
      </c>
      <c r="H61" s="20" t="s">
        <v>69</v>
      </c>
      <c r="I61" s="21" t="s">
        <v>70</v>
      </c>
      <c r="J61" s="22" t="s">
        <v>71</v>
      </c>
      <c r="K61" s="23">
        <v>4.0</v>
      </c>
      <c r="L61" s="24">
        <v>10.0</v>
      </c>
      <c r="M61" s="24" t="str">
        <f>IFERROR(VLOOKUP(D61,'Chủ đề bài nguồn'!$A$2:$C$735,3,0),"Khác")</f>
        <v>Doanh nghiệp (tài khoản, vay, tài chính)</v>
      </c>
      <c r="N61" s="24"/>
    </row>
    <row r="62">
      <c r="A62" s="15">
        <v>60.0</v>
      </c>
      <c r="B62" s="16" t="s">
        <v>640</v>
      </c>
      <c r="C62" s="18" t="s">
        <v>725</v>
      </c>
      <c r="D62" s="16" t="s">
        <v>750</v>
      </c>
      <c r="E62" s="16" t="s">
        <v>751</v>
      </c>
      <c r="F62" s="16" t="s">
        <v>752</v>
      </c>
      <c r="G62" s="16" t="s">
        <v>728</v>
      </c>
      <c r="H62" s="20" t="s">
        <v>69</v>
      </c>
      <c r="I62" s="21" t="s">
        <v>70</v>
      </c>
      <c r="J62" s="22" t="s">
        <v>71</v>
      </c>
      <c r="K62" s="23">
        <v>4.0</v>
      </c>
      <c r="L62" s="24">
        <v>10.0</v>
      </c>
      <c r="M62" s="24" t="str">
        <f>IFERROR(VLOOKUP(D62,'Chủ đề bài nguồn'!$A$2:$C$735,3,0),"Khác")</f>
        <v>Doanh nghiệp (tài khoản, vay, tài chính)</v>
      </c>
      <c r="N62" s="24"/>
    </row>
    <row r="63">
      <c r="A63" s="15">
        <v>61.0</v>
      </c>
      <c r="B63" s="16" t="s">
        <v>640</v>
      </c>
      <c r="C63" s="18" t="s">
        <v>725</v>
      </c>
      <c r="D63" s="16" t="s">
        <v>754</v>
      </c>
      <c r="E63" s="16" t="s">
        <v>755</v>
      </c>
      <c r="F63" s="16" t="s">
        <v>756</v>
      </c>
      <c r="G63" s="16" t="s">
        <v>728</v>
      </c>
      <c r="H63" s="20" t="s">
        <v>69</v>
      </c>
      <c r="I63" s="21" t="s">
        <v>70</v>
      </c>
      <c r="J63" s="22" t="s">
        <v>71</v>
      </c>
      <c r="K63" s="23">
        <v>4.0</v>
      </c>
      <c r="L63" s="24">
        <v>10.0</v>
      </c>
      <c r="M63" s="24" t="str">
        <f>IFERROR(VLOOKUP(D63,'Chủ đề bài nguồn'!$A$2:$C$735,3,0),"Khác")</f>
        <v>Đầu tư, CCTG, trái phiếu, vàng</v>
      </c>
      <c r="N63" s="24"/>
    </row>
    <row r="64">
      <c r="A64" s="15">
        <v>62.0</v>
      </c>
      <c r="B64" s="16" t="s">
        <v>640</v>
      </c>
      <c r="C64" s="18" t="s">
        <v>725</v>
      </c>
      <c r="D64" s="16" t="s">
        <v>758</v>
      </c>
      <c r="E64" s="16" t="s">
        <v>759</v>
      </c>
      <c r="F64" s="16" t="s">
        <v>760</v>
      </c>
      <c r="G64" s="16" t="s">
        <v>728</v>
      </c>
      <c r="H64" s="20" t="s">
        <v>69</v>
      </c>
      <c r="I64" s="21" t="s">
        <v>70</v>
      </c>
      <c r="J64" s="22" t="s">
        <v>761</v>
      </c>
      <c r="K64" s="23">
        <v>4.0</v>
      </c>
      <c r="L64" s="24">
        <v>10.0</v>
      </c>
      <c r="M64" s="24" t="str">
        <f>IFERROR(VLOOKUP(D64,'Chủ đề bài nguồn'!$A$2:$C$735,3,0),"Khác")</f>
        <v>Thuế</v>
      </c>
      <c r="N64" s="24"/>
    </row>
    <row r="65">
      <c r="A65" s="15">
        <v>63.0</v>
      </c>
      <c r="B65" s="16" t="s">
        <v>640</v>
      </c>
      <c r="C65" s="18" t="s">
        <v>725</v>
      </c>
      <c r="D65" s="16" t="s">
        <v>762</v>
      </c>
      <c r="E65" s="16" t="s">
        <v>763</v>
      </c>
      <c r="F65" s="16" t="s">
        <v>764</v>
      </c>
      <c r="G65" s="16" t="s">
        <v>728</v>
      </c>
      <c r="H65" s="20" t="s">
        <v>69</v>
      </c>
      <c r="I65" s="21" t="s">
        <v>70</v>
      </c>
      <c r="J65" s="22" t="s">
        <v>71</v>
      </c>
      <c r="K65" s="23">
        <v>4.0</v>
      </c>
      <c r="L65" s="24">
        <v>10.0</v>
      </c>
      <c r="M65" s="24" t="str">
        <f>IFERROR(VLOOKUP(D65,'Chủ đề bài nguồn'!$A$2:$C$735,3,0),"Khác")</f>
        <v>Thuế</v>
      </c>
      <c r="N65" s="24"/>
    </row>
    <row r="66">
      <c r="A66" s="15">
        <v>64.0</v>
      </c>
      <c r="B66" s="16" t="s">
        <v>640</v>
      </c>
      <c r="C66" s="18" t="s">
        <v>725</v>
      </c>
      <c r="D66" s="16" t="s">
        <v>766</v>
      </c>
      <c r="E66" s="16" t="s">
        <v>767</v>
      </c>
      <c r="F66" s="16" t="s">
        <v>768</v>
      </c>
      <c r="G66" s="16" t="s">
        <v>728</v>
      </c>
      <c r="H66" s="20" t="s">
        <v>69</v>
      </c>
      <c r="I66" s="21" t="s">
        <v>70</v>
      </c>
      <c r="J66" s="22" t="s">
        <v>71</v>
      </c>
      <c r="K66" s="23">
        <v>4.0</v>
      </c>
      <c r="L66" s="24">
        <v>10.0</v>
      </c>
      <c r="M66" s="24" t="str">
        <f>IFERROR(VLOOKUP(D66,'Chủ đề bài nguồn'!$A$2:$C$735,3,0),"Khác")</f>
        <v>Doanh nghiệp (tài khoản, vay, tài chính)</v>
      </c>
      <c r="N66" s="24"/>
    </row>
    <row r="67">
      <c r="A67" s="15">
        <v>65.0</v>
      </c>
      <c r="B67" s="16" t="s">
        <v>640</v>
      </c>
      <c r="C67" s="18" t="s">
        <v>725</v>
      </c>
      <c r="D67" s="16" t="s">
        <v>769</v>
      </c>
      <c r="E67" s="16" t="s">
        <v>770</v>
      </c>
      <c r="F67" s="16" t="s">
        <v>771</v>
      </c>
      <c r="G67" s="16" t="s">
        <v>728</v>
      </c>
      <c r="H67" s="20" t="s">
        <v>69</v>
      </c>
      <c r="I67" s="21" t="s">
        <v>70</v>
      </c>
      <c r="J67" s="22" t="s">
        <v>71</v>
      </c>
      <c r="K67" s="23">
        <v>4.0</v>
      </c>
      <c r="L67" s="24">
        <v>10.0</v>
      </c>
      <c r="M67" s="24" t="str">
        <f>IFERROR(VLOOKUP(D67,'Chủ đề bài nguồn'!$A$2:$C$735,3,0),"Khác")</f>
        <v>Thuế</v>
      </c>
      <c r="N67" s="24"/>
    </row>
    <row r="68">
      <c r="A68" s="15">
        <v>66.0</v>
      </c>
      <c r="B68" s="16" t="s">
        <v>640</v>
      </c>
      <c r="C68" s="18" t="s">
        <v>725</v>
      </c>
      <c r="D68" s="16" t="s">
        <v>598</v>
      </c>
      <c r="E68" s="16" t="s">
        <v>774</v>
      </c>
      <c r="F68" s="16" t="s">
        <v>775</v>
      </c>
      <c r="G68" s="16" t="s">
        <v>728</v>
      </c>
      <c r="H68" s="20" t="s">
        <v>69</v>
      </c>
      <c r="I68" s="21" t="s">
        <v>70</v>
      </c>
      <c r="J68" s="22" t="s">
        <v>71</v>
      </c>
      <c r="K68" s="23">
        <v>4.0</v>
      </c>
      <c r="L68" s="24">
        <v>10.0</v>
      </c>
      <c r="M68" s="24" t="str">
        <f>IFERROR(VLOOKUP(D68,'Chủ đề bài nguồn'!$A$2:$C$735,3,0),"Khác")</f>
        <v>Thuế</v>
      </c>
      <c r="N68" s="24"/>
    </row>
    <row r="69">
      <c r="A69" s="15">
        <v>67.0</v>
      </c>
      <c r="B69" s="16" t="s">
        <v>640</v>
      </c>
      <c r="C69" s="18" t="s">
        <v>725</v>
      </c>
      <c r="D69" s="16" t="s">
        <v>776</v>
      </c>
      <c r="E69" s="16" t="s">
        <v>777</v>
      </c>
      <c r="F69" s="16" t="s">
        <v>778</v>
      </c>
      <c r="G69" s="16" t="s">
        <v>731</v>
      </c>
      <c r="H69" s="20" t="s">
        <v>69</v>
      </c>
      <c r="I69" s="21" t="s">
        <v>70</v>
      </c>
      <c r="J69" s="22" t="s">
        <v>71</v>
      </c>
      <c r="K69" s="23">
        <v>4.0</v>
      </c>
      <c r="L69" s="24">
        <v>10.0</v>
      </c>
      <c r="M69" s="24" t="str">
        <f>IFERROR(VLOOKUP(D69,'Chủ đề bài nguồn'!$A$2:$C$735,3,0),"Khác")</f>
        <v>Thuế</v>
      </c>
      <c r="N69" s="24"/>
    </row>
    <row r="70">
      <c r="A70" s="15">
        <v>68.0</v>
      </c>
      <c r="B70" s="16" t="s">
        <v>640</v>
      </c>
      <c r="C70" s="18" t="s">
        <v>725</v>
      </c>
      <c r="D70" s="16" t="s">
        <v>779</v>
      </c>
      <c r="E70" s="16" t="s">
        <v>780</v>
      </c>
      <c r="F70" s="16" t="s">
        <v>781</v>
      </c>
      <c r="G70" s="16" t="s">
        <v>728</v>
      </c>
      <c r="H70" s="20" t="s">
        <v>69</v>
      </c>
      <c r="I70" s="21" t="s">
        <v>70</v>
      </c>
      <c r="J70" s="22" t="s">
        <v>782</v>
      </c>
      <c r="K70" s="23">
        <v>4.0</v>
      </c>
      <c r="L70" s="24">
        <v>10.0</v>
      </c>
      <c r="M70" s="24" t="str">
        <f>IFERROR(VLOOKUP(D70,'Chủ đề bài nguồn'!$A$2:$C$735,3,0),"Khác")</f>
        <v>Hộ kinh doanh &amp; bán hàng</v>
      </c>
      <c r="N70" s="24"/>
    </row>
    <row r="71">
      <c r="A71" s="15">
        <v>69.0</v>
      </c>
      <c r="B71" s="16" t="s">
        <v>640</v>
      </c>
      <c r="C71" s="18" t="s">
        <v>725</v>
      </c>
      <c r="D71" s="16" t="s">
        <v>785</v>
      </c>
      <c r="E71" s="16" t="s">
        <v>786</v>
      </c>
      <c r="F71" s="16" t="s">
        <v>787</v>
      </c>
      <c r="G71" s="16" t="s">
        <v>728</v>
      </c>
      <c r="H71" s="20" t="s">
        <v>69</v>
      </c>
      <c r="I71" s="21" t="s">
        <v>70</v>
      </c>
      <c r="J71" s="22" t="s">
        <v>71</v>
      </c>
      <c r="K71" s="23">
        <v>4.0</v>
      </c>
      <c r="L71" s="24">
        <v>10.0</v>
      </c>
      <c r="M71" s="24" t="str">
        <f>IFERROR(VLOOKUP(D71,'Chủ đề bài nguồn'!$A$2:$C$735,3,0),"Khác")</f>
        <v>Thuế</v>
      </c>
      <c r="N71" s="24"/>
    </row>
    <row r="72">
      <c r="A72" s="15">
        <v>70.0</v>
      </c>
      <c r="B72" s="16" t="s">
        <v>640</v>
      </c>
      <c r="C72" s="18" t="s">
        <v>725</v>
      </c>
      <c r="D72" s="16" t="s">
        <v>788</v>
      </c>
      <c r="E72" s="16" t="s">
        <v>789</v>
      </c>
      <c r="F72" s="16" t="s">
        <v>790</v>
      </c>
      <c r="G72" s="16" t="s">
        <v>731</v>
      </c>
      <c r="H72" s="20" t="s">
        <v>69</v>
      </c>
      <c r="I72" s="21" t="s">
        <v>70</v>
      </c>
      <c r="J72" s="22" t="s">
        <v>791</v>
      </c>
      <c r="K72" s="23">
        <v>4.0</v>
      </c>
      <c r="L72" s="24">
        <v>10.0</v>
      </c>
      <c r="M72" s="24" t="str">
        <f>IFERROR(VLOOKUP(D72,'Chủ đề bài nguồn'!$A$2:$C$735,3,0),"Khác")</f>
        <v>Hộ kinh doanh &amp; bán hàng</v>
      </c>
      <c r="N72" s="24"/>
    </row>
    <row r="73">
      <c r="A73" s="15">
        <v>71.0</v>
      </c>
      <c r="B73" s="16" t="s">
        <v>640</v>
      </c>
      <c r="C73" s="18" t="s">
        <v>725</v>
      </c>
      <c r="D73" s="16" t="s">
        <v>793</v>
      </c>
      <c r="E73" s="16" t="s">
        <v>794</v>
      </c>
      <c r="F73" s="16" t="s">
        <v>787</v>
      </c>
      <c r="G73" s="16" t="s">
        <v>728</v>
      </c>
      <c r="H73" s="20" t="s">
        <v>69</v>
      </c>
      <c r="I73" s="21" t="s">
        <v>70</v>
      </c>
      <c r="J73" s="22" t="s">
        <v>71</v>
      </c>
      <c r="K73" s="23">
        <v>4.0</v>
      </c>
      <c r="L73" s="24">
        <v>10.0</v>
      </c>
      <c r="M73" s="24" t="str">
        <f>IFERROR(VLOOKUP(D73,'Chủ đề bài nguồn'!$A$2:$C$735,3,0),"Khác")</f>
        <v>Thuế</v>
      </c>
      <c r="N73" s="24"/>
    </row>
    <row r="74">
      <c r="A74" s="15">
        <v>72.0</v>
      </c>
      <c r="B74" s="16" t="s">
        <v>640</v>
      </c>
      <c r="C74" s="18" t="s">
        <v>725</v>
      </c>
      <c r="D74" s="16" t="s">
        <v>795</v>
      </c>
      <c r="E74" s="16" t="s">
        <v>796</v>
      </c>
      <c r="F74" s="16" t="s">
        <v>797</v>
      </c>
      <c r="G74" s="16" t="s">
        <v>728</v>
      </c>
      <c r="H74" s="20" t="s">
        <v>69</v>
      </c>
      <c r="I74" s="21" t="s">
        <v>70</v>
      </c>
      <c r="J74" s="22" t="s">
        <v>798</v>
      </c>
      <c r="K74" s="23">
        <v>4.0</v>
      </c>
      <c r="L74" s="24">
        <v>10.0</v>
      </c>
      <c r="M74" s="24" t="str">
        <f>IFERROR(VLOOKUP(D74,'Chủ đề bài nguồn'!$A$2:$C$735,3,0),"Khác")</f>
        <v>Hộ kinh doanh &amp; bán hàng</v>
      </c>
      <c r="N74" s="24"/>
    </row>
    <row r="75">
      <c r="A75" s="15">
        <v>73.0</v>
      </c>
      <c r="B75" s="16" t="s">
        <v>640</v>
      </c>
      <c r="C75" s="18" t="s">
        <v>725</v>
      </c>
      <c r="D75" s="16" t="s">
        <v>800</v>
      </c>
      <c r="E75" s="16" t="s">
        <v>801</v>
      </c>
      <c r="F75" s="16" t="s">
        <v>802</v>
      </c>
      <c r="G75" s="16" t="s">
        <v>728</v>
      </c>
      <c r="H75" s="20" t="s">
        <v>155</v>
      </c>
      <c r="I75" s="21" t="s">
        <v>70</v>
      </c>
      <c r="J75" s="22" t="s">
        <v>803</v>
      </c>
      <c r="K75" s="23">
        <v>4.0</v>
      </c>
      <c r="L75" s="24">
        <v>20.0</v>
      </c>
      <c r="M75" s="24" t="str">
        <f>IFERROR(VLOOKUP(D75,'Chủ đề bài nguồn'!$A$2:$C$735,3,0),"Khác")</f>
        <v>Hộ kinh doanh &amp; bán hàng</v>
      </c>
      <c r="N75" s="24"/>
    </row>
    <row r="76">
      <c r="A76" s="15">
        <v>74.0</v>
      </c>
      <c r="B76" s="16" t="s">
        <v>640</v>
      </c>
      <c r="C76" s="18" t="s">
        <v>725</v>
      </c>
      <c r="D76" s="16" t="s">
        <v>805</v>
      </c>
      <c r="E76" s="16" t="s">
        <v>806</v>
      </c>
      <c r="F76" s="16" t="s">
        <v>807</v>
      </c>
      <c r="G76" s="16" t="s">
        <v>808</v>
      </c>
      <c r="H76" s="20" t="s">
        <v>155</v>
      </c>
      <c r="I76" s="21" t="s">
        <v>70</v>
      </c>
      <c r="J76" s="22" t="s">
        <v>809</v>
      </c>
      <c r="K76" s="23">
        <v>4.0</v>
      </c>
      <c r="L76" s="24">
        <v>21.0</v>
      </c>
      <c r="M76" s="24" t="str">
        <f>IFERROR(VLOOKUP(D76,'Chủ đề bài nguồn'!$A$2:$C$735,3,0),"Khác")</f>
        <v>Doanh nghiệp (tài khoản, vay, tài chính)</v>
      </c>
      <c r="N76" s="24"/>
    </row>
    <row r="77">
      <c r="A77" s="15">
        <v>75.0</v>
      </c>
      <c r="B77" s="16" t="s">
        <v>640</v>
      </c>
      <c r="C77" s="18" t="s">
        <v>725</v>
      </c>
      <c r="D77" s="16" t="s">
        <v>811</v>
      </c>
      <c r="E77" s="16" t="s">
        <v>812</v>
      </c>
      <c r="F77" s="16" t="s">
        <v>813</v>
      </c>
      <c r="G77" s="16" t="s">
        <v>814</v>
      </c>
      <c r="H77" s="20" t="s">
        <v>155</v>
      </c>
      <c r="I77" s="21" t="s">
        <v>70</v>
      </c>
      <c r="J77" s="22" t="s">
        <v>809</v>
      </c>
      <c r="K77" s="23">
        <v>4.0</v>
      </c>
      <c r="L77" s="24">
        <v>21.0</v>
      </c>
      <c r="M77" s="24" t="str">
        <f>IFERROR(VLOOKUP(D77,'Chủ đề bài nguồn'!$A$2:$C$735,3,0),"Khác")</f>
        <v>Hộ kinh doanh &amp; bán hàng</v>
      </c>
      <c r="N77" s="24"/>
    </row>
    <row r="78">
      <c r="A78" s="15">
        <v>76.0</v>
      </c>
      <c r="B78" s="16" t="s">
        <v>640</v>
      </c>
      <c r="C78" s="18" t="s">
        <v>725</v>
      </c>
      <c r="D78" s="16" t="s">
        <v>765</v>
      </c>
      <c r="E78" s="16" t="s">
        <v>816</v>
      </c>
      <c r="F78" s="16" t="s">
        <v>817</v>
      </c>
      <c r="G78" s="16" t="s">
        <v>818</v>
      </c>
      <c r="H78" s="20" t="s">
        <v>155</v>
      </c>
      <c r="I78" s="21" t="s">
        <v>70</v>
      </c>
      <c r="J78" s="22" t="s">
        <v>819</v>
      </c>
      <c r="K78" s="23">
        <v>4.0</v>
      </c>
      <c r="L78" s="24">
        <v>21.0</v>
      </c>
      <c r="M78" s="24" t="str">
        <f>IFERROR(VLOOKUP(D78,'Chủ đề bài nguồn'!$A$2:$C$735,3,0),"Khác")</f>
        <v>Thuế</v>
      </c>
      <c r="N78" s="24"/>
    </row>
    <row r="79">
      <c r="A79" s="15">
        <v>77.0</v>
      </c>
      <c r="B79" s="16" t="s">
        <v>640</v>
      </c>
      <c r="C79" s="18" t="s">
        <v>725</v>
      </c>
      <c r="D79" s="16" t="s">
        <v>701</v>
      </c>
      <c r="E79" s="16" t="s">
        <v>820</v>
      </c>
      <c r="F79" s="16" t="s">
        <v>821</v>
      </c>
      <c r="G79" s="16" t="s">
        <v>822</v>
      </c>
      <c r="H79" s="20" t="s">
        <v>155</v>
      </c>
      <c r="I79" s="21" t="s">
        <v>70</v>
      </c>
      <c r="J79" s="22" t="s">
        <v>824</v>
      </c>
      <c r="K79" s="23">
        <v>4.0</v>
      </c>
      <c r="L79" s="24">
        <v>21.0</v>
      </c>
      <c r="M79" s="24" t="str">
        <f>IFERROR(VLOOKUP(D79,'Chủ đề bài nguồn'!$A$2:$C$735,3,0),"Khác")</f>
        <v>Thuế</v>
      </c>
      <c r="N79" s="24"/>
    </row>
    <row r="80">
      <c r="A80" s="15">
        <v>78.0</v>
      </c>
      <c r="B80" s="16" t="s">
        <v>640</v>
      </c>
      <c r="C80" s="18" t="s">
        <v>725</v>
      </c>
      <c r="D80" s="16" t="s">
        <v>825</v>
      </c>
      <c r="E80" s="16" t="s">
        <v>826</v>
      </c>
      <c r="F80" s="16" t="s">
        <v>827</v>
      </c>
      <c r="G80" s="16" t="s">
        <v>828</v>
      </c>
      <c r="H80" s="20" t="s">
        <v>155</v>
      </c>
      <c r="I80" s="21" t="s">
        <v>70</v>
      </c>
      <c r="J80" s="22" t="s">
        <v>71</v>
      </c>
      <c r="K80" s="23">
        <v>4.0</v>
      </c>
      <c r="L80" s="24">
        <v>21.0</v>
      </c>
      <c r="M80" s="24" t="str">
        <f>IFERROR(VLOOKUP(D80,'Chủ đề bài nguồn'!$A$2:$C$735,3,0),"Khác")</f>
        <v>Doanh nghiệp (tài khoản, vay, tài chính)</v>
      </c>
      <c r="N80" s="24"/>
    </row>
    <row r="81">
      <c r="A81" s="15">
        <v>79.0</v>
      </c>
      <c r="B81" s="16" t="s">
        <v>640</v>
      </c>
      <c r="C81" s="18" t="s">
        <v>725</v>
      </c>
      <c r="D81" s="16" t="s">
        <v>829</v>
      </c>
      <c r="E81" s="16" t="s">
        <v>831</v>
      </c>
      <c r="F81" s="16" t="s">
        <v>832</v>
      </c>
      <c r="G81" s="16" t="s">
        <v>833</v>
      </c>
      <c r="H81" s="20" t="s">
        <v>155</v>
      </c>
      <c r="I81" s="21" t="s">
        <v>70</v>
      </c>
      <c r="J81" s="22" t="s">
        <v>71</v>
      </c>
      <c r="K81" s="23">
        <v>4.0</v>
      </c>
      <c r="L81" s="24">
        <v>21.0</v>
      </c>
      <c r="M81" s="24" t="str">
        <f>IFERROR(VLOOKUP(D81,'Chủ đề bài nguồn'!$A$2:$C$735,3,0),"Khác")</f>
        <v>Doanh nghiệp (tài khoản, vay, tài chính)</v>
      </c>
      <c r="N81" s="24"/>
    </row>
    <row r="82">
      <c r="A82" s="15">
        <v>80.0</v>
      </c>
      <c r="B82" s="39" t="s">
        <v>640</v>
      </c>
      <c r="C82" s="18" t="s">
        <v>725</v>
      </c>
      <c r="D82" s="39" t="s">
        <v>836</v>
      </c>
      <c r="E82" s="16" t="s">
        <v>837</v>
      </c>
      <c r="F82" s="16" t="s">
        <v>838</v>
      </c>
      <c r="G82" s="16" t="s">
        <v>839</v>
      </c>
      <c r="H82" s="20" t="s">
        <v>155</v>
      </c>
      <c r="I82" s="21" t="s">
        <v>70</v>
      </c>
      <c r="J82" s="22" t="s">
        <v>71</v>
      </c>
      <c r="K82" s="23">
        <v>4.0</v>
      </c>
      <c r="L82" s="24">
        <v>21.0</v>
      </c>
      <c r="M82" s="24" t="str">
        <f>IFERROR(VLOOKUP(D82,'Chủ đề bài nguồn'!$A$2:$C$735,3,0),"Khác")</f>
        <v>Thuế</v>
      </c>
      <c r="N82" s="24"/>
    </row>
    <row r="83">
      <c r="A83" s="15">
        <v>81.0</v>
      </c>
      <c r="B83" s="16" t="s">
        <v>640</v>
      </c>
      <c r="C83" s="18" t="s">
        <v>725</v>
      </c>
      <c r="D83" s="16" t="s">
        <v>719</v>
      </c>
      <c r="E83" s="16" t="s">
        <v>843</v>
      </c>
      <c r="F83" s="16" t="s">
        <v>844</v>
      </c>
      <c r="G83" s="16" t="s">
        <v>845</v>
      </c>
      <c r="H83" s="20" t="s">
        <v>155</v>
      </c>
      <c r="I83" s="21" t="s">
        <v>70</v>
      </c>
      <c r="J83" s="22" t="s">
        <v>846</v>
      </c>
      <c r="K83" s="23">
        <v>4.0</v>
      </c>
      <c r="L83" s="24">
        <v>21.0</v>
      </c>
      <c r="M83" s="24" t="str">
        <f>IFERROR(VLOOKUP(D83,'Chủ đề bài nguồn'!$A$2:$C$735,3,0),"Khác")</f>
        <v>Thuế</v>
      </c>
      <c r="N83" s="24"/>
    </row>
    <row r="84">
      <c r="A84" s="15">
        <v>82.0</v>
      </c>
      <c r="B84" s="16" t="s">
        <v>640</v>
      </c>
      <c r="C84" s="18" t="s">
        <v>847</v>
      </c>
      <c r="D84" s="16" t="s">
        <v>316</v>
      </c>
      <c r="E84" s="16" t="s">
        <v>816</v>
      </c>
      <c r="F84" s="16" t="s">
        <v>848</v>
      </c>
      <c r="G84" s="16" t="s">
        <v>849</v>
      </c>
      <c r="H84" s="20" t="s">
        <v>155</v>
      </c>
      <c r="I84" s="21" t="s">
        <v>70</v>
      </c>
      <c r="J84" s="22" t="s">
        <v>851</v>
      </c>
      <c r="K84" s="23">
        <v>4.0</v>
      </c>
      <c r="L84" s="24">
        <v>21.0</v>
      </c>
      <c r="M84" s="24" t="str">
        <f>IFERROR(VLOOKUP(D84,'Chủ đề bài nguồn'!$A$2:$C$735,3,0),"Khác")</f>
        <v>Thuế</v>
      </c>
      <c r="N84" s="24"/>
    </row>
    <row r="85">
      <c r="A85" s="15">
        <v>83.0</v>
      </c>
      <c r="B85" s="16" t="s">
        <v>640</v>
      </c>
      <c r="C85" s="18" t="s">
        <v>725</v>
      </c>
      <c r="D85" s="16" t="s">
        <v>852</v>
      </c>
      <c r="E85" s="16" t="s">
        <v>853</v>
      </c>
      <c r="F85" s="16" t="s">
        <v>854</v>
      </c>
      <c r="G85" s="16" t="s">
        <v>855</v>
      </c>
      <c r="H85" s="20" t="s">
        <v>229</v>
      </c>
      <c r="I85" s="21" t="s">
        <v>70</v>
      </c>
      <c r="J85" s="22" t="s">
        <v>856</v>
      </c>
      <c r="K85" s="23">
        <v>4.0</v>
      </c>
      <c r="L85" s="24">
        <v>31.0</v>
      </c>
      <c r="M85" s="24" t="str">
        <f>IFERROR(VLOOKUP(D85,'Chủ đề bài nguồn'!$A$2:$C$735,3,0),"Khác")</f>
        <v>Thuế</v>
      </c>
      <c r="N85" s="24"/>
    </row>
    <row r="86">
      <c r="A86" s="15">
        <v>84.0</v>
      </c>
      <c r="B86" s="16" t="s">
        <v>640</v>
      </c>
      <c r="C86" s="18" t="s">
        <v>725</v>
      </c>
      <c r="D86" s="16" t="s">
        <v>494</v>
      </c>
      <c r="E86" s="16" t="s">
        <v>857</v>
      </c>
      <c r="F86" s="16" t="s">
        <v>858</v>
      </c>
      <c r="G86" s="16" t="s">
        <v>859</v>
      </c>
      <c r="H86" s="20" t="s">
        <v>229</v>
      </c>
      <c r="I86" s="21" t="s">
        <v>70</v>
      </c>
      <c r="J86" s="22" t="s">
        <v>71</v>
      </c>
      <c r="K86" s="23">
        <v>4.0</v>
      </c>
      <c r="L86" s="24">
        <v>31.0</v>
      </c>
      <c r="M86" s="24" t="str">
        <f>IFERROR(VLOOKUP(D86,'Chủ đề bài nguồn'!$A$2:$C$735,3,0),"Khác")</f>
        <v>Doanh nghiệp (tài khoản, vay, tài chính)</v>
      </c>
      <c r="N86" s="24"/>
    </row>
    <row r="87">
      <c r="A87" s="15">
        <v>85.0</v>
      </c>
      <c r="B87" s="16" t="s">
        <v>640</v>
      </c>
      <c r="C87" s="18" t="s">
        <v>725</v>
      </c>
      <c r="D87" s="16" t="s">
        <v>860</v>
      </c>
      <c r="E87" s="16" t="s">
        <v>861</v>
      </c>
      <c r="F87" s="16" t="s">
        <v>862</v>
      </c>
      <c r="G87" s="16" t="s">
        <v>863</v>
      </c>
      <c r="H87" s="20" t="s">
        <v>229</v>
      </c>
      <c r="I87" s="21" t="s">
        <v>70</v>
      </c>
      <c r="J87" s="22" t="s">
        <v>71</v>
      </c>
      <c r="K87" s="23">
        <v>4.0</v>
      </c>
      <c r="L87" s="24">
        <v>31.0</v>
      </c>
      <c r="M87" s="24" t="str">
        <f>IFERROR(VLOOKUP(D87,'Chủ đề bài nguồn'!$A$2:$C$735,3,0),"Khác")</f>
        <v>Doanh nghiệp (tài khoản, vay, tài chính)</v>
      </c>
      <c r="N87" s="24"/>
    </row>
    <row r="88">
      <c r="A88" s="15">
        <v>86.0</v>
      </c>
      <c r="B88" s="16" t="s">
        <v>640</v>
      </c>
      <c r="C88" s="18" t="s">
        <v>725</v>
      </c>
      <c r="D88" s="16" t="s">
        <v>665</v>
      </c>
      <c r="E88" s="16" t="s">
        <v>666</v>
      </c>
      <c r="F88" s="16" t="s">
        <v>865</v>
      </c>
      <c r="G88" s="16" t="s">
        <v>866</v>
      </c>
      <c r="H88" s="20" t="s">
        <v>229</v>
      </c>
      <c r="I88" s="21" t="s">
        <v>70</v>
      </c>
      <c r="J88" s="22" t="s">
        <v>71</v>
      </c>
      <c r="K88" s="23">
        <v>4.0</v>
      </c>
      <c r="L88" s="24">
        <v>31.0</v>
      </c>
      <c r="M88" s="24" t="str">
        <f>IFERROR(VLOOKUP(D88,'Chủ đề bài nguồn'!$A$2:$C$735,3,0),"Khác")</f>
        <v>Hộ kinh doanh &amp; bán hàng</v>
      </c>
      <c r="N88" s="24"/>
    </row>
    <row r="89">
      <c r="A89" s="15">
        <v>87.0</v>
      </c>
      <c r="B89" s="16" t="s">
        <v>640</v>
      </c>
      <c r="C89" s="18" t="s">
        <v>725</v>
      </c>
      <c r="D89" s="16" t="s">
        <v>868</v>
      </c>
      <c r="E89" s="16" t="s">
        <v>869</v>
      </c>
      <c r="F89" s="16" t="s">
        <v>870</v>
      </c>
      <c r="G89" s="16" t="s">
        <v>871</v>
      </c>
      <c r="H89" s="20" t="s">
        <v>229</v>
      </c>
      <c r="I89" s="21" t="s">
        <v>70</v>
      </c>
      <c r="J89" s="22" t="s">
        <v>71</v>
      </c>
      <c r="K89" s="23">
        <v>4.0</v>
      </c>
      <c r="L89" s="24">
        <v>31.0</v>
      </c>
      <c r="M89" s="24" t="str">
        <f>IFERROR(VLOOKUP(D89,'Chủ đề bài nguồn'!$A$2:$C$735,3,0),"Khác")</f>
        <v>Doanh nghiệp (tài khoản, vay, tài chính)</v>
      </c>
      <c r="N89" s="24"/>
    </row>
    <row r="90">
      <c r="A90" s="15">
        <v>88.0</v>
      </c>
      <c r="B90" s="16" t="s">
        <v>640</v>
      </c>
      <c r="C90" s="18" t="s">
        <v>725</v>
      </c>
      <c r="D90" s="16" t="s">
        <v>872</v>
      </c>
      <c r="E90" s="16" t="s">
        <v>873</v>
      </c>
      <c r="F90" s="16" t="s">
        <v>874</v>
      </c>
      <c r="G90" s="16" t="s">
        <v>875</v>
      </c>
      <c r="H90" s="20" t="s">
        <v>229</v>
      </c>
      <c r="I90" s="21" t="s">
        <v>70</v>
      </c>
      <c r="J90" s="22" t="s">
        <v>71</v>
      </c>
      <c r="K90" s="23">
        <v>4.0</v>
      </c>
      <c r="L90" s="24">
        <v>31.0</v>
      </c>
      <c r="M90" s="24" t="str">
        <f>IFERROR(VLOOKUP(D90,'Chủ đề bài nguồn'!$A$2:$C$735,3,0),"Khác")</f>
        <v>Doanh nghiệp (tài khoản, vay, tài chính)</v>
      </c>
      <c r="N90" s="24"/>
    </row>
    <row r="91">
      <c r="A91" s="15">
        <v>89.0</v>
      </c>
      <c r="B91" s="16" t="s">
        <v>640</v>
      </c>
      <c r="C91" s="18" t="s">
        <v>725</v>
      </c>
      <c r="D91" s="16" t="s">
        <v>675</v>
      </c>
      <c r="E91" s="16" t="s">
        <v>877</v>
      </c>
      <c r="F91" s="16" t="s">
        <v>878</v>
      </c>
      <c r="G91" s="16" t="s">
        <v>879</v>
      </c>
      <c r="H91" s="20" t="s">
        <v>229</v>
      </c>
      <c r="I91" s="21" t="s">
        <v>70</v>
      </c>
      <c r="J91" s="22" t="s">
        <v>71</v>
      </c>
      <c r="K91" s="23">
        <v>4.0</v>
      </c>
      <c r="L91" s="24">
        <v>31.0</v>
      </c>
      <c r="M91" s="24" t="str">
        <f>IFERROR(VLOOKUP(D91,'Chủ đề bài nguồn'!$A$2:$C$735,3,0),"Khác")</f>
        <v>Doanh nghiệp (tài khoản, vay, tài chính)</v>
      </c>
      <c r="N91" s="24"/>
    </row>
    <row r="92">
      <c r="A92" s="15">
        <v>90.0</v>
      </c>
      <c r="B92" s="16" t="s">
        <v>640</v>
      </c>
      <c r="C92" s="18" t="s">
        <v>725</v>
      </c>
      <c r="D92" s="16" t="s">
        <v>880</v>
      </c>
      <c r="E92" s="16" t="s">
        <v>881</v>
      </c>
      <c r="F92" s="16" t="s">
        <v>882</v>
      </c>
      <c r="G92" s="16" t="s">
        <v>883</v>
      </c>
      <c r="H92" s="20" t="s">
        <v>229</v>
      </c>
      <c r="I92" s="21" t="s">
        <v>70</v>
      </c>
      <c r="J92" s="22" t="s">
        <v>884</v>
      </c>
      <c r="K92" s="23">
        <v>4.0</v>
      </c>
      <c r="L92" s="24">
        <v>31.0</v>
      </c>
      <c r="M92" s="24" t="str">
        <f>IFERROR(VLOOKUP(D92,'Chủ đề bài nguồn'!$A$2:$C$735,3,0),"Khác")</f>
        <v>Doanh nghiệp (tài khoản, vay, tài chính)</v>
      </c>
      <c r="N92" s="24"/>
    </row>
    <row r="93">
      <c r="A93" s="15">
        <v>91.0</v>
      </c>
      <c r="B93" s="39" t="s">
        <v>640</v>
      </c>
      <c r="C93" s="18" t="s">
        <v>725</v>
      </c>
      <c r="D93" s="39" t="s">
        <v>887</v>
      </c>
      <c r="E93" s="16" t="s">
        <v>889</v>
      </c>
      <c r="F93" s="16" t="s">
        <v>890</v>
      </c>
      <c r="G93" s="16" t="s">
        <v>891</v>
      </c>
      <c r="H93" s="20" t="s">
        <v>229</v>
      </c>
      <c r="I93" s="21" t="s">
        <v>70</v>
      </c>
      <c r="J93" s="22" t="s">
        <v>71</v>
      </c>
      <c r="K93" s="23">
        <v>4.0</v>
      </c>
      <c r="L93" s="24">
        <v>31.0</v>
      </c>
      <c r="M93" s="24" t="str">
        <f>IFERROR(VLOOKUP(D93,'Chủ đề bài nguồn'!$A$2:$C$735,3,0),"Khác")</f>
        <v>Hộ kinh doanh &amp; bán hàng</v>
      </c>
      <c r="N93" s="24"/>
    </row>
    <row r="94">
      <c r="A94" s="15">
        <v>92.0</v>
      </c>
      <c r="B94" s="39" t="s">
        <v>640</v>
      </c>
      <c r="C94" s="18" t="s">
        <v>725</v>
      </c>
      <c r="D94" s="39" t="s">
        <v>892</v>
      </c>
      <c r="E94" s="16" t="s">
        <v>894</v>
      </c>
      <c r="F94" s="16" t="s">
        <v>895</v>
      </c>
      <c r="G94" s="16" t="s">
        <v>814</v>
      </c>
      <c r="H94" s="20" t="s">
        <v>229</v>
      </c>
      <c r="I94" s="21" t="s">
        <v>70</v>
      </c>
      <c r="J94" s="22" t="s">
        <v>896</v>
      </c>
      <c r="K94" s="23">
        <v>4.0</v>
      </c>
      <c r="L94" s="24">
        <v>31.0</v>
      </c>
      <c r="M94" s="24" t="str">
        <f>IFERROR(VLOOKUP(D94,'Chủ đề bài nguồn'!$A$2:$C$735,3,0),"Khác")</f>
        <v>Doanh nghiệp (tài khoản, vay, tài chính)</v>
      </c>
      <c r="N94" s="24"/>
    </row>
    <row r="95">
      <c r="A95" s="15">
        <v>93.0</v>
      </c>
      <c r="B95" s="16" t="s">
        <v>640</v>
      </c>
      <c r="C95" s="18" t="s">
        <v>847</v>
      </c>
      <c r="D95" s="16" t="s">
        <v>615</v>
      </c>
      <c r="E95" s="16" t="s">
        <v>616</v>
      </c>
      <c r="F95" s="16" t="s">
        <v>897</v>
      </c>
      <c r="G95" s="16" t="s">
        <v>898</v>
      </c>
      <c r="H95" s="20" t="s">
        <v>229</v>
      </c>
      <c r="I95" s="21" t="s">
        <v>70</v>
      </c>
      <c r="J95" s="22" t="s">
        <v>899</v>
      </c>
      <c r="K95" s="23">
        <v>4.0</v>
      </c>
      <c r="L95" s="24">
        <v>31.0</v>
      </c>
      <c r="M95" s="24" t="str">
        <f>IFERROR(VLOOKUP(D95,'Chủ đề bài nguồn'!$A$2:$C$735,3,0),"Khác")</f>
        <v>Hộ kinh doanh &amp; bán hàng</v>
      </c>
      <c r="N95" s="24"/>
    </row>
    <row r="96">
      <c r="A96" s="15">
        <v>94.0</v>
      </c>
      <c r="B96" s="16" t="s">
        <v>640</v>
      </c>
      <c r="C96" s="18" t="s">
        <v>847</v>
      </c>
      <c r="D96" s="16" t="s">
        <v>901</v>
      </c>
      <c r="E96" s="16" t="s">
        <v>902</v>
      </c>
      <c r="F96" s="16" t="s">
        <v>903</v>
      </c>
      <c r="G96" s="16" t="s">
        <v>898</v>
      </c>
      <c r="H96" s="20" t="s">
        <v>229</v>
      </c>
      <c r="I96" s="21" t="s">
        <v>70</v>
      </c>
      <c r="J96" s="40" t="s">
        <v>904</v>
      </c>
      <c r="K96" s="23">
        <v>4.0</v>
      </c>
      <c r="L96" s="24">
        <v>31.0</v>
      </c>
      <c r="M96" s="24" t="str">
        <f>IFERROR(VLOOKUP(D96,'Chủ đề bài nguồn'!$A$2:$C$735,3,0),"Khác")</f>
        <v>Thuế</v>
      </c>
      <c r="N96" s="24"/>
    </row>
    <row r="97">
      <c r="A97" s="15">
        <v>95.0</v>
      </c>
      <c r="B97" s="16" t="s">
        <v>753</v>
      </c>
      <c r="C97" s="18" t="s">
        <v>905</v>
      </c>
      <c r="D97" s="16" t="s">
        <v>776</v>
      </c>
      <c r="E97" s="16" t="s">
        <v>777</v>
      </c>
      <c r="F97" s="16" t="s">
        <v>906</v>
      </c>
      <c r="G97" s="16" t="s">
        <v>907</v>
      </c>
      <c r="H97" s="20" t="s">
        <v>69</v>
      </c>
      <c r="I97" s="21" t="s">
        <v>70</v>
      </c>
      <c r="J97" s="22" t="s">
        <v>71</v>
      </c>
      <c r="K97" s="23">
        <v>5.0</v>
      </c>
      <c r="L97" s="24">
        <v>10.0</v>
      </c>
      <c r="M97" s="24" t="str">
        <f>IFERROR(VLOOKUP(D97,'Chủ đề bài nguồn'!$A$2:$C$735,3,0),"Khác")</f>
        <v>Thuế</v>
      </c>
      <c r="N97" s="24"/>
    </row>
    <row r="98">
      <c r="A98" s="15">
        <v>96.0</v>
      </c>
      <c r="B98" s="16" t="s">
        <v>753</v>
      </c>
      <c r="C98" s="18" t="s">
        <v>905</v>
      </c>
      <c r="D98" s="16" t="s">
        <v>910</v>
      </c>
      <c r="E98" s="16" t="s">
        <v>911</v>
      </c>
      <c r="F98" s="16" t="s">
        <v>912</v>
      </c>
      <c r="G98" s="16" t="s">
        <v>913</v>
      </c>
      <c r="H98" s="20" t="s">
        <v>69</v>
      </c>
      <c r="I98" s="21" t="s">
        <v>70</v>
      </c>
      <c r="J98" s="22" t="s">
        <v>71</v>
      </c>
      <c r="K98" s="23">
        <v>5.0</v>
      </c>
      <c r="L98" s="24">
        <v>10.0</v>
      </c>
      <c r="M98" s="24" t="str">
        <f>IFERROR(VLOOKUP(D98,'Chủ đề bài nguồn'!$A$2:$C$735,3,0),"Khác")</f>
        <v>Thanh toán, chuyển khoản &amp; QR</v>
      </c>
      <c r="N98" s="24"/>
    </row>
    <row r="99">
      <c r="A99" s="15">
        <v>97.0</v>
      </c>
      <c r="B99" s="16" t="s">
        <v>753</v>
      </c>
      <c r="C99" s="18" t="s">
        <v>905</v>
      </c>
      <c r="D99" s="16" t="s">
        <v>915</v>
      </c>
      <c r="E99" s="16" t="s">
        <v>916</v>
      </c>
      <c r="F99" s="16" t="s">
        <v>917</v>
      </c>
      <c r="G99" s="16" t="s">
        <v>913</v>
      </c>
      <c r="H99" s="20" t="s">
        <v>69</v>
      </c>
      <c r="I99" s="21" t="s">
        <v>70</v>
      </c>
      <c r="J99" s="22" t="s">
        <v>71</v>
      </c>
      <c r="K99" s="23">
        <v>5.0</v>
      </c>
      <c r="L99" s="24">
        <v>10.0</v>
      </c>
      <c r="M99" s="24" t="str">
        <f>IFERROR(VLOOKUP(D99,'Chủ đề bài nguồn'!$A$2:$C$735,3,0),"Khác")</f>
        <v>Hộ kinh doanh &amp; bán hàng</v>
      </c>
      <c r="N99" s="24"/>
    </row>
    <row r="100">
      <c r="A100" s="15">
        <v>98.0</v>
      </c>
      <c r="B100" s="16" t="s">
        <v>753</v>
      </c>
      <c r="C100" s="18" t="s">
        <v>905</v>
      </c>
      <c r="D100" s="16" t="s">
        <v>785</v>
      </c>
      <c r="E100" s="16" t="s">
        <v>786</v>
      </c>
      <c r="F100" s="16" t="s">
        <v>919</v>
      </c>
      <c r="G100" s="16" t="s">
        <v>907</v>
      </c>
      <c r="H100" s="20" t="s">
        <v>69</v>
      </c>
      <c r="I100" s="21" t="s">
        <v>70</v>
      </c>
      <c r="J100" s="22" t="s">
        <v>71</v>
      </c>
      <c r="K100" s="23">
        <v>5.0</v>
      </c>
      <c r="L100" s="24">
        <v>10.0</v>
      </c>
      <c r="M100" s="24" t="str">
        <f>IFERROR(VLOOKUP(D100,'Chủ đề bài nguồn'!$A$2:$C$735,3,0),"Khác")</f>
        <v>Thuế</v>
      </c>
      <c r="N100" s="24"/>
    </row>
    <row r="101">
      <c r="A101" s="15">
        <v>99.0</v>
      </c>
      <c r="B101" s="16" t="s">
        <v>753</v>
      </c>
      <c r="C101" s="18" t="s">
        <v>905</v>
      </c>
      <c r="D101" s="16" t="s">
        <v>769</v>
      </c>
      <c r="E101" s="16" t="s">
        <v>770</v>
      </c>
      <c r="F101" s="16" t="s">
        <v>919</v>
      </c>
      <c r="G101" s="16" t="s">
        <v>907</v>
      </c>
      <c r="H101" s="20" t="s">
        <v>69</v>
      </c>
      <c r="I101" s="21" t="s">
        <v>70</v>
      </c>
      <c r="J101" s="22" t="s">
        <v>71</v>
      </c>
      <c r="K101" s="23">
        <v>5.0</v>
      </c>
      <c r="L101" s="24">
        <v>10.0</v>
      </c>
      <c r="M101" s="24" t="str">
        <f>IFERROR(VLOOKUP(D101,'Chủ đề bài nguồn'!$A$2:$C$735,3,0),"Khác")</f>
        <v>Thuế</v>
      </c>
      <c r="N101" s="24"/>
    </row>
    <row r="102">
      <c r="A102" s="15">
        <v>100.0</v>
      </c>
      <c r="B102" s="16" t="s">
        <v>753</v>
      </c>
      <c r="C102" s="18" t="s">
        <v>905</v>
      </c>
      <c r="D102" s="16" t="s">
        <v>800</v>
      </c>
      <c r="E102" s="16" t="s">
        <v>920</v>
      </c>
      <c r="F102" s="16" t="s">
        <v>921</v>
      </c>
      <c r="G102" s="16" t="s">
        <v>913</v>
      </c>
      <c r="H102" s="20" t="s">
        <v>69</v>
      </c>
      <c r="I102" s="21" t="s">
        <v>70</v>
      </c>
      <c r="J102" s="22" t="s">
        <v>71</v>
      </c>
      <c r="K102" s="23">
        <v>5.0</v>
      </c>
      <c r="L102" s="24">
        <v>10.0</v>
      </c>
      <c r="M102" s="24" t="str">
        <f>IFERROR(VLOOKUP(D102,'Chủ đề bài nguồn'!$A$2:$C$735,3,0),"Khác")</f>
        <v>Hộ kinh doanh &amp; bán hàng</v>
      </c>
      <c r="N102" s="24"/>
    </row>
    <row r="103">
      <c r="A103" s="15">
        <v>101.0</v>
      </c>
      <c r="B103" s="16" t="s">
        <v>753</v>
      </c>
      <c r="C103" s="18" t="s">
        <v>905</v>
      </c>
      <c r="D103" s="16" t="s">
        <v>779</v>
      </c>
      <c r="E103" s="16" t="s">
        <v>923</v>
      </c>
      <c r="F103" s="16" t="s">
        <v>924</v>
      </c>
      <c r="G103" s="16" t="s">
        <v>913</v>
      </c>
      <c r="H103" s="20" t="s">
        <v>69</v>
      </c>
      <c r="I103" s="21" t="s">
        <v>70</v>
      </c>
      <c r="J103" s="22" t="s">
        <v>71</v>
      </c>
      <c r="K103" s="23">
        <v>5.0</v>
      </c>
      <c r="L103" s="24">
        <v>10.0</v>
      </c>
      <c r="M103" s="24" t="str">
        <f>IFERROR(VLOOKUP(D103,'Chủ đề bài nguồn'!$A$2:$C$735,3,0),"Khác")</f>
        <v>Hộ kinh doanh &amp; bán hàng</v>
      </c>
      <c r="N103" s="24"/>
    </row>
    <row r="104">
      <c r="A104" s="15">
        <v>102.0</v>
      </c>
      <c r="B104" s="16" t="s">
        <v>753</v>
      </c>
      <c r="C104" s="18" t="s">
        <v>815</v>
      </c>
      <c r="D104" s="16" t="s">
        <v>852</v>
      </c>
      <c r="E104" s="16" t="s">
        <v>927</v>
      </c>
      <c r="F104" s="16" t="s">
        <v>928</v>
      </c>
      <c r="G104" s="16" t="s">
        <v>929</v>
      </c>
      <c r="H104" s="20" t="s">
        <v>69</v>
      </c>
      <c r="I104" s="21" t="s">
        <v>70</v>
      </c>
      <c r="J104" s="22" t="s">
        <v>71</v>
      </c>
      <c r="K104" s="23">
        <v>5.0</v>
      </c>
      <c r="L104" s="24">
        <v>10.0</v>
      </c>
      <c r="M104" s="24" t="str">
        <f>IFERROR(VLOOKUP(D104,'Chủ đề bài nguồn'!$A$2:$C$735,3,0),"Khác")</f>
        <v>Thuế</v>
      </c>
      <c r="N104" s="24"/>
    </row>
    <row r="105">
      <c r="A105" s="15">
        <v>103.0</v>
      </c>
      <c r="B105" s="16" t="s">
        <v>753</v>
      </c>
      <c r="C105" s="18" t="s">
        <v>905</v>
      </c>
      <c r="D105" s="16" t="s">
        <v>773</v>
      </c>
      <c r="E105" s="16" t="s">
        <v>930</v>
      </c>
      <c r="F105" s="16" t="s">
        <v>931</v>
      </c>
      <c r="G105" s="16" t="s">
        <v>932</v>
      </c>
      <c r="H105" s="20" t="s">
        <v>69</v>
      </c>
      <c r="I105" s="21" t="s">
        <v>70</v>
      </c>
      <c r="J105" s="22" t="s">
        <v>933</v>
      </c>
      <c r="K105" s="23">
        <v>5.0</v>
      </c>
      <c r="L105" s="24">
        <v>11.0</v>
      </c>
      <c r="M105" s="24" t="str">
        <f>IFERROR(VLOOKUP(D105,'Chủ đề bài nguồn'!$A$2:$C$735,3,0),"Khác")</f>
        <v>Doanh nghiệp (tài khoản, vay, tài chính)</v>
      </c>
      <c r="N105" s="24"/>
    </row>
    <row r="106">
      <c r="A106" s="15">
        <v>104.0</v>
      </c>
      <c r="B106" s="16" t="s">
        <v>753</v>
      </c>
      <c r="C106" s="18" t="s">
        <v>905</v>
      </c>
      <c r="D106" s="16" t="s">
        <v>793</v>
      </c>
      <c r="E106" s="16" t="s">
        <v>935</v>
      </c>
      <c r="F106" s="16" t="s">
        <v>936</v>
      </c>
      <c r="G106" s="16" t="s">
        <v>937</v>
      </c>
      <c r="H106" s="20" t="s">
        <v>69</v>
      </c>
      <c r="I106" s="21" t="s">
        <v>70</v>
      </c>
      <c r="J106" s="22" t="s">
        <v>71</v>
      </c>
      <c r="K106" s="23">
        <v>5.0</v>
      </c>
      <c r="L106" s="24">
        <v>11.0</v>
      </c>
      <c r="M106" s="24" t="str">
        <f>IFERROR(VLOOKUP(D106,'Chủ đề bài nguồn'!$A$2:$C$735,3,0),"Khác")</f>
        <v>Thuế</v>
      </c>
      <c r="N106" s="24"/>
    </row>
    <row r="107">
      <c r="A107" s="15">
        <v>105.0</v>
      </c>
      <c r="B107" s="16" t="s">
        <v>753</v>
      </c>
      <c r="C107" s="18" t="s">
        <v>905</v>
      </c>
      <c r="D107" s="16" t="s">
        <v>316</v>
      </c>
      <c r="E107" s="16" t="s">
        <v>938</v>
      </c>
      <c r="F107" s="16" t="s">
        <v>939</v>
      </c>
      <c r="G107" s="16" t="s">
        <v>940</v>
      </c>
      <c r="H107" s="20" t="s">
        <v>69</v>
      </c>
      <c r="I107" s="21" t="s">
        <v>70</v>
      </c>
      <c r="J107" s="22" t="s">
        <v>71</v>
      </c>
      <c r="K107" s="23">
        <v>5.0</v>
      </c>
      <c r="L107" s="24">
        <v>11.0</v>
      </c>
      <c r="M107" s="24" t="str">
        <f>IFERROR(VLOOKUP(D107,'Chủ đề bài nguồn'!$A$2:$C$735,3,0),"Khác")</f>
        <v>Thuế</v>
      </c>
      <c r="N107" s="24"/>
    </row>
    <row r="108">
      <c r="A108" s="15">
        <v>106.0</v>
      </c>
      <c r="B108" s="16" t="s">
        <v>753</v>
      </c>
      <c r="C108" s="18" t="s">
        <v>905</v>
      </c>
      <c r="D108" s="16" t="s">
        <v>726</v>
      </c>
      <c r="E108" s="16" t="s">
        <v>943</v>
      </c>
      <c r="F108" s="16" t="s">
        <v>944</v>
      </c>
      <c r="G108" s="16" t="s">
        <v>913</v>
      </c>
      <c r="H108" s="20" t="s">
        <v>155</v>
      </c>
      <c r="I108" s="21" t="s">
        <v>70</v>
      </c>
      <c r="J108" s="22" t="s">
        <v>945</v>
      </c>
      <c r="K108" s="23">
        <v>5.0</v>
      </c>
      <c r="L108" s="24">
        <v>20.0</v>
      </c>
      <c r="M108" s="24" t="str">
        <f>IFERROR(VLOOKUP(D108,'Chủ đề bài nguồn'!$A$2:$C$735,3,0),"Khác")</f>
        <v>Thuế</v>
      </c>
      <c r="N108" s="24"/>
    </row>
    <row r="109">
      <c r="A109" s="15">
        <v>107.0</v>
      </c>
      <c r="B109" s="16" t="s">
        <v>753</v>
      </c>
      <c r="C109" s="18" t="s">
        <v>815</v>
      </c>
      <c r="D109" s="16" t="s">
        <v>654</v>
      </c>
      <c r="E109" s="16" t="s">
        <v>947</v>
      </c>
      <c r="F109" s="16" t="s">
        <v>948</v>
      </c>
      <c r="G109" s="16" t="s">
        <v>929</v>
      </c>
      <c r="H109" s="20" t="s">
        <v>155</v>
      </c>
      <c r="I109" s="21" t="s">
        <v>70</v>
      </c>
      <c r="J109" s="22" t="s">
        <v>71</v>
      </c>
      <c r="K109" s="23">
        <v>5.0</v>
      </c>
      <c r="L109" s="24">
        <v>20.0</v>
      </c>
      <c r="M109" s="24" t="str">
        <f>IFERROR(VLOOKUP(D109,'Chủ đề bài nguồn'!$A$2:$C$735,3,0),"Khác")</f>
        <v>Thanh toán, chuyển khoản &amp; QR</v>
      </c>
      <c r="N109" s="24"/>
    </row>
    <row r="110">
      <c r="A110" s="15">
        <v>108.0</v>
      </c>
      <c r="B110" s="16" t="s">
        <v>753</v>
      </c>
      <c r="C110" s="18" t="s">
        <v>905</v>
      </c>
      <c r="D110" s="16" t="s">
        <v>584</v>
      </c>
      <c r="E110" s="16" t="s">
        <v>951</v>
      </c>
      <c r="F110" s="16" t="s">
        <v>952</v>
      </c>
      <c r="G110" s="16" t="s">
        <v>932</v>
      </c>
      <c r="H110" s="20" t="s">
        <v>155</v>
      </c>
      <c r="I110" s="21" t="s">
        <v>70</v>
      </c>
      <c r="J110" s="22" t="s">
        <v>953</v>
      </c>
      <c r="K110" s="23">
        <v>5.0</v>
      </c>
      <c r="L110" s="24">
        <v>21.0</v>
      </c>
      <c r="M110" s="24" t="str">
        <f>IFERROR(VLOOKUP(D110,'Chủ đề bài nguồn'!$A$2:$C$735,3,0),"Khác")</f>
        <v>Hộ kinh doanh &amp; bán hàng</v>
      </c>
      <c r="N110" s="24"/>
    </row>
    <row r="111">
      <c r="A111" s="15">
        <v>109.0</v>
      </c>
      <c r="B111" s="16" t="s">
        <v>753</v>
      </c>
      <c r="C111" s="18" t="s">
        <v>905</v>
      </c>
      <c r="D111" s="16" t="s">
        <v>954</v>
      </c>
      <c r="E111" s="16" t="s">
        <v>955</v>
      </c>
      <c r="F111" s="16" t="s">
        <v>956</v>
      </c>
      <c r="G111" s="16" t="s">
        <v>957</v>
      </c>
      <c r="H111" s="20" t="s">
        <v>155</v>
      </c>
      <c r="I111" s="21" t="s">
        <v>70</v>
      </c>
      <c r="J111" s="22" t="s">
        <v>71</v>
      </c>
      <c r="K111" s="23">
        <v>5.0</v>
      </c>
      <c r="L111" s="24">
        <v>21.0</v>
      </c>
      <c r="M111" s="24" t="str">
        <f>IFERROR(VLOOKUP(D111,'Chủ đề bài nguồn'!$A$2:$C$735,3,0),"Khác")</f>
        <v>Hộ kinh doanh &amp; bán hàng</v>
      </c>
      <c r="N111" s="24"/>
    </row>
    <row r="112">
      <c r="A112" s="15">
        <v>110.0</v>
      </c>
      <c r="B112" s="16" t="s">
        <v>753</v>
      </c>
      <c r="C112" s="18" t="s">
        <v>905</v>
      </c>
      <c r="D112" s="16" t="s">
        <v>620</v>
      </c>
      <c r="E112" s="16" t="s">
        <v>958</v>
      </c>
      <c r="F112" s="16" t="s">
        <v>959</v>
      </c>
      <c r="G112" s="16" t="s">
        <v>960</v>
      </c>
      <c r="H112" s="20" t="s">
        <v>155</v>
      </c>
      <c r="I112" s="21" t="s">
        <v>70</v>
      </c>
      <c r="J112" s="22" t="s">
        <v>962</v>
      </c>
      <c r="K112" s="23">
        <v>5.0</v>
      </c>
      <c r="L112" s="24">
        <v>21.0</v>
      </c>
      <c r="M112" s="24" t="str">
        <f>IFERROR(VLOOKUP(D112,'Chủ đề bài nguồn'!$A$2:$C$735,3,0),"Khác")</f>
        <v>Thuế</v>
      </c>
      <c r="N112" s="24"/>
    </row>
    <row r="113">
      <c r="A113" s="15">
        <v>111.0</v>
      </c>
      <c r="B113" s="16" t="s">
        <v>753</v>
      </c>
      <c r="C113" s="18" t="s">
        <v>905</v>
      </c>
      <c r="D113" s="16" t="s">
        <v>750</v>
      </c>
      <c r="E113" s="16" t="s">
        <v>964</v>
      </c>
      <c r="F113" s="16" t="s">
        <v>965</v>
      </c>
      <c r="G113" s="16" t="s">
        <v>966</v>
      </c>
      <c r="H113" s="20" t="s">
        <v>155</v>
      </c>
      <c r="I113" s="21" t="s">
        <v>70</v>
      </c>
      <c r="J113" s="22" t="s">
        <v>809</v>
      </c>
      <c r="K113" s="23">
        <v>5.0</v>
      </c>
      <c r="L113" s="24">
        <v>21.0</v>
      </c>
      <c r="M113" s="24" t="str">
        <f>IFERROR(VLOOKUP(D113,'Chủ đề bài nguồn'!$A$2:$C$735,3,0),"Khác")</f>
        <v>Doanh nghiệp (tài khoản, vay, tài chính)</v>
      </c>
      <c r="N113" s="24"/>
    </row>
    <row r="114">
      <c r="A114" s="15">
        <v>112.0</v>
      </c>
      <c r="B114" s="16" t="s">
        <v>753</v>
      </c>
      <c r="C114" s="18" t="s">
        <v>905</v>
      </c>
      <c r="D114" s="16" t="s">
        <v>967</v>
      </c>
      <c r="E114" s="16" t="s">
        <v>968</v>
      </c>
      <c r="F114" s="16" t="s">
        <v>969</v>
      </c>
      <c r="G114" s="16" t="s">
        <v>970</v>
      </c>
      <c r="H114" s="20" t="s">
        <v>155</v>
      </c>
      <c r="I114" s="21" t="s">
        <v>70</v>
      </c>
      <c r="J114" s="22" t="s">
        <v>809</v>
      </c>
      <c r="K114" s="23">
        <v>5.0</v>
      </c>
      <c r="L114" s="24">
        <v>21.0</v>
      </c>
      <c r="M114" s="24" t="str">
        <f>IFERROR(VLOOKUP(D114,'Chủ đề bài nguồn'!$A$2:$C$735,3,0),"Khác")</f>
        <v>Tài khoản &amp; ngân hàng số</v>
      </c>
      <c r="N114" s="24"/>
    </row>
    <row r="115">
      <c r="A115" s="15">
        <v>113.0</v>
      </c>
      <c r="B115" s="16" t="s">
        <v>753</v>
      </c>
      <c r="C115" s="18" t="s">
        <v>905</v>
      </c>
      <c r="D115" s="16" t="s">
        <v>972</v>
      </c>
      <c r="E115" s="16" t="s">
        <v>973</v>
      </c>
      <c r="F115" s="16" t="s">
        <v>974</v>
      </c>
      <c r="G115" s="16" t="s">
        <v>970</v>
      </c>
      <c r="H115" s="20" t="s">
        <v>155</v>
      </c>
      <c r="I115" s="21" t="s">
        <v>70</v>
      </c>
      <c r="J115" s="22" t="s">
        <v>809</v>
      </c>
      <c r="K115" s="23">
        <v>5.0</v>
      </c>
      <c r="L115" s="24">
        <v>21.0</v>
      </c>
      <c r="M115" s="24" t="str">
        <f>IFERROR(VLOOKUP(D115,'Chủ đề bài nguồn'!$A$2:$C$735,3,0),"Khác")</f>
        <v>Thuế</v>
      </c>
      <c r="N115" s="24"/>
    </row>
    <row r="116">
      <c r="A116" s="15">
        <v>114.0</v>
      </c>
      <c r="B116" s="16" t="s">
        <v>753</v>
      </c>
      <c r="C116" s="18" t="s">
        <v>815</v>
      </c>
      <c r="D116" s="16" t="s">
        <v>762</v>
      </c>
      <c r="E116" s="16" t="s">
        <v>975</v>
      </c>
      <c r="F116" s="16" t="s">
        <v>976</v>
      </c>
      <c r="G116" s="16" t="s">
        <v>978</v>
      </c>
      <c r="H116" s="20" t="s">
        <v>155</v>
      </c>
      <c r="I116" s="21" t="s">
        <v>70</v>
      </c>
      <c r="J116" s="22" t="s">
        <v>71</v>
      </c>
      <c r="K116" s="23">
        <v>5.0</v>
      </c>
      <c r="L116" s="24">
        <v>21.0</v>
      </c>
      <c r="M116" s="24" t="str">
        <f>IFERROR(VLOOKUP(D116,'Chủ đề bài nguồn'!$A$2:$C$735,3,0),"Khác")</f>
        <v>Thuế</v>
      </c>
      <c r="N116" s="24"/>
    </row>
    <row r="117">
      <c r="A117" s="15">
        <v>115.0</v>
      </c>
      <c r="B117" s="16" t="s">
        <v>753</v>
      </c>
      <c r="C117" s="18" t="s">
        <v>815</v>
      </c>
      <c r="D117" s="16" t="s">
        <v>980</v>
      </c>
      <c r="E117" s="16" t="s">
        <v>981</v>
      </c>
      <c r="F117" s="16" t="s">
        <v>982</v>
      </c>
      <c r="G117" s="16" t="s">
        <v>983</v>
      </c>
      <c r="H117" s="20" t="s">
        <v>155</v>
      </c>
      <c r="I117" s="21" t="s">
        <v>70</v>
      </c>
      <c r="J117" s="22" t="s">
        <v>619</v>
      </c>
      <c r="K117" s="23">
        <v>5.0</v>
      </c>
      <c r="L117" s="24">
        <v>21.0</v>
      </c>
      <c r="M117" s="24" t="str">
        <f>IFERROR(VLOOKUP(D117,'Chủ đề bài nguồn'!$A$2:$C$735,3,0),"Khác")</f>
        <v>Hộ kinh doanh &amp; bán hàng</v>
      </c>
      <c r="N117" s="24"/>
    </row>
    <row r="118">
      <c r="A118" s="15">
        <v>116.0</v>
      </c>
      <c r="B118" s="16" t="s">
        <v>753</v>
      </c>
      <c r="C118" s="18" t="s">
        <v>905</v>
      </c>
      <c r="D118" s="16" t="s">
        <v>640</v>
      </c>
      <c r="E118" s="16" t="s">
        <v>984</v>
      </c>
      <c r="F118" s="16" t="s">
        <v>944</v>
      </c>
      <c r="G118" s="16" t="s">
        <v>932</v>
      </c>
      <c r="H118" s="20" t="s">
        <v>229</v>
      </c>
      <c r="I118" s="21" t="s">
        <v>70</v>
      </c>
      <c r="J118" s="22" t="s">
        <v>986</v>
      </c>
      <c r="K118" s="23">
        <v>5.0</v>
      </c>
      <c r="L118" s="24">
        <v>31.0</v>
      </c>
      <c r="M118" s="24" t="str">
        <f>IFERROR(VLOOKUP(D118,'Chủ đề bài nguồn'!$A$2:$C$735,3,0),"Khác")</f>
        <v>Thuế</v>
      </c>
      <c r="N118" s="24"/>
    </row>
    <row r="119">
      <c r="A119" s="15">
        <v>117.0</v>
      </c>
      <c r="B119" s="16" t="s">
        <v>753</v>
      </c>
      <c r="C119" s="18" t="s">
        <v>905</v>
      </c>
      <c r="D119" s="16" t="s">
        <v>987</v>
      </c>
      <c r="E119" s="16" t="s">
        <v>988</v>
      </c>
      <c r="F119" s="16" t="s">
        <v>989</v>
      </c>
      <c r="G119" s="16" t="s">
        <v>990</v>
      </c>
      <c r="H119" s="20" t="s">
        <v>229</v>
      </c>
      <c r="I119" s="21" t="s">
        <v>70</v>
      </c>
      <c r="J119" s="40" t="s">
        <v>991</v>
      </c>
      <c r="K119" s="23">
        <v>5.0</v>
      </c>
      <c r="L119" s="24">
        <v>31.0</v>
      </c>
      <c r="M119" s="24" t="str">
        <f>IFERROR(VLOOKUP(D119,'Chủ đề bài nguồn'!$A$2:$C$735,3,0),"Khác")</f>
        <v>Hộ kinh doanh &amp; bán hàng</v>
      </c>
      <c r="N119" s="24"/>
    </row>
    <row r="120">
      <c r="A120" s="15">
        <v>118.0</v>
      </c>
      <c r="B120" s="16" t="s">
        <v>753</v>
      </c>
      <c r="C120" s="18" t="s">
        <v>905</v>
      </c>
      <c r="D120" s="16" t="s">
        <v>765</v>
      </c>
      <c r="E120" s="16" t="s">
        <v>992</v>
      </c>
      <c r="F120" s="16" t="s">
        <v>993</v>
      </c>
      <c r="G120" s="16" t="s">
        <v>970</v>
      </c>
      <c r="H120" s="20" t="s">
        <v>229</v>
      </c>
      <c r="I120" s="21" t="s">
        <v>70</v>
      </c>
      <c r="J120" s="22" t="s">
        <v>994</v>
      </c>
      <c r="K120" s="23">
        <v>5.0</v>
      </c>
      <c r="L120" s="24">
        <v>31.0</v>
      </c>
      <c r="M120" s="24" t="str">
        <f>IFERROR(VLOOKUP(D120,'Chủ đề bài nguồn'!$A$2:$C$735,3,0),"Khác")</f>
        <v>Thuế</v>
      </c>
      <c r="N120" s="24"/>
    </row>
    <row r="121">
      <c r="A121" s="15">
        <v>119.0</v>
      </c>
      <c r="B121" s="16" t="s">
        <v>753</v>
      </c>
      <c r="C121" s="18" t="s">
        <v>995</v>
      </c>
      <c r="D121" s="16" t="s">
        <v>604</v>
      </c>
      <c r="E121" s="16" t="s">
        <v>996</v>
      </c>
      <c r="F121" s="16" t="s">
        <v>997</v>
      </c>
      <c r="G121" s="16" t="s">
        <v>998</v>
      </c>
      <c r="H121" s="20" t="s">
        <v>229</v>
      </c>
      <c r="I121" s="21" t="s">
        <v>70</v>
      </c>
      <c r="J121" s="22" t="s">
        <v>71</v>
      </c>
      <c r="K121" s="23">
        <v>5.0</v>
      </c>
      <c r="L121" s="24">
        <v>31.0</v>
      </c>
      <c r="M121" s="24" t="str">
        <f>IFERROR(VLOOKUP(D121,'Chủ đề bài nguồn'!$A$2:$C$735,3,0),"Khác")</f>
        <v>Thuế</v>
      </c>
      <c r="N121" s="24"/>
    </row>
    <row r="122">
      <c r="A122" s="15">
        <v>120.0</v>
      </c>
      <c r="B122" s="16" t="s">
        <v>753</v>
      </c>
      <c r="C122" s="18" t="s">
        <v>995</v>
      </c>
      <c r="D122" s="16" t="s">
        <v>631</v>
      </c>
      <c r="E122" s="16" t="s">
        <v>999</v>
      </c>
      <c r="F122" s="16" t="s">
        <v>1000</v>
      </c>
      <c r="G122" s="16" t="s">
        <v>1001</v>
      </c>
      <c r="H122" s="20" t="s">
        <v>229</v>
      </c>
      <c r="I122" s="21" t="s">
        <v>70</v>
      </c>
      <c r="J122" s="22" t="s">
        <v>71</v>
      </c>
      <c r="K122" s="23">
        <v>5.0</v>
      </c>
      <c r="L122" s="24">
        <v>31.0</v>
      </c>
      <c r="M122" s="24" t="str">
        <f>IFERROR(VLOOKUP(D122,'Chủ đề bài nguồn'!$A$2:$C$735,3,0),"Khác")</f>
        <v>Thuế</v>
      </c>
      <c r="N122" s="24"/>
    </row>
    <row r="123">
      <c r="A123" s="15">
        <v>121.0</v>
      </c>
      <c r="B123" s="16" t="s">
        <v>753</v>
      </c>
      <c r="C123" s="18" t="s">
        <v>815</v>
      </c>
      <c r="D123" s="16" t="s">
        <v>1003</v>
      </c>
      <c r="E123" s="16" t="s">
        <v>1004</v>
      </c>
      <c r="F123" s="16" t="s">
        <v>1005</v>
      </c>
      <c r="G123" s="16" t="s">
        <v>1006</v>
      </c>
      <c r="H123" s="20" t="s">
        <v>229</v>
      </c>
      <c r="I123" s="21" t="s">
        <v>70</v>
      </c>
      <c r="J123" s="22" t="s">
        <v>1007</v>
      </c>
      <c r="K123" s="23">
        <v>5.0</v>
      </c>
      <c r="L123" s="24">
        <v>31.0</v>
      </c>
      <c r="M123" s="24" t="str">
        <f>IFERROR(VLOOKUP(D123,'Chủ đề bài nguồn'!$A$2:$C$735,3,0),"Khác")</f>
        <v>Thanh toán, chuyển khoản &amp; QR</v>
      </c>
      <c r="N123" s="24"/>
    </row>
    <row r="124">
      <c r="A124" s="15">
        <v>122.0</v>
      </c>
      <c r="B124" s="16" t="s">
        <v>765</v>
      </c>
      <c r="C124" s="18" t="s">
        <v>1009</v>
      </c>
      <c r="D124" s="16" t="s">
        <v>656</v>
      </c>
      <c r="E124" s="16" t="s">
        <v>1010</v>
      </c>
      <c r="F124" s="16" t="s">
        <v>1011</v>
      </c>
      <c r="G124" s="16" t="s">
        <v>1012</v>
      </c>
      <c r="H124" s="20" t="s">
        <v>69</v>
      </c>
      <c r="I124" s="21" t="s">
        <v>70</v>
      </c>
      <c r="J124" s="22" t="s">
        <v>71</v>
      </c>
      <c r="K124" s="23">
        <v>6.0</v>
      </c>
      <c r="L124" s="24">
        <v>11.0</v>
      </c>
      <c r="M124" s="24" t="str">
        <f>IFERROR(VLOOKUP(D124,'Chủ đề bài nguồn'!$A$2:$C$735,3,0),"Khác")</f>
        <v>Thuế</v>
      </c>
      <c r="N124" s="24"/>
    </row>
    <row r="125">
      <c r="A125" s="15">
        <v>123.0</v>
      </c>
      <c r="B125" s="16" t="s">
        <v>765</v>
      </c>
      <c r="C125" s="18" t="s">
        <v>1014</v>
      </c>
      <c r="D125" s="16" t="s">
        <v>714</v>
      </c>
      <c r="E125" s="16" t="s">
        <v>1015</v>
      </c>
      <c r="F125" s="16" t="s">
        <v>1016</v>
      </c>
      <c r="G125" s="16" t="s">
        <v>1017</v>
      </c>
      <c r="H125" s="20" t="s">
        <v>155</v>
      </c>
      <c r="I125" s="21" t="s">
        <v>70</v>
      </c>
      <c r="J125" s="22" t="s">
        <v>71</v>
      </c>
      <c r="K125" s="23">
        <v>6.0</v>
      </c>
      <c r="L125" s="24">
        <v>21.0</v>
      </c>
      <c r="M125" s="24" t="str">
        <f>IFERROR(VLOOKUP(D125,'Chủ đề bài nguồn'!$A$2:$C$735,3,0),"Khác")</f>
        <v>Thuế</v>
      </c>
      <c r="N125" s="24"/>
    </row>
    <row r="126">
      <c r="A126" s="15">
        <v>124.0</v>
      </c>
      <c r="B126" s="16" t="s">
        <v>765</v>
      </c>
      <c r="C126" s="18" t="s">
        <v>1014</v>
      </c>
      <c r="D126" s="16" t="s">
        <v>852</v>
      </c>
      <c r="E126" s="16" t="s">
        <v>853</v>
      </c>
      <c r="F126" s="16" t="s">
        <v>1018</v>
      </c>
      <c r="G126" s="16" t="s">
        <v>1019</v>
      </c>
      <c r="H126" s="20" t="s">
        <v>155</v>
      </c>
      <c r="I126" s="21" t="s">
        <v>70</v>
      </c>
      <c r="J126" s="22" t="s">
        <v>71</v>
      </c>
      <c r="K126" s="23">
        <v>6.0</v>
      </c>
      <c r="L126" s="24">
        <v>21.0</v>
      </c>
      <c r="M126" s="24" t="str">
        <f>IFERROR(VLOOKUP(D126,'Chủ đề bài nguồn'!$A$2:$C$735,3,0),"Khác")</f>
        <v>Thuế</v>
      </c>
      <c r="N126" s="24"/>
    </row>
    <row r="127">
      <c r="A127" s="15">
        <v>125.0</v>
      </c>
      <c r="B127" s="16" t="s">
        <v>765</v>
      </c>
      <c r="C127" s="18" t="s">
        <v>1014</v>
      </c>
      <c r="D127" s="16" t="s">
        <v>1021</v>
      </c>
      <c r="E127" s="16" t="s">
        <v>1022</v>
      </c>
      <c r="F127" s="16" t="s">
        <v>1023</v>
      </c>
      <c r="G127" s="16" t="s">
        <v>1024</v>
      </c>
      <c r="H127" s="20" t="s">
        <v>155</v>
      </c>
      <c r="I127" s="21" t="s">
        <v>70</v>
      </c>
      <c r="J127" s="22" t="s">
        <v>71</v>
      </c>
      <c r="K127" s="23">
        <v>6.0</v>
      </c>
      <c r="L127" s="24">
        <v>21.0</v>
      </c>
      <c r="M127" s="24" t="str">
        <f>IFERROR(VLOOKUP(D127,'Chủ đề bài nguồn'!$A$2:$C$735,3,0),"Khác")</f>
        <v>Thuế</v>
      </c>
      <c r="N127" s="24"/>
    </row>
    <row r="128">
      <c r="A128" s="15">
        <v>126.0</v>
      </c>
      <c r="B128" s="16" t="s">
        <v>765</v>
      </c>
      <c r="C128" s="18" t="s">
        <v>1014</v>
      </c>
      <c r="D128" s="16" t="s">
        <v>892</v>
      </c>
      <c r="E128" s="16" t="s">
        <v>1025</v>
      </c>
      <c r="F128" s="16" t="s">
        <v>1026</v>
      </c>
      <c r="G128" s="16" t="s">
        <v>1027</v>
      </c>
      <c r="H128" s="20" t="s">
        <v>155</v>
      </c>
      <c r="I128" s="21" t="s">
        <v>70</v>
      </c>
      <c r="J128" s="22" t="s">
        <v>1028</v>
      </c>
      <c r="K128" s="23">
        <v>6.0</v>
      </c>
      <c r="L128" s="24">
        <v>21.0</v>
      </c>
      <c r="M128" s="24" t="str">
        <f>IFERROR(VLOOKUP(D128,'Chủ đề bài nguồn'!$A$2:$C$735,3,0),"Khác")</f>
        <v>Doanh nghiệp (tài khoản, vay, tài chính)</v>
      </c>
      <c r="N128" s="24"/>
    </row>
    <row r="129">
      <c r="A129" s="15">
        <v>127.0</v>
      </c>
      <c r="B129" s="16" t="s">
        <v>765</v>
      </c>
      <c r="C129" s="18" t="s">
        <v>842</v>
      </c>
      <c r="D129" s="16" t="s">
        <v>1029</v>
      </c>
      <c r="E129" s="16" t="s">
        <v>710</v>
      </c>
      <c r="F129" s="16" t="s">
        <v>1030</v>
      </c>
      <c r="G129" s="16" t="s">
        <v>1031</v>
      </c>
      <c r="H129" s="20" t="s">
        <v>155</v>
      </c>
      <c r="I129" s="21" t="s">
        <v>70</v>
      </c>
      <c r="J129" s="22" t="s">
        <v>71</v>
      </c>
      <c r="K129" s="23">
        <v>6.0</v>
      </c>
      <c r="L129" s="24">
        <v>21.0</v>
      </c>
      <c r="M129" s="24" t="str">
        <f>IFERROR(VLOOKUP(D129,'Chủ đề bài nguồn'!$A$2:$C$735,3,0),"Khác")</f>
        <v>Thuế</v>
      </c>
      <c r="N129" s="24"/>
    </row>
    <row r="130">
      <c r="A130" s="15">
        <v>128.0</v>
      </c>
      <c r="B130" s="16" t="s">
        <v>765</v>
      </c>
      <c r="C130" s="18" t="s">
        <v>842</v>
      </c>
      <c r="D130" s="16" t="s">
        <v>679</v>
      </c>
      <c r="E130" s="16" t="s">
        <v>710</v>
      </c>
      <c r="F130" s="16" t="s">
        <v>1033</v>
      </c>
      <c r="G130" s="16" t="s">
        <v>1034</v>
      </c>
      <c r="H130" s="20" t="s">
        <v>155</v>
      </c>
      <c r="I130" s="21" t="s">
        <v>70</v>
      </c>
      <c r="J130" s="22" t="s">
        <v>71</v>
      </c>
      <c r="K130" s="23">
        <v>6.0</v>
      </c>
      <c r="L130" s="24">
        <v>21.0</v>
      </c>
      <c r="M130" s="24" t="str">
        <f>IFERROR(VLOOKUP(D130,'Chủ đề bài nguồn'!$A$2:$C$735,3,0),"Khác")</f>
        <v>Thuế</v>
      </c>
      <c r="N130" s="24"/>
    </row>
    <row r="131">
      <c r="A131" s="15">
        <v>129.0</v>
      </c>
      <c r="B131" s="16" t="s">
        <v>765</v>
      </c>
      <c r="C131" s="18" t="s">
        <v>842</v>
      </c>
      <c r="D131" s="16" t="s">
        <v>709</v>
      </c>
      <c r="E131" s="16" t="s">
        <v>1035</v>
      </c>
      <c r="F131" s="16" t="s">
        <v>1036</v>
      </c>
      <c r="G131" s="16" t="s">
        <v>1037</v>
      </c>
      <c r="H131" s="20" t="s">
        <v>155</v>
      </c>
      <c r="I131" s="21" t="s">
        <v>70</v>
      </c>
      <c r="J131" s="22" t="s">
        <v>71</v>
      </c>
      <c r="K131" s="23">
        <v>6.0</v>
      </c>
      <c r="L131" s="24">
        <v>21.0</v>
      </c>
      <c r="M131" s="24" t="str">
        <f>IFERROR(VLOOKUP(D131,'Chủ đề bài nguồn'!$A$2:$C$735,3,0),"Khác")</f>
        <v>Thuế</v>
      </c>
      <c r="N131" s="24"/>
    </row>
    <row r="132">
      <c r="A132" s="15">
        <v>130.0</v>
      </c>
      <c r="B132" s="16" t="s">
        <v>765</v>
      </c>
      <c r="C132" s="18" t="s">
        <v>842</v>
      </c>
      <c r="D132" s="16" t="s">
        <v>1040</v>
      </c>
      <c r="E132" s="16" t="s">
        <v>1041</v>
      </c>
      <c r="F132" s="16" t="s">
        <v>1042</v>
      </c>
      <c r="G132" s="16" t="s">
        <v>1043</v>
      </c>
      <c r="H132" s="20" t="s">
        <v>155</v>
      </c>
      <c r="I132" s="21" t="s">
        <v>70</v>
      </c>
      <c r="J132" s="22" t="s">
        <v>71</v>
      </c>
      <c r="K132" s="23">
        <v>6.0</v>
      </c>
      <c r="L132" s="24">
        <v>21.0</v>
      </c>
      <c r="M132" s="24" t="str">
        <f>IFERROR(VLOOKUP(D132,'Chủ đề bài nguồn'!$A$2:$C$735,3,0),"Khác")</f>
        <v>Doanh nghiệp (tài khoản, vay, tài chính)</v>
      </c>
      <c r="N132" s="24"/>
    </row>
    <row r="133">
      <c r="A133" s="15">
        <v>131.0</v>
      </c>
      <c r="B133" s="16" t="s">
        <v>765</v>
      </c>
      <c r="C133" s="18" t="s">
        <v>1009</v>
      </c>
      <c r="D133" s="16" t="s">
        <v>607</v>
      </c>
      <c r="E133" s="16" t="s">
        <v>1044</v>
      </c>
      <c r="F133" s="16" t="s">
        <v>1045</v>
      </c>
      <c r="G133" s="16" t="s">
        <v>1046</v>
      </c>
      <c r="H133" s="20" t="s">
        <v>155</v>
      </c>
      <c r="I133" s="21" t="s">
        <v>70</v>
      </c>
      <c r="J133" s="22" t="s">
        <v>71</v>
      </c>
      <c r="K133" s="23">
        <v>6.0</v>
      </c>
      <c r="L133" s="24">
        <v>21.0</v>
      </c>
      <c r="M133" s="24" t="str">
        <f>IFERROR(VLOOKUP(D133,'Chủ đề bài nguồn'!$A$2:$C$735,3,0),"Khác")</f>
        <v>Thuế</v>
      </c>
      <c r="N133" s="24"/>
    </row>
    <row r="134">
      <c r="A134" s="15">
        <v>132.0</v>
      </c>
      <c r="B134" s="16" t="s">
        <v>765</v>
      </c>
      <c r="C134" s="18" t="s">
        <v>1014</v>
      </c>
      <c r="D134" s="16" t="s">
        <v>805</v>
      </c>
      <c r="E134" s="16" t="s">
        <v>1048</v>
      </c>
      <c r="F134" s="16" t="s">
        <v>1049</v>
      </c>
      <c r="G134" s="16" t="s">
        <v>1050</v>
      </c>
      <c r="H134" s="20" t="s">
        <v>229</v>
      </c>
      <c r="I134" s="21" t="s">
        <v>70</v>
      </c>
      <c r="J134" s="22" t="s">
        <v>71</v>
      </c>
      <c r="K134" s="23">
        <v>6.0</v>
      </c>
      <c r="L134" s="24">
        <v>31.0</v>
      </c>
      <c r="M134" s="24" t="str">
        <f>IFERROR(VLOOKUP(D134,'Chủ đề bài nguồn'!$A$2:$C$735,3,0),"Khác")</f>
        <v>Doanh nghiệp (tài khoản, vay, tài chính)</v>
      </c>
      <c r="N134" s="24"/>
    </row>
    <row r="135">
      <c r="A135" s="15">
        <v>133.0</v>
      </c>
      <c r="B135" s="16" t="s">
        <v>765</v>
      </c>
      <c r="C135" s="18" t="s">
        <v>1014</v>
      </c>
      <c r="D135" s="16" t="s">
        <v>1051</v>
      </c>
      <c r="E135" s="16" t="s">
        <v>1052</v>
      </c>
      <c r="F135" s="16" t="s">
        <v>1054</v>
      </c>
      <c r="G135" s="16" t="s">
        <v>1055</v>
      </c>
      <c r="H135" s="20" t="s">
        <v>229</v>
      </c>
      <c r="I135" s="21" t="s">
        <v>70</v>
      </c>
      <c r="J135" s="22" t="s">
        <v>71</v>
      </c>
      <c r="K135" s="23">
        <v>6.0</v>
      </c>
      <c r="L135" s="24">
        <v>31.0</v>
      </c>
      <c r="M135" s="24" t="str">
        <f>IFERROR(VLOOKUP(D135,'Chủ đề bài nguồn'!$A$2:$C$735,3,0),"Khác")</f>
        <v>Doanh nghiệp (tài khoản, vay, tài chính)</v>
      </c>
      <c r="N135" s="24"/>
    </row>
    <row r="136">
      <c r="A136" s="15">
        <v>134.0</v>
      </c>
      <c r="B136" s="16" t="s">
        <v>765</v>
      </c>
      <c r="C136" s="18" t="s">
        <v>1014</v>
      </c>
      <c r="D136" s="16" t="s">
        <v>860</v>
      </c>
      <c r="E136" s="16" t="s">
        <v>861</v>
      </c>
      <c r="F136" s="16" t="s">
        <v>1058</v>
      </c>
      <c r="G136" s="16" t="s">
        <v>1059</v>
      </c>
      <c r="H136" s="20" t="s">
        <v>229</v>
      </c>
      <c r="I136" s="21" t="s">
        <v>70</v>
      </c>
      <c r="J136" s="22" t="s">
        <v>71</v>
      </c>
      <c r="K136" s="23">
        <v>6.0</v>
      </c>
      <c r="L136" s="24">
        <v>31.0</v>
      </c>
      <c r="M136" s="24" t="str">
        <f>IFERROR(VLOOKUP(D136,'Chủ đề bài nguồn'!$A$2:$C$735,3,0),"Khác")</f>
        <v>Doanh nghiệp (tài khoản, vay, tài chính)</v>
      </c>
      <c r="N136" s="24"/>
    </row>
    <row r="137">
      <c r="A137" s="15">
        <v>135.0</v>
      </c>
      <c r="B137" s="16" t="s">
        <v>765</v>
      </c>
      <c r="C137" s="18" t="s">
        <v>842</v>
      </c>
      <c r="D137" s="16" t="s">
        <v>1060</v>
      </c>
      <c r="E137" s="16" t="s">
        <v>1061</v>
      </c>
      <c r="F137" s="16" t="s">
        <v>1062</v>
      </c>
      <c r="G137" s="16" t="s">
        <v>1063</v>
      </c>
      <c r="H137" s="20" t="s">
        <v>229</v>
      </c>
      <c r="I137" s="21" t="s">
        <v>70</v>
      </c>
      <c r="J137" s="22" t="s">
        <v>819</v>
      </c>
      <c r="K137" s="23">
        <v>6.0</v>
      </c>
      <c r="L137" s="24">
        <v>31.0</v>
      </c>
      <c r="M137" s="24" t="str">
        <f>IFERROR(VLOOKUP(D137,'Chủ đề bài nguồn'!$A$2:$C$735,3,0),"Khác")</f>
        <v>Thuế</v>
      </c>
      <c r="N137" s="24"/>
    </row>
    <row r="138">
      <c r="A138" s="15">
        <v>136.0</v>
      </c>
      <c r="B138" s="16" t="s">
        <v>765</v>
      </c>
      <c r="C138" s="18" t="s">
        <v>842</v>
      </c>
      <c r="D138" s="16" t="s">
        <v>769</v>
      </c>
      <c r="E138" s="16" t="s">
        <v>1066</v>
      </c>
      <c r="F138" s="16" t="s">
        <v>1067</v>
      </c>
      <c r="G138" s="16" t="s">
        <v>1068</v>
      </c>
      <c r="H138" s="20" t="s">
        <v>229</v>
      </c>
      <c r="I138" s="21" t="s">
        <v>70</v>
      </c>
      <c r="J138" s="22" t="s">
        <v>71</v>
      </c>
      <c r="K138" s="23">
        <v>6.0</v>
      </c>
      <c r="L138" s="24">
        <v>31.0</v>
      </c>
      <c r="M138" s="24" t="str">
        <f>IFERROR(VLOOKUP(D138,'Chủ đề bài nguồn'!$A$2:$C$735,3,0),"Khác")</f>
        <v>Thuế</v>
      </c>
      <c r="N138" s="24"/>
    </row>
    <row r="139">
      <c r="A139" s="15">
        <v>137.0</v>
      </c>
      <c r="B139" s="16" t="s">
        <v>765</v>
      </c>
      <c r="C139" s="18" t="s">
        <v>1009</v>
      </c>
      <c r="D139" s="16" t="s">
        <v>1069</v>
      </c>
      <c r="E139" s="16" t="s">
        <v>1070</v>
      </c>
      <c r="F139" s="16" t="s">
        <v>1071</v>
      </c>
      <c r="G139" s="16" t="s">
        <v>1072</v>
      </c>
      <c r="H139" s="20" t="s">
        <v>229</v>
      </c>
      <c r="I139" s="21" t="s">
        <v>70</v>
      </c>
      <c r="J139" s="22" t="s">
        <v>1073</v>
      </c>
      <c r="K139" s="23">
        <v>6.0</v>
      </c>
      <c r="L139" s="24">
        <v>31.0</v>
      </c>
      <c r="M139" s="24" t="str">
        <f>IFERROR(VLOOKUP(D139,'Chủ đề bài nguồn'!$A$2:$C$735,3,0),"Khác")</f>
        <v>Doanh nghiệp (tài khoản, vay, tài chính)</v>
      </c>
      <c r="N139" s="24"/>
    </row>
    <row r="140">
      <c r="A140" s="15">
        <v>138.0</v>
      </c>
      <c r="B140" s="16" t="s">
        <v>765</v>
      </c>
      <c r="C140" s="18" t="s">
        <v>1009</v>
      </c>
      <c r="D140" s="16" t="s">
        <v>1075</v>
      </c>
      <c r="E140" s="16" t="s">
        <v>1076</v>
      </c>
      <c r="F140" s="16" t="s">
        <v>1077</v>
      </c>
      <c r="G140" s="16" t="s">
        <v>1078</v>
      </c>
      <c r="H140" s="20" t="s">
        <v>229</v>
      </c>
      <c r="I140" s="21" t="s">
        <v>70</v>
      </c>
      <c r="J140" s="22" t="s">
        <v>1079</v>
      </c>
      <c r="K140" s="23">
        <v>6.0</v>
      </c>
      <c r="L140" s="24">
        <v>31.0</v>
      </c>
      <c r="M140" s="24" t="str">
        <f>IFERROR(VLOOKUP(D140,'Chủ đề bài nguồn'!$A$2:$C$735,3,0),"Khác")</f>
        <v>Thuế</v>
      </c>
      <c r="N140" s="24"/>
    </row>
    <row r="141">
      <c r="A141" s="15">
        <v>139.0</v>
      </c>
      <c r="B141" s="16" t="s">
        <v>765</v>
      </c>
      <c r="C141" s="18" t="s">
        <v>1009</v>
      </c>
      <c r="D141" s="16" t="s">
        <v>876</v>
      </c>
      <c r="E141" s="16" t="s">
        <v>1081</v>
      </c>
      <c r="F141" s="16" t="s">
        <v>1082</v>
      </c>
      <c r="G141" s="16" t="s">
        <v>1083</v>
      </c>
      <c r="H141" s="20" t="s">
        <v>229</v>
      </c>
      <c r="I141" s="21" t="s">
        <v>70</v>
      </c>
      <c r="J141" s="22" t="s">
        <v>1085</v>
      </c>
      <c r="K141" s="23">
        <v>6.0</v>
      </c>
      <c r="L141" s="24">
        <v>31.0</v>
      </c>
      <c r="M141" s="24" t="str">
        <f>IFERROR(VLOOKUP(D141,'Chủ đề bài nguồn'!$A$2:$C$735,3,0),"Khác")</f>
        <v>Thuế</v>
      </c>
      <c r="N141" s="24"/>
    </row>
    <row r="142">
      <c r="A142" s="15">
        <v>140.0</v>
      </c>
      <c r="B142" s="16" t="s">
        <v>765</v>
      </c>
      <c r="C142" s="18" t="s">
        <v>1009</v>
      </c>
      <c r="D142" s="16" t="s">
        <v>695</v>
      </c>
      <c r="E142" s="16" t="s">
        <v>1086</v>
      </c>
      <c r="F142" s="16" t="s">
        <v>1087</v>
      </c>
      <c r="G142" s="16" t="s">
        <v>1088</v>
      </c>
      <c r="H142" s="20" t="s">
        <v>229</v>
      </c>
      <c r="I142" s="21" t="s">
        <v>70</v>
      </c>
      <c r="J142" s="22" t="s">
        <v>1089</v>
      </c>
      <c r="K142" s="23">
        <v>6.0</v>
      </c>
      <c r="L142" s="24">
        <v>31.0</v>
      </c>
      <c r="M142" s="24" t="str">
        <f>IFERROR(VLOOKUP(D142,'Chủ đề bài nguồn'!$A$2:$C$735,3,0),"Khác")</f>
        <v>Thuế</v>
      </c>
      <c r="N142" s="24"/>
    </row>
    <row r="143">
      <c r="A143" s="15">
        <v>141.0</v>
      </c>
      <c r="B143" s="16" t="s">
        <v>765</v>
      </c>
      <c r="C143" s="18" t="s">
        <v>1009</v>
      </c>
      <c r="D143" s="16" t="s">
        <v>686</v>
      </c>
      <c r="E143" s="16" t="s">
        <v>1091</v>
      </c>
      <c r="F143" s="16" t="s">
        <v>1092</v>
      </c>
      <c r="G143" s="16" t="s">
        <v>1093</v>
      </c>
      <c r="H143" s="20" t="s">
        <v>229</v>
      </c>
      <c r="I143" s="21" t="s">
        <v>70</v>
      </c>
      <c r="J143" s="22" t="s">
        <v>1094</v>
      </c>
      <c r="K143" s="23">
        <v>6.0</v>
      </c>
      <c r="L143" s="24">
        <v>31.0</v>
      </c>
      <c r="M143" s="24" t="str">
        <f>IFERROR(VLOOKUP(D143,'Chủ đề bài nguồn'!$A$2:$C$735,3,0),"Khác")</f>
        <v>Thuế</v>
      </c>
      <c r="N143" s="24"/>
    </row>
    <row r="144">
      <c r="A144" s="15">
        <v>142.0</v>
      </c>
      <c r="B144" s="16" t="s">
        <v>769</v>
      </c>
      <c r="C144" s="18" t="s">
        <v>1095</v>
      </c>
      <c r="D144" s="16" t="s">
        <v>762</v>
      </c>
      <c r="E144" s="16" t="s">
        <v>710</v>
      </c>
      <c r="F144" s="16" t="s">
        <v>1096</v>
      </c>
      <c r="G144" s="16" t="s">
        <v>1097</v>
      </c>
      <c r="H144" s="20" t="s">
        <v>69</v>
      </c>
      <c r="I144" s="21" t="s">
        <v>70</v>
      </c>
      <c r="J144" s="22" t="s">
        <v>71</v>
      </c>
      <c r="K144" s="23">
        <v>7.0</v>
      </c>
      <c r="L144" s="24">
        <v>10.0</v>
      </c>
      <c r="M144" s="24" t="str">
        <f>IFERROR(VLOOKUP(D144,'Chủ đề bài nguồn'!$A$2:$C$735,3,0),"Khác")</f>
        <v>Thuế</v>
      </c>
      <c r="N144" s="24"/>
    </row>
    <row r="145">
      <c r="A145" s="15">
        <v>143.0</v>
      </c>
      <c r="B145" s="16" t="s">
        <v>769</v>
      </c>
      <c r="C145" s="18" t="s">
        <v>1095</v>
      </c>
      <c r="D145" s="16" t="s">
        <v>719</v>
      </c>
      <c r="E145" s="16" t="s">
        <v>1098</v>
      </c>
      <c r="F145" s="16" t="s">
        <v>1099</v>
      </c>
      <c r="G145" s="16" t="s">
        <v>1097</v>
      </c>
      <c r="H145" s="20" t="s">
        <v>69</v>
      </c>
      <c r="I145" s="21" t="s">
        <v>70</v>
      </c>
      <c r="J145" s="22" t="s">
        <v>71</v>
      </c>
      <c r="K145" s="23">
        <v>7.0</v>
      </c>
      <c r="L145" s="24">
        <v>10.0</v>
      </c>
      <c r="M145" s="24" t="str">
        <f>IFERROR(VLOOKUP(D145,'Chủ đề bài nguồn'!$A$2:$C$735,3,0),"Khác")</f>
        <v>Thuế</v>
      </c>
      <c r="N145" s="24"/>
    </row>
    <row r="146">
      <c r="A146" s="15">
        <v>144.0</v>
      </c>
      <c r="B146" s="16" t="s">
        <v>769</v>
      </c>
      <c r="C146" s="18" t="s">
        <v>1095</v>
      </c>
      <c r="D146" s="16" t="s">
        <v>714</v>
      </c>
      <c r="E146" s="16" t="s">
        <v>729</v>
      </c>
      <c r="F146" s="16" t="s">
        <v>1101</v>
      </c>
      <c r="G146" s="16" t="s">
        <v>1097</v>
      </c>
      <c r="H146" s="20" t="s">
        <v>69</v>
      </c>
      <c r="I146" s="21" t="s">
        <v>70</v>
      </c>
      <c r="J146" s="22" t="s">
        <v>71</v>
      </c>
      <c r="K146" s="23">
        <v>7.0</v>
      </c>
      <c r="L146" s="24">
        <v>10.0</v>
      </c>
      <c r="M146" s="24" t="str">
        <f>IFERROR(VLOOKUP(D146,'Chủ đề bài nguồn'!$A$2:$C$735,3,0),"Khác")</f>
        <v>Thuế</v>
      </c>
      <c r="N146" s="24"/>
    </row>
    <row r="147">
      <c r="A147" s="15">
        <v>145.0</v>
      </c>
      <c r="B147" s="16" t="s">
        <v>769</v>
      </c>
      <c r="C147" s="18" t="s">
        <v>1095</v>
      </c>
      <c r="D147" s="16" t="s">
        <v>640</v>
      </c>
      <c r="E147" s="16" t="s">
        <v>1103</v>
      </c>
      <c r="F147" s="16" t="s">
        <v>1104</v>
      </c>
      <c r="G147" s="16" t="s">
        <v>1097</v>
      </c>
      <c r="H147" s="20" t="s">
        <v>69</v>
      </c>
      <c r="I147" s="21" t="s">
        <v>70</v>
      </c>
      <c r="J147" s="22" t="s">
        <v>71</v>
      </c>
      <c r="K147" s="23">
        <v>7.0</v>
      </c>
      <c r="L147" s="24">
        <v>10.0</v>
      </c>
      <c r="M147" s="24" t="str">
        <f>IFERROR(VLOOKUP(D147,'Chủ đề bài nguồn'!$A$2:$C$735,3,0),"Khác")</f>
        <v>Thuế</v>
      </c>
      <c r="N147" s="24"/>
    </row>
    <row r="148">
      <c r="A148" s="15">
        <v>146.0</v>
      </c>
      <c r="B148" s="16" t="s">
        <v>769</v>
      </c>
      <c r="C148" s="18" t="s">
        <v>1095</v>
      </c>
      <c r="D148" s="16" t="s">
        <v>788</v>
      </c>
      <c r="E148" s="16" t="s">
        <v>789</v>
      </c>
      <c r="F148" s="16" t="s">
        <v>1106</v>
      </c>
      <c r="G148" s="16" t="s">
        <v>1107</v>
      </c>
      <c r="H148" s="20" t="s">
        <v>69</v>
      </c>
      <c r="I148" s="21" t="s">
        <v>70</v>
      </c>
      <c r="J148" s="22" t="s">
        <v>71</v>
      </c>
      <c r="K148" s="23">
        <v>7.0</v>
      </c>
      <c r="L148" s="24">
        <v>11.0</v>
      </c>
      <c r="M148" s="24" t="str">
        <f>IFERROR(VLOOKUP(D148,'Chủ đề bài nguồn'!$A$2:$C$735,3,0),"Khác")</f>
        <v>Hộ kinh doanh &amp; bán hàng</v>
      </c>
      <c r="N148" s="24"/>
    </row>
    <row r="149">
      <c r="A149" s="15">
        <v>147.0</v>
      </c>
      <c r="B149" s="16" t="s">
        <v>769</v>
      </c>
      <c r="C149" s="18" t="s">
        <v>1095</v>
      </c>
      <c r="D149" s="16" t="s">
        <v>776</v>
      </c>
      <c r="E149" s="16" t="s">
        <v>710</v>
      </c>
      <c r="F149" s="16" t="s">
        <v>1109</v>
      </c>
      <c r="G149" s="16" t="s">
        <v>1097</v>
      </c>
      <c r="H149" s="20" t="s">
        <v>155</v>
      </c>
      <c r="I149" s="21" t="s">
        <v>70</v>
      </c>
      <c r="J149" s="22" t="s">
        <v>71</v>
      </c>
      <c r="K149" s="23">
        <v>7.0</v>
      </c>
      <c r="L149" s="24">
        <v>20.0</v>
      </c>
      <c r="M149" s="24" t="str">
        <f>IFERROR(VLOOKUP(D149,'Chủ đề bài nguồn'!$A$2:$C$735,3,0),"Khác")</f>
        <v>Thuế</v>
      </c>
      <c r="N149" s="24"/>
    </row>
    <row r="150">
      <c r="A150" s="15">
        <v>148.0</v>
      </c>
      <c r="B150" s="16" t="s">
        <v>769</v>
      </c>
      <c r="C150" s="18" t="s">
        <v>1095</v>
      </c>
      <c r="D150" s="16" t="s">
        <v>793</v>
      </c>
      <c r="E150" s="16" t="s">
        <v>1110</v>
      </c>
      <c r="F150" s="16" t="s">
        <v>1111</v>
      </c>
      <c r="G150" s="16" t="s">
        <v>1112</v>
      </c>
      <c r="H150" s="20" t="s">
        <v>155</v>
      </c>
      <c r="I150" s="21" t="s">
        <v>70</v>
      </c>
      <c r="J150" s="22" t="s">
        <v>71</v>
      </c>
      <c r="K150" s="23">
        <v>7.0</v>
      </c>
      <c r="L150" s="24">
        <v>21.0</v>
      </c>
      <c r="M150" s="24" t="str">
        <f>IFERROR(VLOOKUP(D150,'Chủ đề bài nguồn'!$A$2:$C$735,3,0),"Khác")</f>
        <v>Thuế</v>
      </c>
      <c r="N150" s="24"/>
    </row>
    <row r="151">
      <c r="A151" s="15">
        <v>149.0</v>
      </c>
      <c r="B151" s="16" t="s">
        <v>769</v>
      </c>
      <c r="C151" s="18" t="s">
        <v>1095</v>
      </c>
      <c r="D151" s="16" t="s">
        <v>785</v>
      </c>
      <c r="E151" s="16" t="s">
        <v>1113</v>
      </c>
      <c r="F151" s="16" t="s">
        <v>1114</v>
      </c>
      <c r="G151" s="16" t="s">
        <v>1115</v>
      </c>
      <c r="H151" s="20" t="s">
        <v>155</v>
      </c>
      <c r="I151" s="21" t="s">
        <v>70</v>
      </c>
      <c r="J151" s="22" t="s">
        <v>71</v>
      </c>
      <c r="K151" s="23">
        <v>7.0</v>
      </c>
      <c r="L151" s="24">
        <v>21.0</v>
      </c>
      <c r="M151" s="24" t="str">
        <f>IFERROR(VLOOKUP(D151,'Chủ đề bài nguồn'!$A$2:$C$735,3,0),"Khác")</f>
        <v>Thuế</v>
      </c>
      <c r="N151" s="24"/>
    </row>
    <row r="152">
      <c r="A152" s="15">
        <v>150.0</v>
      </c>
      <c r="B152" s="16" t="s">
        <v>769</v>
      </c>
      <c r="C152" s="18" t="s">
        <v>1095</v>
      </c>
      <c r="D152" s="16" t="s">
        <v>852</v>
      </c>
      <c r="E152" s="16" t="s">
        <v>853</v>
      </c>
      <c r="F152" s="16" t="s">
        <v>1117</v>
      </c>
      <c r="G152" s="16" t="s">
        <v>1118</v>
      </c>
      <c r="H152" s="20" t="s">
        <v>155</v>
      </c>
      <c r="I152" s="21" t="s">
        <v>70</v>
      </c>
      <c r="J152" s="22" t="s">
        <v>71</v>
      </c>
      <c r="K152" s="23">
        <v>7.0</v>
      </c>
      <c r="L152" s="24">
        <v>21.0</v>
      </c>
      <c r="M152" s="24" t="str">
        <f>IFERROR(VLOOKUP(D152,'Chủ đề bài nguồn'!$A$2:$C$735,3,0),"Khác")</f>
        <v>Thuế</v>
      </c>
      <c r="N152" s="24"/>
    </row>
    <row r="153">
      <c r="A153" s="15">
        <v>151.0</v>
      </c>
      <c r="B153" s="16" t="s">
        <v>769</v>
      </c>
      <c r="C153" s="18" t="s">
        <v>1095</v>
      </c>
      <c r="D153" s="16" t="s">
        <v>765</v>
      </c>
      <c r="E153" s="16" t="s">
        <v>992</v>
      </c>
      <c r="F153" s="16" t="s">
        <v>1119</v>
      </c>
      <c r="G153" s="16" t="s">
        <v>1120</v>
      </c>
      <c r="H153" s="20" t="s">
        <v>155</v>
      </c>
      <c r="I153" s="21" t="s">
        <v>70</v>
      </c>
      <c r="J153" s="22" t="s">
        <v>71</v>
      </c>
      <c r="K153" s="23">
        <v>7.0</v>
      </c>
      <c r="L153" s="24">
        <v>21.0</v>
      </c>
      <c r="M153" s="24" t="str">
        <f>IFERROR(VLOOKUP(D153,'Chủ đề bài nguồn'!$A$2:$C$735,3,0),"Khác")</f>
        <v>Thuế</v>
      </c>
      <c r="N153" s="24"/>
    </row>
    <row r="154">
      <c r="A154" s="15">
        <v>152.0</v>
      </c>
      <c r="B154" s="16" t="s">
        <v>769</v>
      </c>
      <c r="C154" s="18" t="s">
        <v>1095</v>
      </c>
      <c r="D154" s="16" t="s">
        <v>758</v>
      </c>
      <c r="E154" s="16" t="s">
        <v>1123</v>
      </c>
      <c r="F154" s="16" t="s">
        <v>1124</v>
      </c>
      <c r="G154" s="16" t="s">
        <v>1125</v>
      </c>
      <c r="H154" s="20" t="s">
        <v>155</v>
      </c>
      <c r="I154" s="21" t="s">
        <v>70</v>
      </c>
      <c r="J154" s="22" t="s">
        <v>71</v>
      </c>
      <c r="K154" s="23">
        <v>7.0</v>
      </c>
      <c r="L154" s="24">
        <v>21.0</v>
      </c>
      <c r="M154" s="24" t="str">
        <f>IFERROR(VLOOKUP(D154,'Chủ đề bài nguồn'!$A$2:$C$735,3,0),"Khác")</f>
        <v>Thuế</v>
      </c>
      <c r="N154" s="24"/>
    </row>
    <row r="155">
      <c r="A155" s="15">
        <v>153.0</v>
      </c>
      <c r="B155" s="16" t="s">
        <v>769</v>
      </c>
      <c r="C155" s="18" t="s">
        <v>1095</v>
      </c>
      <c r="D155" s="16" t="s">
        <v>901</v>
      </c>
      <c r="E155" s="16" t="s">
        <v>902</v>
      </c>
      <c r="F155" s="16" t="s">
        <v>1126</v>
      </c>
      <c r="G155" s="16" t="s">
        <v>1127</v>
      </c>
      <c r="H155" s="20" t="s">
        <v>155</v>
      </c>
      <c r="I155" s="21" t="s">
        <v>70</v>
      </c>
      <c r="J155" s="22" t="s">
        <v>71</v>
      </c>
      <c r="K155" s="23">
        <v>7.0</v>
      </c>
      <c r="L155" s="24">
        <v>21.0</v>
      </c>
      <c r="M155" s="24" t="str">
        <f>IFERROR(VLOOKUP(D155,'Chủ đề bài nguồn'!$A$2:$C$735,3,0),"Khác")</f>
        <v>Thuế</v>
      </c>
      <c r="N155" s="24"/>
    </row>
    <row r="156">
      <c r="A156" s="15">
        <v>154.0</v>
      </c>
      <c r="B156" s="16" t="s">
        <v>769</v>
      </c>
      <c r="C156" s="18" t="s">
        <v>1095</v>
      </c>
      <c r="D156" s="16" t="s">
        <v>836</v>
      </c>
      <c r="E156" s="16" t="s">
        <v>1129</v>
      </c>
      <c r="F156" s="16" t="s">
        <v>1130</v>
      </c>
      <c r="G156" s="16" t="s">
        <v>1132</v>
      </c>
      <c r="H156" s="20" t="s">
        <v>155</v>
      </c>
      <c r="I156" s="21" t="s">
        <v>70</v>
      </c>
      <c r="J156" s="22" t="s">
        <v>71</v>
      </c>
      <c r="K156" s="23">
        <v>7.0</v>
      </c>
      <c r="L156" s="24">
        <v>21.0</v>
      </c>
      <c r="M156" s="24" t="str">
        <f>IFERROR(VLOOKUP(D156,'Chủ đề bài nguồn'!$A$2:$C$735,3,0),"Khác")</f>
        <v>Thuế</v>
      </c>
      <c r="N156" s="24"/>
    </row>
    <row r="157">
      <c r="A157" s="15">
        <v>155.0</v>
      </c>
      <c r="B157" s="16" t="s">
        <v>769</v>
      </c>
      <c r="C157" s="18" t="s">
        <v>1095</v>
      </c>
      <c r="D157" s="16" t="s">
        <v>598</v>
      </c>
      <c r="E157" s="16" t="s">
        <v>1133</v>
      </c>
      <c r="F157" s="16" t="s">
        <v>1134</v>
      </c>
      <c r="G157" s="16" t="s">
        <v>1135</v>
      </c>
      <c r="H157" s="20" t="s">
        <v>155</v>
      </c>
      <c r="I157" s="21" t="s">
        <v>70</v>
      </c>
      <c r="J157" s="22" t="s">
        <v>71</v>
      </c>
      <c r="K157" s="23">
        <v>7.0</v>
      </c>
      <c r="L157" s="24">
        <v>21.0</v>
      </c>
      <c r="M157" s="24" t="str">
        <f>IFERROR(VLOOKUP(D157,'Chủ đề bài nguồn'!$A$2:$C$735,3,0),"Khác")</f>
        <v>Thuế</v>
      </c>
      <c r="N157" s="24"/>
    </row>
    <row r="158">
      <c r="A158" s="15">
        <v>156.0</v>
      </c>
      <c r="B158" s="16" t="s">
        <v>769</v>
      </c>
      <c r="C158" s="18" t="s">
        <v>1095</v>
      </c>
      <c r="D158" s="16" t="s">
        <v>1136</v>
      </c>
      <c r="E158" s="16" t="s">
        <v>1138</v>
      </c>
      <c r="F158" s="16" t="s">
        <v>1139</v>
      </c>
      <c r="G158" s="16" t="s">
        <v>1140</v>
      </c>
      <c r="H158" s="20" t="s">
        <v>155</v>
      </c>
      <c r="I158" s="21" t="s">
        <v>70</v>
      </c>
      <c r="J158" s="22" t="s">
        <v>71</v>
      </c>
      <c r="K158" s="23">
        <v>7.0</v>
      </c>
      <c r="L158" s="24">
        <v>21.0</v>
      </c>
      <c r="M158" s="24" t="str">
        <f>IFERROR(VLOOKUP(D158,'Chủ đề bài nguồn'!$A$2:$C$735,3,0),"Khác")</f>
        <v>Doanh nghiệp (tài khoản, vay, tài chính)</v>
      </c>
      <c r="N158" s="24"/>
    </row>
    <row r="159">
      <c r="A159" s="15">
        <v>157.0</v>
      </c>
      <c r="B159" s="16" t="s">
        <v>769</v>
      </c>
      <c r="C159" s="18" t="s">
        <v>1095</v>
      </c>
      <c r="D159" s="16" t="s">
        <v>675</v>
      </c>
      <c r="E159" s="16" t="s">
        <v>1141</v>
      </c>
      <c r="F159" s="16" t="s">
        <v>1142</v>
      </c>
      <c r="G159" s="16" t="s">
        <v>1144</v>
      </c>
      <c r="H159" s="20" t="s">
        <v>155</v>
      </c>
      <c r="I159" s="21" t="s">
        <v>70</v>
      </c>
      <c r="J159" s="22" t="s">
        <v>71</v>
      </c>
      <c r="K159" s="23">
        <v>7.0</v>
      </c>
      <c r="L159" s="24">
        <v>21.0</v>
      </c>
      <c r="M159" s="24" t="str">
        <f>IFERROR(VLOOKUP(D159,'Chủ đề bài nguồn'!$A$2:$C$735,3,0),"Khác")</f>
        <v>Doanh nghiệp (tài khoản, vay, tài chính)</v>
      </c>
      <c r="N159" s="24"/>
    </row>
    <row r="160">
      <c r="A160" s="15">
        <v>158.0</v>
      </c>
      <c r="B160" s="16" t="s">
        <v>769</v>
      </c>
      <c r="C160" s="18" t="s">
        <v>1095</v>
      </c>
      <c r="D160" s="16" t="s">
        <v>800</v>
      </c>
      <c r="E160" s="16" t="s">
        <v>1146</v>
      </c>
      <c r="F160" s="16" t="s">
        <v>1147</v>
      </c>
      <c r="G160" s="16" t="s">
        <v>1148</v>
      </c>
      <c r="H160" s="20" t="s">
        <v>155</v>
      </c>
      <c r="I160" s="21" t="s">
        <v>70</v>
      </c>
      <c r="J160" s="22" t="s">
        <v>71</v>
      </c>
      <c r="K160" s="23">
        <v>7.0</v>
      </c>
      <c r="L160" s="24">
        <v>21.0</v>
      </c>
      <c r="M160" s="24" t="str">
        <f>IFERROR(VLOOKUP(D160,'Chủ đề bài nguồn'!$A$2:$C$735,3,0),"Khác")</f>
        <v>Hộ kinh doanh &amp; bán hàng</v>
      </c>
      <c r="N160" s="24"/>
    </row>
    <row r="161">
      <c r="A161" s="15">
        <v>159.0</v>
      </c>
      <c r="B161" s="16" t="s">
        <v>769</v>
      </c>
      <c r="C161" s="18" t="s">
        <v>1095</v>
      </c>
      <c r="D161" s="16" t="s">
        <v>779</v>
      </c>
      <c r="E161" s="16" t="s">
        <v>780</v>
      </c>
      <c r="F161" s="16" t="s">
        <v>1149</v>
      </c>
      <c r="G161" s="16" t="s">
        <v>1150</v>
      </c>
      <c r="H161" s="20" t="s">
        <v>155</v>
      </c>
      <c r="I161" s="21" t="s">
        <v>70</v>
      </c>
      <c r="J161" s="22" t="s">
        <v>1151</v>
      </c>
      <c r="K161" s="23">
        <v>7.0</v>
      </c>
      <c r="L161" s="24">
        <v>21.0</v>
      </c>
      <c r="M161" s="24" t="str">
        <f>IFERROR(VLOOKUP(D161,'Chủ đề bài nguồn'!$A$2:$C$735,3,0),"Khác")</f>
        <v>Hộ kinh doanh &amp; bán hàng</v>
      </c>
      <c r="N161" s="24"/>
    </row>
    <row r="162">
      <c r="A162" s="15">
        <v>160.0</v>
      </c>
      <c r="B162" s="16" t="s">
        <v>769</v>
      </c>
      <c r="C162" s="18" t="s">
        <v>1095</v>
      </c>
      <c r="D162" s="16" t="s">
        <v>773</v>
      </c>
      <c r="E162" s="16" t="s">
        <v>1152</v>
      </c>
      <c r="F162" s="16" t="s">
        <v>1153</v>
      </c>
      <c r="G162" s="16" t="s">
        <v>1154</v>
      </c>
      <c r="H162" s="20" t="s">
        <v>155</v>
      </c>
      <c r="I162" s="21" t="s">
        <v>70</v>
      </c>
      <c r="J162" s="22" t="s">
        <v>71</v>
      </c>
      <c r="K162" s="23">
        <v>7.0</v>
      </c>
      <c r="L162" s="24">
        <v>21.0</v>
      </c>
      <c r="M162" s="24" t="str">
        <f>IFERROR(VLOOKUP(D162,'Chủ đề bài nguồn'!$A$2:$C$735,3,0),"Khác")</f>
        <v>Doanh nghiệp (tài khoản, vay, tài chính)</v>
      </c>
      <c r="N162" s="24"/>
    </row>
    <row r="163">
      <c r="A163" s="15">
        <v>161.0</v>
      </c>
      <c r="B163" s="16" t="s">
        <v>769</v>
      </c>
      <c r="C163" s="18" t="s">
        <v>1095</v>
      </c>
      <c r="D163" s="16" t="s">
        <v>669</v>
      </c>
      <c r="E163" s="16" t="s">
        <v>670</v>
      </c>
      <c r="F163" s="16" t="s">
        <v>1155</v>
      </c>
      <c r="G163" s="16" t="s">
        <v>1156</v>
      </c>
      <c r="H163" s="20" t="s">
        <v>155</v>
      </c>
      <c r="I163" s="21" t="s">
        <v>70</v>
      </c>
      <c r="J163" s="22" t="s">
        <v>71</v>
      </c>
      <c r="K163" s="23">
        <v>7.0</v>
      </c>
      <c r="L163" s="24">
        <v>21.0</v>
      </c>
      <c r="M163" s="24" t="str">
        <f>IFERROR(VLOOKUP(D163,'Chủ đề bài nguồn'!$A$2:$C$735,3,0),"Khác")</f>
        <v>Thuế</v>
      </c>
      <c r="N163" s="24"/>
    </row>
    <row r="164">
      <c r="A164" s="15">
        <v>162.0</v>
      </c>
      <c r="B164" s="39" t="s">
        <v>769</v>
      </c>
      <c r="C164" s="18" t="s">
        <v>1095</v>
      </c>
      <c r="D164" s="39" t="s">
        <v>1161</v>
      </c>
      <c r="E164" s="16" t="s">
        <v>1162</v>
      </c>
      <c r="F164" s="16" t="s">
        <v>1163</v>
      </c>
      <c r="G164" s="16" t="s">
        <v>1150</v>
      </c>
      <c r="H164" s="20" t="s">
        <v>155</v>
      </c>
      <c r="I164" s="21" t="s">
        <v>70</v>
      </c>
      <c r="J164" s="22" t="s">
        <v>71</v>
      </c>
      <c r="K164" s="23">
        <v>7.0</v>
      </c>
      <c r="L164" s="24">
        <v>21.0</v>
      </c>
      <c r="M164" s="24" t="str">
        <f>IFERROR(VLOOKUP(D164,'Chủ đề bài nguồn'!$A$2:$C$735,3,0),"Khác")</f>
        <v>Doanh nghiệp (tài khoản, vay, tài chính)</v>
      </c>
      <c r="N164" s="24"/>
    </row>
    <row r="165">
      <c r="A165" s="15">
        <v>163.0</v>
      </c>
      <c r="B165" s="39" t="s">
        <v>769</v>
      </c>
      <c r="C165" s="18" t="s">
        <v>1095</v>
      </c>
      <c r="D165" s="39" t="s">
        <v>1165</v>
      </c>
      <c r="E165" s="16" t="s">
        <v>1166</v>
      </c>
      <c r="F165" s="16" t="s">
        <v>1167</v>
      </c>
      <c r="G165" s="16" t="s">
        <v>1168</v>
      </c>
      <c r="H165" s="20" t="s">
        <v>155</v>
      </c>
      <c r="I165" s="21" t="s">
        <v>70</v>
      </c>
      <c r="J165" s="22" t="s">
        <v>71</v>
      </c>
      <c r="K165" s="23">
        <v>7.0</v>
      </c>
      <c r="L165" s="24">
        <v>21.0</v>
      </c>
      <c r="M165" s="24" t="str">
        <f>IFERROR(VLOOKUP(D165,'Chủ đề bài nguồn'!$A$2:$C$735,3,0),"Khác")</f>
        <v>Doanh nghiệp (tài khoản, vay, tài chính)</v>
      </c>
      <c r="N165" s="24"/>
    </row>
    <row r="166">
      <c r="A166" s="15">
        <v>164.0</v>
      </c>
      <c r="B166" s="39" t="s">
        <v>769</v>
      </c>
      <c r="C166" s="18" t="s">
        <v>1095</v>
      </c>
      <c r="D166" s="39" t="s">
        <v>887</v>
      </c>
      <c r="E166" s="16" t="s">
        <v>1170</v>
      </c>
      <c r="F166" s="16" t="s">
        <v>1172</v>
      </c>
      <c r="G166" s="16" t="s">
        <v>1173</v>
      </c>
      <c r="H166" s="20" t="s">
        <v>155</v>
      </c>
      <c r="I166" s="21" t="s">
        <v>70</v>
      </c>
      <c r="J166" s="22" t="s">
        <v>71</v>
      </c>
      <c r="K166" s="23">
        <v>7.0</v>
      </c>
      <c r="L166" s="24">
        <v>21.0</v>
      </c>
      <c r="M166" s="24" t="str">
        <f>IFERROR(VLOOKUP(D166,'Chủ đề bài nguồn'!$A$2:$C$735,3,0),"Khác")</f>
        <v>Hộ kinh doanh &amp; bán hàng</v>
      </c>
      <c r="N166" s="24"/>
    </row>
    <row r="167">
      <c r="A167" s="15">
        <v>165.0</v>
      </c>
      <c r="B167" s="16" t="s">
        <v>769</v>
      </c>
      <c r="C167" s="18" t="s">
        <v>1095</v>
      </c>
      <c r="D167" s="16" t="s">
        <v>679</v>
      </c>
      <c r="E167" s="16" t="s">
        <v>1174</v>
      </c>
      <c r="F167" s="16" t="s">
        <v>1175</v>
      </c>
      <c r="G167" s="16" t="s">
        <v>1176</v>
      </c>
      <c r="H167" s="20" t="s">
        <v>155</v>
      </c>
      <c r="I167" s="21" t="s">
        <v>70</v>
      </c>
      <c r="J167" s="22" t="s">
        <v>71</v>
      </c>
      <c r="K167" s="23">
        <v>7.0</v>
      </c>
      <c r="L167" s="24">
        <v>21.0</v>
      </c>
      <c r="M167" s="24" t="str">
        <f>IFERROR(VLOOKUP(D167,'Chủ đề bài nguồn'!$A$2:$C$735,3,0),"Khác")</f>
        <v>Thuế</v>
      </c>
      <c r="N167" s="24"/>
    </row>
    <row r="168">
      <c r="A168" s="15">
        <v>166.0</v>
      </c>
      <c r="B168" s="16" t="s">
        <v>769</v>
      </c>
      <c r="C168" s="18" t="s">
        <v>886</v>
      </c>
      <c r="D168" s="16" t="s">
        <v>872</v>
      </c>
      <c r="E168" s="16" t="s">
        <v>1177</v>
      </c>
      <c r="F168" s="16" t="s">
        <v>1178</v>
      </c>
      <c r="G168" s="16" t="s">
        <v>1180</v>
      </c>
      <c r="H168" s="20" t="s">
        <v>229</v>
      </c>
      <c r="I168" s="21" t="s">
        <v>70</v>
      </c>
      <c r="J168" s="22" t="s">
        <v>71</v>
      </c>
      <c r="K168" s="23">
        <v>7.0</v>
      </c>
      <c r="L168" s="24">
        <v>31.0</v>
      </c>
      <c r="M168" s="24" t="str">
        <f>IFERROR(VLOOKUP(D168,'Chủ đề bài nguồn'!$A$2:$C$735,3,0),"Khác")</f>
        <v>Doanh nghiệp (tài khoản, vay, tài chính)</v>
      </c>
      <c r="N168" s="24"/>
    </row>
    <row r="169">
      <c r="A169" s="15">
        <v>167.0</v>
      </c>
      <c r="B169" s="16" t="s">
        <v>769</v>
      </c>
      <c r="C169" s="18" t="s">
        <v>886</v>
      </c>
      <c r="D169" s="16" t="s">
        <v>726</v>
      </c>
      <c r="E169" s="16" t="s">
        <v>943</v>
      </c>
      <c r="F169" s="16" t="s">
        <v>1183</v>
      </c>
      <c r="G169" s="16" t="s">
        <v>1184</v>
      </c>
      <c r="H169" s="20" t="s">
        <v>229</v>
      </c>
      <c r="I169" s="21" t="s">
        <v>70</v>
      </c>
      <c r="J169" s="22" t="s">
        <v>1185</v>
      </c>
      <c r="K169" s="23">
        <v>7.0</v>
      </c>
      <c r="L169" s="24">
        <v>31.0</v>
      </c>
      <c r="M169" s="24" t="str">
        <f>IFERROR(VLOOKUP(D169,'Chủ đề bài nguồn'!$A$2:$C$735,3,0),"Khác")</f>
        <v>Thuế</v>
      </c>
      <c r="N169" s="24"/>
    </row>
    <row r="170">
      <c r="A170" s="15">
        <v>168.0</v>
      </c>
      <c r="B170" s="16" t="s">
        <v>769</v>
      </c>
      <c r="C170" s="18" t="s">
        <v>1095</v>
      </c>
      <c r="D170" s="16" t="s">
        <v>1029</v>
      </c>
      <c r="E170" s="16" t="s">
        <v>1186</v>
      </c>
      <c r="F170" s="16" t="s">
        <v>1187</v>
      </c>
      <c r="G170" s="16" t="s">
        <v>1150</v>
      </c>
      <c r="H170" s="20" t="s">
        <v>229</v>
      </c>
      <c r="I170" s="21" t="s">
        <v>70</v>
      </c>
      <c r="J170" s="22" t="s">
        <v>1188</v>
      </c>
      <c r="K170" s="23">
        <v>7.0</v>
      </c>
      <c r="L170" s="24">
        <v>31.0</v>
      </c>
      <c r="M170" s="24" t="str">
        <f>IFERROR(VLOOKUP(D170,'Chủ đề bài nguồn'!$A$2:$C$735,3,0),"Khác")</f>
        <v>Thuế</v>
      </c>
      <c r="N170" s="24"/>
    </row>
    <row r="171">
      <c r="A171" s="15">
        <v>169.0</v>
      </c>
      <c r="B171" s="16" t="s">
        <v>769</v>
      </c>
      <c r="C171" s="18" t="s">
        <v>1095</v>
      </c>
      <c r="D171" s="16" t="s">
        <v>1189</v>
      </c>
      <c r="E171" s="16" t="s">
        <v>1190</v>
      </c>
      <c r="F171" s="16" t="s">
        <v>1191</v>
      </c>
      <c r="G171" s="16" t="s">
        <v>1192</v>
      </c>
      <c r="H171" s="20" t="s">
        <v>229</v>
      </c>
      <c r="I171" s="21" t="s">
        <v>70</v>
      </c>
      <c r="J171" s="22" t="s">
        <v>1193</v>
      </c>
      <c r="K171" s="23">
        <v>7.0</v>
      </c>
      <c r="L171" s="24">
        <v>31.0</v>
      </c>
      <c r="M171" s="24" t="str">
        <f>IFERROR(VLOOKUP(D171,'Chủ đề bài nguồn'!$A$2:$C$735,3,0),"Khác")</f>
        <v>Doanh nghiệp (tài khoản, vay, tài chính)</v>
      </c>
      <c r="N171" s="24"/>
    </row>
    <row r="172">
      <c r="A172" s="15">
        <v>170.0</v>
      </c>
      <c r="B172" s="16" t="s">
        <v>773</v>
      </c>
      <c r="C172" s="18" t="s">
        <v>914</v>
      </c>
      <c r="D172" s="16" t="s">
        <v>750</v>
      </c>
      <c r="E172" s="16" t="s">
        <v>964</v>
      </c>
      <c r="F172" s="16" t="s">
        <v>1194</v>
      </c>
      <c r="G172" s="16" t="s">
        <v>1195</v>
      </c>
      <c r="H172" s="20" t="s">
        <v>69</v>
      </c>
      <c r="I172" s="21" t="s">
        <v>70</v>
      </c>
      <c r="J172" s="22" t="s">
        <v>71</v>
      </c>
      <c r="K172" s="23">
        <v>8.0</v>
      </c>
      <c r="L172" s="24">
        <v>11.0</v>
      </c>
      <c r="M172" s="24" t="str">
        <f>IFERROR(VLOOKUP(D172,'Chủ đề bài nguồn'!$A$2:$C$735,3,0),"Khác")</f>
        <v>Doanh nghiệp (tài khoản, vay, tài chính)</v>
      </c>
      <c r="N172" s="24"/>
    </row>
    <row r="173">
      <c r="A173" s="15">
        <v>171.0</v>
      </c>
      <c r="B173" s="16" t="s">
        <v>773</v>
      </c>
      <c r="C173" s="18" t="s">
        <v>1197</v>
      </c>
      <c r="D173" s="16" t="s">
        <v>494</v>
      </c>
      <c r="E173" s="16" t="s">
        <v>857</v>
      </c>
      <c r="F173" s="16" t="s">
        <v>1198</v>
      </c>
      <c r="G173" s="16" t="s">
        <v>1199</v>
      </c>
      <c r="H173" s="20" t="s">
        <v>155</v>
      </c>
      <c r="I173" s="21" t="s">
        <v>70</v>
      </c>
      <c r="J173" s="22" t="s">
        <v>1200</v>
      </c>
      <c r="K173" s="23">
        <v>8.0</v>
      </c>
      <c r="L173" s="24">
        <v>21.0</v>
      </c>
      <c r="M173" s="24" t="str">
        <f>IFERROR(VLOOKUP(D173,'Chủ đề bài nguồn'!$A$2:$C$735,3,0),"Khác")</f>
        <v>Doanh nghiệp (tài khoản, vay, tài chính)</v>
      </c>
      <c r="N173" s="24"/>
    </row>
    <row r="174">
      <c r="A174" s="15">
        <v>172.0</v>
      </c>
      <c r="B174" s="16" t="s">
        <v>773</v>
      </c>
      <c r="C174" s="18" t="s">
        <v>1197</v>
      </c>
      <c r="D174" s="16" t="s">
        <v>1201</v>
      </c>
      <c r="E174" s="16" t="s">
        <v>1202</v>
      </c>
      <c r="F174" s="16" t="s">
        <v>1203</v>
      </c>
      <c r="G174" s="16" t="s">
        <v>1204</v>
      </c>
      <c r="H174" s="20" t="s">
        <v>155</v>
      </c>
      <c r="I174" s="21" t="s">
        <v>70</v>
      </c>
      <c r="J174" s="22" t="s">
        <v>71</v>
      </c>
      <c r="K174" s="23">
        <v>8.0</v>
      </c>
      <c r="L174" s="24">
        <v>21.0</v>
      </c>
      <c r="M174" s="24" t="str">
        <f>IFERROR(VLOOKUP(D174,'Chủ đề bài nguồn'!$A$2:$C$735,3,0),"Khác")</f>
        <v>Doanh nghiệp (tài khoản, vay, tài chính)</v>
      </c>
      <c r="N174" s="24"/>
    </row>
    <row r="175">
      <c r="A175" s="15">
        <v>173.0</v>
      </c>
      <c r="B175" s="16" t="s">
        <v>773</v>
      </c>
      <c r="C175" s="18" t="s">
        <v>1197</v>
      </c>
      <c r="D175" s="16" t="s">
        <v>1205</v>
      </c>
      <c r="E175" s="16" t="s">
        <v>1206</v>
      </c>
      <c r="F175" s="16" t="s">
        <v>1207</v>
      </c>
      <c r="G175" s="16" t="s">
        <v>1208</v>
      </c>
      <c r="H175" s="20" t="s">
        <v>155</v>
      </c>
      <c r="I175" s="21" t="s">
        <v>70</v>
      </c>
      <c r="J175" s="22" t="s">
        <v>71</v>
      </c>
      <c r="K175" s="23">
        <v>8.0</v>
      </c>
      <c r="L175" s="24">
        <v>21.0</v>
      </c>
      <c r="M175" s="24" t="str">
        <f>IFERROR(VLOOKUP(D175,'Chủ đề bài nguồn'!$A$2:$C$735,3,0),"Khác")</f>
        <v>Doanh nghiệp (tài khoản, vay, tài chính)</v>
      </c>
      <c r="N175" s="24"/>
    </row>
    <row r="176">
      <c r="A176" s="15">
        <v>174.0</v>
      </c>
      <c r="B176" s="16" t="s">
        <v>773</v>
      </c>
      <c r="C176" s="18" t="s">
        <v>1197</v>
      </c>
      <c r="D176" s="16" t="s">
        <v>675</v>
      </c>
      <c r="E176" s="16" t="s">
        <v>1209</v>
      </c>
      <c r="F176" s="16" t="s">
        <v>1210</v>
      </c>
      <c r="G176" s="16" t="s">
        <v>1211</v>
      </c>
      <c r="H176" s="20" t="s">
        <v>155</v>
      </c>
      <c r="I176" s="21" t="s">
        <v>70</v>
      </c>
      <c r="J176" s="22" t="s">
        <v>71</v>
      </c>
      <c r="K176" s="23">
        <v>8.0</v>
      </c>
      <c r="L176" s="24">
        <v>21.0</v>
      </c>
      <c r="M176" s="24" t="str">
        <f>IFERROR(VLOOKUP(D176,'Chủ đề bài nguồn'!$A$2:$C$735,3,0),"Khác")</f>
        <v>Doanh nghiệp (tài khoản, vay, tài chính)</v>
      </c>
      <c r="N176" s="24"/>
    </row>
    <row r="177">
      <c r="A177" s="15">
        <v>175.0</v>
      </c>
      <c r="B177" s="16" t="s">
        <v>773</v>
      </c>
      <c r="C177" s="18" t="s">
        <v>914</v>
      </c>
      <c r="D177" s="16" t="s">
        <v>829</v>
      </c>
      <c r="E177" s="16" t="s">
        <v>1213</v>
      </c>
      <c r="F177" s="16" t="s">
        <v>1214</v>
      </c>
      <c r="G177" s="16" t="s">
        <v>1215</v>
      </c>
      <c r="H177" s="20" t="s">
        <v>155</v>
      </c>
      <c r="I177" s="21" t="s">
        <v>70</v>
      </c>
      <c r="J177" s="22" t="s">
        <v>71</v>
      </c>
      <c r="K177" s="23">
        <v>8.0</v>
      </c>
      <c r="L177" s="24">
        <v>21.0</v>
      </c>
      <c r="M177" s="24" t="str">
        <f>IFERROR(VLOOKUP(D177,'Chủ đề bài nguồn'!$A$2:$C$735,3,0),"Khác")</f>
        <v>Doanh nghiệp (tài khoản, vay, tài chính)</v>
      </c>
      <c r="N177" s="24"/>
    </row>
    <row r="178">
      <c r="A178" s="15">
        <v>176.0</v>
      </c>
      <c r="B178" s="16" t="s">
        <v>773</v>
      </c>
      <c r="C178" s="18" t="s">
        <v>914</v>
      </c>
      <c r="D178" s="16" t="s">
        <v>868</v>
      </c>
      <c r="E178" s="16" t="s">
        <v>1216</v>
      </c>
      <c r="F178" s="16" t="s">
        <v>1217</v>
      </c>
      <c r="G178" s="16" t="s">
        <v>1218</v>
      </c>
      <c r="H178" s="20" t="s">
        <v>155</v>
      </c>
      <c r="I178" s="21" t="s">
        <v>70</v>
      </c>
      <c r="J178" s="22" t="s">
        <v>71</v>
      </c>
      <c r="K178" s="23">
        <v>8.0</v>
      </c>
      <c r="L178" s="24">
        <v>21.0</v>
      </c>
      <c r="M178" s="24" t="str">
        <f>IFERROR(VLOOKUP(D178,'Chủ đề bài nguồn'!$A$2:$C$735,3,0),"Khác")</f>
        <v>Doanh nghiệp (tài khoản, vay, tài chính)</v>
      </c>
      <c r="N178" s="24"/>
    </row>
    <row r="179">
      <c r="A179" s="15">
        <v>177.0</v>
      </c>
      <c r="B179" s="16" t="s">
        <v>773</v>
      </c>
      <c r="C179" s="18" t="s">
        <v>914</v>
      </c>
      <c r="D179" s="16" t="s">
        <v>880</v>
      </c>
      <c r="E179" s="16" t="s">
        <v>1219</v>
      </c>
      <c r="F179" s="16" t="s">
        <v>1220</v>
      </c>
      <c r="G179" s="16" t="s">
        <v>1221</v>
      </c>
      <c r="H179" s="20" t="s">
        <v>155</v>
      </c>
      <c r="I179" s="21" t="s">
        <v>70</v>
      </c>
      <c r="J179" s="22" t="s">
        <v>71</v>
      </c>
      <c r="K179" s="23">
        <v>8.0</v>
      </c>
      <c r="L179" s="24">
        <v>21.0</v>
      </c>
      <c r="M179" s="24" t="str">
        <f>IFERROR(VLOOKUP(D179,'Chủ đề bài nguồn'!$A$2:$C$735,3,0),"Khác")</f>
        <v>Doanh nghiệp (tài khoản, vay, tài chính)</v>
      </c>
      <c r="N179" s="24"/>
    </row>
    <row r="180">
      <c r="A180" s="15">
        <v>178.0</v>
      </c>
      <c r="B180" s="16" t="s">
        <v>773</v>
      </c>
      <c r="C180" s="18" t="s">
        <v>914</v>
      </c>
      <c r="D180" s="16" t="s">
        <v>1165</v>
      </c>
      <c r="E180" s="16" t="s">
        <v>1166</v>
      </c>
      <c r="F180" s="16" t="s">
        <v>1222</v>
      </c>
      <c r="G180" s="16" t="s">
        <v>1224</v>
      </c>
      <c r="H180" s="20" t="s">
        <v>155</v>
      </c>
      <c r="I180" s="21" t="s">
        <v>70</v>
      </c>
      <c r="J180" s="22" t="s">
        <v>71</v>
      </c>
      <c r="K180" s="23">
        <v>8.0</v>
      </c>
      <c r="L180" s="24">
        <v>21.0</v>
      </c>
      <c r="M180" s="24" t="str">
        <f>IFERROR(VLOOKUP(D180,'Chủ đề bài nguồn'!$A$2:$C$735,3,0),"Khác")</f>
        <v>Doanh nghiệp (tài khoản, vay, tài chính)</v>
      </c>
      <c r="N180" s="24"/>
    </row>
    <row r="181">
      <c r="A181" s="15">
        <v>179.0</v>
      </c>
      <c r="B181" s="39" t="s">
        <v>773</v>
      </c>
      <c r="C181" s="18" t="s">
        <v>914</v>
      </c>
      <c r="D181" s="39" t="s">
        <v>1161</v>
      </c>
      <c r="E181" s="16" t="s">
        <v>1226</v>
      </c>
      <c r="F181" s="16" t="s">
        <v>1227</v>
      </c>
      <c r="G181" s="16" t="s">
        <v>1228</v>
      </c>
      <c r="H181" s="20" t="s">
        <v>155</v>
      </c>
      <c r="I181" s="21" t="s">
        <v>70</v>
      </c>
      <c r="J181" s="22" t="s">
        <v>71</v>
      </c>
      <c r="K181" s="23">
        <v>8.0</v>
      </c>
      <c r="L181" s="24">
        <v>21.0</v>
      </c>
      <c r="M181" s="24" t="str">
        <f>IFERROR(VLOOKUP(D181,'Chủ đề bài nguồn'!$A$2:$C$735,3,0),"Khác")</f>
        <v>Doanh nghiệp (tài khoản, vay, tài chính)</v>
      </c>
      <c r="N181" s="24"/>
    </row>
    <row r="182">
      <c r="A182" s="15">
        <v>180.0</v>
      </c>
      <c r="B182" s="16" t="s">
        <v>773</v>
      </c>
      <c r="C182" s="18" t="s">
        <v>1197</v>
      </c>
      <c r="D182" s="16" t="s">
        <v>1040</v>
      </c>
      <c r="E182" s="16" t="s">
        <v>1041</v>
      </c>
      <c r="F182" s="16" t="s">
        <v>1229</v>
      </c>
      <c r="G182" s="16" t="s">
        <v>1230</v>
      </c>
      <c r="H182" s="20" t="s">
        <v>229</v>
      </c>
      <c r="I182" s="21" t="s">
        <v>70</v>
      </c>
      <c r="J182" s="22" t="s">
        <v>71</v>
      </c>
      <c r="K182" s="23">
        <v>8.0</v>
      </c>
      <c r="L182" s="24">
        <v>31.0</v>
      </c>
      <c r="M182" s="24" t="str">
        <f>IFERROR(VLOOKUP(D182,'Chủ đề bài nguồn'!$A$2:$C$735,3,0),"Khác")</f>
        <v>Doanh nghiệp (tài khoản, vay, tài chính)</v>
      </c>
      <c r="N182" s="24"/>
    </row>
    <row r="183">
      <c r="A183" s="15">
        <v>181.0</v>
      </c>
      <c r="B183" s="16" t="s">
        <v>773</v>
      </c>
      <c r="C183" s="18" t="s">
        <v>1197</v>
      </c>
      <c r="D183" s="16" t="s">
        <v>1231</v>
      </c>
      <c r="E183" s="16" t="s">
        <v>1232</v>
      </c>
      <c r="F183" s="16" t="s">
        <v>1233</v>
      </c>
      <c r="G183" s="16" t="s">
        <v>1234</v>
      </c>
      <c r="H183" s="20" t="s">
        <v>229</v>
      </c>
      <c r="I183" s="21" t="s">
        <v>70</v>
      </c>
      <c r="J183" s="22" t="s">
        <v>1235</v>
      </c>
      <c r="K183" s="23">
        <v>8.0</v>
      </c>
      <c r="L183" s="24">
        <v>31.0</v>
      </c>
      <c r="M183" s="24" t="str">
        <f>IFERROR(VLOOKUP(D183,'Chủ đề bài nguồn'!$A$2:$C$735,3,0),"Khác")</f>
        <v>Tài khoản &amp; ngân hàng số</v>
      </c>
      <c r="N183" s="24"/>
    </row>
    <row r="184">
      <c r="A184" s="15">
        <v>182.0</v>
      </c>
      <c r="B184" s="16" t="s">
        <v>773</v>
      </c>
      <c r="C184" s="18" t="s">
        <v>914</v>
      </c>
      <c r="D184" s="16" t="s">
        <v>705</v>
      </c>
      <c r="E184" s="16" t="s">
        <v>1236</v>
      </c>
      <c r="F184" s="16" t="s">
        <v>1237</v>
      </c>
      <c r="G184" s="16" t="s">
        <v>1238</v>
      </c>
      <c r="H184" s="20" t="s">
        <v>229</v>
      </c>
      <c r="I184" s="21" t="s">
        <v>70</v>
      </c>
      <c r="J184" s="22" t="s">
        <v>71</v>
      </c>
      <c r="K184" s="23">
        <v>8.0</v>
      </c>
      <c r="L184" s="24">
        <v>31.0</v>
      </c>
      <c r="M184" s="24" t="str">
        <f>IFERROR(VLOOKUP(D184,'Chủ đề bài nguồn'!$A$2:$C$735,3,0),"Khác")</f>
        <v>Thuế</v>
      </c>
      <c r="N184" s="24"/>
    </row>
    <row r="185">
      <c r="A185" s="15">
        <v>183.0</v>
      </c>
      <c r="B185" s="16" t="s">
        <v>773</v>
      </c>
      <c r="C185" s="18" t="s">
        <v>914</v>
      </c>
      <c r="D185" s="16" t="s">
        <v>758</v>
      </c>
      <c r="E185" s="16" t="s">
        <v>1239</v>
      </c>
      <c r="F185" s="16" t="s">
        <v>1240</v>
      </c>
      <c r="G185" s="16" t="s">
        <v>1241</v>
      </c>
      <c r="H185" s="20" t="s">
        <v>229</v>
      </c>
      <c r="I185" s="21" t="s">
        <v>70</v>
      </c>
      <c r="J185" s="22" t="s">
        <v>387</v>
      </c>
      <c r="K185" s="23">
        <v>8.0</v>
      </c>
      <c r="L185" s="24">
        <v>31.0</v>
      </c>
      <c r="M185" s="24" t="str">
        <f>IFERROR(VLOOKUP(D185,'Chủ đề bài nguồn'!$A$2:$C$735,3,0),"Khác")</f>
        <v>Thuế</v>
      </c>
      <c r="N185" s="24"/>
    </row>
    <row r="186">
      <c r="A186" s="15">
        <v>184.0</v>
      </c>
      <c r="B186" s="16" t="s">
        <v>773</v>
      </c>
      <c r="C186" s="18" t="s">
        <v>914</v>
      </c>
      <c r="D186" s="16" t="s">
        <v>1243</v>
      </c>
      <c r="E186" s="16" t="s">
        <v>1244</v>
      </c>
      <c r="F186" s="16" t="s">
        <v>1245</v>
      </c>
      <c r="G186" s="16" t="s">
        <v>1246</v>
      </c>
      <c r="H186" s="20" t="s">
        <v>229</v>
      </c>
      <c r="I186" s="21" t="s">
        <v>70</v>
      </c>
      <c r="J186" s="22" t="s">
        <v>71</v>
      </c>
      <c r="K186" s="23">
        <v>8.0</v>
      </c>
      <c r="L186" s="24">
        <v>31.0</v>
      </c>
      <c r="M186" s="24" t="str">
        <f>IFERROR(VLOOKUP(D186,'Chủ đề bài nguồn'!$A$2:$C$735,3,0),"Khác")</f>
        <v>Doanh nghiệp (tài khoản, vay, tài chính)</v>
      </c>
      <c r="N186" s="24"/>
    </row>
    <row r="187">
      <c r="A187" s="15">
        <v>185.0</v>
      </c>
      <c r="B187" s="16" t="s">
        <v>758</v>
      </c>
      <c r="C187" s="18" t="s">
        <v>1247</v>
      </c>
      <c r="D187" s="16" t="s">
        <v>836</v>
      </c>
      <c r="E187" s="16" t="s">
        <v>1248</v>
      </c>
      <c r="F187" s="16" t="s">
        <v>1249</v>
      </c>
      <c r="G187" s="16" t="s">
        <v>1250</v>
      </c>
      <c r="H187" s="20" t="s">
        <v>69</v>
      </c>
      <c r="I187" s="21" t="s">
        <v>70</v>
      </c>
      <c r="J187" s="22" t="s">
        <v>809</v>
      </c>
      <c r="K187" s="23">
        <v>9.0</v>
      </c>
      <c r="L187" s="24">
        <v>11.0</v>
      </c>
      <c r="M187" s="24" t="str">
        <f>IFERROR(VLOOKUP(D187,'Chủ đề bài nguồn'!$A$2:$C$735,3,0),"Khác")</f>
        <v>Thuế</v>
      </c>
      <c r="N187" s="24"/>
    </row>
    <row r="188">
      <c r="A188" s="15">
        <v>186.0</v>
      </c>
      <c r="B188" s="16" t="s">
        <v>758</v>
      </c>
      <c r="C188" s="18" t="s">
        <v>1251</v>
      </c>
      <c r="D188" s="16" t="s">
        <v>769</v>
      </c>
      <c r="E188" s="16" t="s">
        <v>1066</v>
      </c>
      <c r="F188" s="16" t="s">
        <v>1252</v>
      </c>
      <c r="G188" s="16" t="s">
        <v>1253</v>
      </c>
      <c r="H188" s="20" t="s">
        <v>69</v>
      </c>
      <c r="I188" s="21" t="s">
        <v>70</v>
      </c>
      <c r="J188" s="22" t="s">
        <v>1255</v>
      </c>
      <c r="K188" s="23">
        <v>9.0</v>
      </c>
      <c r="L188" s="24">
        <v>11.0</v>
      </c>
      <c r="M188" s="24" t="str">
        <f>IFERROR(VLOOKUP(D188,'Chủ đề bài nguồn'!$A$2:$C$735,3,0),"Khác")</f>
        <v>Thuế</v>
      </c>
      <c r="N188" s="24"/>
    </row>
    <row r="189">
      <c r="A189" s="15">
        <v>187.0</v>
      </c>
      <c r="B189" s="16" t="s">
        <v>758</v>
      </c>
      <c r="C189" s="18" t="s">
        <v>942</v>
      </c>
      <c r="D189" s="16" t="s">
        <v>726</v>
      </c>
      <c r="E189" s="16" t="s">
        <v>1257</v>
      </c>
      <c r="F189" s="16" t="s">
        <v>1258</v>
      </c>
      <c r="G189" s="16" t="s">
        <v>1259</v>
      </c>
      <c r="H189" s="20" t="s">
        <v>155</v>
      </c>
      <c r="I189" s="21" t="s">
        <v>70</v>
      </c>
      <c r="J189" s="22" t="s">
        <v>71</v>
      </c>
      <c r="K189" s="23">
        <v>9.0</v>
      </c>
      <c r="L189" s="24">
        <v>21.0</v>
      </c>
      <c r="M189" s="24" t="str">
        <f>IFERROR(VLOOKUP(D189,'Chủ đề bài nguồn'!$A$2:$C$735,3,0),"Khác")</f>
        <v>Thuế</v>
      </c>
      <c r="N189" s="24"/>
    </row>
    <row r="190">
      <c r="A190" s="15">
        <v>188.0</v>
      </c>
      <c r="B190" s="16" t="s">
        <v>758</v>
      </c>
      <c r="C190" s="18" t="s">
        <v>942</v>
      </c>
      <c r="D190" s="16" t="s">
        <v>754</v>
      </c>
      <c r="E190" s="16" t="s">
        <v>755</v>
      </c>
      <c r="F190" s="16" t="s">
        <v>1265</v>
      </c>
      <c r="G190" s="16" t="s">
        <v>1266</v>
      </c>
      <c r="H190" s="20" t="s">
        <v>155</v>
      </c>
      <c r="I190" s="21" t="s">
        <v>70</v>
      </c>
      <c r="J190" s="22" t="s">
        <v>71</v>
      </c>
      <c r="K190" s="23">
        <v>9.0</v>
      </c>
      <c r="L190" s="24">
        <v>21.0</v>
      </c>
      <c r="M190" s="24" t="str">
        <f>IFERROR(VLOOKUP(D190,'Chủ đề bài nguồn'!$A$2:$C$735,3,0),"Khác")</f>
        <v>Đầu tư, CCTG, trái phiếu, vàng</v>
      </c>
      <c r="N190" s="24"/>
    </row>
    <row r="191">
      <c r="A191" s="15">
        <v>189.0</v>
      </c>
      <c r="B191" s="16" t="s">
        <v>758</v>
      </c>
      <c r="C191" s="18" t="s">
        <v>942</v>
      </c>
      <c r="D191" s="16" t="s">
        <v>805</v>
      </c>
      <c r="E191" s="16" t="s">
        <v>1267</v>
      </c>
      <c r="F191" s="16" t="s">
        <v>1268</v>
      </c>
      <c r="G191" s="16" t="s">
        <v>1269</v>
      </c>
      <c r="H191" s="20" t="s">
        <v>155</v>
      </c>
      <c r="I191" s="21" t="s">
        <v>70</v>
      </c>
      <c r="J191" s="22" t="s">
        <v>71</v>
      </c>
      <c r="K191" s="23">
        <v>9.0</v>
      </c>
      <c r="L191" s="24">
        <v>21.0</v>
      </c>
      <c r="M191" s="24" t="str">
        <f>IFERROR(VLOOKUP(D191,'Chủ đề bài nguồn'!$A$2:$C$735,3,0),"Khác")</f>
        <v>Doanh nghiệp (tài khoản, vay, tài chính)</v>
      </c>
      <c r="N191" s="24"/>
    </row>
    <row r="192">
      <c r="A192" s="15">
        <v>190.0</v>
      </c>
      <c r="B192" s="16" t="s">
        <v>758</v>
      </c>
      <c r="C192" s="18" t="s">
        <v>942</v>
      </c>
      <c r="D192" s="16" t="s">
        <v>598</v>
      </c>
      <c r="E192" s="16" t="s">
        <v>1270</v>
      </c>
      <c r="F192" s="16" t="s">
        <v>1271</v>
      </c>
      <c r="G192" s="16" t="s">
        <v>1272</v>
      </c>
      <c r="H192" s="20" t="s">
        <v>155</v>
      </c>
      <c r="I192" s="21" t="s">
        <v>70</v>
      </c>
      <c r="J192" s="22" t="s">
        <v>71</v>
      </c>
      <c r="K192" s="23">
        <v>9.0</v>
      </c>
      <c r="L192" s="24">
        <v>21.0</v>
      </c>
      <c r="M192" s="24" t="str">
        <f>IFERROR(VLOOKUP(D192,'Chủ đề bài nguồn'!$A$2:$C$735,3,0),"Khác")</f>
        <v>Thuế</v>
      </c>
      <c r="N192" s="24"/>
    </row>
    <row r="193">
      <c r="A193" s="15">
        <v>191.0</v>
      </c>
      <c r="B193" s="16" t="s">
        <v>758</v>
      </c>
      <c r="C193" s="18" t="s">
        <v>942</v>
      </c>
      <c r="D193" s="16" t="s">
        <v>740</v>
      </c>
      <c r="E193" s="16" t="s">
        <v>1273</v>
      </c>
      <c r="F193" s="16" t="s">
        <v>1274</v>
      </c>
      <c r="G193" s="16" t="s">
        <v>1275</v>
      </c>
      <c r="H193" s="20" t="s">
        <v>155</v>
      </c>
      <c r="I193" s="21" t="s">
        <v>70</v>
      </c>
      <c r="J193" s="22" t="s">
        <v>71</v>
      </c>
      <c r="K193" s="23">
        <v>9.0</v>
      </c>
      <c r="L193" s="24">
        <v>21.0</v>
      </c>
      <c r="M193" s="24" t="str">
        <f>IFERROR(VLOOKUP(D193,'Chủ đề bài nguồn'!$A$2:$C$735,3,0),"Khác")</f>
        <v>Doanh nghiệp (tài khoản, vay, tài chính)</v>
      </c>
      <c r="N193" s="24"/>
    </row>
    <row r="194">
      <c r="A194" s="15">
        <v>192.0</v>
      </c>
      <c r="B194" s="16" t="s">
        <v>758</v>
      </c>
      <c r="C194" s="18" t="s">
        <v>942</v>
      </c>
      <c r="D194" s="16" t="s">
        <v>750</v>
      </c>
      <c r="E194" s="16" t="s">
        <v>1277</v>
      </c>
      <c r="F194" s="16" t="s">
        <v>1278</v>
      </c>
      <c r="G194" s="16" t="s">
        <v>1279</v>
      </c>
      <c r="H194" s="20" t="s">
        <v>155</v>
      </c>
      <c r="I194" s="21" t="s">
        <v>70</v>
      </c>
      <c r="J194" s="22" t="s">
        <v>71</v>
      </c>
      <c r="K194" s="23">
        <v>9.0</v>
      </c>
      <c r="L194" s="24">
        <v>21.0</v>
      </c>
      <c r="M194" s="24" t="str">
        <f>IFERROR(VLOOKUP(D194,'Chủ đề bài nguồn'!$A$2:$C$735,3,0),"Khác")</f>
        <v>Doanh nghiệp (tài khoản, vay, tài chính)</v>
      </c>
      <c r="N194" s="24"/>
    </row>
    <row r="195">
      <c r="A195" s="15">
        <v>193.0</v>
      </c>
      <c r="B195" s="16" t="s">
        <v>758</v>
      </c>
      <c r="C195" s="18" t="s">
        <v>942</v>
      </c>
      <c r="D195" s="16" t="s">
        <v>494</v>
      </c>
      <c r="E195" s="16" t="s">
        <v>857</v>
      </c>
      <c r="F195" s="16" t="s">
        <v>1280</v>
      </c>
      <c r="G195" s="16" t="s">
        <v>1281</v>
      </c>
      <c r="H195" s="20" t="s">
        <v>155</v>
      </c>
      <c r="I195" s="21" t="s">
        <v>70</v>
      </c>
      <c r="J195" s="22" t="s">
        <v>1200</v>
      </c>
      <c r="K195" s="23">
        <v>9.0</v>
      </c>
      <c r="L195" s="24">
        <v>21.0</v>
      </c>
      <c r="M195" s="24" t="str">
        <f>IFERROR(VLOOKUP(D195,'Chủ đề bài nguồn'!$A$2:$C$735,3,0),"Khác")</f>
        <v>Doanh nghiệp (tài khoản, vay, tài chính)</v>
      </c>
      <c r="N195" s="24"/>
    </row>
    <row r="196">
      <c r="A196" s="15">
        <v>194.0</v>
      </c>
      <c r="B196" s="16" t="s">
        <v>758</v>
      </c>
      <c r="C196" s="18" t="s">
        <v>942</v>
      </c>
      <c r="D196" s="16" t="s">
        <v>669</v>
      </c>
      <c r="E196" s="16" t="s">
        <v>1282</v>
      </c>
      <c r="F196" s="16" t="s">
        <v>1283</v>
      </c>
      <c r="G196" s="16" t="s">
        <v>1284</v>
      </c>
      <c r="H196" s="20" t="s">
        <v>155</v>
      </c>
      <c r="I196" s="21" t="s">
        <v>70</v>
      </c>
      <c r="J196" s="22" t="s">
        <v>71</v>
      </c>
      <c r="K196" s="23">
        <v>9.0</v>
      </c>
      <c r="L196" s="24">
        <v>21.0</v>
      </c>
      <c r="M196" s="24" t="str">
        <f>IFERROR(VLOOKUP(D196,'Chủ đề bài nguồn'!$A$2:$C$735,3,0),"Khác")</f>
        <v>Thuế</v>
      </c>
      <c r="N196" s="24"/>
    </row>
    <row r="197">
      <c r="A197" s="15">
        <v>195.0</v>
      </c>
      <c r="B197" s="16" t="s">
        <v>758</v>
      </c>
      <c r="C197" s="18" t="s">
        <v>942</v>
      </c>
      <c r="D197" s="16" t="s">
        <v>719</v>
      </c>
      <c r="E197" s="16" t="s">
        <v>720</v>
      </c>
      <c r="F197" s="16" t="s">
        <v>1286</v>
      </c>
      <c r="G197" s="16" t="s">
        <v>1287</v>
      </c>
      <c r="H197" s="20" t="s">
        <v>155</v>
      </c>
      <c r="I197" s="21" t="s">
        <v>70</v>
      </c>
      <c r="J197" s="22" t="s">
        <v>71</v>
      </c>
      <c r="K197" s="23">
        <v>9.0</v>
      </c>
      <c r="L197" s="24">
        <v>21.0</v>
      </c>
      <c r="M197" s="24" t="str">
        <f>IFERROR(VLOOKUP(D197,'Chủ đề bài nguồn'!$A$2:$C$735,3,0),"Khác")</f>
        <v>Thuế</v>
      </c>
      <c r="N197" s="24"/>
    </row>
    <row r="198">
      <c r="A198" s="15">
        <v>196.0</v>
      </c>
      <c r="B198" s="16" t="s">
        <v>758</v>
      </c>
      <c r="C198" s="18" t="s">
        <v>942</v>
      </c>
      <c r="D198" s="16" t="s">
        <v>701</v>
      </c>
      <c r="E198" s="16" t="s">
        <v>1289</v>
      </c>
      <c r="F198" s="16" t="s">
        <v>1290</v>
      </c>
      <c r="G198" s="16" t="s">
        <v>1291</v>
      </c>
      <c r="H198" s="20" t="s">
        <v>155</v>
      </c>
      <c r="I198" s="21" t="s">
        <v>70</v>
      </c>
      <c r="J198" s="22" t="s">
        <v>71</v>
      </c>
      <c r="K198" s="23">
        <v>9.0</v>
      </c>
      <c r="L198" s="24">
        <v>21.0</v>
      </c>
      <c r="M198" s="24" t="str">
        <f>IFERROR(VLOOKUP(D198,'Chủ đề bài nguồn'!$A$2:$C$735,3,0),"Khác")</f>
        <v>Thuế</v>
      </c>
      <c r="N198" s="24"/>
    </row>
    <row r="199">
      <c r="A199" s="15">
        <v>197.0</v>
      </c>
      <c r="B199" s="16" t="s">
        <v>758</v>
      </c>
      <c r="C199" s="18" t="s">
        <v>1247</v>
      </c>
      <c r="D199" s="16" t="s">
        <v>766</v>
      </c>
      <c r="E199" s="16" t="s">
        <v>1292</v>
      </c>
      <c r="F199" s="16" t="s">
        <v>1293</v>
      </c>
      <c r="G199" s="16" t="s">
        <v>1294</v>
      </c>
      <c r="H199" s="20" t="s">
        <v>155</v>
      </c>
      <c r="I199" s="21" t="s">
        <v>70</v>
      </c>
      <c r="J199" s="22" t="s">
        <v>1295</v>
      </c>
      <c r="K199" s="23">
        <v>9.0</v>
      </c>
      <c r="L199" s="24">
        <v>21.0</v>
      </c>
      <c r="M199" s="24" t="str">
        <f>IFERROR(VLOOKUP(D199,'Chủ đề bài nguồn'!$A$2:$C$735,3,0),"Khác")</f>
        <v>Doanh nghiệp (tài khoản, vay, tài chính)</v>
      </c>
      <c r="N199" s="24"/>
    </row>
    <row r="200">
      <c r="A200" s="15">
        <v>198.0</v>
      </c>
      <c r="B200" s="16" t="s">
        <v>758</v>
      </c>
      <c r="C200" s="18" t="s">
        <v>1247</v>
      </c>
      <c r="D200" s="16" t="s">
        <v>640</v>
      </c>
      <c r="E200" s="16" t="s">
        <v>1296</v>
      </c>
      <c r="F200" s="16" t="s">
        <v>1297</v>
      </c>
      <c r="G200" s="16" t="s">
        <v>1298</v>
      </c>
      <c r="H200" s="20" t="s">
        <v>155</v>
      </c>
      <c r="I200" s="21" t="s">
        <v>70</v>
      </c>
      <c r="J200" s="22" t="s">
        <v>71</v>
      </c>
      <c r="K200" s="23">
        <v>9.0</v>
      </c>
      <c r="L200" s="24">
        <v>21.0</v>
      </c>
      <c r="M200" s="24" t="str">
        <f>IFERROR(VLOOKUP(D200,'Chủ đề bài nguồn'!$A$2:$C$735,3,0),"Khác")</f>
        <v>Thuế</v>
      </c>
      <c r="N200" s="24"/>
    </row>
    <row r="201">
      <c r="A201" s="15">
        <v>199.0</v>
      </c>
      <c r="B201" s="16" t="s">
        <v>758</v>
      </c>
      <c r="C201" s="18" t="s">
        <v>1247</v>
      </c>
      <c r="D201" s="16" t="s">
        <v>714</v>
      </c>
      <c r="E201" s="16" t="s">
        <v>1299</v>
      </c>
      <c r="F201" s="16" t="s">
        <v>1300</v>
      </c>
      <c r="G201" s="16" t="s">
        <v>1250</v>
      </c>
      <c r="H201" s="20" t="s">
        <v>155</v>
      </c>
      <c r="I201" s="21" t="s">
        <v>70</v>
      </c>
      <c r="J201" s="22" t="s">
        <v>1301</v>
      </c>
      <c r="K201" s="23">
        <v>9.0</v>
      </c>
      <c r="L201" s="24">
        <v>21.0</v>
      </c>
      <c r="M201" s="24" t="str">
        <f>IFERROR(VLOOKUP(D201,'Chủ đề bài nguồn'!$A$2:$C$735,3,0),"Khác")</f>
        <v>Thuế</v>
      </c>
      <c r="N201" s="24"/>
    </row>
    <row r="202">
      <c r="A202" s="15">
        <v>200.0</v>
      </c>
      <c r="B202" s="16" t="s">
        <v>758</v>
      </c>
      <c r="C202" s="18" t="s">
        <v>1251</v>
      </c>
      <c r="D202" s="16" t="s">
        <v>736</v>
      </c>
      <c r="E202" s="16" t="s">
        <v>1302</v>
      </c>
      <c r="F202" s="16" t="s">
        <v>1303</v>
      </c>
      <c r="G202" s="16" t="s">
        <v>1304</v>
      </c>
      <c r="H202" s="20" t="s">
        <v>155</v>
      </c>
      <c r="I202" s="21" t="s">
        <v>70</v>
      </c>
      <c r="J202" s="22" t="s">
        <v>71</v>
      </c>
      <c r="K202" s="23">
        <v>9.0</v>
      </c>
      <c r="L202" s="24">
        <v>21.0</v>
      </c>
      <c r="M202" s="24" t="str">
        <f>IFERROR(VLOOKUP(D202,'Chủ đề bài nguồn'!$A$2:$C$735,3,0),"Khác")</f>
        <v>Doanh nghiệp (tài khoản, vay, tài chính)</v>
      </c>
      <c r="N202" s="24"/>
    </row>
    <row r="203">
      <c r="A203" s="15">
        <v>201.0</v>
      </c>
      <c r="B203" s="16" t="s">
        <v>758</v>
      </c>
      <c r="C203" s="18" t="s">
        <v>1251</v>
      </c>
      <c r="D203" s="16" t="s">
        <v>746</v>
      </c>
      <c r="E203" s="16" t="s">
        <v>747</v>
      </c>
      <c r="F203" s="16" t="s">
        <v>1305</v>
      </c>
      <c r="G203" s="16" t="s">
        <v>1306</v>
      </c>
      <c r="H203" s="20" t="s">
        <v>155</v>
      </c>
      <c r="I203" s="21" t="s">
        <v>70</v>
      </c>
      <c r="J203" s="22" t="s">
        <v>1307</v>
      </c>
      <c r="K203" s="23">
        <v>9.0</v>
      </c>
      <c r="L203" s="24">
        <v>21.0</v>
      </c>
      <c r="M203" s="24" t="str">
        <f>IFERROR(VLOOKUP(D203,'Chủ đề bài nguồn'!$A$2:$C$735,3,0),"Khác")</f>
        <v>Doanh nghiệp (tài khoản, vay, tài chính)</v>
      </c>
      <c r="N203" s="24"/>
    </row>
    <row r="204">
      <c r="A204" s="15">
        <v>202.0</v>
      </c>
      <c r="B204" s="16" t="s">
        <v>758</v>
      </c>
      <c r="C204" s="18" t="s">
        <v>1247</v>
      </c>
      <c r="D204" s="16" t="s">
        <v>753</v>
      </c>
      <c r="E204" s="16" t="s">
        <v>1308</v>
      </c>
      <c r="F204" s="16" t="s">
        <v>1309</v>
      </c>
      <c r="G204" s="16" t="s">
        <v>1311</v>
      </c>
      <c r="H204" s="20" t="s">
        <v>229</v>
      </c>
      <c r="I204" s="21" t="s">
        <v>70</v>
      </c>
      <c r="J204" s="22" t="s">
        <v>1312</v>
      </c>
      <c r="K204" s="23">
        <v>9.0</v>
      </c>
      <c r="L204" s="24">
        <v>31.0</v>
      </c>
      <c r="M204" s="24" t="str">
        <f>IFERROR(VLOOKUP(D204,'Chủ đề bài nguồn'!$A$2:$C$735,3,0),"Khác")</f>
        <v>Thuế</v>
      </c>
      <c r="N204" s="24"/>
    </row>
    <row r="205">
      <c r="A205" s="15">
        <v>203.0</v>
      </c>
      <c r="B205" s="16" t="s">
        <v>758</v>
      </c>
      <c r="C205" s="18" t="s">
        <v>1251</v>
      </c>
      <c r="D205" s="16" t="s">
        <v>474</v>
      </c>
      <c r="E205" s="16" t="s">
        <v>1313</v>
      </c>
      <c r="F205" s="16" t="s">
        <v>1314</v>
      </c>
      <c r="G205" s="16" t="s">
        <v>1315</v>
      </c>
      <c r="H205" s="20" t="s">
        <v>229</v>
      </c>
      <c r="I205" s="21" t="s">
        <v>70</v>
      </c>
      <c r="J205" s="22" t="s">
        <v>1316</v>
      </c>
      <c r="K205" s="23">
        <v>9.0</v>
      </c>
      <c r="L205" s="24">
        <v>31.0</v>
      </c>
      <c r="M205" s="24" t="str">
        <f>IFERROR(VLOOKUP(D205,'Chủ đề bài nguồn'!$A$2:$C$735,3,0),"Khác")</f>
        <v>Thuế</v>
      </c>
      <c r="N205" s="24"/>
    </row>
    <row r="206">
      <c r="A206" s="15">
        <v>204.0</v>
      </c>
      <c r="B206" s="16" t="s">
        <v>783</v>
      </c>
      <c r="C206" s="18" t="s">
        <v>1317</v>
      </c>
      <c r="D206" s="16" t="s">
        <v>1318</v>
      </c>
      <c r="E206" s="16" t="s">
        <v>1319</v>
      </c>
      <c r="F206" s="16" t="s">
        <v>1320</v>
      </c>
      <c r="G206" s="16" t="s">
        <v>1321</v>
      </c>
      <c r="H206" s="20" t="s">
        <v>69</v>
      </c>
      <c r="I206" s="21" t="s">
        <v>70</v>
      </c>
      <c r="J206" s="22" t="s">
        <v>71</v>
      </c>
      <c r="K206" s="23">
        <v>10.0</v>
      </c>
      <c r="L206" s="24">
        <v>11.0</v>
      </c>
      <c r="M206" s="24" t="str">
        <f>IFERROR(VLOOKUP(D206,'Chủ đề bài nguồn'!$A$2:$C$735,3,0),"Khác")</f>
        <v>Thanh toán, chuyển khoản &amp; QR</v>
      </c>
      <c r="N206" s="24"/>
    </row>
    <row r="207">
      <c r="A207" s="15">
        <v>205.0</v>
      </c>
      <c r="B207" s="16" t="s">
        <v>783</v>
      </c>
      <c r="C207" s="18" t="s">
        <v>1317</v>
      </c>
      <c r="D207" s="16" t="s">
        <v>1323</v>
      </c>
      <c r="E207" s="16" t="s">
        <v>1324</v>
      </c>
      <c r="F207" s="16" t="s">
        <v>1325</v>
      </c>
      <c r="G207" s="16" t="s">
        <v>1326</v>
      </c>
      <c r="H207" s="20" t="s">
        <v>69</v>
      </c>
      <c r="I207" s="21" t="s">
        <v>70</v>
      </c>
      <c r="J207" s="22" t="s">
        <v>71</v>
      </c>
      <c r="K207" s="23">
        <v>10.0</v>
      </c>
      <c r="L207" s="24">
        <v>11.0</v>
      </c>
      <c r="M207" s="24" t="str">
        <f>IFERROR(VLOOKUP(D207,'Chủ đề bài nguồn'!$A$2:$C$735,3,0),"Khác")</f>
        <v>Thanh toán, chuyển khoản &amp; QR</v>
      </c>
      <c r="N207" s="24"/>
    </row>
    <row r="208">
      <c r="A208" s="15">
        <v>206.0</v>
      </c>
      <c r="B208" s="16" t="s">
        <v>783</v>
      </c>
      <c r="C208" s="18" t="s">
        <v>1317</v>
      </c>
      <c r="D208" s="16" t="s">
        <v>1327</v>
      </c>
      <c r="E208" s="16" t="s">
        <v>1329</v>
      </c>
      <c r="F208" s="16" t="s">
        <v>1330</v>
      </c>
      <c r="G208" s="16" t="s">
        <v>1331</v>
      </c>
      <c r="H208" s="20" t="s">
        <v>155</v>
      </c>
      <c r="I208" s="21" t="s">
        <v>70</v>
      </c>
      <c r="J208" s="22" t="s">
        <v>71</v>
      </c>
      <c r="K208" s="23">
        <v>10.0</v>
      </c>
      <c r="L208" s="24">
        <v>21.0</v>
      </c>
      <c r="M208" s="24" t="str">
        <f>IFERROR(VLOOKUP(D208,'Chủ đề bài nguồn'!$A$2:$C$735,3,0),"Khác")</f>
        <v>Thanh toán, chuyển khoản &amp; QR</v>
      </c>
      <c r="N208" s="24"/>
    </row>
    <row r="209">
      <c r="A209" s="15">
        <v>207.0</v>
      </c>
      <c r="B209" s="16" t="s">
        <v>783</v>
      </c>
      <c r="C209" s="18" t="s">
        <v>1317</v>
      </c>
      <c r="D209" s="16" t="s">
        <v>1333</v>
      </c>
      <c r="E209" s="16" t="s">
        <v>1334</v>
      </c>
      <c r="F209" s="16" t="s">
        <v>1335</v>
      </c>
      <c r="G209" s="16" t="s">
        <v>1336</v>
      </c>
      <c r="H209" s="20" t="s">
        <v>155</v>
      </c>
      <c r="I209" s="21" t="s">
        <v>70</v>
      </c>
      <c r="J209" s="22" t="s">
        <v>1337</v>
      </c>
      <c r="K209" s="23">
        <v>10.0</v>
      </c>
      <c r="L209" s="24">
        <v>21.0</v>
      </c>
      <c r="M209" s="24" t="str">
        <f>IFERROR(VLOOKUP(D209,'Chủ đề bài nguồn'!$A$2:$C$735,3,0),"Khác")</f>
        <v>Hộ kinh doanh &amp; bán hàng</v>
      </c>
      <c r="N209" s="24"/>
    </row>
    <row r="210">
      <c r="A210" s="15">
        <v>208.0</v>
      </c>
      <c r="B210" s="16" t="s">
        <v>783</v>
      </c>
      <c r="C210" s="18" t="s">
        <v>1317</v>
      </c>
      <c r="D210" s="16" t="s">
        <v>1338</v>
      </c>
      <c r="E210" s="16" t="s">
        <v>1339</v>
      </c>
      <c r="F210" s="16" t="s">
        <v>1340</v>
      </c>
      <c r="G210" s="16" t="s">
        <v>1341</v>
      </c>
      <c r="H210" s="20" t="s">
        <v>155</v>
      </c>
      <c r="I210" s="21" t="s">
        <v>70</v>
      </c>
      <c r="J210" s="22" t="s">
        <v>1342</v>
      </c>
      <c r="K210" s="23">
        <v>10.0</v>
      </c>
      <c r="L210" s="24">
        <v>21.0</v>
      </c>
      <c r="M210" s="24" t="str">
        <f>IFERROR(VLOOKUP(D210,'Chủ đề bài nguồn'!$A$2:$C$735,3,0),"Khác")</f>
        <v>Thanh toán, chuyển khoản &amp; QR</v>
      </c>
      <c r="N210" s="24"/>
    </row>
    <row r="211">
      <c r="A211" s="15">
        <v>209.0</v>
      </c>
      <c r="B211" s="16" t="s">
        <v>783</v>
      </c>
      <c r="C211" s="18" t="s">
        <v>1317</v>
      </c>
      <c r="D211" s="16" t="s">
        <v>1343</v>
      </c>
      <c r="E211" s="16" t="s">
        <v>1344</v>
      </c>
      <c r="F211" s="16" t="s">
        <v>1345</v>
      </c>
      <c r="G211" s="16" t="s">
        <v>1346</v>
      </c>
      <c r="H211" s="20" t="s">
        <v>155</v>
      </c>
      <c r="I211" s="21" t="s">
        <v>70</v>
      </c>
      <c r="J211" s="22" t="s">
        <v>1342</v>
      </c>
      <c r="K211" s="23">
        <v>10.0</v>
      </c>
      <c r="L211" s="24">
        <v>21.0</v>
      </c>
      <c r="M211" s="24" t="str">
        <f>IFERROR(VLOOKUP(D211,'Chủ đề bài nguồn'!$A$2:$C$735,3,0),"Khác")</f>
        <v>Thanh toán, chuyển khoản &amp; QR</v>
      </c>
      <c r="N211" s="24"/>
    </row>
    <row r="212">
      <c r="A212" s="15">
        <v>210.0</v>
      </c>
      <c r="B212" s="16" t="s">
        <v>783</v>
      </c>
      <c r="C212" s="18" t="s">
        <v>1347</v>
      </c>
      <c r="D212" s="16" t="s">
        <v>1348</v>
      </c>
      <c r="E212" s="16" t="s">
        <v>1349</v>
      </c>
      <c r="F212" s="16" t="s">
        <v>1350</v>
      </c>
      <c r="G212" s="16" t="s">
        <v>1351</v>
      </c>
      <c r="H212" s="20" t="s">
        <v>155</v>
      </c>
      <c r="I212" s="21" t="s">
        <v>70</v>
      </c>
      <c r="J212" s="22" t="s">
        <v>1342</v>
      </c>
      <c r="K212" s="23">
        <v>10.0</v>
      </c>
      <c r="L212" s="24">
        <v>21.0</v>
      </c>
      <c r="M212" s="24" t="str">
        <f>IFERROR(VLOOKUP(D212,'Chủ đề bài nguồn'!$A$2:$C$735,3,0),"Khác")</f>
        <v>Tài khoản &amp; ngân hàng số</v>
      </c>
      <c r="N212" s="24"/>
    </row>
    <row r="213">
      <c r="A213" s="15">
        <v>211.0</v>
      </c>
      <c r="B213" s="16" t="s">
        <v>783</v>
      </c>
      <c r="C213" s="18" t="s">
        <v>1352</v>
      </c>
      <c r="D213" s="16" t="s">
        <v>1353</v>
      </c>
      <c r="E213" s="16" t="s">
        <v>1354</v>
      </c>
      <c r="F213" s="16" t="s">
        <v>1355</v>
      </c>
      <c r="G213" s="16" t="s">
        <v>1356</v>
      </c>
      <c r="H213" s="20" t="s">
        <v>155</v>
      </c>
      <c r="I213" s="21" t="s">
        <v>70</v>
      </c>
      <c r="J213" s="22" t="s">
        <v>71</v>
      </c>
      <c r="K213" s="23">
        <v>10.0</v>
      </c>
      <c r="L213" s="24">
        <v>21.0</v>
      </c>
      <c r="M213" s="24" t="str">
        <f>IFERROR(VLOOKUP(D213,'Chủ đề bài nguồn'!$A$2:$C$735,3,0),"Khác")</f>
        <v>Thanh toán, chuyển khoản &amp; QR</v>
      </c>
      <c r="N213" s="24"/>
    </row>
    <row r="214">
      <c r="A214" s="15">
        <v>212.0</v>
      </c>
      <c r="B214" s="16" t="s">
        <v>783</v>
      </c>
      <c r="C214" s="18" t="s">
        <v>1358</v>
      </c>
      <c r="D214" s="16" t="s">
        <v>1359</v>
      </c>
      <c r="E214" s="16" t="s">
        <v>1360</v>
      </c>
      <c r="F214" s="16" t="s">
        <v>1361</v>
      </c>
      <c r="G214" s="16" t="s">
        <v>1362</v>
      </c>
      <c r="H214" s="20" t="s">
        <v>229</v>
      </c>
      <c r="I214" s="21" t="s">
        <v>70</v>
      </c>
      <c r="J214" s="22" t="s">
        <v>483</v>
      </c>
      <c r="K214" s="23">
        <v>10.0</v>
      </c>
      <c r="L214" s="24">
        <v>31.0</v>
      </c>
      <c r="M214" s="24" t="str">
        <f>IFERROR(VLOOKUP(D214,'Chủ đề bài nguồn'!$A$2:$C$735,3,0),"Khác")</f>
        <v>Thẻ ATM &amp; thẻ ghi nợ</v>
      </c>
      <c r="N214" s="24"/>
    </row>
    <row r="215">
      <c r="A215" s="15">
        <v>213.0</v>
      </c>
      <c r="B215" s="16" t="s">
        <v>783</v>
      </c>
      <c r="C215" s="18" t="s">
        <v>1317</v>
      </c>
      <c r="D215" s="16" t="s">
        <v>1364</v>
      </c>
      <c r="E215" s="16" t="s">
        <v>1365</v>
      </c>
      <c r="F215" s="16" t="s">
        <v>1366</v>
      </c>
      <c r="G215" s="16" t="s">
        <v>1367</v>
      </c>
      <c r="H215" s="20" t="s">
        <v>229</v>
      </c>
      <c r="I215" s="21" t="s">
        <v>70</v>
      </c>
      <c r="J215" s="22" t="s">
        <v>1368</v>
      </c>
      <c r="K215" s="23">
        <v>10.0</v>
      </c>
      <c r="L215" s="24">
        <v>31.0</v>
      </c>
      <c r="M215" s="24" t="str">
        <f>IFERROR(VLOOKUP(D215,'Chủ đề bài nguồn'!$A$2:$C$735,3,0),"Khác")</f>
        <v>Thanh toán, chuyển khoản &amp; QR</v>
      </c>
      <c r="N215" s="24"/>
    </row>
    <row r="216">
      <c r="A216" s="15">
        <v>214.0</v>
      </c>
      <c r="B216" s="16" t="s">
        <v>783</v>
      </c>
      <c r="C216" s="18" t="s">
        <v>1317</v>
      </c>
      <c r="D216" s="16" t="s">
        <v>1369</v>
      </c>
      <c r="E216" s="16" t="s">
        <v>1370</v>
      </c>
      <c r="F216" s="16" t="s">
        <v>1371</v>
      </c>
      <c r="G216" s="16" t="s">
        <v>1372</v>
      </c>
      <c r="H216" s="20" t="s">
        <v>229</v>
      </c>
      <c r="I216" s="21" t="s">
        <v>70</v>
      </c>
      <c r="J216" s="22" t="s">
        <v>483</v>
      </c>
      <c r="K216" s="23">
        <v>10.0</v>
      </c>
      <c r="L216" s="24">
        <v>31.0</v>
      </c>
      <c r="M216" s="24" t="str">
        <f>IFERROR(VLOOKUP(D216,'Chủ đề bài nguồn'!$A$2:$C$735,3,0),"Khác")</f>
        <v>Thanh toán, chuyển khoản &amp; QR</v>
      </c>
      <c r="N216" s="24"/>
    </row>
    <row r="217">
      <c r="A217" s="15">
        <v>215.0</v>
      </c>
      <c r="B217" s="16" t="s">
        <v>783</v>
      </c>
      <c r="C217" s="18" t="s">
        <v>1317</v>
      </c>
      <c r="D217" s="16" t="s">
        <v>1373</v>
      </c>
      <c r="E217" s="16" t="s">
        <v>1374</v>
      </c>
      <c r="F217" s="16" t="s">
        <v>1375</v>
      </c>
      <c r="G217" s="16" t="s">
        <v>1376</v>
      </c>
      <c r="H217" s="20" t="s">
        <v>229</v>
      </c>
      <c r="I217" s="21" t="s">
        <v>70</v>
      </c>
      <c r="J217" s="22" t="s">
        <v>483</v>
      </c>
      <c r="K217" s="23">
        <v>10.0</v>
      </c>
      <c r="L217" s="24">
        <v>31.0</v>
      </c>
      <c r="M217" s="24" t="str">
        <f>IFERROR(VLOOKUP(D217,'Chủ đề bài nguồn'!$A$2:$C$735,3,0),"Khác")</f>
        <v>Tài khoản &amp; ngân hàng số</v>
      </c>
      <c r="N217" s="24"/>
    </row>
    <row r="218">
      <c r="A218" s="15">
        <v>216.0</v>
      </c>
      <c r="B218" s="16" t="s">
        <v>783</v>
      </c>
      <c r="C218" s="18" t="s">
        <v>1347</v>
      </c>
      <c r="D218" s="16" t="s">
        <v>1182</v>
      </c>
      <c r="E218" s="16" t="s">
        <v>1378</v>
      </c>
      <c r="F218" s="16" t="s">
        <v>1379</v>
      </c>
      <c r="G218" s="16" t="s">
        <v>1380</v>
      </c>
      <c r="H218" s="20" t="s">
        <v>229</v>
      </c>
      <c r="I218" s="21" t="s">
        <v>70</v>
      </c>
      <c r="J218" s="22" t="s">
        <v>1381</v>
      </c>
      <c r="K218" s="23">
        <v>10.0</v>
      </c>
      <c r="L218" s="24">
        <v>31.0</v>
      </c>
      <c r="M218" s="24" t="str">
        <f>IFERROR(VLOOKUP(D218,'Chủ đề bài nguồn'!$A$2:$C$735,3,0),"Khác")</f>
        <v>Thanh toán, chuyển khoản &amp; QR</v>
      </c>
      <c r="N218" s="24"/>
    </row>
    <row r="219">
      <c r="A219" s="15">
        <v>217.0</v>
      </c>
      <c r="B219" s="16" t="s">
        <v>783</v>
      </c>
      <c r="C219" s="18" t="s">
        <v>1347</v>
      </c>
      <c r="D219" s="16" t="s">
        <v>1382</v>
      </c>
      <c r="E219" s="16" t="s">
        <v>1383</v>
      </c>
      <c r="F219" s="16" t="s">
        <v>1384</v>
      </c>
      <c r="G219" s="16" t="s">
        <v>1385</v>
      </c>
      <c r="H219" s="20" t="s">
        <v>229</v>
      </c>
      <c r="I219" s="21" t="s">
        <v>70</v>
      </c>
      <c r="J219" s="22" t="s">
        <v>1342</v>
      </c>
      <c r="K219" s="23">
        <v>10.0</v>
      </c>
      <c r="L219" s="24">
        <v>31.0</v>
      </c>
      <c r="M219" s="24" t="str">
        <f>IFERROR(VLOOKUP(D219,'Chủ đề bài nguồn'!$A$2:$C$735,3,0),"Khác")</f>
        <v>Tài khoản &amp; ngân hàng số</v>
      </c>
      <c r="N219" s="24"/>
    </row>
    <row r="220">
      <c r="A220" s="15">
        <v>218.0</v>
      </c>
      <c r="B220" s="16" t="s">
        <v>783</v>
      </c>
      <c r="C220" s="18" t="s">
        <v>1347</v>
      </c>
      <c r="D220" s="16" t="s">
        <v>1386</v>
      </c>
      <c r="E220" s="16" t="s">
        <v>1387</v>
      </c>
      <c r="F220" s="16" t="s">
        <v>1388</v>
      </c>
      <c r="G220" s="16" t="s">
        <v>1389</v>
      </c>
      <c r="H220" s="20" t="s">
        <v>229</v>
      </c>
      <c r="I220" s="21" t="s">
        <v>70</v>
      </c>
      <c r="J220" s="22" t="s">
        <v>387</v>
      </c>
      <c r="K220" s="23">
        <v>10.0</v>
      </c>
      <c r="L220" s="24">
        <v>31.0</v>
      </c>
      <c r="M220" s="24" t="str">
        <f>IFERROR(VLOOKUP(D220,'Chủ đề bài nguồn'!$A$2:$C$735,3,0),"Khác")</f>
        <v>Thẻ tín dụng</v>
      </c>
      <c r="N220" s="24"/>
    </row>
    <row r="221">
      <c r="A221" s="15">
        <v>219.0</v>
      </c>
      <c r="B221" s="16" t="s">
        <v>783</v>
      </c>
      <c r="C221" s="18" t="s">
        <v>1352</v>
      </c>
      <c r="D221" s="16" t="s">
        <v>1391</v>
      </c>
      <c r="E221" s="16" t="s">
        <v>1392</v>
      </c>
      <c r="F221" s="16" t="s">
        <v>1393</v>
      </c>
      <c r="G221" s="16" t="s">
        <v>1394</v>
      </c>
      <c r="H221" s="20" t="s">
        <v>229</v>
      </c>
      <c r="I221" s="21" t="s">
        <v>70</v>
      </c>
      <c r="J221" s="22" t="s">
        <v>1073</v>
      </c>
      <c r="K221" s="23">
        <v>10.0</v>
      </c>
      <c r="L221" s="24">
        <v>31.0</v>
      </c>
      <c r="M221" s="24" t="str">
        <f>IFERROR(VLOOKUP(D221,'Chủ đề bài nguồn'!$A$2:$C$735,3,0),"Khác")</f>
        <v>Tài khoản &amp; ngân hàng số</v>
      </c>
      <c r="N221" s="24"/>
    </row>
    <row r="222">
      <c r="A222" s="15">
        <v>220.0</v>
      </c>
      <c r="B222" s="16" t="s">
        <v>654</v>
      </c>
      <c r="C222" s="18" t="s">
        <v>1396</v>
      </c>
      <c r="D222" s="16" t="s">
        <v>1397</v>
      </c>
      <c r="E222" s="16" t="s">
        <v>1398</v>
      </c>
      <c r="F222" s="16" t="s">
        <v>1399</v>
      </c>
      <c r="G222" s="16" t="s">
        <v>1400</v>
      </c>
      <c r="H222" s="20" t="s">
        <v>155</v>
      </c>
      <c r="I222" s="21" t="s">
        <v>70</v>
      </c>
      <c r="J222" s="22" t="s">
        <v>71</v>
      </c>
      <c r="K222" s="23">
        <v>11.0</v>
      </c>
      <c r="L222" s="24">
        <v>21.0</v>
      </c>
      <c r="M222" s="24" t="str">
        <f>IFERROR(VLOOKUP(D222,'Chủ đề bài nguồn'!$A$2:$C$735,3,0),"Khác")</f>
        <v>Tiết kiệm &amp; lãi suất tiền gửi</v>
      </c>
      <c r="N222" s="24"/>
    </row>
    <row r="223">
      <c r="A223" s="15">
        <v>221.0</v>
      </c>
      <c r="B223" s="16" t="s">
        <v>654</v>
      </c>
      <c r="C223" s="18" t="s">
        <v>1401</v>
      </c>
      <c r="D223" s="16" t="s">
        <v>1402</v>
      </c>
      <c r="E223" s="16" t="s">
        <v>1403</v>
      </c>
      <c r="F223" s="16" t="s">
        <v>1404</v>
      </c>
      <c r="G223" s="16" t="s">
        <v>1405</v>
      </c>
      <c r="H223" s="20" t="s">
        <v>155</v>
      </c>
      <c r="I223" s="21" t="s">
        <v>70</v>
      </c>
      <c r="J223" s="22" t="s">
        <v>71</v>
      </c>
      <c r="K223" s="23">
        <v>11.0</v>
      </c>
      <c r="L223" s="24">
        <v>21.0</v>
      </c>
      <c r="M223" s="24" t="str">
        <f>IFERROR(VLOOKUP(D223,'Chủ đề bài nguồn'!$A$2:$C$735,3,0),"Khác")</f>
        <v>Thanh toán, chuyển khoản &amp; QR</v>
      </c>
      <c r="N223" s="24"/>
    </row>
    <row r="224">
      <c r="A224" s="15">
        <v>222.0</v>
      </c>
      <c r="B224" s="16" t="s">
        <v>654</v>
      </c>
      <c r="C224" s="18" t="s">
        <v>1401</v>
      </c>
      <c r="D224" s="16" t="s">
        <v>1373</v>
      </c>
      <c r="E224" s="16" t="s">
        <v>1406</v>
      </c>
      <c r="F224" s="16" t="s">
        <v>1407</v>
      </c>
      <c r="G224" s="16" t="s">
        <v>1408</v>
      </c>
      <c r="H224" s="20" t="s">
        <v>155</v>
      </c>
      <c r="I224" s="21" t="s">
        <v>70</v>
      </c>
      <c r="J224" s="22" t="s">
        <v>71</v>
      </c>
      <c r="K224" s="23">
        <v>11.0</v>
      </c>
      <c r="L224" s="24">
        <v>21.0</v>
      </c>
      <c r="M224" s="24" t="str">
        <f>IFERROR(VLOOKUP(D224,'Chủ đề bài nguồn'!$A$2:$C$735,3,0),"Khác")</f>
        <v>Tài khoản &amp; ngân hàng số</v>
      </c>
      <c r="N224" s="24"/>
    </row>
    <row r="225">
      <c r="A225" s="15">
        <v>223.0</v>
      </c>
      <c r="B225" s="39" t="s">
        <v>654</v>
      </c>
      <c r="C225" s="18" t="s">
        <v>1401</v>
      </c>
      <c r="D225" s="39" t="s">
        <v>1182</v>
      </c>
      <c r="E225" s="16" t="s">
        <v>1412</v>
      </c>
      <c r="F225" s="16" t="s">
        <v>1413</v>
      </c>
      <c r="G225" s="16" t="s">
        <v>1414</v>
      </c>
      <c r="H225" s="20" t="s">
        <v>155</v>
      </c>
      <c r="I225" s="21" t="s">
        <v>70</v>
      </c>
      <c r="J225" s="22" t="s">
        <v>71</v>
      </c>
      <c r="K225" s="23">
        <v>11.0</v>
      </c>
      <c r="L225" s="24">
        <v>21.0</v>
      </c>
      <c r="M225" s="24" t="str">
        <f>IFERROR(VLOOKUP(D225,'Chủ đề bài nguồn'!$A$2:$C$735,3,0),"Khác")</f>
        <v>Thanh toán, chuyển khoản &amp; QR</v>
      </c>
      <c r="N225" s="24"/>
    </row>
    <row r="226">
      <c r="A226" s="15">
        <v>224.0</v>
      </c>
      <c r="B226" s="16" t="s">
        <v>654</v>
      </c>
      <c r="C226" s="18" t="s">
        <v>1396</v>
      </c>
      <c r="D226" s="16" t="s">
        <v>1416</v>
      </c>
      <c r="E226" s="16" t="s">
        <v>1418</v>
      </c>
      <c r="F226" s="16" t="s">
        <v>1419</v>
      </c>
      <c r="G226" s="16" t="s">
        <v>1420</v>
      </c>
      <c r="H226" s="20" t="s">
        <v>229</v>
      </c>
      <c r="I226" s="21" t="s">
        <v>70</v>
      </c>
      <c r="J226" s="22" t="s">
        <v>71</v>
      </c>
      <c r="K226" s="23">
        <v>11.0</v>
      </c>
      <c r="L226" s="24">
        <v>31.0</v>
      </c>
      <c r="M226" s="24" t="str">
        <f>IFERROR(VLOOKUP(D226,'Chủ đề bài nguồn'!$A$2:$C$735,3,0),"Khác")</f>
        <v>Thẻ tín dụng</v>
      </c>
      <c r="N226" s="24"/>
    </row>
    <row r="227">
      <c r="A227" s="15">
        <v>225.0</v>
      </c>
      <c r="B227" s="16" t="s">
        <v>654</v>
      </c>
      <c r="C227" s="18" t="s">
        <v>1396</v>
      </c>
      <c r="D227" s="16" t="s">
        <v>1421</v>
      </c>
      <c r="E227" s="16" t="s">
        <v>1422</v>
      </c>
      <c r="F227" s="16" t="s">
        <v>1423</v>
      </c>
      <c r="G227" s="16" t="s">
        <v>1424</v>
      </c>
      <c r="H227" s="20" t="s">
        <v>229</v>
      </c>
      <c r="I227" s="21" t="s">
        <v>70</v>
      </c>
      <c r="J227" s="22" t="s">
        <v>1425</v>
      </c>
      <c r="K227" s="23">
        <v>11.0</v>
      </c>
      <c r="L227" s="24">
        <v>31.0</v>
      </c>
      <c r="M227" s="24" t="str">
        <f>IFERROR(VLOOKUP(D227,'Chủ đề bài nguồn'!$A$2:$C$735,3,0),"Khác")</f>
        <v>Ưu đãi, du lịch &amp; đời sống</v>
      </c>
      <c r="N227" s="24"/>
    </row>
    <row r="228">
      <c r="A228" s="15">
        <v>226.0</v>
      </c>
      <c r="B228" s="16" t="s">
        <v>654</v>
      </c>
      <c r="C228" s="18" t="s">
        <v>1396</v>
      </c>
      <c r="D228" s="16" t="s">
        <v>1426</v>
      </c>
      <c r="E228" s="16" t="s">
        <v>1427</v>
      </c>
      <c r="F228" s="16" t="s">
        <v>1428</v>
      </c>
      <c r="G228" s="16" t="s">
        <v>1429</v>
      </c>
      <c r="H228" s="20" t="s">
        <v>229</v>
      </c>
      <c r="I228" s="21" t="s">
        <v>70</v>
      </c>
      <c r="J228" s="22" t="s">
        <v>1430</v>
      </c>
      <c r="K228" s="23">
        <v>11.0</v>
      </c>
      <c r="L228" s="24">
        <v>31.0</v>
      </c>
      <c r="M228" s="24" t="str">
        <f>IFERROR(VLOOKUP(D228,'Chủ đề bài nguồn'!$A$2:$C$735,3,0),"Khác")</f>
        <v>Thẻ tín dụng</v>
      </c>
      <c r="N228" s="24"/>
    </row>
    <row r="229">
      <c r="A229" s="15">
        <v>227.0</v>
      </c>
      <c r="B229" s="16" t="s">
        <v>654</v>
      </c>
      <c r="C229" s="18" t="s">
        <v>1396</v>
      </c>
      <c r="D229" s="16" t="s">
        <v>1431</v>
      </c>
      <c r="E229" s="16" t="s">
        <v>1432</v>
      </c>
      <c r="F229" s="16" t="s">
        <v>1433</v>
      </c>
      <c r="G229" s="16" t="s">
        <v>1434</v>
      </c>
      <c r="H229" s="20" t="s">
        <v>229</v>
      </c>
      <c r="I229" s="21" t="s">
        <v>70</v>
      </c>
      <c r="J229" s="22" t="s">
        <v>71</v>
      </c>
      <c r="K229" s="23">
        <v>11.0</v>
      </c>
      <c r="L229" s="24">
        <v>31.0</v>
      </c>
      <c r="M229" s="24" t="str">
        <f>IFERROR(VLOOKUP(D229,'Chủ đề bài nguồn'!$A$2:$C$735,3,0),"Khác")</f>
        <v>Đầu tư, CCTG, trái phiếu, vàng</v>
      </c>
      <c r="N229" s="24"/>
    </row>
    <row r="230">
      <c r="A230" s="15">
        <v>228.0</v>
      </c>
      <c r="B230" s="16" t="s">
        <v>654</v>
      </c>
      <c r="C230" s="18" t="s">
        <v>1396</v>
      </c>
      <c r="D230" s="16" t="s">
        <v>1435</v>
      </c>
      <c r="E230" s="16" t="s">
        <v>1436</v>
      </c>
      <c r="F230" s="16" t="s">
        <v>1437</v>
      </c>
      <c r="G230" s="16" t="s">
        <v>1424</v>
      </c>
      <c r="H230" s="20" t="s">
        <v>229</v>
      </c>
      <c r="I230" s="21" t="s">
        <v>70</v>
      </c>
      <c r="J230" s="22" t="s">
        <v>994</v>
      </c>
      <c r="K230" s="23">
        <v>11.0</v>
      </c>
      <c r="L230" s="24">
        <v>31.0</v>
      </c>
      <c r="M230" s="24" t="str">
        <f>IFERROR(VLOOKUP(D230,'Chủ đề bài nguồn'!$A$2:$C$735,3,0),"Khác")</f>
        <v>Đầu tư, CCTG, trái phiếu, vàng</v>
      </c>
      <c r="N230" s="24"/>
    </row>
    <row r="231">
      <c r="A231" s="15">
        <v>229.0</v>
      </c>
      <c r="B231" s="16" t="s">
        <v>654</v>
      </c>
      <c r="C231" s="18" t="s">
        <v>1396</v>
      </c>
      <c r="D231" s="16" t="s">
        <v>1438</v>
      </c>
      <c r="E231" s="16" t="s">
        <v>1439</v>
      </c>
      <c r="F231" s="16" t="s">
        <v>1440</v>
      </c>
      <c r="G231" s="16" t="s">
        <v>1441</v>
      </c>
      <c r="H231" s="20" t="s">
        <v>229</v>
      </c>
      <c r="I231" s="21" t="s">
        <v>70</v>
      </c>
      <c r="J231" s="22" t="s">
        <v>619</v>
      </c>
      <c r="K231" s="23">
        <v>11.0</v>
      </c>
      <c r="L231" s="24">
        <v>31.0</v>
      </c>
      <c r="M231" s="24" t="str">
        <f>IFERROR(VLOOKUP(D231,'Chủ đề bài nguồn'!$A$2:$C$735,3,0),"Khác")</f>
        <v>Quản lý tài chính cá nhân</v>
      </c>
      <c r="N231" s="24"/>
    </row>
    <row r="232">
      <c r="A232" s="15">
        <v>230.0</v>
      </c>
      <c r="B232" s="16" t="s">
        <v>654</v>
      </c>
      <c r="C232" s="18" t="s">
        <v>1396</v>
      </c>
      <c r="D232" s="16" t="s">
        <v>1442</v>
      </c>
      <c r="E232" s="16" t="s">
        <v>1443</v>
      </c>
      <c r="F232" s="16" t="s">
        <v>1444</v>
      </c>
      <c r="G232" s="16" t="s">
        <v>1445</v>
      </c>
      <c r="H232" s="20" t="s">
        <v>229</v>
      </c>
      <c r="I232" s="21" t="s">
        <v>70</v>
      </c>
      <c r="J232" s="22" t="s">
        <v>1073</v>
      </c>
      <c r="K232" s="23">
        <v>11.0</v>
      </c>
      <c r="L232" s="24">
        <v>31.0</v>
      </c>
      <c r="M232" s="24" t="str">
        <f>IFERROR(VLOOKUP(D232,'Chủ đề bài nguồn'!$A$2:$C$735,3,0),"Khác")</f>
        <v>Khác</v>
      </c>
      <c r="N232" s="24"/>
    </row>
    <row r="233">
      <c r="A233" s="15">
        <v>231.0</v>
      </c>
      <c r="B233" s="16" t="s">
        <v>654</v>
      </c>
      <c r="C233" s="18" t="s">
        <v>1401</v>
      </c>
      <c r="D233" s="16" t="s">
        <v>1447</v>
      </c>
      <c r="E233" s="16" t="s">
        <v>1448</v>
      </c>
      <c r="F233" s="16" t="s">
        <v>1449</v>
      </c>
      <c r="G233" s="16" t="s">
        <v>1450</v>
      </c>
      <c r="H233" s="20" t="s">
        <v>229</v>
      </c>
      <c r="I233" s="21" t="s">
        <v>70</v>
      </c>
      <c r="J233" s="22" t="s">
        <v>71</v>
      </c>
      <c r="K233" s="23">
        <v>11.0</v>
      </c>
      <c r="L233" s="24">
        <v>31.0</v>
      </c>
      <c r="M233" s="24" t="str">
        <f>IFERROR(VLOOKUP(D233,'Chủ đề bài nguồn'!$A$2:$C$735,3,0),"Khác")</f>
        <v>Thị trường &amp; giá cả</v>
      </c>
      <c r="N233" s="24"/>
    </row>
    <row r="234">
      <c r="A234" s="15">
        <v>232.0</v>
      </c>
      <c r="B234" s="16" t="s">
        <v>654</v>
      </c>
      <c r="C234" s="18" t="s">
        <v>1401</v>
      </c>
      <c r="D234" s="16" t="s">
        <v>1256</v>
      </c>
      <c r="E234" s="16" t="s">
        <v>1451</v>
      </c>
      <c r="F234" s="16" t="s">
        <v>1452</v>
      </c>
      <c r="G234" s="16" t="s">
        <v>1453</v>
      </c>
      <c r="H234" s="20" t="s">
        <v>229</v>
      </c>
      <c r="I234" s="21" t="s">
        <v>70</v>
      </c>
      <c r="J234" s="22" t="s">
        <v>1073</v>
      </c>
      <c r="K234" s="23">
        <v>11.0</v>
      </c>
      <c r="L234" s="24">
        <v>31.0</v>
      </c>
      <c r="M234" s="24" t="str">
        <f>IFERROR(VLOOKUP(D234,'Chủ đề bài nguồn'!$A$2:$C$735,3,0),"Khác")</f>
        <v>Ngoại tệ &amp; chuyển tiền quốc tế</v>
      </c>
      <c r="N234" s="24"/>
    </row>
    <row r="235">
      <c r="A235" s="15">
        <v>233.0</v>
      </c>
      <c r="B235" s="16" t="s">
        <v>654</v>
      </c>
      <c r="C235" s="18" t="s">
        <v>1401</v>
      </c>
      <c r="D235" s="16" t="s">
        <v>1454</v>
      </c>
      <c r="E235" s="16" t="s">
        <v>1455</v>
      </c>
      <c r="F235" s="16" t="s">
        <v>1456</v>
      </c>
      <c r="G235" s="16" t="s">
        <v>1457</v>
      </c>
      <c r="H235" s="20" t="s">
        <v>229</v>
      </c>
      <c r="I235" s="21" t="s">
        <v>70</v>
      </c>
      <c r="J235" s="22" t="s">
        <v>71</v>
      </c>
      <c r="K235" s="23">
        <v>11.0</v>
      </c>
      <c r="L235" s="24">
        <v>31.0</v>
      </c>
      <c r="M235" s="24" t="str">
        <f>IFERROR(VLOOKUP(D235,'Chủ đề bài nguồn'!$A$2:$C$735,3,0),"Khác")</f>
        <v>Quản lý tài chính cá nhân</v>
      </c>
      <c r="N235" s="24"/>
    </row>
    <row r="236">
      <c r="A236" s="15">
        <v>234.0</v>
      </c>
      <c r="B236" s="16" t="s">
        <v>654</v>
      </c>
      <c r="C236" s="18" t="s">
        <v>1401</v>
      </c>
      <c r="D236" s="16" t="s">
        <v>1458</v>
      </c>
      <c r="E236" s="16" t="s">
        <v>1459</v>
      </c>
      <c r="F236" s="16" t="s">
        <v>1460</v>
      </c>
      <c r="G236" s="16" t="s">
        <v>1461</v>
      </c>
      <c r="H236" s="20" t="s">
        <v>229</v>
      </c>
      <c r="I236" s="21" t="s">
        <v>70</v>
      </c>
      <c r="J236" s="22" t="s">
        <v>1425</v>
      </c>
      <c r="K236" s="23">
        <v>11.0</v>
      </c>
      <c r="L236" s="24">
        <v>31.0</v>
      </c>
      <c r="M236" s="24" t="str">
        <f>IFERROR(VLOOKUP(D236,'Chủ đề bài nguồn'!$A$2:$C$735,3,0),"Khác")</f>
        <v>Tài khoản &amp; ngân hàng số</v>
      </c>
      <c r="N236" s="24"/>
    </row>
    <row r="237">
      <c r="A237" s="15">
        <v>235.0</v>
      </c>
      <c r="B237" s="16" t="s">
        <v>654</v>
      </c>
      <c r="C237" s="18" t="s">
        <v>1401</v>
      </c>
      <c r="D237" s="16" t="s">
        <v>1463</v>
      </c>
      <c r="E237" s="16" t="s">
        <v>1464</v>
      </c>
      <c r="F237" s="16" t="s">
        <v>1465</v>
      </c>
      <c r="G237" s="16" t="s">
        <v>1466</v>
      </c>
      <c r="H237" s="20" t="s">
        <v>229</v>
      </c>
      <c r="I237" s="21" t="s">
        <v>70</v>
      </c>
      <c r="J237" s="22" t="s">
        <v>71</v>
      </c>
      <c r="K237" s="23">
        <v>11.0</v>
      </c>
      <c r="L237" s="24">
        <v>31.0</v>
      </c>
      <c r="M237" s="24" t="str">
        <f>IFERROR(VLOOKUP(D237,'Chủ đề bài nguồn'!$A$2:$C$735,3,0),"Khác")</f>
        <v>Thẻ tín dụng</v>
      </c>
      <c r="N237" s="24"/>
    </row>
    <row r="238">
      <c r="A238" s="15">
        <v>236.0</v>
      </c>
      <c r="B238" s="16" t="s">
        <v>654</v>
      </c>
      <c r="C238" s="18" t="s">
        <v>1401</v>
      </c>
      <c r="D238" s="16" t="s">
        <v>1467</v>
      </c>
      <c r="E238" s="16" t="s">
        <v>1468</v>
      </c>
      <c r="F238" s="16" t="s">
        <v>1469</v>
      </c>
      <c r="G238" s="16" t="s">
        <v>1470</v>
      </c>
      <c r="H238" s="20" t="s">
        <v>229</v>
      </c>
      <c r="I238" s="21" t="s">
        <v>70</v>
      </c>
      <c r="J238" s="22" t="s">
        <v>71</v>
      </c>
      <c r="K238" s="23">
        <v>11.0</v>
      </c>
      <c r="L238" s="24">
        <v>31.0</v>
      </c>
      <c r="M238" s="24" t="str">
        <f>IFERROR(VLOOKUP(D238,'Chủ đề bài nguồn'!$A$2:$C$735,3,0),"Khác")</f>
        <v>Vay thế chấp &amp; mua nhà/xe</v>
      </c>
      <c r="N238" s="24"/>
    </row>
    <row r="239">
      <c r="A239" s="15">
        <v>237.0</v>
      </c>
      <c r="B239" s="16" t="s">
        <v>654</v>
      </c>
      <c r="C239" s="18" t="s">
        <v>1401</v>
      </c>
      <c r="D239" s="16" t="s">
        <v>1472</v>
      </c>
      <c r="E239" s="16" t="s">
        <v>1473</v>
      </c>
      <c r="F239" s="16" t="s">
        <v>1474</v>
      </c>
      <c r="G239" s="16" t="s">
        <v>1475</v>
      </c>
      <c r="H239" s="20" t="s">
        <v>229</v>
      </c>
      <c r="I239" s="21" t="s">
        <v>70</v>
      </c>
      <c r="J239" s="22" t="s">
        <v>71</v>
      </c>
      <c r="K239" s="23">
        <v>11.0</v>
      </c>
      <c r="L239" s="24">
        <v>31.0</v>
      </c>
      <c r="M239" s="24" t="str">
        <f>IFERROR(VLOOKUP(D239,'Chủ đề bài nguồn'!$A$2:$C$735,3,0),"Khác")</f>
        <v>Tài khoản &amp; ngân hàng số</v>
      </c>
      <c r="N239" s="24"/>
    </row>
    <row r="240">
      <c r="A240" s="15">
        <v>238.0</v>
      </c>
      <c r="B240" s="39" t="s">
        <v>654</v>
      </c>
      <c r="C240" s="18" t="s">
        <v>1401</v>
      </c>
      <c r="D240" s="39" t="s">
        <v>1476</v>
      </c>
      <c r="E240" s="16" t="s">
        <v>1477</v>
      </c>
      <c r="F240" s="16" t="s">
        <v>1478</v>
      </c>
      <c r="G240" s="16" t="s">
        <v>1479</v>
      </c>
      <c r="H240" s="20" t="s">
        <v>229</v>
      </c>
      <c r="I240" s="21" t="s">
        <v>70</v>
      </c>
      <c r="J240" s="22" t="s">
        <v>1425</v>
      </c>
      <c r="K240" s="23">
        <v>11.0</v>
      </c>
      <c r="L240" s="24">
        <v>31.0</v>
      </c>
      <c r="M240" s="24" t="str">
        <f>IFERROR(VLOOKUP(D240,'Chủ đề bài nguồn'!$A$2:$C$735,3,0),"Khác")</f>
        <v>Tài khoản &amp; ngân hàng số</v>
      </c>
      <c r="N240" s="24"/>
    </row>
    <row r="241">
      <c r="A241" s="15">
        <v>239.0</v>
      </c>
      <c r="B241" s="39" t="s">
        <v>654</v>
      </c>
      <c r="C241" s="18" t="s">
        <v>1401</v>
      </c>
      <c r="D241" s="39" t="s">
        <v>1225</v>
      </c>
      <c r="E241" s="16" t="s">
        <v>1481</v>
      </c>
      <c r="F241" s="16" t="s">
        <v>1482</v>
      </c>
      <c r="G241" s="16" t="s">
        <v>1453</v>
      </c>
      <c r="H241" s="20" t="s">
        <v>229</v>
      </c>
      <c r="I241" s="21" t="s">
        <v>70</v>
      </c>
      <c r="J241" s="22" t="s">
        <v>1073</v>
      </c>
      <c r="K241" s="23">
        <v>11.0</v>
      </c>
      <c r="L241" s="24">
        <v>31.0</v>
      </c>
      <c r="M241" s="24" t="str">
        <f>IFERROR(VLOOKUP(D241,'Chủ đề bài nguồn'!$A$2:$C$735,3,0),"Khác")</f>
        <v>Vay tiêu dùng &amp; tín chấp</v>
      </c>
      <c r="N241" s="24"/>
    </row>
    <row r="242">
      <c r="A242" s="15">
        <v>240.0</v>
      </c>
      <c r="B242" s="39" t="s">
        <v>654</v>
      </c>
      <c r="C242" s="18" t="s">
        <v>1401</v>
      </c>
      <c r="D242" s="39" t="s">
        <v>1242</v>
      </c>
      <c r="E242" s="16" t="s">
        <v>1484</v>
      </c>
      <c r="F242" s="16" t="s">
        <v>1485</v>
      </c>
      <c r="G242" s="16" t="s">
        <v>1453</v>
      </c>
      <c r="H242" s="20" t="s">
        <v>229</v>
      </c>
      <c r="I242" s="21" t="s">
        <v>70</v>
      </c>
      <c r="J242" s="22" t="s">
        <v>1073</v>
      </c>
      <c r="K242" s="23">
        <v>11.0</v>
      </c>
      <c r="L242" s="24">
        <v>31.0</v>
      </c>
      <c r="M242" s="24" t="str">
        <f>IFERROR(VLOOKUP(D242,'Chủ đề bài nguồn'!$A$2:$C$735,3,0),"Khác")</f>
        <v>Tài khoản &amp; ngân hàng số</v>
      </c>
      <c r="N242" s="24"/>
    </row>
    <row r="243">
      <c r="A243" s="15">
        <v>241.0</v>
      </c>
      <c r="B243" s="39" t="s">
        <v>654</v>
      </c>
      <c r="C243" s="18" t="s">
        <v>1401</v>
      </c>
      <c r="D243" s="39" t="s">
        <v>1288</v>
      </c>
      <c r="E243" s="16" t="s">
        <v>1487</v>
      </c>
      <c r="F243" s="16" t="s">
        <v>1488</v>
      </c>
      <c r="G243" s="16" t="s">
        <v>1453</v>
      </c>
      <c r="H243" s="20" t="s">
        <v>229</v>
      </c>
      <c r="I243" s="21" t="s">
        <v>70</v>
      </c>
      <c r="J243" s="22" t="s">
        <v>1073</v>
      </c>
      <c r="K243" s="23">
        <v>11.0</v>
      </c>
      <c r="L243" s="24">
        <v>31.0</v>
      </c>
      <c r="M243" s="24" t="str">
        <f>IFERROR(VLOOKUP(D243,'Chủ đề bài nguồn'!$A$2:$C$735,3,0),"Khác")</f>
        <v>Quản lý tài chính cá nhân</v>
      </c>
      <c r="N243" s="24"/>
    </row>
    <row r="244">
      <c r="A244" s="15">
        <v>242.0</v>
      </c>
      <c r="B244" s="39" t="s">
        <v>654</v>
      </c>
      <c r="C244" s="18" t="s">
        <v>1401</v>
      </c>
      <c r="D244" s="39" t="s">
        <v>783</v>
      </c>
      <c r="E244" s="16" t="s">
        <v>1489</v>
      </c>
      <c r="F244" s="16" t="s">
        <v>1490</v>
      </c>
      <c r="G244" s="16" t="s">
        <v>1491</v>
      </c>
      <c r="H244" s="20" t="s">
        <v>229</v>
      </c>
      <c r="I244" s="21" t="s">
        <v>70</v>
      </c>
      <c r="J244" s="22" t="s">
        <v>387</v>
      </c>
      <c r="K244" s="23">
        <v>11.0</v>
      </c>
      <c r="L244" s="24">
        <v>31.0</v>
      </c>
      <c r="M244" s="24" t="str">
        <f>IFERROR(VLOOKUP(D244,'Chủ đề bài nguồn'!$A$2:$C$735,3,0),"Khác")</f>
        <v>Thanh toán, chuyển khoản &amp; QR</v>
      </c>
      <c r="N244" s="24"/>
    </row>
    <row r="245">
      <c r="A245" s="15">
        <v>243.0</v>
      </c>
      <c r="B245" s="16" t="s">
        <v>474</v>
      </c>
      <c r="C245" s="18" t="s">
        <v>1395</v>
      </c>
      <c r="D245" s="16" t="s">
        <v>686</v>
      </c>
      <c r="E245" s="16" t="s">
        <v>710</v>
      </c>
      <c r="F245" s="16" t="s">
        <v>1492</v>
      </c>
      <c r="G245" s="16" t="s">
        <v>1493</v>
      </c>
      <c r="H245" s="20" t="s">
        <v>69</v>
      </c>
      <c r="I245" s="21" t="s">
        <v>70</v>
      </c>
      <c r="J245" s="22" t="s">
        <v>71</v>
      </c>
      <c r="K245" s="23">
        <v>12.0</v>
      </c>
      <c r="L245" s="24">
        <v>10.0</v>
      </c>
      <c r="M245" s="24" t="str">
        <f>IFERROR(VLOOKUP(D245,'Chủ đề bài nguồn'!$A$2:$C$735,3,0),"Khác")</f>
        <v>Thuế</v>
      </c>
      <c r="N245" s="24"/>
    </row>
    <row r="246">
      <c r="A246" s="15">
        <v>244.0</v>
      </c>
      <c r="B246" s="16" t="s">
        <v>474</v>
      </c>
      <c r="C246" s="18" t="s">
        <v>1395</v>
      </c>
      <c r="D246" s="16" t="s">
        <v>705</v>
      </c>
      <c r="E246" s="16" t="s">
        <v>1496</v>
      </c>
      <c r="F246" s="16" t="s">
        <v>1497</v>
      </c>
      <c r="G246" s="16" t="s">
        <v>1493</v>
      </c>
      <c r="H246" s="20" t="s">
        <v>69</v>
      </c>
      <c r="I246" s="21" t="s">
        <v>70</v>
      </c>
      <c r="J246" s="22" t="s">
        <v>71</v>
      </c>
      <c r="K246" s="23">
        <v>12.0</v>
      </c>
      <c r="L246" s="24">
        <v>10.0</v>
      </c>
      <c r="M246" s="24" t="str">
        <f>IFERROR(VLOOKUP(D246,'Chủ đề bài nguồn'!$A$2:$C$735,3,0),"Khác")</f>
        <v>Thuế</v>
      </c>
      <c r="N246" s="24"/>
    </row>
    <row r="247">
      <c r="A247" s="15">
        <v>245.0</v>
      </c>
      <c r="B247" s="16" t="s">
        <v>474</v>
      </c>
      <c r="C247" s="18" t="s">
        <v>1395</v>
      </c>
      <c r="D247" s="16" t="s">
        <v>793</v>
      </c>
      <c r="E247" s="16" t="s">
        <v>1498</v>
      </c>
      <c r="F247" s="16" t="s">
        <v>1499</v>
      </c>
      <c r="G247" s="16" t="s">
        <v>1500</v>
      </c>
      <c r="H247" s="20" t="s">
        <v>69</v>
      </c>
      <c r="I247" s="21" t="s">
        <v>70</v>
      </c>
      <c r="J247" s="22" t="s">
        <v>71</v>
      </c>
      <c r="K247" s="23">
        <v>12.0</v>
      </c>
      <c r="L247" s="24">
        <v>10.0</v>
      </c>
      <c r="M247" s="24" t="str">
        <f>IFERROR(VLOOKUP(D247,'Chủ đề bài nguồn'!$A$2:$C$735,3,0),"Khác")</f>
        <v>Thuế</v>
      </c>
      <c r="N247" s="24"/>
    </row>
    <row r="248">
      <c r="A248" s="15">
        <v>246.0</v>
      </c>
      <c r="B248" s="16" t="s">
        <v>474</v>
      </c>
      <c r="C248" s="18" t="s">
        <v>1395</v>
      </c>
      <c r="D248" s="16" t="s">
        <v>1501</v>
      </c>
      <c r="E248" s="16" t="s">
        <v>1502</v>
      </c>
      <c r="F248" s="16" t="s">
        <v>1503</v>
      </c>
      <c r="G248" s="16" t="s">
        <v>1493</v>
      </c>
      <c r="H248" s="20" t="s">
        <v>69</v>
      </c>
      <c r="I248" s="21" t="s">
        <v>70</v>
      </c>
      <c r="J248" s="22" t="s">
        <v>71</v>
      </c>
      <c r="K248" s="23">
        <v>12.0</v>
      </c>
      <c r="L248" s="24">
        <v>10.0</v>
      </c>
      <c r="M248" s="24" t="str">
        <f>IFERROR(VLOOKUP(D248,'Chủ đề bài nguồn'!$A$2:$C$735,3,0),"Khác")</f>
        <v>Đầu tư, CCTG, trái phiếu, vàng</v>
      </c>
      <c r="N248" s="24"/>
    </row>
    <row r="249">
      <c r="A249" s="15">
        <v>247.0</v>
      </c>
      <c r="B249" s="16" t="s">
        <v>474</v>
      </c>
      <c r="C249" s="18" t="s">
        <v>1395</v>
      </c>
      <c r="D249" s="16" t="s">
        <v>743</v>
      </c>
      <c r="E249" s="16" t="s">
        <v>1505</v>
      </c>
      <c r="F249" s="16" t="s">
        <v>1506</v>
      </c>
      <c r="G249" s="16" t="s">
        <v>1493</v>
      </c>
      <c r="H249" s="20" t="s">
        <v>69</v>
      </c>
      <c r="I249" s="21" t="s">
        <v>70</v>
      </c>
      <c r="J249" s="22" t="s">
        <v>71</v>
      </c>
      <c r="K249" s="23">
        <v>12.0</v>
      </c>
      <c r="L249" s="24">
        <v>10.0</v>
      </c>
      <c r="M249" s="24" t="str">
        <f>IFERROR(VLOOKUP(D249,'Chủ đề bài nguồn'!$A$2:$C$735,3,0),"Khác")</f>
        <v>Hộ kinh doanh &amp; bán hàng</v>
      </c>
      <c r="N249" s="24"/>
    </row>
    <row r="250">
      <c r="A250" s="15">
        <v>248.0</v>
      </c>
      <c r="B250" s="16" t="s">
        <v>474</v>
      </c>
      <c r="C250" s="18" t="s">
        <v>1395</v>
      </c>
      <c r="D250" s="16" t="s">
        <v>1105</v>
      </c>
      <c r="E250" s="16" t="s">
        <v>1508</v>
      </c>
      <c r="F250" s="16" t="s">
        <v>1509</v>
      </c>
      <c r="G250" s="16" t="s">
        <v>1493</v>
      </c>
      <c r="H250" s="20" t="s">
        <v>69</v>
      </c>
      <c r="I250" s="21" t="s">
        <v>70</v>
      </c>
      <c r="J250" s="22" t="s">
        <v>71</v>
      </c>
      <c r="K250" s="23">
        <v>12.0</v>
      </c>
      <c r="L250" s="24">
        <v>10.0</v>
      </c>
      <c r="M250" s="24" t="str">
        <f>IFERROR(VLOOKUP(D250,'Chủ đề bài nguồn'!$A$2:$C$735,3,0),"Khác")</f>
        <v>Thuế</v>
      </c>
      <c r="N250" s="24"/>
    </row>
    <row r="251">
      <c r="A251" s="15">
        <v>249.0</v>
      </c>
      <c r="B251" s="16" t="s">
        <v>474</v>
      </c>
      <c r="C251" s="18" t="s">
        <v>1395</v>
      </c>
      <c r="D251" s="16" t="s">
        <v>1075</v>
      </c>
      <c r="E251" s="16" t="s">
        <v>710</v>
      </c>
      <c r="F251" s="16" t="s">
        <v>1510</v>
      </c>
      <c r="G251" s="16" t="s">
        <v>1493</v>
      </c>
      <c r="H251" s="20" t="s">
        <v>69</v>
      </c>
      <c r="I251" s="21" t="s">
        <v>70</v>
      </c>
      <c r="J251" s="22" t="s">
        <v>71</v>
      </c>
      <c r="K251" s="23">
        <v>12.0</v>
      </c>
      <c r="L251" s="24">
        <v>10.0</v>
      </c>
      <c r="M251" s="24" t="str">
        <f>IFERROR(VLOOKUP(D251,'Chủ đề bài nguồn'!$A$2:$C$735,3,0),"Khác")</f>
        <v>Thuế</v>
      </c>
      <c r="N251" s="24"/>
    </row>
    <row r="252">
      <c r="A252" s="15">
        <v>250.0</v>
      </c>
      <c r="B252" s="16" t="s">
        <v>474</v>
      </c>
      <c r="C252" s="18" t="s">
        <v>1395</v>
      </c>
      <c r="D252" s="16" t="s">
        <v>876</v>
      </c>
      <c r="E252" s="16" t="s">
        <v>1514</v>
      </c>
      <c r="F252" s="16" t="s">
        <v>1515</v>
      </c>
      <c r="G252" s="16" t="s">
        <v>1493</v>
      </c>
      <c r="H252" s="20" t="s">
        <v>69</v>
      </c>
      <c r="I252" s="21" t="s">
        <v>70</v>
      </c>
      <c r="J252" s="22" t="s">
        <v>71</v>
      </c>
      <c r="K252" s="23">
        <v>12.0</v>
      </c>
      <c r="L252" s="24">
        <v>10.0</v>
      </c>
      <c r="M252" s="24" t="str">
        <f>IFERROR(VLOOKUP(D252,'Chủ đề bài nguồn'!$A$2:$C$735,3,0),"Khác")</f>
        <v>Thuế</v>
      </c>
      <c r="N252" s="24"/>
    </row>
    <row r="253">
      <c r="A253" s="15">
        <v>251.0</v>
      </c>
      <c r="B253" s="16" t="s">
        <v>474</v>
      </c>
      <c r="C253" s="18" t="s">
        <v>1395</v>
      </c>
      <c r="D253" s="16" t="s">
        <v>762</v>
      </c>
      <c r="E253" s="16" t="s">
        <v>1517</v>
      </c>
      <c r="F253" s="16" t="s">
        <v>1518</v>
      </c>
      <c r="G253" s="16" t="s">
        <v>1493</v>
      </c>
      <c r="H253" s="20" t="s">
        <v>69</v>
      </c>
      <c r="I253" s="21" t="s">
        <v>70</v>
      </c>
      <c r="J253" s="22" t="s">
        <v>71</v>
      </c>
      <c r="K253" s="23">
        <v>12.0</v>
      </c>
      <c r="L253" s="24">
        <v>10.0</v>
      </c>
      <c r="M253" s="24" t="str">
        <f>IFERROR(VLOOKUP(D253,'Chủ đề bài nguồn'!$A$2:$C$735,3,0),"Khác")</f>
        <v>Thuế</v>
      </c>
      <c r="N253" s="24"/>
    </row>
    <row r="254">
      <c r="A254" s="15">
        <v>252.0</v>
      </c>
      <c r="B254" s="16" t="s">
        <v>474</v>
      </c>
      <c r="C254" s="18" t="s">
        <v>1395</v>
      </c>
      <c r="D254" s="16" t="s">
        <v>635</v>
      </c>
      <c r="E254" s="16" t="s">
        <v>1519</v>
      </c>
      <c r="F254" s="16" t="s">
        <v>1520</v>
      </c>
      <c r="G254" s="16" t="s">
        <v>1493</v>
      </c>
      <c r="H254" s="20" t="s">
        <v>155</v>
      </c>
      <c r="I254" s="21" t="s">
        <v>70</v>
      </c>
      <c r="J254" s="22" t="s">
        <v>71</v>
      </c>
      <c r="K254" s="23">
        <v>12.0</v>
      </c>
      <c r="L254" s="24">
        <v>20.0</v>
      </c>
      <c r="M254" s="24" t="str">
        <f>IFERROR(VLOOKUP(D254,'Chủ đề bài nguồn'!$A$2:$C$735,3,0),"Khác")</f>
        <v>Thuế</v>
      </c>
      <c r="N254" s="24"/>
    </row>
    <row r="255">
      <c r="A255" s="15">
        <v>253.0</v>
      </c>
      <c r="B255" s="16" t="s">
        <v>474</v>
      </c>
      <c r="C255" s="18" t="s">
        <v>1395</v>
      </c>
      <c r="D255" s="16" t="s">
        <v>1521</v>
      </c>
      <c r="E255" s="16" t="s">
        <v>1522</v>
      </c>
      <c r="F255" s="16" t="s">
        <v>1523</v>
      </c>
      <c r="G255" s="16" t="s">
        <v>1493</v>
      </c>
      <c r="H255" s="20" t="s">
        <v>155</v>
      </c>
      <c r="I255" s="21" t="s">
        <v>70</v>
      </c>
      <c r="J255" s="22" t="s">
        <v>1524</v>
      </c>
      <c r="K255" s="23">
        <v>12.0</v>
      </c>
      <c r="L255" s="24">
        <v>20.0</v>
      </c>
      <c r="M255" s="24" t="str">
        <f>IFERROR(VLOOKUP(D255,'Chủ đề bài nguồn'!$A$2:$C$735,3,0),"Khác")</f>
        <v>Đầu tư, CCTG, trái phiếu, vàng</v>
      </c>
      <c r="N255" s="24"/>
    </row>
    <row r="256">
      <c r="A256" s="15">
        <v>254.0</v>
      </c>
      <c r="B256" s="16" t="s">
        <v>474</v>
      </c>
      <c r="C256" s="18" t="s">
        <v>1395</v>
      </c>
      <c r="D256" s="16" t="s">
        <v>1525</v>
      </c>
      <c r="E256" s="16" t="s">
        <v>1526</v>
      </c>
      <c r="F256" s="16" t="s">
        <v>1527</v>
      </c>
      <c r="G256" s="16" t="s">
        <v>1493</v>
      </c>
      <c r="H256" s="20" t="s">
        <v>155</v>
      </c>
      <c r="I256" s="21" t="s">
        <v>70</v>
      </c>
      <c r="J256" s="22" t="s">
        <v>71</v>
      </c>
      <c r="K256" s="23">
        <v>12.0</v>
      </c>
      <c r="L256" s="24">
        <v>20.0</v>
      </c>
      <c r="M256" s="24" t="str">
        <f>IFERROR(VLOOKUP(D256,'Chủ đề bài nguồn'!$A$2:$C$735,3,0),"Khác")</f>
        <v>Đầu tư, CCTG, trái phiếu, vàng</v>
      </c>
      <c r="N256" s="24"/>
    </row>
    <row r="257">
      <c r="A257" s="15">
        <v>255.0</v>
      </c>
      <c r="B257" s="39" t="s">
        <v>474</v>
      </c>
      <c r="C257" s="18" t="s">
        <v>1395</v>
      </c>
      <c r="D257" s="39" t="s">
        <v>646</v>
      </c>
      <c r="E257" s="16" t="s">
        <v>1530</v>
      </c>
      <c r="F257" s="16" t="s">
        <v>1531</v>
      </c>
      <c r="G257" s="16" t="s">
        <v>1532</v>
      </c>
      <c r="H257" s="20" t="s">
        <v>155</v>
      </c>
      <c r="I257" s="21" t="s">
        <v>70</v>
      </c>
      <c r="J257" s="22" t="s">
        <v>1533</v>
      </c>
      <c r="K257" s="23">
        <v>12.0</v>
      </c>
      <c r="L257" s="24">
        <v>20.0</v>
      </c>
      <c r="M257" s="24" t="str">
        <f>IFERROR(VLOOKUP(D257,'Chủ đề bài nguồn'!$A$2:$C$735,3,0),"Khác")</f>
        <v>Hộ kinh doanh &amp; bán hàng</v>
      </c>
      <c r="N257" s="24"/>
    </row>
    <row r="258">
      <c r="A258" s="15">
        <v>256.0</v>
      </c>
      <c r="B258" s="16" t="s">
        <v>474</v>
      </c>
      <c r="C258" s="18" t="s">
        <v>1395</v>
      </c>
      <c r="D258" s="16" t="s">
        <v>591</v>
      </c>
      <c r="E258" s="16" t="s">
        <v>1535</v>
      </c>
      <c r="F258" s="16" t="s">
        <v>1536</v>
      </c>
      <c r="G258" s="16" t="s">
        <v>1500</v>
      </c>
      <c r="H258" s="20" t="s">
        <v>155</v>
      </c>
      <c r="I258" s="21" t="s">
        <v>70</v>
      </c>
      <c r="J258" s="22" t="s">
        <v>1538</v>
      </c>
      <c r="K258" s="23">
        <v>12.0</v>
      </c>
      <c r="L258" s="24">
        <v>20.0</v>
      </c>
      <c r="M258" s="24" t="str">
        <f>IFERROR(VLOOKUP(D258,'Chủ đề bài nguồn'!$A$2:$C$735,3,0),"Khác")</f>
        <v>Thuế</v>
      </c>
      <c r="N258" s="24"/>
    </row>
    <row r="259">
      <c r="A259" s="15">
        <v>257.0</v>
      </c>
      <c r="B259" s="16" t="s">
        <v>474</v>
      </c>
      <c r="C259" s="18" t="s">
        <v>1395</v>
      </c>
      <c r="D259" s="16" t="s">
        <v>1504</v>
      </c>
      <c r="E259" s="16" t="s">
        <v>1540</v>
      </c>
      <c r="F259" s="16" t="s">
        <v>1541</v>
      </c>
      <c r="G259" s="16" t="s">
        <v>1493</v>
      </c>
      <c r="H259" s="20" t="s">
        <v>155</v>
      </c>
      <c r="I259" s="21" t="s">
        <v>70</v>
      </c>
      <c r="J259" s="22" t="s">
        <v>71</v>
      </c>
      <c r="K259" s="23">
        <v>12.0</v>
      </c>
      <c r="L259" s="24">
        <v>20.0</v>
      </c>
      <c r="M259" s="24" t="str">
        <f>IFERROR(VLOOKUP(D259,'Chủ đề bài nguồn'!$A$2:$C$735,3,0),"Khác")</f>
        <v>Vay thế chấp &amp; mua nhà/xe</v>
      </c>
      <c r="N259" s="24"/>
    </row>
    <row r="260">
      <c r="A260" s="15">
        <v>258.0</v>
      </c>
      <c r="B260" s="16" t="s">
        <v>474</v>
      </c>
      <c r="C260" s="18" t="s">
        <v>1395</v>
      </c>
      <c r="D260" s="16" t="s">
        <v>620</v>
      </c>
      <c r="E260" s="16" t="s">
        <v>1542</v>
      </c>
      <c r="F260" s="16" t="s">
        <v>1543</v>
      </c>
      <c r="G260" s="16" t="s">
        <v>1544</v>
      </c>
      <c r="H260" s="20" t="s">
        <v>155</v>
      </c>
      <c r="I260" s="21" t="s">
        <v>70</v>
      </c>
      <c r="J260" s="22" t="s">
        <v>809</v>
      </c>
      <c r="K260" s="23">
        <v>12.0</v>
      </c>
      <c r="L260" s="24">
        <v>21.0</v>
      </c>
      <c r="M260" s="24" t="str">
        <f>IFERROR(VLOOKUP(D260,'Chủ đề bài nguồn'!$A$2:$C$735,3,0),"Khác")</f>
        <v>Thuế</v>
      </c>
      <c r="N260" s="24"/>
    </row>
    <row r="261">
      <c r="A261" s="15">
        <v>259.0</v>
      </c>
      <c r="B261" s="16" t="s">
        <v>474</v>
      </c>
      <c r="C261" s="18" t="s">
        <v>1395</v>
      </c>
      <c r="D261" s="16" t="s">
        <v>915</v>
      </c>
      <c r="E261" s="16" t="s">
        <v>1545</v>
      </c>
      <c r="F261" s="16" t="s">
        <v>1546</v>
      </c>
      <c r="G261" s="16" t="s">
        <v>1547</v>
      </c>
      <c r="H261" s="20" t="s">
        <v>155</v>
      </c>
      <c r="I261" s="21" t="s">
        <v>70</v>
      </c>
      <c r="J261" s="22" t="s">
        <v>809</v>
      </c>
      <c r="K261" s="23">
        <v>12.0</v>
      </c>
      <c r="L261" s="24">
        <v>21.0</v>
      </c>
      <c r="M261" s="24" t="str">
        <f>IFERROR(VLOOKUP(D261,'Chủ đề bài nguồn'!$A$2:$C$735,3,0),"Khác")</f>
        <v>Hộ kinh doanh &amp; bán hàng</v>
      </c>
      <c r="N261" s="24"/>
    </row>
    <row r="262">
      <c r="A262" s="15">
        <v>260.0</v>
      </c>
      <c r="B262" s="16" t="s">
        <v>474</v>
      </c>
      <c r="C262" s="18" t="s">
        <v>1395</v>
      </c>
      <c r="D262" s="16" t="s">
        <v>1548</v>
      </c>
      <c r="E262" s="16" t="s">
        <v>1549</v>
      </c>
      <c r="F262" s="16" t="s">
        <v>1550</v>
      </c>
      <c r="G262" s="16" t="s">
        <v>1551</v>
      </c>
      <c r="H262" s="20" t="s">
        <v>155</v>
      </c>
      <c r="I262" s="21" t="s">
        <v>70</v>
      </c>
      <c r="J262" s="22" t="s">
        <v>71</v>
      </c>
      <c r="K262" s="23">
        <v>12.0</v>
      </c>
      <c r="L262" s="24">
        <v>21.0</v>
      </c>
      <c r="M262" s="24" t="str">
        <f>IFERROR(VLOOKUP(D262,'Chủ đề bài nguồn'!$A$2:$C$735,3,0),"Khác")</f>
        <v>Đầu tư, CCTG, trái phiếu, vàng</v>
      </c>
      <c r="N262" s="24"/>
    </row>
    <row r="263">
      <c r="A263" s="15">
        <v>261.0</v>
      </c>
      <c r="B263" s="16" t="s">
        <v>474</v>
      </c>
      <c r="C263" s="18" t="s">
        <v>1395</v>
      </c>
      <c r="D263" s="16" t="s">
        <v>987</v>
      </c>
      <c r="E263" s="16" t="s">
        <v>1553</v>
      </c>
      <c r="F263" s="16" t="s">
        <v>1543</v>
      </c>
      <c r="G263" s="16" t="s">
        <v>1544</v>
      </c>
      <c r="H263" s="20" t="s">
        <v>155</v>
      </c>
      <c r="I263" s="21" t="s">
        <v>70</v>
      </c>
      <c r="J263" s="22" t="s">
        <v>809</v>
      </c>
      <c r="K263" s="23">
        <v>12.0</v>
      </c>
      <c r="L263" s="24">
        <v>21.0</v>
      </c>
      <c r="M263" s="24" t="str">
        <f>IFERROR(VLOOKUP(D263,'Chủ đề bài nguồn'!$A$2:$C$735,3,0),"Khác")</f>
        <v>Hộ kinh doanh &amp; bán hàng</v>
      </c>
      <c r="N263" s="24"/>
    </row>
    <row r="264">
      <c r="A264" s="15">
        <v>262.0</v>
      </c>
      <c r="B264" s="16" t="s">
        <v>474</v>
      </c>
      <c r="C264" s="18" t="s">
        <v>1395</v>
      </c>
      <c r="D264" s="16" t="s">
        <v>811</v>
      </c>
      <c r="E264" s="16" t="s">
        <v>812</v>
      </c>
      <c r="F264" s="16" t="s">
        <v>1554</v>
      </c>
      <c r="G264" s="16" t="s">
        <v>1544</v>
      </c>
      <c r="H264" s="20" t="s">
        <v>155</v>
      </c>
      <c r="I264" s="21" t="s">
        <v>70</v>
      </c>
      <c r="J264" s="22" t="s">
        <v>1555</v>
      </c>
      <c r="K264" s="23">
        <v>12.0</v>
      </c>
      <c r="L264" s="24">
        <v>21.0</v>
      </c>
      <c r="M264" s="24" t="str">
        <f>IFERROR(VLOOKUP(D264,'Chủ đề bài nguồn'!$A$2:$C$735,3,0),"Khác")</f>
        <v>Hộ kinh doanh &amp; bán hàng</v>
      </c>
      <c r="N264" s="24"/>
    </row>
    <row r="265">
      <c r="A265" s="15">
        <v>263.0</v>
      </c>
      <c r="B265" s="39" t="s">
        <v>474</v>
      </c>
      <c r="C265" s="18" t="s">
        <v>1395</v>
      </c>
      <c r="D265" s="39" t="s">
        <v>627</v>
      </c>
      <c r="E265" s="16" t="s">
        <v>628</v>
      </c>
      <c r="F265" s="16" t="s">
        <v>1543</v>
      </c>
      <c r="G265" s="16" t="s">
        <v>1556</v>
      </c>
      <c r="H265" s="20" t="s">
        <v>155</v>
      </c>
      <c r="I265" s="21" t="s">
        <v>70</v>
      </c>
      <c r="J265" s="22" t="s">
        <v>809</v>
      </c>
      <c r="K265" s="23">
        <v>12.0</v>
      </c>
      <c r="L265" s="24">
        <v>21.0</v>
      </c>
      <c r="M265" s="24" t="str">
        <f>IFERROR(VLOOKUP(D265,'Chủ đề bài nguồn'!$A$2:$C$735,3,0),"Khác")</f>
        <v>Thuế</v>
      </c>
      <c r="N265" s="24"/>
    </row>
    <row r="266">
      <c r="A266" s="15">
        <v>264.0</v>
      </c>
      <c r="B266" s="39" t="s">
        <v>474</v>
      </c>
      <c r="C266" s="18" t="s">
        <v>1395</v>
      </c>
      <c r="D266" s="39" t="s">
        <v>769</v>
      </c>
      <c r="E266" s="16" t="s">
        <v>770</v>
      </c>
      <c r="F266" s="16" t="s">
        <v>1554</v>
      </c>
      <c r="G266" s="16" t="s">
        <v>1544</v>
      </c>
      <c r="H266" s="20" t="s">
        <v>155</v>
      </c>
      <c r="I266" s="21" t="s">
        <v>70</v>
      </c>
      <c r="J266" s="22" t="s">
        <v>1559</v>
      </c>
      <c r="K266" s="23">
        <v>12.0</v>
      </c>
      <c r="L266" s="24">
        <v>21.0</v>
      </c>
      <c r="M266" s="24" t="str">
        <f>IFERROR(VLOOKUP(D266,'Chủ đề bài nguồn'!$A$2:$C$735,3,0),"Khác")</f>
        <v>Thuế</v>
      </c>
      <c r="N266" s="24"/>
    </row>
    <row r="267">
      <c r="A267" s="15">
        <v>265.0</v>
      </c>
      <c r="B267" s="16" t="s">
        <v>474</v>
      </c>
      <c r="C267" s="18" t="s">
        <v>1395</v>
      </c>
      <c r="D267" s="16" t="s">
        <v>972</v>
      </c>
      <c r="E267" s="16" t="s">
        <v>1560</v>
      </c>
      <c r="F267" s="16" t="s">
        <v>1562</v>
      </c>
      <c r="G267" s="16" t="s">
        <v>1563</v>
      </c>
      <c r="H267" s="20" t="s">
        <v>155</v>
      </c>
      <c r="I267" s="21" t="s">
        <v>70</v>
      </c>
      <c r="J267" s="22" t="s">
        <v>933</v>
      </c>
      <c r="K267" s="23">
        <v>12.0</v>
      </c>
      <c r="L267" s="24">
        <v>21.0</v>
      </c>
      <c r="M267" s="24" t="str">
        <f>IFERROR(VLOOKUP(D267,'Chủ đề bài nguồn'!$A$2:$C$735,3,0),"Khác")</f>
        <v>Thuế</v>
      </c>
      <c r="N267" s="24"/>
    </row>
    <row r="268">
      <c r="A268" s="15">
        <v>266.0</v>
      </c>
      <c r="B268" s="16" t="s">
        <v>474</v>
      </c>
      <c r="C268" s="18" t="s">
        <v>1395</v>
      </c>
      <c r="D268" s="16" t="s">
        <v>785</v>
      </c>
      <c r="E268" s="16" t="s">
        <v>786</v>
      </c>
      <c r="F268" s="16" t="s">
        <v>1554</v>
      </c>
      <c r="G268" s="16" t="s">
        <v>1544</v>
      </c>
      <c r="H268" s="20" t="s">
        <v>155</v>
      </c>
      <c r="I268" s="21" t="s">
        <v>70</v>
      </c>
      <c r="J268" s="22" t="s">
        <v>1559</v>
      </c>
      <c r="K268" s="23">
        <v>12.0</v>
      </c>
      <c r="L268" s="24">
        <v>21.0</v>
      </c>
      <c r="M268" s="24" t="str">
        <f>IFERROR(VLOOKUP(D268,'Chủ đề bài nguồn'!$A$2:$C$735,3,0),"Khác")</f>
        <v>Thuế</v>
      </c>
      <c r="N268" s="24"/>
    </row>
    <row r="269">
      <c r="A269" s="15">
        <v>267.0</v>
      </c>
      <c r="B269" s="16" t="s">
        <v>474</v>
      </c>
      <c r="C269" s="18" t="s">
        <v>1395</v>
      </c>
      <c r="D269" s="16" t="s">
        <v>1328</v>
      </c>
      <c r="E269" s="16" t="s">
        <v>1564</v>
      </c>
      <c r="F269" s="16" t="s">
        <v>1565</v>
      </c>
      <c r="G269" s="16" t="s">
        <v>1566</v>
      </c>
      <c r="H269" s="20" t="s">
        <v>155</v>
      </c>
      <c r="I269" s="21" t="s">
        <v>70</v>
      </c>
      <c r="J269" s="22" t="s">
        <v>71</v>
      </c>
      <c r="K269" s="23">
        <v>12.0</v>
      </c>
      <c r="L269" s="24">
        <v>21.0</v>
      </c>
      <c r="M269" s="24" t="str">
        <f>IFERROR(VLOOKUP(D269,'Chủ đề bài nguồn'!$A$2:$C$735,3,0),"Khác")</f>
        <v>Doanh nghiệp (tài khoản, vay, tài chính)</v>
      </c>
      <c r="N269" s="24"/>
    </row>
    <row r="270">
      <c r="A270" s="15">
        <v>268.0</v>
      </c>
      <c r="B270" s="16" t="s">
        <v>474</v>
      </c>
      <c r="C270" s="18" t="s">
        <v>1395</v>
      </c>
      <c r="D270" s="16" t="s">
        <v>954</v>
      </c>
      <c r="E270" s="16" t="s">
        <v>1567</v>
      </c>
      <c r="F270" s="16" t="s">
        <v>1568</v>
      </c>
      <c r="G270" s="16" t="s">
        <v>1563</v>
      </c>
      <c r="H270" s="20" t="s">
        <v>229</v>
      </c>
      <c r="I270" s="21" t="s">
        <v>70</v>
      </c>
      <c r="J270" s="22" t="s">
        <v>809</v>
      </c>
      <c r="K270" s="23">
        <v>12.0</v>
      </c>
      <c r="L270" s="24">
        <v>31.0</v>
      </c>
      <c r="M270" s="24" t="str">
        <f>IFERROR(VLOOKUP(D270,'Chủ đề bài nguồn'!$A$2:$C$735,3,0),"Khác")</f>
        <v>Hộ kinh doanh &amp; bán hàng</v>
      </c>
      <c r="N270" s="24"/>
    </row>
    <row r="271">
      <c r="A271" s="15">
        <v>269.0</v>
      </c>
      <c r="B271" s="16" t="s">
        <v>474</v>
      </c>
      <c r="C271" s="18" t="s">
        <v>1395</v>
      </c>
      <c r="D271" s="16" t="s">
        <v>1569</v>
      </c>
      <c r="E271" s="16" t="s">
        <v>1570</v>
      </c>
      <c r="F271" s="16" t="s">
        <v>1571</v>
      </c>
      <c r="G271" s="16" t="s">
        <v>1563</v>
      </c>
      <c r="H271" s="20" t="s">
        <v>229</v>
      </c>
      <c r="I271" s="21" t="s">
        <v>70</v>
      </c>
      <c r="J271" s="22" t="s">
        <v>809</v>
      </c>
      <c r="K271" s="23">
        <v>12.0</v>
      </c>
      <c r="L271" s="24">
        <v>31.0</v>
      </c>
      <c r="M271" s="24" t="str">
        <f>IFERROR(VLOOKUP(D271,'Chủ đề bài nguồn'!$A$2:$C$735,3,0),"Khác")</f>
        <v>Ngoại tệ &amp; chuyển tiền quốc tế</v>
      </c>
      <c r="N271" s="24"/>
    </row>
    <row r="272">
      <c r="A272" s="15">
        <v>270.0</v>
      </c>
      <c r="B272" s="39" t="s">
        <v>474</v>
      </c>
      <c r="C272" s="18" t="s">
        <v>1395</v>
      </c>
      <c r="D272" s="39" t="s">
        <v>1038</v>
      </c>
      <c r="E272" s="16" t="s">
        <v>1573</v>
      </c>
      <c r="F272" s="16" t="s">
        <v>1574</v>
      </c>
      <c r="G272" s="16" t="s">
        <v>1575</v>
      </c>
      <c r="H272" s="20" t="s">
        <v>229</v>
      </c>
      <c r="I272" s="21" t="s">
        <v>70</v>
      </c>
      <c r="J272" s="40" t="s">
        <v>1576</v>
      </c>
      <c r="K272" s="23">
        <v>12.0</v>
      </c>
      <c r="L272" s="24">
        <v>31.0</v>
      </c>
      <c r="M272" s="24" t="str">
        <f>IFERROR(VLOOKUP(D272,'Chủ đề bài nguồn'!$A$2:$C$735,3,0),"Khác")</f>
        <v>Ngoại tệ &amp; chuyển tiền quốc tế</v>
      </c>
      <c r="N272" s="24"/>
    </row>
    <row r="273">
      <c r="A273" s="15">
        <v>271.0</v>
      </c>
      <c r="B273" s="16" t="s">
        <v>474</v>
      </c>
      <c r="C273" s="18" t="s">
        <v>1395</v>
      </c>
      <c r="D273" s="16" t="s">
        <v>1577</v>
      </c>
      <c r="E273" s="16" t="s">
        <v>1578</v>
      </c>
      <c r="F273" s="16" t="s">
        <v>1579</v>
      </c>
      <c r="G273" s="16" t="s">
        <v>1580</v>
      </c>
      <c r="H273" s="20" t="s">
        <v>229</v>
      </c>
      <c r="I273" s="21" t="s">
        <v>70</v>
      </c>
      <c r="J273" s="40" t="s">
        <v>1581</v>
      </c>
      <c r="K273" s="23">
        <v>12.0</v>
      </c>
      <c r="L273" s="24">
        <v>31.0</v>
      </c>
      <c r="M273" s="24" t="str">
        <f>IFERROR(VLOOKUP(D273,'Chủ đề bài nguồn'!$A$2:$C$735,3,0),"Khác")</f>
        <v>Tài khoản &amp; ngân hàng số</v>
      </c>
      <c r="N273" s="24"/>
    </row>
    <row r="274">
      <c r="A274" s="15">
        <v>272.0</v>
      </c>
      <c r="B274" s="16" t="s">
        <v>474</v>
      </c>
      <c r="C274" s="18" t="s">
        <v>1395</v>
      </c>
      <c r="D274" s="16" t="s">
        <v>695</v>
      </c>
      <c r="E274" s="16" t="s">
        <v>696</v>
      </c>
      <c r="F274" s="16" t="s">
        <v>1583</v>
      </c>
      <c r="G274" s="16" t="s">
        <v>1584</v>
      </c>
      <c r="H274" s="20" t="s">
        <v>229</v>
      </c>
      <c r="I274" s="21" t="s">
        <v>70</v>
      </c>
      <c r="J274" s="22" t="s">
        <v>71</v>
      </c>
      <c r="K274" s="23">
        <v>12.0</v>
      </c>
      <c r="L274" s="24">
        <v>31.0</v>
      </c>
      <c r="M274" s="24" t="str">
        <f>IFERROR(VLOOKUP(D274,'Chủ đề bài nguồn'!$A$2:$C$735,3,0),"Khác")</f>
        <v>Thuế</v>
      </c>
      <c r="N274" s="24"/>
    </row>
    <row r="275">
      <c r="A275" s="15">
        <v>273.0</v>
      </c>
      <c r="B275" s="16" t="s">
        <v>474</v>
      </c>
      <c r="C275" s="18" t="s">
        <v>1395</v>
      </c>
      <c r="D275" s="16" t="s">
        <v>776</v>
      </c>
      <c r="E275" s="16" t="s">
        <v>1585</v>
      </c>
      <c r="F275" s="16" t="s">
        <v>1586</v>
      </c>
      <c r="G275" s="16" t="s">
        <v>1587</v>
      </c>
      <c r="H275" s="20" t="s">
        <v>229</v>
      </c>
      <c r="I275" s="21" t="s">
        <v>70</v>
      </c>
      <c r="J275" s="22" t="s">
        <v>994</v>
      </c>
      <c r="K275" s="23">
        <v>12.0</v>
      </c>
      <c r="L275" s="24">
        <v>31.0</v>
      </c>
      <c r="M275" s="24" t="str">
        <f>IFERROR(VLOOKUP(D275,'Chủ đề bài nguồn'!$A$2:$C$735,3,0),"Khác")</f>
        <v>Thuế</v>
      </c>
      <c r="N275" s="24"/>
    </row>
    <row r="276">
      <c r="A276" s="15">
        <v>274.0</v>
      </c>
      <c r="B276" s="16" t="s">
        <v>474</v>
      </c>
      <c r="C276" s="18" t="s">
        <v>1395</v>
      </c>
      <c r="D276" s="16" t="s">
        <v>800</v>
      </c>
      <c r="E276" s="16" t="s">
        <v>1588</v>
      </c>
      <c r="F276" s="16" t="s">
        <v>1589</v>
      </c>
      <c r="G276" s="16" t="s">
        <v>1590</v>
      </c>
      <c r="H276" s="20" t="s">
        <v>229</v>
      </c>
      <c r="I276" s="21" t="s">
        <v>70</v>
      </c>
      <c r="J276" s="40" t="s">
        <v>1591</v>
      </c>
      <c r="K276" s="23">
        <v>12.0</v>
      </c>
      <c r="L276" s="24">
        <v>31.0</v>
      </c>
      <c r="M276" s="24" t="str">
        <f>IFERROR(VLOOKUP(D276,'Chủ đề bài nguồn'!$A$2:$C$735,3,0),"Khác")</f>
        <v>Hộ kinh doanh &amp; bán hàng</v>
      </c>
      <c r="N276" s="24"/>
    </row>
    <row r="277">
      <c r="A277" s="15">
        <v>275.0</v>
      </c>
      <c r="B277" s="16" t="s">
        <v>474</v>
      </c>
      <c r="C277" s="18" t="s">
        <v>1395</v>
      </c>
      <c r="D277" s="16" t="s">
        <v>1592</v>
      </c>
      <c r="E277" s="16" t="s">
        <v>1593</v>
      </c>
      <c r="F277" s="16" t="s">
        <v>1594</v>
      </c>
      <c r="G277" s="16" t="s">
        <v>1595</v>
      </c>
      <c r="H277" s="20" t="s">
        <v>229</v>
      </c>
      <c r="I277" s="21" t="s">
        <v>70</v>
      </c>
      <c r="J277" s="22" t="s">
        <v>1596</v>
      </c>
      <c r="K277" s="23">
        <v>12.0</v>
      </c>
      <c r="L277" s="24">
        <v>31.0</v>
      </c>
      <c r="M277" s="24" t="str">
        <f>IFERROR(VLOOKUP(D277,'Chủ đề bài nguồn'!$A$2:$C$735,3,0),"Khác")</f>
        <v>Quản lý tài chính cá nhân</v>
      </c>
      <c r="N277" s="24"/>
    </row>
    <row r="278">
      <c r="A278" s="15">
        <v>276.0</v>
      </c>
      <c r="B278" s="16" t="s">
        <v>474</v>
      </c>
      <c r="C278" s="18" t="s">
        <v>1395</v>
      </c>
      <c r="D278" s="16" t="s">
        <v>758</v>
      </c>
      <c r="E278" s="16" t="s">
        <v>759</v>
      </c>
      <c r="F278" s="16" t="s">
        <v>1598</v>
      </c>
      <c r="G278" s="16" t="s">
        <v>1599</v>
      </c>
      <c r="H278" s="20" t="s">
        <v>229</v>
      </c>
      <c r="I278" s="21" t="s">
        <v>70</v>
      </c>
      <c r="J278" s="22" t="s">
        <v>1600</v>
      </c>
      <c r="K278" s="23">
        <v>12.0</v>
      </c>
      <c r="L278" s="24">
        <v>31.0</v>
      </c>
      <c r="M278" s="24" t="str">
        <f>IFERROR(VLOOKUP(D278,'Chủ đề bài nguồn'!$A$2:$C$735,3,0),"Khác")</f>
        <v>Thuế</v>
      </c>
      <c r="N278" s="24"/>
    </row>
    <row r="279">
      <c r="A279" s="15">
        <v>277.0</v>
      </c>
      <c r="B279" s="16" t="s">
        <v>474</v>
      </c>
      <c r="C279" s="18" t="s">
        <v>1395</v>
      </c>
      <c r="D279" s="16" t="s">
        <v>1438</v>
      </c>
      <c r="E279" s="16" t="s">
        <v>1602</v>
      </c>
      <c r="F279" s="16" t="s">
        <v>1603</v>
      </c>
      <c r="G279" s="16" t="s">
        <v>1604</v>
      </c>
      <c r="H279" s="20" t="s">
        <v>229</v>
      </c>
      <c r="I279" s="21" t="s">
        <v>70</v>
      </c>
      <c r="J279" s="22" t="s">
        <v>1073</v>
      </c>
      <c r="K279" s="23">
        <v>12.0</v>
      </c>
      <c r="L279" s="24">
        <v>31.0</v>
      </c>
      <c r="M279" s="24" t="str">
        <f>IFERROR(VLOOKUP(D279,'Chủ đề bài nguồn'!$A$2:$C$735,3,0),"Khác")</f>
        <v>Quản lý tài chính cá nhân</v>
      </c>
      <c r="N279" s="24"/>
    </row>
    <row r="280">
      <c r="A280" s="15">
        <v>278.0</v>
      </c>
      <c r="B280" s="16" t="s">
        <v>474</v>
      </c>
      <c r="C280" s="18" t="s">
        <v>1395</v>
      </c>
      <c r="D280" s="16" t="s">
        <v>656</v>
      </c>
      <c r="E280" s="16" t="s">
        <v>1605</v>
      </c>
      <c r="F280" s="16" t="s">
        <v>1606</v>
      </c>
      <c r="G280" s="16" t="s">
        <v>1607</v>
      </c>
      <c r="H280" s="20" t="s">
        <v>229</v>
      </c>
      <c r="I280" s="21" t="s">
        <v>70</v>
      </c>
      <c r="J280" s="22" t="s">
        <v>71</v>
      </c>
      <c r="K280" s="23">
        <v>12.0</v>
      </c>
      <c r="L280" s="24">
        <v>31.0</v>
      </c>
      <c r="M280" s="24" t="str">
        <f>IFERROR(VLOOKUP(D280,'Chủ đề bài nguồn'!$A$2:$C$735,3,0),"Khác")</f>
        <v>Thuế</v>
      </c>
      <c r="N280" s="24"/>
    </row>
    <row r="281">
      <c r="A281" s="15">
        <v>279.0</v>
      </c>
      <c r="B281" s="16" t="s">
        <v>474</v>
      </c>
      <c r="C281" s="18" t="s">
        <v>1395</v>
      </c>
      <c r="D281" s="16" t="s">
        <v>1608</v>
      </c>
      <c r="E281" s="16" t="s">
        <v>1609</v>
      </c>
      <c r="F281" s="16" t="s">
        <v>1610</v>
      </c>
      <c r="G281" s="16" t="s">
        <v>1611</v>
      </c>
      <c r="H281" s="20" t="s">
        <v>229</v>
      </c>
      <c r="I281" s="21" t="s">
        <v>70</v>
      </c>
      <c r="J281" s="22" t="s">
        <v>71</v>
      </c>
      <c r="K281" s="23">
        <v>12.0</v>
      </c>
      <c r="L281" s="24">
        <v>31.0</v>
      </c>
      <c r="M281" s="24" t="str">
        <f>IFERROR(VLOOKUP(D281,'Chủ đề bài nguồn'!$A$2:$C$735,3,0),"Khác")</f>
        <v>Vay tiêu dùng &amp; tín chấp</v>
      </c>
      <c r="N281" s="24"/>
    </row>
    <row r="282">
      <c r="A282" s="15">
        <v>280.0</v>
      </c>
      <c r="B282" s="16" t="s">
        <v>474</v>
      </c>
      <c r="C282" s="18" t="s">
        <v>1395</v>
      </c>
      <c r="D282" s="16" t="s">
        <v>604</v>
      </c>
      <c r="E282" s="16" t="s">
        <v>1612</v>
      </c>
      <c r="F282" s="16" t="s">
        <v>1613</v>
      </c>
      <c r="G282" s="16" t="s">
        <v>1614</v>
      </c>
      <c r="H282" s="20" t="s">
        <v>229</v>
      </c>
      <c r="I282" s="21" t="s">
        <v>70</v>
      </c>
      <c r="J282" s="22" t="s">
        <v>1538</v>
      </c>
      <c r="K282" s="23">
        <v>12.0</v>
      </c>
      <c r="L282" s="24">
        <v>31.0</v>
      </c>
      <c r="M282" s="24" t="str">
        <f>IFERROR(VLOOKUP(D282,'Chủ đề bài nguồn'!$A$2:$C$735,3,0),"Khác")</f>
        <v>Thuế</v>
      </c>
      <c r="N282" s="24"/>
    </row>
    <row r="283">
      <c r="A283" s="15">
        <v>281.0</v>
      </c>
      <c r="B283" s="39" t="s">
        <v>474</v>
      </c>
      <c r="C283" s="18" t="s">
        <v>1395</v>
      </c>
      <c r="D283" s="39" t="s">
        <v>427</v>
      </c>
      <c r="E283" s="16" t="s">
        <v>710</v>
      </c>
      <c r="F283" s="16" t="s">
        <v>1615</v>
      </c>
      <c r="G283" s="16" t="s">
        <v>1616</v>
      </c>
      <c r="H283" s="20" t="s">
        <v>229</v>
      </c>
      <c r="I283" s="21" t="s">
        <v>70</v>
      </c>
      <c r="J283" s="22" t="s">
        <v>71</v>
      </c>
      <c r="K283" s="23">
        <v>12.0</v>
      </c>
      <c r="L283" s="24">
        <v>31.0</v>
      </c>
      <c r="M283" s="24" t="str">
        <f>IFERROR(VLOOKUP(D283,'Chủ đề bài nguồn'!$A$2:$C$735,3,0),"Khác")</f>
        <v>Thuế</v>
      </c>
      <c r="N283" s="24"/>
    </row>
    <row r="284">
      <c r="A284" s="15">
        <v>282.0</v>
      </c>
      <c r="B284" s="39" t="s">
        <v>474</v>
      </c>
      <c r="C284" s="18" t="s">
        <v>1395</v>
      </c>
      <c r="D284" s="39" t="s">
        <v>753</v>
      </c>
      <c r="E284" s="16" t="s">
        <v>1617</v>
      </c>
      <c r="F284" s="16" t="s">
        <v>1618</v>
      </c>
      <c r="G284" s="16" t="s">
        <v>1619</v>
      </c>
      <c r="H284" s="20" t="s">
        <v>229</v>
      </c>
      <c r="I284" s="21" t="s">
        <v>70</v>
      </c>
      <c r="J284" s="22" t="s">
        <v>71</v>
      </c>
      <c r="K284" s="23">
        <v>12.0</v>
      </c>
      <c r="L284" s="24">
        <v>31.0</v>
      </c>
      <c r="M284" s="24" t="str">
        <f>IFERROR(VLOOKUP(D284,'Chủ đề bài nguồn'!$A$2:$C$735,3,0),"Khác")</f>
        <v>Thuế</v>
      </c>
      <c r="N284" s="24"/>
    </row>
    <row r="285">
      <c r="A285" s="15">
        <v>283.0</v>
      </c>
      <c r="B285" s="16" t="s">
        <v>474</v>
      </c>
      <c r="C285" s="18" t="s">
        <v>1622</v>
      </c>
      <c r="D285" s="16" t="s">
        <v>584</v>
      </c>
      <c r="E285" s="16" t="s">
        <v>592</v>
      </c>
      <c r="F285" s="16" t="s">
        <v>593</v>
      </c>
      <c r="G285" s="16" t="s">
        <v>1623</v>
      </c>
      <c r="H285" s="20" t="s">
        <v>229</v>
      </c>
      <c r="I285" s="21" t="s">
        <v>70</v>
      </c>
      <c r="J285" s="22" t="s">
        <v>71</v>
      </c>
      <c r="K285" s="23">
        <v>12.0</v>
      </c>
      <c r="L285" s="24">
        <v>31.0</v>
      </c>
      <c r="M285" s="24" t="str">
        <f>IFERROR(VLOOKUP(D285,'Chủ đề bài nguồn'!$A$2:$C$735,3,0),"Khác")</f>
        <v>Hộ kinh doanh &amp; bán hàng</v>
      </c>
      <c r="N285" s="24"/>
    </row>
    <row r="286">
      <c r="A286" s="15">
        <v>284.0</v>
      </c>
      <c r="B286" s="16" t="s">
        <v>792</v>
      </c>
      <c r="C286" s="18" t="s">
        <v>1624</v>
      </c>
      <c r="D286" s="16" t="s">
        <v>1625</v>
      </c>
      <c r="E286" s="16" t="s">
        <v>1626</v>
      </c>
      <c r="F286" s="16" t="s">
        <v>1627</v>
      </c>
      <c r="G286" s="16" t="s">
        <v>1628</v>
      </c>
      <c r="H286" s="20" t="s">
        <v>69</v>
      </c>
      <c r="I286" s="21" t="s">
        <v>70</v>
      </c>
      <c r="J286" s="22" t="s">
        <v>71</v>
      </c>
      <c r="K286" s="23">
        <v>13.0</v>
      </c>
      <c r="L286" s="24">
        <v>11.0</v>
      </c>
      <c r="M286" s="24" t="str">
        <f>IFERROR(VLOOKUP(D286,'Chủ đề bài nguồn'!$A$2:$C$735,3,0),"Khác")</f>
        <v>Tài khoản &amp; ngân hàng số</v>
      </c>
      <c r="N286" s="24"/>
    </row>
    <row r="287">
      <c r="A287" s="15">
        <v>285.0</v>
      </c>
      <c r="B287" s="16" t="s">
        <v>792</v>
      </c>
      <c r="C287" s="18" t="s">
        <v>1624</v>
      </c>
      <c r="D287" s="16" t="s">
        <v>1629</v>
      </c>
      <c r="E287" s="16" t="s">
        <v>1630</v>
      </c>
      <c r="F287" s="16" t="s">
        <v>1631</v>
      </c>
      <c r="G287" s="16" t="s">
        <v>1632</v>
      </c>
      <c r="H287" s="20" t="s">
        <v>155</v>
      </c>
      <c r="I287" s="21" t="s">
        <v>70</v>
      </c>
      <c r="J287" s="22" t="s">
        <v>71</v>
      </c>
      <c r="K287" s="23">
        <v>13.0</v>
      </c>
      <c r="L287" s="24">
        <v>21.0</v>
      </c>
      <c r="M287" s="24" t="str">
        <f>IFERROR(VLOOKUP(D287,'Chủ đề bài nguồn'!$A$2:$C$735,3,0),"Khác")</f>
        <v>Tài khoản &amp; ngân hàng số</v>
      </c>
      <c r="N287" s="24"/>
    </row>
    <row r="288">
      <c r="A288" s="15">
        <v>286.0</v>
      </c>
      <c r="B288" s="16" t="s">
        <v>792</v>
      </c>
      <c r="C288" s="18" t="s">
        <v>1624</v>
      </c>
      <c r="D288" s="16" t="s">
        <v>1633</v>
      </c>
      <c r="E288" s="16" t="s">
        <v>1634</v>
      </c>
      <c r="F288" s="16" t="s">
        <v>1635</v>
      </c>
      <c r="G288" s="16" t="s">
        <v>1636</v>
      </c>
      <c r="H288" s="20" t="s">
        <v>155</v>
      </c>
      <c r="I288" s="21" t="s">
        <v>70</v>
      </c>
      <c r="J288" s="22" t="s">
        <v>539</v>
      </c>
      <c r="K288" s="23">
        <v>13.0</v>
      </c>
      <c r="L288" s="24">
        <v>21.0</v>
      </c>
      <c r="M288" s="24" t="str">
        <f>IFERROR(VLOOKUP(D288,'Chủ đề bài nguồn'!$A$2:$C$735,3,0),"Khác")</f>
        <v>Thẻ ATM &amp; thẻ ghi nợ</v>
      </c>
      <c r="N288" s="24"/>
    </row>
    <row r="289">
      <c r="A289" s="15">
        <v>287.0</v>
      </c>
      <c r="B289" s="16" t="s">
        <v>792</v>
      </c>
      <c r="C289" s="18" t="s">
        <v>1624</v>
      </c>
      <c r="D289" s="16" t="s">
        <v>1637</v>
      </c>
      <c r="E289" s="16" t="s">
        <v>1638</v>
      </c>
      <c r="F289" s="16" t="s">
        <v>1640</v>
      </c>
      <c r="G289" s="16" t="s">
        <v>1641</v>
      </c>
      <c r="H289" s="20" t="s">
        <v>155</v>
      </c>
      <c r="I289" s="21" t="s">
        <v>70</v>
      </c>
      <c r="J289" s="22" t="s">
        <v>71</v>
      </c>
      <c r="K289" s="23">
        <v>13.0</v>
      </c>
      <c r="L289" s="24">
        <v>21.0</v>
      </c>
      <c r="M289" s="24" t="str">
        <f>IFERROR(VLOOKUP(D289,'Chủ đề bài nguồn'!$A$2:$C$735,3,0),"Khác")</f>
        <v>Tài khoản &amp; ngân hàng số</v>
      </c>
      <c r="N289" s="24"/>
    </row>
    <row r="290">
      <c r="A290" s="15">
        <v>288.0</v>
      </c>
      <c r="B290" s="16" t="s">
        <v>792</v>
      </c>
      <c r="C290" s="18" t="s">
        <v>1624</v>
      </c>
      <c r="D290" s="16" t="s">
        <v>1642</v>
      </c>
      <c r="E290" s="16" t="s">
        <v>1643</v>
      </c>
      <c r="F290" s="16" t="s">
        <v>1644</v>
      </c>
      <c r="G290" s="16" t="s">
        <v>1645</v>
      </c>
      <c r="H290" s="20" t="s">
        <v>155</v>
      </c>
      <c r="I290" s="21" t="s">
        <v>70</v>
      </c>
      <c r="J290" s="22" t="s">
        <v>71</v>
      </c>
      <c r="K290" s="23">
        <v>13.0</v>
      </c>
      <c r="L290" s="24">
        <v>21.0</v>
      </c>
      <c r="M290" s="24" t="str">
        <f>IFERROR(VLOOKUP(D290,'Chủ đề bài nguồn'!$A$2:$C$735,3,0),"Khác")</f>
        <v>Thẻ ATM &amp; thẻ ghi nợ</v>
      </c>
      <c r="N290" s="24"/>
    </row>
    <row r="291">
      <c r="A291" s="15">
        <v>289.0</v>
      </c>
      <c r="B291" s="16" t="s">
        <v>792</v>
      </c>
      <c r="C291" s="18" t="s">
        <v>1624</v>
      </c>
      <c r="D291" s="16" t="s">
        <v>349</v>
      </c>
      <c r="E291" s="16" t="s">
        <v>1646</v>
      </c>
      <c r="F291" s="16" t="s">
        <v>1647</v>
      </c>
      <c r="G291" s="16" t="s">
        <v>1648</v>
      </c>
      <c r="H291" s="20" t="s">
        <v>155</v>
      </c>
      <c r="I291" s="21" t="s">
        <v>70</v>
      </c>
      <c r="J291" s="22" t="s">
        <v>71</v>
      </c>
      <c r="K291" s="23">
        <v>13.0</v>
      </c>
      <c r="L291" s="24">
        <v>21.0</v>
      </c>
      <c r="M291" s="24" t="str">
        <f>IFERROR(VLOOKUP(D291,'Chủ đề bài nguồn'!$A$2:$C$735,3,0),"Khác")</f>
        <v>Tài khoản &amp; ngân hàng số</v>
      </c>
      <c r="N291" s="24"/>
    </row>
    <row r="292">
      <c r="A292" s="15">
        <v>290.0</v>
      </c>
      <c r="B292" s="16" t="s">
        <v>792</v>
      </c>
      <c r="C292" s="18" t="s">
        <v>1649</v>
      </c>
      <c r="D292" s="16" t="s">
        <v>1650</v>
      </c>
      <c r="E292" s="16" t="s">
        <v>1651</v>
      </c>
      <c r="F292" s="16" t="s">
        <v>1652</v>
      </c>
      <c r="G292" s="16" t="s">
        <v>1653</v>
      </c>
      <c r="H292" s="20" t="s">
        <v>155</v>
      </c>
      <c r="I292" s="21" t="s">
        <v>70</v>
      </c>
      <c r="J292" s="22" t="s">
        <v>71</v>
      </c>
      <c r="K292" s="23">
        <v>13.0</v>
      </c>
      <c r="L292" s="24">
        <v>21.0</v>
      </c>
      <c r="M292" s="24" t="str">
        <f>IFERROR(VLOOKUP(D292,'Chủ đề bài nguồn'!$A$2:$C$735,3,0),"Khác")</f>
        <v>Tài khoản &amp; ngân hàng số</v>
      </c>
      <c r="N292" s="24"/>
    </row>
    <row r="293">
      <c r="A293" s="15">
        <v>291.0</v>
      </c>
      <c r="B293" s="16" t="s">
        <v>792</v>
      </c>
      <c r="C293" s="18" t="s">
        <v>1649</v>
      </c>
      <c r="D293" s="16" t="s">
        <v>1040</v>
      </c>
      <c r="E293" s="16" t="s">
        <v>1655</v>
      </c>
      <c r="F293" s="16" t="s">
        <v>1656</v>
      </c>
      <c r="G293" s="16" t="s">
        <v>1657</v>
      </c>
      <c r="H293" s="20" t="s">
        <v>155</v>
      </c>
      <c r="I293" s="21" t="s">
        <v>70</v>
      </c>
      <c r="J293" s="22" t="s">
        <v>71</v>
      </c>
      <c r="K293" s="23">
        <v>13.0</v>
      </c>
      <c r="L293" s="24">
        <v>21.0</v>
      </c>
      <c r="M293" s="24" t="str">
        <f>IFERROR(VLOOKUP(D293,'Chủ đề bài nguồn'!$A$2:$C$735,3,0),"Khác")</f>
        <v>Doanh nghiệp (tài khoản, vay, tài chính)</v>
      </c>
      <c r="N293" s="24"/>
    </row>
    <row r="294">
      <c r="A294" s="15">
        <v>292.0</v>
      </c>
      <c r="B294" s="16" t="s">
        <v>792</v>
      </c>
      <c r="C294" s="18" t="s">
        <v>1649</v>
      </c>
      <c r="D294" s="16" t="s">
        <v>1659</v>
      </c>
      <c r="E294" s="16" t="s">
        <v>1660</v>
      </c>
      <c r="F294" s="16" t="s">
        <v>1652</v>
      </c>
      <c r="G294" s="16" t="s">
        <v>1653</v>
      </c>
      <c r="H294" s="20" t="s">
        <v>155</v>
      </c>
      <c r="I294" s="21" t="s">
        <v>70</v>
      </c>
      <c r="J294" s="22" t="s">
        <v>71</v>
      </c>
      <c r="K294" s="23">
        <v>13.0</v>
      </c>
      <c r="L294" s="24">
        <v>21.0</v>
      </c>
      <c r="M294" s="24" t="str">
        <f>IFERROR(VLOOKUP(D294,'Chủ đề bài nguồn'!$A$2:$C$735,3,0),"Khác")</f>
        <v>Tài khoản &amp; ngân hàng số</v>
      </c>
      <c r="N294" s="24"/>
    </row>
    <row r="295">
      <c r="A295" s="15">
        <v>293.0</v>
      </c>
      <c r="B295" s="16" t="s">
        <v>792</v>
      </c>
      <c r="C295" s="18" t="s">
        <v>1649</v>
      </c>
      <c r="D295" s="16" t="s">
        <v>1382</v>
      </c>
      <c r="E295" s="16" t="s">
        <v>1383</v>
      </c>
      <c r="F295" s="16" t="s">
        <v>1661</v>
      </c>
      <c r="G295" s="16" t="s">
        <v>1662</v>
      </c>
      <c r="H295" s="20" t="s">
        <v>155</v>
      </c>
      <c r="I295" s="21" t="s">
        <v>70</v>
      </c>
      <c r="J295" s="22" t="s">
        <v>71</v>
      </c>
      <c r="K295" s="23">
        <v>13.0</v>
      </c>
      <c r="L295" s="24">
        <v>21.0</v>
      </c>
      <c r="M295" s="24" t="str">
        <f>IFERROR(VLOOKUP(D295,'Chủ đề bài nguồn'!$A$2:$C$735,3,0),"Khác")</f>
        <v>Tài khoản &amp; ngân hàng số</v>
      </c>
      <c r="N295" s="24"/>
    </row>
    <row r="296">
      <c r="A296" s="15">
        <v>294.0</v>
      </c>
      <c r="B296" s="16" t="s">
        <v>792</v>
      </c>
      <c r="C296" s="18" t="s">
        <v>1649</v>
      </c>
      <c r="D296" s="16" t="s">
        <v>1369</v>
      </c>
      <c r="E296" s="16" t="s">
        <v>1663</v>
      </c>
      <c r="F296" s="16" t="s">
        <v>1664</v>
      </c>
      <c r="G296" s="16" t="s">
        <v>1665</v>
      </c>
      <c r="H296" s="20" t="s">
        <v>155</v>
      </c>
      <c r="I296" s="21" t="s">
        <v>70</v>
      </c>
      <c r="J296" s="22" t="s">
        <v>71</v>
      </c>
      <c r="K296" s="23">
        <v>13.0</v>
      </c>
      <c r="L296" s="24">
        <v>21.0</v>
      </c>
      <c r="M296" s="24" t="str">
        <f>IFERROR(VLOOKUP(D296,'Chủ đề bài nguồn'!$A$2:$C$735,3,0),"Khác")</f>
        <v>Thanh toán, chuyển khoản &amp; QR</v>
      </c>
      <c r="N296" s="24"/>
    </row>
    <row r="297">
      <c r="A297" s="15">
        <v>295.0</v>
      </c>
      <c r="B297" s="16" t="s">
        <v>792</v>
      </c>
      <c r="C297" s="18" t="s">
        <v>1649</v>
      </c>
      <c r="D297" s="16" t="s">
        <v>376</v>
      </c>
      <c r="E297" s="16" t="s">
        <v>1667</v>
      </c>
      <c r="F297" s="16" t="s">
        <v>1668</v>
      </c>
      <c r="G297" s="16" t="s">
        <v>1669</v>
      </c>
      <c r="H297" s="20" t="s">
        <v>155</v>
      </c>
      <c r="I297" s="21" t="s">
        <v>70</v>
      </c>
      <c r="J297" s="22" t="s">
        <v>71</v>
      </c>
      <c r="K297" s="23">
        <v>13.0</v>
      </c>
      <c r="L297" s="24">
        <v>21.0</v>
      </c>
      <c r="M297" s="24" t="str">
        <f>IFERROR(VLOOKUP(D297,'Chủ đề bài nguồn'!$A$2:$C$735,3,0),"Khác")</f>
        <v>Thanh toán, chuyển khoản &amp; QR</v>
      </c>
      <c r="N297" s="24"/>
    </row>
    <row r="298">
      <c r="A298" s="15">
        <v>296.0</v>
      </c>
      <c r="B298" s="16" t="s">
        <v>792</v>
      </c>
      <c r="C298" s="18" t="s">
        <v>1649</v>
      </c>
      <c r="D298" s="16" t="s">
        <v>1670</v>
      </c>
      <c r="E298" s="16" t="s">
        <v>1671</v>
      </c>
      <c r="F298" s="16" t="s">
        <v>1672</v>
      </c>
      <c r="G298" s="16" t="s">
        <v>1673</v>
      </c>
      <c r="H298" s="20" t="s">
        <v>155</v>
      </c>
      <c r="I298" s="21" t="s">
        <v>70</v>
      </c>
      <c r="J298" s="22" t="s">
        <v>71</v>
      </c>
      <c r="K298" s="23">
        <v>13.0</v>
      </c>
      <c r="L298" s="24">
        <v>21.0</v>
      </c>
      <c r="M298" s="24" t="str">
        <f>IFERROR(VLOOKUP(D298,'Chủ đề bài nguồn'!$A$2:$C$735,3,0),"Khác")</f>
        <v>Thanh toán, chuyển khoản &amp; QR</v>
      </c>
      <c r="N298" s="24"/>
    </row>
    <row r="299">
      <c r="A299" s="15">
        <v>297.0</v>
      </c>
      <c r="B299" s="16" t="s">
        <v>792</v>
      </c>
      <c r="C299" s="18" t="s">
        <v>1624</v>
      </c>
      <c r="D299" s="16" t="s">
        <v>1675</v>
      </c>
      <c r="E299" s="16" t="s">
        <v>1676</v>
      </c>
      <c r="F299" s="16" t="s">
        <v>1677</v>
      </c>
      <c r="G299" s="16" t="s">
        <v>1678</v>
      </c>
      <c r="H299" s="20" t="s">
        <v>229</v>
      </c>
      <c r="I299" s="21" t="s">
        <v>70</v>
      </c>
      <c r="J299" s="22" t="s">
        <v>71</v>
      </c>
      <c r="K299" s="23">
        <v>13.0</v>
      </c>
      <c r="L299" s="24">
        <v>31.0</v>
      </c>
      <c r="M299" s="24" t="str">
        <f>IFERROR(VLOOKUP(D299,'Chủ đề bài nguồn'!$A$2:$C$735,3,0),"Khác")</f>
        <v>Tài khoản &amp; ngân hàng số</v>
      </c>
      <c r="N299" s="24"/>
    </row>
    <row r="300">
      <c r="A300" s="15">
        <v>298.0</v>
      </c>
      <c r="B300" s="16" t="s">
        <v>792</v>
      </c>
      <c r="C300" s="18" t="s">
        <v>1624</v>
      </c>
      <c r="D300" s="16" t="s">
        <v>1053</v>
      </c>
      <c r="E300" s="16" t="s">
        <v>1680</v>
      </c>
      <c r="F300" s="16" t="s">
        <v>1681</v>
      </c>
      <c r="G300" s="16" t="s">
        <v>1682</v>
      </c>
      <c r="H300" s="20" t="s">
        <v>229</v>
      </c>
      <c r="I300" s="21" t="s">
        <v>70</v>
      </c>
      <c r="J300" s="22" t="s">
        <v>1073</v>
      </c>
      <c r="K300" s="23">
        <v>13.0</v>
      </c>
      <c r="L300" s="24">
        <v>31.0</v>
      </c>
      <c r="M300" s="24" t="str">
        <f>IFERROR(VLOOKUP(D300,'Chủ đề bài nguồn'!$A$2:$C$735,3,0),"Khác")</f>
        <v>Ưu đãi, du lịch &amp; đời sống</v>
      </c>
      <c r="N300" s="24"/>
    </row>
    <row r="301">
      <c r="A301" s="15">
        <v>299.0</v>
      </c>
      <c r="B301" s="16" t="s">
        <v>792</v>
      </c>
      <c r="C301" s="18" t="s">
        <v>1624</v>
      </c>
      <c r="D301" s="16" t="s">
        <v>864</v>
      </c>
      <c r="E301" s="16" t="s">
        <v>1683</v>
      </c>
      <c r="F301" s="16" t="s">
        <v>1684</v>
      </c>
      <c r="G301" s="16" t="s">
        <v>1685</v>
      </c>
      <c r="H301" s="20" t="s">
        <v>229</v>
      </c>
      <c r="I301" s="21" t="s">
        <v>70</v>
      </c>
      <c r="J301" s="22" t="s">
        <v>71</v>
      </c>
      <c r="K301" s="23">
        <v>13.0</v>
      </c>
      <c r="L301" s="24">
        <v>31.0</v>
      </c>
      <c r="M301" s="24" t="str">
        <f>IFERROR(VLOOKUP(D301,'Chủ đề bài nguồn'!$A$2:$C$735,3,0),"Khác")</f>
        <v>Ưu đãi, du lịch &amp; đời sống</v>
      </c>
      <c r="N301" s="24"/>
    </row>
    <row r="302">
      <c r="A302" s="15">
        <v>300.0</v>
      </c>
      <c r="B302" s="16" t="s">
        <v>792</v>
      </c>
      <c r="C302" s="18" t="s">
        <v>1624</v>
      </c>
      <c r="D302" s="16" t="s">
        <v>1008</v>
      </c>
      <c r="E302" s="16" t="s">
        <v>1687</v>
      </c>
      <c r="F302" s="16" t="s">
        <v>1681</v>
      </c>
      <c r="G302" s="16" t="s">
        <v>1682</v>
      </c>
      <c r="H302" s="20" t="s">
        <v>229</v>
      </c>
      <c r="I302" s="21" t="s">
        <v>70</v>
      </c>
      <c r="J302" s="22" t="s">
        <v>1073</v>
      </c>
      <c r="K302" s="23">
        <v>13.0</v>
      </c>
      <c r="L302" s="24">
        <v>31.0</v>
      </c>
      <c r="M302" s="24" t="str">
        <f>IFERROR(VLOOKUP(D302,'Chủ đề bài nguồn'!$A$2:$C$735,3,0),"Khác")</f>
        <v>Tài khoản &amp; ngân hàng số</v>
      </c>
      <c r="N302" s="24"/>
    </row>
    <row r="303">
      <c r="A303" s="15">
        <v>301.0</v>
      </c>
      <c r="B303" s="16" t="s">
        <v>792</v>
      </c>
      <c r="C303" s="18" t="s">
        <v>1624</v>
      </c>
      <c r="D303" s="16" t="s">
        <v>1689</v>
      </c>
      <c r="E303" s="16" t="s">
        <v>1687</v>
      </c>
      <c r="F303" s="16" t="s">
        <v>1690</v>
      </c>
      <c r="G303" s="16" t="s">
        <v>1691</v>
      </c>
      <c r="H303" s="20" t="s">
        <v>229</v>
      </c>
      <c r="I303" s="21" t="s">
        <v>70</v>
      </c>
      <c r="J303" s="22" t="s">
        <v>994</v>
      </c>
      <c r="K303" s="23">
        <v>13.0</v>
      </c>
      <c r="L303" s="24">
        <v>31.0</v>
      </c>
      <c r="M303" s="24" t="str">
        <f>IFERROR(VLOOKUP(D303,'Chủ đề bài nguồn'!$A$2:$C$735,3,0),"Khác")</f>
        <v>Ưu đãi, du lịch &amp; đời sống</v>
      </c>
      <c r="N303" s="24"/>
    </row>
    <row r="304">
      <c r="A304" s="15">
        <v>302.0</v>
      </c>
      <c r="B304" s="16" t="s">
        <v>792</v>
      </c>
      <c r="C304" s="18" t="s">
        <v>1624</v>
      </c>
      <c r="D304" s="16" t="s">
        <v>1692</v>
      </c>
      <c r="E304" s="16" t="s">
        <v>1693</v>
      </c>
      <c r="F304" s="16" t="s">
        <v>1694</v>
      </c>
      <c r="G304" s="16" t="s">
        <v>1695</v>
      </c>
      <c r="H304" s="20" t="s">
        <v>229</v>
      </c>
      <c r="I304" s="21" t="s">
        <v>70</v>
      </c>
      <c r="J304" s="22" t="s">
        <v>71</v>
      </c>
      <c r="K304" s="23">
        <v>13.0</v>
      </c>
      <c r="L304" s="24">
        <v>31.0</v>
      </c>
      <c r="M304" s="24" t="str">
        <f>IFERROR(VLOOKUP(D304,'Chủ đề bài nguồn'!$A$2:$C$735,3,0),"Khác")</f>
        <v>Ưu đãi, du lịch &amp; đời sống</v>
      </c>
      <c r="N304" s="24"/>
    </row>
    <row r="305">
      <c r="A305" s="15">
        <v>303.0</v>
      </c>
      <c r="B305" s="16" t="s">
        <v>792</v>
      </c>
      <c r="C305" s="18" t="s">
        <v>1624</v>
      </c>
      <c r="D305" s="16" t="s">
        <v>1084</v>
      </c>
      <c r="E305" s="16" t="s">
        <v>1687</v>
      </c>
      <c r="F305" s="16" t="s">
        <v>1681</v>
      </c>
      <c r="G305" s="16" t="s">
        <v>1682</v>
      </c>
      <c r="H305" s="20" t="s">
        <v>229</v>
      </c>
      <c r="I305" s="21" t="s">
        <v>70</v>
      </c>
      <c r="J305" s="22" t="s">
        <v>1073</v>
      </c>
      <c r="K305" s="23">
        <v>13.0</v>
      </c>
      <c r="L305" s="24">
        <v>31.0</v>
      </c>
      <c r="M305" s="24" t="str">
        <f>IFERROR(VLOOKUP(D305,'Chủ đề bài nguồn'!$A$2:$C$735,3,0),"Khác")</f>
        <v>Tài khoản &amp; ngân hàng số</v>
      </c>
      <c r="N305" s="24"/>
    </row>
    <row r="306">
      <c r="A306" s="15">
        <v>304.0</v>
      </c>
      <c r="B306" s="16" t="s">
        <v>792</v>
      </c>
      <c r="C306" s="18" t="s">
        <v>1624</v>
      </c>
      <c r="D306" s="16" t="s">
        <v>1700</v>
      </c>
      <c r="E306" s="16" t="s">
        <v>1687</v>
      </c>
      <c r="F306" s="16" t="s">
        <v>1701</v>
      </c>
      <c r="G306" s="16" t="s">
        <v>1702</v>
      </c>
      <c r="H306" s="20" t="s">
        <v>229</v>
      </c>
      <c r="I306" s="21" t="s">
        <v>70</v>
      </c>
      <c r="J306" s="22" t="s">
        <v>71</v>
      </c>
      <c r="K306" s="23">
        <v>13.0</v>
      </c>
      <c r="L306" s="24">
        <v>31.0</v>
      </c>
      <c r="M306" s="24" t="str">
        <f>IFERROR(VLOOKUP(D306,'Chủ đề bài nguồn'!$A$2:$C$735,3,0),"Khác")</f>
        <v>Tài khoản &amp; ngân hàng số</v>
      </c>
      <c r="N306" s="24"/>
    </row>
    <row r="307">
      <c r="A307" s="15">
        <v>305.0</v>
      </c>
      <c r="B307" s="16" t="s">
        <v>792</v>
      </c>
      <c r="C307" s="18" t="s">
        <v>1624</v>
      </c>
      <c r="D307" s="16" t="s">
        <v>1621</v>
      </c>
      <c r="E307" s="16" t="s">
        <v>1703</v>
      </c>
      <c r="F307" s="16" t="s">
        <v>1704</v>
      </c>
      <c r="G307" s="16" t="s">
        <v>1705</v>
      </c>
      <c r="H307" s="20" t="s">
        <v>229</v>
      </c>
      <c r="I307" s="21" t="s">
        <v>70</v>
      </c>
      <c r="J307" s="22" t="s">
        <v>71</v>
      </c>
      <c r="K307" s="23">
        <v>13.0</v>
      </c>
      <c r="L307" s="24">
        <v>31.0</v>
      </c>
      <c r="M307" s="24" t="str">
        <f>IFERROR(VLOOKUP(D307,'Chủ đề bài nguồn'!$A$2:$C$735,3,0),"Khác")</f>
        <v>Thanh toán, chuyển khoản &amp; QR</v>
      </c>
      <c r="N307" s="24"/>
    </row>
    <row r="308">
      <c r="A308" s="15">
        <v>306.0</v>
      </c>
      <c r="B308" s="16" t="s">
        <v>792</v>
      </c>
      <c r="C308" s="18" t="s">
        <v>1624</v>
      </c>
      <c r="D308" s="16" t="s">
        <v>840</v>
      </c>
      <c r="E308" s="16" t="s">
        <v>1708</v>
      </c>
      <c r="F308" s="16" t="s">
        <v>1709</v>
      </c>
      <c r="G308" s="16" t="s">
        <v>1710</v>
      </c>
      <c r="H308" s="20" t="s">
        <v>229</v>
      </c>
      <c r="I308" s="21" t="s">
        <v>70</v>
      </c>
      <c r="J308" s="22" t="s">
        <v>71</v>
      </c>
      <c r="K308" s="23">
        <v>13.0</v>
      </c>
      <c r="L308" s="24">
        <v>31.0</v>
      </c>
      <c r="M308" s="24" t="str">
        <f>IFERROR(VLOOKUP(D308,'Chủ đề bài nguồn'!$A$2:$C$735,3,0),"Khác")</f>
        <v>Tài khoản &amp; ngân hàng số</v>
      </c>
      <c r="N308" s="24"/>
    </row>
    <row r="309">
      <c r="A309" s="15">
        <v>307.0</v>
      </c>
      <c r="B309" s="16" t="s">
        <v>792</v>
      </c>
      <c r="C309" s="18" t="s">
        <v>1624</v>
      </c>
      <c r="D309" s="16" t="s">
        <v>1696</v>
      </c>
      <c r="E309" s="16" t="s">
        <v>1712</v>
      </c>
      <c r="F309" s="16" t="s">
        <v>1713</v>
      </c>
      <c r="G309" s="16" t="s">
        <v>1714</v>
      </c>
      <c r="H309" s="20" t="s">
        <v>229</v>
      </c>
      <c r="I309" s="21" t="s">
        <v>70</v>
      </c>
      <c r="J309" s="22" t="s">
        <v>483</v>
      </c>
      <c r="K309" s="23">
        <v>13.0</v>
      </c>
      <c r="L309" s="24">
        <v>31.0</v>
      </c>
      <c r="M309" s="24" t="str">
        <f>IFERROR(VLOOKUP(D309,'Chủ đề bài nguồn'!$A$2:$C$735,3,0),"Khác")</f>
        <v>Tài khoản &amp; ngân hàng số</v>
      </c>
      <c r="N309" s="24"/>
    </row>
    <row r="310">
      <c r="A310" s="15">
        <v>308.0</v>
      </c>
      <c r="B310" s="16" t="s">
        <v>792</v>
      </c>
      <c r="C310" s="18" t="s">
        <v>1624</v>
      </c>
      <c r="D310" s="16" t="s">
        <v>1716</v>
      </c>
      <c r="E310" s="16" t="s">
        <v>1717</v>
      </c>
      <c r="F310" s="16" t="s">
        <v>1718</v>
      </c>
      <c r="G310" s="16" t="s">
        <v>1719</v>
      </c>
      <c r="H310" s="20" t="s">
        <v>229</v>
      </c>
      <c r="I310" s="21" t="s">
        <v>70</v>
      </c>
      <c r="J310" s="22" t="s">
        <v>71</v>
      </c>
      <c r="K310" s="23">
        <v>13.0</v>
      </c>
      <c r="L310" s="24">
        <v>31.0</v>
      </c>
      <c r="M310" s="24" t="str">
        <f>IFERROR(VLOOKUP(D310,'Chủ đề bài nguồn'!$A$2:$C$735,3,0),"Khác")</f>
        <v>Tài khoản &amp; ngân hàng số</v>
      </c>
      <c r="N310" s="24"/>
    </row>
    <row r="311">
      <c r="A311" s="15">
        <v>309.0</v>
      </c>
      <c r="B311" s="16" t="s">
        <v>792</v>
      </c>
      <c r="C311" s="18" t="s">
        <v>1624</v>
      </c>
      <c r="D311" s="16" t="s">
        <v>1721</v>
      </c>
      <c r="E311" s="16" t="s">
        <v>1722</v>
      </c>
      <c r="F311" s="16" t="s">
        <v>1724</v>
      </c>
      <c r="G311" s="16" t="s">
        <v>1725</v>
      </c>
      <c r="H311" s="20" t="s">
        <v>229</v>
      </c>
      <c r="I311" s="21" t="s">
        <v>70</v>
      </c>
      <c r="J311" s="22" t="s">
        <v>71</v>
      </c>
      <c r="K311" s="23">
        <v>13.0</v>
      </c>
      <c r="L311" s="24">
        <v>31.0</v>
      </c>
      <c r="M311" s="24" t="str">
        <f>IFERROR(VLOOKUP(D311,'Chủ đề bài nguồn'!$A$2:$C$735,3,0),"Khác")</f>
        <v>Tài khoản &amp; ngân hàng số</v>
      </c>
      <c r="N311" s="24"/>
    </row>
    <row r="312">
      <c r="A312" s="15">
        <v>310.0</v>
      </c>
      <c r="B312" s="16" t="s">
        <v>792</v>
      </c>
      <c r="C312" s="18" t="s">
        <v>1649</v>
      </c>
      <c r="D312" s="16" t="s">
        <v>1726</v>
      </c>
      <c r="E312" s="16" t="s">
        <v>1727</v>
      </c>
      <c r="F312" s="16" t="s">
        <v>1728</v>
      </c>
      <c r="G312" s="16" t="s">
        <v>1729</v>
      </c>
      <c r="H312" s="20" t="s">
        <v>229</v>
      </c>
      <c r="I312" s="21" t="s">
        <v>70</v>
      </c>
      <c r="J312" s="22" t="s">
        <v>71</v>
      </c>
      <c r="K312" s="23">
        <v>13.0</v>
      </c>
      <c r="L312" s="24">
        <v>31.0</v>
      </c>
      <c r="M312" s="24" t="str">
        <f>IFERROR(VLOOKUP(D312,'Chủ đề bài nguồn'!$A$2:$C$735,3,0),"Khác")</f>
        <v>Thanh toán, chuyển khoản &amp; QR</v>
      </c>
      <c r="N312" s="24"/>
    </row>
    <row r="313">
      <c r="A313" s="15">
        <v>311.0</v>
      </c>
      <c r="B313" s="16" t="s">
        <v>792</v>
      </c>
      <c r="C313" s="18" t="s">
        <v>1649</v>
      </c>
      <c r="D313" s="16" t="s">
        <v>1597</v>
      </c>
      <c r="E313" s="16" t="s">
        <v>1683</v>
      </c>
      <c r="F313" s="16" t="s">
        <v>1730</v>
      </c>
      <c r="G313" s="16" t="s">
        <v>1731</v>
      </c>
      <c r="H313" s="20" t="s">
        <v>229</v>
      </c>
      <c r="I313" s="21" t="s">
        <v>70</v>
      </c>
      <c r="J313" s="22" t="s">
        <v>1732</v>
      </c>
      <c r="K313" s="23">
        <v>13.0</v>
      </c>
      <c r="L313" s="24">
        <v>31.0</v>
      </c>
      <c r="M313" s="24" t="str">
        <f>IFERROR(VLOOKUP(D313,'Chủ đề bài nguồn'!$A$2:$C$735,3,0),"Khác")</f>
        <v>Ưu đãi, du lịch &amp; đời sống</v>
      </c>
      <c r="N313" s="24"/>
    </row>
    <row r="314">
      <c r="A314" s="15">
        <v>312.0</v>
      </c>
      <c r="B314" s="16" t="s">
        <v>799</v>
      </c>
      <c r="C314" s="18" t="s">
        <v>1733</v>
      </c>
      <c r="D314" s="16" t="s">
        <v>1716</v>
      </c>
      <c r="E314" s="16" t="s">
        <v>1735</v>
      </c>
      <c r="F314" s="16" t="s">
        <v>1736</v>
      </c>
      <c r="G314" s="16" t="s">
        <v>1737</v>
      </c>
      <c r="H314" s="20" t="s">
        <v>69</v>
      </c>
      <c r="I314" s="21" t="s">
        <v>70</v>
      </c>
      <c r="J314" s="22" t="s">
        <v>71</v>
      </c>
      <c r="K314" s="23">
        <v>14.0</v>
      </c>
      <c r="L314" s="24">
        <v>10.0</v>
      </c>
      <c r="M314" s="24" t="str">
        <f>IFERROR(VLOOKUP(D314,'Chủ đề bài nguồn'!$A$2:$C$735,3,0),"Khác")</f>
        <v>Tài khoản &amp; ngân hàng số</v>
      </c>
      <c r="N314" s="24"/>
    </row>
    <row r="315">
      <c r="A315" s="15">
        <v>313.0</v>
      </c>
      <c r="B315" s="16" t="s">
        <v>799</v>
      </c>
      <c r="C315" s="18" t="s">
        <v>1733</v>
      </c>
      <c r="D315" s="16" t="s">
        <v>1738</v>
      </c>
      <c r="E315" s="16" t="s">
        <v>1739</v>
      </c>
      <c r="F315" s="16" t="s">
        <v>1740</v>
      </c>
      <c r="G315" s="16" t="s">
        <v>1737</v>
      </c>
      <c r="H315" s="20" t="s">
        <v>69</v>
      </c>
      <c r="I315" s="21" t="s">
        <v>70</v>
      </c>
      <c r="J315" s="22" t="s">
        <v>71</v>
      </c>
      <c r="K315" s="23">
        <v>14.0</v>
      </c>
      <c r="L315" s="24">
        <v>10.0</v>
      </c>
      <c r="M315" s="24" t="str">
        <f>IFERROR(VLOOKUP(D315,'Chủ đề bài nguồn'!$A$2:$C$735,3,0),"Khác")</f>
        <v>Tài khoản &amp; ngân hàng số</v>
      </c>
      <c r="N315" s="24"/>
    </row>
    <row r="316">
      <c r="A316" s="15">
        <v>314.0</v>
      </c>
      <c r="B316" s="16" t="s">
        <v>799</v>
      </c>
      <c r="C316" s="18" t="s">
        <v>1733</v>
      </c>
      <c r="D316" s="16" t="s">
        <v>1742</v>
      </c>
      <c r="E316" s="16" t="s">
        <v>1743</v>
      </c>
      <c r="F316" s="16" t="s">
        <v>1744</v>
      </c>
      <c r="G316" s="16" t="s">
        <v>1737</v>
      </c>
      <c r="H316" s="20" t="s">
        <v>69</v>
      </c>
      <c r="I316" s="21" t="s">
        <v>70</v>
      </c>
      <c r="J316" s="22" t="s">
        <v>71</v>
      </c>
      <c r="K316" s="23">
        <v>14.0</v>
      </c>
      <c r="L316" s="24">
        <v>10.0</v>
      </c>
      <c r="M316" s="24" t="str">
        <f>IFERROR(VLOOKUP(D316,'Chủ đề bài nguồn'!$A$2:$C$735,3,0),"Khác")</f>
        <v>Thanh toán, chuyển khoản &amp; QR</v>
      </c>
      <c r="N316" s="24"/>
    </row>
    <row r="317">
      <c r="A317" s="15">
        <v>315.0</v>
      </c>
      <c r="B317" s="16" t="s">
        <v>799</v>
      </c>
      <c r="C317" s="18" t="s">
        <v>1733</v>
      </c>
      <c r="D317" s="16" t="s">
        <v>840</v>
      </c>
      <c r="E317" s="16" t="s">
        <v>1745</v>
      </c>
      <c r="F317" s="16" t="s">
        <v>1746</v>
      </c>
      <c r="G317" s="16" t="s">
        <v>1737</v>
      </c>
      <c r="H317" s="20" t="s">
        <v>69</v>
      </c>
      <c r="I317" s="21" t="s">
        <v>70</v>
      </c>
      <c r="J317" s="22" t="s">
        <v>71</v>
      </c>
      <c r="K317" s="23">
        <v>14.0</v>
      </c>
      <c r="L317" s="24">
        <v>10.0</v>
      </c>
      <c r="M317" s="24" t="str">
        <f>IFERROR(VLOOKUP(D317,'Chủ đề bài nguồn'!$A$2:$C$735,3,0),"Khác")</f>
        <v>Tài khoản &amp; ngân hàng số</v>
      </c>
      <c r="N317" s="24"/>
    </row>
    <row r="318">
      <c r="A318" s="15">
        <v>316.0</v>
      </c>
      <c r="B318" s="16" t="s">
        <v>799</v>
      </c>
      <c r="C318" s="18" t="s">
        <v>1733</v>
      </c>
      <c r="D318" s="16" t="s">
        <v>1748</v>
      </c>
      <c r="E318" s="16" t="s">
        <v>1749</v>
      </c>
      <c r="F318" s="16" t="s">
        <v>1750</v>
      </c>
      <c r="G318" s="16" t="s">
        <v>1751</v>
      </c>
      <c r="H318" s="20" t="s">
        <v>69</v>
      </c>
      <c r="I318" s="21" t="s">
        <v>70</v>
      </c>
      <c r="J318" s="22" t="s">
        <v>71</v>
      </c>
      <c r="K318" s="23">
        <v>14.0</v>
      </c>
      <c r="L318" s="24">
        <v>11.0</v>
      </c>
      <c r="M318" s="24" t="str">
        <f>IFERROR(VLOOKUP(D318,'Chủ đề bài nguồn'!$A$2:$C$735,3,0),"Khác")</f>
        <v>Tài khoản &amp; ngân hàng số</v>
      </c>
      <c r="N318" s="24"/>
    </row>
    <row r="319">
      <c r="A319" s="15">
        <v>317.0</v>
      </c>
      <c r="B319" s="16" t="s">
        <v>799</v>
      </c>
      <c r="C319" s="18" t="s">
        <v>1733</v>
      </c>
      <c r="D319" s="16" t="s">
        <v>349</v>
      </c>
      <c r="E319" s="16" t="s">
        <v>1646</v>
      </c>
      <c r="F319" s="16" t="s">
        <v>1753</v>
      </c>
      <c r="G319" s="16" t="s">
        <v>1754</v>
      </c>
      <c r="H319" s="20" t="s">
        <v>69</v>
      </c>
      <c r="I319" s="21" t="s">
        <v>70</v>
      </c>
      <c r="J319" s="22" t="s">
        <v>71</v>
      </c>
      <c r="K319" s="23">
        <v>14.0</v>
      </c>
      <c r="L319" s="24">
        <v>11.0</v>
      </c>
      <c r="M319" s="24" t="str">
        <f>IFERROR(VLOOKUP(D319,'Chủ đề bài nguồn'!$A$2:$C$735,3,0),"Khác")</f>
        <v>Tài khoản &amp; ngân hàng số</v>
      </c>
      <c r="N319" s="24"/>
    </row>
    <row r="320">
      <c r="A320" s="15">
        <v>318.0</v>
      </c>
      <c r="B320" s="16" t="s">
        <v>799</v>
      </c>
      <c r="C320" s="18" t="s">
        <v>1733</v>
      </c>
      <c r="D320" s="16" t="s">
        <v>1629</v>
      </c>
      <c r="E320" s="16" t="s">
        <v>1755</v>
      </c>
      <c r="F320" s="16" t="s">
        <v>1756</v>
      </c>
      <c r="G320" s="16" t="s">
        <v>1751</v>
      </c>
      <c r="H320" s="20" t="s">
        <v>69</v>
      </c>
      <c r="I320" s="21" t="s">
        <v>70</v>
      </c>
      <c r="J320" s="22" t="s">
        <v>71</v>
      </c>
      <c r="K320" s="23">
        <v>14.0</v>
      </c>
      <c r="L320" s="24">
        <v>11.0</v>
      </c>
      <c r="M320" s="24" t="str">
        <f>IFERROR(VLOOKUP(D320,'Chủ đề bài nguồn'!$A$2:$C$735,3,0),"Khác")</f>
        <v>Tài khoản &amp; ngân hàng số</v>
      </c>
      <c r="N320" s="24"/>
    </row>
    <row r="321">
      <c r="A321" s="15">
        <v>319.0</v>
      </c>
      <c r="B321" s="16" t="s">
        <v>799</v>
      </c>
      <c r="C321" s="18" t="s">
        <v>1757</v>
      </c>
      <c r="D321" s="16" t="s">
        <v>1721</v>
      </c>
      <c r="E321" s="16" t="s">
        <v>1758</v>
      </c>
      <c r="F321" s="16" t="s">
        <v>1760</v>
      </c>
      <c r="G321" s="16" t="s">
        <v>1761</v>
      </c>
      <c r="H321" s="20" t="s">
        <v>155</v>
      </c>
      <c r="I321" s="21" t="s">
        <v>70</v>
      </c>
      <c r="J321" s="22" t="s">
        <v>71</v>
      </c>
      <c r="K321" s="23">
        <v>14.0</v>
      </c>
      <c r="L321" s="24">
        <v>21.0</v>
      </c>
      <c r="M321" s="24" t="str">
        <f>IFERROR(VLOOKUP(D321,'Chủ đề bài nguồn'!$A$2:$C$735,3,0),"Khác")</f>
        <v>Tài khoản &amp; ngân hàng số</v>
      </c>
      <c r="N321" s="24"/>
    </row>
    <row r="322">
      <c r="A322" s="15">
        <v>320.0</v>
      </c>
      <c r="B322" s="16" t="s">
        <v>799</v>
      </c>
      <c r="C322" s="18" t="s">
        <v>1757</v>
      </c>
      <c r="D322" s="16" t="s">
        <v>548</v>
      </c>
      <c r="E322" s="16" t="s">
        <v>550</v>
      </c>
      <c r="F322" s="16" t="s">
        <v>1763</v>
      </c>
      <c r="G322" s="16" t="s">
        <v>1765</v>
      </c>
      <c r="H322" s="20" t="s">
        <v>155</v>
      </c>
      <c r="I322" s="21" t="s">
        <v>70</v>
      </c>
      <c r="J322" s="22" t="s">
        <v>71</v>
      </c>
      <c r="K322" s="23">
        <v>14.0</v>
      </c>
      <c r="L322" s="24">
        <v>21.0</v>
      </c>
      <c r="M322" s="24" t="str">
        <f>IFERROR(VLOOKUP(D322,'Chủ đề bài nguồn'!$A$2:$C$735,3,0),"Khác")</f>
        <v>Thuế</v>
      </c>
      <c r="N322" s="24"/>
    </row>
    <row r="323">
      <c r="A323" s="15">
        <v>321.0</v>
      </c>
      <c r="B323" s="16" t="s">
        <v>799</v>
      </c>
      <c r="C323" s="18" t="s">
        <v>1757</v>
      </c>
      <c r="D323" s="16" t="s">
        <v>1768</v>
      </c>
      <c r="E323" s="16" t="s">
        <v>1769</v>
      </c>
      <c r="F323" s="16" t="s">
        <v>1770</v>
      </c>
      <c r="G323" s="16" t="s">
        <v>1771</v>
      </c>
      <c r="H323" s="20" t="s">
        <v>155</v>
      </c>
      <c r="I323" s="21" t="s">
        <v>70</v>
      </c>
      <c r="J323" s="22" t="s">
        <v>71</v>
      </c>
      <c r="K323" s="23">
        <v>14.0</v>
      </c>
      <c r="L323" s="24">
        <v>21.0</v>
      </c>
      <c r="M323" s="24" t="str">
        <f>IFERROR(VLOOKUP(D323,'Chủ đề bài nguồn'!$A$2:$C$735,3,0),"Khác")</f>
        <v>Tài khoản &amp; ngân hàng số</v>
      </c>
      <c r="N323" s="24"/>
    </row>
    <row r="324">
      <c r="A324" s="15">
        <v>322.0</v>
      </c>
      <c r="B324" s="16" t="s">
        <v>799</v>
      </c>
      <c r="C324" s="18" t="s">
        <v>1757</v>
      </c>
      <c r="D324" s="16" t="s">
        <v>610</v>
      </c>
      <c r="E324" s="16" t="s">
        <v>1773</v>
      </c>
      <c r="F324" s="16" t="s">
        <v>1774</v>
      </c>
      <c r="G324" s="16" t="s">
        <v>1775</v>
      </c>
      <c r="H324" s="20" t="s">
        <v>155</v>
      </c>
      <c r="I324" s="21" t="s">
        <v>70</v>
      </c>
      <c r="J324" s="22" t="s">
        <v>71</v>
      </c>
      <c r="K324" s="23">
        <v>14.0</v>
      </c>
      <c r="L324" s="24">
        <v>21.0</v>
      </c>
      <c r="M324" s="24" t="str">
        <f>IFERROR(VLOOKUP(D324,'Chủ đề bài nguồn'!$A$2:$C$735,3,0),"Khác")</f>
        <v>Thuế</v>
      </c>
      <c r="N324" s="24"/>
    </row>
    <row r="325">
      <c r="A325" s="15">
        <v>323.0</v>
      </c>
      <c r="B325" s="16" t="s">
        <v>799</v>
      </c>
      <c r="C325" s="18" t="s">
        <v>1757</v>
      </c>
      <c r="D325" s="16" t="s">
        <v>1696</v>
      </c>
      <c r="E325" s="16" t="s">
        <v>1776</v>
      </c>
      <c r="F325" s="16" t="s">
        <v>1777</v>
      </c>
      <c r="G325" s="16" t="s">
        <v>1778</v>
      </c>
      <c r="H325" s="20" t="s">
        <v>155</v>
      </c>
      <c r="I325" s="21" t="s">
        <v>70</v>
      </c>
      <c r="J325" s="22" t="s">
        <v>71</v>
      </c>
      <c r="K325" s="23">
        <v>14.0</v>
      </c>
      <c r="L325" s="24">
        <v>21.0</v>
      </c>
      <c r="M325" s="24" t="str">
        <f>IFERROR(VLOOKUP(D325,'Chủ đề bài nguồn'!$A$2:$C$735,3,0),"Khác")</f>
        <v>Tài khoản &amp; ngân hàng số</v>
      </c>
      <c r="N325" s="24"/>
    </row>
    <row r="326">
      <c r="A326" s="15">
        <v>324.0</v>
      </c>
      <c r="B326" s="16" t="s">
        <v>799</v>
      </c>
      <c r="C326" s="18" t="s">
        <v>1757</v>
      </c>
      <c r="D326" s="16" t="s">
        <v>1779</v>
      </c>
      <c r="E326" s="16" t="s">
        <v>1780</v>
      </c>
      <c r="F326" s="16" t="s">
        <v>1781</v>
      </c>
      <c r="G326" s="16" t="s">
        <v>1782</v>
      </c>
      <c r="H326" s="20" t="s">
        <v>155</v>
      </c>
      <c r="I326" s="21" t="s">
        <v>70</v>
      </c>
      <c r="J326" s="22" t="s">
        <v>71</v>
      </c>
      <c r="K326" s="23">
        <v>14.0</v>
      </c>
      <c r="L326" s="24">
        <v>21.0</v>
      </c>
      <c r="M326" s="24" t="str">
        <f>IFERROR(VLOOKUP(D326,'Chủ đề bài nguồn'!$A$2:$C$735,3,0),"Khác")</f>
        <v>Tài khoản &amp; ngân hàng số</v>
      </c>
      <c r="N326" s="24"/>
    </row>
    <row r="327">
      <c r="A327" s="15">
        <v>325.0</v>
      </c>
      <c r="B327" s="16" t="s">
        <v>799</v>
      </c>
      <c r="C327" s="18" t="s">
        <v>1757</v>
      </c>
      <c r="D327" s="16" t="s">
        <v>403</v>
      </c>
      <c r="E327" s="16" t="s">
        <v>691</v>
      </c>
      <c r="F327" s="16" t="s">
        <v>1784</v>
      </c>
      <c r="G327" s="16" t="s">
        <v>1775</v>
      </c>
      <c r="H327" s="20" t="s">
        <v>155</v>
      </c>
      <c r="I327" s="21" t="s">
        <v>70</v>
      </c>
      <c r="J327" s="22" t="s">
        <v>71</v>
      </c>
      <c r="K327" s="23">
        <v>14.0</v>
      </c>
      <c r="L327" s="24">
        <v>21.0</v>
      </c>
      <c r="M327" s="24" t="str">
        <f>IFERROR(VLOOKUP(D327,'Chủ đề bài nguồn'!$A$2:$C$735,3,0),"Khác")</f>
        <v>Thuế</v>
      </c>
      <c r="N327" s="24"/>
    </row>
    <row r="328">
      <c r="A328" s="15">
        <v>326.0</v>
      </c>
      <c r="B328" s="16" t="s">
        <v>799</v>
      </c>
      <c r="C328" s="18" t="s">
        <v>1757</v>
      </c>
      <c r="D328" s="16" t="s">
        <v>1373</v>
      </c>
      <c r="E328" s="16" t="s">
        <v>710</v>
      </c>
      <c r="F328" s="16" t="s">
        <v>1787</v>
      </c>
      <c r="G328" s="16" t="s">
        <v>1788</v>
      </c>
      <c r="H328" s="20" t="s">
        <v>155</v>
      </c>
      <c r="I328" s="21" t="s">
        <v>70</v>
      </c>
      <c r="J328" s="22" t="s">
        <v>71</v>
      </c>
      <c r="K328" s="23">
        <v>14.0</v>
      </c>
      <c r="L328" s="24">
        <v>21.0</v>
      </c>
      <c r="M328" s="24" t="str">
        <f>IFERROR(VLOOKUP(D328,'Chủ đề bài nguồn'!$A$2:$C$735,3,0),"Khác")</f>
        <v>Tài khoản &amp; ngân hàng số</v>
      </c>
      <c r="N328" s="24"/>
    </row>
    <row r="329">
      <c r="A329" s="15">
        <v>327.0</v>
      </c>
      <c r="B329" s="16" t="s">
        <v>799</v>
      </c>
      <c r="C329" s="18" t="s">
        <v>1733</v>
      </c>
      <c r="D329" s="16" t="s">
        <v>834</v>
      </c>
      <c r="E329" s="16" t="s">
        <v>1791</v>
      </c>
      <c r="F329" s="16" t="s">
        <v>1792</v>
      </c>
      <c r="G329" s="16" t="s">
        <v>1793</v>
      </c>
      <c r="H329" s="20" t="s">
        <v>155</v>
      </c>
      <c r="I329" s="21" t="s">
        <v>70</v>
      </c>
      <c r="J329" s="22" t="s">
        <v>71</v>
      </c>
      <c r="K329" s="23">
        <v>14.0</v>
      </c>
      <c r="L329" s="24">
        <v>21.0</v>
      </c>
      <c r="M329" s="24" t="str">
        <f>IFERROR(VLOOKUP(D329,'Chủ đề bài nguồn'!$A$2:$C$735,3,0),"Khác")</f>
        <v>Tài khoản &amp; ngân hàng số</v>
      </c>
      <c r="N329" s="24"/>
    </row>
    <row r="330">
      <c r="A330" s="15">
        <v>328.0</v>
      </c>
      <c r="B330" s="16" t="s">
        <v>799</v>
      </c>
      <c r="C330" s="18" t="s">
        <v>1733</v>
      </c>
      <c r="D330" s="16" t="s">
        <v>835</v>
      </c>
      <c r="E330" s="16" t="s">
        <v>1794</v>
      </c>
      <c r="F330" s="16" t="s">
        <v>1795</v>
      </c>
      <c r="G330" s="16" t="s">
        <v>1796</v>
      </c>
      <c r="H330" s="20" t="s">
        <v>155</v>
      </c>
      <c r="I330" s="21" t="s">
        <v>70</v>
      </c>
      <c r="J330" s="22" t="s">
        <v>71</v>
      </c>
      <c r="K330" s="23">
        <v>14.0</v>
      </c>
      <c r="L330" s="24">
        <v>21.0</v>
      </c>
      <c r="M330" s="24" t="str">
        <f>IFERROR(VLOOKUP(D330,'Chủ đề bài nguồn'!$A$2:$C$735,3,0),"Khác")</f>
        <v>Tài khoản &amp; ngân hàng số</v>
      </c>
      <c r="N330" s="24"/>
    </row>
    <row r="331">
      <c r="A331" s="15">
        <v>329.0</v>
      </c>
      <c r="B331" s="16" t="s">
        <v>799</v>
      </c>
      <c r="C331" s="18" t="s">
        <v>1733</v>
      </c>
      <c r="D331" s="16" t="s">
        <v>1799</v>
      </c>
      <c r="E331" s="16" t="s">
        <v>1800</v>
      </c>
      <c r="F331" s="16" t="s">
        <v>1801</v>
      </c>
      <c r="G331" s="16" t="s">
        <v>1802</v>
      </c>
      <c r="H331" s="20" t="s">
        <v>155</v>
      </c>
      <c r="I331" s="21" t="s">
        <v>70</v>
      </c>
      <c r="J331" s="22" t="s">
        <v>71</v>
      </c>
      <c r="K331" s="23">
        <v>14.0</v>
      </c>
      <c r="L331" s="24">
        <v>21.0</v>
      </c>
      <c r="M331" s="24" t="str">
        <f>IFERROR(VLOOKUP(D331,'Chủ đề bài nguồn'!$A$2:$C$735,3,0),"Khác")</f>
        <v>Tài khoản &amp; ngân hàng số</v>
      </c>
      <c r="N331" s="24"/>
    </row>
    <row r="332">
      <c r="A332" s="15">
        <v>330.0</v>
      </c>
      <c r="B332" s="16" t="s">
        <v>799</v>
      </c>
      <c r="C332" s="18" t="s">
        <v>1733</v>
      </c>
      <c r="D332" s="16" t="s">
        <v>1032</v>
      </c>
      <c r="E332" s="16" t="s">
        <v>1680</v>
      </c>
      <c r="F332" s="16" t="s">
        <v>1681</v>
      </c>
      <c r="G332" s="16" t="s">
        <v>1805</v>
      </c>
      <c r="H332" s="20" t="s">
        <v>155</v>
      </c>
      <c r="I332" s="21" t="s">
        <v>70</v>
      </c>
      <c r="J332" s="22" t="s">
        <v>71</v>
      </c>
      <c r="K332" s="23">
        <v>14.0</v>
      </c>
      <c r="L332" s="24">
        <v>21.0</v>
      </c>
      <c r="M332" s="24" t="str">
        <f>IFERROR(VLOOKUP(D332,'Chủ đề bài nguồn'!$A$2:$C$735,3,0),"Khác")</f>
        <v>Ưu đãi, du lịch &amp; đời sống</v>
      </c>
      <c r="N332" s="24"/>
    </row>
    <row r="333">
      <c r="A333" s="15">
        <v>331.0</v>
      </c>
      <c r="B333" s="16" t="s">
        <v>799</v>
      </c>
      <c r="C333" s="18" t="s">
        <v>1733</v>
      </c>
      <c r="D333" s="16" t="s">
        <v>1231</v>
      </c>
      <c r="E333" s="16" t="s">
        <v>1806</v>
      </c>
      <c r="F333" s="16" t="s">
        <v>1807</v>
      </c>
      <c r="G333" s="16" t="s">
        <v>1808</v>
      </c>
      <c r="H333" s="20" t="s">
        <v>155</v>
      </c>
      <c r="I333" s="21" t="s">
        <v>70</v>
      </c>
      <c r="J333" s="22" t="s">
        <v>539</v>
      </c>
      <c r="K333" s="23">
        <v>14.0</v>
      </c>
      <c r="L333" s="24">
        <v>21.0</v>
      </c>
      <c r="M333" s="24" t="str">
        <f>IFERROR(VLOOKUP(D333,'Chủ đề bài nguồn'!$A$2:$C$735,3,0),"Khác")</f>
        <v>Tài khoản &amp; ngân hàng số</v>
      </c>
      <c r="N333" s="24"/>
    </row>
    <row r="334">
      <c r="A334" s="15">
        <v>332.0</v>
      </c>
      <c r="B334" s="16" t="s">
        <v>799</v>
      </c>
      <c r="C334" s="18" t="s">
        <v>1757</v>
      </c>
      <c r="D334" s="16" t="s">
        <v>1040</v>
      </c>
      <c r="E334" s="16" t="s">
        <v>710</v>
      </c>
      <c r="F334" s="16" t="s">
        <v>1810</v>
      </c>
      <c r="G334" s="16" t="s">
        <v>1812</v>
      </c>
      <c r="H334" s="20" t="s">
        <v>229</v>
      </c>
      <c r="I334" s="21" t="s">
        <v>70</v>
      </c>
      <c r="J334" s="22" t="s">
        <v>1813</v>
      </c>
      <c r="K334" s="23">
        <v>14.0</v>
      </c>
      <c r="L334" s="24">
        <v>31.0</v>
      </c>
      <c r="M334" s="24" t="str">
        <f>IFERROR(VLOOKUP(D334,'Chủ đề bài nguồn'!$A$2:$C$735,3,0),"Khác")</f>
        <v>Doanh nghiệp (tài khoản, vay, tài chính)</v>
      </c>
      <c r="N334" s="24"/>
    </row>
    <row r="335">
      <c r="A335" s="15">
        <v>333.0</v>
      </c>
      <c r="B335" s="16" t="s">
        <v>799</v>
      </c>
      <c r="C335" s="18" t="s">
        <v>1757</v>
      </c>
      <c r="D335" s="16" t="s">
        <v>1814</v>
      </c>
      <c r="E335" s="16" t="s">
        <v>1815</v>
      </c>
      <c r="F335" s="16" t="s">
        <v>1816</v>
      </c>
      <c r="G335" s="16" t="s">
        <v>1818</v>
      </c>
      <c r="H335" s="20" t="s">
        <v>229</v>
      </c>
      <c r="I335" s="21" t="s">
        <v>70</v>
      </c>
      <c r="J335" s="22" t="s">
        <v>71</v>
      </c>
      <c r="K335" s="23">
        <v>14.0</v>
      </c>
      <c r="L335" s="24">
        <v>31.0</v>
      </c>
      <c r="M335" s="24" t="str">
        <f>IFERROR(VLOOKUP(D335,'Chủ đề bài nguồn'!$A$2:$C$735,3,0),"Khác")</f>
        <v>Tiết kiệm &amp; lãi suất tiền gửi</v>
      </c>
      <c r="N335" s="24"/>
    </row>
    <row r="336">
      <c r="A336" s="15">
        <v>334.0</v>
      </c>
      <c r="B336" s="16" t="s">
        <v>799</v>
      </c>
      <c r="C336" s="18" t="s">
        <v>1757</v>
      </c>
      <c r="D336" s="16" t="s">
        <v>1637</v>
      </c>
      <c r="E336" s="16" t="s">
        <v>1819</v>
      </c>
      <c r="F336" s="16" t="s">
        <v>1820</v>
      </c>
      <c r="G336" s="16" t="s">
        <v>1775</v>
      </c>
      <c r="H336" s="20" t="s">
        <v>229</v>
      </c>
      <c r="I336" s="21" t="s">
        <v>70</v>
      </c>
      <c r="J336" s="22" t="s">
        <v>71</v>
      </c>
      <c r="K336" s="23">
        <v>14.0</v>
      </c>
      <c r="L336" s="24">
        <v>31.0</v>
      </c>
      <c r="M336" s="24" t="str">
        <f>IFERROR(VLOOKUP(D336,'Chủ đề bài nguồn'!$A$2:$C$735,3,0),"Khác")</f>
        <v>Tài khoản &amp; ngân hàng số</v>
      </c>
      <c r="N336" s="24"/>
    </row>
    <row r="337">
      <c r="A337" s="15">
        <v>335.0</v>
      </c>
      <c r="B337" s="16" t="s">
        <v>799</v>
      </c>
      <c r="C337" s="18" t="s">
        <v>1733</v>
      </c>
      <c r="D337" s="16" t="s">
        <v>829</v>
      </c>
      <c r="E337" s="16" t="s">
        <v>1823</v>
      </c>
      <c r="F337" s="16" t="s">
        <v>1824</v>
      </c>
      <c r="G337" s="16" t="s">
        <v>1825</v>
      </c>
      <c r="H337" s="20" t="s">
        <v>229</v>
      </c>
      <c r="I337" s="21" t="s">
        <v>70</v>
      </c>
      <c r="J337" s="22" t="s">
        <v>1827</v>
      </c>
      <c r="K337" s="23">
        <v>14.0</v>
      </c>
      <c r="L337" s="24">
        <v>31.0</v>
      </c>
      <c r="M337" s="24" t="str">
        <f>IFERROR(VLOOKUP(D337,'Chủ đề bài nguồn'!$A$2:$C$735,3,0),"Khác")</f>
        <v>Doanh nghiệp (tài khoản, vay, tài chính)</v>
      </c>
      <c r="N337" s="24"/>
    </row>
    <row r="338">
      <c r="A338" s="15">
        <v>336.0</v>
      </c>
      <c r="B338" s="16" t="s">
        <v>799</v>
      </c>
      <c r="C338" s="18" t="s">
        <v>1733</v>
      </c>
      <c r="D338" s="16" t="s">
        <v>868</v>
      </c>
      <c r="E338" s="16" t="s">
        <v>1216</v>
      </c>
      <c r="F338" s="16" t="s">
        <v>1828</v>
      </c>
      <c r="G338" s="16" t="s">
        <v>1829</v>
      </c>
      <c r="H338" s="20" t="s">
        <v>229</v>
      </c>
      <c r="I338" s="21" t="s">
        <v>70</v>
      </c>
      <c r="J338" s="22" t="s">
        <v>1830</v>
      </c>
      <c r="K338" s="23">
        <v>14.0</v>
      </c>
      <c r="L338" s="24">
        <v>31.0</v>
      </c>
      <c r="M338" s="24" t="str">
        <f>IFERROR(VLOOKUP(D338,'Chủ đề bài nguồn'!$A$2:$C$735,3,0),"Khác")</f>
        <v>Doanh nghiệp (tài khoản, vay, tài chính)</v>
      </c>
      <c r="N338" s="24"/>
    </row>
    <row r="339">
      <c r="A339" s="15">
        <v>337.0</v>
      </c>
      <c r="B339" s="16" t="s">
        <v>799</v>
      </c>
      <c r="C339" s="18" t="s">
        <v>1733</v>
      </c>
      <c r="D339" s="16" t="s">
        <v>1100</v>
      </c>
      <c r="E339" s="16" t="s">
        <v>1832</v>
      </c>
      <c r="F339" s="16" t="s">
        <v>1833</v>
      </c>
      <c r="G339" s="16" t="s">
        <v>1834</v>
      </c>
      <c r="H339" s="20" t="s">
        <v>229</v>
      </c>
      <c r="I339" s="21" t="s">
        <v>70</v>
      </c>
      <c r="J339" s="22" t="s">
        <v>1827</v>
      </c>
      <c r="K339" s="23">
        <v>14.0</v>
      </c>
      <c r="L339" s="24">
        <v>31.0</v>
      </c>
      <c r="M339" s="24" t="str">
        <f>IFERROR(VLOOKUP(D339,'Chủ đề bài nguồn'!$A$2:$C$735,3,0),"Khác")</f>
        <v>Hộ kinh doanh &amp; bán hàng</v>
      </c>
      <c r="N339" s="24"/>
    </row>
    <row r="340">
      <c r="A340" s="15">
        <v>338.0</v>
      </c>
      <c r="B340" s="16" t="s">
        <v>799</v>
      </c>
      <c r="C340" s="18" t="s">
        <v>1733</v>
      </c>
      <c r="D340" s="16" t="s">
        <v>1836</v>
      </c>
      <c r="E340" s="16" t="s">
        <v>1837</v>
      </c>
      <c r="F340" s="16" t="s">
        <v>1838</v>
      </c>
      <c r="G340" s="16" t="s">
        <v>1839</v>
      </c>
      <c r="H340" s="20" t="s">
        <v>229</v>
      </c>
      <c r="I340" s="21" t="s">
        <v>70</v>
      </c>
      <c r="J340" s="22" t="s">
        <v>1827</v>
      </c>
      <c r="K340" s="23">
        <v>14.0</v>
      </c>
      <c r="L340" s="24">
        <v>31.0</v>
      </c>
      <c r="M340" s="24" t="str">
        <f>IFERROR(VLOOKUP(D340,'Chủ đề bài nguồn'!$A$2:$C$735,3,0),"Khác")</f>
        <v>Doanh nghiệp (tài khoản, vay, tài chính)</v>
      </c>
      <c r="N340" s="24"/>
    </row>
    <row r="341">
      <c r="A341" s="15">
        <v>339.0</v>
      </c>
      <c r="B341" s="16" t="s">
        <v>799</v>
      </c>
      <c r="C341" s="18" t="s">
        <v>1733</v>
      </c>
      <c r="D341" s="16" t="s">
        <v>1069</v>
      </c>
      <c r="E341" s="16" t="s">
        <v>1840</v>
      </c>
      <c r="F341" s="16" t="s">
        <v>1841</v>
      </c>
      <c r="G341" s="16" t="s">
        <v>1834</v>
      </c>
      <c r="H341" s="20" t="s">
        <v>229</v>
      </c>
      <c r="I341" s="21" t="s">
        <v>70</v>
      </c>
      <c r="J341" s="22" t="s">
        <v>1827</v>
      </c>
      <c r="K341" s="23">
        <v>14.0</v>
      </c>
      <c r="L341" s="24">
        <v>31.0</v>
      </c>
      <c r="M341" s="24" t="str">
        <f>IFERROR(VLOOKUP(D341,'Chủ đề bài nguồn'!$A$2:$C$735,3,0),"Khác")</f>
        <v>Doanh nghiệp (tài khoản, vay, tài chính)</v>
      </c>
      <c r="N341" s="24"/>
    </row>
    <row r="342">
      <c r="A342" s="15">
        <v>340.0</v>
      </c>
      <c r="B342" s="16" t="s">
        <v>799</v>
      </c>
      <c r="C342" s="18" t="s">
        <v>1733</v>
      </c>
      <c r="D342" s="16" t="s">
        <v>1243</v>
      </c>
      <c r="E342" s="16" t="s">
        <v>1244</v>
      </c>
      <c r="F342" s="16" t="s">
        <v>1843</v>
      </c>
      <c r="G342" s="16" t="s">
        <v>1844</v>
      </c>
      <c r="H342" s="20" t="s">
        <v>229</v>
      </c>
      <c r="I342" s="21" t="s">
        <v>70</v>
      </c>
      <c r="J342" s="22" t="s">
        <v>1845</v>
      </c>
      <c r="K342" s="23">
        <v>14.0</v>
      </c>
      <c r="L342" s="24">
        <v>31.0</v>
      </c>
      <c r="M342" s="24" t="str">
        <f>IFERROR(VLOOKUP(D342,'Chủ đề bài nguồn'!$A$2:$C$735,3,0),"Khác")</f>
        <v>Doanh nghiệp (tài khoản, vay, tài chính)</v>
      </c>
      <c r="N342" s="24"/>
    </row>
    <row r="343">
      <c r="A343" s="15">
        <v>341.0</v>
      </c>
      <c r="B343" s="16" t="s">
        <v>810</v>
      </c>
      <c r="C343" s="18" t="s">
        <v>1846</v>
      </c>
      <c r="D343" s="16" t="s">
        <v>1847</v>
      </c>
      <c r="E343" s="16" t="s">
        <v>1848</v>
      </c>
      <c r="F343" s="16" t="s">
        <v>1849</v>
      </c>
      <c r="G343" s="16" t="s">
        <v>1850</v>
      </c>
      <c r="H343" s="20" t="s">
        <v>69</v>
      </c>
      <c r="I343" s="21" t="s">
        <v>70</v>
      </c>
      <c r="J343" s="22" t="s">
        <v>1851</v>
      </c>
      <c r="K343" s="23">
        <v>15.0</v>
      </c>
      <c r="L343" s="24">
        <v>10.0</v>
      </c>
      <c r="M343" s="24" t="str">
        <f>IFERROR(VLOOKUP(D343,'Chủ đề bài nguồn'!$A$2:$C$735,3,0),"Khác")</f>
        <v>Tài khoản &amp; ngân hàng số</v>
      </c>
      <c r="N343" s="24"/>
    </row>
    <row r="344">
      <c r="A344" s="15">
        <v>342.0</v>
      </c>
      <c r="B344" s="16" t="s">
        <v>810</v>
      </c>
      <c r="C344" s="18" t="s">
        <v>1846</v>
      </c>
      <c r="D344" s="16" t="s">
        <v>1852</v>
      </c>
      <c r="E344" s="16" t="s">
        <v>1853</v>
      </c>
      <c r="F344" s="16" t="s">
        <v>1854</v>
      </c>
      <c r="G344" s="16" t="s">
        <v>1850</v>
      </c>
      <c r="H344" s="20" t="s">
        <v>69</v>
      </c>
      <c r="I344" s="21" t="s">
        <v>70</v>
      </c>
      <c r="J344" s="22" t="s">
        <v>71</v>
      </c>
      <c r="K344" s="23">
        <v>15.0</v>
      </c>
      <c r="L344" s="24">
        <v>10.0</v>
      </c>
      <c r="M344" s="24" t="str">
        <f>IFERROR(VLOOKUP(D344,'Chủ đề bài nguồn'!$A$2:$C$735,3,0),"Khác")</f>
        <v>Tiết kiệm &amp; lãi suất tiền gửi</v>
      </c>
      <c r="N344" s="24"/>
    </row>
    <row r="345">
      <c r="A345" s="15">
        <v>343.0</v>
      </c>
      <c r="B345" s="16" t="s">
        <v>810</v>
      </c>
      <c r="C345" s="18" t="s">
        <v>1846</v>
      </c>
      <c r="D345" s="16" t="s">
        <v>1856</v>
      </c>
      <c r="E345" s="16" t="s">
        <v>1857</v>
      </c>
      <c r="F345" s="16" t="s">
        <v>1858</v>
      </c>
      <c r="G345" s="16" t="s">
        <v>1850</v>
      </c>
      <c r="H345" s="20" t="s">
        <v>69</v>
      </c>
      <c r="I345" s="21" t="s">
        <v>70</v>
      </c>
      <c r="J345" s="22" t="s">
        <v>71</v>
      </c>
      <c r="K345" s="23">
        <v>15.0</v>
      </c>
      <c r="L345" s="24">
        <v>10.0</v>
      </c>
      <c r="M345" s="24" t="str">
        <f>IFERROR(VLOOKUP(D345,'Chủ đề bài nguồn'!$A$2:$C$735,3,0),"Khác")</f>
        <v>Doanh nghiệp (tài khoản, vay, tài chính)</v>
      </c>
      <c r="N345" s="24"/>
    </row>
    <row r="346">
      <c r="A346" s="15">
        <v>344.0</v>
      </c>
      <c r="B346" s="39" t="s">
        <v>810</v>
      </c>
      <c r="C346" s="18" t="s">
        <v>1846</v>
      </c>
      <c r="D346" s="39" t="s">
        <v>1862</v>
      </c>
      <c r="E346" s="16" t="s">
        <v>1863</v>
      </c>
      <c r="F346" s="16" t="s">
        <v>1864</v>
      </c>
      <c r="G346" s="16" t="s">
        <v>1850</v>
      </c>
      <c r="H346" s="20" t="s">
        <v>69</v>
      </c>
      <c r="I346" s="21" t="s">
        <v>70</v>
      </c>
      <c r="J346" s="22" t="s">
        <v>71</v>
      </c>
      <c r="K346" s="23">
        <v>15.0</v>
      </c>
      <c r="L346" s="24">
        <v>10.0</v>
      </c>
      <c r="M346" s="24" t="str">
        <f>IFERROR(VLOOKUP(D346,'Chủ đề bài nguồn'!$A$2:$C$735,3,0),"Khác")</f>
        <v>Doanh nghiệp (tài khoản, vay, tài chính)</v>
      </c>
      <c r="N346" s="24"/>
    </row>
    <row r="347">
      <c r="A347" s="15">
        <v>345.0</v>
      </c>
      <c r="B347" s="39" t="s">
        <v>810</v>
      </c>
      <c r="C347" s="18" t="s">
        <v>1846</v>
      </c>
      <c r="D347" s="39" t="s">
        <v>1866</v>
      </c>
      <c r="E347" s="16" t="s">
        <v>1868</v>
      </c>
      <c r="F347" s="16" t="s">
        <v>1869</v>
      </c>
      <c r="G347" s="16" t="s">
        <v>1850</v>
      </c>
      <c r="H347" s="20" t="s">
        <v>69</v>
      </c>
      <c r="I347" s="21" t="s">
        <v>70</v>
      </c>
      <c r="J347" s="22" t="s">
        <v>1871</v>
      </c>
      <c r="K347" s="23">
        <v>15.0</v>
      </c>
      <c r="L347" s="24">
        <v>10.0</v>
      </c>
      <c r="M347" s="24" t="str">
        <f>IFERROR(VLOOKUP(D347,'Chủ đề bài nguồn'!$A$2:$C$735,3,0),"Khác")</f>
        <v>Ngoại tệ &amp; chuyển tiền quốc tế</v>
      </c>
      <c r="N347" s="24"/>
    </row>
    <row r="348">
      <c r="A348" s="15">
        <v>346.0</v>
      </c>
      <c r="B348" s="39" t="s">
        <v>810</v>
      </c>
      <c r="C348" s="18" t="s">
        <v>1846</v>
      </c>
      <c r="D348" s="39" t="s">
        <v>1201</v>
      </c>
      <c r="E348" s="16" t="s">
        <v>1875</v>
      </c>
      <c r="F348" s="16" t="s">
        <v>1876</v>
      </c>
      <c r="G348" s="16" t="s">
        <v>1850</v>
      </c>
      <c r="H348" s="20" t="s">
        <v>69</v>
      </c>
      <c r="I348" s="21" t="s">
        <v>70</v>
      </c>
      <c r="J348" s="22" t="s">
        <v>71</v>
      </c>
      <c r="K348" s="23">
        <v>15.0</v>
      </c>
      <c r="L348" s="24">
        <v>10.0</v>
      </c>
      <c r="M348" s="24" t="str">
        <f>IFERROR(VLOOKUP(D348,'Chủ đề bài nguồn'!$A$2:$C$735,3,0),"Khác")</f>
        <v>Doanh nghiệp (tài khoản, vay, tài chính)</v>
      </c>
      <c r="N348" s="24"/>
    </row>
    <row r="349">
      <c r="A349" s="15">
        <v>347.0</v>
      </c>
      <c r="B349" s="39" t="s">
        <v>810</v>
      </c>
      <c r="C349" s="18" t="s">
        <v>1846</v>
      </c>
      <c r="D349" s="39" t="s">
        <v>1878</v>
      </c>
      <c r="E349" s="16" t="s">
        <v>1880</v>
      </c>
      <c r="F349" s="16" t="s">
        <v>1881</v>
      </c>
      <c r="G349" s="16" t="s">
        <v>1850</v>
      </c>
      <c r="H349" s="20" t="s">
        <v>69</v>
      </c>
      <c r="I349" s="21" t="s">
        <v>70</v>
      </c>
      <c r="J349" s="22" t="s">
        <v>71</v>
      </c>
      <c r="K349" s="23">
        <v>15.0</v>
      </c>
      <c r="L349" s="24">
        <v>10.0</v>
      </c>
      <c r="M349" s="24" t="str">
        <f>IFERROR(VLOOKUP(D349,'Chủ đề bài nguồn'!$A$2:$C$735,3,0),"Khác")</f>
        <v>Đầu tư, CCTG, trái phiếu, vàng</v>
      </c>
      <c r="N349" s="24"/>
    </row>
    <row r="350">
      <c r="A350" s="15">
        <v>348.0</v>
      </c>
      <c r="B350" s="16" t="s">
        <v>810</v>
      </c>
      <c r="C350" s="18" t="s">
        <v>1846</v>
      </c>
      <c r="D350" s="16" t="s">
        <v>53</v>
      </c>
      <c r="E350" s="16" t="s">
        <v>1883</v>
      </c>
      <c r="F350" s="16" t="s">
        <v>1884</v>
      </c>
      <c r="G350" s="16" t="s">
        <v>1850</v>
      </c>
      <c r="H350" s="20" t="s">
        <v>69</v>
      </c>
      <c r="I350" s="21" t="s">
        <v>70</v>
      </c>
      <c r="J350" s="22" t="s">
        <v>71</v>
      </c>
      <c r="K350" s="23">
        <v>15.0</v>
      </c>
      <c r="L350" s="24">
        <v>10.0</v>
      </c>
      <c r="M350" s="24" t="str">
        <f>IFERROR(VLOOKUP(D350,'Chủ đề bài nguồn'!$A$2:$C$735,3,0),"Khác")</f>
        <v>Vay thế chấp &amp; mua nhà/xe</v>
      </c>
      <c r="N350" s="24"/>
    </row>
    <row r="351">
      <c r="A351" s="15">
        <v>349.0</v>
      </c>
      <c r="B351" s="16" t="s">
        <v>810</v>
      </c>
      <c r="C351" s="18" t="s">
        <v>1131</v>
      </c>
      <c r="D351" s="16" t="s">
        <v>1836</v>
      </c>
      <c r="E351" s="16" t="s">
        <v>1886</v>
      </c>
      <c r="F351" s="16" t="s">
        <v>1887</v>
      </c>
      <c r="G351" s="16" t="s">
        <v>1888</v>
      </c>
      <c r="H351" s="20" t="s">
        <v>69</v>
      </c>
      <c r="I351" s="21" t="s">
        <v>70</v>
      </c>
      <c r="J351" s="22" t="s">
        <v>71</v>
      </c>
      <c r="K351" s="23">
        <v>15.0</v>
      </c>
      <c r="L351" s="24">
        <v>10.0</v>
      </c>
      <c r="M351" s="24" t="str">
        <f>IFERROR(VLOOKUP(D351,'Chủ đề bài nguồn'!$A$2:$C$735,3,0),"Khác")</f>
        <v>Doanh nghiệp (tài khoản, vay, tài chính)</v>
      </c>
      <c r="N351" s="24"/>
    </row>
    <row r="352">
      <c r="A352" s="15">
        <v>350.0</v>
      </c>
      <c r="B352" s="16" t="s">
        <v>810</v>
      </c>
      <c r="C352" s="18" t="s">
        <v>1131</v>
      </c>
      <c r="D352" s="16" t="s">
        <v>1889</v>
      </c>
      <c r="E352" s="16" t="s">
        <v>1890</v>
      </c>
      <c r="F352" s="16" t="s">
        <v>1891</v>
      </c>
      <c r="G352" s="16" t="s">
        <v>1888</v>
      </c>
      <c r="H352" s="20" t="s">
        <v>69</v>
      </c>
      <c r="I352" s="21" t="s">
        <v>70</v>
      </c>
      <c r="J352" s="22" t="s">
        <v>71</v>
      </c>
      <c r="K352" s="23">
        <v>15.0</v>
      </c>
      <c r="L352" s="24">
        <v>10.0</v>
      </c>
      <c r="M352" s="24" t="str">
        <f>IFERROR(VLOOKUP(D352,'Chủ đề bài nguồn'!$A$2:$C$735,3,0),"Khác")</f>
        <v>Tiết kiệm &amp; lãi suất tiền gửi</v>
      </c>
      <c r="N352" s="24"/>
    </row>
    <row r="353">
      <c r="A353" s="15">
        <v>351.0</v>
      </c>
      <c r="B353" s="16" t="s">
        <v>810</v>
      </c>
      <c r="C353" s="18" t="s">
        <v>1131</v>
      </c>
      <c r="D353" s="16" t="s">
        <v>1892</v>
      </c>
      <c r="E353" s="16" t="s">
        <v>1893</v>
      </c>
      <c r="F353" s="16" t="s">
        <v>1894</v>
      </c>
      <c r="G353" s="16" t="s">
        <v>1888</v>
      </c>
      <c r="H353" s="20" t="s">
        <v>69</v>
      </c>
      <c r="I353" s="21" t="s">
        <v>70</v>
      </c>
      <c r="J353" s="22" t="s">
        <v>1895</v>
      </c>
      <c r="K353" s="23">
        <v>15.0</v>
      </c>
      <c r="L353" s="24">
        <v>10.0</v>
      </c>
      <c r="M353" s="24" t="str">
        <f>IFERROR(VLOOKUP(D353,'Chủ đề bài nguồn'!$A$2:$C$735,3,0),"Khác")</f>
        <v>Tiết kiệm &amp; lãi suất tiền gửi</v>
      </c>
      <c r="N353" s="24"/>
    </row>
    <row r="354">
      <c r="A354" s="15">
        <v>352.0</v>
      </c>
      <c r="B354" s="16" t="s">
        <v>810</v>
      </c>
      <c r="C354" s="18" t="s">
        <v>1131</v>
      </c>
      <c r="D354" s="16" t="s">
        <v>1160</v>
      </c>
      <c r="E354" s="16" t="s">
        <v>1896</v>
      </c>
      <c r="F354" s="16" t="s">
        <v>1897</v>
      </c>
      <c r="G354" s="16" t="s">
        <v>1888</v>
      </c>
      <c r="H354" s="20" t="s">
        <v>69</v>
      </c>
      <c r="I354" s="21" t="s">
        <v>70</v>
      </c>
      <c r="J354" s="22" t="s">
        <v>71</v>
      </c>
      <c r="K354" s="23">
        <v>15.0</v>
      </c>
      <c r="L354" s="24">
        <v>10.0</v>
      </c>
      <c r="M354" s="24" t="str">
        <f>IFERROR(VLOOKUP(D354,'Chủ đề bài nguồn'!$A$2:$C$735,3,0),"Khác")</f>
        <v>Vay tiêu dùng &amp; tín chấp</v>
      </c>
      <c r="N354" s="24"/>
    </row>
    <row r="355">
      <c r="A355" s="15">
        <v>353.0</v>
      </c>
      <c r="B355" s="16" t="s">
        <v>810</v>
      </c>
      <c r="C355" s="18" t="s">
        <v>1131</v>
      </c>
      <c r="D355" s="16" t="s">
        <v>1898</v>
      </c>
      <c r="E355" s="16" t="s">
        <v>1899</v>
      </c>
      <c r="F355" s="16" t="s">
        <v>1900</v>
      </c>
      <c r="G355" s="16" t="s">
        <v>1888</v>
      </c>
      <c r="H355" s="20" t="s">
        <v>69</v>
      </c>
      <c r="I355" s="21" t="s">
        <v>70</v>
      </c>
      <c r="J355" s="22" t="s">
        <v>71</v>
      </c>
      <c r="K355" s="23">
        <v>15.0</v>
      </c>
      <c r="L355" s="24">
        <v>10.0</v>
      </c>
      <c r="M355" s="24" t="str">
        <f>IFERROR(VLOOKUP(D355,'Chủ đề bài nguồn'!$A$2:$C$735,3,0),"Khác")</f>
        <v>Vay thế chấp &amp; mua nhà/xe</v>
      </c>
      <c r="N355" s="24"/>
    </row>
    <row r="356">
      <c r="A356" s="15">
        <v>354.0</v>
      </c>
      <c r="B356" s="16" t="s">
        <v>810</v>
      </c>
      <c r="C356" s="18" t="s">
        <v>1131</v>
      </c>
      <c r="D356" s="16" t="s">
        <v>1901</v>
      </c>
      <c r="E356" s="16" t="s">
        <v>1902</v>
      </c>
      <c r="F356" s="16" t="s">
        <v>1903</v>
      </c>
      <c r="G356" s="16" t="s">
        <v>1888</v>
      </c>
      <c r="H356" s="20" t="s">
        <v>69</v>
      </c>
      <c r="I356" s="21" t="s">
        <v>70</v>
      </c>
      <c r="J356" s="22" t="s">
        <v>71</v>
      </c>
      <c r="K356" s="23">
        <v>15.0</v>
      </c>
      <c r="L356" s="24">
        <v>10.0</v>
      </c>
      <c r="M356" s="24" t="str">
        <f>IFERROR(VLOOKUP(D356,'Chủ đề bài nguồn'!$A$2:$C$735,3,0),"Khác")</f>
        <v>Thẻ tín dụng</v>
      </c>
      <c r="N356" s="24"/>
    </row>
    <row r="357">
      <c r="A357" s="15">
        <v>355.0</v>
      </c>
      <c r="B357" s="16" t="s">
        <v>810</v>
      </c>
      <c r="C357" s="18" t="s">
        <v>1131</v>
      </c>
      <c r="D357" s="16" t="s">
        <v>1906</v>
      </c>
      <c r="E357" s="16" t="s">
        <v>1907</v>
      </c>
      <c r="F357" s="16" t="s">
        <v>1908</v>
      </c>
      <c r="G357" s="16" t="s">
        <v>1888</v>
      </c>
      <c r="H357" s="20" t="s">
        <v>69</v>
      </c>
      <c r="I357" s="21" t="s">
        <v>70</v>
      </c>
      <c r="J357" s="22" t="s">
        <v>71</v>
      </c>
      <c r="K357" s="23">
        <v>15.0</v>
      </c>
      <c r="L357" s="24">
        <v>10.0</v>
      </c>
      <c r="M357" s="24" t="str">
        <f>IFERROR(VLOOKUP(D357,'Chủ đề bài nguồn'!$A$2:$C$735,3,0),"Khác")</f>
        <v>Thẻ ATM &amp; thẻ ghi nợ</v>
      </c>
      <c r="N357" s="24"/>
    </row>
    <row r="358">
      <c r="A358" s="15">
        <v>356.0</v>
      </c>
      <c r="B358" s="16" t="s">
        <v>810</v>
      </c>
      <c r="C358" s="18" t="s">
        <v>1131</v>
      </c>
      <c r="D358" s="16" t="s">
        <v>1910</v>
      </c>
      <c r="E358" s="16" t="s">
        <v>1911</v>
      </c>
      <c r="F358" s="16" t="s">
        <v>1912</v>
      </c>
      <c r="G358" s="16" t="s">
        <v>1888</v>
      </c>
      <c r="H358" s="20" t="s">
        <v>69</v>
      </c>
      <c r="I358" s="21" t="s">
        <v>70</v>
      </c>
      <c r="J358" s="22" t="s">
        <v>71</v>
      </c>
      <c r="K358" s="23">
        <v>15.0</v>
      </c>
      <c r="L358" s="24">
        <v>10.0</v>
      </c>
      <c r="M358" s="24" t="str">
        <f>IFERROR(VLOOKUP(D358,'Chủ đề bài nguồn'!$A$2:$C$735,3,0),"Khác")</f>
        <v>Tiết kiệm &amp; lãi suất tiền gửi</v>
      </c>
      <c r="N358" s="24"/>
    </row>
    <row r="359">
      <c r="A359" s="15">
        <v>357.0</v>
      </c>
      <c r="B359" s="16" t="s">
        <v>810</v>
      </c>
      <c r="C359" s="18" t="s">
        <v>1131</v>
      </c>
      <c r="D359" s="16" t="s">
        <v>1913</v>
      </c>
      <c r="E359" s="16" t="s">
        <v>1914</v>
      </c>
      <c r="F359" s="16" t="s">
        <v>1915</v>
      </c>
      <c r="G359" s="16" t="s">
        <v>1888</v>
      </c>
      <c r="H359" s="20" t="s">
        <v>69</v>
      </c>
      <c r="I359" s="21" t="s">
        <v>70</v>
      </c>
      <c r="J359" s="22" t="s">
        <v>71</v>
      </c>
      <c r="K359" s="23">
        <v>15.0</v>
      </c>
      <c r="L359" s="24">
        <v>10.0</v>
      </c>
      <c r="M359" s="24" t="str">
        <f>IFERROR(VLOOKUP(D359,'Chủ đề bài nguồn'!$A$2:$C$735,3,0),"Khác")</f>
        <v>Tài khoản &amp; ngân hàng số</v>
      </c>
      <c r="N359" s="24"/>
    </row>
    <row r="360">
      <c r="A360" s="15">
        <v>358.0</v>
      </c>
      <c r="B360" s="16" t="s">
        <v>810</v>
      </c>
      <c r="C360" s="18" t="s">
        <v>1131</v>
      </c>
      <c r="D360" s="16" t="s">
        <v>1917</v>
      </c>
      <c r="E360" s="16" t="s">
        <v>1918</v>
      </c>
      <c r="F360" s="16" t="s">
        <v>1919</v>
      </c>
      <c r="G360" s="16" t="s">
        <v>1888</v>
      </c>
      <c r="H360" s="20" t="s">
        <v>69</v>
      </c>
      <c r="I360" s="21" t="s">
        <v>70</v>
      </c>
      <c r="J360" s="22" t="s">
        <v>71</v>
      </c>
      <c r="K360" s="23">
        <v>15.0</v>
      </c>
      <c r="L360" s="24">
        <v>10.0</v>
      </c>
      <c r="M360" s="24" t="str">
        <f>IFERROR(VLOOKUP(D360,'Chủ đề bài nguồn'!$A$2:$C$735,3,0),"Khác")</f>
        <v>Ngoại tệ &amp; chuyển tiền quốc tế</v>
      </c>
      <c r="N360" s="24"/>
    </row>
    <row r="361">
      <c r="A361" s="15">
        <v>359.0</v>
      </c>
      <c r="B361" s="39" t="s">
        <v>810</v>
      </c>
      <c r="C361" s="18" t="s">
        <v>1131</v>
      </c>
      <c r="D361" s="39" t="s">
        <v>1462</v>
      </c>
      <c r="E361" s="16" t="s">
        <v>1921</v>
      </c>
      <c r="F361" s="16" t="s">
        <v>1922</v>
      </c>
      <c r="G361" s="16" t="s">
        <v>1888</v>
      </c>
      <c r="H361" s="20" t="s">
        <v>155</v>
      </c>
      <c r="I361" s="21" t="s">
        <v>70</v>
      </c>
      <c r="J361" s="22" t="s">
        <v>71</v>
      </c>
      <c r="K361" s="23">
        <v>15.0</v>
      </c>
      <c r="L361" s="24">
        <v>20.0</v>
      </c>
      <c r="M361" s="24" t="str">
        <f>IFERROR(VLOOKUP(D361,'Chủ đề bài nguồn'!$A$2:$C$735,3,0),"Khác")</f>
        <v>Doanh nghiệp (tài khoản, vay, tài chính)</v>
      </c>
      <c r="N361" s="24"/>
    </row>
    <row r="362">
      <c r="A362" s="15">
        <v>360.0</v>
      </c>
      <c r="B362" s="16" t="s">
        <v>810</v>
      </c>
      <c r="C362" s="18" t="s">
        <v>1131</v>
      </c>
      <c r="D362" s="16" t="s">
        <v>1923</v>
      </c>
      <c r="E362" s="16" t="s">
        <v>1924</v>
      </c>
      <c r="F362" s="16" t="s">
        <v>1925</v>
      </c>
      <c r="G362" s="16" t="s">
        <v>1888</v>
      </c>
      <c r="H362" s="20" t="s">
        <v>155</v>
      </c>
      <c r="I362" s="21" t="s">
        <v>70</v>
      </c>
      <c r="J362" s="22" t="s">
        <v>71</v>
      </c>
      <c r="K362" s="23">
        <v>15.0</v>
      </c>
      <c r="L362" s="24">
        <v>20.0</v>
      </c>
      <c r="M362" s="24" t="str">
        <f>IFERROR(VLOOKUP(D362,'Chủ đề bài nguồn'!$A$2:$C$735,3,0),"Khác")</f>
        <v>Vay thế chấp &amp; mua nhà/xe</v>
      </c>
      <c r="N362" s="24"/>
    </row>
    <row r="363">
      <c r="A363" s="15">
        <v>361.0</v>
      </c>
      <c r="B363" s="16" t="s">
        <v>810</v>
      </c>
      <c r="C363" s="18" t="s">
        <v>1131</v>
      </c>
      <c r="D363" s="16" t="s">
        <v>1242</v>
      </c>
      <c r="E363" s="16" t="s">
        <v>1926</v>
      </c>
      <c r="F363" s="16" t="s">
        <v>1927</v>
      </c>
      <c r="G363" s="16" t="s">
        <v>1888</v>
      </c>
      <c r="H363" s="20" t="s">
        <v>155</v>
      </c>
      <c r="I363" s="21" t="s">
        <v>70</v>
      </c>
      <c r="J363" s="22" t="s">
        <v>71</v>
      </c>
      <c r="K363" s="23">
        <v>15.0</v>
      </c>
      <c r="L363" s="24">
        <v>20.0</v>
      </c>
      <c r="M363" s="24" t="str">
        <f>IFERROR(VLOOKUP(D363,'Chủ đề bài nguồn'!$A$2:$C$735,3,0),"Khác")</f>
        <v>Tài khoản &amp; ngân hàng số</v>
      </c>
      <c r="N363" s="24"/>
    </row>
    <row r="364">
      <c r="A364" s="15">
        <v>362.0</v>
      </c>
      <c r="B364" s="16" t="s">
        <v>810</v>
      </c>
      <c r="C364" s="18" t="s">
        <v>1846</v>
      </c>
      <c r="D364" s="16" t="s">
        <v>1276</v>
      </c>
      <c r="E364" s="16" t="s">
        <v>1929</v>
      </c>
      <c r="F364" s="16" t="s">
        <v>1930</v>
      </c>
      <c r="G364" s="16" t="s">
        <v>1931</v>
      </c>
      <c r="H364" s="20" t="s">
        <v>155</v>
      </c>
      <c r="I364" s="21" t="s">
        <v>70</v>
      </c>
      <c r="J364" s="22" t="s">
        <v>71</v>
      </c>
      <c r="K364" s="23">
        <v>15.0</v>
      </c>
      <c r="L364" s="24">
        <v>21.0</v>
      </c>
      <c r="M364" s="24" t="str">
        <f>IFERROR(VLOOKUP(D364,'Chủ đề bài nguồn'!$A$2:$C$735,3,0),"Khác")</f>
        <v>Tài khoản &amp; ngân hàng số</v>
      </c>
      <c r="N364" s="24"/>
    </row>
    <row r="365">
      <c r="A365" s="15">
        <v>363.0</v>
      </c>
      <c r="B365" s="16" t="s">
        <v>810</v>
      </c>
      <c r="C365" s="18" t="s">
        <v>1846</v>
      </c>
      <c r="D365" s="16" t="s">
        <v>1932</v>
      </c>
      <c r="E365" s="16" t="s">
        <v>1933</v>
      </c>
      <c r="F365" s="16" t="s">
        <v>1934</v>
      </c>
      <c r="G365" s="16" t="s">
        <v>1935</v>
      </c>
      <c r="H365" s="20" t="s">
        <v>155</v>
      </c>
      <c r="I365" s="21" t="s">
        <v>70</v>
      </c>
      <c r="J365" s="22" t="s">
        <v>71</v>
      </c>
      <c r="K365" s="23">
        <v>15.0</v>
      </c>
      <c r="L365" s="24">
        <v>21.0</v>
      </c>
      <c r="M365" s="24" t="str">
        <f>IFERROR(VLOOKUP(D365,'Chủ đề bài nguồn'!$A$2:$C$735,3,0),"Khác")</f>
        <v>Thẻ tín dụng</v>
      </c>
      <c r="N365" s="24"/>
    </row>
    <row r="366">
      <c r="A366" s="15">
        <v>364.0</v>
      </c>
      <c r="B366" s="16" t="s">
        <v>810</v>
      </c>
      <c r="C366" s="18" t="s">
        <v>1846</v>
      </c>
      <c r="D366" s="16" t="s">
        <v>961</v>
      </c>
      <c r="E366" s="16" t="s">
        <v>1937</v>
      </c>
      <c r="F366" s="16" t="s">
        <v>1938</v>
      </c>
      <c r="G366" s="16" t="s">
        <v>1939</v>
      </c>
      <c r="H366" s="20" t="s">
        <v>155</v>
      </c>
      <c r="I366" s="21" t="s">
        <v>70</v>
      </c>
      <c r="J366" s="22" t="s">
        <v>71</v>
      </c>
      <c r="K366" s="23">
        <v>15.0</v>
      </c>
      <c r="L366" s="24">
        <v>21.0</v>
      </c>
      <c r="M366" s="24" t="str">
        <f>IFERROR(VLOOKUP(D366,'Chủ đề bài nguồn'!$A$2:$C$735,3,0),"Khác")</f>
        <v>Đầu tư, CCTG, trái phiếu, vàng</v>
      </c>
      <c r="N366" s="24"/>
    </row>
    <row r="367">
      <c r="A367" s="15">
        <v>365.0</v>
      </c>
      <c r="B367" s="16" t="s">
        <v>810</v>
      </c>
      <c r="C367" s="18" t="s">
        <v>1846</v>
      </c>
      <c r="D367" s="16" t="s">
        <v>1941</v>
      </c>
      <c r="E367" s="16" t="s">
        <v>1942</v>
      </c>
      <c r="F367" s="16" t="s">
        <v>1943</v>
      </c>
      <c r="G367" s="16" t="s">
        <v>1944</v>
      </c>
      <c r="H367" s="20" t="s">
        <v>155</v>
      </c>
      <c r="I367" s="21" t="s">
        <v>70</v>
      </c>
      <c r="J367" s="22" t="s">
        <v>71</v>
      </c>
      <c r="K367" s="23">
        <v>15.0</v>
      </c>
      <c r="L367" s="24">
        <v>21.0</v>
      </c>
      <c r="M367" s="24" t="str">
        <f>IFERROR(VLOOKUP(D367,'Chủ đề bài nguồn'!$A$2:$C$735,3,0),"Khác")</f>
        <v>Ngoại tệ &amp; chuyển tiền quốc tế</v>
      </c>
      <c r="N367" s="24"/>
    </row>
    <row r="368">
      <c r="A368" s="15">
        <v>366.0</v>
      </c>
      <c r="B368" s="16" t="s">
        <v>810</v>
      </c>
      <c r="C368" s="18" t="s">
        <v>1131</v>
      </c>
      <c r="D368" s="16" t="s">
        <v>1945</v>
      </c>
      <c r="E368" s="16" t="s">
        <v>1946</v>
      </c>
      <c r="F368" s="16" t="s">
        <v>1947</v>
      </c>
      <c r="G368" s="16" t="s">
        <v>1948</v>
      </c>
      <c r="H368" s="20" t="s">
        <v>155</v>
      </c>
      <c r="I368" s="21" t="s">
        <v>70</v>
      </c>
      <c r="J368" s="22" t="s">
        <v>71</v>
      </c>
      <c r="K368" s="23">
        <v>15.0</v>
      </c>
      <c r="L368" s="24">
        <v>21.0</v>
      </c>
      <c r="M368" s="24" t="str">
        <f>IFERROR(VLOOKUP(D368,'Chủ đề bài nguồn'!$A$2:$C$735,3,0),"Khác")</f>
        <v>Ngân hàng xanh &amp; thương hiệu</v>
      </c>
      <c r="N368" s="24"/>
    </row>
    <row r="369">
      <c r="A369" s="15">
        <v>367.0</v>
      </c>
      <c r="B369" s="16" t="s">
        <v>810</v>
      </c>
      <c r="C369" s="18" t="s">
        <v>1131</v>
      </c>
      <c r="D369" s="16" t="s">
        <v>1949</v>
      </c>
      <c r="E369" s="16" t="s">
        <v>1950</v>
      </c>
      <c r="F369" s="16" t="s">
        <v>1951</v>
      </c>
      <c r="G369" s="16" t="s">
        <v>1952</v>
      </c>
      <c r="H369" s="20" t="s">
        <v>155</v>
      </c>
      <c r="I369" s="21" t="s">
        <v>70</v>
      </c>
      <c r="J369" s="22" t="s">
        <v>71</v>
      </c>
      <c r="K369" s="23">
        <v>15.0</v>
      </c>
      <c r="L369" s="24">
        <v>21.0</v>
      </c>
      <c r="M369" s="24" t="str">
        <f>IFERROR(VLOOKUP(D369,'Chủ đề bài nguồn'!$A$2:$C$735,3,0),"Khác")</f>
        <v>Vay tiêu dùng &amp; tín chấp</v>
      </c>
      <c r="N369" s="24"/>
    </row>
    <row r="370">
      <c r="A370" s="15">
        <v>368.0</v>
      </c>
      <c r="B370" s="16" t="s">
        <v>810</v>
      </c>
      <c r="C370" s="18" t="s">
        <v>1131</v>
      </c>
      <c r="D370" s="16" t="s">
        <v>1953</v>
      </c>
      <c r="E370" s="16" t="s">
        <v>710</v>
      </c>
      <c r="F370" s="16" t="s">
        <v>1954</v>
      </c>
      <c r="G370" s="16" t="s">
        <v>1955</v>
      </c>
      <c r="H370" s="20" t="s">
        <v>229</v>
      </c>
      <c r="I370" s="21" t="s">
        <v>70</v>
      </c>
      <c r="J370" s="22" t="s">
        <v>1956</v>
      </c>
      <c r="K370" s="23">
        <v>15.0</v>
      </c>
      <c r="L370" s="24">
        <v>31.0</v>
      </c>
      <c r="M370" s="24" t="str">
        <f>IFERROR(VLOOKUP(D370,'Chủ đề bài nguồn'!$A$2:$C$735,3,0),"Khác")</f>
        <v>Hộ kinh doanh &amp; bán hàng</v>
      </c>
      <c r="N370" s="24"/>
    </row>
    <row r="371">
      <c r="A371" s="15">
        <v>369.0</v>
      </c>
      <c r="B371" s="16" t="s">
        <v>810</v>
      </c>
      <c r="C371" s="18" t="s">
        <v>1131</v>
      </c>
      <c r="D371" s="16" t="s">
        <v>1957</v>
      </c>
      <c r="E371" s="16" t="s">
        <v>1958</v>
      </c>
      <c r="F371" s="16" t="s">
        <v>1959</v>
      </c>
      <c r="G371" s="16" t="s">
        <v>1960</v>
      </c>
      <c r="H371" s="20" t="s">
        <v>229</v>
      </c>
      <c r="I371" s="21" t="s">
        <v>70</v>
      </c>
      <c r="J371" s="22" t="s">
        <v>71</v>
      </c>
      <c r="K371" s="23">
        <v>15.0</v>
      </c>
      <c r="L371" s="24">
        <v>31.0</v>
      </c>
      <c r="M371" s="24" t="str">
        <f>IFERROR(VLOOKUP(D371,'Chủ đề bài nguồn'!$A$2:$C$735,3,0),"Khác")</f>
        <v>Thẻ tín dụng</v>
      </c>
      <c r="N371" s="24"/>
    </row>
    <row r="372">
      <c r="A372" s="15">
        <v>370.0</v>
      </c>
      <c r="B372" s="16" t="s">
        <v>823</v>
      </c>
      <c r="C372" s="18" t="s">
        <v>1157</v>
      </c>
      <c r="D372" s="16" t="s">
        <v>1962</v>
      </c>
      <c r="E372" s="16" t="s">
        <v>1963</v>
      </c>
      <c r="F372" s="16" t="s">
        <v>1964</v>
      </c>
      <c r="G372" s="16" t="s">
        <v>1965</v>
      </c>
      <c r="H372" s="20" t="s">
        <v>69</v>
      </c>
      <c r="I372" s="21" t="s">
        <v>70</v>
      </c>
      <c r="J372" s="22" t="s">
        <v>1966</v>
      </c>
      <c r="K372" s="23">
        <v>16.0</v>
      </c>
      <c r="L372" s="24">
        <v>11.0</v>
      </c>
      <c r="M372" s="24" t="str">
        <f>IFERROR(VLOOKUP(D372,'Chủ đề bài nguồn'!$A$2:$C$735,3,0),"Khác")</f>
        <v>Tài khoản &amp; ngân hàng số</v>
      </c>
      <c r="N372" s="24"/>
    </row>
    <row r="373">
      <c r="A373" s="15">
        <v>371.0</v>
      </c>
      <c r="B373" s="16" t="s">
        <v>823</v>
      </c>
      <c r="C373" s="18" t="s">
        <v>1967</v>
      </c>
      <c r="D373" s="16" t="s">
        <v>1726</v>
      </c>
      <c r="E373" s="16" t="s">
        <v>1968</v>
      </c>
      <c r="F373" s="16" t="s">
        <v>1969</v>
      </c>
      <c r="G373" s="16" t="s">
        <v>1970</v>
      </c>
      <c r="H373" s="20" t="s">
        <v>69</v>
      </c>
      <c r="I373" s="21" t="s">
        <v>70</v>
      </c>
      <c r="J373" s="22" t="s">
        <v>71</v>
      </c>
      <c r="K373" s="23">
        <v>16.0</v>
      </c>
      <c r="L373" s="24">
        <v>11.0</v>
      </c>
      <c r="M373" s="24" t="str">
        <f>IFERROR(VLOOKUP(D373,'Chủ đề bài nguồn'!$A$2:$C$735,3,0),"Khác")</f>
        <v>Thanh toán, chuyển khoản &amp; QR</v>
      </c>
      <c r="N373" s="24"/>
    </row>
    <row r="374">
      <c r="A374" s="15">
        <v>372.0</v>
      </c>
      <c r="B374" s="16" t="s">
        <v>823</v>
      </c>
      <c r="C374" s="18" t="s">
        <v>1967</v>
      </c>
      <c r="D374" s="16" t="s">
        <v>1369</v>
      </c>
      <c r="E374" s="16" t="s">
        <v>1370</v>
      </c>
      <c r="F374" s="16" t="s">
        <v>1971</v>
      </c>
      <c r="G374" s="16" t="s">
        <v>1972</v>
      </c>
      <c r="H374" s="20" t="s">
        <v>69</v>
      </c>
      <c r="I374" s="21" t="s">
        <v>70</v>
      </c>
      <c r="J374" s="22" t="s">
        <v>71</v>
      </c>
      <c r="K374" s="23">
        <v>16.0</v>
      </c>
      <c r="L374" s="24">
        <v>11.0</v>
      </c>
      <c r="M374" s="24" t="str">
        <f>IFERROR(VLOOKUP(D374,'Chủ đề bài nguồn'!$A$2:$C$735,3,0),"Khác")</f>
        <v>Thanh toán, chuyển khoản &amp; QR</v>
      </c>
      <c r="N374" s="24"/>
    </row>
    <row r="375">
      <c r="A375" s="15">
        <v>373.0</v>
      </c>
      <c r="B375" s="16" t="s">
        <v>823</v>
      </c>
      <c r="C375" s="18" t="s">
        <v>1157</v>
      </c>
      <c r="D375" s="16" t="s">
        <v>1973</v>
      </c>
      <c r="E375" s="16" t="s">
        <v>1974</v>
      </c>
      <c r="F375" s="16" t="s">
        <v>1975</v>
      </c>
      <c r="G375" s="16" t="s">
        <v>1976</v>
      </c>
      <c r="H375" s="20" t="s">
        <v>155</v>
      </c>
      <c r="I375" s="21" t="s">
        <v>70</v>
      </c>
      <c r="J375" s="22" t="s">
        <v>71</v>
      </c>
      <c r="K375" s="23">
        <v>16.0</v>
      </c>
      <c r="L375" s="24">
        <v>21.0</v>
      </c>
      <c r="M375" s="24" t="str">
        <f>IFERROR(VLOOKUP(D375,'Chủ đề bài nguồn'!$A$2:$C$735,3,0),"Khác")</f>
        <v>Ngoại tệ &amp; chuyển tiền quốc tế</v>
      </c>
      <c r="N375" s="24"/>
    </row>
    <row r="376">
      <c r="A376" s="15">
        <v>374.0</v>
      </c>
      <c r="B376" s="16" t="s">
        <v>823</v>
      </c>
      <c r="C376" s="18" t="s">
        <v>1157</v>
      </c>
      <c r="D376" s="16" t="s">
        <v>494</v>
      </c>
      <c r="E376" s="16" t="s">
        <v>1977</v>
      </c>
      <c r="F376" s="16" t="s">
        <v>1978</v>
      </c>
      <c r="G376" s="16" t="s">
        <v>1979</v>
      </c>
      <c r="H376" s="20" t="s">
        <v>155</v>
      </c>
      <c r="I376" s="21" t="s">
        <v>70</v>
      </c>
      <c r="J376" s="22" t="s">
        <v>71</v>
      </c>
      <c r="K376" s="23">
        <v>16.0</v>
      </c>
      <c r="L376" s="24">
        <v>21.0</v>
      </c>
      <c r="M376" s="24" t="str">
        <f>IFERROR(VLOOKUP(D376,'Chủ đề bài nguồn'!$A$2:$C$735,3,0),"Khác")</f>
        <v>Doanh nghiệp (tài khoản, vay, tài chính)</v>
      </c>
      <c r="N376" s="24"/>
    </row>
    <row r="377">
      <c r="A377" s="15">
        <v>375.0</v>
      </c>
      <c r="B377" s="16" t="s">
        <v>823</v>
      </c>
      <c r="C377" s="18" t="s">
        <v>1157</v>
      </c>
      <c r="D377" s="16" t="s">
        <v>1980</v>
      </c>
      <c r="E377" s="16" t="s">
        <v>1981</v>
      </c>
      <c r="F377" s="16" t="s">
        <v>1982</v>
      </c>
      <c r="G377" s="16" t="s">
        <v>1983</v>
      </c>
      <c r="H377" s="20" t="s">
        <v>155</v>
      </c>
      <c r="I377" s="21" t="s">
        <v>70</v>
      </c>
      <c r="J377" s="22" t="s">
        <v>71</v>
      </c>
      <c r="K377" s="23">
        <v>16.0</v>
      </c>
      <c r="L377" s="24">
        <v>21.0</v>
      </c>
      <c r="M377" s="24" t="str">
        <f>IFERROR(VLOOKUP(D377,'Chủ đề bài nguồn'!$A$2:$C$735,3,0),"Khác")</f>
        <v>Hộ kinh doanh &amp; bán hàng</v>
      </c>
      <c r="N377" s="24"/>
    </row>
    <row r="378">
      <c r="A378" s="15">
        <v>376.0</v>
      </c>
      <c r="B378" s="16" t="s">
        <v>823</v>
      </c>
      <c r="C378" s="18" t="s">
        <v>1157</v>
      </c>
      <c r="D378" s="16" t="s">
        <v>1359</v>
      </c>
      <c r="E378" s="16" t="s">
        <v>1360</v>
      </c>
      <c r="F378" s="16" t="s">
        <v>1984</v>
      </c>
      <c r="G378" s="16" t="s">
        <v>1985</v>
      </c>
      <c r="H378" s="20" t="s">
        <v>155</v>
      </c>
      <c r="I378" s="21" t="s">
        <v>70</v>
      </c>
      <c r="J378" s="22" t="s">
        <v>71</v>
      </c>
      <c r="K378" s="23">
        <v>16.0</v>
      </c>
      <c r="L378" s="24">
        <v>21.0</v>
      </c>
      <c r="M378" s="24" t="str">
        <f>IFERROR(VLOOKUP(D378,'Chủ đề bài nguồn'!$A$2:$C$735,3,0),"Khác")</f>
        <v>Thẻ ATM &amp; thẻ ghi nợ</v>
      </c>
      <c r="N378" s="24"/>
    </row>
    <row r="379">
      <c r="A379" s="15">
        <v>377.0</v>
      </c>
      <c r="B379" s="16" t="s">
        <v>823</v>
      </c>
      <c r="C379" s="18" t="s">
        <v>1157</v>
      </c>
      <c r="D379" s="16" t="s">
        <v>1639</v>
      </c>
      <c r="E379" s="16" t="s">
        <v>1986</v>
      </c>
      <c r="F379" s="16" t="s">
        <v>1987</v>
      </c>
      <c r="G379" s="16" t="s">
        <v>1988</v>
      </c>
      <c r="H379" s="20" t="s">
        <v>155</v>
      </c>
      <c r="I379" s="21" t="s">
        <v>70</v>
      </c>
      <c r="J379" s="22" t="s">
        <v>71</v>
      </c>
      <c r="K379" s="23">
        <v>16.0</v>
      </c>
      <c r="L379" s="24">
        <v>21.0</v>
      </c>
      <c r="M379" s="24" t="str">
        <f>IFERROR(VLOOKUP(D379,'Chủ đề bài nguồn'!$A$2:$C$735,3,0),"Khác")</f>
        <v>Thanh toán, chuyển khoản &amp; QR</v>
      </c>
      <c r="N379" s="24"/>
    </row>
    <row r="380">
      <c r="A380" s="15">
        <v>378.0</v>
      </c>
      <c r="B380" s="16" t="s">
        <v>823</v>
      </c>
      <c r="C380" s="18" t="s">
        <v>1989</v>
      </c>
      <c r="D380" s="16" t="s">
        <v>1621</v>
      </c>
      <c r="E380" s="16" t="s">
        <v>1990</v>
      </c>
      <c r="F380" s="16" t="s">
        <v>1991</v>
      </c>
      <c r="G380" s="16" t="s">
        <v>1992</v>
      </c>
      <c r="H380" s="20" t="s">
        <v>155</v>
      </c>
      <c r="I380" s="21" t="s">
        <v>70</v>
      </c>
      <c r="J380" s="22" t="s">
        <v>71</v>
      </c>
      <c r="K380" s="23">
        <v>16.0</v>
      </c>
      <c r="L380" s="24">
        <v>21.0</v>
      </c>
      <c r="M380" s="24" t="str">
        <f>IFERROR(VLOOKUP(D380,'Chủ đề bài nguồn'!$A$2:$C$735,3,0),"Khác")</f>
        <v>Thanh toán, chuyển khoản &amp; QR</v>
      </c>
      <c r="N380" s="24"/>
    </row>
    <row r="381">
      <c r="A381" s="15">
        <v>379.0</v>
      </c>
      <c r="B381" s="16" t="s">
        <v>823</v>
      </c>
      <c r="C381" s="18" t="s">
        <v>1989</v>
      </c>
      <c r="D381" s="16" t="s">
        <v>1993</v>
      </c>
      <c r="E381" s="16" t="s">
        <v>1994</v>
      </c>
      <c r="F381" s="16" t="s">
        <v>1995</v>
      </c>
      <c r="G381" s="16" t="s">
        <v>1996</v>
      </c>
      <c r="H381" s="20" t="s">
        <v>155</v>
      </c>
      <c r="I381" s="21" t="s">
        <v>70</v>
      </c>
      <c r="J381" s="22" t="s">
        <v>71</v>
      </c>
      <c r="K381" s="23">
        <v>16.0</v>
      </c>
      <c r="L381" s="24">
        <v>21.0</v>
      </c>
      <c r="M381" s="24" t="str">
        <f>IFERROR(VLOOKUP(D381,'Chủ đề bài nguồn'!$A$2:$C$735,3,0),"Khác")</f>
        <v>Tài khoản &amp; ngân hàng số</v>
      </c>
      <c r="N381" s="24"/>
    </row>
    <row r="382">
      <c r="A382" s="15">
        <v>380.0</v>
      </c>
      <c r="B382" s="16" t="s">
        <v>823</v>
      </c>
      <c r="C382" s="18" t="s">
        <v>1989</v>
      </c>
      <c r="D382" s="16" t="s">
        <v>376</v>
      </c>
      <c r="E382" s="16" t="s">
        <v>1997</v>
      </c>
      <c r="F382" s="16" t="s">
        <v>1998</v>
      </c>
      <c r="G382" s="16" t="s">
        <v>1999</v>
      </c>
      <c r="H382" s="20" t="s">
        <v>155</v>
      </c>
      <c r="I382" s="21" t="s">
        <v>70</v>
      </c>
      <c r="J382" s="22" t="s">
        <v>71</v>
      </c>
      <c r="K382" s="23">
        <v>16.0</v>
      </c>
      <c r="L382" s="24">
        <v>21.0</v>
      </c>
      <c r="M382" s="24" t="str">
        <f>IFERROR(VLOOKUP(D382,'Chủ đề bài nguồn'!$A$2:$C$735,3,0),"Khác")</f>
        <v>Thanh toán, chuyển khoản &amp; QR</v>
      </c>
      <c r="N382" s="24"/>
    </row>
    <row r="383">
      <c r="A383" s="15">
        <v>381.0</v>
      </c>
      <c r="B383" s="16" t="s">
        <v>823</v>
      </c>
      <c r="C383" s="18" t="s">
        <v>1989</v>
      </c>
      <c r="D383" s="16" t="s">
        <v>2000</v>
      </c>
      <c r="E383" s="16" t="s">
        <v>2001</v>
      </c>
      <c r="F383" s="16" t="s">
        <v>2002</v>
      </c>
      <c r="G383" s="16" t="s">
        <v>2003</v>
      </c>
      <c r="H383" s="20" t="s">
        <v>155</v>
      </c>
      <c r="I383" s="21" t="s">
        <v>70</v>
      </c>
      <c r="J383" s="22" t="s">
        <v>71</v>
      </c>
      <c r="K383" s="23">
        <v>16.0</v>
      </c>
      <c r="L383" s="24">
        <v>21.0</v>
      </c>
      <c r="M383" s="24" t="str">
        <f>IFERROR(VLOOKUP(D383,'Chủ đề bài nguồn'!$A$2:$C$735,3,0),"Khác")</f>
        <v>Ngoại tệ &amp; chuyển tiền quốc tế</v>
      </c>
      <c r="N383" s="24"/>
    </row>
    <row r="384">
      <c r="A384" s="15">
        <v>382.0</v>
      </c>
      <c r="B384" s="16" t="s">
        <v>823</v>
      </c>
      <c r="C384" s="18" t="s">
        <v>1989</v>
      </c>
      <c r="D384" s="16" t="s">
        <v>1742</v>
      </c>
      <c r="E384" s="16" t="s">
        <v>2004</v>
      </c>
      <c r="F384" s="16" t="s">
        <v>2005</v>
      </c>
      <c r="G384" s="16" t="s">
        <v>2006</v>
      </c>
      <c r="H384" s="20" t="s">
        <v>155</v>
      </c>
      <c r="I384" s="21" t="s">
        <v>70</v>
      </c>
      <c r="J384" s="22" t="s">
        <v>71</v>
      </c>
      <c r="K384" s="23">
        <v>16.0</v>
      </c>
      <c r="L384" s="24">
        <v>21.0</v>
      </c>
      <c r="M384" s="24" t="str">
        <f>IFERROR(VLOOKUP(D384,'Chủ đề bài nguồn'!$A$2:$C$735,3,0),"Khác")</f>
        <v>Thanh toán, chuyển khoản &amp; QR</v>
      </c>
      <c r="N384" s="24"/>
    </row>
    <row r="385">
      <c r="A385" s="15">
        <v>383.0</v>
      </c>
      <c r="B385" s="16" t="s">
        <v>823</v>
      </c>
      <c r="C385" s="18" t="s">
        <v>1989</v>
      </c>
      <c r="D385" s="16" t="s">
        <v>2007</v>
      </c>
      <c r="E385" s="16" t="s">
        <v>2008</v>
      </c>
      <c r="F385" s="16" t="s">
        <v>2009</v>
      </c>
      <c r="G385" s="16" t="s">
        <v>2010</v>
      </c>
      <c r="H385" s="20" t="s">
        <v>155</v>
      </c>
      <c r="I385" s="21" t="s">
        <v>70</v>
      </c>
      <c r="J385" s="22" t="s">
        <v>71</v>
      </c>
      <c r="K385" s="23">
        <v>16.0</v>
      </c>
      <c r="L385" s="24">
        <v>21.0</v>
      </c>
      <c r="M385" s="24" t="str">
        <f>IFERROR(VLOOKUP(D385,'Chủ đề bài nguồn'!$A$2:$C$735,3,0),"Khác")</f>
        <v>Thẻ ATM &amp; thẻ ghi nợ</v>
      </c>
      <c r="N385" s="24"/>
    </row>
    <row r="386">
      <c r="A386" s="15">
        <v>384.0</v>
      </c>
      <c r="B386" s="16" t="s">
        <v>823</v>
      </c>
      <c r="C386" s="18" t="s">
        <v>1989</v>
      </c>
      <c r="D386" s="16" t="s">
        <v>2012</v>
      </c>
      <c r="E386" s="16" t="s">
        <v>2013</v>
      </c>
      <c r="F386" s="16" t="s">
        <v>2014</v>
      </c>
      <c r="G386" s="16" t="s">
        <v>2015</v>
      </c>
      <c r="H386" s="20" t="s">
        <v>229</v>
      </c>
      <c r="I386" s="21" t="s">
        <v>70</v>
      </c>
      <c r="J386" s="22" t="s">
        <v>71</v>
      </c>
      <c r="K386" s="23">
        <v>16.0</v>
      </c>
      <c r="L386" s="24">
        <v>31.0</v>
      </c>
      <c r="M386" s="24" t="str">
        <f>IFERROR(VLOOKUP(D386,'Chủ đề bài nguồn'!$A$2:$C$735,3,0),"Khác")</f>
        <v>Thanh toán, chuyển khoản &amp; QR</v>
      </c>
      <c r="N386" s="24"/>
    </row>
    <row r="387">
      <c r="A387" s="15">
        <v>385.0</v>
      </c>
      <c r="B387" s="16" t="s">
        <v>823</v>
      </c>
      <c r="C387" s="18" t="s">
        <v>1989</v>
      </c>
      <c r="D387" s="16" t="s">
        <v>2016</v>
      </c>
      <c r="E387" s="16" t="s">
        <v>2017</v>
      </c>
      <c r="F387" s="16" t="s">
        <v>2018</v>
      </c>
      <c r="G387" s="16" t="s">
        <v>2019</v>
      </c>
      <c r="H387" s="20" t="s">
        <v>229</v>
      </c>
      <c r="I387" s="21" t="s">
        <v>70</v>
      </c>
      <c r="J387" s="22" t="s">
        <v>2020</v>
      </c>
      <c r="K387" s="23">
        <v>16.0</v>
      </c>
      <c r="L387" s="24">
        <v>31.0</v>
      </c>
      <c r="M387" s="24" t="str">
        <f>IFERROR(VLOOKUP(D387,'Chủ đề bài nguồn'!$A$2:$C$735,3,0),"Khác")</f>
        <v>Ngoại tệ &amp; chuyển tiền quốc tế</v>
      </c>
      <c r="N387" s="24"/>
    </row>
    <row r="388">
      <c r="A388" s="15">
        <v>386.0</v>
      </c>
      <c r="B388" s="16" t="s">
        <v>823</v>
      </c>
      <c r="C388" s="18" t="s">
        <v>1989</v>
      </c>
      <c r="D388" s="16" t="s">
        <v>1633</v>
      </c>
      <c r="E388" s="16" t="s">
        <v>2021</v>
      </c>
      <c r="F388" s="16" t="s">
        <v>2022</v>
      </c>
      <c r="G388" s="16" t="s">
        <v>2019</v>
      </c>
      <c r="H388" s="20" t="s">
        <v>229</v>
      </c>
      <c r="I388" s="21" t="s">
        <v>70</v>
      </c>
      <c r="J388" s="22" t="s">
        <v>539</v>
      </c>
      <c r="K388" s="23">
        <v>16.0</v>
      </c>
      <c r="L388" s="24">
        <v>31.0</v>
      </c>
      <c r="M388" s="24" t="str">
        <f>IFERROR(VLOOKUP(D388,'Chủ đề bài nguồn'!$A$2:$C$735,3,0),"Khác")</f>
        <v>Thẻ ATM &amp; thẻ ghi nợ</v>
      </c>
      <c r="N388" s="24"/>
    </row>
    <row r="389">
      <c r="A389" s="15">
        <v>387.0</v>
      </c>
      <c r="B389" s="16" t="s">
        <v>823</v>
      </c>
      <c r="C389" s="18" t="s">
        <v>1989</v>
      </c>
      <c r="D389" s="16" t="s">
        <v>2023</v>
      </c>
      <c r="E389" s="16" t="s">
        <v>2024</v>
      </c>
      <c r="F389" s="16" t="s">
        <v>2025</v>
      </c>
      <c r="G389" s="16" t="s">
        <v>2026</v>
      </c>
      <c r="H389" s="20" t="s">
        <v>229</v>
      </c>
      <c r="I389" s="21" t="s">
        <v>70</v>
      </c>
      <c r="J389" s="22" t="s">
        <v>71</v>
      </c>
      <c r="K389" s="23">
        <v>16.0</v>
      </c>
      <c r="L389" s="24">
        <v>31.0</v>
      </c>
      <c r="M389" s="24" t="str">
        <f>IFERROR(VLOOKUP(D389,'Chủ đề bài nguồn'!$A$2:$C$735,3,0),"Khác")</f>
        <v>Thanh toán, chuyển khoản &amp; QR</v>
      </c>
      <c r="N389" s="24"/>
    </row>
    <row r="390">
      <c r="A390" s="15">
        <v>388.0</v>
      </c>
      <c r="B390" s="16" t="s">
        <v>823</v>
      </c>
      <c r="C390" s="18" t="s">
        <v>1989</v>
      </c>
      <c r="D390" s="16" t="s">
        <v>2027</v>
      </c>
      <c r="E390" s="16" t="s">
        <v>2028</v>
      </c>
      <c r="F390" s="16" t="s">
        <v>2029</v>
      </c>
      <c r="G390" s="16" t="s">
        <v>2030</v>
      </c>
      <c r="H390" s="20" t="s">
        <v>229</v>
      </c>
      <c r="I390" s="21" t="s">
        <v>70</v>
      </c>
      <c r="J390" s="22" t="s">
        <v>71</v>
      </c>
      <c r="K390" s="23">
        <v>16.0</v>
      </c>
      <c r="L390" s="24">
        <v>31.0</v>
      </c>
      <c r="M390" s="24" t="str">
        <f>IFERROR(VLOOKUP(D390,'Chủ đề bài nguồn'!$A$2:$C$735,3,0),"Khác")</f>
        <v>Ngoại tệ &amp; chuyển tiền quốc tế</v>
      </c>
      <c r="N390" s="24"/>
    </row>
    <row r="391">
      <c r="A391" s="15">
        <v>389.0</v>
      </c>
      <c r="B391" s="16" t="s">
        <v>823</v>
      </c>
      <c r="C391" s="18" t="s">
        <v>1989</v>
      </c>
      <c r="D391" s="16" t="s">
        <v>2031</v>
      </c>
      <c r="E391" s="16" t="s">
        <v>2032</v>
      </c>
      <c r="F391" s="16" t="s">
        <v>2033</v>
      </c>
      <c r="G391" s="16" t="s">
        <v>2034</v>
      </c>
      <c r="H391" s="20" t="s">
        <v>229</v>
      </c>
      <c r="I391" s="21" t="s">
        <v>70</v>
      </c>
      <c r="J391" s="22" t="s">
        <v>2020</v>
      </c>
      <c r="K391" s="23">
        <v>16.0</v>
      </c>
      <c r="L391" s="24">
        <v>31.0</v>
      </c>
      <c r="M391" s="24" t="str">
        <f>IFERROR(VLOOKUP(D391,'Chủ đề bài nguồn'!$A$2:$C$735,3,0),"Khác")</f>
        <v>Ngoại tệ &amp; chuyển tiền quốc tế</v>
      </c>
      <c r="N391" s="24"/>
    </row>
    <row r="392">
      <c r="A392" s="15">
        <v>390.0</v>
      </c>
      <c r="B392" s="16" t="s">
        <v>823</v>
      </c>
      <c r="C392" s="18" t="s">
        <v>1989</v>
      </c>
      <c r="D392" s="16" t="s">
        <v>1364</v>
      </c>
      <c r="E392" s="16" t="s">
        <v>2036</v>
      </c>
      <c r="F392" s="16" t="s">
        <v>2037</v>
      </c>
      <c r="G392" s="16" t="s">
        <v>2038</v>
      </c>
      <c r="H392" s="20" t="s">
        <v>229</v>
      </c>
      <c r="I392" s="21" t="s">
        <v>70</v>
      </c>
      <c r="J392" s="22" t="s">
        <v>71</v>
      </c>
      <c r="K392" s="23">
        <v>16.0</v>
      </c>
      <c r="L392" s="24">
        <v>31.0</v>
      </c>
      <c r="M392" s="24" t="str">
        <f>IFERROR(VLOOKUP(D392,'Chủ đề bài nguồn'!$A$2:$C$735,3,0),"Khác")</f>
        <v>Thanh toán, chuyển khoản &amp; QR</v>
      </c>
      <c r="N392" s="24"/>
    </row>
    <row r="393">
      <c r="A393" s="15">
        <v>391.0</v>
      </c>
      <c r="B393" s="16" t="s">
        <v>823</v>
      </c>
      <c r="C393" s="18" t="s">
        <v>1989</v>
      </c>
      <c r="D393" s="16" t="s">
        <v>2039</v>
      </c>
      <c r="E393" s="16" t="s">
        <v>2040</v>
      </c>
      <c r="F393" s="16" t="s">
        <v>2041</v>
      </c>
      <c r="G393" s="16" t="s">
        <v>2042</v>
      </c>
      <c r="H393" s="20" t="s">
        <v>229</v>
      </c>
      <c r="I393" s="21" t="s">
        <v>70</v>
      </c>
      <c r="J393" s="22" t="s">
        <v>387</v>
      </c>
      <c r="K393" s="23">
        <v>16.0</v>
      </c>
      <c r="L393" s="24">
        <v>31.0</v>
      </c>
      <c r="M393" s="24" t="str">
        <f>IFERROR(VLOOKUP(D393,'Chủ đề bài nguồn'!$A$2:$C$735,3,0),"Khác")</f>
        <v>Ưu đãi, du lịch &amp; đời sống</v>
      </c>
      <c r="N393" s="24"/>
    </row>
    <row r="394">
      <c r="A394" s="15">
        <v>392.0</v>
      </c>
      <c r="B394" s="16" t="s">
        <v>823</v>
      </c>
      <c r="C394" s="18" t="s">
        <v>1989</v>
      </c>
      <c r="D394" s="16" t="s">
        <v>2043</v>
      </c>
      <c r="E394" s="16" t="s">
        <v>2044</v>
      </c>
      <c r="F394" s="16" t="s">
        <v>2045</v>
      </c>
      <c r="G394" s="16" t="s">
        <v>2046</v>
      </c>
      <c r="H394" s="20" t="s">
        <v>229</v>
      </c>
      <c r="I394" s="21" t="s">
        <v>70</v>
      </c>
      <c r="J394" s="22" t="s">
        <v>71</v>
      </c>
      <c r="K394" s="23">
        <v>16.0</v>
      </c>
      <c r="L394" s="24">
        <v>31.0</v>
      </c>
      <c r="M394" s="24" t="str">
        <f>IFERROR(VLOOKUP(D394,'Chủ đề bài nguồn'!$A$2:$C$735,3,0),"Khác")</f>
        <v>Ngoại tệ &amp; chuyển tiền quốc tế</v>
      </c>
      <c r="N394" s="24"/>
    </row>
    <row r="395">
      <c r="A395" s="15">
        <v>393.0</v>
      </c>
      <c r="B395" s="16" t="s">
        <v>823</v>
      </c>
      <c r="C395" s="18" t="s">
        <v>1989</v>
      </c>
      <c r="D395" s="16" t="s">
        <v>2047</v>
      </c>
      <c r="E395" s="16" t="s">
        <v>2048</v>
      </c>
      <c r="F395" s="16" t="s">
        <v>2049</v>
      </c>
      <c r="G395" s="16" t="s">
        <v>2050</v>
      </c>
      <c r="H395" s="20" t="s">
        <v>229</v>
      </c>
      <c r="I395" s="21" t="s">
        <v>70</v>
      </c>
      <c r="J395" s="22" t="s">
        <v>2051</v>
      </c>
      <c r="K395" s="23">
        <v>16.0</v>
      </c>
      <c r="L395" s="24">
        <v>31.0</v>
      </c>
      <c r="M395" s="24" t="str">
        <f>IFERROR(VLOOKUP(D395,'Chủ đề bài nguồn'!$A$2:$C$735,3,0),"Khác")</f>
        <v>Ngoại tệ &amp; chuyển tiền quốc tế</v>
      </c>
      <c r="N395" s="24"/>
    </row>
    <row r="396">
      <c r="A396" s="15">
        <v>394.0</v>
      </c>
      <c r="B396" s="16" t="s">
        <v>834</v>
      </c>
      <c r="C396" s="18" t="s">
        <v>2052</v>
      </c>
      <c r="D396" s="16" t="s">
        <v>2053</v>
      </c>
      <c r="E396" s="16" t="s">
        <v>2054</v>
      </c>
      <c r="F396" s="16" t="s">
        <v>2055</v>
      </c>
      <c r="G396" s="16" t="s">
        <v>2056</v>
      </c>
      <c r="H396" s="20" t="s">
        <v>69</v>
      </c>
      <c r="I396" s="21" t="s">
        <v>70</v>
      </c>
      <c r="J396" s="22" t="s">
        <v>71</v>
      </c>
      <c r="K396" s="23">
        <v>17.0</v>
      </c>
      <c r="L396" s="24">
        <v>10.0</v>
      </c>
      <c r="M396" s="24" t="str">
        <f>IFERROR(VLOOKUP(D396,'Chủ đề bài nguồn'!$A$2:$C$735,3,0),"Khác")</f>
        <v>Tài khoản &amp; ngân hàng số</v>
      </c>
      <c r="N396" s="24"/>
    </row>
    <row r="397">
      <c r="A397" s="15">
        <v>395.0</v>
      </c>
      <c r="B397" s="16" t="s">
        <v>834</v>
      </c>
      <c r="C397" s="18" t="s">
        <v>1169</v>
      </c>
      <c r="D397" s="16" t="s">
        <v>1738</v>
      </c>
      <c r="E397" s="16" t="s">
        <v>2059</v>
      </c>
      <c r="F397" s="16" t="s">
        <v>2060</v>
      </c>
      <c r="G397" s="16" t="s">
        <v>2061</v>
      </c>
      <c r="H397" s="20" t="s">
        <v>69</v>
      </c>
      <c r="I397" s="21" t="s">
        <v>70</v>
      </c>
      <c r="J397" s="22" t="s">
        <v>71</v>
      </c>
      <c r="K397" s="23">
        <v>17.0</v>
      </c>
      <c r="L397" s="24">
        <v>11.0</v>
      </c>
      <c r="M397" s="24" t="str">
        <f>IFERROR(VLOOKUP(D397,'Chủ đề bài nguồn'!$A$2:$C$735,3,0),"Khác")</f>
        <v>Tài khoản &amp; ngân hàng số</v>
      </c>
      <c r="N397" s="24"/>
    </row>
    <row r="398">
      <c r="A398" s="15">
        <v>396.0</v>
      </c>
      <c r="B398" s="16" t="s">
        <v>834</v>
      </c>
      <c r="C398" s="18" t="s">
        <v>1169</v>
      </c>
      <c r="D398" s="16" t="s">
        <v>1333</v>
      </c>
      <c r="E398" s="16" t="s">
        <v>2062</v>
      </c>
      <c r="F398" s="16" t="s">
        <v>2063</v>
      </c>
      <c r="G398" s="16" t="s">
        <v>2064</v>
      </c>
      <c r="H398" s="20" t="s">
        <v>69</v>
      </c>
      <c r="I398" s="21" t="s">
        <v>70</v>
      </c>
      <c r="J398" s="22" t="s">
        <v>71</v>
      </c>
      <c r="K398" s="23">
        <v>17.0</v>
      </c>
      <c r="L398" s="24">
        <v>11.0</v>
      </c>
      <c r="M398" s="24" t="str">
        <f>IFERROR(VLOOKUP(D398,'Chủ đề bài nguồn'!$A$2:$C$735,3,0),"Khác")</f>
        <v>Hộ kinh doanh &amp; bán hàng</v>
      </c>
      <c r="N398" s="24"/>
    </row>
    <row r="399">
      <c r="A399" s="15">
        <v>397.0</v>
      </c>
      <c r="B399" s="16" t="s">
        <v>834</v>
      </c>
      <c r="C399" s="18" t="s">
        <v>1169</v>
      </c>
      <c r="D399" s="16" t="s">
        <v>1906</v>
      </c>
      <c r="E399" s="16" t="s">
        <v>2065</v>
      </c>
      <c r="F399" s="16" t="s">
        <v>2066</v>
      </c>
      <c r="G399" s="16" t="s">
        <v>2067</v>
      </c>
      <c r="H399" s="20" t="s">
        <v>155</v>
      </c>
      <c r="I399" s="21" t="s">
        <v>70</v>
      </c>
      <c r="J399" s="22" t="s">
        <v>71</v>
      </c>
      <c r="K399" s="23">
        <v>17.0</v>
      </c>
      <c r="L399" s="24">
        <v>21.0</v>
      </c>
      <c r="M399" s="24" t="str">
        <f>IFERROR(VLOOKUP(D399,'Chủ đề bài nguồn'!$A$2:$C$735,3,0),"Khác")</f>
        <v>Thẻ ATM &amp; thẻ ghi nợ</v>
      </c>
      <c r="N399" s="24"/>
    </row>
    <row r="400">
      <c r="A400" s="15">
        <v>398.0</v>
      </c>
      <c r="B400" s="16" t="s">
        <v>834</v>
      </c>
      <c r="C400" s="18" t="s">
        <v>1169</v>
      </c>
      <c r="D400" s="16" t="s">
        <v>1817</v>
      </c>
      <c r="E400" s="16" t="s">
        <v>2068</v>
      </c>
      <c r="F400" s="16" t="s">
        <v>2069</v>
      </c>
      <c r="G400" s="16" t="s">
        <v>2070</v>
      </c>
      <c r="H400" s="20" t="s">
        <v>155</v>
      </c>
      <c r="I400" s="21" t="s">
        <v>70</v>
      </c>
      <c r="J400" s="22" t="s">
        <v>71</v>
      </c>
      <c r="K400" s="23">
        <v>17.0</v>
      </c>
      <c r="L400" s="24">
        <v>21.0</v>
      </c>
      <c r="M400" s="24" t="str">
        <f>IFERROR(VLOOKUP(D400,'Chủ đề bài nguồn'!$A$2:$C$735,3,0),"Khác")</f>
        <v>Thẻ ATM &amp; thẻ ghi nợ</v>
      </c>
      <c r="N400" s="24"/>
    </row>
    <row r="401">
      <c r="A401" s="15">
        <v>399.0</v>
      </c>
      <c r="B401" s="16" t="s">
        <v>834</v>
      </c>
      <c r="C401" s="18" t="s">
        <v>1169</v>
      </c>
      <c r="D401" s="16" t="s">
        <v>1639</v>
      </c>
      <c r="E401" s="16" t="s">
        <v>2072</v>
      </c>
      <c r="F401" s="16" t="s">
        <v>2073</v>
      </c>
      <c r="G401" s="16" t="s">
        <v>2074</v>
      </c>
      <c r="H401" s="20" t="s">
        <v>155</v>
      </c>
      <c r="I401" s="21" t="s">
        <v>70</v>
      </c>
      <c r="J401" s="22" t="s">
        <v>71</v>
      </c>
      <c r="K401" s="23">
        <v>17.0</v>
      </c>
      <c r="L401" s="24">
        <v>21.0</v>
      </c>
      <c r="M401" s="24" t="str">
        <f>IFERROR(VLOOKUP(D401,'Chủ đề bài nguồn'!$A$2:$C$735,3,0),"Khác")</f>
        <v>Thanh toán, chuyển khoản &amp; QR</v>
      </c>
      <c r="N401" s="24"/>
    </row>
    <row r="402">
      <c r="A402" s="15">
        <v>400.0</v>
      </c>
      <c r="B402" s="16" t="s">
        <v>834</v>
      </c>
      <c r="C402" s="18" t="s">
        <v>1169</v>
      </c>
      <c r="D402" s="16" t="s">
        <v>1597</v>
      </c>
      <c r="E402" s="16" t="s">
        <v>2075</v>
      </c>
      <c r="F402" s="16" t="s">
        <v>2076</v>
      </c>
      <c r="G402" s="16" t="s">
        <v>2077</v>
      </c>
      <c r="H402" s="20" t="s">
        <v>155</v>
      </c>
      <c r="I402" s="21" t="s">
        <v>70</v>
      </c>
      <c r="J402" s="22" t="s">
        <v>71</v>
      </c>
      <c r="K402" s="23">
        <v>17.0</v>
      </c>
      <c r="L402" s="24">
        <v>21.0</v>
      </c>
      <c r="M402" s="24" t="str">
        <f>IFERROR(VLOOKUP(D402,'Chủ đề bài nguồn'!$A$2:$C$735,3,0),"Khác")</f>
        <v>Ưu đãi, du lịch &amp; đời sống</v>
      </c>
      <c r="N402" s="24"/>
    </row>
    <row r="403">
      <c r="A403" s="15">
        <v>401.0</v>
      </c>
      <c r="B403" s="16" t="s">
        <v>834</v>
      </c>
      <c r="C403" s="18" t="s">
        <v>1169</v>
      </c>
      <c r="D403" s="16" t="s">
        <v>835</v>
      </c>
      <c r="E403" s="16" t="s">
        <v>710</v>
      </c>
      <c r="F403" s="16" t="s">
        <v>2078</v>
      </c>
      <c r="G403" s="16" t="s">
        <v>2079</v>
      </c>
      <c r="H403" s="20" t="s">
        <v>155</v>
      </c>
      <c r="I403" s="21" t="s">
        <v>70</v>
      </c>
      <c r="J403" s="22" t="s">
        <v>71</v>
      </c>
      <c r="K403" s="23">
        <v>17.0</v>
      </c>
      <c r="L403" s="24">
        <v>21.0</v>
      </c>
      <c r="M403" s="24" t="str">
        <f>IFERROR(VLOOKUP(D403,'Chủ đề bài nguồn'!$A$2:$C$735,3,0),"Khác")</f>
        <v>Tài khoản &amp; ngân hàng số</v>
      </c>
      <c r="N403" s="24"/>
    </row>
    <row r="404">
      <c r="A404" s="15">
        <v>402.0</v>
      </c>
      <c r="B404" s="16" t="s">
        <v>834</v>
      </c>
      <c r="C404" s="18" t="s">
        <v>1169</v>
      </c>
      <c r="D404" s="16" t="s">
        <v>1100</v>
      </c>
      <c r="E404" s="16" t="s">
        <v>2081</v>
      </c>
      <c r="F404" s="16" t="s">
        <v>2082</v>
      </c>
      <c r="G404" s="16" t="s">
        <v>2083</v>
      </c>
      <c r="H404" s="20" t="s">
        <v>155</v>
      </c>
      <c r="I404" s="21" t="s">
        <v>70</v>
      </c>
      <c r="J404" s="22" t="s">
        <v>71</v>
      </c>
      <c r="K404" s="23">
        <v>17.0</v>
      </c>
      <c r="L404" s="24">
        <v>21.0</v>
      </c>
      <c r="M404" s="24" t="str">
        <f>IFERROR(VLOOKUP(D404,'Chủ đề bài nguồn'!$A$2:$C$735,3,0),"Khác")</f>
        <v>Hộ kinh doanh &amp; bán hàng</v>
      </c>
      <c r="N404" s="24"/>
    </row>
    <row r="405">
      <c r="A405" s="15">
        <v>403.0</v>
      </c>
      <c r="B405" s="16" t="s">
        <v>834</v>
      </c>
      <c r="C405" s="18" t="s">
        <v>1169</v>
      </c>
      <c r="D405" s="16" t="s">
        <v>2084</v>
      </c>
      <c r="E405" s="16" t="s">
        <v>2085</v>
      </c>
      <c r="F405" s="16" t="s">
        <v>2086</v>
      </c>
      <c r="G405" s="16" t="s">
        <v>2087</v>
      </c>
      <c r="H405" s="20" t="s">
        <v>155</v>
      </c>
      <c r="I405" s="21" t="s">
        <v>70</v>
      </c>
      <c r="J405" s="22" t="s">
        <v>71</v>
      </c>
      <c r="K405" s="23">
        <v>17.0</v>
      </c>
      <c r="L405" s="24">
        <v>21.0</v>
      </c>
      <c r="M405" s="24" t="str">
        <f>IFERROR(VLOOKUP(D405,'Chủ đề bài nguồn'!$A$2:$C$735,3,0),"Khác")</f>
        <v>Thẻ tín dụng</v>
      </c>
      <c r="N405" s="24"/>
    </row>
    <row r="406">
      <c r="A406" s="15">
        <v>404.0</v>
      </c>
      <c r="B406" s="16" t="s">
        <v>834</v>
      </c>
      <c r="C406" s="18" t="s">
        <v>1169</v>
      </c>
      <c r="D406" s="16" t="s">
        <v>2088</v>
      </c>
      <c r="E406" s="16" t="s">
        <v>2089</v>
      </c>
      <c r="F406" s="16" t="s">
        <v>2091</v>
      </c>
      <c r="G406" s="16" t="s">
        <v>2092</v>
      </c>
      <c r="H406" s="20" t="s">
        <v>155</v>
      </c>
      <c r="I406" s="21" t="s">
        <v>70</v>
      </c>
      <c r="J406" s="22" t="s">
        <v>71</v>
      </c>
      <c r="K406" s="23">
        <v>17.0</v>
      </c>
      <c r="L406" s="24">
        <v>21.0</v>
      </c>
      <c r="M406" s="24" t="str">
        <f>IFERROR(VLOOKUP(D406,'Chủ đề bài nguồn'!$A$2:$C$735,3,0),"Khác")</f>
        <v>Thẻ ATM &amp; thẻ ghi nợ</v>
      </c>
      <c r="N406" s="24"/>
    </row>
    <row r="407">
      <c r="A407" s="15">
        <v>405.0</v>
      </c>
      <c r="B407" s="16" t="s">
        <v>834</v>
      </c>
      <c r="C407" s="18" t="s">
        <v>1169</v>
      </c>
      <c r="D407" s="16" t="s">
        <v>2093</v>
      </c>
      <c r="E407" s="16" t="s">
        <v>2094</v>
      </c>
      <c r="F407" s="16" t="s">
        <v>2095</v>
      </c>
      <c r="G407" s="16" t="s">
        <v>2087</v>
      </c>
      <c r="H407" s="20" t="s">
        <v>155</v>
      </c>
      <c r="I407" s="21" t="s">
        <v>70</v>
      </c>
      <c r="J407" s="22" t="s">
        <v>71</v>
      </c>
      <c r="K407" s="23">
        <v>17.0</v>
      </c>
      <c r="L407" s="24">
        <v>21.0</v>
      </c>
      <c r="M407" s="24" t="str">
        <f>IFERROR(VLOOKUP(D407,'Chủ đề bài nguồn'!$A$2:$C$735,3,0),"Khác")</f>
        <v>Ngoại tệ &amp; chuyển tiền quốc tế</v>
      </c>
      <c r="N407" s="24"/>
    </row>
    <row r="408">
      <c r="A408" s="15">
        <v>406.0</v>
      </c>
      <c r="B408" s="16" t="s">
        <v>834</v>
      </c>
      <c r="C408" s="18" t="s">
        <v>1169</v>
      </c>
      <c r="D408" s="16" t="s">
        <v>683</v>
      </c>
      <c r="E408" s="16" t="s">
        <v>2096</v>
      </c>
      <c r="F408" s="16" t="s">
        <v>2097</v>
      </c>
      <c r="G408" s="16" t="s">
        <v>2098</v>
      </c>
      <c r="H408" s="20" t="s">
        <v>229</v>
      </c>
      <c r="I408" s="21" t="s">
        <v>70</v>
      </c>
      <c r="J408" s="22" t="s">
        <v>71</v>
      </c>
      <c r="K408" s="23">
        <v>17.0</v>
      </c>
      <c r="L408" s="24">
        <v>31.0</v>
      </c>
      <c r="M408" s="24" t="str">
        <f>IFERROR(VLOOKUP(D408,'Chủ đề bài nguồn'!$A$2:$C$735,3,0),"Khác")</f>
        <v>Thẻ ATM &amp; thẻ ghi nợ</v>
      </c>
      <c r="N408" s="24"/>
    </row>
    <row r="409">
      <c r="A409" s="15">
        <v>407.0</v>
      </c>
      <c r="B409" s="16" t="s">
        <v>834</v>
      </c>
      <c r="C409" s="18" t="s">
        <v>1169</v>
      </c>
      <c r="D409" s="16" t="s">
        <v>2099</v>
      </c>
      <c r="E409" s="16" t="s">
        <v>2100</v>
      </c>
      <c r="F409" s="16" t="s">
        <v>2101</v>
      </c>
      <c r="G409" s="16" t="s">
        <v>2102</v>
      </c>
      <c r="H409" s="20" t="s">
        <v>229</v>
      </c>
      <c r="I409" s="21" t="s">
        <v>70</v>
      </c>
      <c r="J409" s="22" t="s">
        <v>2103</v>
      </c>
      <c r="K409" s="23">
        <v>17.0</v>
      </c>
      <c r="L409" s="24">
        <v>31.0</v>
      </c>
      <c r="M409" s="24" t="str">
        <f>IFERROR(VLOOKUP(D409,'Chủ đề bài nguồn'!$A$2:$C$735,3,0),"Khác")</f>
        <v>Thẻ ATM &amp; thẻ ghi nợ</v>
      </c>
      <c r="N409" s="24"/>
    </row>
    <row r="410">
      <c r="A410" s="15">
        <v>408.0</v>
      </c>
      <c r="B410" s="16" t="s">
        <v>834</v>
      </c>
      <c r="C410" s="18" t="s">
        <v>1169</v>
      </c>
      <c r="D410" s="16" t="s">
        <v>2104</v>
      </c>
      <c r="E410" s="16" t="s">
        <v>2105</v>
      </c>
      <c r="F410" s="16" t="s">
        <v>2106</v>
      </c>
      <c r="G410" s="16" t="s">
        <v>2102</v>
      </c>
      <c r="H410" s="20" t="s">
        <v>229</v>
      </c>
      <c r="I410" s="21" t="s">
        <v>70</v>
      </c>
      <c r="J410" s="22" t="s">
        <v>71</v>
      </c>
      <c r="K410" s="23">
        <v>17.0</v>
      </c>
      <c r="L410" s="24">
        <v>31.0</v>
      </c>
      <c r="M410" s="24" t="str">
        <f>IFERROR(VLOOKUP(D410,'Chủ đề bài nguồn'!$A$2:$C$735,3,0),"Khác")</f>
        <v>Hộ kinh doanh &amp; bán hàng</v>
      </c>
      <c r="N410" s="24"/>
    </row>
    <row r="411">
      <c r="A411" s="15">
        <v>409.0</v>
      </c>
      <c r="B411" s="16" t="s">
        <v>834</v>
      </c>
      <c r="C411" s="18" t="s">
        <v>1169</v>
      </c>
      <c r="D411" s="16" t="s">
        <v>2107</v>
      </c>
      <c r="E411" s="16" t="s">
        <v>2108</v>
      </c>
      <c r="F411" s="16" t="s">
        <v>2109</v>
      </c>
      <c r="G411" s="16" t="s">
        <v>2110</v>
      </c>
      <c r="H411" s="20" t="s">
        <v>229</v>
      </c>
      <c r="I411" s="21" t="s">
        <v>70</v>
      </c>
      <c r="J411" s="22" t="s">
        <v>71</v>
      </c>
      <c r="K411" s="23">
        <v>17.0</v>
      </c>
      <c r="L411" s="24">
        <v>31.0</v>
      </c>
      <c r="M411" s="24" t="str">
        <f>IFERROR(VLOOKUP(D411,'Chủ đề bài nguồn'!$A$2:$C$735,3,0),"Khác")</f>
        <v>Thẻ ATM &amp; thẻ ghi nợ</v>
      </c>
      <c r="N411" s="24"/>
    </row>
    <row r="412">
      <c r="A412" s="15">
        <v>410.0</v>
      </c>
      <c r="B412" s="16" t="s">
        <v>834</v>
      </c>
      <c r="C412" s="18" t="s">
        <v>1169</v>
      </c>
      <c r="D412" s="16" t="s">
        <v>2111</v>
      </c>
      <c r="E412" s="16" t="s">
        <v>2112</v>
      </c>
      <c r="F412" s="16" t="s">
        <v>2113</v>
      </c>
      <c r="G412" s="16" t="s">
        <v>2114</v>
      </c>
      <c r="H412" s="20" t="s">
        <v>229</v>
      </c>
      <c r="I412" s="21" t="s">
        <v>70</v>
      </c>
      <c r="J412" s="22" t="s">
        <v>71</v>
      </c>
      <c r="K412" s="23">
        <v>17.0</v>
      </c>
      <c r="L412" s="24">
        <v>31.0</v>
      </c>
      <c r="M412" s="24" t="str">
        <f>IFERROR(VLOOKUP(D412,'Chủ đề bài nguồn'!$A$2:$C$735,3,0),"Khác")</f>
        <v>Tài khoản &amp; ngân hàng số</v>
      </c>
      <c r="N412" s="24"/>
    </row>
    <row r="413">
      <c r="A413" s="15">
        <v>411.0</v>
      </c>
      <c r="B413" s="16" t="s">
        <v>834</v>
      </c>
      <c r="C413" s="18" t="s">
        <v>1169</v>
      </c>
      <c r="D413" s="16" t="s">
        <v>1932</v>
      </c>
      <c r="E413" s="16" t="s">
        <v>1933</v>
      </c>
      <c r="F413" s="16" t="s">
        <v>2115</v>
      </c>
      <c r="G413" s="16" t="s">
        <v>2102</v>
      </c>
      <c r="H413" s="20" t="s">
        <v>229</v>
      </c>
      <c r="I413" s="21" t="s">
        <v>70</v>
      </c>
      <c r="J413" s="22" t="s">
        <v>2116</v>
      </c>
      <c r="K413" s="23">
        <v>17.0</v>
      </c>
      <c r="L413" s="24">
        <v>31.0</v>
      </c>
      <c r="M413" s="24" t="str">
        <f>IFERROR(VLOOKUP(D413,'Chủ đề bài nguồn'!$A$2:$C$735,3,0),"Khác")</f>
        <v>Thẻ tín dụng</v>
      </c>
      <c r="N413" s="24"/>
    </row>
    <row r="414">
      <c r="A414" s="15">
        <v>412.0</v>
      </c>
      <c r="B414" s="16" t="s">
        <v>834</v>
      </c>
      <c r="C414" s="18" t="s">
        <v>1169</v>
      </c>
      <c r="D414" s="16" t="s">
        <v>1391</v>
      </c>
      <c r="E414" s="16" t="s">
        <v>2118</v>
      </c>
      <c r="F414" s="16" t="s">
        <v>2119</v>
      </c>
      <c r="G414" s="16" t="s">
        <v>2120</v>
      </c>
      <c r="H414" s="20" t="s">
        <v>229</v>
      </c>
      <c r="I414" s="21" t="s">
        <v>70</v>
      </c>
      <c r="J414" s="22" t="s">
        <v>1073</v>
      </c>
      <c r="K414" s="23">
        <v>17.0</v>
      </c>
      <c r="L414" s="24">
        <v>31.0</v>
      </c>
      <c r="M414" s="24" t="str">
        <f>IFERROR(VLOOKUP(D414,'Chủ đề bài nguồn'!$A$2:$C$735,3,0),"Khác")</f>
        <v>Tài khoản &amp; ngân hàng số</v>
      </c>
      <c r="N414" s="24"/>
    </row>
    <row r="415">
      <c r="A415" s="15">
        <v>413.0</v>
      </c>
      <c r="B415" s="16" t="s">
        <v>834</v>
      </c>
      <c r="C415" s="18" t="s">
        <v>1169</v>
      </c>
      <c r="D415" s="16" t="s">
        <v>2121</v>
      </c>
      <c r="E415" s="16" t="s">
        <v>2122</v>
      </c>
      <c r="F415" s="16" t="s">
        <v>1684</v>
      </c>
      <c r="G415" s="16" t="s">
        <v>2123</v>
      </c>
      <c r="H415" s="20" t="s">
        <v>229</v>
      </c>
      <c r="I415" s="21" t="s">
        <v>70</v>
      </c>
      <c r="J415" s="22" t="s">
        <v>71</v>
      </c>
      <c r="K415" s="23">
        <v>17.0</v>
      </c>
      <c r="L415" s="24">
        <v>31.0</v>
      </c>
      <c r="M415" s="24" t="str">
        <f>IFERROR(VLOOKUP(D415,'Chủ đề bài nguồn'!$A$2:$C$735,3,0),"Khác")</f>
        <v>Tài khoản &amp; ngân hàng số</v>
      </c>
      <c r="N415" s="24"/>
    </row>
    <row r="416">
      <c r="A416" s="15">
        <v>414.0</v>
      </c>
      <c r="B416" s="16" t="s">
        <v>834</v>
      </c>
      <c r="C416" s="18" t="s">
        <v>1169</v>
      </c>
      <c r="D416" s="16" t="s">
        <v>918</v>
      </c>
      <c r="E416" s="16" t="s">
        <v>2124</v>
      </c>
      <c r="F416" s="16" t="s">
        <v>2125</v>
      </c>
      <c r="G416" s="16" t="s">
        <v>2102</v>
      </c>
      <c r="H416" s="20" t="s">
        <v>229</v>
      </c>
      <c r="I416" s="21" t="s">
        <v>70</v>
      </c>
      <c r="J416" s="22" t="s">
        <v>2126</v>
      </c>
      <c r="K416" s="23">
        <v>17.0</v>
      </c>
      <c r="L416" s="24">
        <v>31.0</v>
      </c>
      <c r="M416" s="24" t="str">
        <f>IFERROR(VLOOKUP(D416,'Chủ đề bài nguồn'!$A$2:$C$735,3,0),"Khác")</f>
        <v>Thẻ tín dụng</v>
      </c>
      <c r="N416" s="24"/>
    </row>
    <row r="417">
      <c r="A417" s="15">
        <v>415.0</v>
      </c>
      <c r="B417" s="16" t="s">
        <v>834</v>
      </c>
      <c r="C417" s="18" t="s">
        <v>1169</v>
      </c>
      <c r="D417" s="16" t="s">
        <v>2127</v>
      </c>
      <c r="E417" s="16" t="s">
        <v>2128</v>
      </c>
      <c r="F417" s="16" t="s">
        <v>2129</v>
      </c>
      <c r="G417" s="16" t="s">
        <v>2130</v>
      </c>
      <c r="H417" s="20" t="s">
        <v>229</v>
      </c>
      <c r="I417" s="21" t="s">
        <v>70</v>
      </c>
      <c r="J417" s="22" t="s">
        <v>71</v>
      </c>
      <c r="K417" s="23">
        <v>17.0</v>
      </c>
      <c r="L417" s="24">
        <v>31.0</v>
      </c>
      <c r="M417" s="24" t="str">
        <f>IFERROR(VLOOKUP(D417,'Chủ đề bài nguồn'!$A$2:$C$735,3,0),"Khác")</f>
        <v>Vay tiêu dùng &amp; tín chấp</v>
      </c>
      <c r="N417" s="24"/>
    </row>
    <row r="418">
      <c r="A418" s="15">
        <v>416.0</v>
      </c>
      <c r="B418" s="39" t="s">
        <v>834</v>
      </c>
      <c r="C418" s="18" t="s">
        <v>1169</v>
      </c>
      <c r="D418" s="39" t="s">
        <v>2132</v>
      </c>
      <c r="E418" s="16" t="s">
        <v>2133</v>
      </c>
      <c r="F418" s="16" t="s">
        <v>2134</v>
      </c>
      <c r="G418" s="16" t="s">
        <v>2102</v>
      </c>
      <c r="H418" s="20" t="s">
        <v>229</v>
      </c>
      <c r="I418" s="21" t="s">
        <v>70</v>
      </c>
      <c r="J418" s="22" t="s">
        <v>2136</v>
      </c>
      <c r="K418" s="23">
        <v>17.0</v>
      </c>
      <c r="L418" s="24">
        <v>31.0</v>
      </c>
      <c r="M418" s="24" t="str">
        <f>IFERROR(VLOOKUP(D418,'Chủ đề bài nguồn'!$A$2:$C$735,3,0),"Khác")</f>
        <v>Ngoại tệ &amp; chuyển tiền quốc tế</v>
      </c>
      <c r="N418" s="24"/>
    </row>
    <row r="419">
      <c r="A419" s="15">
        <v>417.0</v>
      </c>
      <c r="B419" s="16" t="s">
        <v>835</v>
      </c>
      <c r="C419" s="18" t="s">
        <v>2137</v>
      </c>
      <c r="D419" s="16" t="s">
        <v>2088</v>
      </c>
      <c r="E419" s="16" t="s">
        <v>710</v>
      </c>
      <c r="F419" s="16" t="s">
        <v>2138</v>
      </c>
      <c r="G419" s="16" t="s">
        <v>2139</v>
      </c>
      <c r="H419" s="20" t="s">
        <v>155</v>
      </c>
      <c r="I419" s="21" t="s">
        <v>70</v>
      </c>
      <c r="J419" s="22" t="s">
        <v>71</v>
      </c>
      <c r="K419" s="23">
        <v>18.0</v>
      </c>
      <c r="L419" s="24">
        <v>21.0</v>
      </c>
      <c r="M419" s="24" t="str">
        <f>IFERROR(VLOOKUP(D419,'Chủ đề bài nguồn'!$A$2:$C$735,3,0),"Khác")</f>
        <v>Thẻ ATM &amp; thẻ ghi nợ</v>
      </c>
      <c r="N419" s="24"/>
    </row>
    <row r="420">
      <c r="A420" s="15">
        <v>418.0</v>
      </c>
      <c r="B420" s="16" t="s">
        <v>835</v>
      </c>
      <c r="C420" s="18" t="s">
        <v>2137</v>
      </c>
      <c r="D420" s="16" t="s">
        <v>2111</v>
      </c>
      <c r="E420" s="16" t="s">
        <v>2140</v>
      </c>
      <c r="F420" s="16" t="s">
        <v>1744</v>
      </c>
      <c r="G420" s="16" t="s">
        <v>2141</v>
      </c>
      <c r="H420" s="20" t="s">
        <v>155</v>
      </c>
      <c r="I420" s="21" t="s">
        <v>70</v>
      </c>
      <c r="J420" s="22" t="s">
        <v>71</v>
      </c>
      <c r="K420" s="23">
        <v>18.0</v>
      </c>
      <c r="L420" s="24">
        <v>21.0</v>
      </c>
      <c r="M420" s="24" t="str">
        <f>IFERROR(VLOOKUP(D420,'Chủ đề bài nguồn'!$A$2:$C$735,3,0),"Khác")</f>
        <v>Tài khoản &amp; ngân hàng số</v>
      </c>
      <c r="N420" s="24"/>
    </row>
    <row r="421">
      <c r="A421" s="15">
        <v>419.0</v>
      </c>
      <c r="B421" s="16" t="s">
        <v>835</v>
      </c>
      <c r="C421" s="18" t="s">
        <v>2137</v>
      </c>
      <c r="D421" s="16" t="s">
        <v>1906</v>
      </c>
      <c r="E421" s="16" t="s">
        <v>710</v>
      </c>
      <c r="F421" s="16" t="s">
        <v>2142</v>
      </c>
      <c r="G421" s="16" t="s">
        <v>2143</v>
      </c>
      <c r="H421" s="20" t="s">
        <v>155</v>
      </c>
      <c r="I421" s="21" t="s">
        <v>70</v>
      </c>
      <c r="J421" s="22" t="s">
        <v>71</v>
      </c>
      <c r="K421" s="23">
        <v>18.0</v>
      </c>
      <c r="L421" s="24">
        <v>21.0</v>
      </c>
      <c r="M421" s="24" t="str">
        <f>IFERROR(VLOOKUP(D421,'Chủ đề bài nguồn'!$A$2:$C$735,3,0),"Khác")</f>
        <v>Thẻ ATM &amp; thẻ ghi nợ</v>
      </c>
      <c r="N421" s="24"/>
    </row>
    <row r="422">
      <c r="A422" s="15">
        <v>420.0</v>
      </c>
      <c r="B422" s="16" t="s">
        <v>835</v>
      </c>
      <c r="C422" s="18" t="s">
        <v>2137</v>
      </c>
      <c r="D422" s="16" t="s">
        <v>2144</v>
      </c>
      <c r="E422" s="16" t="s">
        <v>2145</v>
      </c>
      <c r="F422" s="16" t="s">
        <v>2146</v>
      </c>
      <c r="G422" s="16" t="s">
        <v>2147</v>
      </c>
      <c r="H422" s="20" t="s">
        <v>155</v>
      </c>
      <c r="I422" s="21" t="s">
        <v>70</v>
      </c>
      <c r="J422" s="22" t="s">
        <v>71</v>
      </c>
      <c r="K422" s="23">
        <v>18.0</v>
      </c>
      <c r="L422" s="24">
        <v>21.0</v>
      </c>
      <c r="M422" s="24" t="str">
        <f>IFERROR(VLOOKUP(D422,'Chủ đề bài nguồn'!$A$2:$C$735,3,0),"Khác")</f>
        <v>Thanh toán, chuyển khoản &amp; QR</v>
      </c>
      <c r="N422" s="24"/>
    </row>
    <row r="423">
      <c r="A423" s="15">
        <v>421.0</v>
      </c>
      <c r="B423" s="16" t="s">
        <v>835</v>
      </c>
      <c r="C423" s="18" t="s">
        <v>2137</v>
      </c>
      <c r="D423" s="16" t="s">
        <v>2148</v>
      </c>
      <c r="E423" s="16" t="s">
        <v>2149</v>
      </c>
      <c r="F423" s="16" t="s">
        <v>2150</v>
      </c>
      <c r="G423" s="16" t="s">
        <v>2151</v>
      </c>
      <c r="H423" s="20" t="s">
        <v>155</v>
      </c>
      <c r="I423" s="21" t="s">
        <v>70</v>
      </c>
      <c r="J423" s="22" t="s">
        <v>71</v>
      </c>
      <c r="K423" s="23">
        <v>18.0</v>
      </c>
      <c r="L423" s="24">
        <v>21.0</v>
      </c>
      <c r="M423" s="24" t="str">
        <f>IFERROR(VLOOKUP(D423,'Chủ đề bài nguồn'!$A$2:$C$735,3,0),"Khác")</f>
        <v>Thanh toán, chuyển khoản &amp; QR</v>
      </c>
      <c r="N423" s="24"/>
    </row>
    <row r="424">
      <c r="A424" s="15">
        <v>422.0</v>
      </c>
      <c r="B424" s="39" t="s">
        <v>835</v>
      </c>
      <c r="C424" s="18" t="s">
        <v>2137</v>
      </c>
      <c r="D424" s="39" t="s">
        <v>2153</v>
      </c>
      <c r="E424" s="16" t="s">
        <v>2154</v>
      </c>
      <c r="F424" s="16" t="s">
        <v>2155</v>
      </c>
      <c r="G424" s="16" t="s">
        <v>2141</v>
      </c>
      <c r="H424" s="20" t="s">
        <v>155</v>
      </c>
      <c r="I424" s="21" t="s">
        <v>70</v>
      </c>
      <c r="J424" s="22" t="s">
        <v>71</v>
      </c>
      <c r="K424" s="23">
        <v>18.0</v>
      </c>
      <c r="L424" s="24">
        <v>21.0</v>
      </c>
      <c r="M424" s="24" t="str">
        <f>IFERROR(VLOOKUP(D424,'Chủ đề bài nguồn'!$A$2:$C$735,3,0),"Khác")</f>
        <v>Tài khoản &amp; ngân hàng số</v>
      </c>
      <c r="N424" s="24"/>
    </row>
    <row r="425">
      <c r="A425" s="15">
        <v>423.0</v>
      </c>
      <c r="B425" s="16" t="s">
        <v>835</v>
      </c>
      <c r="C425" s="18" t="s">
        <v>1196</v>
      </c>
      <c r="D425" s="16" t="s">
        <v>2156</v>
      </c>
      <c r="E425" s="16" t="s">
        <v>2157</v>
      </c>
      <c r="F425" s="16" t="s">
        <v>2158</v>
      </c>
      <c r="G425" s="16" t="s">
        <v>2159</v>
      </c>
      <c r="H425" s="20" t="s">
        <v>155</v>
      </c>
      <c r="I425" s="21" t="s">
        <v>70</v>
      </c>
      <c r="J425" s="22" t="s">
        <v>71</v>
      </c>
      <c r="K425" s="23">
        <v>18.0</v>
      </c>
      <c r="L425" s="24">
        <v>21.0</v>
      </c>
      <c r="M425" s="24" t="str">
        <f>IFERROR(VLOOKUP(D425,'Chủ đề bài nguồn'!$A$2:$C$735,3,0),"Khác")</f>
        <v>Đầu tư, CCTG, trái phiếu, vàng</v>
      </c>
      <c r="N425" s="24"/>
    </row>
    <row r="426">
      <c r="A426" s="15">
        <v>424.0</v>
      </c>
      <c r="B426" s="16" t="s">
        <v>835</v>
      </c>
      <c r="C426" s="18" t="s">
        <v>1196</v>
      </c>
      <c r="D426" s="16" t="s">
        <v>2053</v>
      </c>
      <c r="E426" s="16" t="s">
        <v>2054</v>
      </c>
      <c r="F426" s="16" t="s">
        <v>2160</v>
      </c>
      <c r="G426" s="16" t="s">
        <v>2161</v>
      </c>
      <c r="H426" s="20" t="s">
        <v>155</v>
      </c>
      <c r="I426" s="21" t="s">
        <v>70</v>
      </c>
      <c r="J426" s="22" t="s">
        <v>71</v>
      </c>
      <c r="K426" s="23">
        <v>18.0</v>
      </c>
      <c r="L426" s="24">
        <v>21.0</v>
      </c>
      <c r="M426" s="24" t="str">
        <f>IFERROR(VLOOKUP(D426,'Chủ đề bài nguồn'!$A$2:$C$735,3,0),"Khác")</f>
        <v>Tài khoản &amp; ngân hàng số</v>
      </c>
      <c r="N426" s="24"/>
    </row>
    <row r="427">
      <c r="A427" s="15">
        <v>425.0</v>
      </c>
      <c r="B427" s="16" t="s">
        <v>835</v>
      </c>
      <c r="C427" s="18" t="s">
        <v>2137</v>
      </c>
      <c r="D427" s="16" t="s">
        <v>1716</v>
      </c>
      <c r="E427" s="16" t="s">
        <v>1735</v>
      </c>
      <c r="F427" s="16" t="s">
        <v>2163</v>
      </c>
      <c r="G427" s="16" t="s">
        <v>2164</v>
      </c>
      <c r="H427" s="20" t="s">
        <v>229</v>
      </c>
      <c r="I427" s="21" t="s">
        <v>70</v>
      </c>
      <c r="J427" s="22" t="s">
        <v>71</v>
      </c>
      <c r="K427" s="23">
        <v>18.0</v>
      </c>
      <c r="L427" s="24">
        <v>31.0</v>
      </c>
      <c r="M427" s="24" t="str">
        <f>IFERROR(VLOOKUP(D427,'Chủ đề bài nguồn'!$A$2:$C$735,3,0),"Khác")</f>
        <v>Tài khoản &amp; ngân hàng số</v>
      </c>
      <c r="N427" s="24"/>
    </row>
    <row r="428">
      <c r="A428" s="15">
        <v>426.0</v>
      </c>
      <c r="B428" s="16" t="s">
        <v>835</v>
      </c>
      <c r="C428" s="18" t="s">
        <v>2137</v>
      </c>
      <c r="D428" s="16" t="s">
        <v>1582</v>
      </c>
      <c r="E428" s="16" t="s">
        <v>2165</v>
      </c>
      <c r="F428" s="16" t="s">
        <v>2166</v>
      </c>
      <c r="G428" s="16" t="s">
        <v>2167</v>
      </c>
      <c r="H428" s="20" t="s">
        <v>229</v>
      </c>
      <c r="I428" s="21" t="s">
        <v>70</v>
      </c>
      <c r="J428" s="22" t="s">
        <v>1073</v>
      </c>
      <c r="K428" s="23">
        <v>18.0</v>
      </c>
      <c r="L428" s="24">
        <v>31.0</v>
      </c>
      <c r="M428" s="24" t="str">
        <f>IFERROR(VLOOKUP(D428,'Chủ đề bài nguồn'!$A$2:$C$735,3,0),"Khác")</f>
        <v>Tài khoản &amp; ngân hàng số</v>
      </c>
      <c r="N428" s="24"/>
    </row>
    <row r="429">
      <c r="A429" s="15">
        <v>427.0</v>
      </c>
      <c r="B429" s="16" t="s">
        <v>835</v>
      </c>
      <c r="C429" s="18" t="s">
        <v>2137</v>
      </c>
      <c r="D429" s="16" t="s">
        <v>1742</v>
      </c>
      <c r="E429" s="16" t="s">
        <v>1743</v>
      </c>
      <c r="F429" s="16" t="s">
        <v>2169</v>
      </c>
      <c r="G429" s="16" t="s">
        <v>2170</v>
      </c>
      <c r="H429" s="20" t="s">
        <v>229</v>
      </c>
      <c r="I429" s="21" t="s">
        <v>70</v>
      </c>
      <c r="J429" s="22" t="s">
        <v>1425</v>
      </c>
      <c r="K429" s="23">
        <v>18.0</v>
      </c>
      <c r="L429" s="24">
        <v>31.0</v>
      </c>
      <c r="M429" s="24" t="str">
        <f>IFERROR(VLOOKUP(D429,'Chủ đề bài nguồn'!$A$2:$C$735,3,0),"Khác")</f>
        <v>Thanh toán, chuyển khoản &amp; QR</v>
      </c>
      <c r="N429" s="24"/>
    </row>
    <row r="430">
      <c r="A430" s="15">
        <v>428.0</v>
      </c>
      <c r="B430" s="16" t="s">
        <v>835</v>
      </c>
      <c r="C430" s="18" t="s">
        <v>2137</v>
      </c>
      <c r="D430" s="16" t="s">
        <v>900</v>
      </c>
      <c r="E430" s="16" t="s">
        <v>2171</v>
      </c>
      <c r="F430" s="16" t="s">
        <v>2172</v>
      </c>
      <c r="G430" s="16" t="s">
        <v>2173</v>
      </c>
      <c r="H430" s="20" t="s">
        <v>229</v>
      </c>
      <c r="I430" s="21" t="s">
        <v>70</v>
      </c>
      <c r="J430" s="22" t="s">
        <v>387</v>
      </c>
      <c r="K430" s="23">
        <v>18.0</v>
      </c>
      <c r="L430" s="24">
        <v>31.0</v>
      </c>
      <c r="M430" s="24" t="str">
        <f>IFERROR(VLOOKUP(D430,'Chủ đề bài nguồn'!$A$2:$C$735,3,0),"Khác")</f>
        <v>Tài khoản &amp; ngân hàng số</v>
      </c>
      <c r="N430" s="24"/>
    </row>
    <row r="431">
      <c r="A431" s="15">
        <v>429.0</v>
      </c>
      <c r="B431" s="16" t="s">
        <v>835</v>
      </c>
      <c r="C431" s="18" t="s">
        <v>2137</v>
      </c>
      <c r="D431" s="16" t="s">
        <v>1100</v>
      </c>
      <c r="E431" s="16" t="s">
        <v>2174</v>
      </c>
      <c r="F431" s="16" t="s">
        <v>2175</v>
      </c>
      <c r="G431" s="16" t="s">
        <v>2176</v>
      </c>
      <c r="H431" s="20" t="s">
        <v>229</v>
      </c>
      <c r="I431" s="21" t="s">
        <v>70</v>
      </c>
      <c r="J431" s="22" t="s">
        <v>539</v>
      </c>
      <c r="K431" s="23">
        <v>18.0</v>
      </c>
      <c r="L431" s="24">
        <v>31.0</v>
      </c>
      <c r="M431" s="24" t="str">
        <f>IFERROR(VLOOKUP(D431,'Chủ đề bài nguồn'!$A$2:$C$735,3,0),"Khác")</f>
        <v>Hộ kinh doanh &amp; bán hàng</v>
      </c>
      <c r="N431" s="24"/>
    </row>
    <row r="432">
      <c r="A432" s="15">
        <v>430.0</v>
      </c>
      <c r="B432" s="16" t="s">
        <v>835</v>
      </c>
      <c r="C432" s="18" t="s">
        <v>2137</v>
      </c>
      <c r="D432" s="16" t="s">
        <v>2177</v>
      </c>
      <c r="E432" s="16" t="s">
        <v>2178</v>
      </c>
      <c r="F432" s="16" t="s">
        <v>2179</v>
      </c>
      <c r="G432" s="16" t="s">
        <v>2180</v>
      </c>
      <c r="H432" s="20" t="s">
        <v>229</v>
      </c>
      <c r="I432" s="21" t="s">
        <v>70</v>
      </c>
      <c r="J432" s="22" t="s">
        <v>71</v>
      </c>
      <c r="K432" s="23">
        <v>18.0</v>
      </c>
      <c r="L432" s="24">
        <v>31.0</v>
      </c>
      <c r="M432" s="24" t="str">
        <f>IFERROR(VLOOKUP(D432,'Chủ đề bài nguồn'!$A$2:$C$735,3,0),"Khác")</f>
        <v>Tiết kiệm &amp; lãi suất tiền gửi</v>
      </c>
      <c r="N432" s="24"/>
    </row>
    <row r="433">
      <c r="A433" s="15">
        <v>431.0</v>
      </c>
      <c r="B433" s="16" t="s">
        <v>835</v>
      </c>
      <c r="C433" s="18" t="s">
        <v>2137</v>
      </c>
      <c r="D433" s="16" t="s">
        <v>1625</v>
      </c>
      <c r="E433" s="16" t="s">
        <v>2181</v>
      </c>
      <c r="F433" s="16" t="s">
        <v>2182</v>
      </c>
      <c r="G433" s="16" t="s">
        <v>2183</v>
      </c>
      <c r="H433" s="20" t="s">
        <v>229</v>
      </c>
      <c r="I433" s="21" t="s">
        <v>70</v>
      </c>
      <c r="J433" s="22" t="s">
        <v>71</v>
      </c>
      <c r="K433" s="23">
        <v>18.0</v>
      </c>
      <c r="L433" s="24">
        <v>31.0</v>
      </c>
      <c r="M433" s="24" t="str">
        <f>IFERROR(VLOOKUP(D433,'Chủ đề bài nguồn'!$A$2:$C$735,3,0),"Khác")</f>
        <v>Tài khoản &amp; ngân hàng số</v>
      </c>
      <c r="N433" s="24"/>
    </row>
    <row r="434">
      <c r="A434" s="15">
        <v>432.0</v>
      </c>
      <c r="B434" s="16" t="s">
        <v>835</v>
      </c>
      <c r="C434" s="18" t="s">
        <v>2137</v>
      </c>
      <c r="D434" s="16" t="s">
        <v>1597</v>
      </c>
      <c r="E434" s="16" t="s">
        <v>1683</v>
      </c>
      <c r="F434" s="16" t="s">
        <v>2184</v>
      </c>
      <c r="G434" s="16" t="s">
        <v>2183</v>
      </c>
      <c r="H434" s="20" t="s">
        <v>229</v>
      </c>
      <c r="I434" s="21" t="s">
        <v>70</v>
      </c>
      <c r="J434" s="22" t="s">
        <v>1073</v>
      </c>
      <c r="K434" s="23">
        <v>18.0</v>
      </c>
      <c r="L434" s="24">
        <v>31.0</v>
      </c>
      <c r="M434" s="24" t="str">
        <f>IFERROR(VLOOKUP(D434,'Chủ đề bài nguồn'!$A$2:$C$735,3,0),"Khác")</f>
        <v>Ưu đãi, du lịch &amp; đời sống</v>
      </c>
      <c r="N434" s="24"/>
    </row>
    <row r="435">
      <c r="A435" s="15">
        <v>433.0</v>
      </c>
      <c r="B435" s="16" t="s">
        <v>835</v>
      </c>
      <c r="C435" s="18" t="s">
        <v>2137</v>
      </c>
      <c r="D435" s="16" t="s">
        <v>1231</v>
      </c>
      <c r="E435" s="16" t="s">
        <v>2185</v>
      </c>
      <c r="F435" s="16" t="s">
        <v>2186</v>
      </c>
      <c r="G435" s="16" t="s">
        <v>2187</v>
      </c>
      <c r="H435" s="20" t="s">
        <v>229</v>
      </c>
      <c r="I435" s="21" t="s">
        <v>70</v>
      </c>
      <c r="J435" s="22" t="s">
        <v>71</v>
      </c>
      <c r="K435" s="23">
        <v>18.0</v>
      </c>
      <c r="L435" s="24">
        <v>31.0</v>
      </c>
      <c r="M435" s="24" t="str">
        <f>IFERROR(VLOOKUP(D435,'Chủ đề bài nguồn'!$A$2:$C$735,3,0),"Khác")</f>
        <v>Tài khoản &amp; ngân hàng số</v>
      </c>
      <c r="N435" s="24"/>
    </row>
    <row r="436">
      <c r="A436" s="15">
        <v>434.0</v>
      </c>
      <c r="B436" s="16" t="s">
        <v>835</v>
      </c>
      <c r="C436" s="18" t="s">
        <v>2137</v>
      </c>
      <c r="D436" s="16" t="s">
        <v>1621</v>
      </c>
      <c r="E436" s="16" t="s">
        <v>1990</v>
      </c>
      <c r="F436" s="16" t="s">
        <v>2188</v>
      </c>
      <c r="G436" s="16" t="s">
        <v>2189</v>
      </c>
      <c r="H436" s="20" t="s">
        <v>229</v>
      </c>
      <c r="I436" s="21" t="s">
        <v>70</v>
      </c>
      <c r="J436" s="22" t="s">
        <v>483</v>
      </c>
      <c r="K436" s="23">
        <v>18.0</v>
      </c>
      <c r="L436" s="24">
        <v>31.0</v>
      </c>
      <c r="M436" s="24" t="str">
        <f>IFERROR(VLOOKUP(D436,'Chủ đề bài nguồn'!$A$2:$C$735,3,0),"Khác")</f>
        <v>Thanh toán, chuyển khoản &amp; QR</v>
      </c>
      <c r="N436" s="24"/>
    </row>
    <row r="437">
      <c r="A437" s="15">
        <v>435.0</v>
      </c>
      <c r="B437" s="16" t="s">
        <v>835</v>
      </c>
      <c r="C437" s="18" t="s">
        <v>2137</v>
      </c>
      <c r="D437" s="16" t="s">
        <v>1053</v>
      </c>
      <c r="E437" s="16" t="s">
        <v>1680</v>
      </c>
      <c r="F437" s="16" t="s">
        <v>1701</v>
      </c>
      <c r="G437" s="16" t="s">
        <v>2183</v>
      </c>
      <c r="H437" s="20" t="s">
        <v>229</v>
      </c>
      <c r="I437" s="21" t="s">
        <v>70</v>
      </c>
      <c r="J437" s="22" t="s">
        <v>1073</v>
      </c>
      <c r="K437" s="23">
        <v>18.0</v>
      </c>
      <c r="L437" s="24">
        <v>31.0</v>
      </c>
      <c r="M437" s="24" t="str">
        <f>IFERROR(VLOOKUP(D437,'Chủ đề bài nguồn'!$A$2:$C$735,3,0),"Khác")</f>
        <v>Ưu đãi, du lịch &amp; đời sống</v>
      </c>
      <c r="N437" s="24"/>
    </row>
    <row r="438">
      <c r="A438" s="15">
        <v>436.0</v>
      </c>
      <c r="B438" s="16" t="s">
        <v>835</v>
      </c>
      <c r="C438" s="18" t="s">
        <v>2137</v>
      </c>
      <c r="D438" s="16" t="s">
        <v>1692</v>
      </c>
      <c r="E438" s="16" t="s">
        <v>1693</v>
      </c>
      <c r="F438" s="16" t="s">
        <v>1701</v>
      </c>
      <c r="G438" s="16" t="s">
        <v>2191</v>
      </c>
      <c r="H438" s="20" t="s">
        <v>229</v>
      </c>
      <c r="I438" s="21" t="s">
        <v>70</v>
      </c>
      <c r="J438" s="22" t="s">
        <v>71</v>
      </c>
      <c r="K438" s="23">
        <v>18.0</v>
      </c>
      <c r="L438" s="24">
        <v>31.0</v>
      </c>
      <c r="M438" s="24" t="str">
        <f>IFERROR(VLOOKUP(D438,'Chủ đề bài nguồn'!$A$2:$C$735,3,0),"Khác")</f>
        <v>Ưu đãi, du lịch &amp; đời sống</v>
      </c>
      <c r="N438" s="24"/>
    </row>
    <row r="439">
      <c r="A439" s="15">
        <v>437.0</v>
      </c>
      <c r="B439" s="16" t="s">
        <v>835</v>
      </c>
      <c r="C439" s="18" t="s">
        <v>2137</v>
      </c>
      <c r="D439" s="16" t="s">
        <v>2193</v>
      </c>
      <c r="E439" s="16" t="s">
        <v>2194</v>
      </c>
      <c r="F439" s="16" t="s">
        <v>2195</v>
      </c>
      <c r="G439" s="16" t="s">
        <v>2196</v>
      </c>
      <c r="H439" s="20" t="s">
        <v>229</v>
      </c>
      <c r="I439" s="21" t="s">
        <v>70</v>
      </c>
      <c r="J439" s="22" t="s">
        <v>71</v>
      </c>
      <c r="K439" s="23">
        <v>18.0</v>
      </c>
      <c r="L439" s="24">
        <v>31.0</v>
      </c>
      <c r="M439" s="24" t="str">
        <f>IFERROR(VLOOKUP(D439,'Chủ đề bài nguồn'!$A$2:$C$735,3,0),"Khác")</f>
        <v>Tài khoản &amp; ngân hàng số</v>
      </c>
      <c r="N439" s="24"/>
    </row>
    <row r="440">
      <c r="A440" s="15">
        <v>438.0</v>
      </c>
      <c r="B440" s="16" t="s">
        <v>835</v>
      </c>
      <c r="C440" s="18" t="s">
        <v>2137</v>
      </c>
      <c r="D440" s="16" t="s">
        <v>1333</v>
      </c>
      <c r="E440" s="16" t="s">
        <v>2197</v>
      </c>
      <c r="F440" s="16" t="s">
        <v>2198</v>
      </c>
      <c r="G440" s="16" t="s">
        <v>2199</v>
      </c>
      <c r="H440" s="20" t="s">
        <v>229</v>
      </c>
      <c r="I440" s="21" t="s">
        <v>70</v>
      </c>
      <c r="J440" s="22" t="s">
        <v>71</v>
      </c>
      <c r="K440" s="23">
        <v>18.0</v>
      </c>
      <c r="L440" s="24">
        <v>31.0</v>
      </c>
      <c r="M440" s="24" t="str">
        <f>IFERROR(VLOOKUP(D440,'Chủ đề bài nguồn'!$A$2:$C$735,3,0),"Khác")</f>
        <v>Hộ kinh doanh &amp; bán hàng</v>
      </c>
      <c r="N440" s="24"/>
    </row>
    <row r="441">
      <c r="A441" s="15">
        <v>439.0</v>
      </c>
      <c r="B441" s="16" t="s">
        <v>835</v>
      </c>
      <c r="C441" s="18" t="s">
        <v>1196</v>
      </c>
      <c r="D441" s="16" t="s">
        <v>1476</v>
      </c>
      <c r="E441" s="16" t="s">
        <v>2200</v>
      </c>
      <c r="F441" s="16" t="s">
        <v>2201</v>
      </c>
      <c r="G441" s="16" t="s">
        <v>2202</v>
      </c>
      <c r="H441" s="20" t="s">
        <v>229</v>
      </c>
      <c r="I441" s="21" t="s">
        <v>70</v>
      </c>
      <c r="J441" s="22" t="s">
        <v>71</v>
      </c>
      <c r="K441" s="23">
        <v>18.0</v>
      </c>
      <c r="L441" s="24">
        <v>31.0</v>
      </c>
      <c r="M441" s="24" t="str">
        <f>IFERROR(VLOOKUP(D441,'Chủ đề bài nguồn'!$A$2:$C$735,3,0),"Khác")</f>
        <v>Tài khoản &amp; ngân hàng số</v>
      </c>
      <c r="N441" s="24"/>
    </row>
    <row r="442">
      <c r="A442" s="15">
        <v>440.0</v>
      </c>
      <c r="B442" s="16" t="s">
        <v>835</v>
      </c>
      <c r="C442" s="18" t="s">
        <v>1196</v>
      </c>
      <c r="D442" s="16" t="s">
        <v>834</v>
      </c>
      <c r="E442" s="16" t="s">
        <v>1791</v>
      </c>
      <c r="F442" s="16" t="s">
        <v>2203</v>
      </c>
      <c r="G442" s="16" t="s">
        <v>2204</v>
      </c>
      <c r="H442" s="20" t="s">
        <v>229</v>
      </c>
      <c r="I442" s="21" t="s">
        <v>70</v>
      </c>
      <c r="J442" s="22" t="s">
        <v>2205</v>
      </c>
      <c r="K442" s="23">
        <v>18.0</v>
      </c>
      <c r="L442" s="24">
        <v>31.0</v>
      </c>
      <c r="M442" s="24" t="str">
        <f>IFERROR(VLOOKUP(D442,'Chủ đề bài nguồn'!$A$2:$C$735,3,0),"Khác")</f>
        <v>Tài khoản &amp; ngân hàng số</v>
      </c>
      <c r="N442" s="24"/>
    </row>
    <row r="443">
      <c r="A443" s="15">
        <v>441.0</v>
      </c>
      <c r="B443" s="16" t="s">
        <v>840</v>
      </c>
      <c r="C443" s="18" t="s">
        <v>1223</v>
      </c>
      <c r="D443" s="16" t="s">
        <v>2207</v>
      </c>
      <c r="E443" s="16" t="s">
        <v>2208</v>
      </c>
      <c r="F443" s="16" t="s">
        <v>2209</v>
      </c>
      <c r="G443" s="16" t="s">
        <v>2210</v>
      </c>
      <c r="H443" s="20" t="s">
        <v>69</v>
      </c>
      <c r="I443" s="21" t="s">
        <v>70</v>
      </c>
      <c r="J443" s="22" t="s">
        <v>71</v>
      </c>
      <c r="K443" s="23">
        <v>19.0</v>
      </c>
      <c r="L443" s="24">
        <v>10.0</v>
      </c>
      <c r="M443" s="24" t="str">
        <f>IFERROR(VLOOKUP(D443,'Chủ đề bài nguồn'!$A$2:$C$735,3,0),"Khác")</f>
        <v>Thẻ tín dụng</v>
      </c>
      <c r="N443" s="24"/>
    </row>
    <row r="444">
      <c r="A444" s="15">
        <v>442.0</v>
      </c>
      <c r="B444" s="16" t="s">
        <v>840</v>
      </c>
      <c r="C444" s="18" t="s">
        <v>1223</v>
      </c>
      <c r="D444" s="16" t="s">
        <v>1386</v>
      </c>
      <c r="E444" s="16" t="s">
        <v>2211</v>
      </c>
      <c r="F444" s="16" t="s">
        <v>2212</v>
      </c>
      <c r="G444" s="16" t="s">
        <v>2210</v>
      </c>
      <c r="H444" s="20" t="s">
        <v>69</v>
      </c>
      <c r="I444" s="21" t="s">
        <v>70</v>
      </c>
      <c r="J444" s="22" t="s">
        <v>71</v>
      </c>
      <c r="K444" s="23">
        <v>19.0</v>
      </c>
      <c r="L444" s="24">
        <v>10.0</v>
      </c>
      <c r="M444" s="24" t="str">
        <f>IFERROR(VLOOKUP(D444,'Chủ đề bài nguồn'!$A$2:$C$735,3,0),"Khác")</f>
        <v>Thẻ tín dụng</v>
      </c>
      <c r="N444" s="24"/>
    </row>
    <row r="445">
      <c r="A445" s="15">
        <v>443.0</v>
      </c>
      <c r="B445" s="16" t="s">
        <v>840</v>
      </c>
      <c r="C445" s="18" t="s">
        <v>2213</v>
      </c>
      <c r="D445" s="16" t="s">
        <v>1633</v>
      </c>
      <c r="E445" s="16" t="s">
        <v>2214</v>
      </c>
      <c r="F445" s="16" t="s">
        <v>2215</v>
      </c>
      <c r="G445" s="16" t="s">
        <v>2216</v>
      </c>
      <c r="H445" s="20" t="s">
        <v>69</v>
      </c>
      <c r="I445" s="21" t="s">
        <v>70</v>
      </c>
      <c r="J445" s="22" t="s">
        <v>2217</v>
      </c>
      <c r="K445" s="23">
        <v>19.0</v>
      </c>
      <c r="L445" s="24">
        <v>10.0</v>
      </c>
      <c r="M445" s="24" t="str">
        <f>IFERROR(VLOOKUP(D445,'Chủ đề bài nguồn'!$A$2:$C$735,3,0),"Khác")</f>
        <v>Thẻ ATM &amp; thẻ ghi nợ</v>
      </c>
      <c r="N445" s="24"/>
    </row>
    <row r="446">
      <c r="A446" s="15">
        <v>444.0</v>
      </c>
      <c r="B446" s="16" t="s">
        <v>840</v>
      </c>
      <c r="C446" s="18" t="s">
        <v>2213</v>
      </c>
      <c r="D446" s="16" t="s">
        <v>2227</v>
      </c>
      <c r="E446" s="16" t="s">
        <v>2228</v>
      </c>
      <c r="F446" s="16" t="s">
        <v>2229</v>
      </c>
      <c r="G446" s="16" t="s">
        <v>2216</v>
      </c>
      <c r="H446" s="20" t="s">
        <v>69</v>
      </c>
      <c r="I446" s="21" t="s">
        <v>70</v>
      </c>
      <c r="J446" s="22" t="s">
        <v>71</v>
      </c>
      <c r="K446" s="23">
        <v>19.0</v>
      </c>
      <c r="L446" s="24">
        <v>10.0</v>
      </c>
      <c r="M446" s="24" t="str">
        <f>IFERROR(VLOOKUP(D446,'Chủ đề bài nguồn'!$A$2:$C$735,3,0),"Khác")</f>
        <v>Tiết kiệm &amp; lãi suất tiền gửi</v>
      </c>
      <c r="N446" s="24"/>
    </row>
    <row r="447">
      <c r="A447" s="15">
        <v>445.0</v>
      </c>
      <c r="B447" s="16" t="s">
        <v>840</v>
      </c>
      <c r="C447" s="18" t="s">
        <v>2213</v>
      </c>
      <c r="D447" s="16" t="s">
        <v>2230</v>
      </c>
      <c r="E447" s="16" t="s">
        <v>2231</v>
      </c>
      <c r="F447" s="16" t="s">
        <v>2232</v>
      </c>
      <c r="G447" s="16" t="s">
        <v>2233</v>
      </c>
      <c r="H447" s="20" t="s">
        <v>69</v>
      </c>
      <c r="I447" s="21" t="s">
        <v>70</v>
      </c>
      <c r="J447" s="22" t="s">
        <v>71</v>
      </c>
      <c r="K447" s="23">
        <v>19.0</v>
      </c>
      <c r="L447" s="24">
        <v>11.0</v>
      </c>
      <c r="M447" s="24" t="str">
        <f>IFERROR(VLOOKUP(D447,'Chủ đề bài nguồn'!$A$2:$C$735,3,0),"Khác")</f>
        <v>Tài khoản &amp; ngân hàng số</v>
      </c>
      <c r="N447" s="24"/>
    </row>
    <row r="448">
      <c r="A448" s="15">
        <v>446.0</v>
      </c>
      <c r="B448" s="16" t="s">
        <v>840</v>
      </c>
      <c r="C448" s="18" t="s">
        <v>2213</v>
      </c>
      <c r="D448" s="16" t="s">
        <v>1201</v>
      </c>
      <c r="E448" s="16" t="s">
        <v>1875</v>
      </c>
      <c r="F448" s="16" t="s">
        <v>2238</v>
      </c>
      <c r="G448" s="16" t="s">
        <v>2216</v>
      </c>
      <c r="H448" s="20" t="s">
        <v>155</v>
      </c>
      <c r="I448" s="21" t="s">
        <v>70</v>
      </c>
      <c r="J448" s="22" t="s">
        <v>71</v>
      </c>
      <c r="K448" s="23">
        <v>19.0</v>
      </c>
      <c r="L448" s="24">
        <v>20.0</v>
      </c>
      <c r="M448" s="24" t="str">
        <f>IFERROR(VLOOKUP(D448,'Chủ đề bài nguồn'!$A$2:$C$735,3,0),"Khác")</f>
        <v>Doanh nghiệp (tài khoản, vay, tài chính)</v>
      </c>
      <c r="N448" s="24"/>
    </row>
    <row r="449">
      <c r="A449" s="15">
        <v>447.0</v>
      </c>
      <c r="B449" s="16" t="s">
        <v>840</v>
      </c>
      <c r="C449" s="18" t="s">
        <v>2213</v>
      </c>
      <c r="D449" s="16" t="s">
        <v>1856</v>
      </c>
      <c r="E449" s="16" t="s">
        <v>2242</v>
      </c>
      <c r="F449" s="16" t="s">
        <v>2243</v>
      </c>
      <c r="G449" s="16" t="s">
        <v>2216</v>
      </c>
      <c r="H449" s="20" t="s">
        <v>155</v>
      </c>
      <c r="I449" s="21" t="s">
        <v>70</v>
      </c>
      <c r="J449" s="22" t="s">
        <v>2244</v>
      </c>
      <c r="K449" s="23">
        <v>19.0</v>
      </c>
      <c r="L449" s="24">
        <v>20.0</v>
      </c>
      <c r="M449" s="24" t="str">
        <f>IFERROR(VLOOKUP(D449,'Chủ đề bài nguồn'!$A$2:$C$735,3,0),"Khác")</f>
        <v>Doanh nghiệp (tài khoản, vay, tài chính)</v>
      </c>
      <c r="N449" s="24"/>
    </row>
    <row r="450">
      <c r="A450" s="15">
        <v>448.0</v>
      </c>
      <c r="B450" s="16" t="s">
        <v>840</v>
      </c>
      <c r="C450" s="18" t="s">
        <v>1223</v>
      </c>
      <c r="D450" s="16" t="s">
        <v>1353</v>
      </c>
      <c r="E450" s="16" t="s">
        <v>2246</v>
      </c>
      <c r="F450" s="16" t="s">
        <v>2247</v>
      </c>
      <c r="G450" s="16" t="s">
        <v>2248</v>
      </c>
      <c r="H450" s="20" t="s">
        <v>155</v>
      </c>
      <c r="I450" s="21" t="s">
        <v>70</v>
      </c>
      <c r="J450" s="22" t="s">
        <v>71</v>
      </c>
      <c r="K450" s="23">
        <v>19.0</v>
      </c>
      <c r="L450" s="24">
        <v>21.0</v>
      </c>
      <c r="M450" s="24" t="str">
        <f>IFERROR(VLOOKUP(D450,'Chủ đề bài nguồn'!$A$2:$C$735,3,0),"Khác")</f>
        <v>Thanh toán, chuyển khoản &amp; QR</v>
      </c>
      <c r="N450" s="24"/>
    </row>
    <row r="451">
      <c r="A451" s="15">
        <v>449.0</v>
      </c>
      <c r="B451" s="16" t="s">
        <v>840</v>
      </c>
      <c r="C451" s="18" t="s">
        <v>1223</v>
      </c>
      <c r="D451" s="16" t="s">
        <v>1786</v>
      </c>
      <c r="E451" s="16" t="s">
        <v>2004</v>
      </c>
      <c r="F451" s="16" t="s">
        <v>2249</v>
      </c>
      <c r="G451" s="16" t="s">
        <v>2250</v>
      </c>
      <c r="H451" s="20" t="s">
        <v>155</v>
      </c>
      <c r="I451" s="21" t="s">
        <v>70</v>
      </c>
      <c r="J451" s="22" t="s">
        <v>71</v>
      </c>
      <c r="K451" s="23">
        <v>19.0</v>
      </c>
      <c r="L451" s="24">
        <v>21.0</v>
      </c>
      <c r="M451" s="24" t="str">
        <f>IFERROR(VLOOKUP(D451,'Chủ đề bài nguồn'!$A$2:$C$735,3,0),"Khác")</f>
        <v>Thẻ ATM &amp; thẻ ghi nợ</v>
      </c>
      <c r="N451" s="24"/>
    </row>
    <row r="452">
      <c r="A452" s="15">
        <v>450.0</v>
      </c>
      <c r="B452" s="16" t="s">
        <v>840</v>
      </c>
      <c r="C452" s="18" t="s">
        <v>1223</v>
      </c>
      <c r="D452" s="16" t="s">
        <v>2252</v>
      </c>
      <c r="E452" s="16" t="s">
        <v>2253</v>
      </c>
      <c r="F452" s="16" t="s">
        <v>2254</v>
      </c>
      <c r="G452" s="16" t="s">
        <v>2255</v>
      </c>
      <c r="H452" s="20" t="s">
        <v>155</v>
      </c>
      <c r="I452" s="21" t="s">
        <v>70</v>
      </c>
      <c r="J452" s="22" t="s">
        <v>2256</v>
      </c>
      <c r="K452" s="23">
        <v>19.0</v>
      </c>
      <c r="L452" s="24">
        <v>21.0</v>
      </c>
      <c r="M452" s="24" t="str">
        <f>IFERROR(VLOOKUP(D452,'Chủ đề bài nguồn'!$A$2:$C$735,3,0),"Khác")</f>
        <v>Thẻ tín dụng</v>
      </c>
      <c r="N452" s="24"/>
    </row>
    <row r="453">
      <c r="A453" s="15">
        <v>451.0</v>
      </c>
      <c r="B453" s="39" t="s">
        <v>840</v>
      </c>
      <c r="C453" s="18" t="s">
        <v>1223</v>
      </c>
      <c r="D453" s="39" t="s">
        <v>1373</v>
      </c>
      <c r="E453" s="16" t="s">
        <v>2261</v>
      </c>
      <c r="F453" s="16" t="s">
        <v>2262</v>
      </c>
      <c r="G453" s="16" t="s">
        <v>2263</v>
      </c>
      <c r="H453" s="20" t="s">
        <v>155</v>
      </c>
      <c r="I453" s="21" t="s">
        <v>70</v>
      </c>
      <c r="J453" s="22" t="s">
        <v>71</v>
      </c>
      <c r="K453" s="23">
        <v>19.0</v>
      </c>
      <c r="L453" s="24">
        <v>21.0</v>
      </c>
      <c r="M453" s="24" t="str">
        <f>IFERROR(VLOOKUP(D453,'Chủ đề bài nguồn'!$A$2:$C$735,3,0),"Khác")</f>
        <v>Tài khoản &amp; ngân hàng số</v>
      </c>
      <c r="N453" s="24"/>
    </row>
    <row r="454">
      <c r="A454" s="15">
        <v>452.0</v>
      </c>
      <c r="B454" s="16" t="s">
        <v>840</v>
      </c>
      <c r="C454" s="18" t="s">
        <v>2213</v>
      </c>
      <c r="D454" s="16" t="s">
        <v>1359</v>
      </c>
      <c r="E454" s="16" t="s">
        <v>2264</v>
      </c>
      <c r="F454" s="16" t="s">
        <v>2265</v>
      </c>
      <c r="G454" s="16" t="s">
        <v>2266</v>
      </c>
      <c r="H454" s="20" t="s">
        <v>155</v>
      </c>
      <c r="I454" s="21" t="s">
        <v>70</v>
      </c>
      <c r="J454" s="22" t="s">
        <v>71</v>
      </c>
      <c r="K454" s="23">
        <v>19.0</v>
      </c>
      <c r="L454" s="24">
        <v>21.0</v>
      </c>
      <c r="M454" s="24" t="str">
        <f>IFERROR(VLOOKUP(D454,'Chủ đề bài nguồn'!$A$2:$C$735,3,0),"Khác")</f>
        <v>Thẻ ATM &amp; thẻ ghi nợ</v>
      </c>
      <c r="N454" s="24"/>
    </row>
    <row r="455">
      <c r="A455" s="15">
        <v>453.0</v>
      </c>
      <c r="B455" s="16" t="s">
        <v>840</v>
      </c>
      <c r="C455" s="18" t="s">
        <v>2213</v>
      </c>
      <c r="D455" s="16" t="s">
        <v>1817</v>
      </c>
      <c r="E455" s="16" t="s">
        <v>2068</v>
      </c>
      <c r="F455" s="16" t="s">
        <v>2270</v>
      </c>
      <c r="G455" s="16" t="s">
        <v>2271</v>
      </c>
      <c r="H455" s="20" t="s">
        <v>155</v>
      </c>
      <c r="I455" s="21" t="s">
        <v>70</v>
      </c>
      <c r="J455" s="22" t="s">
        <v>71</v>
      </c>
      <c r="K455" s="23">
        <v>19.0</v>
      </c>
      <c r="L455" s="24">
        <v>21.0</v>
      </c>
      <c r="M455" s="24" t="str">
        <f>IFERROR(VLOOKUP(D455,'Chủ đề bài nguồn'!$A$2:$C$735,3,0),"Khác")</f>
        <v>Thẻ ATM &amp; thẻ ghi nợ</v>
      </c>
      <c r="N455" s="24"/>
    </row>
    <row r="456">
      <c r="A456" s="15">
        <v>454.0</v>
      </c>
      <c r="B456" s="16" t="s">
        <v>840</v>
      </c>
      <c r="C456" s="18" t="s">
        <v>2213</v>
      </c>
      <c r="D456" s="16" t="s">
        <v>2272</v>
      </c>
      <c r="E456" s="16" t="s">
        <v>2273</v>
      </c>
      <c r="F456" s="16" t="s">
        <v>2274</v>
      </c>
      <c r="G456" s="16" t="s">
        <v>2275</v>
      </c>
      <c r="H456" s="20" t="s">
        <v>155</v>
      </c>
      <c r="I456" s="21" t="s">
        <v>70</v>
      </c>
      <c r="J456" s="22" t="s">
        <v>71</v>
      </c>
      <c r="K456" s="23">
        <v>19.0</v>
      </c>
      <c r="L456" s="24">
        <v>21.0</v>
      </c>
      <c r="M456" s="24" t="str">
        <f>IFERROR(VLOOKUP(D456,'Chủ đề bài nguồn'!$A$2:$C$735,3,0),"Khác")</f>
        <v>Thẻ tín dụng</v>
      </c>
      <c r="N456" s="24"/>
    </row>
    <row r="457">
      <c r="A457" s="15">
        <v>455.0</v>
      </c>
      <c r="B457" s="16" t="s">
        <v>840</v>
      </c>
      <c r="C457" s="18" t="s">
        <v>2213</v>
      </c>
      <c r="D457" s="16" t="s">
        <v>2276</v>
      </c>
      <c r="E457" s="16" t="s">
        <v>2277</v>
      </c>
      <c r="F457" s="16" t="s">
        <v>2279</v>
      </c>
      <c r="G457" s="16" t="s">
        <v>2280</v>
      </c>
      <c r="H457" s="20" t="s">
        <v>155</v>
      </c>
      <c r="I457" s="21" t="s">
        <v>70</v>
      </c>
      <c r="J457" s="22" t="s">
        <v>71</v>
      </c>
      <c r="K457" s="23">
        <v>19.0</v>
      </c>
      <c r="L457" s="24">
        <v>21.0</v>
      </c>
      <c r="M457" s="24" t="str">
        <f>IFERROR(VLOOKUP(D457,'Chủ đề bài nguồn'!$A$2:$C$735,3,0),"Khác")</f>
        <v>Ngoại tệ &amp; chuyển tiền quốc tế</v>
      </c>
      <c r="N457" s="24"/>
    </row>
    <row r="458">
      <c r="A458" s="15">
        <v>456.0</v>
      </c>
      <c r="B458" s="16" t="s">
        <v>840</v>
      </c>
      <c r="C458" s="18" t="s">
        <v>2213</v>
      </c>
      <c r="D458" s="16" t="s">
        <v>773</v>
      </c>
      <c r="E458" s="16" t="s">
        <v>930</v>
      </c>
      <c r="F458" s="16" t="s">
        <v>2283</v>
      </c>
      <c r="G458" s="16" t="s">
        <v>2216</v>
      </c>
      <c r="H458" s="20" t="s">
        <v>229</v>
      </c>
      <c r="I458" s="21" t="s">
        <v>70</v>
      </c>
      <c r="J458" s="22" t="s">
        <v>2284</v>
      </c>
      <c r="K458" s="23">
        <v>19.0</v>
      </c>
      <c r="L458" s="24">
        <v>30.0</v>
      </c>
      <c r="M458" s="24" t="str">
        <f>IFERROR(VLOOKUP(D458,'Chủ đề bài nguồn'!$A$2:$C$735,3,0),"Khác")</f>
        <v>Doanh nghiệp (tài khoản, vay, tài chính)</v>
      </c>
      <c r="N458" s="24"/>
    </row>
    <row r="459">
      <c r="A459" s="15">
        <v>457.0</v>
      </c>
      <c r="B459" s="16" t="s">
        <v>840</v>
      </c>
      <c r="C459" s="18" t="s">
        <v>2213</v>
      </c>
      <c r="D459" s="16" t="s">
        <v>750</v>
      </c>
      <c r="E459" s="16" t="s">
        <v>2288</v>
      </c>
      <c r="F459" s="16" t="s">
        <v>2289</v>
      </c>
      <c r="G459" s="16" t="s">
        <v>2216</v>
      </c>
      <c r="H459" s="20" t="s">
        <v>229</v>
      </c>
      <c r="I459" s="21" t="s">
        <v>70</v>
      </c>
      <c r="J459" s="22" t="s">
        <v>2290</v>
      </c>
      <c r="K459" s="23">
        <v>19.0</v>
      </c>
      <c r="L459" s="24">
        <v>30.0</v>
      </c>
      <c r="M459" s="24" t="str">
        <f>IFERROR(VLOOKUP(D459,'Chủ đề bài nguồn'!$A$2:$C$735,3,0),"Khác")</f>
        <v>Doanh nghiệp (tài khoản, vay, tài chính)</v>
      </c>
      <c r="N459" s="24"/>
    </row>
    <row r="460">
      <c r="A460" s="15">
        <v>458.0</v>
      </c>
      <c r="B460" s="16" t="s">
        <v>840</v>
      </c>
      <c r="C460" s="18" t="s">
        <v>1223</v>
      </c>
      <c r="D460" s="16" t="s">
        <v>1327</v>
      </c>
      <c r="E460" s="16" t="s">
        <v>1329</v>
      </c>
      <c r="F460" s="16" t="s">
        <v>2247</v>
      </c>
      <c r="G460" s="16" t="s">
        <v>2291</v>
      </c>
      <c r="H460" s="20" t="s">
        <v>229</v>
      </c>
      <c r="I460" s="21" t="s">
        <v>70</v>
      </c>
      <c r="J460" s="22" t="s">
        <v>71</v>
      </c>
      <c r="K460" s="23">
        <v>19.0</v>
      </c>
      <c r="L460" s="24">
        <v>31.0</v>
      </c>
      <c r="M460" s="24" t="str">
        <f>IFERROR(VLOOKUP(D460,'Chủ đề bài nguồn'!$A$2:$C$735,3,0),"Khác")</f>
        <v>Thanh toán, chuyển khoản &amp; QR</v>
      </c>
      <c r="N460" s="24"/>
    </row>
    <row r="461">
      <c r="A461" s="15">
        <v>459.0</v>
      </c>
      <c r="B461" s="16" t="s">
        <v>840</v>
      </c>
      <c r="C461" s="18" t="s">
        <v>1223</v>
      </c>
      <c r="D461" s="16" t="s">
        <v>893</v>
      </c>
      <c r="E461" s="16" t="s">
        <v>2294</v>
      </c>
      <c r="F461" s="16" t="s">
        <v>2295</v>
      </c>
      <c r="G461" s="16" t="s">
        <v>2296</v>
      </c>
      <c r="H461" s="20" t="s">
        <v>229</v>
      </c>
      <c r="I461" s="21" t="s">
        <v>70</v>
      </c>
      <c r="J461" s="22" t="s">
        <v>71</v>
      </c>
      <c r="K461" s="23">
        <v>19.0</v>
      </c>
      <c r="L461" s="24">
        <v>31.0</v>
      </c>
      <c r="M461" s="24" t="str">
        <f>IFERROR(VLOOKUP(D461,'Chủ đề bài nguồn'!$A$2:$C$735,3,0),"Khác")</f>
        <v>Thẻ ATM &amp; thẻ ghi nợ</v>
      </c>
      <c r="N461" s="24"/>
    </row>
    <row r="462">
      <c r="A462" s="15">
        <v>460.0</v>
      </c>
      <c r="B462" s="16" t="s">
        <v>840</v>
      </c>
      <c r="C462" s="18" t="s">
        <v>1223</v>
      </c>
      <c r="D462" s="16" t="s">
        <v>2080</v>
      </c>
      <c r="E462" s="16" t="s">
        <v>2298</v>
      </c>
      <c r="F462" s="16" t="s">
        <v>2299</v>
      </c>
      <c r="G462" s="16" t="s">
        <v>2300</v>
      </c>
      <c r="H462" s="20" t="s">
        <v>229</v>
      </c>
      <c r="I462" s="21" t="s">
        <v>70</v>
      </c>
      <c r="J462" s="22" t="s">
        <v>2301</v>
      </c>
      <c r="K462" s="23">
        <v>19.0</v>
      </c>
      <c r="L462" s="24">
        <v>31.0</v>
      </c>
      <c r="M462" s="24" t="str">
        <f>IFERROR(VLOOKUP(D462,'Chủ đề bài nguồn'!$A$2:$C$735,3,0),"Khác")</f>
        <v>Thẻ ATM &amp; thẻ ghi nợ</v>
      </c>
      <c r="N462" s="24"/>
    </row>
    <row r="463">
      <c r="A463" s="15">
        <v>461.0</v>
      </c>
      <c r="B463" s="16" t="s">
        <v>840</v>
      </c>
      <c r="C463" s="18" t="s">
        <v>1223</v>
      </c>
      <c r="D463" s="16" t="s">
        <v>349</v>
      </c>
      <c r="E463" s="16" t="s">
        <v>1646</v>
      </c>
      <c r="F463" s="16" t="s">
        <v>2303</v>
      </c>
      <c r="G463" s="16" t="s">
        <v>2304</v>
      </c>
      <c r="H463" s="20" t="s">
        <v>229</v>
      </c>
      <c r="I463" s="21" t="s">
        <v>70</v>
      </c>
      <c r="J463" s="22" t="s">
        <v>71</v>
      </c>
      <c r="K463" s="23">
        <v>19.0</v>
      </c>
      <c r="L463" s="24">
        <v>31.0</v>
      </c>
      <c r="M463" s="24" t="str">
        <f>IFERROR(VLOOKUP(D463,'Chủ đề bài nguồn'!$A$2:$C$735,3,0),"Khác")</f>
        <v>Tài khoản &amp; ngân hàng số</v>
      </c>
      <c r="N463" s="24"/>
    </row>
    <row r="464">
      <c r="A464" s="15">
        <v>462.0</v>
      </c>
      <c r="B464" s="39" t="s">
        <v>840</v>
      </c>
      <c r="C464" s="18" t="s">
        <v>1223</v>
      </c>
      <c r="D464" s="39" t="s">
        <v>1557</v>
      </c>
      <c r="E464" s="16" t="s">
        <v>2306</v>
      </c>
      <c r="F464" s="16" t="s">
        <v>2307</v>
      </c>
      <c r="G464" s="16" t="s">
        <v>2308</v>
      </c>
      <c r="H464" s="20" t="s">
        <v>229</v>
      </c>
      <c r="I464" s="21" t="s">
        <v>70</v>
      </c>
      <c r="J464" s="22" t="s">
        <v>1073</v>
      </c>
      <c r="K464" s="23">
        <v>19.0</v>
      </c>
      <c r="L464" s="24">
        <v>31.0</v>
      </c>
      <c r="M464" s="24" t="str">
        <f>IFERROR(VLOOKUP(D464,'Chủ đề bài nguồn'!$A$2:$C$735,3,0),"Khác")</f>
        <v>Thẻ ATM &amp; thẻ ghi nợ</v>
      </c>
      <c r="N464" s="24"/>
    </row>
    <row r="465">
      <c r="A465" s="15">
        <v>463.0</v>
      </c>
      <c r="B465" s="16" t="s">
        <v>840</v>
      </c>
      <c r="C465" s="18" t="s">
        <v>2213</v>
      </c>
      <c r="D465" s="16" t="s">
        <v>2107</v>
      </c>
      <c r="E465" s="16" t="s">
        <v>2311</v>
      </c>
      <c r="F465" s="16" t="s">
        <v>2313</v>
      </c>
      <c r="G465" s="16" t="s">
        <v>2314</v>
      </c>
      <c r="H465" s="20" t="s">
        <v>229</v>
      </c>
      <c r="I465" s="21" t="s">
        <v>70</v>
      </c>
      <c r="J465" s="22" t="s">
        <v>71</v>
      </c>
      <c r="K465" s="23">
        <v>19.0</v>
      </c>
      <c r="L465" s="24">
        <v>31.0</v>
      </c>
      <c r="M465" s="24" t="str">
        <f>IFERROR(VLOOKUP(D465,'Chủ đề bài nguồn'!$A$2:$C$735,3,0),"Khác")</f>
        <v>Thẻ ATM &amp; thẻ ghi nợ</v>
      </c>
      <c r="N465" s="24"/>
    </row>
    <row r="466">
      <c r="A466" s="15">
        <v>464.0</v>
      </c>
      <c r="B466" s="16" t="s">
        <v>840</v>
      </c>
      <c r="C466" s="18" t="s">
        <v>2213</v>
      </c>
      <c r="D466" s="16" t="s">
        <v>2315</v>
      </c>
      <c r="E466" s="16" t="s">
        <v>2316</v>
      </c>
      <c r="F466" s="16" t="s">
        <v>2317</v>
      </c>
      <c r="G466" s="16" t="s">
        <v>2318</v>
      </c>
      <c r="H466" s="20" t="s">
        <v>229</v>
      </c>
      <c r="I466" s="21" t="s">
        <v>70</v>
      </c>
      <c r="J466" s="22" t="s">
        <v>71</v>
      </c>
      <c r="K466" s="23">
        <v>19.0</v>
      </c>
      <c r="L466" s="24">
        <v>31.0</v>
      </c>
      <c r="M466" s="24" t="str">
        <f>IFERROR(VLOOKUP(D466,'Chủ đề bài nguồn'!$A$2:$C$735,3,0),"Khác")</f>
        <v>Thẻ ATM &amp; thẻ ghi nợ</v>
      </c>
      <c r="N466" s="24"/>
    </row>
    <row r="467">
      <c r="A467" s="15">
        <v>465.0</v>
      </c>
      <c r="B467" s="16" t="s">
        <v>840</v>
      </c>
      <c r="C467" s="18" t="s">
        <v>2213</v>
      </c>
      <c r="D467" s="16" t="s">
        <v>2099</v>
      </c>
      <c r="E467" s="16" t="s">
        <v>2321</v>
      </c>
      <c r="F467" s="16" t="s">
        <v>2322</v>
      </c>
      <c r="G467" s="16" t="s">
        <v>2323</v>
      </c>
      <c r="H467" s="20" t="s">
        <v>229</v>
      </c>
      <c r="I467" s="21" t="s">
        <v>70</v>
      </c>
      <c r="J467" s="22" t="s">
        <v>2324</v>
      </c>
      <c r="K467" s="23">
        <v>19.0</v>
      </c>
      <c r="L467" s="24">
        <v>31.0</v>
      </c>
      <c r="M467" s="24" t="str">
        <f>IFERROR(VLOOKUP(D467,'Chủ đề bài nguồn'!$A$2:$C$735,3,0),"Khác")</f>
        <v>Thẻ ATM &amp; thẻ ghi nợ</v>
      </c>
      <c r="N467" s="24"/>
    </row>
    <row r="468">
      <c r="A468" s="15">
        <v>466.0</v>
      </c>
      <c r="B468" s="16" t="s">
        <v>840</v>
      </c>
      <c r="C468" s="18" t="s">
        <v>2213</v>
      </c>
      <c r="D468" s="16" t="s">
        <v>1486</v>
      </c>
      <c r="E468" s="16" t="s">
        <v>2326</v>
      </c>
      <c r="F468" s="16" t="s">
        <v>2327</v>
      </c>
      <c r="G468" s="16" t="s">
        <v>2329</v>
      </c>
      <c r="H468" s="20" t="s">
        <v>229</v>
      </c>
      <c r="I468" s="21" t="s">
        <v>70</v>
      </c>
      <c r="J468" s="22" t="s">
        <v>1073</v>
      </c>
      <c r="K468" s="23">
        <v>19.0</v>
      </c>
      <c r="L468" s="24">
        <v>31.0</v>
      </c>
      <c r="M468" s="24" t="str">
        <f>IFERROR(VLOOKUP(D468,'Chủ đề bài nguồn'!$A$2:$C$735,3,0),"Khác")</f>
        <v>Thẻ ATM &amp; thẻ ghi nợ</v>
      </c>
      <c r="N468" s="24"/>
    </row>
    <row r="469">
      <c r="A469" s="15">
        <v>467.0</v>
      </c>
      <c r="B469" s="16" t="s">
        <v>840</v>
      </c>
      <c r="C469" s="18" t="s">
        <v>2213</v>
      </c>
      <c r="D469" s="16" t="s">
        <v>683</v>
      </c>
      <c r="E469" s="16" t="s">
        <v>2330</v>
      </c>
      <c r="F469" s="16" t="s">
        <v>2331</v>
      </c>
      <c r="G469" s="16" t="s">
        <v>2332</v>
      </c>
      <c r="H469" s="20" t="s">
        <v>229</v>
      </c>
      <c r="I469" s="21" t="s">
        <v>70</v>
      </c>
      <c r="J469" s="22" t="s">
        <v>1073</v>
      </c>
      <c r="K469" s="23">
        <v>19.0</v>
      </c>
      <c r="L469" s="24">
        <v>31.0</v>
      </c>
      <c r="M469" s="24" t="str">
        <f>IFERROR(VLOOKUP(D469,'Chủ đề bài nguồn'!$A$2:$C$735,3,0),"Khác")</f>
        <v>Thẻ ATM &amp; thẻ ghi nợ</v>
      </c>
      <c r="N469" s="24"/>
    </row>
    <row r="470">
      <c r="A470" s="15">
        <v>468.0</v>
      </c>
      <c r="B470" s="16" t="s">
        <v>840</v>
      </c>
      <c r="C470" s="18" t="s">
        <v>2213</v>
      </c>
      <c r="D470" s="16" t="s">
        <v>1363</v>
      </c>
      <c r="E470" s="16" t="s">
        <v>710</v>
      </c>
      <c r="F470" s="16" t="s">
        <v>2333</v>
      </c>
      <c r="G470" s="16" t="s">
        <v>2334</v>
      </c>
      <c r="H470" s="20" t="s">
        <v>229</v>
      </c>
      <c r="I470" s="21" t="s">
        <v>70</v>
      </c>
      <c r="J470" s="22" t="s">
        <v>1073</v>
      </c>
      <c r="K470" s="23">
        <v>19.0</v>
      </c>
      <c r="L470" s="24">
        <v>31.0</v>
      </c>
      <c r="M470" s="24" t="str">
        <f>IFERROR(VLOOKUP(D470,'Chủ đề bài nguồn'!$A$2:$C$735,3,0),"Khác")</f>
        <v>Thẻ ATM &amp; thẻ ghi nợ</v>
      </c>
      <c r="N470" s="24"/>
    </row>
    <row r="471">
      <c r="A471" s="15">
        <v>469.0</v>
      </c>
      <c r="B471" s="16" t="s">
        <v>850</v>
      </c>
      <c r="C471" s="18" t="s">
        <v>2336</v>
      </c>
      <c r="D471" s="16" t="s">
        <v>1577</v>
      </c>
      <c r="E471" s="16" t="s">
        <v>2337</v>
      </c>
      <c r="F471" s="16" t="s">
        <v>2338</v>
      </c>
      <c r="G471" s="16" t="s">
        <v>2339</v>
      </c>
      <c r="H471" s="20" t="s">
        <v>69</v>
      </c>
      <c r="I471" s="21" t="s">
        <v>70</v>
      </c>
      <c r="J471" s="22" t="s">
        <v>71</v>
      </c>
      <c r="K471" s="23">
        <v>20.0</v>
      </c>
      <c r="L471" s="24">
        <v>10.0</v>
      </c>
      <c r="M471" s="24" t="str">
        <f>IFERROR(VLOOKUP(D471,'Chủ đề bài nguồn'!$A$2:$C$735,3,0),"Khác")</f>
        <v>Tài khoản &amp; ngân hàng số</v>
      </c>
      <c r="N471" s="24"/>
    </row>
    <row r="472">
      <c r="A472" s="15">
        <v>470.0</v>
      </c>
      <c r="B472" s="16" t="s">
        <v>850</v>
      </c>
      <c r="C472" s="18" t="s">
        <v>2336</v>
      </c>
      <c r="D472" s="16" t="s">
        <v>2340</v>
      </c>
      <c r="E472" s="16" t="s">
        <v>2341</v>
      </c>
      <c r="F472" s="16" t="s">
        <v>2342</v>
      </c>
      <c r="G472" s="16" t="s">
        <v>2339</v>
      </c>
      <c r="H472" s="20" t="s">
        <v>69</v>
      </c>
      <c r="I472" s="21" t="s">
        <v>70</v>
      </c>
      <c r="J472" s="22" t="s">
        <v>71</v>
      </c>
      <c r="K472" s="23">
        <v>20.0</v>
      </c>
      <c r="L472" s="24">
        <v>10.0</v>
      </c>
      <c r="M472" s="24" t="str">
        <f>IFERROR(VLOOKUP(D472,'Chủ đề bài nguồn'!$A$2:$C$735,3,0),"Khác")</f>
        <v>Vay tiêu dùng &amp; tín chấp</v>
      </c>
      <c r="N472" s="24"/>
    </row>
    <row r="473">
      <c r="A473" s="15">
        <v>471.0</v>
      </c>
      <c r="B473" s="16" t="s">
        <v>850</v>
      </c>
      <c r="C473" s="18" t="s">
        <v>2336</v>
      </c>
      <c r="D473" s="16" t="s">
        <v>2343</v>
      </c>
      <c r="E473" s="16" t="s">
        <v>2344</v>
      </c>
      <c r="F473" s="16" t="s">
        <v>2345</v>
      </c>
      <c r="G473" s="16" t="s">
        <v>2339</v>
      </c>
      <c r="H473" s="20" t="s">
        <v>69</v>
      </c>
      <c r="I473" s="21" t="s">
        <v>70</v>
      </c>
      <c r="J473" s="22" t="s">
        <v>71</v>
      </c>
      <c r="K473" s="23">
        <v>20.0</v>
      </c>
      <c r="L473" s="24">
        <v>10.0</v>
      </c>
      <c r="M473" s="24" t="str">
        <f>IFERROR(VLOOKUP(D473,'Chủ đề bài nguồn'!$A$2:$C$735,3,0),"Khác")</f>
        <v>Thẻ tín dụng</v>
      </c>
      <c r="N473" s="24"/>
    </row>
    <row r="474">
      <c r="A474" s="15">
        <v>472.0</v>
      </c>
      <c r="B474" s="16" t="s">
        <v>850</v>
      </c>
      <c r="C474" s="18" t="s">
        <v>2336</v>
      </c>
      <c r="D474" s="16" t="s">
        <v>2346</v>
      </c>
      <c r="E474" s="16" t="s">
        <v>2347</v>
      </c>
      <c r="F474" s="16" t="s">
        <v>2348</v>
      </c>
      <c r="G474" s="16" t="s">
        <v>2339</v>
      </c>
      <c r="H474" s="20" t="s">
        <v>69</v>
      </c>
      <c r="I474" s="21" t="s">
        <v>70</v>
      </c>
      <c r="J474" s="22" t="s">
        <v>71</v>
      </c>
      <c r="K474" s="23">
        <v>20.0</v>
      </c>
      <c r="L474" s="24">
        <v>10.0</v>
      </c>
      <c r="M474" s="24" t="str">
        <f>IFERROR(VLOOKUP(D474,'Chủ đề bài nguồn'!$A$2:$C$735,3,0),"Khác")</f>
        <v>Vay tiêu dùng &amp; tín chấp</v>
      </c>
      <c r="N474" s="24"/>
    </row>
    <row r="475">
      <c r="A475" s="15">
        <v>473.0</v>
      </c>
      <c r="B475" s="16" t="s">
        <v>850</v>
      </c>
      <c r="C475" s="18" t="s">
        <v>2336</v>
      </c>
      <c r="D475" s="16" t="s">
        <v>2292</v>
      </c>
      <c r="E475" s="16" t="s">
        <v>2349</v>
      </c>
      <c r="F475" s="16" t="s">
        <v>2350</v>
      </c>
      <c r="G475" s="16" t="s">
        <v>2351</v>
      </c>
      <c r="H475" s="20" t="s">
        <v>69</v>
      </c>
      <c r="I475" s="21" t="s">
        <v>70</v>
      </c>
      <c r="J475" s="22" t="s">
        <v>71</v>
      </c>
      <c r="K475" s="23">
        <v>20.0</v>
      </c>
      <c r="L475" s="24">
        <v>11.0</v>
      </c>
      <c r="M475" s="24" t="str">
        <f>IFERROR(VLOOKUP(D475,'Chủ đề bài nguồn'!$A$2:$C$735,3,0),"Khác")</f>
        <v>Tiết kiệm &amp; lãi suất tiền gửi</v>
      </c>
      <c r="N475" s="24"/>
    </row>
    <row r="476">
      <c r="A476" s="15">
        <v>474.0</v>
      </c>
      <c r="B476" s="16" t="s">
        <v>850</v>
      </c>
      <c r="C476" s="18" t="s">
        <v>1254</v>
      </c>
      <c r="D476" s="16" t="s">
        <v>2352</v>
      </c>
      <c r="E476" s="16" t="s">
        <v>2353</v>
      </c>
      <c r="F476" s="16" t="s">
        <v>2354</v>
      </c>
      <c r="G476" s="16" t="s">
        <v>2355</v>
      </c>
      <c r="H476" s="20" t="s">
        <v>155</v>
      </c>
      <c r="I476" s="21" t="s">
        <v>70</v>
      </c>
      <c r="J476" s="22" t="s">
        <v>2356</v>
      </c>
      <c r="K476" s="23">
        <v>20.0</v>
      </c>
      <c r="L476" s="24">
        <v>21.0</v>
      </c>
      <c r="M476" s="24" t="str">
        <f>IFERROR(VLOOKUP(D476,'Chủ đề bài nguồn'!$A$2:$C$735,3,0),"Khác")</f>
        <v>Thẻ tín dụng</v>
      </c>
      <c r="N476" s="24"/>
    </row>
    <row r="477">
      <c r="A477" s="15">
        <v>475.0</v>
      </c>
      <c r="B477" s="16" t="s">
        <v>850</v>
      </c>
      <c r="C477" s="18" t="s">
        <v>2336</v>
      </c>
      <c r="D477" s="16" t="s">
        <v>1051</v>
      </c>
      <c r="E477" s="16" t="s">
        <v>2359</v>
      </c>
      <c r="F477" s="16" t="s">
        <v>2360</v>
      </c>
      <c r="G477" s="16" t="s">
        <v>2361</v>
      </c>
      <c r="H477" s="20" t="s">
        <v>155</v>
      </c>
      <c r="I477" s="21" t="s">
        <v>70</v>
      </c>
      <c r="J477" s="22" t="s">
        <v>809</v>
      </c>
      <c r="K477" s="23">
        <v>20.0</v>
      </c>
      <c r="L477" s="24">
        <v>21.0</v>
      </c>
      <c r="M477" s="24" t="str">
        <f>IFERROR(VLOOKUP(D477,'Chủ đề bài nguồn'!$A$2:$C$735,3,0),"Khác")</f>
        <v>Doanh nghiệp (tài khoản, vay, tài chính)</v>
      </c>
      <c r="N477" s="24"/>
    </row>
    <row r="478">
      <c r="A478" s="15">
        <v>476.0</v>
      </c>
      <c r="B478" s="16" t="s">
        <v>850</v>
      </c>
      <c r="C478" s="18" t="s">
        <v>2336</v>
      </c>
      <c r="D478" s="16" t="s">
        <v>1847</v>
      </c>
      <c r="E478" s="16" t="s">
        <v>2362</v>
      </c>
      <c r="F478" s="16" t="s">
        <v>2363</v>
      </c>
      <c r="G478" s="16" t="s">
        <v>2364</v>
      </c>
      <c r="H478" s="20" t="s">
        <v>155</v>
      </c>
      <c r="I478" s="21" t="s">
        <v>70</v>
      </c>
      <c r="J478" s="22" t="s">
        <v>71</v>
      </c>
      <c r="K478" s="23">
        <v>20.0</v>
      </c>
      <c r="L478" s="24">
        <v>21.0</v>
      </c>
      <c r="M478" s="24" t="str">
        <f>IFERROR(VLOOKUP(D478,'Chủ đề bài nguồn'!$A$2:$C$735,3,0),"Khác")</f>
        <v>Tài khoản &amp; ngân hàng số</v>
      </c>
      <c r="N478" s="24"/>
    </row>
    <row r="479">
      <c r="A479" s="15">
        <v>477.0</v>
      </c>
      <c r="B479" s="16" t="s">
        <v>850</v>
      </c>
      <c r="C479" s="18" t="s">
        <v>2336</v>
      </c>
      <c r="D479" s="16" t="s">
        <v>2365</v>
      </c>
      <c r="E479" s="16" t="s">
        <v>2366</v>
      </c>
      <c r="F479" s="16" t="s">
        <v>2367</v>
      </c>
      <c r="G479" s="16" t="s">
        <v>2368</v>
      </c>
      <c r="H479" s="20" t="s">
        <v>155</v>
      </c>
      <c r="I479" s="21" t="s">
        <v>70</v>
      </c>
      <c r="J479" s="22" t="s">
        <v>71</v>
      </c>
      <c r="K479" s="23">
        <v>20.0</v>
      </c>
      <c r="L479" s="24">
        <v>21.0</v>
      </c>
      <c r="M479" s="24" t="str">
        <f>IFERROR(VLOOKUP(D479,'Chủ đề bài nguồn'!$A$2:$C$735,3,0),"Khác")</f>
        <v>Vay thế chấp &amp; mua nhà/xe</v>
      </c>
      <c r="N479" s="24"/>
    </row>
    <row r="480">
      <c r="A480" s="15">
        <v>478.0</v>
      </c>
      <c r="B480" s="16" t="s">
        <v>850</v>
      </c>
      <c r="C480" s="18" t="s">
        <v>2336</v>
      </c>
      <c r="D480" s="16" t="s">
        <v>705</v>
      </c>
      <c r="E480" s="16" t="s">
        <v>1236</v>
      </c>
      <c r="F480" s="16" t="s">
        <v>2371</v>
      </c>
      <c r="G480" s="16" t="s">
        <v>2372</v>
      </c>
      <c r="H480" s="20" t="s">
        <v>155</v>
      </c>
      <c r="I480" s="21" t="s">
        <v>70</v>
      </c>
      <c r="J480" s="22" t="s">
        <v>71</v>
      </c>
      <c r="K480" s="23">
        <v>20.0</v>
      </c>
      <c r="L480" s="24">
        <v>21.0</v>
      </c>
      <c r="M480" s="24" t="str">
        <f>IFERROR(VLOOKUP(D480,'Chủ đề bài nguồn'!$A$2:$C$735,3,0),"Khác")</f>
        <v>Thuế</v>
      </c>
      <c r="N480" s="24"/>
    </row>
    <row r="481">
      <c r="A481" s="15">
        <v>479.0</v>
      </c>
      <c r="B481" s="16" t="s">
        <v>850</v>
      </c>
      <c r="C481" s="18" t="s">
        <v>2336</v>
      </c>
      <c r="D481" s="16" t="s">
        <v>2374</v>
      </c>
      <c r="E481" s="16" t="s">
        <v>2375</v>
      </c>
      <c r="F481" s="16" t="s">
        <v>2376</v>
      </c>
      <c r="G481" s="16" t="s">
        <v>2377</v>
      </c>
      <c r="H481" s="20" t="s">
        <v>155</v>
      </c>
      <c r="I481" s="21" t="s">
        <v>70</v>
      </c>
      <c r="J481" s="22" t="s">
        <v>71</v>
      </c>
      <c r="K481" s="23">
        <v>20.0</v>
      </c>
      <c r="L481" s="24">
        <v>21.0</v>
      </c>
      <c r="M481" s="24" t="str">
        <f>IFERROR(VLOOKUP(D481,'Chủ đề bài nguồn'!$A$2:$C$735,3,0),"Khác")</f>
        <v>Quản lý tài chính cá nhân</v>
      </c>
      <c r="N481" s="24"/>
    </row>
    <row r="482">
      <c r="A482" s="15">
        <v>480.0</v>
      </c>
      <c r="B482" s="16" t="s">
        <v>850</v>
      </c>
      <c r="C482" s="18" t="s">
        <v>2336</v>
      </c>
      <c r="D482" s="16" t="s">
        <v>2379</v>
      </c>
      <c r="E482" s="16" t="s">
        <v>2380</v>
      </c>
      <c r="F482" s="16" t="s">
        <v>2381</v>
      </c>
      <c r="G482" s="16" t="s">
        <v>2382</v>
      </c>
      <c r="H482" s="20" t="s">
        <v>155</v>
      </c>
      <c r="I482" s="21" t="s">
        <v>70</v>
      </c>
      <c r="J482" s="22" t="s">
        <v>71</v>
      </c>
      <c r="K482" s="23">
        <v>20.0</v>
      </c>
      <c r="L482" s="24">
        <v>21.0</v>
      </c>
      <c r="M482" s="24" t="str">
        <f>IFERROR(VLOOKUP(D482,'Chủ đề bài nguồn'!$A$2:$C$735,3,0),"Khác")</f>
        <v>Tiết kiệm &amp; lãi suất tiền gửi</v>
      </c>
      <c r="N482" s="24"/>
    </row>
    <row r="483">
      <c r="A483" s="15">
        <v>481.0</v>
      </c>
      <c r="B483" s="16" t="s">
        <v>850</v>
      </c>
      <c r="C483" s="18" t="s">
        <v>2336</v>
      </c>
      <c r="D483" s="16" t="s">
        <v>2384</v>
      </c>
      <c r="E483" s="16" t="s">
        <v>2385</v>
      </c>
      <c r="F483" s="16" t="s">
        <v>2386</v>
      </c>
      <c r="G483" s="16" t="s">
        <v>2387</v>
      </c>
      <c r="H483" s="20" t="s">
        <v>155</v>
      </c>
      <c r="I483" s="21" t="s">
        <v>70</v>
      </c>
      <c r="J483" s="22" t="s">
        <v>71</v>
      </c>
      <c r="K483" s="23">
        <v>20.0</v>
      </c>
      <c r="L483" s="24">
        <v>21.0</v>
      </c>
      <c r="M483" s="24" t="str">
        <f>IFERROR(VLOOKUP(D483,'Chủ đề bài nguồn'!$A$2:$C$735,3,0),"Khác")</f>
        <v>Quản lý tài chính cá nhân</v>
      </c>
      <c r="N483" s="24"/>
    </row>
    <row r="484">
      <c r="A484" s="15">
        <v>482.0</v>
      </c>
      <c r="B484" s="16" t="s">
        <v>850</v>
      </c>
      <c r="C484" s="18" t="s">
        <v>2336</v>
      </c>
      <c r="D484" s="16" t="s">
        <v>1625</v>
      </c>
      <c r="E484" s="16" t="s">
        <v>1626</v>
      </c>
      <c r="F484" s="16" t="s">
        <v>2388</v>
      </c>
      <c r="G484" s="16" t="s">
        <v>2389</v>
      </c>
      <c r="H484" s="20" t="s">
        <v>155</v>
      </c>
      <c r="I484" s="21" t="s">
        <v>70</v>
      </c>
      <c r="J484" s="22" t="s">
        <v>994</v>
      </c>
      <c r="K484" s="23">
        <v>20.0</v>
      </c>
      <c r="L484" s="24">
        <v>21.0</v>
      </c>
      <c r="M484" s="24" t="str">
        <f>IFERROR(VLOOKUP(D484,'Chủ đề bài nguồn'!$A$2:$C$735,3,0),"Khác")</f>
        <v>Tài khoản &amp; ngân hàng số</v>
      </c>
      <c r="N484" s="24"/>
    </row>
    <row r="485">
      <c r="A485" s="15">
        <v>483.0</v>
      </c>
      <c r="B485" s="16" t="s">
        <v>850</v>
      </c>
      <c r="C485" s="18" t="s">
        <v>2336</v>
      </c>
      <c r="D485" s="16" t="s">
        <v>1288</v>
      </c>
      <c r="E485" s="16" t="s">
        <v>2390</v>
      </c>
      <c r="F485" s="16" t="s">
        <v>2391</v>
      </c>
      <c r="G485" s="16" t="s">
        <v>2392</v>
      </c>
      <c r="H485" s="20" t="s">
        <v>155</v>
      </c>
      <c r="I485" s="21" t="s">
        <v>70</v>
      </c>
      <c r="J485" s="22" t="s">
        <v>71</v>
      </c>
      <c r="K485" s="23">
        <v>20.0</v>
      </c>
      <c r="L485" s="24">
        <v>21.0</v>
      </c>
      <c r="M485" s="24" t="str">
        <f>IFERROR(VLOOKUP(D485,'Chủ đề bài nguồn'!$A$2:$C$735,3,0),"Khác")</f>
        <v>Quản lý tài chính cá nhân</v>
      </c>
      <c r="N485" s="24"/>
    </row>
    <row r="486">
      <c r="A486" s="15">
        <v>484.0</v>
      </c>
      <c r="B486" s="16" t="s">
        <v>850</v>
      </c>
      <c r="C486" s="18" t="s">
        <v>2336</v>
      </c>
      <c r="D486" s="16" t="s">
        <v>2394</v>
      </c>
      <c r="E486" s="16" t="s">
        <v>710</v>
      </c>
      <c r="F486" s="16" t="s">
        <v>2395</v>
      </c>
      <c r="G486" s="16" t="s">
        <v>2396</v>
      </c>
      <c r="H486" s="20" t="s">
        <v>155</v>
      </c>
      <c r="I486" s="21" t="s">
        <v>70</v>
      </c>
      <c r="J486" s="22" t="s">
        <v>71</v>
      </c>
      <c r="K486" s="23">
        <v>20.0</v>
      </c>
      <c r="L486" s="24">
        <v>21.0</v>
      </c>
      <c r="M486" s="24" t="str">
        <f>IFERROR(VLOOKUP(D486,'Chủ đề bài nguồn'!$A$2:$C$735,3,0),"Khác")</f>
        <v>Thẻ tín dụng</v>
      </c>
      <c r="N486" s="24"/>
    </row>
    <row r="487">
      <c r="A487" s="15">
        <v>485.0</v>
      </c>
      <c r="B487" s="16" t="s">
        <v>850</v>
      </c>
      <c r="C487" s="18" t="s">
        <v>2336</v>
      </c>
      <c r="D487" s="16" t="s">
        <v>2400</v>
      </c>
      <c r="E487" s="16" t="s">
        <v>2401</v>
      </c>
      <c r="F487" s="16" t="s">
        <v>2402</v>
      </c>
      <c r="G487" s="16" t="s">
        <v>2403</v>
      </c>
      <c r="H487" s="20" t="s">
        <v>155</v>
      </c>
      <c r="I487" s="21" t="s">
        <v>70</v>
      </c>
      <c r="J487" s="22" t="s">
        <v>71</v>
      </c>
      <c r="K487" s="23">
        <v>20.0</v>
      </c>
      <c r="L487" s="24">
        <v>21.0</v>
      </c>
      <c r="M487" s="24" t="str">
        <f>IFERROR(VLOOKUP(D487,'Chủ đề bài nguồn'!$A$2:$C$735,3,0),"Khác")</f>
        <v>Thẻ tín dụng</v>
      </c>
      <c r="N487" s="24"/>
    </row>
    <row r="488">
      <c r="A488" s="15">
        <v>486.0</v>
      </c>
      <c r="B488" s="16" t="s">
        <v>850</v>
      </c>
      <c r="C488" s="18" t="s">
        <v>2336</v>
      </c>
      <c r="D488" s="16" t="s">
        <v>2405</v>
      </c>
      <c r="E488" s="16" t="s">
        <v>2406</v>
      </c>
      <c r="F488" s="16" t="s">
        <v>2407</v>
      </c>
      <c r="G488" s="16" t="s">
        <v>2408</v>
      </c>
      <c r="H488" s="20" t="s">
        <v>155</v>
      </c>
      <c r="I488" s="21" t="s">
        <v>70</v>
      </c>
      <c r="J488" s="22" t="s">
        <v>71</v>
      </c>
      <c r="K488" s="23">
        <v>20.0</v>
      </c>
      <c r="L488" s="24">
        <v>21.0</v>
      </c>
      <c r="M488" s="24" t="str">
        <f>IFERROR(VLOOKUP(D488,'Chủ đề bài nguồn'!$A$2:$C$735,3,0),"Khác")</f>
        <v>Thẻ ATM &amp; thẻ ghi nợ</v>
      </c>
      <c r="N488" s="24"/>
    </row>
    <row r="489">
      <c r="A489" s="15">
        <v>487.0</v>
      </c>
      <c r="B489" s="16" t="s">
        <v>850</v>
      </c>
      <c r="C489" s="18" t="s">
        <v>2336</v>
      </c>
      <c r="D489" s="16" t="s">
        <v>2410</v>
      </c>
      <c r="E489" s="16" t="s">
        <v>2411</v>
      </c>
      <c r="F489" s="16" t="s">
        <v>2412</v>
      </c>
      <c r="G489" s="16" t="s">
        <v>2413</v>
      </c>
      <c r="H489" s="20" t="s">
        <v>155</v>
      </c>
      <c r="I489" s="21" t="s">
        <v>70</v>
      </c>
      <c r="J489" s="22" t="s">
        <v>71</v>
      </c>
      <c r="K489" s="23">
        <v>20.0</v>
      </c>
      <c r="L489" s="24">
        <v>21.0</v>
      </c>
      <c r="M489" s="24" t="str">
        <f>IFERROR(VLOOKUP(D489,'Chủ đề bài nguồn'!$A$2:$C$735,3,0),"Khác")</f>
        <v>Thẻ tín dụng</v>
      </c>
      <c r="N489" s="24"/>
    </row>
    <row r="490">
      <c r="A490" s="15">
        <v>488.0</v>
      </c>
      <c r="B490" s="16" t="s">
        <v>850</v>
      </c>
      <c r="C490" s="18" t="s">
        <v>2336</v>
      </c>
      <c r="D490" s="16" t="s">
        <v>93</v>
      </c>
      <c r="E490" s="16" t="s">
        <v>2414</v>
      </c>
      <c r="F490" s="16" t="s">
        <v>2415</v>
      </c>
      <c r="G490" s="16" t="s">
        <v>2416</v>
      </c>
      <c r="H490" s="20" t="s">
        <v>155</v>
      </c>
      <c r="I490" s="21" t="s">
        <v>70</v>
      </c>
      <c r="J490" s="22" t="s">
        <v>71</v>
      </c>
      <c r="K490" s="23">
        <v>20.0</v>
      </c>
      <c r="L490" s="24">
        <v>21.0</v>
      </c>
      <c r="M490" s="24" t="str">
        <f>IFERROR(VLOOKUP(D490,'Chủ đề bài nguồn'!$A$2:$C$735,3,0),"Khác")</f>
        <v>Nợ xấu &amp; CIC</v>
      </c>
      <c r="N490" s="24"/>
    </row>
    <row r="491">
      <c r="A491" s="15">
        <v>489.0</v>
      </c>
      <c r="B491" s="16" t="s">
        <v>850</v>
      </c>
      <c r="C491" s="18" t="s">
        <v>1254</v>
      </c>
      <c r="D491" s="16" t="s">
        <v>2088</v>
      </c>
      <c r="E491" s="16" t="s">
        <v>2001</v>
      </c>
      <c r="F491" s="16" t="s">
        <v>2418</v>
      </c>
      <c r="G491" s="16" t="s">
        <v>2419</v>
      </c>
      <c r="H491" s="20" t="s">
        <v>229</v>
      </c>
      <c r="I491" s="21" t="s">
        <v>70</v>
      </c>
      <c r="J491" s="22" t="s">
        <v>71</v>
      </c>
      <c r="K491" s="23">
        <v>20.0</v>
      </c>
      <c r="L491" s="24">
        <v>31.0</v>
      </c>
      <c r="M491" s="24" t="str">
        <f>IFERROR(VLOOKUP(D491,'Chủ đề bài nguồn'!$A$2:$C$735,3,0),"Khác")</f>
        <v>Thẻ ATM &amp; thẻ ghi nợ</v>
      </c>
      <c r="N491" s="24"/>
    </row>
    <row r="492">
      <c r="A492" s="15">
        <v>490.0</v>
      </c>
      <c r="B492" s="16" t="s">
        <v>850</v>
      </c>
      <c r="C492" s="18" t="s">
        <v>2336</v>
      </c>
      <c r="D492" s="16" t="s">
        <v>2420</v>
      </c>
      <c r="E492" s="16" t="s">
        <v>2421</v>
      </c>
      <c r="F492" s="16" t="s">
        <v>2423</v>
      </c>
      <c r="G492" s="16" t="s">
        <v>2424</v>
      </c>
      <c r="H492" s="20" t="s">
        <v>229</v>
      </c>
      <c r="I492" s="21" t="s">
        <v>70</v>
      </c>
      <c r="J492" s="22" t="s">
        <v>1425</v>
      </c>
      <c r="K492" s="23">
        <v>20.0</v>
      </c>
      <c r="L492" s="24">
        <v>31.0</v>
      </c>
      <c r="M492" s="24" t="str">
        <f>IFERROR(VLOOKUP(D492,'Chủ đề bài nguồn'!$A$2:$C$735,3,0),"Khác")</f>
        <v>Vay tiêu dùng &amp; tín chấp</v>
      </c>
      <c r="N492" s="24"/>
    </row>
    <row r="493">
      <c r="A493" s="15">
        <v>491.0</v>
      </c>
      <c r="B493" s="16" t="s">
        <v>850</v>
      </c>
      <c r="C493" s="18" t="s">
        <v>2336</v>
      </c>
      <c r="D493" s="16" t="s">
        <v>2426</v>
      </c>
      <c r="E493" s="16" t="s">
        <v>2427</v>
      </c>
      <c r="F493" s="16" t="s">
        <v>2429</v>
      </c>
      <c r="G493" s="16" t="s">
        <v>2430</v>
      </c>
      <c r="H493" s="20" t="s">
        <v>229</v>
      </c>
      <c r="I493" s="21" t="s">
        <v>70</v>
      </c>
      <c r="J493" s="22" t="s">
        <v>2432</v>
      </c>
      <c r="K493" s="23">
        <v>20.0</v>
      </c>
      <c r="L493" s="24">
        <v>31.0</v>
      </c>
      <c r="M493" s="24" t="str">
        <f>IFERROR(VLOOKUP(D493,'Chủ đề bài nguồn'!$A$2:$C$735,3,0),"Khác")</f>
        <v>Thẻ tín dụng</v>
      </c>
      <c r="N493" s="24"/>
    </row>
    <row r="494">
      <c r="A494" s="15">
        <v>492.0</v>
      </c>
      <c r="B494" s="16" t="s">
        <v>850</v>
      </c>
      <c r="C494" s="18" t="s">
        <v>2336</v>
      </c>
      <c r="D494" s="16" t="s">
        <v>1137</v>
      </c>
      <c r="E494" s="16" t="s">
        <v>2433</v>
      </c>
      <c r="F494" s="16" t="s">
        <v>2434</v>
      </c>
      <c r="G494" s="16" t="s">
        <v>2435</v>
      </c>
      <c r="H494" s="20" t="s">
        <v>229</v>
      </c>
      <c r="I494" s="21" t="s">
        <v>70</v>
      </c>
      <c r="J494" s="22" t="s">
        <v>71</v>
      </c>
      <c r="K494" s="23">
        <v>20.0</v>
      </c>
      <c r="L494" s="24">
        <v>31.0</v>
      </c>
      <c r="M494" s="24" t="str">
        <f>IFERROR(VLOOKUP(D494,'Chủ đề bài nguồn'!$A$2:$C$735,3,0),"Khác")</f>
        <v>Tiết kiệm &amp; lãi suất tiền gửi</v>
      </c>
      <c r="N494" s="24"/>
    </row>
    <row r="495">
      <c r="A495" s="15">
        <v>493.0</v>
      </c>
      <c r="B495" s="16" t="s">
        <v>850</v>
      </c>
      <c r="C495" s="18" t="s">
        <v>2336</v>
      </c>
      <c r="D495" s="16" t="s">
        <v>1426</v>
      </c>
      <c r="E495" s="16" t="s">
        <v>2437</v>
      </c>
      <c r="F495" s="16" t="s">
        <v>2438</v>
      </c>
      <c r="G495" s="16" t="s">
        <v>2439</v>
      </c>
      <c r="H495" s="20" t="s">
        <v>229</v>
      </c>
      <c r="I495" s="21" t="s">
        <v>70</v>
      </c>
      <c r="J495" s="22" t="s">
        <v>71</v>
      </c>
      <c r="K495" s="23">
        <v>20.0</v>
      </c>
      <c r="L495" s="24">
        <v>31.0</v>
      </c>
      <c r="M495" s="24" t="str">
        <f>IFERROR(VLOOKUP(D495,'Chủ đề bài nguồn'!$A$2:$C$735,3,0),"Khác")</f>
        <v>Thẻ tín dụng</v>
      </c>
      <c r="N495" s="24"/>
    </row>
    <row r="496">
      <c r="A496" s="15">
        <v>494.0</v>
      </c>
      <c r="B496" s="16" t="s">
        <v>850</v>
      </c>
      <c r="C496" s="18" t="s">
        <v>2336</v>
      </c>
      <c r="D496" s="16" t="s">
        <v>1608</v>
      </c>
      <c r="E496" s="16" t="s">
        <v>2440</v>
      </c>
      <c r="F496" s="16" t="s">
        <v>2441</v>
      </c>
      <c r="G496" s="16" t="s">
        <v>2442</v>
      </c>
      <c r="H496" s="20" t="s">
        <v>229</v>
      </c>
      <c r="I496" s="21" t="s">
        <v>70</v>
      </c>
      <c r="J496" s="22" t="s">
        <v>2443</v>
      </c>
      <c r="K496" s="23">
        <v>20.0</v>
      </c>
      <c r="L496" s="24">
        <v>31.0</v>
      </c>
      <c r="M496" s="24" t="str">
        <f>IFERROR(VLOOKUP(D496,'Chủ đề bài nguồn'!$A$2:$C$735,3,0),"Khác")</f>
        <v>Vay tiêu dùng &amp; tín chấp</v>
      </c>
      <c r="N496" s="24"/>
    </row>
    <row r="497">
      <c r="A497" s="15">
        <v>495.0</v>
      </c>
      <c r="B497" s="39" t="s">
        <v>850</v>
      </c>
      <c r="C497" s="18" t="s">
        <v>2336</v>
      </c>
      <c r="D497" s="39" t="s">
        <v>1957</v>
      </c>
      <c r="E497" s="16" t="s">
        <v>2451</v>
      </c>
      <c r="F497" s="16" t="s">
        <v>2452</v>
      </c>
      <c r="G497" s="16" t="s">
        <v>2453</v>
      </c>
      <c r="H497" s="20" t="s">
        <v>229</v>
      </c>
      <c r="I497" s="21" t="s">
        <v>70</v>
      </c>
      <c r="J497" s="22" t="s">
        <v>2454</v>
      </c>
      <c r="K497" s="23">
        <v>20.0</v>
      </c>
      <c r="L497" s="24">
        <v>31.0</v>
      </c>
      <c r="M497" s="24" t="str">
        <f>IFERROR(VLOOKUP(D497,'Chủ đề bài nguồn'!$A$2:$C$735,3,0),"Khác")</f>
        <v>Thẻ tín dụng</v>
      </c>
      <c r="N497" s="24"/>
    </row>
    <row r="498">
      <c r="A498" s="15">
        <v>496.0</v>
      </c>
      <c r="B498" s="16" t="s">
        <v>864</v>
      </c>
      <c r="C498" s="18" t="s">
        <v>1285</v>
      </c>
      <c r="D498" s="16" t="s">
        <v>1692</v>
      </c>
      <c r="E498" s="16" t="s">
        <v>710</v>
      </c>
      <c r="F498" s="16" t="s">
        <v>2456</v>
      </c>
      <c r="G498" s="16" t="s">
        <v>2457</v>
      </c>
      <c r="H498" s="20" t="s">
        <v>69</v>
      </c>
      <c r="I498" s="21" t="s">
        <v>70</v>
      </c>
      <c r="J498" s="22" t="s">
        <v>71</v>
      </c>
      <c r="K498" s="23">
        <v>21.0</v>
      </c>
      <c r="L498" s="24">
        <v>10.0</v>
      </c>
      <c r="M498" s="24" t="str">
        <f>IFERROR(VLOOKUP(D498,'Chủ đề bài nguồn'!$A$2:$C$735,3,0),"Khác")</f>
        <v>Ưu đãi, du lịch &amp; đời sống</v>
      </c>
      <c r="N498" s="24"/>
    </row>
    <row r="499">
      <c r="A499" s="15">
        <v>497.0</v>
      </c>
      <c r="B499" s="16" t="s">
        <v>864</v>
      </c>
      <c r="C499" s="18" t="s">
        <v>1285</v>
      </c>
      <c r="D499" s="16" t="s">
        <v>1053</v>
      </c>
      <c r="E499" s="16" t="s">
        <v>2458</v>
      </c>
      <c r="F499" s="16" t="s">
        <v>2459</v>
      </c>
      <c r="G499" s="16" t="s">
        <v>2460</v>
      </c>
      <c r="H499" s="20" t="s">
        <v>69</v>
      </c>
      <c r="I499" s="21" t="s">
        <v>70</v>
      </c>
      <c r="J499" s="22" t="s">
        <v>71</v>
      </c>
      <c r="K499" s="23">
        <v>21.0</v>
      </c>
      <c r="L499" s="24">
        <v>11.0</v>
      </c>
      <c r="M499" s="24" t="str">
        <f>IFERROR(VLOOKUP(D499,'Chủ đề bài nguồn'!$A$2:$C$735,3,0),"Khác")</f>
        <v>Ưu đãi, du lịch &amp; đời sống</v>
      </c>
      <c r="N499" s="24"/>
    </row>
    <row r="500">
      <c r="A500" s="15">
        <v>498.0</v>
      </c>
      <c r="B500" s="16" t="s">
        <v>864</v>
      </c>
      <c r="C500" s="18" t="s">
        <v>1285</v>
      </c>
      <c r="D500" s="16" t="s">
        <v>1008</v>
      </c>
      <c r="E500" s="16" t="s">
        <v>2464</v>
      </c>
      <c r="F500" s="16" t="s">
        <v>2465</v>
      </c>
      <c r="G500" s="16" t="s">
        <v>2466</v>
      </c>
      <c r="H500" s="20" t="s">
        <v>69</v>
      </c>
      <c r="I500" s="21" t="s">
        <v>70</v>
      </c>
      <c r="J500" s="22" t="s">
        <v>71</v>
      </c>
      <c r="K500" s="23">
        <v>21.0</v>
      </c>
      <c r="L500" s="24">
        <v>11.0</v>
      </c>
      <c r="M500" s="24" t="str">
        <f>IFERROR(VLOOKUP(D500,'Chủ đề bài nguồn'!$A$2:$C$735,3,0),"Khác")</f>
        <v>Tài khoản &amp; ngân hàng số</v>
      </c>
      <c r="N500" s="24"/>
    </row>
    <row r="501">
      <c r="A501" s="15">
        <v>499.0</v>
      </c>
      <c r="B501" s="16" t="s">
        <v>864</v>
      </c>
      <c r="C501" s="18" t="s">
        <v>1285</v>
      </c>
      <c r="D501" s="16" t="s">
        <v>2468</v>
      </c>
      <c r="E501" s="16" t="s">
        <v>1680</v>
      </c>
      <c r="F501" s="16" t="s">
        <v>2469</v>
      </c>
      <c r="G501" s="16" t="s">
        <v>2470</v>
      </c>
      <c r="H501" s="20" t="s">
        <v>69</v>
      </c>
      <c r="I501" s="21" t="s">
        <v>70</v>
      </c>
      <c r="J501" s="22" t="s">
        <v>71</v>
      </c>
      <c r="K501" s="23">
        <v>21.0</v>
      </c>
      <c r="L501" s="24">
        <v>11.0</v>
      </c>
      <c r="M501" s="24" t="str">
        <f>IFERROR(VLOOKUP(D501,'Chủ đề bài nguồn'!$A$2:$C$735,3,0),"Khác")</f>
        <v>Tài khoản &amp; ngân hàng số</v>
      </c>
      <c r="N501" s="24"/>
    </row>
    <row r="502">
      <c r="A502" s="15">
        <v>500.0</v>
      </c>
      <c r="B502" s="16" t="s">
        <v>864</v>
      </c>
      <c r="C502" s="18" t="s">
        <v>2471</v>
      </c>
      <c r="D502" s="16" t="s">
        <v>1597</v>
      </c>
      <c r="E502" s="16" t="s">
        <v>2472</v>
      </c>
      <c r="F502" s="16" t="s">
        <v>2473</v>
      </c>
      <c r="G502" s="16" t="s">
        <v>2474</v>
      </c>
      <c r="H502" s="20" t="s">
        <v>69</v>
      </c>
      <c r="I502" s="21" t="s">
        <v>70</v>
      </c>
      <c r="J502" s="22" t="s">
        <v>71</v>
      </c>
      <c r="K502" s="23">
        <v>21.0</v>
      </c>
      <c r="L502" s="24">
        <v>11.0</v>
      </c>
      <c r="M502" s="24" t="str">
        <f>IFERROR(VLOOKUP(D502,'Chủ đề bài nguồn'!$A$2:$C$735,3,0),"Khác")</f>
        <v>Ưu đãi, du lịch &amp; đời sống</v>
      </c>
      <c r="N502" s="24"/>
    </row>
    <row r="503">
      <c r="A503" s="15">
        <v>501.0</v>
      </c>
      <c r="B503" s="16" t="s">
        <v>864</v>
      </c>
      <c r="C503" s="18" t="s">
        <v>2471</v>
      </c>
      <c r="D503" s="16" t="s">
        <v>1629</v>
      </c>
      <c r="E503" s="16" t="s">
        <v>2476</v>
      </c>
      <c r="F503" s="16" t="s">
        <v>2477</v>
      </c>
      <c r="G503" s="16" t="s">
        <v>2478</v>
      </c>
      <c r="H503" s="20" t="s">
        <v>69</v>
      </c>
      <c r="I503" s="21" t="s">
        <v>70</v>
      </c>
      <c r="J503" s="22" t="s">
        <v>71</v>
      </c>
      <c r="K503" s="23">
        <v>21.0</v>
      </c>
      <c r="L503" s="24">
        <v>11.0</v>
      </c>
      <c r="M503" s="24" t="str">
        <f>IFERROR(VLOOKUP(D503,'Chủ đề bài nguồn'!$A$2:$C$735,3,0),"Khác")</f>
        <v>Tài khoản &amp; ngân hàng số</v>
      </c>
      <c r="N503" s="24"/>
    </row>
    <row r="504">
      <c r="A504" s="15">
        <v>502.0</v>
      </c>
      <c r="B504" s="16" t="s">
        <v>864</v>
      </c>
      <c r="C504" s="18" t="s">
        <v>2471</v>
      </c>
      <c r="D504" s="16" t="s">
        <v>2121</v>
      </c>
      <c r="E504" s="16" t="s">
        <v>2122</v>
      </c>
      <c r="F504" s="16" t="s">
        <v>2479</v>
      </c>
      <c r="G504" s="16" t="s">
        <v>2480</v>
      </c>
      <c r="H504" s="20" t="s">
        <v>69</v>
      </c>
      <c r="I504" s="21" t="s">
        <v>70</v>
      </c>
      <c r="J504" s="22" t="s">
        <v>71</v>
      </c>
      <c r="K504" s="23">
        <v>21.0</v>
      </c>
      <c r="L504" s="24">
        <v>11.0</v>
      </c>
      <c r="M504" s="24" t="str">
        <f>IFERROR(VLOOKUP(D504,'Chủ đề bài nguồn'!$A$2:$C$735,3,0),"Khác")</f>
        <v>Tài khoản &amp; ngân hàng số</v>
      </c>
      <c r="N504" s="24"/>
    </row>
    <row r="505">
      <c r="A505" s="15">
        <v>503.0</v>
      </c>
      <c r="B505" s="16" t="s">
        <v>864</v>
      </c>
      <c r="C505" s="18" t="s">
        <v>1285</v>
      </c>
      <c r="D505" s="16" t="s">
        <v>1689</v>
      </c>
      <c r="E505" s="16" t="s">
        <v>2483</v>
      </c>
      <c r="F505" s="16" t="s">
        <v>2484</v>
      </c>
      <c r="G505" s="16" t="s">
        <v>2485</v>
      </c>
      <c r="H505" s="20" t="s">
        <v>155</v>
      </c>
      <c r="I505" s="21" t="s">
        <v>70</v>
      </c>
      <c r="J505" s="22" t="s">
        <v>71</v>
      </c>
      <c r="K505" s="23">
        <v>21.0</v>
      </c>
      <c r="L505" s="24">
        <v>21.0</v>
      </c>
      <c r="M505" s="24" t="str">
        <f>IFERROR(VLOOKUP(D505,'Chủ đề bài nguồn'!$A$2:$C$735,3,0),"Khác")</f>
        <v>Ưu đãi, du lịch &amp; đời sống</v>
      </c>
      <c r="N505" s="24"/>
    </row>
    <row r="506">
      <c r="A506" s="15">
        <v>504.0</v>
      </c>
      <c r="B506" s="16" t="s">
        <v>864</v>
      </c>
      <c r="C506" s="18" t="s">
        <v>1285</v>
      </c>
      <c r="D506" s="16" t="s">
        <v>1084</v>
      </c>
      <c r="E506" s="16" t="s">
        <v>710</v>
      </c>
      <c r="F506" s="16" t="s">
        <v>2486</v>
      </c>
      <c r="G506" s="16" t="s">
        <v>2487</v>
      </c>
      <c r="H506" s="20" t="s">
        <v>155</v>
      </c>
      <c r="I506" s="21" t="s">
        <v>70</v>
      </c>
      <c r="J506" s="22" t="s">
        <v>71</v>
      </c>
      <c r="K506" s="23">
        <v>21.0</v>
      </c>
      <c r="L506" s="24">
        <v>21.0</v>
      </c>
      <c r="M506" s="24" t="str">
        <f>IFERROR(VLOOKUP(D506,'Chủ đề bài nguồn'!$A$2:$C$735,3,0),"Khác")</f>
        <v>Tài khoản &amp; ngân hàng số</v>
      </c>
      <c r="N506" s="24"/>
    </row>
    <row r="507">
      <c r="A507" s="15">
        <v>505.0</v>
      </c>
      <c r="B507" s="16" t="s">
        <v>864</v>
      </c>
      <c r="C507" s="18" t="s">
        <v>2471</v>
      </c>
      <c r="D507" s="16" t="s">
        <v>1032</v>
      </c>
      <c r="E507" s="16" t="s">
        <v>2490</v>
      </c>
      <c r="F507" s="16" t="s">
        <v>2491</v>
      </c>
      <c r="G507" s="16" t="s">
        <v>2492</v>
      </c>
      <c r="H507" s="20" t="s">
        <v>155</v>
      </c>
      <c r="I507" s="21" t="s">
        <v>70</v>
      </c>
      <c r="J507" s="22" t="s">
        <v>71</v>
      </c>
      <c r="K507" s="23">
        <v>21.0</v>
      </c>
      <c r="L507" s="24">
        <v>21.0</v>
      </c>
      <c r="M507" s="24" t="str">
        <f>IFERROR(VLOOKUP(D507,'Chủ đề bài nguồn'!$A$2:$C$735,3,0),"Khác")</f>
        <v>Ưu đãi, du lịch &amp; đời sống</v>
      </c>
      <c r="N507" s="24"/>
    </row>
    <row r="508">
      <c r="A508" s="15">
        <v>506.0</v>
      </c>
      <c r="B508" s="16" t="s">
        <v>864</v>
      </c>
      <c r="C508" s="18" t="s">
        <v>2471</v>
      </c>
      <c r="D508" s="16" t="s">
        <v>1700</v>
      </c>
      <c r="E508" s="16" t="s">
        <v>1687</v>
      </c>
      <c r="F508" s="16" t="s">
        <v>2493</v>
      </c>
      <c r="G508" s="16" t="s">
        <v>2494</v>
      </c>
      <c r="H508" s="20" t="s">
        <v>155</v>
      </c>
      <c r="I508" s="21" t="s">
        <v>70</v>
      </c>
      <c r="J508" s="22" t="s">
        <v>71</v>
      </c>
      <c r="K508" s="23">
        <v>21.0</v>
      </c>
      <c r="L508" s="24">
        <v>21.0</v>
      </c>
      <c r="M508" s="24" t="str">
        <f>IFERROR(VLOOKUP(D508,'Chủ đề bài nguồn'!$A$2:$C$735,3,0),"Khác")</f>
        <v>Tài khoản &amp; ngân hàng số</v>
      </c>
      <c r="N508" s="24"/>
    </row>
    <row r="509">
      <c r="A509" s="15">
        <v>507.0</v>
      </c>
      <c r="B509" s="16" t="s">
        <v>864</v>
      </c>
      <c r="C509" s="18" t="s">
        <v>2471</v>
      </c>
      <c r="D509" s="16" t="s">
        <v>2497</v>
      </c>
      <c r="E509" s="16" t="s">
        <v>2498</v>
      </c>
      <c r="F509" s="16" t="s">
        <v>2499</v>
      </c>
      <c r="G509" s="16" t="s">
        <v>2500</v>
      </c>
      <c r="H509" s="20" t="s">
        <v>155</v>
      </c>
      <c r="I509" s="21" t="s">
        <v>70</v>
      </c>
      <c r="J509" s="22" t="s">
        <v>71</v>
      </c>
      <c r="K509" s="23">
        <v>21.0</v>
      </c>
      <c r="L509" s="24">
        <v>21.0</v>
      </c>
      <c r="M509" s="24" t="str">
        <f>IFERROR(VLOOKUP(D509,'Chủ đề bài nguồn'!$A$2:$C$735,3,0),"Khác")</f>
        <v>Ưu đãi, du lịch &amp; đời sống</v>
      </c>
      <c r="N509" s="24"/>
    </row>
    <row r="510">
      <c r="A510" s="15">
        <v>508.0</v>
      </c>
      <c r="B510" s="16" t="s">
        <v>864</v>
      </c>
      <c r="C510" s="18" t="s">
        <v>2471</v>
      </c>
      <c r="D510" s="16" t="s">
        <v>1836</v>
      </c>
      <c r="E510" s="16" t="s">
        <v>2503</v>
      </c>
      <c r="F510" s="16" t="s">
        <v>2504</v>
      </c>
      <c r="G510" s="16" t="s">
        <v>2505</v>
      </c>
      <c r="H510" s="20" t="s">
        <v>155</v>
      </c>
      <c r="I510" s="21" t="s">
        <v>70</v>
      </c>
      <c r="J510" s="22" t="s">
        <v>2506</v>
      </c>
      <c r="K510" s="23">
        <v>21.0</v>
      </c>
      <c r="L510" s="24">
        <v>21.0</v>
      </c>
      <c r="M510" s="24" t="str">
        <f>IFERROR(VLOOKUP(D510,'Chủ đề bài nguồn'!$A$2:$C$735,3,0),"Khác")</f>
        <v>Doanh nghiệp (tài khoản, vay, tài chính)</v>
      </c>
      <c r="N510" s="24"/>
    </row>
    <row r="511">
      <c r="A511" s="15">
        <v>509.0</v>
      </c>
      <c r="B511" s="16" t="s">
        <v>864</v>
      </c>
      <c r="C511" s="18" t="s">
        <v>2471</v>
      </c>
      <c r="D511" s="16" t="s">
        <v>829</v>
      </c>
      <c r="E511" s="16" t="s">
        <v>1823</v>
      </c>
      <c r="F511" s="16" t="s">
        <v>2507</v>
      </c>
      <c r="G511" s="16" t="s">
        <v>2508</v>
      </c>
      <c r="H511" s="20" t="s">
        <v>155</v>
      </c>
      <c r="I511" s="21" t="s">
        <v>70</v>
      </c>
      <c r="J511" s="22" t="s">
        <v>2509</v>
      </c>
      <c r="K511" s="23">
        <v>21.0</v>
      </c>
      <c r="L511" s="24">
        <v>21.0</v>
      </c>
      <c r="M511" s="24" t="str">
        <f>IFERROR(VLOOKUP(D511,'Chủ đề bài nguồn'!$A$2:$C$735,3,0),"Khác")</f>
        <v>Doanh nghiệp (tài khoản, vay, tài chính)</v>
      </c>
      <c r="N511" s="24"/>
    </row>
    <row r="512">
      <c r="A512" s="15">
        <v>510.0</v>
      </c>
      <c r="B512" s="16" t="s">
        <v>864</v>
      </c>
      <c r="C512" s="18" t="s">
        <v>2471</v>
      </c>
      <c r="D512" s="16" t="s">
        <v>2510</v>
      </c>
      <c r="E512" s="16" t="s">
        <v>2511</v>
      </c>
      <c r="F512" s="16" t="s">
        <v>2507</v>
      </c>
      <c r="G512" s="16" t="s">
        <v>2513</v>
      </c>
      <c r="H512" s="20" t="s">
        <v>155</v>
      </c>
      <c r="I512" s="21" t="s">
        <v>70</v>
      </c>
      <c r="J512" s="22" t="s">
        <v>71</v>
      </c>
      <c r="K512" s="23">
        <v>21.0</v>
      </c>
      <c r="L512" s="24">
        <v>21.0</v>
      </c>
      <c r="M512" s="24" t="str">
        <f>IFERROR(VLOOKUP(D512,'Chủ đề bài nguồn'!$A$2:$C$735,3,0),"Khác")</f>
        <v>Doanh nghiệp (tài khoản, vay, tài chính)</v>
      </c>
      <c r="N512" s="24"/>
    </row>
    <row r="513">
      <c r="A513" s="15">
        <v>511.0</v>
      </c>
      <c r="B513" s="16" t="s">
        <v>864</v>
      </c>
      <c r="C513" s="18" t="s">
        <v>2471</v>
      </c>
      <c r="D513" s="16" t="s">
        <v>880</v>
      </c>
      <c r="E513" s="16" t="s">
        <v>2514</v>
      </c>
      <c r="F513" s="16" t="s">
        <v>2515</v>
      </c>
      <c r="G513" s="16" t="s">
        <v>2516</v>
      </c>
      <c r="H513" s="20" t="s">
        <v>155</v>
      </c>
      <c r="I513" s="21" t="s">
        <v>70</v>
      </c>
      <c r="J513" s="22" t="s">
        <v>71</v>
      </c>
      <c r="K513" s="23">
        <v>21.0</v>
      </c>
      <c r="L513" s="24">
        <v>21.0</v>
      </c>
      <c r="M513" s="24" t="str">
        <f>IFERROR(VLOOKUP(D513,'Chủ đề bài nguồn'!$A$2:$C$735,3,0),"Khác")</f>
        <v>Doanh nghiệp (tài khoản, vay, tài chính)</v>
      </c>
      <c r="N513" s="24"/>
    </row>
    <row r="514">
      <c r="A514" s="15">
        <v>512.0</v>
      </c>
      <c r="B514" s="16" t="s">
        <v>864</v>
      </c>
      <c r="C514" s="18" t="s">
        <v>2471</v>
      </c>
      <c r="D514" s="16" t="s">
        <v>1069</v>
      </c>
      <c r="E514" s="16" t="s">
        <v>1070</v>
      </c>
      <c r="F514" s="16" t="s">
        <v>2507</v>
      </c>
      <c r="G514" s="16" t="s">
        <v>2508</v>
      </c>
      <c r="H514" s="20" t="s">
        <v>155</v>
      </c>
      <c r="I514" s="21" t="s">
        <v>70</v>
      </c>
      <c r="J514" s="22" t="s">
        <v>2509</v>
      </c>
      <c r="K514" s="23">
        <v>21.0</v>
      </c>
      <c r="L514" s="24">
        <v>21.0</v>
      </c>
      <c r="M514" s="24" t="str">
        <f>IFERROR(VLOOKUP(D514,'Chủ đề bài nguồn'!$A$2:$C$735,3,0),"Khác")</f>
        <v>Doanh nghiệp (tài khoản, vay, tài chính)</v>
      </c>
      <c r="N514" s="24"/>
    </row>
    <row r="515">
      <c r="A515" s="15">
        <v>513.0</v>
      </c>
      <c r="B515" s="16" t="s">
        <v>864</v>
      </c>
      <c r="C515" s="18" t="s">
        <v>2471</v>
      </c>
      <c r="D515" s="16" t="s">
        <v>1100</v>
      </c>
      <c r="E515" s="16" t="s">
        <v>2519</v>
      </c>
      <c r="F515" s="16" t="s">
        <v>2520</v>
      </c>
      <c r="G515" s="16" t="s">
        <v>2505</v>
      </c>
      <c r="H515" s="20" t="s">
        <v>155</v>
      </c>
      <c r="I515" s="21" t="s">
        <v>70</v>
      </c>
      <c r="J515" s="22" t="s">
        <v>71</v>
      </c>
      <c r="K515" s="23">
        <v>21.0</v>
      </c>
      <c r="L515" s="24">
        <v>21.0</v>
      </c>
      <c r="M515" s="24" t="str">
        <f>IFERROR(VLOOKUP(D515,'Chủ đề bài nguồn'!$A$2:$C$735,3,0),"Khác")</f>
        <v>Hộ kinh doanh &amp; bán hàng</v>
      </c>
      <c r="N515" s="24"/>
    </row>
    <row r="516">
      <c r="A516" s="15">
        <v>514.0</v>
      </c>
      <c r="B516" s="16" t="s">
        <v>864</v>
      </c>
      <c r="C516" s="18" t="s">
        <v>2471</v>
      </c>
      <c r="D516" s="16" t="s">
        <v>2522</v>
      </c>
      <c r="E516" s="16" t="s">
        <v>2523</v>
      </c>
      <c r="F516" s="16" t="s">
        <v>2524</v>
      </c>
      <c r="G516" s="16" t="s">
        <v>2526</v>
      </c>
      <c r="H516" s="20" t="s">
        <v>229</v>
      </c>
      <c r="I516" s="21" t="s">
        <v>70</v>
      </c>
      <c r="J516" s="22" t="s">
        <v>619</v>
      </c>
      <c r="K516" s="23">
        <v>21.0</v>
      </c>
      <c r="L516" s="24">
        <v>31.0</v>
      </c>
      <c r="M516" s="24" t="str">
        <f>IFERROR(VLOOKUP(D516,'Chủ đề bài nguồn'!$A$2:$C$735,3,0),"Khác")</f>
        <v>Ưu đãi, du lịch &amp; đời sống</v>
      </c>
      <c r="N516" s="24"/>
    </row>
    <row r="517">
      <c r="A517" s="15">
        <v>515.0</v>
      </c>
      <c r="B517" s="16" t="s">
        <v>864</v>
      </c>
      <c r="C517" s="18" t="s">
        <v>2471</v>
      </c>
      <c r="D517" s="16" t="s">
        <v>709</v>
      </c>
      <c r="E517" s="16" t="s">
        <v>1035</v>
      </c>
      <c r="F517" s="16" t="s">
        <v>2529</v>
      </c>
      <c r="G517" s="16" t="s">
        <v>2513</v>
      </c>
      <c r="H517" s="20" t="s">
        <v>229</v>
      </c>
      <c r="I517" s="21" t="s">
        <v>70</v>
      </c>
      <c r="J517" s="22" t="s">
        <v>2530</v>
      </c>
      <c r="K517" s="23">
        <v>21.0</v>
      </c>
      <c r="L517" s="24">
        <v>31.0</v>
      </c>
      <c r="M517" s="24" t="str">
        <f>IFERROR(VLOOKUP(D517,'Chủ đề bài nguồn'!$A$2:$C$735,3,0),"Khác")</f>
        <v>Thuế</v>
      </c>
      <c r="N517" s="24"/>
    </row>
    <row r="518">
      <c r="A518" s="15">
        <v>516.0</v>
      </c>
      <c r="B518" s="16" t="s">
        <v>864</v>
      </c>
      <c r="C518" s="18" t="s">
        <v>2471</v>
      </c>
      <c r="D518" s="16" t="s">
        <v>640</v>
      </c>
      <c r="E518" s="16" t="s">
        <v>2531</v>
      </c>
      <c r="F518" s="16" t="s">
        <v>1240</v>
      </c>
      <c r="G518" s="16" t="s">
        <v>2532</v>
      </c>
      <c r="H518" s="20" t="s">
        <v>229</v>
      </c>
      <c r="I518" s="21" t="s">
        <v>70</v>
      </c>
      <c r="J518" s="22" t="s">
        <v>2533</v>
      </c>
      <c r="K518" s="23">
        <v>21.0</v>
      </c>
      <c r="L518" s="24">
        <v>31.0</v>
      </c>
      <c r="M518" s="24" t="str">
        <f>IFERROR(VLOOKUP(D518,'Chủ đề bài nguồn'!$A$2:$C$735,3,0),"Khác")</f>
        <v>Thuế</v>
      </c>
      <c r="N518" s="24"/>
    </row>
    <row r="519">
      <c r="A519" s="15">
        <v>517.0</v>
      </c>
      <c r="B519" s="16" t="s">
        <v>876</v>
      </c>
      <c r="C519" s="18" t="s">
        <v>1322</v>
      </c>
      <c r="D519" s="16" t="s">
        <v>695</v>
      </c>
      <c r="E519" s="16" t="s">
        <v>696</v>
      </c>
      <c r="F519" s="16" t="s">
        <v>2536</v>
      </c>
      <c r="G519" s="16" t="s">
        <v>2537</v>
      </c>
      <c r="H519" s="20" t="s">
        <v>69</v>
      </c>
      <c r="I519" s="21" t="s">
        <v>70</v>
      </c>
      <c r="J519" s="22" t="s">
        <v>71</v>
      </c>
      <c r="K519" s="23">
        <v>22.0</v>
      </c>
      <c r="L519" s="24">
        <v>11.0</v>
      </c>
      <c r="M519" s="24" t="str">
        <f>IFERROR(VLOOKUP(D519,'Chủ đề bài nguồn'!$A$2:$C$735,3,0),"Khác")</f>
        <v>Thuế</v>
      </c>
      <c r="N519" s="24"/>
    </row>
    <row r="520">
      <c r="A520" s="15">
        <v>518.0</v>
      </c>
      <c r="B520" s="16" t="s">
        <v>876</v>
      </c>
      <c r="C520" s="18" t="s">
        <v>1322</v>
      </c>
      <c r="D520" s="16" t="s">
        <v>474</v>
      </c>
      <c r="E520" s="16" t="s">
        <v>2538</v>
      </c>
      <c r="F520" s="16" t="s">
        <v>2539</v>
      </c>
      <c r="G520" s="16" t="s">
        <v>2540</v>
      </c>
      <c r="H520" s="20" t="s">
        <v>69</v>
      </c>
      <c r="I520" s="21" t="s">
        <v>70</v>
      </c>
      <c r="J520" s="22" t="s">
        <v>539</v>
      </c>
      <c r="K520" s="23">
        <v>22.0</v>
      </c>
      <c r="L520" s="24">
        <v>11.0</v>
      </c>
      <c r="M520" s="24" t="str">
        <f>IFERROR(VLOOKUP(D520,'Chủ đề bài nguồn'!$A$2:$C$735,3,0),"Khác")</f>
        <v>Thuế</v>
      </c>
      <c r="N520" s="24"/>
    </row>
    <row r="521">
      <c r="A521" s="15">
        <v>519.0</v>
      </c>
      <c r="B521" s="16" t="s">
        <v>876</v>
      </c>
      <c r="C521" s="18" t="s">
        <v>1322</v>
      </c>
      <c r="D521" s="16" t="s">
        <v>635</v>
      </c>
      <c r="E521" s="16" t="s">
        <v>2542</v>
      </c>
      <c r="F521" s="16" t="s">
        <v>2543</v>
      </c>
      <c r="G521" s="16" t="s">
        <v>2544</v>
      </c>
      <c r="H521" s="20" t="s">
        <v>155</v>
      </c>
      <c r="I521" s="21" t="s">
        <v>70</v>
      </c>
      <c r="J521" s="22" t="s">
        <v>71</v>
      </c>
      <c r="K521" s="23">
        <v>22.0</v>
      </c>
      <c r="L521" s="24">
        <v>21.0</v>
      </c>
      <c r="M521" s="24" t="str">
        <f>IFERROR(VLOOKUP(D521,'Chủ đề bài nguồn'!$A$2:$C$735,3,0),"Khác")</f>
        <v>Thuế</v>
      </c>
      <c r="N521" s="24"/>
    </row>
    <row r="522">
      <c r="A522" s="15">
        <v>520.0</v>
      </c>
      <c r="B522" s="16" t="s">
        <v>876</v>
      </c>
      <c r="C522" s="18" t="s">
        <v>1322</v>
      </c>
      <c r="D522" s="16" t="s">
        <v>686</v>
      </c>
      <c r="E522" s="16" t="s">
        <v>687</v>
      </c>
      <c r="F522" s="16" t="s">
        <v>2547</v>
      </c>
      <c r="G522" s="16" t="s">
        <v>2548</v>
      </c>
      <c r="H522" s="20" t="s">
        <v>155</v>
      </c>
      <c r="I522" s="21" t="s">
        <v>70</v>
      </c>
      <c r="J522" s="22" t="s">
        <v>71</v>
      </c>
      <c r="K522" s="23">
        <v>22.0</v>
      </c>
      <c r="L522" s="24">
        <v>21.0</v>
      </c>
      <c r="M522" s="24" t="str">
        <f>IFERROR(VLOOKUP(D522,'Chủ đề bài nguồn'!$A$2:$C$735,3,0),"Khác")</f>
        <v>Thuế</v>
      </c>
      <c r="N522" s="24"/>
    </row>
    <row r="523">
      <c r="A523" s="15">
        <v>521.0</v>
      </c>
      <c r="B523" s="16" t="s">
        <v>876</v>
      </c>
      <c r="C523" s="18" t="s">
        <v>1322</v>
      </c>
      <c r="D523" s="16" t="s">
        <v>805</v>
      </c>
      <c r="E523" s="16" t="s">
        <v>1048</v>
      </c>
      <c r="F523" s="16" t="s">
        <v>2549</v>
      </c>
      <c r="G523" s="16" t="s">
        <v>2550</v>
      </c>
      <c r="H523" s="20" t="s">
        <v>155</v>
      </c>
      <c r="I523" s="21" t="s">
        <v>70</v>
      </c>
      <c r="J523" s="22" t="s">
        <v>71</v>
      </c>
      <c r="K523" s="23">
        <v>22.0</v>
      </c>
      <c r="L523" s="24">
        <v>21.0</v>
      </c>
      <c r="M523" s="24" t="str">
        <f>IFERROR(VLOOKUP(D523,'Chủ đề bài nguồn'!$A$2:$C$735,3,0),"Khác")</f>
        <v>Doanh nghiệp (tài khoản, vay, tài chính)</v>
      </c>
      <c r="N523" s="24"/>
    </row>
    <row r="524">
      <c r="A524" s="15">
        <v>522.0</v>
      </c>
      <c r="B524" s="16" t="s">
        <v>876</v>
      </c>
      <c r="C524" s="18" t="s">
        <v>2554</v>
      </c>
      <c r="D524" s="16" t="s">
        <v>1075</v>
      </c>
      <c r="E524" s="16" t="s">
        <v>2555</v>
      </c>
      <c r="F524" s="16" t="s">
        <v>2556</v>
      </c>
      <c r="G524" s="16" t="s">
        <v>2557</v>
      </c>
      <c r="H524" s="20" t="s">
        <v>155</v>
      </c>
      <c r="I524" s="21" t="s">
        <v>70</v>
      </c>
      <c r="J524" s="22" t="s">
        <v>994</v>
      </c>
      <c r="K524" s="23">
        <v>22.0</v>
      </c>
      <c r="L524" s="24">
        <v>21.0</v>
      </c>
      <c r="M524" s="24" t="str">
        <f>IFERROR(VLOOKUP(D524,'Chủ đề bài nguồn'!$A$2:$C$735,3,0),"Khác")</f>
        <v>Thuế</v>
      </c>
      <c r="N524" s="24"/>
    </row>
    <row r="525">
      <c r="A525" s="15">
        <v>523.0</v>
      </c>
      <c r="B525" s="16" t="s">
        <v>876</v>
      </c>
      <c r="C525" s="18" t="s">
        <v>2554</v>
      </c>
      <c r="D525" s="16" t="s">
        <v>1105</v>
      </c>
      <c r="E525" s="16" t="s">
        <v>2558</v>
      </c>
      <c r="F525" s="16" t="s">
        <v>629</v>
      </c>
      <c r="G525" s="16" t="s">
        <v>2559</v>
      </c>
      <c r="H525" s="20" t="s">
        <v>155</v>
      </c>
      <c r="I525" s="21" t="s">
        <v>70</v>
      </c>
      <c r="J525" s="22" t="s">
        <v>71</v>
      </c>
      <c r="K525" s="23">
        <v>22.0</v>
      </c>
      <c r="L525" s="24">
        <v>21.0</v>
      </c>
      <c r="M525" s="24" t="str">
        <f>IFERROR(VLOOKUP(D525,'Chủ đề bài nguồn'!$A$2:$C$735,3,0),"Khác")</f>
        <v>Thuế</v>
      </c>
      <c r="N525" s="24"/>
    </row>
    <row r="526">
      <c r="A526" s="15">
        <v>524.0</v>
      </c>
      <c r="B526" s="16" t="s">
        <v>876</v>
      </c>
      <c r="C526" s="18" t="s">
        <v>2554</v>
      </c>
      <c r="D526" s="16" t="s">
        <v>591</v>
      </c>
      <c r="E526" s="16" t="s">
        <v>2561</v>
      </c>
      <c r="F526" s="16" t="s">
        <v>629</v>
      </c>
      <c r="G526" s="16" t="s">
        <v>2562</v>
      </c>
      <c r="H526" s="20" t="s">
        <v>155</v>
      </c>
      <c r="I526" s="21" t="s">
        <v>70</v>
      </c>
      <c r="J526" s="22" t="s">
        <v>71</v>
      </c>
      <c r="K526" s="23">
        <v>22.0</v>
      </c>
      <c r="L526" s="24">
        <v>21.0</v>
      </c>
      <c r="M526" s="24" t="str">
        <f>IFERROR(VLOOKUP(D526,'Chủ đề bài nguồn'!$A$2:$C$735,3,0),"Khác")</f>
        <v>Thuế</v>
      </c>
      <c r="N526" s="24"/>
    </row>
    <row r="527">
      <c r="A527" s="15">
        <v>525.0</v>
      </c>
      <c r="B527" s="16" t="s">
        <v>876</v>
      </c>
      <c r="C527" s="18" t="s">
        <v>2554</v>
      </c>
      <c r="D527" s="16" t="s">
        <v>403</v>
      </c>
      <c r="E527" s="16" t="s">
        <v>2563</v>
      </c>
      <c r="F527" s="16" t="s">
        <v>2564</v>
      </c>
      <c r="G527" s="16" t="s">
        <v>2565</v>
      </c>
      <c r="H527" s="20" t="s">
        <v>155</v>
      </c>
      <c r="I527" s="21" t="s">
        <v>70</v>
      </c>
      <c r="J527" s="22" t="s">
        <v>71</v>
      </c>
      <c r="K527" s="23">
        <v>22.0</v>
      </c>
      <c r="L527" s="24">
        <v>21.0</v>
      </c>
      <c r="M527" s="24" t="str">
        <f>IFERROR(VLOOKUP(D527,'Chủ đề bài nguồn'!$A$2:$C$735,3,0),"Khác")</f>
        <v>Thuế</v>
      </c>
      <c r="N527" s="24"/>
    </row>
    <row r="528">
      <c r="A528" s="15">
        <v>526.0</v>
      </c>
      <c r="B528" s="16" t="s">
        <v>876</v>
      </c>
      <c r="C528" s="18" t="s">
        <v>1322</v>
      </c>
      <c r="D528" s="16" t="s">
        <v>2384</v>
      </c>
      <c r="E528" s="16" t="s">
        <v>2568</v>
      </c>
      <c r="F528" s="16" t="s">
        <v>2569</v>
      </c>
      <c r="G528" s="16" t="s">
        <v>2570</v>
      </c>
      <c r="H528" s="20" t="s">
        <v>229</v>
      </c>
      <c r="I528" s="21" t="s">
        <v>70</v>
      </c>
      <c r="J528" s="22" t="s">
        <v>71</v>
      </c>
      <c r="K528" s="23">
        <v>22.0</v>
      </c>
      <c r="L528" s="24">
        <v>31.0</v>
      </c>
      <c r="M528" s="24" t="str">
        <f>IFERROR(VLOOKUP(D528,'Chủ đề bài nguồn'!$A$2:$C$735,3,0),"Khác")</f>
        <v>Quản lý tài chính cá nhân</v>
      </c>
      <c r="N528" s="24"/>
    </row>
    <row r="529">
      <c r="A529" s="15">
        <v>527.0</v>
      </c>
      <c r="B529" s="16" t="s">
        <v>876</v>
      </c>
      <c r="C529" s="18" t="s">
        <v>2571</v>
      </c>
      <c r="D529" s="16" t="s">
        <v>548</v>
      </c>
      <c r="E529" s="16" t="s">
        <v>2572</v>
      </c>
      <c r="F529" s="16" t="s">
        <v>2573</v>
      </c>
      <c r="G529" s="16" t="s">
        <v>2574</v>
      </c>
      <c r="H529" s="20" t="s">
        <v>229</v>
      </c>
      <c r="I529" s="21" t="s">
        <v>70</v>
      </c>
      <c r="J529" s="22" t="s">
        <v>71</v>
      </c>
      <c r="K529" s="23">
        <v>22.0</v>
      </c>
      <c r="L529" s="24">
        <v>31.0</v>
      </c>
      <c r="M529" s="24" t="str">
        <f>IFERROR(VLOOKUP(D529,'Chủ đề bài nguồn'!$A$2:$C$735,3,0),"Khác")</f>
        <v>Thuế</v>
      </c>
      <c r="N529" s="24"/>
    </row>
    <row r="530">
      <c r="A530" s="15">
        <v>528.0</v>
      </c>
      <c r="B530" s="16" t="s">
        <v>876</v>
      </c>
      <c r="C530" s="18" t="s">
        <v>2571</v>
      </c>
      <c r="D530" s="16" t="s">
        <v>607</v>
      </c>
      <c r="E530" s="16" t="s">
        <v>710</v>
      </c>
      <c r="F530" s="16" t="s">
        <v>2577</v>
      </c>
      <c r="G530" s="16" t="s">
        <v>2578</v>
      </c>
      <c r="H530" s="20" t="s">
        <v>229</v>
      </c>
      <c r="I530" s="21" t="s">
        <v>70</v>
      </c>
      <c r="J530" s="22" t="s">
        <v>2579</v>
      </c>
      <c r="K530" s="23">
        <v>22.0</v>
      </c>
      <c r="L530" s="24">
        <v>31.0</v>
      </c>
      <c r="M530" s="24" t="str">
        <f>IFERROR(VLOOKUP(D530,'Chủ đề bài nguồn'!$A$2:$C$735,3,0),"Khác")</f>
        <v>Thuế</v>
      </c>
      <c r="N530" s="24"/>
    </row>
    <row r="531">
      <c r="A531" s="15">
        <v>529.0</v>
      </c>
      <c r="B531" s="16" t="s">
        <v>876</v>
      </c>
      <c r="C531" s="18" t="s">
        <v>2554</v>
      </c>
      <c r="D531" s="16" t="s">
        <v>2580</v>
      </c>
      <c r="E531" s="16" t="s">
        <v>2581</v>
      </c>
      <c r="F531" s="16" t="s">
        <v>2582</v>
      </c>
      <c r="G531" s="16" t="s">
        <v>2583</v>
      </c>
      <c r="H531" s="20" t="s">
        <v>229</v>
      </c>
      <c r="I531" s="21" t="s">
        <v>70</v>
      </c>
      <c r="J531" s="22" t="s">
        <v>71</v>
      </c>
      <c r="K531" s="23">
        <v>22.0</v>
      </c>
      <c r="L531" s="24">
        <v>31.0</v>
      </c>
      <c r="M531" s="24" t="str">
        <f>IFERROR(VLOOKUP(D531,'Chủ đề bài nguồn'!$A$2:$C$735,3,0),"Khác")</f>
        <v>Hộ kinh doanh &amp; bán hàng</v>
      </c>
      <c r="N531" s="24"/>
    </row>
    <row r="532">
      <c r="A532" s="15">
        <v>530.0</v>
      </c>
      <c r="B532" s="16" t="s">
        <v>876</v>
      </c>
      <c r="C532" s="18" t="s">
        <v>2554</v>
      </c>
      <c r="D532" s="16" t="s">
        <v>1021</v>
      </c>
      <c r="E532" s="16" t="s">
        <v>2585</v>
      </c>
      <c r="F532" s="16" t="s">
        <v>2586</v>
      </c>
      <c r="G532" s="16" t="s">
        <v>2587</v>
      </c>
      <c r="H532" s="20" t="s">
        <v>229</v>
      </c>
      <c r="I532" s="21" t="s">
        <v>70</v>
      </c>
      <c r="J532" s="22" t="s">
        <v>387</v>
      </c>
      <c r="K532" s="23">
        <v>22.0</v>
      </c>
      <c r="L532" s="24">
        <v>31.0</v>
      </c>
      <c r="M532" s="24" t="str">
        <f>IFERROR(VLOOKUP(D532,'Chủ đề bài nguồn'!$A$2:$C$735,3,0),"Khác")</f>
        <v>Thuế</v>
      </c>
      <c r="N532" s="24"/>
    </row>
    <row r="533">
      <c r="A533" s="15">
        <v>531.0</v>
      </c>
      <c r="B533" s="16" t="s">
        <v>885</v>
      </c>
      <c r="C533" s="18" t="s">
        <v>2588</v>
      </c>
      <c r="D533" s="16" t="s">
        <v>799</v>
      </c>
      <c r="E533" s="16" t="s">
        <v>2589</v>
      </c>
      <c r="F533" s="16" t="s">
        <v>2590</v>
      </c>
      <c r="G533" s="16" t="s">
        <v>2591</v>
      </c>
      <c r="H533" s="20" t="s">
        <v>69</v>
      </c>
      <c r="I533" s="21" t="s">
        <v>70</v>
      </c>
      <c r="J533" s="22" t="s">
        <v>71</v>
      </c>
      <c r="K533" s="23">
        <v>23.0</v>
      </c>
      <c r="L533" s="24">
        <v>10.0</v>
      </c>
      <c r="M533" s="24" t="str">
        <f>IFERROR(VLOOKUP(D533,'Chủ đề bài nguồn'!$A$2:$C$735,3,0),"Khác")</f>
        <v>Tài khoản &amp; ngân hàng số</v>
      </c>
      <c r="N533" s="24"/>
    </row>
    <row r="534">
      <c r="A534" s="15">
        <v>532.0</v>
      </c>
      <c r="B534" s="39" t="s">
        <v>885</v>
      </c>
      <c r="C534" s="18" t="s">
        <v>2588</v>
      </c>
      <c r="D534" s="39" t="s">
        <v>1476</v>
      </c>
      <c r="E534" s="16" t="s">
        <v>2593</v>
      </c>
      <c r="F534" s="16" t="s">
        <v>2594</v>
      </c>
      <c r="G534" s="16" t="s">
        <v>2591</v>
      </c>
      <c r="H534" s="20" t="s">
        <v>69</v>
      </c>
      <c r="I534" s="21" t="s">
        <v>70</v>
      </c>
      <c r="J534" s="22" t="s">
        <v>71</v>
      </c>
      <c r="K534" s="23">
        <v>23.0</v>
      </c>
      <c r="L534" s="24">
        <v>10.0</v>
      </c>
      <c r="M534" s="24" t="str">
        <f>IFERROR(VLOOKUP(D534,'Chủ đề bài nguồn'!$A$2:$C$735,3,0),"Khác")</f>
        <v>Tài khoản &amp; ngân hàng số</v>
      </c>
      <c r="N534" s="24"/>
    </row>
    <row r="535">
      <c r="A535" s="15">
        <v>533.0</v>
      </c>
      <c r="B535" s="16" t="s">
        <v>885</v>
      </c>
      <c r="C535" s="18" t="s">
        <v>2588</v>
      </c>
      <c r="D535" s="16" t="s">
        <v>1040</v>
      </c>
      <c r="E535" s="16" t="s">
        <v>1655</v>
      </c>
      <c r="F535" s="16" t="s">
        <v>2596</v>
      </c>
      <c r="G535" s="16" t="s">
        <v>2591</v>
      </c>
      <c r="H535" s="20" t="s">
        <v>69</v>
      </c>
      <c r="I535" s="21" t="s">
        <v>70</v>
      </c>
      <c r="J535" s="22" t="s">
        <v>71</v>
      </c>
      <c r="K535" s="23">
        <v>23.0</v>
      </c>
      <c r="L535" s="24">
        <v>10.0</v>
      </c>
      <c r="M535" s="24" t="str">
        <f>IFERROR(VLOOKUP(D535,'Chủ đề bài nguồn'!$A$2:$C$735,3,0),"Khác")</f>
        <v>Doanh nghiệp (tài khoản, vay, tài chính)</v>
      </c>
      <c r="N535" s="24"/>
    </row>
    <row r="536">
      <c r="A536" s="15">
        <v>534.0</v>
      </c>
      <c r="B536" s="16" t="s">
        <v>885</v>
      </c>
      <c r="C536" s="18" t="s">
        <v>2588</v>
      </c>
      <c r="D536" s="16" t="s">
        <v>1637</v>
      </c>
      <c r="E536" s="16" t="s">
        <v>1819</v>
      </c>
      <c r="F536" s="16" t="s">
        <v>2598</v>
      </c>
      <c r="G536" s="16" t="s">
        <v>2591</v>
      </c>
      <c r="H536" s="20" t="s">
        <v>69</v>
      </c>
      <c r="I536" s="21" t="s">
        <v>70</v>
      </c>
      <c r="J536" s="22" t="s">
        <v>71</v>
      </c>
      <c r="K536" s="23">
        <v>23.0</v>
      </c>
      <c r="L536" s="24">
        <v>10.0</v>
      </c>
      <c r="M536" s="24" t="str">
        <f>IFERROR(VLOOKUP(D536,'Chủ đề bài nguồn'!$A$2:$C$735,3,0),"Khác")</f>
        <v>Tài khoản &amp; ngân hàng số</v>
      </c>
      <c r="N536" s="24"/>
    </row>
    <row r="537">
      <c r="A537" s="15">
        <v>535.0</v>
      </c>
      <c r="B537" s="16" t="s">
        <v>885</v>
      </c>
      <c r="C537" s="18" t="s">
        <v>2588</v>
      </c>
      <c r="D537" s="16" t="s">
        <v>1670</v>
      </c>
      <c r="E537" s="16" t="s">
        <v>2601</v>
      </c>
      <c r="F537" s="16" t="s">
        <v>2602</v>
      </c>
      <c r="G537" s="16" t="s">
        <v>2591</v>
      </c>
      <c r="H537" s="20" t="s">
        <v>69</v>
      </c>
      <c r="I537" s="21" t="s">
        <v>70</v>
      </c>
      <c r="J537" s="22" t="s">
        <v>71</v>
      </c>
      <c r="K537" s="23">
        <v>23.0</v>
      </c>
      <c r="L537" s="24">
        <v>10.0</v>
      </c>
      <c r="M537" s="24" t="str">
        <f>IFERROR(VLOOKUP(D537,'Chủ đề bài nguồn'!$A$2:$C$735,3,0),"Khác")</f>
        <v>Thanh toán, chuyển khoản &amp; QR</v>
      </c>
      <c r="N537" s="24"/>
    </row>
    <row r="538">
      <c r="A538" s="15">
        <v>536.0</v>
      </c>
      <c r="B538" s="16" t="s">
        <v>885</v>
      </c>
      <c r="C538" s="18" t="s">
        <v>2588</v>
      </c>
      <c r="D538" s="16" t="s">
        <v>2603</v>
      </c>
      <c r="E538" s="16" t="s">
        <v>2604</v>
      </c>
      <c r="F538" s="16" t="s">
        <v>2605</v>
      </c>
      <c r="G538" s="16" t="s">
        <v>2591</v>
      </c>
      <c r="H538" s="20" t="s">
        <v>69</v>
      </c>
      <c r="I538" s="21" t="s">
        <v>70</v>
      </c>
      <c r="J538" s="22" t="s">
        <v>2606</v>
      </c>
      <c r="K538" s="23">
        <v>23.0</v>
      </c>
      <c r="L538" s="24">
        <v>10.0</v>
      </c>
      <c r="M538" s="24" t="str">
        <f>IFERROR(VLOOKUP(D538,'Chủ đề bài nguồn'!$A$2:$C$735,3,0),"Khác")</f>
        <v>Tài khoản &amp; ngân hàng số</v>
      </c>
      <c r="N538" s="24"/>
    </row>
    <row r="539">
      <c r="A539" s="15">
        <v>537.0</v>
      </c>
      <c r="B539" s="16" t="s">
        <v>885</v>
      </c>
      <c r="C539" s="18" t="s">
        <v>1357</v>
      </c>
      <c r="D539" s="16" t="s">
        <v>2153</v>
      </c>
      <c r="E539" s="16" t="s">
        <v>2608</v>
      </c>
      <c r="F539" s="16" t="s">
        <v>2610</v>
      </c>
      <c r="G539" s="16" t="s">
        <v>2611</v>
      </c>
      <c r="H539" s="20" t="s">
        <v>69</v>
      </c>
      <c r="I539" s="21" t="s">
        <v>70</v>
      </c>
      <c r="J539" s="22" t="s">
        <v>71</v>
      </c>
      <c r="K539" s="23">
        <v>23.0</v>
      </c>
      <c r="L539" s="24">
        <v>10.0</v>
      </c>
      <c r="M539" s="24" t="str">
        <f>IFERROR(VLOOKUP(D539,'Chủ đề bài nguồn'!$A$2:$C$735,3,0),"Khác")</f>
        <v>Tài khoản &amp; ngân hàng số</v>
      </c>
      <c r="N539" s="24"/>
    </row>
    <row r="540">
      <c r="A540" s="15">
        <v>538.0</v>
      </c>
      <c r="B540" s="39" t="s">
        <v>885</v>
      </c>
      <c r="C540" s="18" t="s">
        <v>1357</v>
      </c>
      <c r="D540" s="39" t="s">
        <v>2612</v>
      </c>
      <c r="E540" s="16" t="s">
        <v>2614</v>
      </c>
      <c r="F540" s="16" t="s">
        <v>2615</v>
      </c>
      <c r="G540" s="16" t="s">
        <v>2611</v>
      </c>
      <c r="H540" s="20" t="s">
        <v>69</v>
      </c>
      <c r="I540" s="21" t="s">
        <v>70</v>
      </c>
      <c r="J540" s="22" t="s">
        <v>71</v>
      </c>
      <c r="K540" s="23">
        <v>23.0</v>
      </c>
      <c r="L540" s="24">
        <v>10.0</v>
      </c>
      <c r="M540" s="24" t="str">
        <f>IFERROR(VLOOKUP(D540,'Chủ đề bài nguồn'!$A$2:$C$735,3,0),"Khác")</f>
        <v>Ngoại tệ &amp; chuyển tiền quốc tế</v>
      </c>
      <c r="N540" s="24"/>
    </row>
    <row r="541">
      <c r="A541" s="15">
        <v>539.0</v>
      </c>
      <c r="B541" s="16" t="s">
        <v>885</v>
      </c>
      <c r="C541" s="18" t="s">
        <v>1357</v>
      </c>
      <c r="D541" s="16" t="s">
        <v>1696</v>
      </c>
      <c r="E541" s="16" t="s">
        <v>2616</v>
      </c>
      <c r="F541" s="16" t="s">
        <v>2617</v>
      </c>
      <c r="G541" s="16" t="s">
        <v>2618</v>
      </c>
      <c r="H541" s="20" t="s">
        <v>69</v>
      </c>
      <c r="I541" s="21" t="s">
        <v>70</v>
      </c>
      <c r="J541" s="22" t="s">
        <v>71</v>
      </c>
      <c r="K541" s="23">
        <v>23.0</v>
      </c>
      <c r="L541" s="24">
        <v>11.0</v>
      </c>
      <c r="M541" s="24" t="str">
        <f>IFERROR(VLOOKUP(D541,'Chủ đề bài nguồn'!$A$2:$C$735,3,0),"Khác")</f>
        <v>Tài khoản &amp; ngân hàng số</v>
      </c>
      <c r="N541" s="24"/>
    </row>
    <row r="542">
      <c r="A542" s="15">
        <v>540.0</v>
      </c>
      <c r="B542" s="16" t="s">
        <v>885</v>
      </c>
      <c r="C542" s="18" t="s">
        <v>2588</v>
      </c>
      <c r="D542" s="16" t="s">
        <v>2619</v>
      </c>
      <c r="E542" s="16" t="s">
        <v>2620</v>
      </c>
      <c r="F542" s="16" t="s">
        <v>2605</v>
      </c>
      <c r="G542" s="16" t="s">
        <v>2591</v>
      </c>
      <c r="H542" s="20" t="s">
        <v>155</v>
      </c>
      <c r="I542" s="21" t="s">
        <v>70</v>
      </c>
      <c r="J542" s="22" t="s">
        <v>2622</v>
      </c>
      <c r="K542" s="23">
        <v>23.0</v>
      </c>
      <c r="L542" s="24">
        <v>20.0</v>
      </c>
      <c r="M542" s="24" t="str">
        <f>IFERROR(VLOOKUP(D542,'Chủ đề bài nguồn'!$A$2:$C$735,3,0),"Khác")</f>
        <v>Tài khoản &amp; ngân hàng số</v>
      </c>
      <c r="N542" s="24"/>
    </row>
    <row r="543">
      <c r="A543" s="15">
        <v>541.0</v>
      </c>
      <c r="B543" s="16" t="s">
        <v>885</v>
      </c>
      <c r="C543" s="18" t="s">
        <v>2588</v>
      </c>
      <c r="D543" s="16" t="s">
        <v>1852</v>
      </c>
      <c r="E543" s="16" t="s">
        <v>2623</v>
      </c>
      <c r="F543" s="16" t="s">
        <v>2624</v>
      </c>
      <c r="G543" s="16" t="s">
        <v>2591</v>
      </c>
      <c r="H543" s="20" t="s">
        <v>155</v>
      </c>
      <c r="I543" s="21" t="s">
        <v>70</v>
      </c>
      <c r="J543" s="22" t="s">
        <v>71</v>
      </c>
      <c r="K543" s="23">
        <v>23.0</v>
      </c>
      <c r="L543" s="24">
        <v>20.0</v>
      </c>
      <c r="M543" s="24" t="str">
        <f>IFERROR(VLOOKUP(D543,'Chủ đề bài nguồn'!$A$2:$C$735,3,0),"Khác")</f>
        <v>Tiết kiệm &amp; lãi suất tiền gửi</v>
      </c>
      <c r="N543" s="24"/>
    </row>
    <row r="544">
      <c r="A544" s="15">
        <v>542.0</v>
      </c>
      <c r="B544" s="39" t="s">
        <v>885</v>
      </c>
      <c r="C544" s="18" t="s">
        <v>2588</v>
      </c>
      <c r="D544" s="39" t="s">
        <v>850</v>
      </c>
      <c r="E544" s="16" t="s">
        <v>2626</v>
      </c>
      <c r="F544" s="16" t="s">
        <v>2627</v>
      </c>
      <c r="G544" s="16" t="s">
        <v>2628</v>
      </c>
      <c r="H544" s="20" t="s">
        <v>155</v>
      </c>
      <c r="I544" s="21" t="s">
        <v>70</v>
      </c>
      <c r="J544" s="22" t="s">
        <v>71</v>
      </c>
      <c r="K544" s="23">
        <v>23.0</v>
      </c>
      <c r="L544" s="24">
        <v>21.0</v>
      </c>
      <c r="M544" s="24" t="str">
        <f>IFERROR(VLOOKUP(D544,'Chủ đề bài nguồn'!$A$2:$C$735,3,0),"Khác")</f>
        <v>Tài khoản &amp; ngân hàng số</v>
      </c>
      <c r="N544" s="24"/>
    </row>
    <row r="545">
      <c r="A545" s="15">
        <v>543.0</v>
      </c>
      <c r="B545" s="16" t="s">
        <v>885</v>
      </c>
      <c r="C545" s="18" t="s">
        <v>2588</v>
      </c>
      <c r="D545" s="16" t="s">
        <v>1786</v>
      </c>
      <c r="E545" s="16" t="s">
        <v>2630</v>
      </c>
      <c r="F545" s="16" t="s">
        <v>2631</v>
      </c>
      <c r="G545" s="16" t="s">
        <v>2632</v>
      </c>
      <c r="H545" s="20" t="s">
        <v>155</v>
      </c>
      <c r="I545" s="21" t="s">
        <v>70</v>
      </c>
      <c r="J545" s="22" t="s">
        <v>994</v>
      </c>
      <c r="K545" s="23">
        <v>23.0</v>
      </c>
      <c r="L545" s="24">
        <v>21.0</v>
      </c>
      <c r="M545" s="24" t="str">
        <f>IFERROR(VLOOKUP(D545,'Chủ đề bài nguồn'!$A$2:$C$735,3,0),"Khác")</f>
        <v>Thẻ ATM &amp; thẻ ghi nợ</v>
      </c>
      <c r="N545" s="24"/>
    </row>
    <row r="546">
      <c r="A546" s="15">
        <v>544.0</v>
      </c>
      <c r="B546" s="16" t="s">
        <v>885</v>
      </c>
      <c r="C546" s="18" t="s">
        <v>2588</v>
      </c>
      <c r="D546" s="16" t="s">
        <v>1090</v>
      </c>
      <c r="E546" s="16" t="s">
        <v>2634</v>
      </c>
      <c r="F546" s="16" t="s">
        <v>2635</v>
      </c>
      <c r="G546" s="16" t="s">
        <v>2636</v>
      </c>
      <c r="H546" s="20" t="s">
        <v>155</v>
      </c>
      <c r="I546" s="21" t="s">
        <v>70</v>
      </c>
      <c r="J546" s="22" t="s">
        <v>994</v>
      </c>
      <c r="K546" s="23">
        <v>23.0</v>
      </c>
      <c r="L546" s="24">
        <v>21.0</v>
      </c>
      <c r="M546" s="24" t="str">
        <f>IFERROR(VLOOKUP(D546,'Chủ đề bài nguồn'!$A$2:$C$735,3,0),"Khác")</f>
        <v>Thanh toán, chuyển khoản &amp; QR</v>
      </c>
      <c r="N546" s="24"/>
    </row>
    <row r="547">
      <c r="A547" s="15">
        <v>545.0</v>
      </c>
      <c r="B547" s="16" t="s">
        <v>885</v>
      </c>
      <c r="C547" s="18" t="s">
        <v>2588</v>
      </c>
      <c r="D547" s="16" t="s">
        <v>2111</v>
      </c>
      <c r="E547" s="16" t="s">
        <v>2637</v>
      </c>
      <c r="F547" s="16" t="s">
        <v>2638</v>
      </c>
      <c r="G547" s="16" t="s">
        <v>2639</v>
      </c>
      <c r="H547" s="20" t="s">
        <v>155</v>
      </c>
      <c r="I547" s="21" t="s">
        <v>70</v>
      </c>
      <c r="J547" s="22" t="s">
        <v>71</v>
      </c>
      <c r="K547" s="23">
        <v>23.0</v>
      </c>
      <c r="L547" s="24">
        <v>21.0</v>
      </c>
      <c r="M547" s="24" t="str">
        <f>IFERROR(VLOOKUP(D547,'Chủ đề bài nguồn'!$A$2:$C$735,3,0),"Khác")</f>
        <v>Tài khoản &amp; ngân hàng số</v>
      </c>
      <c r="N547" s="24"/>
    </row>
    <row r="548">
      <c r="A548" s="15">
        <v>546.0</v>
      </c>
      <c r="B548" s="16" t="s">
        <v>885</v>
      </c>
      <c r="C548" s="18" t="s">
        <v>1357</v>
      </c>
      <c r="D548" s="16" t="s">
        <v>1582</v>
      </c>
      <c r="E548" s="16" t="s">
        <v>2641</v>
      </c>
      <c r="F548" s="16" t="s">
        <v>2642</v>
      </c>
      <c r="G548" s="16" t="s">
        <v>2643</v>
      </c>
      <c r="H548" s="20" t="s">
        <v>155</v>
      </c>
      <c r="I548" s="21" t="s">
        <v>70</v>
      </c>
      <c r="J548" s="22" t="s">
        <v>71</v>
      </c>
      <c r="K548" s="23">
        <v>23.0</v>
      </c>
      <c r="L548" s="24">
        <v>21.0</v>
      </c>
      <c r="M548" s="24" t="str">
        <f>IFERROR(VLOOKUP(D548,'Chủ đề bài nguồn'!$A$2:$C$735,3,0),"Khác")</f>
        <v>Tài khoản &amp; ngân hàng số</v>
      </c>
      <c r="N548" s="24"/>
    </row>
    <row r="549">
      <c r="A549" s="15">
        <v>547.0</v>
      </c>
      <c r="B549" s="16" t="s">
        <v>885</v>
      </c>
      <c r="C549" s="18" t="s">
        <v>1357</v>
      </c>
      <c r="D549" s="16" t="s">
        <v>1391</v>
      </c>
      <c r="E549" s="16" t="s">
        <v>2645</v>
      </c>
      <c r="F549" s="16" t="s">
        <v>2646</v>
      </c>
      <c r="G549" s="16" t="s">
        <v>2647</v>
      </c>
      <c r="H549" s="20" t="s">
        <v>155</v>
      </c>
      <c r="I549" s="21" t="s">
        <v>70</v>
      </c>
      <c r="J549" s="22" t="s">
        <v>71</v>
      </c>
      <c r="K549" s="23">
        <v>23.0</v>
      </c>
      <c r="L549" s="24">
        <v>21.0</v>
      </c>
      <c r="M549" s="24" t="str">
        <f>IFERROR(VLOOKUP(D549,'Chủ đề bài nguồn'!$A$2:$C$735,3,0),"Khác")</f>
        <v>Tài khoản &amp; ngân hàng số</v>
      </c>
      <c r="N549" s="24"/>
    </row>
    <row r="550">
      <c r="A550" s="15">
        <v>548.0</v>
      </c>
      <c r="B550" s="16" t="s">
        <v>885</v>
      </c>
      <c r="C550" s="18" t="s">
        <v>1357</v>
      </c>
      <c r="D550" s="16" t="s">
        <v>1723</v>
      </c>
      <c r="E550" s="16" t="s">
        <v>2651</v>
      </c>
      <c r="F550" s="16" t="s">
        <v>2652</v>
      </c>
      <c r="G550" s="16" t="s">
        <v>2653</v>
      </c>
      <c r="H550" s="20" t="s">
        <v>155</v>
      </c>
      <c r="I550" s="21" t="s">
        <v>70</v>
      </c>
      <c r="J550" s="22" t="s">
        <v>71</v>
      </c>
      <c r="K550" s="23">
        <v>23.0</v>
      </c>
      <c r="L550" s="24">
        <v>21.0</v>
      </c>
      <c r="M550" s="24" t="str">
        <f>IFERROR(VLOOKUP(D550,'Chủ đề bài nguồn'!$A$2:$C$735,3,0),"Khác")</f>
        <v>Tiết kiệm &amp; lãi suất tiền gửi</v>
      </c>
      <c r="N550" s="24"/>
    </row>
    <row r="551">
      <c r="A551" s="15">
        <v>549.0</v>
      </c>
      <c r="B551" s="16" t="s">
        <v>885</v>
      </c>
      <c r="C551" s="18" t="s">
        <v>1357</v>
      </c>
      <c r="D551" s="16" t="s">
        <v>2000</v>
      </c>
      <c r="E551" s="16" t="s">
        <v>2656</v>
      </c>
      <c r="F551" s="16" t="s">
        <v>2657</v>
      </c>
      <c r="G551" s="16" t="s">
        <v>2658</v>
      </c>
      <c r="H551" s="20" t="s">
        <v>155</v>
      </c>
      <c r="I551" s="21" t="s">
        <v>70</v>
      </c>
      <c r="J551" s="22" t="s">
        <v>71</v>
      </c>
      <c r="K551" s="23">
        <v>23.0</v>
      </c>
      <c r="L551" s="24">
        <v>21.0</v>
      </c>
      <c r="M551" s="24" t="str">
        <f>IFERROR(VLOOKUP(D551,'Chủ đề bài nguồn'!$A$2:$C$735,3,0),"Khác")</f>
        <v>Ngoại tệ &amp; chuyển tiền quốc tế</v>
      </c>
      <c r="N551" s="24"/>
    </row>
    <row r="552">
      <c r="A552" s="15">
        <v>550.0</v>
      </c>
      <c r="B552" s="16" t="s">
        <v>885</v>
      </c>
      <c r="C552" s="18" t="s">
        <v>2588</v>
      </c>
      <c r="D552" s="16" t="s">
        <v>1243</v>
      </c>
      <c r="E552" s="16" t="s">
        <v>2663</v>
      </c>
      <c r="F552" s="16" t="s">
        <v>2664</v>
      </c>
      <c r="G552" s="16" t="s">
        <v>2591</v>
      </c>
      <c r="H552" s="20" t="s">
        <v>229</v>
      </c>
      <c r="I552" s="21" t="s">
        <v>70</v>
      </c>
      <c r="J552" s="22" t="s">
        <v>2667</v>
      </c>
      <c r="K552" s="23">
        <v>23.0</v>
      </c>
      <c r="L552" s="24">
        <v>30.0</v>
      </c>
      <c r="M552" s="24" t="str">
        <f>IFERROR(VLOOKUP(D552,'Chủ đề bài nguồn'!$A$2:$C$735,3,0),"Khác")</f>
        <v>Doanh nghiệp (tài khoản, vay, tài chính)</v>
      </c>
      <c r="N552" s="24"/>
    </row>
    <row r="553">
      <c r="A553" s="15">
        <v>551.0</v>
      </c>
      <c r="B553" s="16" t="s">
        <v>885</v>
      </c>
      <c r="C553" s="18" t="s">
        <v>2588</v>
      </c>
      <c r="D553" s="16" t="s">
        <v>2671</v>
      </c>
      <c r="E553" s="16" t="s">
        <v>2672</v>
      </c>
      <c r="F553" s="16" t="s">
        <v>2673</v>
      </c>
      <c r="G553" s="16" t="s">
        <v>2591</v>
      </c>
      <c r="H553" s="20" t="s">
        <v>229</v>
      </c>
      <c r="I553" s="21" t="s">
        <v>70</v>
      </c>
      <c r="J553" s="22" t="s">
        <v>2675</v>
      </c>
      <c r="K553" s="23">
        <v>23.0</v>
      </c>
      <c r="L553" s="24">
        <v>30.0</v>
      </c>
      <c r="M553" s="24" t="str">
        <f>IFERROR(VLOOKUP(D553,'Chủ đề bài nguồn'!$A$2:$C$735,3,0),"Khác")</f>
        <v>Hộ kinh doanh &amp; bán hàng</v>
      </c>
      <c r="N553" s="24"/>
    </row>
    <row r="554">
      <c r="A554" s="15">
        <v>552.0</v>
      </c>
      <c r="B554" s="16" t="s">
        <v>885</v>
      </c>
      <c r="C554" s="18" t="s">
        <v>2588</v>
      </c>
      <c r="D554" s="16" t="s">
        <v>2681</v>
      </c>
      <c r="E554" s="16" t="s">
        <v>2683</v>
      </c>
      <c r="F554" s="16" t="s">
        <v>2684</v>
      </c>
      <c r="G554" s="16" t="s">
        <v>2591</v>
      </c>
      <c r="H554" s="20" t="s">
        <v>229</v>
      </c>
      <c r="I554" s="21" t="s">
        <v>70</v>
      </c>
      <c r="J554" s="22" t="s">
        <v>2685</v>
      </c>
      <c r="K554" s="23">
        <v>23.0</v>
      </c>
      <c r="L554" s="24">
        <v>30.0</v>
      </c>
      <c r="M554" s="24" t="str">
        <f>IFERROR(VLOOKUP(D554,'Chủ đề bài nguồn'!$A$2:$C$735,3,0),"Khác")</f>
        <v>Hộ kinh doanh &amp; bán hàng</v>
      </c>
      <c r="N554" s="24"/>
    </row>
    <row r="555">
      <c r="A555" s="15">
        <v>553.0</v>
      </c>
      <c r="B555" s="16" t="s">
        <v>885</v>
      </c>
      <c r="C555" s="18" t="s">
        <v>2588</v>
      </c>
      <c r="D555" s="16" t="s">
        <v>2689</v>
      </c>
      <c r="E555" s="16" t="s">
        <v>2691</v>
      </c>
      <c r="F555" s="16" t="s">
        <v>2692</v>
      </c>
      <c r="G555" s="16" t="s">
        <v>2693</v>
      </c>
      <c r="H555" s="20" t="s">
        <v>229</v>
      </c>
      <c r="I555" s="21" t="s">
        <v>70</v>
      </c>
      <c r="J555" s="22" t="s">
        <v>994</v>
      </c>
      <c r="K555" s="23">
        <v>23.0</v>
      </c>
      <c r="L555" s="24">
        <v>31.0</v>
      </c>
      <c r="M555" s="24" t="str">
        <f>IFERROR(VLOOKUP(D555,'Chủ đề bài nguồn'!$A$2:$C$735,3,0),"Khác")</f>
        <v>Thanh toán, chuyển khoản &amp; QR</v>
      </c>
      <c r="N555" s="24"/>
    </row>
    <row r="556">
      <c r="A556" s="15">
        <v>554.0</v>
      </c>
      <c r="B556" s="16" t="s">
        <v>885</v>
      </c>
      <c r="C556" s="18" t="s">
        <v>2588</v>
      </c>
      <c r="D556" s="16" t="s">
        <v>1767</v>
      </c>
      <c r="E556" s="16" t="s">
        <v>2695</v>
      </c>
      <c r="F556" s="16" t="s">
        <v>2696</v>
      </c>
      <c r="G556" s="16" t="s">
        <v>2698</v>
      </c>
      <c r="H556" s="20" t="s">
        <v>229</v>
      </c>
      <c r="I556" s="21" t="s">
        <v>70</v>
      </c>
      <c r="J556" s="22" t="s">
        <v>994</v>
      </c>
      <c r="K556" s="23">
        <v>23.0</v>
      </c>
      <c r="L556" s="24">
        <v>31.0</v>
      </c>
      <c r="M556" s="24" t="str">
        <f>IFERROR(VLOOKUP(D556,'Chủ đề bài nguồn'!$A$2:$C$735,3,0),"Khác")</f>
        <v>Thẻ ATM &amp; thẻ ghi nợ</v>
      </c>
      <c r="N556" s="24"/>
    </row>
    <row r="557">
      <c r="A557" s="15">
        <v>555.0</v>
      </c>
      <c r="B557" s="16" t="s">
        <v>885</v>
      </c>
      <c r="C557" s="18" t="s">
        <v>2588</v>
      </c>
      <c r="D557" s="16" t="s">
        <v>2699</v>
      </c>
      <c r="E557" s="16" t="s">
        <v>2700</v>
      </c>
      <c r="F557" s="16" t="s">
        <v>2701</v>
      </c>
      <c r="G557" s="16" t="s">
        <v>2693</v>
      </c>
      <c r="H557" s="20" t="s">
        <v>229</v>
      </c>
      <c r="I557" s="21" t="s">
        <v>70</v>
      </c>
      <c r="J557" s="22" t="s">
        <v>994</v>
      </c>
      <c r="K557" s="23">
        <v>23.0</v>
      </c>
      <c r="L557" s="24">
        <v>31.0</v>
      </c>
      <c r="M557" s="24" t="str">
        <f>IFERROR(VLOOKUP(D557,'Chủ đề bài nguồn'!$A$2:$C$735,3,0),"Khác")</f>
        <v>Thanh toán, chuyển khoản &amp; QR</v>
      </c>
      <c r="N557" s="24"/>
    </row>
    <row r="558">
      <c r="A558" s="15">
        <v>556.0</v>
      </c>
      <c r="B558" s="16" t="s">
        <v>885</v>
      </c>
      <c r="C558" s="18" t="s">
        <v>2588</v>
      </c>
      <c r="D558" s="16" t="s">
        <v>2702</v>
      </c>
      <c r="E558" s="16" t="s">
        <v>2703</v>
      </c>
      <c r="F558" s="16" t="s">
        <v>2704</v>
      </c>
      <c r="G558" s="16" t="s">
        <v>2693</v>
      </c>
      <c r="H558" s="20" t="s">
        <v>229</v>
      </c>
      <c r="I558" s="21" t="s">
        <v>70</v>
      </c>
      <c r="J558" s="22" t="s">
        <v>994</v>
      </c>
      <c r="K558" s="23">
        <v>23.0</v>
      </c>
      <c r="L558" s="24">
        <v>31.0</v>
      </c>
      <c r="M558" s="24" t="str">
        <f>IFERROR(VLOOKUP(D558,'Chủ đề bài nguồn'!$A$2:$C$735,3,0),"Khác")</f>
        <v>Thanh toán, chuyển khoản &amp; QR</v>
      </c>
      <c r="N558" s="24"/>
    </row>
    <row r="559">
      <c r="A559" s="15">
        <v>557.0</v>
      </c>
      <c r="B559" s="16" t="s">
        <v>885</v>
      </c>
      <c r="C559" s="18" t="s">
        <v>1357</v>
      </c>
      <c r="D559" s="16" t="s">
        <v>1817</v>
      </c>
      <c r="E559" s="16" t="s">
        <v>2705</v>
      </c>
      <c r="F559" s="16" t="s">
        <v>2706</v>
      </c>
      <c r="G559" s="16" t="s">
        <v>2632</v>
      </c>
      <c r="H559" s="20" t="s">
        <v>229</v>
      </c>
      <c r="I559" s="21" t="s">
        <v>70</v>
      </c>
      <c r="J559" s="22" t="s">
        <v>994</v>
      </c>
      <c r="K559" s="23">
        <v>23.0</v>
      </c>
      <c r="L559" s="24">
        <v>31.0</v>
      </c>
      <c r="M559" s="24" t="str">
        <f>IFERROR(VLOOKUP(D559,'Chủ đề bài nguồn'!$A$2:$C$735,3,0),"Khác")</f>
        <v>Thẻ ATM &amp; thẻ ghi nợ</v>
      </c>
      <c r="N559" s="24"/>
    </row>
    <row r="560">
      <c r="A560" s="15">
        <v>558.0</v>
      </c>
      <c r="B560" s="16" t="s">
        <v>403</v>
      </c>
      <c r="C560" s="18" t="s">
        <v>1395</v>
      </c>
      <c r="D560" s="16" t="s">
        <v>954</v>
      </c>
      <c r="E560" s="16" t="s">
        <v>2708</v>
      </c>
      <c r="F560" s="16" t="s">
        <v>2709</v>
      </c>
      <c r="G560" s="16" t="s">
        <v>1493</v>
      </c>
      <c r="H560" s="20" t="s">
        <v>69</v>
      </c>
      <c r="I560" s="21" t="s">
        <v>70</v>
      </c>
      <c r="J560" s="22" t="s">
        <v>71</v>
      </c>
      <c r="K560" s="23">
        <v>24.0</v>
      </c>
      <c r="L560" s="24">
        <v>10.0</v>
      </c>
      <c r="M560" s="24" t="str">
        <f>IFERROR(VLOOKUP(D560,'Chủ đề bài nguồn'!$A$2:$C$735,3,0),"Khác")</f>
        <v>Hộ kinh doanh &amp; bán hàng</v>
      </c>
      <c r="N560" s="24"/>
    </row>
    <row r="561">
      <c r="A561" s="15">
        <v>559.0</v>
      </c>
      <c r="B561" s="39" t="s">
        <v>403</v>
      </c>
      <c r="C561" s="18" t="s">
        <v>1395</v>
      </c>
      <c r="D561" s="39" t="s">
        <v>1038</v>
      </c>
      <c r="E561" s="16" t="s">
        <v>2712</v>
      </c>
      <c r="F561" s="16" t="s">
        <v>2713</v>
      </c>
      <c r="G561" s="16" t="s">
        <v>1493</v>
      </c>
      <c r="H561" s="20" t="s">
        <v>69</v>
      </c>
      <c r="I561" s="21" t="s">
        <v>70</v>
      </c>
      <c r="J561" s="22" t="s">
        <v>71</v>
      </c>
      <c r="K561" s="23">
        <v>24.0</v>
      </c>
      <c r="L561" s="24">
        <v>10.0</v>
      </c>
      <c r="M561" s="24" t="str">
        <f>IFERROR(VLOOKUP(D561,'Chủ đề bài nguồn'!$A$2:$C$735,3,0),"Khác")</f>
        <v>Ngoại tệ &amp; chuyển tiền quốc tế</v>
      </c>
      <c r="N561" s="24"/>
    </row>
    <row r="562">
      <c r="A562" s="15">
        <v>560.0</v>
      </c>
      <c r="B562" s="16" t="s">
        <v>403</v>
      </c>
      <c r="C562" s="18" t="s">
        <v>1395</v>
      </c>
      <c r="D562" s="16" t="s">
        <v>316</v>
      </c>
      <c r="E562" s="16" t="s">
        <v>2714</v>
      </c>
      <c r="F562" s="16" t="s">
        <v>2715</v>
      </c>
      <c r="G562" s="16" t="s">
        <v>1493</v>
      </c>
      <c r="H562" s="20" t="s">
        <v>69</v>
      </c>
      <c r="I562" s="21" t="s">
        <v>70</v>
      </c>
      <c r="J562" s="22" t="s">
        <v>71</v>
      </c>
      <c r="K562" s="23">
        <v>24.0</v>
      </c>
      <c r="L562" s="24">
        <v>10.0</v>
      </c>
      <c r="M562" s="24" t="str">
        <f>IFERROR(VLOOKUP(D562,'Chủ đề bài nguồn'!$A$2:$C$735,3,0),"Khác")</f>
        <v>Thuế</v>
      </c>
      <c r="N562" s="24"/>
    </row>
    <row r="563">
      <c r="A563" s="15">
        <v>561.0</v>
      </c>
      <c r="B563" s="16" t="s">
        <v>403</v>
      </c>
      <c r="C563" s="18" t="s">
        <v>1395</v>
      </c>
      <c r="D563" s="16" t="s">
        <v>474</v>
      </c>
      <c r="E563" s="16" t="s">
        <v>710</v>
      </c>
      <c r="F563" s="16" t="s">
        <v>2717</v>
      </c>
      <c r="G563" s="16" t="s">
        <v>1500</v>
      </c>
      <c r="H563" s="20" t="s">
        <v>69</v>
      </c>
      <c r="I563" s="21" t="s">
        <v>70</v>
      </c>
      <c r="J563" s="22" t="s">
        <v>2718</v>
      </c>
      <c r="K563" s="23">
        <v>24.0</v>
      </c>
      <c r="L563" s="24">
        <v>10.0</v>
      </c>
      <c r="M563" s="24" t="str">
        <f>IFERROR(VLOOKUP(D563,'Chủ đề bài nguồn'!$A$2:$C$735,3,0),"Khác")</f>
        <v>Thuế</v>
      </c>
      <c r="N563" s="24"/>
    </row>
    <row r="564">
      <c r="A564" s="15">
        <v>562.0</v>
      </c>
      <c r="B564" s="16" t="s">
        <v>403</v>
      </c>
      <c r="C564" s="18" t="s">
        <v>2720</v>
      </c>
      <c r="D564" s="16" t="s">
        <v>1075</v>
      </c>
      <c r="E564" s="16" t="s">
        <v>2721</v>
      </c>
      <c r="F564" s="16" t="s">
        <v>2722</v>
      </c>
      <c r="G564" s="16" t="s">
        <v>2723</v>
      </c>
      <c r="H564" s="20" t="s">
        <v>69</v>
      </c>
      <c r="I564" s="21" t="s">
        <v>70</v>
      </c>
      <c r="J564" s="22" t="s">
        <v>761</v>
      </c>
      <c r="K564" s="23">
        <v>24.0</v>
      </c>
      <c r="L564" s="24">
        <v>10.0</v>
      </c>
      <c r="M564" s="24" t="str">
        <f>IFERROR(VLOOKUP(D564,'Chủ đề bài nguồn'!$A$2:$C$735,3,0),"Khác")</f>
        <v>Thuế</v>
      </c>
      <c r="N564" s="24"/>
    </row>
    <row r="565">
      <c r="A565" s="15">
        <v>563.0</v>
      </c>
      <c r="B565" s="16" t="s">
        <v>403</v>
      </c>
      <c r="C565" s="18" t="s">
        <v>2720</v>
      </c>
      <c r="D565" s="16" t="s">
        <v>987</v>
      </c>
      <c r="E565" s="16" t="s">
        <v>2726</v>
      </c>
      <c r="F565" s="16" t="s">
        <v>2727</v>
      </c>
      <c r="G565" s="16" t="s">
        <v>2723</v>
      </c>
      <c r="H565" s="20" t="s">
        <v>69</v>
      </c>
      <c r="I565" s="21" t="s">
        <v>70</v>
      </c>
      <c r="J565" s="22" t="s">
        <v>2728</v>
      </c>
      <c r="K565" s="23">
        <v>24.0</v>
      </c>
      <c r="L565" s="24">
        <v>10.0</v>
      </c>
      <c r="M565" s="24" t="str">
        <f>IFERROR(VLOOKUP(D565,'Chủ đề bài nguồn'!$A$2:$C$735,3,0),"Khác")</f>
        <v>Hộ kinh doanh &amp; bán hàng</v>
      </c>
      <c r="N565" s="24"/>
    </row>
    <row r="566">
      <c r="A566" s="15">
        <v>564.0</v>
      </c>
      <c r="B566" s="16" t="s">
        <v>403</v>
      </c>
      <c r="C566" s="18" t="s">
        <v>2720</v>
      </c>
      <c r="D566" s="16" t="s">
        <v>701</v>
      </c>
      <c r="E566" s="16" t="s">
        <v>820</v>
      </c>
      <c r="F566" s="16" t="s">
        <v>2729</v>
      </c>
      <c r="G566" s="16" t="s">
        <v>2723</v>
      </c>
      <c r="H566" s="20" t="s">
        <v>69</v>
      </c>
      <c r="I566" s="21" t="s">
        <v>70</v>
      </c>
      <c r="J566" s="22" t="s">
        <v>2730</v>
      </c>
      <c r="K566" s="23">
        <v>24.0</v>
      </c>
      <c r="L566" s="24">
        <v>10.0</v>
      </c>
      <c r="M566" s="24" t="str">
        <f>IFERROR(VLOOKUP(D566,'Chủ đề bài nguồn'!$A$2:$C$735,3,0),"Khác")</f>
        <v>Thuế</v>
      </c>
      <c r="N566" s="24"/>
    </row>
    <row r="567">
      <c r="A567" s="15">
        <v>565.0</v>
      </c>
      <c r="B567" s="16" t="s">
        <v>403</v>
      </c>
      <c r="C567" s="18" t="s">
        <v>2720</v>
      </c>
      <c r="D567" s="16" t="s">
        <v>972</v>
      </c>
      <c r="E567" s="16" t="s">
        <v>710</v>
      </c>
      <c r="F567" s="16" t="s">
        <v>2731</v>
      </c>
      <c r="G567" s="16" t="s">
        <v>2723</v>
      </c>
      <c r="H567" s="20" t="s">
        <v>69</v>
      </c>
      <c r="I567" s="21" t="s">
        <v>70</v>
      </c>
      <c r="J567" s="22" t="s">
        <v>71</v>
      </c>
      <c r="K567" s="23">
        <v>24.0</v>
      </c>
      <c r="L567" s="24">
        <v>10.0</v>
      </c>
      <c r="M567" s="24" t="str">
        <f>IFERROR(VLOOKUP(D567,'Chủ đề bài nguồn'!$A$2:$C$735,3,0),"Khác")</f>
        <v>Thuế</v>
      </c>
      <c r="N567" s="24"/>
    </row>
    <row r="568">
      <c r="A568" s="15">
        <v>566.0</v>
      </c>
      <c r="B568" s="16" t="s">
        <v>403</v>
      </c>
      <c r="C568" s="18" t="s">
        <v>2720</v>
      </c>
      <c r="D568" s="16" t="s">
        <v>1328</v>
      </c>
      <c r="E568" s="16" t="s">
        <v>2733</v>
      </c>
      <c r="F568" s="16" t="s">
        <v>2734</v>
      </c>
      <c r="G568" s="16" t="s">
        <v>2723</v>
      </c>
      <c r="H568" s="20" t="s">
        <v>69</v>
      </c>
      <c r="I568" s="21" t="s">
        <v>70</v>
      </c>
      <c r="J568" s="22" t="s">
        <v>71</v>
      </c>
      <c r="K568" s="23">
        <v>24.0</v>
      </c>
      <c r="L568" s="24">
        <v>10.0</v>
      </c>
      <c r="M568" s="24" t="str">
        <f>IFERROR(VLOOKUP(D568,'Chủ đề bài nguồn'!$A$2:$C$735,3,0),"Khác")</f>
        <v>Doanh nghiệp (tài khoản, vay, tài chính)</v>
      </c>
      <c r="N568" s="24"/>
    </row>
    <row r="569">
      <c r="A569" s="15">
        <v>567.0</v>
      </c>
      <c r="B569" s="16" t="s">
        <v>403</v>
      </c>
      <c r="C569" s="18" t="s">
        <v>2720</v>
      </c>
      <c r="D569" s="16" t="s">
        <v>776</v>
      </c>
      <c r="E569" s="16" t="s">
        <v>777</v>
      </c>
      <c r="F569" s="16" t="s">
        <v>2735</v>
      </c>
      <c r="G569" s="16" t="s">
        <v>2723</v>
      </c>
      <c r="H569" s="20" t="s">
        <v>69</v>
      </c>
      <c r="I569" s="21" t="s">
        <v>70</v>
      </c>
      <c r="J569" s="22" t="s">
        <v>71</v>
      </c>
      <c r="K569" s="23">
        <v>24.0</v>
      </c>
      <c r="L569" s="24">
        <v>10.0</v>
      </c>
      <c r="M569" s="24" t="str">
        <f>IFERROR(VLOOKUP(D569,'Chủ đề bài nguồn'!$A$2:$C$735,3,0),"Khác")</f>
        <v>Thuế</v>
      </c>
      <c r="N569" s="24"/>
    </row>
    <row r="570">
      <c r="A570" s="15">
        <v>568.0</v>
      </c>
      <c r="B570" s="39" t="s">
        <v>403</v>
      </c>
      <c r="C570" s="18" t="s">
        <v>1395</v>
      </c>
      <c r="D570" s="39" t="s">
        <v>1569</v>
      </c>
      <c r="E570" s="16" t="s">
        <v>2737</v>
      </c>
      <c r="F570" s="16" t="s">
        <v>2738</v>
      </c>
      <c r="G570" s="16" t="s">
        <v>1493</v>
      </c>
      <c r="H570" s="20" t="s">
        <v>155</v>
      </c>
      <c r="I570" s="21" t="s">
        <v>70</v>
      </c>
      <c r="J570" s="22" t="s">
        <v>71</v>
      </c>
      <c r="K570" s="23">
        <v>24.0</v>
      </c>
      <c r="L570" s="24">
        <v>20.0</v>
      </c>
      <c r="M570" s="24" t="str">
        <f>IFERROR(VLOOKUP(D570,'Chủ đề bài nguồn'!$A$2:$C$735,3,0),"Khác")</f>
        <v>Ngoại tệ &amp; chuyển tiền quốc tế</v>
      </c>
      <c r="N570" s="24"/>
    </row>
    <row r="571">
      <c r="A571" s="15">
        <v>569.0</v>
      </c>
      <c r="B571" s="16" t="s">
        <v>403</v>
      </c>
      <c r="C571" s="18" t="s">
        <v>1395</v>
      </c>
      <c r="D571" s="16" t="s">
        <v>635</v>
      </c>
      <c r="E571" s="16" t="s">
        <v>710</v>
      </c>
      <c r="F571" s="16" t="s">
        <v>2740</v>
      </c>
      <c r="G571" s="16" t="s">
        <v>1493</v>
      </c>
      <c r="H571" s="20" t="s">
        <v>155</v>
      </c>
      <c r="I571" s="21" t="s">
        <v>70</v>
      </c>
      <c r="J571" s="22" t="s">
        <v>71</v>
      </c>
      <c r="K571" s="23">
        <v>24.0</v>
      </c>
      <c r="L571" s="24">
        <v>20.0</v>
      </c>
      <c r="M571" s="24" t="str">
        <f>IFERROR(VLOOKUP(D571,'Chủ đề bài nguồn'!$A$2:$C$735,3,0),"Khác")</f>
        <v>Thuế</v>
      </c>
      <c r="N571" s="24"/>
    </row>
    <row r="572">
      <c r="A572" s="15">
        <v>570.0</v>
      </c>
      <c r="B572" s="16" t="s">
        <v>403</v>
      </c>
      <c r="C572" s="18" t="s">
        <v>2720</v>
      </c>
      <c r="D572" s="16" t="s">
        <v>1105</v>
      </c>
      <c r="E572" s="16" t="s">
        <v>2741</v>
      </c>
      <c r="F572" s="16" t="s">
        <v>2742</v>
      </c>
      <c r="G572" s="16" t="s">
        <v>2743</v>
      </c>
      <c r="H572" s="20" t="s">
        <v>155</v>
      </c>
      <c r="I572" s="21" t="s">
        <v>70</v>
      </c>
      <c r="J572" s="22" t="s">
        <v>2718</v>
      </c>
      <c r="K572" s="23">
        <v>24.0</v>
      </c>
      <c r="L572" s="24">
        <v>20.0</v>
      </c>
      <c r="M572" s="24" t="str">
        <f>IFERROR(VLOOKUP(D572,'Chủ đề bài nguồn'!$A$2:$C$735,3,0),"Khác")</f>
        <v>Thuế</v>
      </c>
      <c r="N572" s="24"/>
    </row>
    <row r="573">
      <c r="A573" s="15">
        <v>571.0</v>
      </c>
      <c r="B573" s="16" t="s">
        <v>403</v>
      </c>
      <c r="C573" s="18" t="s">
        <v>2720</v>
      </c>
      <c r="D573" s="16" t="s">
        <v>686</v>
      </c>
      <c r="E573" s="16" t="s">
        <v>2745</v>
      </c>
      <c r="F573" s="16" t="s">
        <v>2746</v>
      </c>
      <c r="G573" s="16" t="s">
        <v>2723</v>
      </c>
      <c r="H573" s="20" t="s">
        <v>155</v>
      </c>
      <c r="I573" s="21" t="s">
        <v>70</v>
      </c>
      <c r="J573" s="22" t="s">
        <v>2747</v>
      </c>
      <c r="K573" s="23">
        <v>24.0</v>
      </c>
      <c r="L573" s="24">
        <v>20.0</v>
      </c>
      <c r="M573" s="24" t="str">
        <f>IFERROR(VLOOKUP(D573,'Chủ đề bài nguồn'!$A$2:$C$735,3,0),"Khác")</f>
        <v>Thuế</v>
      </c>
      <c r="N573" s="24"/>
    </row>
    <row r="574">
      <c r="A574" s="15">
        <v>572.0</v>
      </c>
      <c r="B574" s="16" t="s">
        <v>403</v>
      </c>
      <c r="C574" s="18" t="s">
        <v>1395</v>
      </c>
      <c r="D574" s="16" t="s">
        <v>793</v>
      </c>
      <c r="E574" s="16" t="s">
        <v>2751</v>
      </c>
      <c r="F574" s="16" t="s">
        <v>2752</v>
      </c>
      <c r="G574" s="16" t="s">
        <v>2753</v>
      </c>
      <c r="H574" s="20" t="s">
        <v>155</v>
      </c>
      <c r="I574" s="21" t="s">
        <v>70</v>
      </c>
      <c r="J574" s="22" t="s">
        <v>71</v>
      </c>
      <c r="K574" s="23">
        <v>24.0</v>
      </c>
      <c r="L574" s="24">
        <v>21.0</v>
      </c>
      <c r="M574" s="24" t="str">
        <f>IFERROR(VLOOKUP(D574,'Chủ đề bài nguồn'!$A$2:$C$735,3,0),"Khác")</f>
        <v>Thuế</v>
      </c>
      <c r="N574" s="24"/>
    </row>
    <row r="575">
      <c r="A575" s="15">
        <v>573.0</v>
      </c>
      <c r="B575" s="16" t="s">
        <v>403</v>
      </c>
      <c r="C575" s="18" t="s">
        <v>1395</v>
      </c>
      <c r="D575" s="16" t="s">
        <v>762</v>
      </c>
      <c r="E575" s="16" t="s">
        <v>2757</v>
      </c>
      <c r="F575" s="16" t="s">
        <v>1554</v>
      </c>
      <c r="G575" s="16" t="s">
        <v>2758</v>
      </c>
      <c r="H575" s="20" t="s">
        <v>155</v>
      </c>
      <c r="I575" s="21" t="s">
        <v>70</v>
      </c>
      <c r="J575" s="40" t="s">
        <v>2760</v>
      </c>
      <c r="K575" s="23">
        <v>24.0</v>
      </c>
      <c r="L575" s="24">
        <v>21.0</v>
      </c>
      <c r="M575" s="24" t="str">
        <f>IFERROR(VLOOKUP(D575,'Chủ đề bài nguồn'!$A$2:$C$735,3,0),"Khác")</f>
        <v>Thuế</v>
      </c>
      <c r="N575" s="24"/>
    </row>
    <row r="576">
      <c r="A576" s="15">
        <v>574.0</v>
      </c>
      <c r="B576" s="16" t="s">
        <v>403</v>
      </c>
      <c r="C576" s="18" t="s">
        <v>2720</v>
      </c>
      <c r="D576" s="16" t="s">
        <v>584</v>
      </c>
      <c r="E576" s="16" t="s">
        <v>2765</v>
      </c>
      <c r="F576" s="16" t="s">
        <v>2766</v>
      </c>
      <c r="G576" s="16" t="s">
        <v>2767</v>
      </c>
      <c r="H576" s="20" t="s">
        <v>155</v>
      </c>
      <c r="I576" s="21" t="s">
        <v>70</v>
      </c>
      <c r="J576" s="22" t="s">
        <v>71</v>
      </c>
      <c r="K576" s="23">
        <v>24.0</v>
      </c>
      <c r="L576" s="24">
        <v>21.0</v>
      </c>
      <c r="M576" s="24" t="str">
        <f>IFERROR(VLOOKUP(D576,'Chủ đề bài nguồn'!$A$2:$C$735,3,0),"Khác")</f>
        <v>Hộ kinh doanh &amp; bán hàng</v>
      </c>
      <c r="N576" s="24"/>
    </row>
    <row r="577">
      <c r="A577" s="15">
        <v>575.0</v>
      </c>
      <c r="B577" s="16" t="s">
        <v>403</v>
      </c>
      <c r="C577" s="18" t="s">
        <v>2720</v>
      </c>
      <c r="D577" s="16" t="s">
        <v>631</v>
      </c>
      <c r="E577" s="16" t="s">
        <v>632</v>
      </c>
      <c r="F577" s="16" t="s">
        <v>2773</v>
      </c>
      <c r="G577" s="16" t="s">
        <v>2774</v>
      </c>
      <c r="H577" s="20" t="s">
        <v>155</v>
      </c>
      <c r="I577" s="21" t="s">
        <v>70</v>
      </c>
      <c r="J577" s="22" t="s">
        <v>71</v>
      </c>
      <c r="K577" s="23">
        <v>24.0</v>
      </c>
      <c r="L577" s="24">
        <v>21.0</v>
      </c>
      <c r="M577" s="24" t="str">
        <f>IFERROR(VLOOKUP(D577,'Chủ đề bài nguồn'!$A$2:$C$735,3,0),"Khác")</f>
        <v>Thuế</v>
      </c>
      <c r="N577" s="24"/>
    </row>
    <row r="578">
      <c r="A578" s="15">
        <v>576.0</v>
      </c>
      <c r="B578" s="16" t="s">
        <v>403</v>
      </c>
      <c r="C578" s="18" t="s">
        <v>1395</v>
      </c>
      <c r="D578" s="16" t="s">
        <v>705</v>
      </c>
      <c r="E578" s="16" t="s">
        <v>1236</v>
      </c>
      <c r="F578" s="16" t="s">
        <v>2778</v>
      </c>
      <c r="G578" s="16" t="s">
        <v>1493</v>
      </c>
      <c r="H578" s="20" t="s">
        <v>229</v>
      </c>
      <c r="I578" s="21" t="s">
        <v>70</v>
      </c>
      <c r="J578" s="40" t="s">
        <v>2779</v>
      </c>
      <c r="K578" s="23">
        <v>24.0</v>
      </c>
      <c r="L578" s="24">
        <v>30.0</v>
      </c>
      <c r="M578" s="24" t="str">
        <f>IFERROR(VLOOKUP(D578,'Chủ đề bài nguồn'!$A$2:$C$735,3,0),"Khác")</f>
        <v>Thuế</v>
      </c>
      <c r="N578" s="24"/>
    </row>
    <row r="579">
      <c r="A579" s="15">
        <v>577.0</v>
      </c>
      <c r="B579" s="16" t="s">
        <v>403</v>
      </c>
      <c r="C579" s="18" t="s">
        <v>1395</v>
      </c>
      <c r="D579" s="16" t="s">
        <v>620</v>
      </c>
      <c r="E579" s="16" t="s">
        <v>958</v>
      </c>
      <c r="F579" s="16" t="s">
        <v>2782</v>
      </c>
      <c r="G579" s="16" t="s">
        <v>2783</v>
      </c>
      <c r="H579" s="20" t="s">
        <v>229</v>
      </c>
      <c r="I579" s="21" t="s">
        <v>70</v>
      </c>
      <c r="J579" s="40" t="s">
        <v>2785</v>
      </c>
      <c r="K579" s="23">
        <v>24.0</v>
      </c>
      <c r="L579" s="24">
        <v>31.0</v>
      </c>
      <c r="M579" s="24" t="str">
        <f>IFERROR(VLOOKUP(D579,'Chủ đề bài nguồn'!$A$2:$C$735,3,0),"Khác")</f>
        <v>Thuế</v>
      </c>
      <c r="N579" s="24"/>
    </row>
    <row r="580">
      <c r="A580" s="15">
        <v>578.0</v>
      </c>
      <c r="B580" s="16" t="s">
        <v>403</v>
      </c>
      <c r="C580" s="18" t="s">
        <v>1395</v>
      </c>
      <c r="D580" s="16" t="s">
        <v>1501</v>
      </c>
      <c r="E580" s="16" t="s">
        <v>2789</v>
      </c>
      <c r="F580" s="16" t="s">
        <v>2790</v>
      </c>
      <c r="G580" s="16" t="s">
        <v>2791</v>
      </c>
      <c r="H580" s="20" t="s">
        <v>229</v>
      </c>
      <c r="I580" s="21" t="s">
        <v>70</v>
      </c>
      <c r="J580" s="40" t="s">
        <v>2793</v>
      </c>
      <c r="K580" s="23">
        <v>24.0</v>
      </c>
      <c r="L580" s="24">
        <v>31.0</v>
      </c>
      <c r="M580" s="24" t="str">
        <f>IFERROR(VLOOKUP(D580,'Chủ đề bài nguồn'!$A$2:$C$735,3,0),"Khác")</f>
        <v>Đầu tư, CCTG, trái phiếu, vàng</v>
      </c>
      <c r="N580" s="24"/>
    </row>
    <row r="581">
      <c r="A581" s="15">
        <v>579.0</v>
      </c>
      <c r="B581" s="39" t="s">
        <v>403</v>
      </c>
      <c r="C581" s="18" t="s">
        <v>1395</v>
      </c>
      <c r="D581" s="39" t="s">
        <v>1548</v>
      </c>
      <c r="E581" s="16" t="s">
        <v>1549</v>
      </c>
      <c r="F581" s="16" t="s">
        <v>2801</v>
      </c>
      <c r="G581" s="16" t="s">
        <v>2802</v>
      </c>
      <c r="H581" s="20" t="s">
        <v>229</v>
      </c>
      <c r="I581" s="21" t="s">
        <v>70</v>
      </c>
      <c r="J581" s="40" t="s">
        <v>2793</v>
      </c>
      <c r="K581" s="23">
        <v>24.0</v>
      </c>
      <c r="L581" s="24">
        <v>31.0</v>
      </c>
      <c r="M581" s="24" t="str">
        <f>IFERROR(VLOOKUP(D581,'Chủ đề bài nguồn'!$A$2:$C$735,3,0),"Khác")</f>
        <v>Đầu tư, CCTG, trái phiếu, vàng</v>
      </c>
      <c r="N581" s="24"/>
    </row>
    <row r="582">
      <c r="A582" s="15">
        <v>580.0</v>
      </c>
      <c r="B582" s="16" t="s">
        <v>403</v>
      </c>
      <c r="C582" s="18" t="s">
        <v>1395</v>
      </c>
      <c r="D582" s="16" t="s">
        <v>1577</v>
      </c>
      <c r="E582" s="16" t="s">
        <v>710</v>
      </c>
      <c r="F582" s="16" t="s">
        <v>2808</v>
      </c>
      <c r="G582" s="16" t="s">
        <v>2809</v>
      </c>
      <c r="H582" s="20" t="s">
        <v>229</v>
      </c>
      <c r="I582" s="21" t="s">
        <v>70</v>
      </c>
      <c r="J582" s="40" t="s">
        <v>1581</v>
      </c>
      <c r="K582" s="23">
        <v>24.0</v>
      </c>
      <c r="L582" s="24">
        <v>31.0</v>
      </c>
      <c r="M582" s="24" t="str">
        <f>IFERROR(VLOOKUP(D582,'Chủ đề bài nguồn'!$A$2:$C$735,3,0),"Khác")</f>
        <v>Tài khoản &amp; ngân hàng số</v>
      </c>
      <c r="N582" s="24"/>
    </row>
    <row r="583">
      <c r="A583" s="15">
        <v>581.0</v>
      </c>
      <c r="B583" s="16" t="s">
        <v>893</v>
      </c>
      <c r="C583" s="18" t="s">
        <v>2811</v>
      </c>
      <c r="D583" s="16" t="s">
        <v>2276</v>
      </c>
      <c r="E583" s="16" t="s">
        <v>2813</v>
      </c>
      <c r="F583" s="16" t="s">
        <v>2814</v>
      </c>
      <c r="G583" s="16" t="s">
        <v>2815</v>
      </c>
      <c r="H583" s="20" t="s">
        <v>69</v>
      </c>
      <c r="I583" s="21" t="s">
        <v>70</v>
      </c>
      <c r="J583" s="22" t="s">
        <v>2817</v>
      </c>
      <c r="K583" s="23">
        <v>25.0</v>
      </c>
      <c r="L583" s="24">
        <v>10.0</v>
      </c>
      <c r="M583" s="24" t="str">
        <f>IFERROR(VLOOKUP(D583,'Chủ đề bài nguồn'!$A$2:$C$735,3,0),"Khác")</f>
        <v>Ngoại tệ &amp; chuyển tiền quốc tế</v>
      </c>
      <c r="N583" s="24"/>
    </row>
    <row r="584">
      <c r="A584" s="15">
        <v>582.0</v>
      </c>
      <c r="B584" s="16" t="s">
        <v>893</v>
      </c>
      <c r="C584" s="18" t="s">
        <v>2811</v>
      </c>
      <c r="D584" s="16" t="s">
        <v>2131</v>
      </c>
      <c r="E584" s="16" t="s">
        <v>2821</v>
      </c>
      <c r="F584" s="16" t="s">
        <v>2823</v>
      </c>
      <c r="G584" s="16" t="s">
        <v>2824</v>
      </c>
      <c r="H584" s="20" t="s">
        <v>69</v>
      </c>
      <c r="I584" s="21" t="s">
        <v>70</v>
      </c>
      <c r="J584" s="22" t="s">
        <v>71</v>
      </c>
      <c r="K584" s="23">
        <v>25.0</v>
      </c>
      <c r="L584" s="24">
        <v>10.0</v>
      </c>
      <c r="M584" s="24" t="str">
        <f>IFERROR(VLOOKUP(D584,'Chủ đề bài nguồn'!$A$2:$C$735,3,0),"Khác")</f>
        <v>Thẻ ATM &amp; thẻ ghi nợ</v>
      </c>
      <c r="N584" s="24"/>
    </row>
    <row r="585">
      <c r="A585" s="15">
        <v>583.0</v>
      </c>
      <c r="B585" s="16" t="s">
        <v>893</v>
      </c>
      <c r="C585" s="18" t="s">
        <v>2811</v>
      </c>
      <c r="D585" s="16" t="s">
        <v>2405</v>
      </c>
      <c r="E585" s="16" t="s">
        <v>2830</v>
      </c>
      <c r="F585" s="16" t="s">
        <v>2831</v>
      </c>
      <c r="G585" s="16" t="s">
        <v>2824</v>
      </c>
      <c r="H585" s="20" t="s">
        <v>69</v>
      </c>
      <c r="I585" s="21" t="s">
        <v>70</v>
      </c>
      <c r="J585" s="22" t="s">
        <v>2832</v>
      </c>
      <c r="K585" s="23">
        <v>25.0</v>
      </c>
      <c r="L585" s="24">
        <v>10.0</v>
      </c>
      <c r="M585" s="24" t="str">
        <f>IFERROR(VLOOKUP(D585,'Chủ đề bài nguồn'!$A$2:$C$735,3,0),"Khác")</f>
        <v>Thẻ ATM &amp; thẻ ghi nợ</v>
      </c>
      <c r="N585" s="24"/>
    </row>
    <row r="586">
      <c r="A586" s="15">
        <v>584.0</v>
      </c>
      <c r="B586" s="16" t="s">
        <v>893</v>
      </c>
      <c r="C586" s="18" t="s">
        <v>2811</v>
      </c>
      <c r="D586" s="16" t="s">
        <v>1786</v>
      </c>
      <c r="E586" s="16" t="s">
        <v>2004</v>
      </c>
      <c r="F586" s="16" t="s">
        <v>2836</v>
      </c>
      <c r="G586" s="16" t="s">
        <v>2824</v>
      </c>
      <c r="H586" s="20" t="s">
        <v>69</v>
      </c>
      <c r="I586" s="21" t="s">
        <v>70</v>
      </c>
      <c r="J586" s="22" t="s">
        <v>71</v>
      </c>
      <c r="K586" s="23">
        <v>25.0</v>
      </c>
      <c r="L586" s="24">
        <v>10.0</v>
      </c>
      <c r="M586" s="24" t="str">
        <f>IFERROR(VLOOKUP(D586,'Chủ đề bài nguồn'!$A$2:$C$735,3,0),"Khác")</f>
        <v>Thẻ ATM &amp; thẻ ghi nợ</v>
      </c>
      <c r="N586" s="24"/>
    </row>
    <row r="587">
      <c r="A587" s="15">
        <v>585.0</v>
      </c>
      <c r="B587" s="39" t="s">
        <v>893</v>
      </c>
      <c r="C587" s="18" t="s">
        <v>2811</v>
      </c>
      <c r="D587" s="39" t="s">
        <v>1557</v>
      </c>
      <c r="E587" s="16" t="s">
        <v>2843</v>
      </c>
      <c r="F587" s="16" t="s">
        <v>2844</v>
      </c>
      <c r="G587" s="16" t="s">
        <v>2824</v>
      </c>
      <c r="H587" s="20" t="s">
        <v>69</v>
      </c>
      <c r="I587" s="21" t="s">
        <v>70</v>
      </c>
      <c r="J587" s="22" t="s">
        <v>71</v>
      </c>
      <c r="K587" s="23">
        <v>25.0</v>
      </c>
      <c r="L587" s="24">
        <v>10.0</v>
      </c>
      <c r="M587" s="24" t="str">
        <f>IFERROR(VLOOKUP(D587,'Chủ đề bài nguồn'!$A$2:$C$735,3,0),"Khác")</f>
        <v>Thẻ ATM &amp; thẻ ghi nợ</v>
      </c>
      <c r="N587" s="24"/>
    </row>
    <row r="588">
      <c r="A588" s="15">
        <v>586.0</v>
      </c>
      <c r="B588" s="39" t="s">
        <v>893</v>
      </c>
      <c r="C588" s="18" t="s">
        <v>2811</v>
      </c>
      <c r="D588" s="39" t="s">
        <v>2084</v>
      </c>
      <c r="E588" s="16" t="s">
        <v>2852</v>
      </c>
      <c r="F588" s="16" t="s">
        <v>2853</v>
      </c>
      <c r="G588" s="16" t="s">
        <v>2824</v>
      </c>
      <c r="H588" s="20" t="s">
        <v>69</v>
      </c>
      <c r="I588" s="21" t="s">
        <v>70</v>
      </c>
      <c r="J588" s="22" t="s">
        <v>71</v>
      </c>
      <c r="K588" s="23">
        <v>25.0</v>
      </c>
      <c r="L588" s="24">
        <v>10.0</v>
      </c>
      <c r="M588" s="24" t="str">
        <f>IFERROR(VLOOKUP(D588,'Chủ đề bài nguồn'!$A$2:$C$735,3,0),"Khác")</f>
        <v>Thẻ tín dụng</v>
      </c>
      <c r="N588" s="24"/>
    </row>
    <row r="589">
      <c r="A589" s="15">
        <v>587.0</v>
      </c>
      <c r="B589" s="16" t="s">
        <v>893</v>
      </c>
      <c r="C589" s="18" t="s">
        <v>1410</v>
      </c>
      <c r="D589" s="16" t="s">
        <v>1276</v>
      </c>
      <c r="E589" s="16" t="s">
        <v>2385</v>
      </c>
      <c r="F589" s="16" t="s">
        <v>2868</v>
      </c>
      <c r="G589" s="16" t="s">
        <v>2869</v>
      </c>
      <c r="H589" s="20" t="s">
        <v>69</v>
      </c>
      <c r="I589" s="21" t="s">
        <v>70</v>
      </c>
      <c r="J589" s="22" t="s">
        <v>71</v>
      </c>
      <c r="K589" s="23">
        <v>25.0</v>
      </c>
      <c r="L589" s="24">
        <v>11.0</v>
      </c>
      <c r="M589" s="24" t="str">
        <f>IFERROR(VLOOKUP(D589,'Chủ đề bài nguồn'!$A$2:$C$735,3,0),"Khác")</f>
        <v>Tài khoản &amp; ngân hàng số</v>
      </c>
      <c r="N589" s="24"/>
    </row>
    <row r="590">
      <c r="A590" s="15">
        <v>588.0</v>
      </c>
      <c r="B590" s="16" t="s">
        <v>893</v>
      </c>
      <c r="C590" s="18" t="s">
        <v>2880</v>
      </c>
      <c r="D590" s="16" t="s">
        <v>1090</v>
      </c>
      <c r="E590" s="16" t="s">
        <v>2881</v>
      </c>
      <c r="F590" s="16" t="s">
        <v>2882</v>
      </c>
      <c r="G590" s="16" t="s">
        <v>2883</v>
      </c>
      <c r="H590" s="20" t="s">
        <v>155</v>
      </c>
      <c r="I590" s="21" t="s">
        <v>70</v>
      </c>
      <c r="J590" s="22" t="s">
        <v>71</v>
      </c>
      <c r="K590" s="23">
        <v>25.0</v>
      </c>
      <c r="L590" s="24">
        <v>21.0</v>
      </c>
      <c r="M590" s="24" t="str">
        <f>IFERROR(VLOOKUP(D590,'Chủ đề bài nguồn'!$A$2:$C$735,3,0),"Khác")</f>
        <v>Thanh toán, chuyển khoản &amp; QR</v>
      </c>
      <c r="N590" s="24"/>
    </row>
    <row r="591">
      <c r="A591" s="15">
        <v>589.0</v>
      </c>
      <c r="B591" s="16" t="s">
        <v>893</v>
      </c>
      <c r="C591" s="18" t="s">
        <v>2880</v>
      </c>
      <c r="D591" s="16" t="s">
        <v>2162</v>
      </c>
      <c r="E591" s="16" t="s">
        <v>2889</v>
      </c>
      <c r="F591" s="16" t="s">
        <v>2890</v>
      </c>
      <c r="G591" s="16" t="s">
        <v>2891</v>
      </c>
      <c r="H591" s="20" t="s">
        <v>155</v>
      </c>
      <c r="I591" s="21" t="s">
        <v>70</v>
      </c>
      <c r="J591" s="22" t="s">
        <v>71</v>
      </c>
      <c r="K591" s="23">
        <v>25.0</v>
      </c>
      <c r="L591" s="24">
        <v>21.0</v>
      </c>
      <c r="M591" s="24" t="str">
        <f>IFERROR(VLOOKUP(D591,'Chủ đề bài nguồn'!$A$2:$C$735,3,0),"Khác")</f>
        <v>Hộ kinh doanh &amp; bán hàng</v>
      </c>
      <c r="N591" s="24"/>
    </row>
    <row r="592">
      <c r="A592" s="15">
        <v>590.0</v>
      </c>
      <c r="B592" s="16" t="s">
        <v>893</v>
      </c>
      <c r="C592" s="18" t="s">
        <v>2880</v>
      </c>
      <c r="D592" s="16" t="s">
        <v>2893</v>
      </c>
      <c r="E592" s="16" t="s">
        <v>2895</v>
      </c>
      <c r="F592" s="16" t="s">
        <v>2896</v>
      </c>
      <c r="G592" s="16" t="s">
        <v>2897</v>
      </c>
      <c r="H592" s="20" t="s">
        <v>155</v>
      </c>
      <c r="I592" s="21" t="s">
        <v>70</v>
      </c>
      <c r="J592" s="22" t="s">
        <v>71</v>
      </c>
      <c r="K592" s="23">
        <v>25.0</v>
      </c>
      <c r="L592" s="24">
        <v>21.0</v>
      </c>
      <c r="M592" s="24" t="str">
        <f>IFERROR(VLOOKUP(D592,'Chủ đề bài nguồn'!$A$2:$C$735,3,0),"Khác")</f>
        <v>Thanh toán, chuyển khoản &amp; QR</v>
      </c>
      <c r="N592" s="24"/>
    </row>
    <row r="593">
      <c r="A593" s="15">
        <v>591.0</v>
      </c>
      <c r="B593" s="16" t="s">
        <v>893</v>
      </c>
      <c r="C593" s="18" t="s">
        <v>2880</v>
      </c>
      <c r="D593" s="16" t="s">
        <v>2023</v>
      </c>
      <c r="E593" s="16" t="s">
        <v>2901</v>
      </c>
      <c r="F593" s="16" t="s">
        <v>2903</v>
      </c>
      <c r="G593" s="16" t="s">
        <v>2904</v>
      </c>
      <c r="H593" s="20" t="s">
        <v>155</v>
      </c>
      <c r="I593" s="21" t="s">
        <v>70</v>
      </c>
      <c r="J593" s="22" t="s">
        <v>71</v>
      </c>
      <c r="K593" s="23">
        <v>25.0</v>
      </c>
      <c r="L593" s="24">
        <v>21.0</v>
      </c>
      <c r="M593" s="24" t="str">
        <f>IFERROR(VLOOKUP(D593,'Chủ đề bài nguồn'!$A$2:$C$735,3,0),"Khác")</f>
        <v>Thanh toán, chuyển khoản &amp; QR</v>
      </c>
      <c r="N593" s="24"/>
    </row>
    <row r="594">
      <c r="A594" s="15">
        <v>592.0</v>
      </c>
      <c r="B594" s="16" t="s">
        <v>893</v>
      </c>
      <c r="C594" s="18" t="s">
        <v>1410</v>
      </c>
      <c r="D594" s="16" t="s">
        <v>2907</v>
      </c>
      <c r="E594" s="16" t="s">
        <v>2908</v>
      </c>
      <c r="F594" s="16" t="s">
        <v>2909</v>
      </c>
      <c r="G594" s="16" t="s">
        <v>2910</v>
      </c>
      <c r="H594" s="20" t="s">
        <v>155</v>
      </c>
      <c r="I594" s="21" t="s">
        <v>70</v>
      </c>
      <c r="J594" s="22" t="s">
        <v>71</v>
      </c>
      <c r="K594" s="23">
        <v>25.0</v>
      </c>
      <c r="L594" s="24">
        <v>21.0</v>
      </c>
      <c r="M594" s="24" t="str">
        <f>IFERROR(VLOOKUP(D594,'Chủ đề bài nguồn'!$A$2:$C$735,3,0),"Khác")</f>
        <v>Thanh toán, chuyển khoản &amp; QR</v>
      </c>
      <c r="N594" s="24"/>
    </row>
    <row r="595">
      <c r="A595" s="15">
        <v>593.0</v>
      </c>
      <c r="B595" s="16" t="s">
        <v>893</v>
      </c>
      <c r="C595" s="18" t="s">
        <v>2811</v>
      </c>
      <c r="D595" s="16" t="s">
        <v>2915</v>
      </c>
      <c r="E595" s="16" t="s">
        <v>2916</v>
      </c>
      <c r="F595" s="16" t="s">
        <v>2917</v>
      </c>
      <c r="G595" s="16" t="s">
        <v>2918</v>
      </c>
      <c r="H595" s="20" t="s">
        <v>155</v>
      </c>
      <c r="I595" s="21" t="s">
        <v>70</v>
      </c>
      <c r="J595" s="22" t="s">
        <v>71</v>
      </c>
      <c r="K595" s="23">
        <v>25.0</v>
      </c>
      <c r="L595" s="24">
        <v>21.0</v>
      </c>
      <c r="M595" s="24" t="str">
        <f>IFERROR(VLOOKUP(D595,'Chủ đề bài nguồn'!$A$2:$C$735,3,0),"Khác")</f>
        <v>Thẻ ATM &amp; thẻ ghi nợ</v>
      </c>
      <c r="N595" s="24"/>
    </row>
    <row r="596">
      <c r="A596" s="15">
        <v>594.0</v>
      </c>
      <c r="B596" s="16" t="s">
        <v>893</v>
      </c>
      <c r="C596" s="18" t="s">
        <v>2811</v>
      </c>
      <c r="D596" s="16" t="s">
        <v>1633</v>
      </c>
      <c r="E596" s="16" t="s">
        <v>2924</v>
      </c>
      <c r="F596" s="16" t="s">
        <v>2925</v>
      </c>
      <c r="G596" s="16" t="s">
        <v>2926</v>
      </c>
      <c r="H596" s="20" t="s">
        <v>155</v>
      </c>
      <c r="I596" s="21" t="s">
        <v>70</v>
      </c>
      <c r="J596" s="22" t="s">
        <v>71</v>
      </c>
      <c r="K596" s="23">
        <v>25.0</v>
      </c>
      <c r="L596" s="24">
        <v>21.0</v>
      </c>
      <c r="M596" s="24" t="str">
        <f>IFERROR(VLOOKUP(D596,'Chủ đề bài nguồn'!$A$2:$C$735,3,0),"Khác")</f>
        <v>Thẻ ATM &amp; thẻ ghi nợ</v>
      </c>
      <c r="N596" s="24"/>
    </row>
    <row r="597">
      <c r="A597" s="15">
        <v>595.0</v>
      </c>
      <c r="B597" s="16" t="s">
        <v>893</v>
      </c>
      <c r="C597" s="18" t="s">
        <v>2811</v>
      </c>
      <c r="D597" s="16" t="s">
        <v>2933</v>
      </c>
      <c r="E597" s="16" t="s">
        <v>2934</v>
      </c>
      <c r="F597" s="16" t="s">
        <v>2935</v>
      </c>
      <c r="G597" s="16" t="s">
        <v>2937</v>
      </c>
      <c r="H597" s="20" t="s">
        <v>155</v>
      </c>
      <c r="I597" s="21" t="s">
        <v>70</v>
      </c>
      <c r="J597" s="22" t="s">
        <v>71</v>
      </c>
      <c r="K597" s="23">
        <v>25.0</v>
      </c>
      <c r="L597" s="24">
        <v>21.0</v>
      </c>
      <c r="M597" s="24" t="str">
        <f>IFERROR(VLOOKUP(D597,'Chủ đề bài nguồn'!$A$2:$C$735,3,0),"Khác")</f>
        <v>Thẻ tín dụng</v>
      </c>
      <c r="N597" s="24"/>
    </row>
    <row r="598">
      <c r="A598" s="15">
        <v>596.0</v>
      </c>
      <c r="B598" s="16" t="s">
        <v>893</v>
      </c>
      <c r="C598" s="18" t="s">
        <v>1410</v>
      </c>
      <c r="D598" s="16" t="s">
        <v>987</v>
      </c>
      <c r="E598" s="16" t="s">
        <v>710</v>
      </c>
      <c r="F598" s="16" t="s">
        <v>2942</v>
      </c>
      <c r="G598" s="16" t="s">
        <v>2943</v>
      </c>
      <c r="H598" s="20" t="s">
        <v>229</v>
      </c>
      <c r="I598" s="21" t="s">
        <v>70</v>
      </c>
      <c r="J598" s="22" t="s">
        <v>2945</v>
      </c>
      <c r="K598" s="23">
        <v>25.0</v>
      </c>
      <c r="L598" s="24">
        <v>30.0</v>
      </c>
      <c r="M598" s="24" t="str">
        <f>IFERROR(VLOOKUP(D598,'Chủ đề bài nguồn'!$A$2:$C$735,3,0),"Khác")</f>
        <v>Hộ kinh doanh &amp; bán hàng</v>
      </c>
      <c r="N598" s="24"/>
    </row>
    <row r="599">
      <c r="A599" s="15">
        <v>597.0</v>
      </c>
      <c r="B599" s="16" t="s">
        <v>893</v>
      </c>
      <c r="C599" s="18" t="s">
        <v>2880</v>
      </c>
      <c r="D599" s="16" t="s">
        <v>2951</v>
      </c>
      <c r="E599" s="16" t="s">
        <v>2952</v>
      </c>
      <c r="F599" s="16" t="s">
        <v>2953</v>
      </c>
      <c r="G599" s="16" t="s">
        <v>2954</v>
      </c>
      <c r="H599" s="20" t="s">
        <v>229</v>
      </c>
      <c r="I599" s="21" t="s">
        <v>70</v>
      </c>
      <c r="J599" s="22" t="s">
        <v>71</v>
      </c>
      <c r="K599" s="23">
        <v>25.0</v>
      </c>
      <c r="L599" s="24">
        <v>31.0</v>
      </c>
      <c r="M599" s="24" t="str">
        <f>IFERROR(VLOOKUP(D599,'Chủ đề bài nguồn'!$A$2:$C$735,3,0),"Khác")</f>
        <v>Thanh toán, chuyển khoản &amp; QR</v>
      </c>
      <c r="N599" s="24"/>
    </row>
    <row r="600">
      <c r="A600" s="15">
        <v>598.0</v>
      </c>
      <c r="B600" s="16" t="s">
        <v>893</v>
      </c>
      <c r="C600" s="18" t="s">
        <v>2811</v>
      </c>
      <c r="D600" s="16" t="s">
        <v>2961</v>
      </c>
      <c r="E600" s="16" t="s">
        <v>2962</v>
      </c>
      <c r="F600" s="16" t="s">
        <v>2963</v>
      </c>
      <c r="G600" s="16" t="s">
        <v>2964</v>
      </c>
      <c r="H600" s="20" t="s">
        <v>229</v>
      </c>
      <c r="I600" s="21" t="s">
        <v>70</v>
      </c>
      <c r="J600" s="22" t="s">
        <v>2965</v>
      </c>
      <c r="K600" s="23">
        <v>25.0</v>
      </c>
      <c r="L600" s="24">
        <v>31.0</v>
      </c>
      <c r="M600" s="24" t="str">
        <f>IFERROR(VLOOKUP(D600,'Chủ đề bài nguồn'!$A$2:$C$735,3,0),"Khác")</f>
        <v>Doanh nghiệp (tài khoản, vay, tài chính)</v>
      </c>
      <c r="N600" s="24"/>
    </row>
    <row r="601">
      <c r="A601" s="15">
        <v>599.0</v>
      </c>
      <c r="B601" s="16" t="s">
        <v>893</v>
      </c>
      <c r="C601" s="18" t="s">
        <v>2811</v>
      </c>
      <c r="D601" s="16" t="s">
        <v>2911</v>
      </c>
      <c r="E601" s="16" t="s">
        <v>710</v>
      </c>
      <c r="F601" s="16" t="s">
        <v>2971</v>
      </c>
      <c r="G601" s="16" t="s">
        <v>2972</v>
      </c>
      <c r="H601" s="20" t="s">
        <v>229</v>
      </c>
      <c r="I601" s="21" t="s">
        <v>70</v>
      </c>
      <c r="J601" s="22" t="s">
        <v>71</v>
      </c>
      <c r="K601" s="23">
        <v>25.0</v>
      </c>
      <c r="L601" s="24">
        <v>31.0</v>
      </c>
      <c r="M601" s="24" t="str">
        <f>IFERROR(VLOOKUP(D601,'Chủ đề bài nguồn'!$A$2:$C$735,3,0),"Khác")</f>
        <v>Thanh toán, chuyển khoản &amp; QR</v>
      </c>
      <c r="N601" s="24"/>
    </row>
    <row r="602">
      <c r="A602" s="15">
        <v>600.0</v>
      </c>
      <c r="B602" s="16" t="s">
        <v>893</v>
      </c>
      <c r="C602" s="18" t="s">
        <v>2811</v>
      </c>
      <c r="D602" s="16" t="s">
        <v>2107</v>
      </c>
      <c r="E602" s="16" t="s">
        <v>2311</v>
      </c>
      <c r="F602" s="16" t="s">
        <v>2974</v>
      </c>
      <c r="G602" s="16" t="s">
        <v>2975</v>
      </c>
      <c r="H602" s="20" t="s">
        <v>229</v>
      </c>
      <c r="I602" s="21" t="s">
        <v>70</v>
      </c>
      <c r="J602" s="22" t="s">
        <v>71</v>
      </c>
      <c r="K602" s="23">
        <v>25.0</v>
      </c>
      <c r="L602" s="24">
        <v>31.0</v>
      </c>
      <c r="M602" s="24" t="str">
        <f>IFERROR(VLOOKUP(D602,'Chủ đề bài nguồn'!$A$2:$C$735,3,0),"Khác")</f>
        <v>Thẻ ATM &amp; thẻ ghi nợ</v>
      </c>
      <c r="N602" s="24"/>
    </row>
    <row r="603">
      <c r="A603" s="15">
        <v>601.0</v>
      </c>
      <c r="B603" s="16" t="s">
        <v>900</v>
      </c>
      <c r="C603" s="18" t="s">
        <v>2977</v>
      </c>
      <c r="D603" s="16" t="s">
        <v>1742</v>
      </c>
      <c r="E603" s="16" t="s">
        <v>2978</v>
      </c>
      <c r="F603" s="16" t="s">
        <v>2979</v>
      </c>
      <c r="G603" s="16" t="s">
        <v>2980</v>
      </c>
      <c r="H603" s="20" t="s">
        <v>69</v>
      </c>
      <c r="I603" s="21" t="s">
        <v>70</v>
      </c>
      <c r="J603" s="22" t="s">
        <v>71</v>
      </c>
      <c r="K603" s="23">
        <v>26.0</v>
      </c>
      <c r="L603" s="24">
        <v>11.0</v>
      </c>
      <c r="M603" s="24" t="str">
        <f>IFERROR(VLOOKUP(D603,'Chủ đề bài nguồn'!$A$2:$C$735,3,0),"Khác")</f>
        <v>Thanh toán, chuyển khoản &amp; QR</v>
      </c>
      <c r="N603" s="24"/>
    </row>
    <row r="604">
      <c r="A604" s="15">
        <v>602.0</v>
      </c>
      <c r="B604" s="16" t="s">
        <v>900</v>
      </c>
      <c r="C604" s="18" t="s">
        <v>2977</v>
      </c>
      <c r="D604" s="16" t="s">
        <v>2153</v>
      </c>
      <c r="E604" s="16" t="s">
        <v>2983</v>
      </c>
      <c r="F604" s="16" t="s">
        <v>2984</v>
      </c>
      <c r="G604" s="16" t="s">
        <v>2986</v>
      </c>
      <c r="H604" s="20" t="s">
        <v>69</v>
      </c>
      <c r="I604" s="21" t="s">
        <v>70</v>
      </c>
      <c r="J604" s="22" t="s">
        <v>71</v>
      </c>
      <c r="K604" s="23">
        <v>26.0</v>
      </c>
      <c r="L604" s="24">
        <v>11.0</v>
      </c>
      <c r="M604" s="24" t="str">
        <f>IFERROR(VLOOKUP(D604,'Chủ đề bài nguồn'!$A$2:$C$735,3,0),"Khác")</f>
        <v>Tài khoản &amp; ngân hàng số</v>
      </c>
      <c r="N604" s="24"/>
    </row>
    <row r="605">
      <c r="A605" s="15">
        <v>603.0</v>
      </c>
      <c r="B605" s="16" t="s">
        <v>900</v>
      </c>
      <c r="C605" s="18" t="s">
        <v>2977</v>
      </c>
      <c r="D605" s="16" t="s">
        <v>1716</v>
      </c>
      <c r="E605" s="16" t="s">
        <v>2993</v>
      </c>
      <c r="F605" s="16" t="s">
        <v>2995</v>
      </c>
      <c r="G605" s="16" t="s">
        <v>2997</v>
      </c>
      <c r="H605" s="20" t="s">
        <v>69</v>
      </c>
      <c r="I605" s="21" t="s">
        <v>70</v>
      </c>
      <c r="J605" s="22" t="s">
        <v>71</v>
      </c>
      <c r="K605" s="23">
        <v>26.0</v>
      </c>
      <c r="L605" s="24">
        <v>11.0</v>
      </c>
      <c r="M605" s="24" t="str">
        <f>IFERROR(VLOOKUP(D605,'Chủ đề bài nguồn'!$A$2:$C$735,3,0),"Khác")</f>
        <v>Tài khoản &amp; ngân hàng số</v>
      </c>
      <c r="N605" s="24"/>
    </row>
    <row r="606">
      <c r="A606" s="15">
        <v>604.0</v>
      </c>
      <c r="B606" s="16" t="s">
        <v>900</v>
      </c>
      <c r="C606" s="18" t="s">
        <v>2977</v>
      </c>
      <c r="D606" s="16" t="s">
        <v>799</v>
      </c>
      <c r="E606" s="16" t="s">
        <v>3000</v>
      </c>
      <c r="F606" s="16" t="s">
        <v>3001</v>
      </c>
      <c r="G606" s="16" t="s">
        <v>3003</v>
      </c>
      <c r="H606" s="20" t="s">
        <v>69</v>
      </c>
      <c r="I606" s="21" t="s">
        <v>70</v>
      </c>
      <c r="J606" s="22" t="s">
        <v>994</v>
      </c>
      <c r="K606" s="23">
        <v>26.0</v>
      </c>
      <c r="L606" s="24">
        <v>11.0</v>
      </c>
      <c r="M606" s="24" t="str">
        <f>IFERROR(VLOOKUP(D606,'Chủ đề bài nguồn'!$A$2:$C$735,3,0),"Khác")</f>
        <v>Tài khoản &amp; ngân hàng số</v>
      </c>
      <c r="N606" s="24"/>
    </row>
    <row r="607">
      <c r="A607" s="15">
        <v>605.0</v>
      </c>
      <c r="B607" s="16" t="s">
        <v>900</v>
      </c>
      <c r="C607" s="18" t="s">
        <v>3006</v>
      </c>
      <c r="D607" s="16" t="s">
        <v>3009</v>
      </c>
      <c r="E607" s="16" t="s">
        <v>3010</v>
      </c>
      <c r="F607" s="16" t="s">
        <v>3011</v>
      </c>
      <c r="G607" s="16" t="s">
        <v>3012</v>
      </c>
      <c r="H607" s="20" t="s">
        <v>155</v>
      </c>
      <c r="I607" s="21" t="s">
        <v>70</v>
      </c>
      <c r="J607" s="22" t="s">
        <v>71</v>
      </c>
      <c r="K607" s="23">
        <v>26.0</v>
      </c>
      <c r="L607" s="24">
        <v>21.0</v>
      </c>
      <c r="M607" s="24" t="str">
        <f>IFERROR(VLOOKUP(D607,'Chủ đề bài nguồn'!$A$2:$C$735,3,0),"Khác")</f>
        <v>Thẻ tín dụng</v>
      </c>
      <c r="N607" s="24"/>
    </row>
    <row r="608">
      <c r="A608" s="15">
        <v>606.0</v>
      </c>
      <c r="B608" s="16" t="s">
        <v>900</v>
      </c>
      <c r="C608" s="18" t="s">
        <v>3006</v>
      </c>
      <c r="D608" s="16" t="s">
        <v>374</v>
      </c>
      <c r="E608" s="16" t="s">
        <v>710</v>
      </c>
      <c r="F608" s="16" t="s">
        <v>3014</v>
      </c>
      <c r="G608" s="16" t="s">
        <v>3015</v>
      </c>
      <c r="H608" s="20" t="s">
        <v>155</v>
      </c>
      <c r="I608" s="21" t="s">
        <v>70</v>
      </c>
      <c r="J608" s="22" t="s">
        <v>3016</v>
      </c>
      <c r="K608" s="23">
        <v>26.0</v>
      </c>
      <c r="L608" s="24">
        <v>21.0</v>
      </c>
      <c r="M608" s="24" t="str">
        <f>IFERROR(VLOOKUP(D608,'Chủ đề bài nguồn'!$A$2:$C$735,3,0),"Khác")</f>
        <v>Vay tiêu dùng &amp; tín chấp</v>
      </c>
      <c r="N608" s="24"/>
    </row>
    <row r="609">
      <c r="A609" s="15">
        <v>607.0</v>
      </c>
      <c r="B609" s="16" t="s">
        <v>900</v>
      </c>
      <c r="C609" s="18" t="s">
        <v>2977</v>
      </c>
      <c r="D609" s="16" t="s">
        <v>1476</v>
      </c>
      <c r="E609" s="16" t="s">
        <v>3021</v>
      </c>
      <c r="F609" s="16" t="s">
        <v>3001</v>
      </c>
      <c r="G609" s="16" t="s">
        <v>3022</v>
      </c>
      <c r="H609" s="20" t="s">
        <v>155</v>
      </c>
      <c r="I609" s="21" t="s">
        <v>70</v>
      </c>
      <c r="J609" s="22" t="s">
        <v>994</v>
      </c>
      <c r="K609" s="23">
        <v>26.0</v>
      </c>
      <c r="L609" s="24">
        <v>21.0</v>
      </c>
      <c r="M609" s="24" t="str">
        <f>IFERROR(VLOOKUP(D609,'Chủ đề bài nguồn'!$A$2:$C$735,3,0),"Khác")</f>
        <v>Tài khoản &amp; ngân hàng số</v>
      </c>
      <c r="N609" s="24"/>
    </row>
    <row r="610">
      <c r="A610" s="15">
        <v>608.0</v>
      </c>
      <c r="B610" s="16" t="s">
        <v>900</v>
      </c>
      <c r="C610" s="18" t="s">
        <v>2977</v>
      </c>
      <c r="D610" s="16" t="s">
        <v>3027</v>
      </c>
      <c r="E610" s="16" t="s">
        <v>3028</v>
      </c>
      <c r="F610" s="16" t="s">
        <v>3030</v>
      </c>
      <c r="G610" s="16" t="s">
        <v>3031</v>
      </c>
      <c r="H610" s="20" t="s">
        <v>155</v>
      </c>
      <c r="I610" s="21" t="s">
        <v>70</v>
      </c>
      <c r="J610" s="22" t="s">
        <v>71</v>
      </c>
      <c r="K610" s="23">
        <v>26.0</v>
      </c>
      <c r="L610" s="24">
        <v>21.0</v>
      </c>
      <c r="M610" s="24" t="str">
        <f>IFERROR(VLOOKUP(D610,'Chủ đề bài nguồn'!$A$2:$C$735,3,0),"Khác")</f>
        <v>Thẻ tín dụng</v>
      </c>
      <c r="N610" s="24"/>
    </row>
    <row r="611">
      <c r="A611" s="15">
        <v>609.0</v>
      </c>
      <c r="B611" s="16" t="s">
        <v>900</v>
      </c>
      <c r="C611" s="18" t="s">
        <v>1417</v>
      </c>
      <c r="D611" s="16" t="s">
        <v>2775</v>
      </c>
      <c r="E611" s="16" t="s">
        <v>3035</v>
      </c>
      <c r="F611" s="16" t="s">
        <v>3036</v>
      </c>
      <c r="G611" s="16" t="s">
        <v>3037</v>
      </c>
      <c r="H611" s="20" t="s">
        <v>155</v>
      </c>
      <c r="I611" s="21" t="s">
        <v>70</v>
      </c>
      <c r="J611" s="22" t="s">
        <v>71</v>
      </c>
      <c r="K611" s="23">
        <v>26.0</v>
      </c>
      <c r="L611" s="24">
        <v>21.0</v>
      </c>
      <c r="M611" s="24" t="str">
        <f>IFERROR(VLOOKUP(D611,'Chủ đề bài nguồn'!$A$2:$C$735,3,0),"Khác")</f>
        <v>Hộ kinh doanh &amp; bán hàng</v>
      </c>
      <c r="N611" s="24"/>
    </row>
    <row r="612">
      <c r="A612" s="15">
        <v>610.0</v>
      </c>
      <c r="B612" s="16" t="s">
        <v>900</v>
      </c>
      <c r="C612" s="18" t="s">
        <v>1417</v>
      </c>
      <c r="D612" s="16" t="s">
        <v>1779</v>
      </c>
      <c r="E612" s="16" t="s">
        <v>3042</v>
      </c>
      <c r="F612" s="16" t="s">
        <v>3043</v>
      </c>
      <c r="G612" s="16" t="s">
        <v>3044</v>
      </c>
      <c r="H612" s="20" t="s">
        <v>155</v>
      </c>
      <c r="I612" s="21" t="s">
        <v>70</v>
      </c>
      <c r="J612" s="22" t="s">
        <v>71</v>
      </c>
      <c r="K612" s="23">
        <v>26.0</v>
      </c>
      <c r="L612" s="24">
        <v>21.0</v>
      </c>
      <c r="M612" s="24" t="str">
        <f>IFERROR(VLOOKUP(D612,'Chủ đề bài nguồn'!$A$2:$C$735,3,0),"Khác")</f>
        <v>Tài khoản &amp; ngân hàng số</v>
      </c>
      <c r="N612" s="24"/>
    </row>
    <row r="613">
      <c r="A613" s="15">
        <v>611.0</v>
      </c>
      <c r="B613" s="39" t="s">
        <v>900</v>
      </c>
      <c r="C613" s="18" t="s">
        <v>1417</v>
      </c>
      <c r="D613" s="39" t="s">
        <v>2619</v>
      </c>
      <c r="E613" s="16" t="s">
        <v>2620</v>
      </c>
      <c r="F613" s="16" t="s">
        <v>3060</v>
      </c>
      <c r="G613" s="16" t="s">
        <v>3061</v>
      </c>
      <c r="H613" s="20" t="s">
        <v>155</v>
      </c>
      <c r="I613" s="21" t="s">
        <v>70</v>
      </c>
      <c r="J613" s="22" t="s">
        <v>994</v>
      </c>
      <c r="K613" s="23">
        <v>26.0</v>
      </c>
      <c r="L613" s="24">
        <v>21.0</v>
      </c>
      <c r="M613" s="24" t="str">
        <f>IFERROR(VLOOKUP(D613,'Chủ đề bài nguồn'!$A$2:$C$735,3,0),"Khác")</f>
        <v>Tài khoản &amp; ngân hàng số</v>
      </c>
      <c r="N613" s="24"/>
    </row>
    <row r="614">
      <c r="A614" s="15">
        <v>612.0</v>
      </c>
      <c r="B614" s="16" t="s">
        <v>900</v>
      </c>
      <c r="C614" s="18" t="s">
        <v>3006</v>
      </c>
      <c r="D614" s="16" t="s">
        <v>1658</v>
      </c>
      <c r="E614" s="16" t="s">
        <v>3068</v>
      </c>
      <c r="F614" s="16" t="s">
        <v>3069</v>
      </c>
      <c r="G614" s="16" t="s">
        <v>3070</v>
      </c>
      <c r="H614" s="20" t="s">
        <v>229</v>
      </c>
      <c r="I614" s="21" t="s">
        <v>70</v>
      </c>
      <c r="J614" s="22" t="s">
        <v>3075</v>
      </c>
      <c r="K614" s="23">
        <v>26.0</v>
      </c>
      <c r="L614" s="24">
        <v>31.0</v>
      </c>
      <c r="M614" s="24" t="str">
        <f>IFERROR(VLOOKUP(D614,'Chủ đề bài nguồn'!$A$2:$C$735,3,0),"Khác")</f>
        <v>Tài khoản &amp; ngân hàng số</v>
      </c>
      <c r="N614" s="24"/>
    </row>
    <row r="615">
      <c r="A615" s="15">
        <v>613.0</v>
      </c>
      <c r="B615" s="39" t="s">
        <v>900</v>
      </c>
      <c r="C615" s="18" t="s">
        <v>3006</v>
      </c>
      <c r="D615" s="39" t="s">
        <v>834</v>
      </c>
      <c r="E615" s="16" t="s">
        <v>3087</v>
      </c>
      <c r="F615" s="16" t="s">
        <v>3088</v>
      </c>
      <c r="G615" s="16" t="s">
        <v>3090</v>
      </c>
      <c r="H615" s="20" t="s">
        <v>229</v>
      </c>
      <c r="I615" s="21" t="s">
        <v>70</v>
      </c>
      <c r="J615" s="22" t="s">
        <v>3093</v>
      </c>
      <c r="K615" s="23">
        <v>26.0</v>
      </c>
      <c r="L615" s="24">
        <v>31.0</v>
      </c>
      <c r="M615" s="24" t="str">
        <f>IFERROR(VLOOKUP(D615,'Chủ đề bài nguồn'!$A$2:$C$735,3,0),"Khác")</f>
        <v>Tài khoản &amp; ngân hàng số</v>
      </c>
      <c r="N615" s="24"/>
    </row>
    <row r="616">
      <c r="A616" s="15">
        <v>614.0</v>
      </c>
      <c r="B616" s="39" t="s">
        <v>900</v>
      </c>
      <c r="C616" s="18" t="s">
        <v>3006</v>
      </c>
      <c r="D616" s="39" t="s">
        <v>2093</v>
      </c>
      <c r="E616" s="16" t="s">
        <v>710</v>
      </c>
      <c r="F616" s="16" t="s">
        <v>3106</v>
      </c>
      <c r="G616" s="16" t="s">
        <v>3107</v>
      </c>
      <c r="H616" s="20" t="s">
        <v>229</v>
      </c>
      <c r="I616" s="21" t="s">
        <v>70</v>
      </c>
      <c r="J616" s="22" t="s">
        <v>3108</v>
      </c>
      <c r="K616" s="23">
        <v>26.0</v>
      </c>
      <c r="L616" s="24">
        <v>31.0</v>
      </c>
      <c r="M616" s="24" t="str">
        <f>IFERROR(VLOOKUP(D616,'Chủ đề bài nguồn'!$A$2:$C$735,3,0),"Khác")</f>
        <v>Ngoại tệ &amp; chuyển tiền quốc tế</v>
      </c>
      <c r="N616" s="24"/>
    </row>
    <row r="617">
      <c r="A617" s="15">
        <v>615.0</v>
      </c>
      <c r="B617" s="39" t="s">
        <v>900</v>
      </c>
      <c r="C617" s="18" t="s">
        <v>3006</v>
      </c>
      <c r="D617" s="39" t="s">
        <v>3109</v>
      </c>
      <c r="E617" s="16" t="s">
        <v>3113</v>
      </c>
      <c r="F617" s="16" t="s">
        <v>3114</v>
      </c>
      <c r="G617" s="16" t="s">
        <v>3115</v>
      </c>
      <c r="H617" s="20" t="s">
        <v>229</v>
      </c>
      <c r="I617" s="21" t="s">
        <v>70</v>
      </c>
      <c r="J617" s="22" t="s">
        <v>3117</v>
      </c>
      <c r="K617" s="23">
        <v>26.0</v>
      </c>
      <c r="L617" s="24">
        <v>31.0</v>
      </c>
      <c r="M617" s="24" t="str">
        <f>IFERROR(VLOOKUP(D617,'Chủ đề bài nguồn'!$A$2:$C$735,3,0),"Khác")</f>
        <v>Thẻ tín dụng</v>
      </c>
      <c r="N617" s="24"/>
    </row>
    <row r="618">
      <c r="A618" s="15">
        <v>616.0</v>
      </c>
      <c r="B618" s="16" t="s">
        <v>900</v>
      </c>
      <c r="C618" s="18" t="s">
        <v>2977</v>
      </c>
      <c r="D618" s="16" t="s">
        <v>3120</v>
      </c>
      <c r="E618" s="16" t="s">
        <v>3121</v>
      </c>
      <c r="F618" s="16" t="s">
        <v>3122</v>
      </c>
      <c r="G618" s="16" t="s">
        <v>3061</v>
      </c>
      <c r="H618" s="20" t="s">
        <v>229</v>
      </c>
      <c r="I618" s="21" t="s">
        <v>70</v>
      </c>
      <c r="J618" s="22" t="s">
        <v>994</v>
      </c>
      <c r="K618" s="23">
        <v>26.0</v>
      </c>
      <c r="L618" s="24">
        <v>31.0</v>
      </c>
      <c r="M618" s="24" t="str">
        <f>IFERROR(VLOOKUP(D618,'Chủ đề bài nguồn'!$A$2:$C$735,3,0),"Khác")</f>
        <v>Vay tiêu dùng &amp; tín chấp</v>
      </c>
      <c r="N618" s="24"/>
    </row>
    <row r="619">
      <c r="A619" s="15">
        <v>617.0</v>
      </c>
      <c r="B619" s="16" t="s">
        <v>900</v>
      </c>
      <c r="C619" s="18" t="s">
        <v>2977</v>
      </c>
      <c r="D619" s="16" t="s">
        <v>3124</v>
      </c>
      <c r="E619" s="16" t="s">
        <v>3125</v>
      </c>
      <c r="F619" s="16" t="s">
        <v>3126</v>
      </c>
      <c r="G619" s="16" t="s">
        <v>3127</v>
      </c>
      <c r="H619" s="20" t="s">
        <v>229</v>
      </c>
      <c r="I619" s="21" t="s">
        <v>70</v>
      </c>
      <c r="J619" s="22" t="s">
        <v>71</v>
      </c>
      <c r="K619" s="23">
        <v>26.0</v>
      </c>
      <c r="L619" s="24">
        <v>31.0</v>
      </c>
      <c r="M619" s="24" t="str">
        <f>IFERROR(VLOOKUP(D619,'Chủ đề bài nguồn'!$A$2:$C$735,3,0),"Khác")</f>
        <v>Thanh toán, chuyển khoản &amp; QR</v>
      </c>
      <c r="N619" s="24"/>
    </row>
    <row r="620">
      <c r="A620" s="15">
        <v>618.0</v>
      </c>
      <c r="B620" s="39" t="s">
        <v>900</v>
      </c>
      <c r="C620" s="18" t="s">
        <v>2977</v>
      </c>
      <c r="D620" s="39" t="s">
        <v>1913</v>
      </c>
      <c r="E620" s="16" t="s">
        <v>3139</v>
      </c>
      <c r="F620" s="16" t="s">
        <v>3140</v>
      </c>
      <c r="G620" s="16" t="s">
        <v>3141</v>
      </c>
      <c r="H620" s="20" t="s">
        <v>229</v>
      </c>
      <c r="I620" s="21" t="s">
        <v>70</v>
      </c>
      <c r="J620" s="22" t="s">
        <v>71</v>
      </c>
      <c r="K620" s="23">
        <v>26.0</v>
      </c>
      <c r="L620" s="24">
        <v>31.0</v>
      </c>
      <c r="M620" s="24" t="str">
        <f>IFERROR(VLOOKUP(D620,'Chủ đề bài nguồn'!$A$2:$C$735,3,0),"Khác")</f>
        <v>Tài khoản &amp; ngân hàng số</v>
      </c>
      <c r="N620" s="24"/>
    </row>
    <row r="621">
      <c r="A621" s="15">
        <v>619.0</v>
      </c>
      <c r="B621" s="16" t="s">
        <v>900</v>
      </c>
      <c r="C621" s="18" t="s">
        <v>1417</v>
      </c>
      <c r="D621" s="16" t="s">
        <v>3148</v>
      </c>
      <c r="E621" s="16" t="s">
        <v>3149</v>
      </c>
      <c r="F621" s="16" t="s">
        <v>3151</v>
      </c>
      <c r="G621" s="16" t="s">
        <v>3152</v>
      </c>
      <c r="H621" s="20" t="s">
        <v>229</v>
      </c>
      <c r="I621" s="21" t="s">
        <v>70</v>
      </c>
      <c r="J621" s="22" t="s">
        <v>71</v>
      </c>
      <c r="K621" s="23">
        <v>26.0</v>
      </c>
      <c r="L621" s="24">
        <v>31.0</v>
      </c>
      <c r="M621" s="24" t="str">
        <f>IFERROR(VLOOKUP(D621,'Chủ đề bài nguồn'!$A$2:$C$735,3,0),"Khác")</f>
        <v>Vay tiêu dùng &amp; tín chấp</v>
      </c>
      <c r="N621" s="24"/>
    </row>
    <row r="622">
      <c r="A622" s="15">
        <v>620.0</v>
      </c>
      <c r="B622" s="39" t="s">
        <v>900</v>
      </c>
      <c r="C622" s="18" t="s">
        <v>1417</v>
      </c>
      <c r="D622" s="39" t="s">
        <v>1679</v>
      </c>
      <c r="E622" s="16" t="s">
        <v>3164</v>
      </c>
      <c r="F622" s="16" t="s">
        <v>3166</v>
      </c>
      <c r="G622" s="16" t="s">
        <v>3167</v>
      </c>
      <c r="H622" s="20" t="s">
        <v>229</v>
      </c>
      <c r="I622" s="21" t="s">
        <v>70</v>
      </c>
      <c r="J622" s="22" t="s">
        <v>3168</v>
      </c>
      <c r="K622" s="23">
        <v>26.0</v>
      </c>
      <c r="L622" s="24">
        <v>31.0</v>
      </c>
      <c r="M622" s="24" t="str">
        <f>IFERROR(VLOOKUP(D622,'Chủ đề bài nguồn'!$A$2:$C$735,3,0),"Khác")</f>
        <v>Thẻ tín dụng</v>
      </c>
      <c r="N622" s="24"/>
    </row>
    <row r="623">
      <c r="A623" s="15">
        <v>621.0</v>
      </c>
      <c r="B623" s="39" t="s">
        <v>900</v>
      </c>
      <c r="C623" s="18" t="s">
        <v>1417</v>
      </c>
      <c r="D623" s="39" t="s">
        <v>2084</v>
      </c>
      <c r="E623" s="16" t="s">
        <v>3173</v>
      </c>
      <c r="F623" s="16" t="s">
        <v>3174</v>
      </c>
      <c r="G623" s="16" t="s">
        <v>3175</v>
      </c>
      <c r="H623" s="20" t="s">
        <v>229</v>
      </c>
      <c r="I623" s="21" t="s">
        <v>70</v>
      </c>
      <c r="J623" s="22" t="s">
        <v>71</v>
      </c>
      <c r="K623" s="23">
        <v>26.0</v>
      </c>
      <c r="L623" s="24">
        <v>31.0</v>
      </c>
      <c r="M623" s="24" t="str">
        <f>IFERROR(VLOOKUP(D623,'Chủ đề bài nguồn'!$A$2:$C$735,3,0),"Khác")</f>
        <v>Thẻ tín dụng</v>
      </c>
      <c r="N623" s="24"/>
    </row>
    <row r="624">
      <c r="A624" s="15">
        <v>622.0</v>
      </c>
      <c r="B624" s="39" t="s">
        <v>900</v>
      </c>
      <c r="C624" s="18" t="s">
        <v>1417</v>
      </c>
      <c r="D624" s="39" t="s">
        <v>3171</v>
      </c>
      <c r="E624" s="16" t="s">
        <v>3191</v>
      </c>
      <c r="F624" s="16" t="s">
        <v>3192</v>
      </c>
      <c r="G624" s="16" t="s">
        <v>3193</v>
      </c>
      <c r="H624" s="20" t="s">
        <v>229</v>
      </c>
      <c r="I624" s="21" t="s">
        <v>70</v>
      </c>
      <c r="J624" s="22" t="s">
        <v>71</v>
      </c>
      <c r="K624" s="23">
        <v>26.0</v>
      </c>
      <c r="L624" s="24">
        <v>31.0</v>
      </c>
      <c r="M624" s="24" t="str">
        <f>IFERROR(VLOOKUP(D624,'Chủ đề bài nguồn'!$A$2:$C$735,3,0),"Khác")</f>
        <v>Thẻ ATM &amp; thẻ ghi nợ</v>
      </c>
      <c r="N624" s="24"/>
    </row>
    <row r="625">
      <c r="A625" s="15">
        <v>623.0</v>
      </c>
      <c r="B625" s="16" t="s">
        <v>909</v>
      </c>
      <c r="C625" s="18" t="s">
        <v>1446</v>
      </c>
      <c r="D625" s="16" t="s">
        <v>3092</v>
      </c>
      <c r="E625" s="16" t="s">
        <v>3200</v>
      </c>
      <c r="F625" s="16" t="s">
        <v>3201</v>
      </c>
      <c r="G625" s="16" t="s">
        <v>3202</v>
      </c>
      <c r="H625" s="20" t="s">
        <v>69</v>
      </c>
      <c r="I625" s="21" t="s">
        <v>70</v>
      </c>
      <c r="J625" s="22" t="s">
        <v>71</v>
      </c>
      <c r="K625" s="23">
        <v>27.0</v>
      </c>
      <c r="L625" s="24">
        <v>10.0</v>
      </c>
      <c r="M625" s="24" t="str">
        <f>IFERROR(VLOOKUP(D625,'Chủ đề bài nguồn'!$A$2:$C$735,3,0),"Khác")</f>
        <v>Ngân hàng xanh &amp; thương hiệu</v>
      </c>
      <c r="N625" s="24"/>
    </row>
    <row r="626">
      <c r="A626" s="15">
        <v>624.0</v>
      </c>
      <c r="B626" s="16" t="s">
        <v>909</v>
      </c>
      <c r="C626" s="18" t="s">
        <v>3103</v>
      </c>
      <c r="D626" s="16" t="s">
        <v>2825</v>
      </c>
      <c r="E626" s="16" t="s">
        <v>3209</v>
      </c>
      <c r="F626" s="16" t="s">
        <v>3211</v>
      </c>
      <c r="G626" s="16" t="s">
        <v>3212</v>
      </c>
      <c r="H626" s="20" t="s">
        <v>69</v>
      </c>
      <c r="I626" s="21" t="s">
        <v>70</v>
      </c>
      <c r="J626" s="22" t="s">
        <v>71</v>
      </c>
      <c r="K626" s="23">
        <v>27.0</v>
      </c>
      <c r="L626" s="24">
        <v>10.0</v>
      </c>
      <c r="M626" s="24" t="str">
        <f>IFERROR(VLOOKUP(D626,'Chủ đề bài nguồn'!$A$2:$C$735,3,0),"Khác")</f>
        <v>Ngân hàng xanh &amp; thương hiệu</v>
      </c>
      <c r="N626" s="24"/>
    </row>
    <row r="627">
      <c r="A627" s="15">
        <v>625.0</v>
      </c>
      <c r="B627" s="16" t="s">
        <v>909</v>
      </c>
      <c r="C627" s="18" t="s">
        <v>3097</v>
      </c>
      <c r="D627" s="16" t="s">
        <v>3218</v>
      </c>
      <c r="E627" s="16" t="s">
        <v>3219</v>
      </c>
      <c r="F627" s="16" t="s">
        <v>3220</v>
      </c>
      <c r="G627" s="16" t="s">
        <v>3221</v>
      </c>
      <c r="H627" s="20" t="s">
        <v>69</v>
      </c>
      <c r="I627" s="21" t="s">
        <v>70</v>
      </c>
      <c r="J627" s="22" t="s">
        <v>71</v>
      </c>
      <c r="K627" s="23">
        <v>27.0</v>
      </c>
      <c r="L627" s="24">
        <v>10.0</v>
      </c>
      <c r="M627" s="24" t="str">
        <f>IFERROR(VLOOKUP(D627,'Chủ đề bài nguồn'!$A$2:$C$735,3,0),"Khác")</f>
        <v>Ưu đãi, du lịch &amp; đời sống</v>
      </c>
      <c r="N627" s="24"/>
    </row>
    <row r="628">
      <c r="A628" s="15">
        <v>626.0</v>
      </c>
      <c r="B628" s="16" t="s">
        <v>909</v>
      </c>
      <c r="C628" s="18" t="s">
        <v>3097</v>
      </c>
      <c r="D628" s="16" t="s">
        <v>2849</v>
      </c>
      <c r="E628" s="16" t="s">
        <v>3223</v>
      </c>
      <c r="F628" s="16" t="s">
        <v>3224</v>
      </c>
      <c r="G628" s="16" t="s">
        <v>3221</v>
      </c>
      <c r="H628" s="20" t="s">
        <v>69</v>
      </c>
      <c r="I628" s="21" t="s">
        <v>70</v>
      </c>
      <c r="J628" s="22" t="s">
        <v>71</v>
      </c>
      <c r="K628" s="23">
        <v>27.0</v>
      </c>
      <c r="L628" s="24">
        <v>10.0</v>
      </c>
      <c r="M628" s="24" t="str">
        <f>IFERROR(VLOOKUP(D628,'Chủ đề bài nguồn'!$A$2:$C$735,3,0),"Khác")</f>
        <v>Ngân hàng xanh &amp; thương hiệu</v>
      </c>
      <c r="N628" s="24"/>
    </row>
    <row r="629">
      <c r="A629" s="15">
        <v>627.0</v>
      </c>
      <c r="B629" s="16" t="s">
        <v>909</v>
      </c>
      <c r="C629" s="18" t="s">
        <v>3097</v>
      </c>
      <c r="D629" s="16" t="s">
        <v>3228</v>
      </c>
      <c r="E629" s="16" t="s">
        <v>3230</v>
      </c>
      <c r="F629" s="16" t="s">
        <v>3231</v>
      </c>
      <c r="G629" s="16" t="s">
        <v>3232</v>
      </c>
      <c r="H629" s="20" t="s">
        <v>69</v>
      </c>
      <c r="I629" s="21" t="s">
        <v>70</v>
      </c>
      <c r="J629" s="22" t="s">
        <v>71</v>
      </c>
      <c r="K629" s="23">
        <v>27.0</v>
      </c>
      <c r="L629" s="24">
        <v>11.0</v>
      </c>
      <c r="M629" s="24" t="str">
        <f>IFERROR(VLOOKUP(D629,'Chủ đề bài nguồn'!$A$2:$C$735,3,0),"Khác")</f>
        <v>Khác</v>
      </c>
      <c r="N629" s="24"/>
    </row>
    <row r="630">
      <c r="A630" s="15">
        <v>628.0</v>
      </c>
      <c r="B630" s="16" t="s">
        <v>909</v>
      </c>
      <c r="C630" s="18" t="s">
        <v>1446</v>
      </c>
      <c r="D630" s="16" t="s">
        <v>3080</v>
      </c>
      <c r="E630" s="16" t="s">
        <v>3237</v>
      </c>
      <c r="F630" s="16" t="s">
        <v>3238</v>
      </c>
      <c r="G630" s="16" t="s">
        <v>3202</v>
      </c>
      <c r="H630" s="20" t="s">
        <v>155</v>
      </c>
      <c r="I630" s="21" t="s">
        <v>70</v>
      </c>
      <c r="J630" s="22" t="s">
        <v>71</v>
      </c>
      <c r="K630" s="23">
        <v>27.0</v>
      </c>
      <c r="L630" s="24">
        <v>20.0</v>
      </c>
      <c r="M630" s="24" t="str">
        <f>IFERROR(VLOOKUP(D630,'Chủ đề bài nguồn'!$A$2:$C$735,3,0),"Khác")</f>
        <v>Thẻ tín dụng</v>
      </c>
      <c r="N630" s="24"/>
    </row>
    <row r="631">
      <c r="A631" s="15">
        <v>629.0</v>
      </c>
      <c r="B631" s="16" t="s">
        <v>909</v>
      </c>
      <c r="C631" s="18" t="s">
        <v>1446</v>
      </c>
      <c r="D631" s="16" t="s">
        <v>1932</v>
      </c>
      <c r="E631" s="16" t="s">
        <v>1933</v>
      </c>
      <c r="F631" s="16" t="s">
        <v>3244</v>
      </c>
      <c r="G631" s="16" t="s">
        <v>3245</v>
      </c>
      <c r="H631" s="20" t="s">
        <v>155</v>
      </c>
      <c r="I631" s="21" t="s">
        <v>70</v>
      </c>
      <c r="J631" s="22" t="s">
        <v>71</v>
      </c>
      <c r="K631" s="23">
        <v>27.0</v>
      </c>
      <c r="L631" s="24">
        <v>21.0</v>
      </c>
      <c r="M631" s="24" t="str">
        <f>IFERROR(VLOOKUP(D631,'Chủ đề bài nguồn'!$A$2:$C$735,3,0),"Khác")</f>
        <v>Thẻ tín dụng</v>
      </c>
      <c r="N631" s="24"/>
    </row>
    <row r="632">
      <c r="A632" s="15">
        <v>630.0</v>
      </c>
      <c r="B632" s="16" t="s">
        <v>909</v>
      </c>
      <c r="C632" s="18" t="s">
        <v>1446</v>
      </c>
      <c r="D632" s="16" t="s">
        <v>2107</v>
      </c>
      <c r="E632" s="16" t="s">
        <v>3249</v>
      </c>
      <c r="F632" s="16" t="s">
        <v>3250</v>
      </c>
      <c r="G632" s="16" t="s">
        <v>3251</v>
      </c>
      <c r="H632" s="20" t="s">
        <v>155</v>
      </c>
      <c r="I632" s="21" t="s">
        <v>70</v>
      </c>
      <c r="J632" s="22" t="s">
        <v>71</v>
      </c>
      <c r="K632" s="23">
        <v>27.0</v>
      </c>
      <c r="L632" s="24">
        <v>21.0</v>
      </c>
      <c r="M632" s="24" t="str">
        <f>IFERROR(VLOOKUP(D632,'Chủ đề bài nguồn'!$A$2:$C$735,3,0),"Khác")</f>
        <v>Thẻ ATM &amp; thẻ ghi nợ</v>
      </c>
      <c r="N632" s="24"/>
    </row>
    <row r="633">
      <c r="A633" s="15">
        <v>631.0</v>
      </c>
      <c r="B633" s="16" t="s">
        <v>909</v>
      </c>
      <c r="C633" s="18" t="s">
        <v>1446</v>
      </c>
      <c r="D633" s="16" t="s">
        <v>2093</v>
      </c>
      <c r="E633" s="16" t="s">
        <v>3255</v>
      </c>
      <c r="F633" s="16" t="s">
        <v>3256</v>
      </c>
      <c r="G633" s="16" t="s">
        <v>3257</v>
      </c>
      <c r="H633" s="20" t="s">
        <v>155</v>
      </c>
      <c r="I633" s="21" t="s">
        <v>70</v>
      </c>
      <c r="J633" s="22" t="s">
        <v>71</v>
      </c>
      <c r="K633" s="23">
        <v>27.0</v>
      </c>
      <c r="L633" s="24">
        <v>21.0</v>
      </c>
      <c r="M633" s="24" t="str">
        <f>IFERROR(VLOOKUP(D633,'Chủ đề bài nguồn'!$A$2:$C$735,3,0),"Khác")</f>
        <v>Ngoại tệ &amp; chuyển tiền quốc tế</v>
      </c>
      <c r="N633" s="24"/>
    </row>
    <row r="634">
      <c r="A634" s="15">
        <v>632.0</v>
      </c>
      <c r="B634" s="16" t="s">
        <v>909</v>
      </c>
      <c r="C634" s="18" t="s">
        <v>3103</v>
      </c>
      <c r="D634" s="16" t="s">
        <v>3258</v>
      </c>
      <c r="E634" s="16" t="s">
        <v>3262</v>
      </c>
      <c r="F634" s="16" t="s">
        <v>3263</v>
      </c>
      <c r="G634" s="16" t="s">
        <v>3264</v>
      </c>
      <c r="H634" s="20" t="s">
        <v>155</v>
      </c>
      <c r="I634" s="21" t="s">
        <v>70</v>
      </c>
      <c r="J634" s="22" t="s">
        <v>3266</v>
      </c>
      <c r="K634" s="23">
        <v>27.0</v>
      </c>
      <c r="L634" s="24">
        <v>21.0</v>
      </c>
      <c r="M634" s="24" t="str">
        <f>IFERROR(VLOOKUP(D634,'Chủ đề bài nguồn'!$A$2:$C$735,3,0),"Khác")</f>
        <v>Vay tiêu dùng &amp; tín chấp</v>
      </c>
      <c r="N634" s="24"/>
    </row>
    <row r="635">
      <c r="A635" s="15">
        <v>633.0</v>
      </c>
      <c r="B635" s="16" t="s">
        <v>909</v>
      </c>
      <c r="C635" s="18" t="s">
        <v>3103</v>
      </c>
      <c r="D635" s="16" t="s">
        <v>3269</v>
      </c>
      <c r="E635" s="16" t="s">
        <v>3270</v>
      </c>
      <c r="F635" s="16" t="s">
        <v>3271</v>
      </c>
      <c r="G635" s="16" t="s">
        <v>3272</v>
      </c>
      <c r="H635" s="20" t="s">
        <v>155</v>
      </c>
      <c r="I635" s="21" t="s">
        <v>70</v>
      </c>
      <c r="J635" s="22" t="s">
        <v>3273</v>
      </c>
      <c r="K635" s="23">
        <v>27.0</v>
      </c>
      <c r="L635" s="24">
        <v>21.0</v>
      </c>
      <c r="M635" s="24" t="str">
        <f>IFERROR(VLOOKUP(D635,'Chủ đề bài nguồn'!$A$2:$C$735,3,0),"Khác")</f>
        <v>Thẻ tín dụng</v>
      </c>
      <c r="N635" s="24"/>
    </row>
    <row r="636">
      <c r="A636" s="15">
        <v>634.0</v>
      </c>
      <c r="B636" s="16" t="s">
        <v>909</v>
      </c>
      <c r="C636" s="18" t="s">
        <v>3103</v>
      </c>
      <c r="D636" s="16" t="s">
        <v>3076</v>
      </c>
      <c r="E636" s="16" t="s">
        <v>3277</v>
      </c>
      <c r="F636" s="16" t="s">
        <v>3279</v>
      </c>
      <c r="G636" s="16" t="s">
        <v>3280</v>
      </c>
      <c r="H636" s="20" t="s">
        <v>155</v>
      </c>
      <c r="I636" s="21" t="s">
        <v>70</v>
      </c>
      <c r="J636" s="22" t="s">
        <v>3282</v>
      </c>
      <c r="K636" s="23">
        <v>27.0</v>
      </c>
      <c r="L636" s="24">
        <v>21.0</v>
      </c>
      <c r="M636" s="24" t="str">
        <f>IFERROR(VLOOKUP(D636,'Chủ đề bài nguồn'!$A$2:$C$735,3,0),"Khác")</f>
        <v>Ưu đãi, du lịch &amp; đời sống</v>
      </c>
      <c r="N636" s="24"/>
    </row>
    <row r="637">
      <c r="A637" s="15">
        <v>635.0</v>
      </c>
      <c r="B637" s="16" t="s">
        <v>909</v>
      </c>
      <c r="C637" s="18" t="s">
        <v>3103</v>
      </c>
      <c r="D637" s="16" t="s">
        <v>1817</v>
      </c>
      <c r="E637" s="16" t="s">
        <v>2068</v>
      </c>
      <c r="F637" s="16" t="s">
        <v>3287</v>
      </c>
      <c r="G637" s="16" t="s">
        <v>3289</v>
      </c>
      <c r="H637" s="20" t="s">
        <v>155</v>
      </c>
      <c r="I637" s="21" t="s">
        <v>70</v>
      </c>
      <c r="J637" s="22" t="s">
        <v>71</v>
      </c>
      <c r="K637" s="23">
        <v>27.0</v>
      </c>
      <c r="L637" s="24">
        <v>21.0</v>
      </c>
      <c r="M637" s="24" t="str">
        <f>IFERROR(VLOOKUP(D637,'Chủ đề bài nguồn'!$A$2:$C$735,3,0),"Khác")</f>
        <v>Thẻ ATM &amp; thẻ ghi nợ</v>
      </c>
      <c r="N637" s="24"/>
    </row>
    <row r="638">
      <c r="A638" s="15">
        <v>636.0</v>
      </c>
      <c r="B638" s="16" t="s">
        <v>909</v>
      </c>
      <c r="C638" s="18" t="s">
        <v>3097</v>
      </c>
      <c r="D638" s="16" t="s">
        <v>3243</v>
      </c>
      <c r="E638" s="16" t="s">
        <v>3296</v>
      </c>
      <c r="F638" s="16" t="s">
        <v>3297</v>
      </c>
      <c r="G638" s="16" t="s">
        <v>3299</v>
      </c>
      <c r="H638" s="20" t="s">
        <v>155</v>
      </c>
      <c r="I638" s="21" t="s">
        <v>70</v>
      </c>
      <c r="J638" s="22" t="s">
        <v>71</v>
      </c>
      <c r="K638" s="23">
        <v>27.0</v>
      </c>
      <c r="L638" s="24">
        <v>21.0</v>
      </c>
      <c r="M638" s="24" t="str">
        <f>IFERROR(VLOOKUP(D638,'Chủ đề bài nguồn'!$A$2:$C$735,3,0),"Khác")</f>
        <v>Ngân hàng xanh &amp; thương hiệu</v>
      </c>
      <c r="N638" s="24"/>
    </row>
    <row r="639">
      <c r="A639" s="15">
        <v>637.0</v>
      </c>
      <c r="B639" s="16" t="s">
        <v>909</v>
      </c>
      <c r="C639" s="18" t="s">
        <v>3097</v>
      </c>
      <c r="D639" s="16" t="s">
        <v>3081</v>
      </c>
      <c r="E639" s="16" t="s">
        <v>3305</v>
      </c>
      <c r="F639" s="16" t="s">
        <v>3306</v>
      </c>
      <c r="G639" s="16" t="s">
        <v>3307</v>
      </c>
      <c r="H639" s="20" t="s">
        <v>155</v>
      </c>
      <c r="I639" s="21" t="s">
        <v>70</v>
      </c>
      <c r="J639" s="22" t="s">
        <v>3309</v>
      </c>
      <c r="K639" s="23">
        <v>27.0</v>
      </c>
      <c r="L639" s="24">
        <v>21.0</v>
      </c>
      <c r="M639" s="24" t="str">
        <f>IFERROR(VLOOKUP(D639,'Chủ đề bài nguồn'!$A$2:$C$735,3,0),"Khác")</f>
        <v>Thẻ tín dụng</v>
      </c>
      <c r="N639" s="24"/>
    </row>
    <row r="640">
      <c r="A640" s="15">
        <v>638.0</v>
      </c>
      <c r="B640" s="16" t="s">
        <v>909</v>
      </c>
      <c r="C640" s="18" t="s">
        <v>3097</v>
      </c>
      <c r="D640" s="16" t="s">
        <v>2859</v>
      </c>
      <c r="E640" s="16" t="s">
        <v>3312</v>
      </c>
      <c r="F640" s="16" t="s">
        <v>3313</v>
      </c>
      <c r="G640" s="16" t="s">
        <v>3314</v>
      </c>
      <c r="H640" s="20" t="s">
        <v>155</v>
      </c>
      <c r="I640" s="21" t="s">
        <v>70</v>
      </c>
      <c r="J640" s="22" t="s">
        <v>71</v>
      </c>
      <c r="K640" s="23">
        <v>27.0</v>
      </c>
      <c r="L640" s="24">
        <v>21.0</v>
      </c>
      <c r="M640" s="24" t="str">
        <f>IFERROR(VLOOKUP(D640,'Chủ đề bài nguồn'!$A$2:$C$735,3,0),"Khác")</f>
        <v>Ngân hàng xanh &amp; thương hiệu</v>
      </c>
      <c r="N640" s="24"/>
    </row>
    <row r="641">
      <c r="A641" s="15">
        <v>639.0</v>
      </c>
      <c r="B641" s="16" t="s">
        <v>909</v>
      </c>
      <c r="C641" s="18" t="s">
        <v>3103</v>
      </c>
      <c r="D641" s="16" t="s">
        <v>3188</v>
      </c>
      <c r="E641" s="16" t="s">
        <v>3321</v>
      </c>
      <c r="F641" s="16" t="s">
        <v>3322</v>
      </c>
      <c r="G641" s="16" t="s">
        <v>3212</v>
      </c>
      <c r="H641" s="20" t="s">
        <v>229</v>
      </c>
      <c r="I641" s="21" t="s">
        <v>70</v>
      </c>
      <c r="J641" s="22" t="s">
        <v>3323</v>
      </c>
      <c r="K641" s="23">
        <v>27.0</v>
      </c>
      <c r="L641" s="24">
        <v>30.0</v>
      </c>
      <c r="M641" s="24" t="str">
        <f>IFERROR(VLOOKUP(D641,'Chủ đề bài nguồn'!$A$2:$C$735,3,0),"Khác")</f>
        <v>Thẻ tín dụng</v>
      </c>
      <c r="N641" s="24"/>
    </row>
    <row r="642">
      <c r="A642" s="15">
        <v>640.0</v>
      </c>
      <c r="B642" s="16" t="s">
        <v>909</v>
      </c>
      <c r="C642" s="18" t="s">
        <v>3097</v>
      </c>
      <c r="D642" s="16" t="s">
        <v>3196</v>
      </c>
      <c r="E642" s="16" t="s">
        <v>3329</v>
      </c>
      <c r="F642" s="16" t="s">
        <v>3332</v>
      </c>
      <c r="G642" s="16" t="s">
        <v>3221</v>
      </c>
      <c r="H642" s="20" t="s">
        <v>229</v>
      </c>
      <c r="I642" s="21" t="s">
        <v>70</v>
      </c>
      <c r="J642" s="40" t="s">
        <v>3334</v>
      </c>
      <c r="K642" s="23">
        <v>27.0</v>
      </c>
      <c r="L642" s="24">
        <v>30.0</v>
      </c>
      <c r="M642" s="24" t="str">
        <f>IFERROR(VLOOKUP(D642,'Chủ đề bài nguồn'!$A$2:$C$735,3,0),"Khác")</f>
        <v>Ngân hàng xanh &amp; thương hiệu</v>
      </c>
      <c r="N642" s="24"/>
    </row>
    <row r="643">
      <c r="A643" s="15">
        <v>641.0</v>
      </c>
      <c r="B643" s="16" t="s">
        <v>909</v>
      </c>
      <c r="C643" s="18" t="s">
        <v>1446</v>
      </c>
      <c r="D643" s="16" t="s">
        <v>3084</v>
      </c>
      <c r="E643" s="16" t="s">
        <v>3339</v>
      </c>
      <c r="F643" s="16" t="s">
        <v>3340</v>
      </c>
      <c r="G643" s="16" t="s">
        <v>3342</v>
      </c>
      <c r="H643" s="20" t="s">
        <v>229</v>
      </c>
      <c r="I643" s="21" t="s">
        <v>70</v>
      </c>
      <c r="J643" s="22" t="s">
        <v>71</v>
      </c>
      <c r="K643" s="23">
        <v>27.0</v>
      </c>
      <c r="L643" s="24">
        <v>31.0</v>
      </c>
      <c r="M643" s="24" t="str">
        <f>IFERROR(VLOOKUP(D643,'Chủ đề bài nguồn'!$A$2:$C$735,3,0),"Khác")</f>
        <v>Doanh nghiệp (tài khoản, vay, tài chính)</v>
      </c>
      <c r="N643" s="24"/>
    </row>
    <row r="644">
      <c r="A644" s="15">
        <v>642.0</v>
      </c>
      <c r="B644" s="16" t="s">
        <v>909</v>
      </c>
      <c r="C644" s="18" t="s">
        <v>1446</v>
      </c>
      <c r="D644" s="16" t="s">
        <v>2099</v>
      </c>
      <c r="E644" s="16" t="s">
        <v>3347</v>
      </c>
      <c r="F644" s="16" t="s">
        <v>3348</v>
      </c>
      <c r="G644" s="16" t="s">
        <v>3349</v>
      </c>
      <c r="H644" s="20" t="s">
        <v>229</v>
      </c>
      <c r="I644" s="21" t="s">
        <v>70</v>
      </c>
      <c r="J644" s="22" t="s">
        <v>71</v>
      </c>
      <c r="K644" s="23">
        <v>27.0</v>
      </c>
      <c r="L644" s="24">
        <v>31.0</v>
      </c>
      <c r="M644" s="24" t="str">
        <f>IFERROR(VLOOKUP(D644,'Chủ đề bài nguồn'!$A$2:$C$735,3,0),"Khác")</f>
        <v>Thẻ ATM &amp; thẻ ghi nợ</v>
      </c>
      <c r="N644" s="24"/>
    </row>
    <row r="645">
      <c r="A645" s="15">
        <v>643.0</v>
      </c>
      <c r="B645" s="39" t="s">
        <v>909</v>
      </c>
      <c r="C645" s="18" t="s">
        <v>1446</v>
      </c>
      <c r="D645" s="39" t="s">
        <v>3176</v>
      </c>
      <c r="E645" s="16" t="s">
        <v>3367</v>
      </c>
      <c r="F645" s="16" t="s">
        <v>3368</v>
      </c>
      <c r="G645" s="16" t="s">
        <v>3369</v>
      </c>
      <c r="H645" s="20" t="s">
        <v>229</v>
      </c>
      <c r="I645" s="21" t="s">
        <v>70</v>
      </c>
      <c r="J645" s="22" t="s">
        <v>3370</v>
      </c>
      <c r="K645" s="23">
        <v>27.0</v>
      </c>
      <c r="L645" s="24">
        <v>31.0</v>
      </c>
      <c r="M645" s="24" t="str">
        <f>IFERROR(VLOOKUP(D645,'Chủ đề bài nguồn'!$A$2:$C$735,3,0),"Khác")</f>
        <v>Thẻ ATM &amp; thẻ ghi nợ</v>
      </c>
      <c r="N645" s="24"/>
    </row>
    <row r="646">
      <c r="A646" s="15">
        <v>644.0</v>
      </c>
      <c r="B646" s="16" t="s">
        <v>909</v>
      </c>
      <c r="C646" s="18" t="s">
        <v>3103</v>
      </c>
      <c r="D646" s="16" t="s">
        <v>3189</v>
      </c>
      <c r="E646" s="16" t="s">
        <v>3373</v>
      </c>
      <c r="F646" s="16" t="s">
        <v>3271</v>
      </c>
      <c r="G646" s="16" t="s">
        <v>3374</v>
      </c>
      <c r="H646" s="20" t="s">
        <v>229</v>
      </c>
      <c r="I646" s="21" t="s">
        <v>70</v>
      </c>
      <c r="J646" s="22" t="s">
        <v>3375</v>
      </c>
      <c r="K646" s="23">
        <v>27.0</v>
      </c>
      <c r="L646" s="24">
        <v>31.0</v>
      </c>
      <c r="M646" s="24" t="str">
        <f>IFERROR(VLOOKUP(D646,'Chủ đề bài nguồn'!$A$2:$C$735,3,0),"Khác")</f>
        <v>Thẻ tín dụng</v>
      </c>
      <c r="N646" s="24"/>
    </row>
    <row r="647">
      <c r="A647" s="15">
        <v>645.0</v>
      </c>
      <c r="B647" s="16" t="s">
        <v>909</v>
      </c>
      <c r="C647" s="18" t="s">
        <v>3103</v>
      </c>
      <c r="D647" s="16" t="s">
        <v>3023</v>
      </c>
      <c r="E647" s="16" t="s">
        <v>3376</v>
      </c>
      <c r="F647" s="16" t="s">
        <v>3377</v>
      </c>
      <c r="G647" s="16" t="s">
        <v>3378</v>
      </c>
      <c r="H647" s="20" t="s">
        <v>229</v>
      </c>
      <c r="I647" s="21" t="s">
        <v>70</v>
      </c>
      <c r="J647" s="22" t="s">
        <v>3380</v>
      </c>
      <c r="K647" s="23">
        <v>27.0</v>
      </c>
      <c r="L647" s="24">
        <v>31.0</v>
      </c>
      <c r="M647" s="24" t="str">
        <f>IFERROR(VLOOKUP(D647,'Chủ đề bài nguồn'!$A$2:$C$735,3,0),"Khác")</f>
        <v>Ưu đãi, du lịch &amp; đời sống</v>
      </c>
      <c r="N647" s="24"/>
    </row>
    <row r="648">
      <c r="A648" s="15">
        <v>646.0</v>
      </c>
      <c r="B648" s="16" t="s">
        <v>909</v>
      </c>
      <c r="C648" s="18" t="s">
        <v>3103</v>
      </c>
      <c r="D648" s="16" t="s">
        <v>1561</v>
      </c>
      <c r="E648" s="16" t="s">
        <v>3382</v>
      </c>
      <c r="F648" s="16" t="s">
        <v>3383</v>
      </c>
      <c r="G648" s="16" t="s">
        <v>3384</v>
      </c>
      <c r="H648" s="20" t="s">
        <v>229</v>
      </c>
      <c r="I648" s="21" t="s">
        <v>70</v>
      </c>
      <c r="J648" s="22" t="s">
        <v>3385</v>
      </c>
      <c r="K648" s="23">
        <v>27.0</v>
      </c>
      <c r="L648" s="24">
        <v>31.0</v>
      </c>
      <c r="M648" s="24" t="str">
        <f>IFERROR(VLOOKUP(D648,'Chủ đề bài nguồn'!$A$2:$C$735,3,0),"Khác")</f>
        <v>Thẻ tín dụng</v>
      </c>
      <c r="N648" s="24"/>
    </row>
    <row r="649">
      <c r="A649" s="15">
        <v>647.0</v>
      </c>
      <c r="B649" s="16" t="s">
        <v>909</v>
      </c>
      <c r="C649" s="18" t="s">
        <v>3103</v>
      </c>
      <c r="D649" s="16" t="s">
        <v>3017</v>
      </c>
      <c r="E649" s="16" t="s">
        <v>3387</v>
      </c>
      <c r="F649" s="16" t="s">
        <v>3388</v>
      </c>
      <c r="G649" s="16" t="s">
        <v>3389</v>
      </c>
      <c r="H649" s="20" t="s">
        <v>229</v>
      </c>
      <c r="I649" s="21" t="s">
        <v>70</v>
      </c>
      <c r="J649" s="22" t="s">
        <v>71</v>
      </c>
      <c r="K649" s="23">
        <v>27.0</v>
      </c>
      <c r="L649" s="24">
        <v>31.0</v>
      </c>
      <c r="M649" s="24" t="str">
        <f>IFERROR(VLOOKUP(D649,'Chủ đề bài nguồn'!$A$2:$C$735,3,0),"Khác")</f>
        <v>Thẻ ATM &amp; thẻ ghi nợ</v>
      </c>
      <c r="N649" s="24"/>
    </row>
    <row r="650">
      <c r="A650" s="15">
        <v>648.0</v>
      </c>
      <c r="B650" s="16" t="s">
        <v>909</v>
      </c>
      <c r="C650" s="18" t="s">
        <v>3097</v>
      </c>
      <c r="D650" s="16" t="s">
        <v>2343</v>
      </c>
      <c r="E650" s="16" t="s">
        <v>3390</v>
      </c>
      <c r="F650" s="16" t="s">
        <v>3271</v>
      </c>
      <c r="G650" s="16" t="s">
        <v>3391</v>
      </c>
      <c r="H650" s="20" t="s">
        <v>229</v>
      </c>
      <c r="I650" s="21" t="s">
        <v>70</v>
      </c>
      <c r="J650" s="22" t="s">
        <v>3375</v>
      </c>
      <c r="K650" s="23">
        <v>27.0</v>
      </c>
      <c r="L650" s="24">
        <v>31.0</v>
      </c>
      <c r="M650" s="24" t="str">
        <f>IFERROR(VLOOKUP(D650,'Chủ đề bài nguồn'!$A$2:$C$735,3,0),"Khác")</f>
        <v>Thẻ tín dụng</v>
      </c>
      <c r="N650" s="24"/>
    </row>
    <row r="651">
      <c r="A651" s="15">
        <v>649.0</v>
      </c>
      <c r="B651" s="16" t="s">
        <v>909</v>
      </c>
      <c r="C651" s="18" t="s">
        <v>3097</v>
      </c>
      <c r="D651" s="16" t="s">
        <v>925</v>
      </c>
      <c r="E651" s="16" t="s">
        <v>3393</v>
      </c>
      <c r="F651" s="16" t="s">
        <v>3271</v>
      </c>
      <c r="G651" s="16" t="s">
        <v>3394</v>
      </c>
      <c r="H651" s="20" t="s">
        <v>229</v>
      </c>
      <c r="I651" s="21" t="s">
        <v>70</v>
      </c>
      <c r="J651" s="22" t="s">
        <v>3375</v>
      </c>
      <c r="K651" s="23">
        <v>27.0</v>
      </c>
      <c r="L651" s="24">
        <v>31.0</v>
      </c>
      <c r="M651" s="24" t="str">
        <f>IFERROR(VLOOKUP(D651,'Chủ đề bài nguồn'!$A$2:$C$735,3,0),"Khác")</f>
        <v>Thẻ tín dụng</v>
      </c>
      <c r="N651" s="24"/>
    </row>
    <row r="652">
      <c r="A652" s="15">
        <v>650.0</v>
      </c>
      <c r="B652" s="16" t="s">
        <v>909</v>
      </c>
      <c r="C652" s="18" t="s">
        <v>3097</v>
      </c>
      <c r="D652" s="16" t="s">
        <v>2968</v>
      </c>
      <c r="E652" s="16" t="s">
        <v>3395</v>
      </c>
      <c r="F652" s="16" t="s">
        <v>3396</v>
      </c>
      <c r="G652" s="16" t="s">
        <v>3397</v>
      </c>
      <c r="H652" s="20" t="s">
        <v>229</v>
      </c>
      <c r="I652" s="21" t="s">
        <v>70</v>
      </c>
      <c r="J652" s="22" t="s">
        <v>71</v>
      </c>
      <c r="K652" s="23">
        <v>27.0</v>
      </c>
      <c r="L652" s="24">
        <v>31.0</v>
      </c>
      <c r="M652" s="24" t="str">
        <f>IFERROR(VLOOKUP(D652,'Chủ đề bài nguồn'!$A$2:$C$735,3,0),"Khác")</f>
        <v>Thẻ tín dụng</v>
      </c>
      <c r="N652" s="24"/>
    </row>
    <row r="653">
      <c r="A653" s="15">
        <v>651.0</v>
      </c>
      <c r="B653" s="16" t="s">
        <v>93</v>
      </c>
      <c r="C653" s="18" t="s">
        <v>1766</v>
      </c>
      <c r="D653" s="16" t="s">
        <v>3063</v>
      </c>
      <c r="E653" s="16" t="s">
        <v>3399</v>
      </c>
      <c r="F653" s="16" t="s">
        <v>3400</v>
      </c>
      <c r="G653" s="16" t="s">
        <v>3401</v>
      </c>
      <c r="H653" s="20" t="s">
        <v>69</v>
      </c>
      <c r="I653" s="21" t="s">
        <v>70</v>
      </c>
      <c r="J653" s="22" t="s">
        <v>3402</v>
      </c>
      <c r="K653" s="23">
        <v>28.0</v>
      </c>
      <c r="L653" s="24">
        <v>10.0</v>
      </c>
      <c r="M653" s="24" t="str">
        <f>IFERROR(VLOOKUP(D653,'Chủ đề bài nguồn'!$A$2:$C$735,3,0),"Khác")</f>
        <v>Nợ xấu &amp; CIC</v>
      </c>
      <c r="N653" s="24"/>
    </row>
    <row r="654">
      <c r="A654" s="15">
        <v>652.0</v>
      </c>
      <c r="B654" s="16" t="s">
        <v>93</v>
      </c>
      <c r="C654" s="18" t="s">
        <v>1766</v>
      </c>
      <c r="D654" s="16" t="s">
        <v>3065</v>
      </c>
      <c r="E654" s="16" t="s">
        <v>3403</v>
      </c>
      <c r="F654" s="16" t="s">
        <v>3404</v>
      </c>
      <c r="G654" s="16" t="s">
        <v>3405</v>
      </c>
      <c r="H654" s="20" t="s">
        <v>69</v>
      </c>
      <c r="I654" s="21" t="s">
        <v>70</v>
      </c>
      <c r="J654" s="22" t="s">
        <v>3406</v>
      </c>
      <c r="K654" s="23">
        <v>28.0</v>
      </c>
      <c r="L654" s="24">
        <v>10.0</v>
      </c>
      <c r="M654" s="24" t="str">
        <f>IFERROR(VLOOKUP(D654,'Chủ đề bài nguồn'!$A$2:$C$735,3,0),"Khác")</f>
        <v>Nợ xấu &amp; CIC</v>
      </c>
      <c r="N654" s="24"/>
    </row>
    <row r="655">
      <c r="A655" s="15">
        <v>653.0</v>
      </c>
      <c r="B655" s="16" t="s">
        <v>93</v>
      </c>
      <c r="C655" s="18" t="s">
        <v>1766</v>
      </c>
      <c r="D655" s="16" t="s">
        <v>1164</v>
      </c>
      <c r="E655" s="16" t="s">
        <v>3409</v>
      </c>
      <c r="F655" s="16" t="s">
        <v>3410</v>
      </c>
      <c r="G655" s="16" t="s">
        <v>3405</v>
      </c>
      <c r="H655" s="20" t="s">
        <v>69</v>
      </c>
      <c r="I655" s="21" t="s">
        <v>70</v>
      </c>
      <c r="J655" s="22" t="s">
        <v>2622</v>
      </c>
      <c r="K655" s="23">
        <v>28.0</v>
      </c>
      <c r="L655" s="24">
        <v>10.0</v>
      </c>
      <c r="M655" s="24" t="str">
        <f>IFERROR(VLOOKUP(D655,'Chủ đề bài nguồn'!$A$2:$C$735,3,0),"Khác")</f>
        <v>Nợ xấu &amp; CIC</v>
      </c>
      <c r="N655" s="24"/>
    </row>
    <row r="656">
      <c r="A656" s="15">
        <v>654.0</v>
      </c>
      <c r="B656" s="16" t="s">
        <v>93</v>
      </c>
      <c r="C656" s="18" t="s">
        <v>1772</v>
      </c>
      <c r="D656" s="16" t="s">
        <v>1225</v>
      </c>
      <c r="E656" s="16" t="s">
        <v>1481</v>
      </c>
      <c r="F656" s="16" t="s">
        <v>3412</v>
      </c>
      <c r="G656" s="16" t="s">
        <v>3413</v>
      </c>
      <c r="H656" s="20" t="s">
        <v>69</v>
      </c>
      <c r="I656" s="21" t="s">
        <v>70</v>
      </c>
      <c r="J656" s="22" t="s">
        <v>3414</v>
      </c>
      <c r="K656" s="23">
        <v>28.0</v>
      </c>
      <c r="L656" s="24">
        <v>11.0</v>
      </c>
      <c r="M656" s="24" t="str">
        <f>IFERROR(VLOOKUP(D656,'Chủ đề bài nguồn'!$A$2:$C$735,3,0),"Khác")</f>
        <v>Vay tiêu dùng &amp; tín chấp</v>
      </c>
      <c r="N656" s="24"/>
    </row>
    <row r="657">
      <c r="A657" s="15">
        <v>655.0</v>
      </c>
      <c r="B657" s="16" t="s">
        <v>93</v>
      </c>
      <c r="C657" s="18" t="s">
        <v>1766</v>
      </c>
      <c r="D657" s="16" t="s">
        <v>3284</v>
      </c>
      <c r="E657" s="16" t="s">
        <v>3416</v>
      </c>
      <c r="F657" s="16" t="s">
        <v>3417</v>
      </c>
      <c r="G657" s="16" t="s">
        <v>3418</v>
      </c>
      <c r="H657" s="20" t="s">
        <v>69</v>
      </c>
      <c r="I657" s="21" t="s">
        <v>70</v>
      </c>
      <c r="J657" s="22" t="s">
        <v>71</v>
      </c>
      <c r="K657" s="23">
        <v>28.0</v>
      </c>
      <c r="L657" s="24">
        <v>11.0</v>
      </c>
      <c r="M657" s="24" t="str">
        <f>IFERROR(VLOOKUP(D657,'Chủ đề bài nguồn'!$A$2:$C$735,3,0),"Khác")</f>
        <v>Vay tiêu dùng &amp; tín chấp</v>
      </c>
      <c r="N657" s="24"/>
    </row>
    <row r="658">
      <c r="A658" s="15">
        <v>656.0</v>
      </c>
      <c r="B658" s="16" t="s">
        <v>93</v>
      </c>
      <c r="C658" s="18" t="s">
        <v>1772</v>
      </c>
      <c r="D658" s="16" t="s">
        <v>2835</v>
      </c>
      <c r="E658" s="16" t="s">
        <v>3419</v>
      </c>
      <c r="F658" s="16" t="s">
        <v>3420</v>
      </c>
      <c r="G658" s="16" t="s">
        <v>3421</v>
      </c>
      <c r="H658" s="20" t="s">
        <v>155</v>
      </c>
      <c r="I658" s="21" t="s">
        <v>70</v>
      </c>
      <c r="J658" s="22" t="s">
        <v>3423</v>
      </c>
      <c r="K658" s="23">
        <v>28.0</v>
      </c>
      <c r="L658" s="24">
        <v>20.0</v>
      </c>
      <c r="M658" s="24" t="str">
        <f>IFERROR(VLOOKUP(D658,'Chủ đề bài nguồn'!$A$2:$C$735,3,0),"Khác")</f>
        <v>Nợ xấu &amp; CIC</v>
      </c>
      <c r="N658" s="24"/>
    </row>
    <row r="659">
      <c r="A659" s="15">
        <v>657.0</v>
      </c>
      <c r="B659" s="16" t="s">
        <v>93</v>
      </c>
      <c r="C659" s="18" t="s">
        <v>1766</v>
      </c>
      <c r="D659" s="16" t="s">
        <v>1158</v>
      </c>
      <c r="E659" s="16" t="s">
        <v>3424</v>
      </c>
      <c r="F659" s="16" t="s">
        <v>3404</v>
      </c>
      <c r="G659" s="16" t="s">
        <v>3405</v>
      </c>
      <c r="H659" s="20" t="s">
        <v>155</v>
      </c>
      <c r="I659" s="21" t="s">
        <v>70</v>
      </c>
      <c r="J659" s="22" t="s">
        <v>3425</v>
      </c>
      <c r="K659" s="23">
        <v>28.0</v>
      </c>
      <c r="L659" s="24">
        <v>20.0</v>
      </c>
      <c r="M659" s="24" t="str">
        <f>IFERROR(VLOOKUP(D659,'Chủ đề bài nguồn'!$A$2:$C$735,3,0),"Khác")</f>
        <v>Nợ xấu &amp; CIC</v>
      </c>
      <c r="N659" s="24"/>
    </row>
    <row r="660">
      <c r="A660" s="15">
        <v>658.0</v>
      </c>
      <c r="B660" s="16" t="s">
        <v>93</v>
      </c>
      <c r="C660" s="18" t="s">
        <v>1772</v>
      </c>
      <c r="D660" s="16" t="s">
        <v>3059</v>
      </c>
      <c r="E660" s="16" t="s">
        <v>3427</v>
      </c>
      <c r="F660" s="16" t="s">
        <v>3428</v>
      </c>
      <c r="G660" s="16" t="s">
        <v>3429</v>
      </c>
      <c r="H660" s="20" t="s">
        <v>155</v>
      </c>
      <c r="I660" s="21" t="s">
        <v>70</v>
      </c>
      <c r="J660" s="22" t="s">
        <v>3430</v>
      </c>
      <c r="K660" s="23">
        <v>28.0</v>
      </c>
      <c r="L660" s="24">
        <v>21.0</v>
      </c>
      <c r="M660" s="24" t="str">
        <f>IFERROR(VLOOKUP(D660,'Chủ đề bài nguồn'!$A$2:$C$735,3,0),"Khác")</f>
        <v>Nợ xấu &amp; CIC</v>
      </c>
      <c r="N660" s="24"/>
    </row>
    <row r="661">
      <c r="A661" s="15">
        <v>659.0</v>
      </c>
      <c r="B661" s="16" t="s">
        <v>93</v>
      </c>
      <c r="C661" s="18" t="s">
        <v>1772</v>
      </c>
      <c r="D661" s="16" t="s">
        <v>2929</v>
      </c>
      <c r="E661" s="16" t="s">
        <v>3433</v>
      </c>
      <c r="F661" s="16" t="s">
        <v>3434</v>
      </c>
      <c r="G661" s="16" t="s">
        <v>3435</v>
      </c>
      <c r="H661" s="20" t="s">
        <v>155</v>
      </c>
      <c r="I661" s="21" t="s">
        <v>70</v>
      </c>
      <c r="J661" s="22" t="s">
        <v>3436</v>
      </c>
      <c r="K661" s="23">
        <v>28.0</v>
      </c>
      <c r="L661" s="24">
        <v>21.0</v>
      </c>
      <c r="M661" s="24" t="str">
        <f>IFERROR(VLOOKUP(D661,'Chủ đề bài nguồn'!$A$2:$C$735,3,0),"Khác")</f>
        <v>Vay thế chấp &amp; mua nhà/xe</v>
      </c>
      <c r="N661" s="24"/>
    </row>
    <row r="662">
      <c r="A662" s="15">
        <v>660.0</v>
      </c>
      <c r="B662" s="16" t="s">
        <v>93</v>
      </c>
      <c r="C662" s="18" t="s">
        <v>1772</v>
      </c>
      <c r="D662" s="16" t="s">
        <v>3345</v>
      </c>
      <c r="E662" s="16" t="s">
        <v>3437</v>
      </c>
      <c r="F662" s="16" t="s">
        <v>3438</v>
      </c>
      <c r="G662" s="16" t="s">
        <v>3439</v>
      </c>
      <c r="H662" s="20" t="s">
        <v>155</v>
      </c>
      <c r="I662" s="21" t="s">
        <v>70</v>
      </c>
      <c r="J662" s="22" t="s">
        <v>3440</v>
      </c>
      <c r="K662" s="23">
        <v>28.0</v>
      </c>
      <c r="L662" s="24">
        <v>21.0</v>
      </c>
      <c r="M662" s="24" t="str">
        <f>IFERROR(VLOOKUP(D662,'Chủ đề bài nguồn'!$A$2:$C$735,3,0),"Khác")</f>
        <v>Vay thế chấp &amp; mua nhà/xe</v>
      </c>
      <c r="N662" s="24"/>
    </row>
    <row r="663">
      <c r="A663" s="15">
        <v>661.0</v>
      </c>
      <c r="B663" s="16" t="s">
        <v>93</v>
      </c>
      <c r="C663" s="18" t="s">
        <v>1772</v>
      </c>
      <c r="D663" s="16" t="s">
        <v>3089</v>
      </c>
      <c r="E663" s="16" t="s">
        <v>3442</v>
      </c>
      <c r="F663" s="16" t="s">
        <v>3443</v>
      </c>
      <c r="G663" s="16" t="s">
        <v>3444</v>
      </c>
      <c r="H663" s="20" t="s">
        <v>155</v>
      </c>
      <c r="I663" s="21" t="s">
        <v>70</v>
      </c>
      <c r="J663" s="22" t="s">
        <v>71</v>
      </c>
      <c r="K663" s="23">
        <v>28.0</v>
      </c>
      <c r="L663" s="24">
        <v>21.0</v>
      </c>
      <c r="M663" s="24" t="str">
        <f>IFERROR(VLOOKUP(D663,'Chủ đề bài nguồn'!$A$2:$C$735,3,0),"Khác")</f>
        <v>Thẻ tín dụng</v>
      </c>
      <c r="N663" s="24"/>
    </row>
    <row r="664">
      <c r="A664" s="15">
        <v>662.0</v>
      </c>
      <c r="B664" s="16" t="s">
        <v>93</v>
      </c>
      <c r="C664" s="18" t="s">
        <v>1772</v>
      </c>
      <c r="D664" s="16" t="s">
        <v>3066</v>
      </c>
      <c r="E664" s="16" t="s">
        <v>3446</v>
      </c>
      <c r="F664" s="16" t="s">
        <v>3447</v>
      </c>
      <c r="G664" s="16" t="s">
        <v>3448</v>
      </c>
      <c r="H664" s="20" t="s">
        <v>155</v>
      </c>
      <c r="I664" s="21" t="s">
        <v>70</v>
      </c>
      <c r="J664" s="22" t="s">
        <v>71</v>
      </c>
      <c r="K664" s="23">
        <v>28.0</v>
      </c>
      <c r="L664" s="24">
        <v>21.0</v>
      </c>
      <c r="M664" s="24" t="str">
        <f>IFERROR(VLOOKUP(D664,'Chủ đề bài nguồn'!$A$2:$C$735,3,0),"Khác")</f>
        <v>Nợ xấu &amp; CIC</v>
      </c>
      <c r="N664" s="24"/>
    </row>
    <row r="665">
      <c r="A665" s="15">
        <v>663.0</v>
      </c>
      <c r="B665" s="16" t="s">
        <v>93</v>
      </c>
      <c r="C665" s="18" t="s">
        <v>1772</v>
      </c>
      <c r="D665" s="16" t="s">
        <v>3120</v>
      </c>
      <c r="E665" s="16" t="s">
        <v>3449</v>
      </c>
      <c r="F665" s="16" t="s">
        <v>3451</v>
      </c>
      <c r="G665" s="16" t="s">
        <v>3452</v>
      </c>
      <c r="H665" s="20" t="s">
        <v>155</v>
      </c>
      <c r="I665" s="21" t="s">
        <v>70</v>
      </c>
      <c r="J665" s="22" t="s">
        <v>3454</v>
      </c>
      <c r="K665" s="23">
        <v>28.0</v>
      </c>
      <c r="L665" s="24">
        <v>21.0</v>
      </c>
      <c r="M665" s="24" t="str">
        <f>IFERROR(VLOOKUP(D665,'Chủ đề bài nguồn'!$A$2:$C$735,3,0),"Khác")</f>
        <v>Vay tiêu dùng &amp; tín chấp</v>
      </c>
      <c r="N665" s="24"/>
    </row>
    <row r="666">
      <c r="A666" s="15">
        <v>664.0</v>
      </c>
      <c r="B666" s="16" t="s">
        <v>93</v>
      </c>
      <c r="C666" s="18" t="s">
        <v>1772</v>
      </c>
      <c r="D666" s="16" t="s">
        <v>3064</v>
      </c>
      <c r="E666" s="16" t="s">
        <v>3455</v>
      </c>
      <c r="F666" s="16" t="s">
        <v>3456</v>
      </c>
      <c r="G666" s="16" t="s">
        <v>3452</v>
      </c>
      <c r="H666" s="20" t="s">
        <v>155</v>
      </c>
      <c r="I666" s="21" t="s">
        <v>70</v>
      </c>
      <c r="J666" s="22" t="s">
        <v>3430</v>
      </c>
      <c r="K666" s="23">
        <v>28.0</v>
      </c>
      <c r="L666" s="24">
        <v>21.0</v>
      </c>
      <c r="M666" s="24" t="str">
        <f>IFERROR(VLOOKUP(D666,'Chủ đề bài nguồn'!$A$2:$C$735,3,0),"Khác")</f>
        <v>Thẻ tín dụng</v>
      </c>
      <c r="N666" s="24"/>
    </row>
    <row r="667">
      <c r="A667" s="15">
        <v>665.0</v>
      </c>
      <c r="B667" s="16" t="s">
        <v>93</v>
      </c>
      <c r="C667" s="18" t="s">
        <v>1772</v>
      </c>
      <c r="D667" s="16" t="s">
        <v>2985</v>
      </c>
      <c r="E667" s="16" t="s">
        <v>3459</v>
      </c>
      <c r="F667" s="16" t="s">
        <v>3460</v>
      </c>
      <c r="G667" s="16" t="s">
        <v>3461</v>
      </c>
      <c r="H667" s="20" t="s">
        <v>155</v>
      </c>
      <c r="I667" s="21" t="s">
        <v>70</v>
      </c>
      <c r="J667" s="22" t="s">
        <v>3430</v>
      </c>
      <c r="K667" s="23">
        <v>28.0</v>
      </c>
      <c r="L667" s="24">
        <v>21.0</v>
      </c>
      <c r="M667" s="24" t="str">
        <f>IFERROR(VLOOKUP(D667,'Chủ đề bài nguồn'!$A$2:$C$735,3,0),"Khác")</f>
        <v>Thẻ tín dụng</v>
      </c>
      <c r="N667" s="24"/>
    </row>
    <row r="668">
      <c r="A668" s="15">
        <v>666.0</v>
      </c>
      <c r="B668" s="16" t="s">
        <v>93</v>
      </c>
      <c r="C668" s="18" t="s">
        <v>1772</v>
      </c>
      <c r="D668" s="16" t="s">
        <v>3067</v>
      </c>
      <c r="E668" s="16" t="s">
        <v>3463</v>
      </c>
      <c r="F668" s="16" t="s">
        <v>3464</v>
      </c>
      <c r="G668" s="16" t="s">
        <v>3465</v>
      </c>
      <c r="H668" s="20" t="s">
        <v>155</v>
      </c>
      <c r="I668" s="21" t="s">
        <v>70</v>
      </c>
      <c r="J668" s="22" t="s">
        <v>71</v>
      </c>
      <c r="K668" s="23">
        <v>28.0</v>
      </c>
      <c r="L668" s="24">
        <v>21.0</v>
      </c>
      <c r="M668" s="24" t="str">
        <f>IFERROR(VLOOKUP(D668,'Chủ đề bài nguồn'!$A$2:$C$735,3,0),"Khác")</f>
        <v>Nợ xấu &amp; CIC</v>
      </c>
      <c r="N668" s="24"/>
    </row>
    <row r="669">
      <c r="A669" s="15">
        <v>667.0</v>
      </c>
      <c r="B669" s="16" t="s">
        <v>93</v>
      </c>
      <c r="C669" s="18" t="s">
        <v>1772</v>
      </c>
      <c r="D669" s="16" t="s">
        <v>1171</v>
      </c>
      <c r="E669" s="16" t="s">
        <v>3467</v>
      </c>
      <c r="F669" s="16" t="s">
        <v>3468</v>
      </c>
      <c r="G669" s="16" t="s">
        <v>3469</v>
      </c>
      <c r="H669" s="20" t="s">
        <v>155</v>
      </c>
      <c r="I669" s="21" t="s">
        <v>70</v>
      </c>
      <c r="J669" s="22" t="s">
        <v>3440</v>
      </c>
      <c r="K669" s="23">
        <v>28.0</v>
      </c>
      <c r="L669" s="24">
        <v>21.0</v>
      </c>
      <c r="M669" s="24" t="str">
        <f>IFERROR(VLOOKUP(D669,'Chủ đề bài nguồn'!$A$2:$C$735,3,0),"Khác")</f>
        <v>Vay tiêu dùng &amp; tín chấp</v>
      </c>
      <c r="N669" s="24"/>
    </row>
    <row r="670">
      <c r="A670" s="15">
        <v>668.0</v>
      </c>
      <c r="B670" s="16" t="s">
        <v>93</v>
      </c>
      <c r="C670" s="18" t="s">
        <v>1772</v>
      </c>
      <c r="D670" s="16" t="s">
        <v>2847</v>
      </c>
      <c r="E670" s="16" t="s">
        <v>3470</v>
      </c>
      <c r="F670" s="16" t="s">
        <v>3471</v>
      </c>
      <c r="G670" s="16" t="s">
        <v>3472</v>
      </c>
      <c r="H670" s="20" t="s">
        <v>155</v>
      </c>
      <c r="I670" s="21" t="s">
        <v>70</v>
      </c>
      <c r="J670" s="22" t="s">
        <v>3473</v>
      </c>
      <c r="K670" s="23">
        <v>28.0</v>
      </c>
      <c r="L670" s="24">
        <v>21.0</v>
      </c>
      <c r="M670" s="24" t="str">
        <f>IFERROR(VLOOKUP(D670,'Chủ đề bài nguồn'!$A$2:$C$735,3,0),"Khác")</f>
        <v>Nợ xấu &amp; CIC</v>
      </c>
      <c r="N670" s="24"/>
    </row>
    <row r="671">
      <c r="A671" s="15">
        <v>669.0</v>
      </c>
      <c r="B671" s="16" t="s">
        <v>93</v>
      </c>
      <c r="C671" s="18" t="s">
        <v>1772</v>
      </c>
      <c r="D671" s="16" t="s">
        <v>2846</v>
      </c>
      <c r="E671" s="16" t="s">
        <v>3474</v>
      </c>
      <c r="F671" s="16" t="s">
        <v>3475</v>
      </c>
      <c r="G671" s="16" t="s">
        <v>3476</v>
      </c>
      <c r="H671" s="20" t="s">
        <v>155</v>
      </c>
      <c r="I671" s="21" t="s">
        <v>70</v>
      </c>
      <c r="J671" s="22" t="s">
        <v>3477</v>
      </c>
      <c r="K671" s="23">
        <v>28.0</v>
      </c>
      <c r="L671" s="24">
        <v>21.0</v>
      </c>
      <c r="M671" s="24" t="str">
        <f>IFERROR(VLOOKUP(D671,'Chủ đề bài nguồn'!$A$2:$C$735,3,0),"Khác")</f>
        <v>Nợ xấu &amp; CIC</v>
      </c>
      <c r="N671" s="24"/>
    </row>
    <row r="672">
      <c r="A672" s="15">
        <v>670.0</v>
      </c>
      <c r="B672" s="16" t="s">
        <v>93</v>
      </c>
      <c r="C672" s="18" t="s">
        <v>1772</v>
      </c>
      <c r="D672" s="16" t="s">
        <v>2535</v>
      </c>
      <c r="E672" s="16" t="s">
        <v>3479</v>
      </c>
      <c r="F672" s="16" t="s">
        <v>3480</v>
      </c>
      <c r="G672" s="16" t="s">
        <v>3452</v>
      </c>
      <c r="H672" s="20" t="s">
        <v>155</v>
      </c>
      <c r="I672" s="21" t="s">
        <v>70</v>
      </c>
      <c r="J672" s="22" t="s">
        <v>71</v>
      </c>
      <c r="K672" s="23">
        <v>28.0</v>
      </c>
      <c r="L672" s="24">
        <v>21.0</v>
      </c>
      <c r="M672" s="24" t="str">
        <f>IFERROR(VLOOKUP(D672,'Chủ đề bài nguồn'!$A$2:$C$735,3,0),"Khác")</f>
        <v>Vay tiêu dùng &amp; tín chấp</v>
      </c>
      <c r="N672" s="24"/>
    </row>
    <row r="673">
      <c r="A673" s="15">
        <v>671.0</v>
      </c>
      <c r="B673" s="16" t="s">
        <v>93</v>
      </c>
      <c r="C673" s="18" t="s">
        <v>1772</v>
      </c>
      <c r="D673" s="16" t="s">
        <v>3298</v>
      </c>
      <c r="E673" s="16" t="s">
        <v>3481</v>
      </c>
      <c r="F673" s="16" t="s">
        <v>3482</v>
      </c>
      <c r="G673" s="16" t="s">
        <v>3483</v>
      </c>
      <c r="H673" s="20" t="s">
        <v>155</v>
      </c>
      <c r="I673" s="21" t="s">
        <v>70</v>
      </c>
      <c r="J673" s="22" t="s">
        <v>71</v>
      </c>
      <c r="K673" s="23">
        <v>28.0</v>
      </c>
      <c r="L673" s="24">
        <v>21.0</v>
      </c>
      <c r="M673" s="24" t="str">
        <f>IFERROR(VLOOKUP(D673,'Chủ đề bài nguồn'!$A$2:$C$735,3,0),"Khác")</f>
        <v>Vay tiêu dùng &amp; tín chấp</v>
      </c>
      <c r="N673" s="24"/>
    </row>
    <row r="674">
      <c r="A674" s="15">
        <v>672.0</v>
      </c>
      <c r="B674" s="16" t="s">
        <v>93</v>
      </c>
      <c r="C674" s="18" t="s">
        <v>1772</v>
      </c>
      <c r="D674" s="16" t="s">
        <v>3344</v>
      </c>
      <c r="E674" s="16" t="s">
        <v>3486</v>
      </c>
      <c r="F674" s="16" t="s">
        <v>3487</v>
      </c>
      <c r="G674" s="16" t="s">
        <v>3488</v>
      </c>
      <c r="H674" s="20" t="s">
        <v>155</v>
      </c>
      <c r="I674" s="21" t="s">
        <v>70</v>
      </c>
      <c r="J674" s="22" t="s">
        <v>3440</v>
      </c>
      <c r="K674" s="23">
        <v>28.0</v>
      </c>
      <c r="L674" s="24">
        <v>21.0</v>
      </c>
      <c r="M674" s="24" t="str">
        <f>IFERROR(VLOOKUP(D674,'Chủ đề bài nguồn'!$A$2:$C$735,3,0),"Khác")</f>
        <v>Vay tiêu dùng &amp; tín chấp</v>
      </c>
      <c r="N674" s="24"/>
    </row>
    <row r="675">
      <c r="A675" s="15">
        <v>673.0</v>
      </c>
      <c r="B675" s="16" t="s">
        <v>93</v>
      </c>
      <c r="C675" s="18" t="s">
        <v>1772</v>
      </c>
      <c r="D675" s="16" t="s">
        <v>2894</v>
      </c>
      <c r="E675" s="16" t="s">
        <v>3490</v>
      </c>
      <c r="F675" s="16" t="s">
        <v>3491</v>
      </c>
      <c r="G675" s="16" t="s">
        <v>3492</v>
      </c>
      <c r="H675" s="20" t="s">
        <v>155</v>
      </c>
      <c r="I675" s="21" t="s">
        <v>70</v>
      </c>
      <c r="J675" s="22" t="s">
        <v>3493</v>
      </c>
      <c r="K675" s="23">
        <v>28.0</v>
      </c>
      <c r="L675" s="24">
        <v>21.0</v>
      </c>
      <c r="M675" s="24" t="str">
        <f>IFERROR(VLOOKUP(D675,'Chủ đề bài nguồn'!$A$2:$C$735,3,0),"Khác")</f>
        <v>Doanh nghiệp (tài khoản, vay, tài chính)</v>
      </c>
      <c r="N675" s="24"/>
    </row>
    <row r="676">
      <c r="A676" s="15">
        <v>674.0</v>
      </c>
      <c r="B676" s="16" t="s">
        <v>93</v>
      </c>
      <c r="C676" s="18" t="s">
        <v>1766</v>
      </c>
      <c r="D676" s="16" t="s">
        <v>2346</v>
      </c>
      <c r="E676" s="16" t="s">
        <v>2347</v>
      </c>
      <c r="F676" s="16" t="s">
        <v>3495</v>
      </c>
      <c r="G676" s="16" t="s">
        <v>3496</v>
      </c>
      <c r="H676" s="20" t="s">
        <v>155</v>
      </c>
      <c r="I676" s="21" t="s">
        <v>70</v>
      </c>
      <c r="J676" s="22" t="s">
        <v>3436</v>
      </c>
      <c r="K676" s="23">
        <v>28.0</v>
      </c>
      <c r="L676" s="24">
        <v>21.0</v>
      </c>
      <c r="M676" s="24" t="str">
        <f>IFERROR(VLOOKUP(D676,'Chủ đề bài nguồn'!$A$2:$C$735,3,0),"Khác")</f>
        <v>Vay tiêu dùng &amp; tín chấp</v>
      </c>
      <c r="N676" s="24"/>
    </row>
    <row r="677">
      <c r="A677" s="15">
        <v>675.0</v>
      </c>
      <c r="B677" s="16" t="s">
        <v>93</v>
      </c>
      <c r="C677" s="18" t="s">
        <v>1766</v>
      </c>
      <c r="D677" s="16" t="s">
        <v>3071</v>
      </c>
      <c r="E677" s="16" t="s">
        <v>3497</v>
      </c>
      <c r="F677" s="16" t="s">
        <v>3499</v>
      </c>
      <c r="G677" s="16" t="s">
        <v>3500</v>
      </c>
      <c r="H677" s="20" t="s">
        <v>155</v>
      </c>
      <c r="I677" s="21" t="s">
        <v>70</v>
      </c>
      <c r="J677" s="22" t="s">
        <v>71</v>
      </c>
      <c r="K677" s="23">
        <v>28.0</v>
      </c>
      <c r="L677" s="24">
        <v>21.0</v>
      </c>
      <c r="M677" s="24" t="str">
        <f>IFERROR(VLOOKUP(D677,'Chủ đề bài nguồn'!$A$2:$C$735,3,0),"Khác")</f>
        <v>Nợ xấu &amp; CIC</v>
      </c>
      <c r="N677" s="24"/>
    </row>
    <row r="678">
      <c r="A678" s="15">
        <v>676.0</v>
      </c>
      <c r="B678" s="16" t="s">
        <v>93</v>
      </c>
      <c r="C678" s="18" t="s">
        <v>1766</v>
      </c>
      <c r="D678" s="16" t="s">
        <v>3336</v>
      </c>
      <c r="E678" s="16" t="s">
        <v>3501</v>
      </c>
      <c r="F678" s="16" t="s">
        <v>3502</v>
      </c>
      <c r="G678" s="16" t="s">
        <v>3503</v>
      </c>
      <c r="H678" s="20" t="s">
        <v>155</v>
      </c>
      <c r="I678" s="21" t="s">
        <v>70</v>
      </c>
      <c r="J678" s="22" t="s">
        <v>3504</v>
      </c>
      <c r="K678" s="23">
        <v>28.0</v>
      </c>
      <c r="L678" s="24">
        <v>21.0</v>
      </c>
      <c r="M678" s="24" t="str">
        <f>IFERROR(VLOOKUP(D678,'Chủ đề bài nguồn'!$A$2:$C$735,3,0),"Khác")</f>
        <v>Nợ xấu &amp; CIC</v>
      </c>
      <c r="N678" s="24"/>
    </row>
    <row r="679">
      <c r="A679" s="15">
        <v>677.0</v>
      </c>
      <c r="B679" s="16" t="s">
        <v>93</v>
      </c>
      <c r="C679" s="18" t="s">
        <v>1766</v>
      </c>
      <c r="D679" s="16" t="s">
        <v>2885</v>
      </c>
      <c r="E679" s="16" t="s">
        <v>3505</v>
      </c>
      <c r="F679" s="16" t="s">
        <v>3507</v>
      </c>
      <c r="G679" s="16" t="s">
        <v>3508</v>
      </c>
      <c r="H679" s="20" t="s">
        <v>155</v>
      </c>
      <c r="I679" s="21" t="s">
        <v>70</v>
      </c>
      <c r="J679" s="22" t="s">
        <v>3436</v>
      </c>
      <c r="K679" s="23">
        <v>28.0</v>
      </c>
      <c r="L679" s="24">
        <v>21.0</v>
      </c>
      <c r="M679" s="24" t="str">
        <f>IFERROR(VLOOKUP(D679,'Chủ đề bài nguồn'!$A$2:$C$735,3,0),"Khác")</f>
        <v>Thẻ tín dụng</v>
      </c>
      <c r="N679" s="24"/>
    </row>
    <row r="680">
      <c r="A680" s="15">
        <v>678.0</v>
      </c>
      <c r="B680" s="16" t="s">
        <v>93</v>
      </c>
      <c r="C680" s="18" t="s">
        <v>1766</v>
      </c>
      <c r="D680" s="16" t="s">
        <v>3109</v>
      </c>
      <c r="E680" s="16" t="s">
        <v>3509</v>
      </c>
      <c r="F680" s="16" t="s">
        <v>3510</v>
      </c>
      <c r="G680" s="16" t="s">
        <v>3512</v>
      </c>
      <c r="H680" s="20" t="s">
        <v>155</v>
      </c>
      <c r="I680" s="21" t="s">
        <v>70</v>
      </c>
      <c r="J680" s="22" t="s">
        <v>994</v>
      </c>
      <c r="K680" s="23">
        <v>28.0</v>
      </c>
      <c r="L680" s="24">
        <v>21.0</v>
      </c>
      <c r="M680" s="24" t="str">
        <f>IFERROR(VLOOKUP(D680,'Chủ đề bài nguồn'!$A$2:$C$735,3,0),"Khác")</f>
        <v>Thẻ tín dụng</v>
      </c>
      <c r="N680" s="24"/>
    </row>
    <row r="681">
      <c r="A681" s="15">
        <v>679.0</v>
      </c>
      <c r="B681" s="16" t="s">
        <v>93</v>
      </c>
      <c r="C681" s="18" t="s">
        <v>1766</v>
      </c>
      <c r="D681" s="16" t="s">
        <v>3181</v>
      </c>
      <c r="E681" s="16" t="s">
        <v>3514</v>
      </c>
      <c r="F681" s="16" t="s">
        <v>3515</v>
      </c>
      <c r="G681" s="16" t="s">
        <v>3516</v>
      </c>
      <c r="H681" s="20" t="s">
        <v>155</v>
      </c>
      <c r="I681" s="21" t="s">
        <v>70</v>
      </c>
      <c r="J681" s="22" t="s">
        <v>994</v>
      </c>
      <c r="K681" s="23">
        <v>28.0</v>
      </c>
      <c r="L681" s="24">
        <v>21.0</v>
      </c>
      <c r="M681" s="24" t="str">
        <f>IFERROR(VLOOKUP(D681,'Chủ đề bài nguồn'!$A$2:$C$735,3,0),"Khác")</f>
        <v>Thẻ tín dụng</v>
      </c>
      <c r="N681" s="24"/>
    </row>
    <row r="682">
      <c r="A682" s="15">
        <v>680.0</v>
      </c>
      <c r="B682" s="16" t="s">
        <v>93</v>
      </c>
      <c r="C682" s="18" t="s">
        <v>1766</v>
      </c>
      <c r="D682" s="16" t="s">
        <v>1463</v>
      </c>
      <c r="E682" s="16" t="s">
        <v>3519</v>
      </c>
      <c r="F682" s="16" t="s">
        <v>3520</v>
      </c>
      <c r="G682" s="16" t="s">
        <v>3521</v>
      </c>
      <c r="H682" s="20" t="s">
        <v>155</v>
      </c>
      <c r="I682" s="21" t="s">
        <v>70</v>
      </c>
      <c r="J682" s="22" t="s">
        <v>71</v>
      </c>
      <c r="K682" s="23">
        <v>28.0</v>
      </c>
      <c r="L682" s="24">
        <v>21.0</v>
      </c>
      <c r="M682" s="24" t="str">
        <f>IFERROR(VLOOKUP(D682,'Chủ đề bài nguồn'!$A$2:$C$735,3,0),"Khác")</f>
        <v>Thẻ tín dụng</v>
      </c>
      <c r="N682" s="24"/>
    </row>
    <row r="683">
      <c r="A683" s="15">
        <v>681.0</v>
      </c>
      <c r="B683" s="16" t="s">
        <v>93</v>
      </c>
      <c r="C683" s="18" t="s">
        <v>1766</v>
      </c>
      <c r="D683" s="16" t="s">
        <v>700</v>
      </c>
      <c r="E683" s="16" t="s">
        <v>3523</v>
      </c>
      <c r="F683" s="16" t="s">
        <v>3524</v>
      </c>
      <c r="G683" s="16" t="s">
        <v>3525</v>
      </c>
      <c r="H683" s="20" t="s">
        <v>155</v>
      </c>
      <c r="I683" s="21" t="s">
        <v>70</v>
      </c>
      <c r="J683" s="22" t="s">
        <v>71</v>
      </c>
      <c r="K683" s="23">
        <v>28.0</v>
      </c>
      <c r="L683" s="24">
        <v>21.0</v>
      </c>
      <c r="M683" s="24" t="str">
        <f>IFERROR(VLOOKUP(D683,'Chủ đề bài nguồn'!$A$2:$C$735,3,0),"Khác")</f>
        <v>Thẻ tín dụng</v>
      </c>
      <c r="N683" s="24"/>
    </row>
    <row r="684">
      <c r="A684" s="15">
        <v>682.0</v>
      </c>
      <c r="B684" s="16" t="s">
        <v>93</v>
      </c>
      <c r="C684" s="18" t="s">
        <v>1766</v>
      </c>
      <c r="D684" s="16" t="s">
        <v>1561</v>
      </c>
      <c r="E684" s="16" t="s">
        <v>3526</v>
      </c>
      <c r="F684" s="16" t="s">
        <v>3527</v>
      </c>
      <c r="G684" s="16" t="s">
        <v>3528</v>
      </c>
      <c r="H684" s="20" t="s">
        <v>155</v>
      </c>
      <c r="I684" s="21" t="s">
        <v>70</v>
      </c>
      <c r="J684" s="22" t="s">
        <v>71</v>
      </c>
      <c r="K684" s="23">
        <v>28.0</v>
      </c>
      <c r="L684" s="24">
        <v>21.0</v>
      </c>
      <c r="M684" s="24" t="str">
        <f>IFERROR(VLOOKUP(D684,'Chủ đề bài nguồn'!$A$2:$C$735,3,0),"Khác")</f>
        <v>Thẻ tín dụng</v>
      </c>
      <c r="N684" s="24"/>
    </row>
    <row r="685">
      <c r="A685" s="15">
        <v>683.0</v>
      </c>
      <c r="B685" s="16" t="s">
        <v>93</v>
      </c>
      <c r="C685" s="18" t="s">
        <v>1766</v>
      </c>
      <c r="D685" s="16" t="s">
        <v>341</v>
      </c>
      <c r="E685" s="16" t="s">
        <v>3529</v>
      </c>
      <c r="F685" s="16" t="s">
        <v>3530</v>
      </c>
      <c r="G685" s="16" t="s">
        <v>3531</v>
      </c>
      <c r="H685" s="20" t="s">
        <v>155</v>
      </c>
      <c r="I685" s="21" t="s">
        <v>70</v>
      </c>
      <c r="J685" s="22" t="s">
        <v>994</v>
      </c>
      <c r="K685" s="23">
        <v>28.0</v>
      </c>
      <c r="L685" s="24">
        <v>21.0</v>
      </c>
      <c r="M685" s="24" t="str">
        <f>IFERROR(VLOOKUP(D685,'Chủ đề bài nguồn'!$A$2:$C$735,3,0),"Khác")</f>
        <v>Doanh nghiệp (tài khoản, vay, tài chính)</v>
      </c>
      <c r="N685" s="24"/>
    </row>
    <row r="686">
      <c r="A686" s="15">
        <v>684.0</v>
      </c>
      <c r="B686" s="16" t="s">
        <v>93</v>
      </c>
      <c r="C686" s="18" t="s">
        <v>1766</v>
      </c>
      <c r="D686" s="16" t="s">
        <v>3029</v>
      </c>
      <c r="E686" s="16" t="s">
        <v>3533</v>
      </c>
      <c r="F686" s="16" t="s">
        <v>3534</v>
      </c>
      <c r="G686" s="16" t="s">
        <v>3535</v>
      </c>
      <c r="H686" s="20" t="s">
        <v>155</v>
      </c>
      <c r="I686" s="21" t="s">
        <v>70</v>
      </c>
      <c r="J686" s="22" t="s">
        <v>3536</v>
      </c>
      <c r="K686" s="23">
        <v>28.0</v>
      </c>
      <c r="L686" s="24">
        <v>21.0</v>
      </c>
      <c r="M686" s="24" t="str">
        <f>IFERROR(VLOOKUP(D686,'Chủ đề bài nguồn'!$A$2:$C$735,3,0),"Khác")</f>
        <v>Vay thế chấp &amp; mua nhà/xe</v>
      </c>
      <c r="N686" s="24"/>
    </row>
    <row r="687">
      <c r="A687" s="15">
        <v>685.0</v>
      </c>
      <c r="B687" s="16" t="s">
        <v>93</v>
      </c>
      <c r="C687" s="18" t="s">
        <v>1766</v>
      </c>
      <c r="D687" s="16" t="s">
        <v>3098</v>
      </c>
      <c r="E687" s="16" t="s">
        <v>3537</v>
      </c>
      <c r="F687" s="16" t="s">
        <v>3538</v>
      </c>
      <c r="G687" s="16" t="s">
        <v>3539</v>
      </c>
      <c r="H687" s="20" t="s">
        <v>155</v>
      </c>
      <c r="I687" s="21" t="s">
        <v>70</v>
      </c>
      <c r="J687" s="22" t="s">
        <v>71</v>
      </c>
      <c r="K687" s="23">
        <v>28.0</v>
      </c>
      <c r="L687" s="24">
        <v>21.0</v>
      </c>
      <c r="M687" s="24" t="str">
        <f>IFERROR(VLOOKUP(D687,'Chủ đề bài nguồn'!$A$2:$C$735,3,0),"Khác")</f>
        <v>Vay tiêu dùng &amp; tín chấp</v>
      </c>
      <c r="N687" s="24"/>
    </row>
    <row r="688">
      <c r="A688" s="15">
        <v>686.0</v>
      </c>
      <c r="B688" s="16" t="s">
        <v>93</v>
      </c>
      <c r="C688" s="18" t="s">
        <v>1762</v>
      </c>
      <c r="D688" s="16" t="s">
        <v>2973</v>
      </c>
      <c r="E688" s="16" t="s">
        <v>3542</v>
      </c>
      <c r="F688" s="16" t="s">
        <v>3543</v>
      </c>
      <c r="G688" s="16" t="s">
        <v>3544</v>
      </c>
      <c r="H688" s="20" t="s">
        <v>155</v>
      </c>
      <c r="I688" s="21" t="s">
        <v>70</v>
      </c>
      <c r="J688" s="22" t="s">
        <v>3545</v>
      </c>
      <c r="K688" s="23">
        <v>28.0</v>
      </c>
      <c r="L688" s="24">
        <v>21.0</v>
      </c>
      <c r="M688" s="24" t="str">
        <f>IFERROR(VLOOKUP(D688,'Chủ đề bài nguồn'!$A$2:$C$735,3,0),"Khác")</f>
        <v>Nợ xấu &amp; CIC</v>
      </c>
      <c r="N688" s="24"/>
    </row>
    <row r="689">
      <c r="A689" s="15">
        <v>687.0</v>
      </c>
      <c r="B689" s="16" t="s">
        <v>93</v>
      </c>
      <c r="C689" s="18" t="s">
        <v>1762</v>
      </c>
      <c r="D689" s="16" t="s">
        <v>3074</v>
      </c>
      <c r="E689" s="16" t="s">
        <v>3547</v>
      </c>
      <c r="F689" s="16" t="s">
        <v>3548</v>
      </c>
      <c r="G689" s="16" t="s">
        <v>3549</v>
      </c>
      <c r="H689" s="20" t="s">
        <v>155</v>
      </c>
      <c r="I689" s="21" t="s">
        <v>70</v>
      </c>
      <c r="J689" s="22" t="s">
        <v>71</v>
      </c>
      <c r="K689" s="23">
        <v>28.0</v>
      </c>
      <c r="L689" s="24">
        <v>21.0</v>
      </c>
      <c r="M689" s="24" t="str">
        <f>IFERROR(VLOOKUP(D689,'Chủ đề bài nguồn'!$A$2:$C$735,3,0),"Khác")</f>
        <v>Nợ xấu &amp; CIC</v>
      </c>
      <c r="N689" s="24"/>
    </row>
    <row r="690">
      <c r="A690" s="15">
        <v>688.0</v>
      </c>
      <c r="B690" s="16" t="s">
        <v>93</v>
      </c>
      <c r="C690" s="18" t="s">
        <v>1762</v>
      </c>
      <c r="D690" s="16" t="s">
        <v>934</v>
      </c>
      <c r="E690" s="16" t="s">
        <v>3550</v>
      </c>
      <c r="F690" s="16" t="s">
        <v>3543</v>
      </c>
      <c r="G690" s="16" t="s">
        <v>3551</v>
      </c>
      <c r="H690" s="20" t="s">
        <v>155</v>
      </c>
      <c r="I690" s="21" t="s">
        <v>70</v>
      </c>
      <c r="J690" s="22" t="s">
        <v>3552</v>
      </c>
      <c r="K690" s="23">
        <v>28.0</v>
      </c>
      <c r="L690" s="24">
        <v>21.0</v>
      </c>
      <c r="M690" s="24" t="str">
        <f>IFERROR(VLOOKUP(D690,'Chủ đề bài nguồn'!$A$2:$C$735,3,0),"Khác")</f>
        <v>Nợ xấu &amp; CIC</v>
      </c>
      <c r="N690" s="24"/>
    </row>
    <row r="691">
      <c r="A691" s="15">
        <v>689.0</v>
      </c>
      <c r="B691" s="16" t="s">
        <v>93</v>
      </c>
      <c r="C691" s="18" t="s">
        <v>1762</v>
      </c>
      <c r="D691" s="16" t="s">
        <v>2887</v>
      </c>
      <c r="E691" s="16" t="s">
        <v>3554</v>
      </c>
      <c r="F691" s="16" t="s">
        <v>3555</v>
      </c>
      <c r="G691" s="16" t="s">
        <v>3556</v>
      </c>
      <c r="H691" s="20" t="s">
        <v>155</v>
      </c>
      <c r="I691" s="21" t="s">
        <v>70</v>
      </c>
      <c r="J691" s="22" t="s">
        <v>3436</v>
      </c>
      <c r="K691" s="23">
        <v>28.0</v>
      </c>
      <c r="L691" s="24">
        <v>21.0</v>
      </c>
      <c r="M691" s="24" t="str">
        <f>IFERROR(VLOOKUP(D691,'Chủ đề bài nguồn'!$A$2:$C$735,3,0),"Khác")</f>
        <v>Vay thế chấp &amp; mua nhà/xe</v>
      </c>
      <c r="N691" s="24"/>
    </row>
    <row r="692">
      <c r="A692" s="15">
        <v>690.0</v>
      </c>
      <c r="B692" s="16" t="s">
        <v>93</v>
      </c>
      <c r="C692" s="18" t="s">
        <v>1762</v>
      </c>
      <c r="D692" s="16" t="s">
        <v>2928</v>
      </c>
      <c r="E692" s="16" t="s">
        <v>3557</v>
      </c>
      <c r="F692" s="16" t="s">
        <v>3558</v>
      </c>
      <c r="G692" s="16" t="s">
        <v>3559</v>
      </c>
      <c r="H692" s="20" t="s">
        <v>155</v>
      </c>
      <c r="I692" s="21" t="s">
        <v>70</v>
      </c>
      <c r="J692" s="22" t="s">
        <v>3436</v>
      </c>
      <c r="K692" s="23">
        <v>28.0</v>
      </c>
      <c r="L692" s="24">
        <v>21.0</v>
      </c>
      <c r="M692" s="24" t="str">
        <f>IFERROR(VLOOKUP(D692,'Chủ đề bài nguồn'!$A$2:$C$735,3,0),"Khác")</f>
        <v>Vay thế chấp &amp; mua nhà/xe</v>
      </c>
      <c r="N692" s="24"/>
    </row>
    <row r="693">
      <c r="A693" s="15">
        <v>691.0</v>
      </c>
      <c r="B693" s="16" t="s">
        <v>93</v>
      </c>
      <c r="C693" s="18" t="s">
        <v>1772</v>
      </c>
      <c r="D693" s="16" t="s">
        <v>3338</v>
      </c>
      <c r="E693" s="16" t="s">
        <v>3560</v>
      </c>
      <c r="F693" s="16" t="s">
        <v>3561</v>
      </c>
      <c r="G693" s="16" t="s">
        <v>3562</v>
      </c>
      <c r="H693" s="20" t="s">
        <v>229</v>
      </c>
      <c r="I693" s="21" t="s">
        <v>70</v>
      </c>
      <c r="J693" s="22" t="s">
        <v>3440</v>
      </c>
      <c r="K693" s="23">
        <v>28.0</v>
      </c>
      <c r="L693" s="24">
        <v>31.0</v>
      </c>
      <c r="M693" s="24" t="str">
        <f>IFERROR(VLOOKUP(D693,'Chủ đề bài nguồn'!$A$2:$C$735,3,0),"Khác")</f>
        <v>Vay tiêu dùng &amp; tín chấp</v>
      </c>
      <c r="N693" s="24"/>
    </row>
    <row r="694">
      <c r="A694" s="15">
        <v>692.0</v>
      </c>
      <c r="B694" s="16" t="s">
        <v>93</v>
      </c>
      <c r="C694" s="18" t="s">
        <v>1766</v>
      </c>
      <c r="D694" s="16" t="s">
        <v>2886</v>
      </c>
      <c r="E694" s="16" t="s">
        <v>3564</v>
      </c>
      <c r="F694" s="16" t="s">
        <v>3565</v>
      </c>
      <c r="G694" s="16" t="s">
        <v>3566</v>
      </c>
      <c r="H694" s="20" t="s">
        <v>229</v>
      </c>
      <c r="I694" s="21" t="s">
        <v>70</v>
      </c>
      <c r="J694" s="22" t="s">
        <v>884</v>
      </c>
      <c r="K694" s="23">
        <v>28.0</v>
      </c>
      <c r="L694" s="24">
        <v>31.0</v>
      </c>
      <c r="M694" s="24" t="str">
        <f>IFERROR(VLOOKUP(D694,'Chủ đề bài nguồn'!$A$2:$C$735,3,0),"Khác")</f>
        <v>Vay tiêu dùng &amp; tín chấp</v>
      </c>
      <c r="N694" s="24"/>
    </row>
    <row r="695">
      <c r="A695" s="15">
        <v>693.0</v>
      </c>
      <c r="B695" s="16" t="s">
        <v>93</v>
      </c>
      <c r="C695" s="18" t="s">
        <v>1766</v>
      </c>
      <c r="D695" s="16" t="s">
        <v>2340</v>
      </c>
      <c r="E695" s="16" t="s">
        <v>3567</v>
      </c>
      <c r="F695" s="16" t="s">
        <v>3568</v>
      </c>
      <c r="G695" s="16" t="s">
        <v>3569</v>
      </c>
      <c r="H695" s="20" t="s">
        <v>229</v>
      </c>
      <c r="I695" s="21" t="s">
        <v>70</v>
      </c>
      <c r="J695" s="22" t="s">
        <v>3477</v>
      </c>
      <c r="K695" s="23">
        <v>28.0</v>
      </c>
      <c r="L695" s="24">
        <v>31.0</v>
      </c>
      <c r="M695" s="24" t="str">
        <f>IFERROR(VLOOKUP(D695,'Chủ đề bài nguồn'!$A$2:$C$735,3,0),"Khác")</f>
        <v>Vay tiêu dùng &amp; tín chấp</v>
      </c>
      <c r="N695" s="24"/>
    </row>
    <row r="696">
      <c r="A696" s="15">
        <v>694.0</v>
      </c>
      <c r="B696" s="16" t="s">
        <v>93</v>
      </c>
      <c r="C696" s="18" t="s">
        <v>1766</v>
      </c>
      <c r="D696" s="16" t="s">
        <v>2374</v>
      </c>
      <c r="E696" s="16" t="s">
        <v>3572</v>
      </c>
      <c r="F696" s="16" t="s">
        <v>3573</v>
      </c>
      <c r="G696" s="16" t="s">
        <v>3574</v>
      </c>
      <c r="H696" s="20" t="s">
        <v>229</v>
      </c>
      <c r="I696" s="21" t="s">
        <v>70</v>
      </c>
      <c r="J696" s="22" t="s">
        <v>3477</v>
      </c>
      <c r="K696" s="23">
        <v>28.0</v>
      </c>
      <c r="L696" s="24">
        <v>31.0</v>
      </c>
      <c r="M696" s="24" t="str">
        <f>IFERROR(VLOOKUP(D696,'Chủ đề bài nguồn'!$A$2:$C$735,3,0),"Khác")</f>
        <v>Quản lý tài chính cá nhân</v>
      </c>
      <c r="N696" s="24"/>
    </row>
    <row r="697">
      <c r="A697" s="15">
        <v>695.0</v>
      </c>
      <c r="B697" s="16" t="s">
        <v>93</v>
      </c>
      <c r="C697" s="18" t="s">
        <v>1766</v>
      </c>
      <c r="D697" s="16" t="s">
        <v>918</v>
      </c>
      <c r="E697" s="16" t="s">
        <v>3577</v>
      </c>
      <c r="F697" s="16" t="s">
        <v>3578</v>
      </c>
      <c r="G697" s="16" t="s">
        <v>3579</v>
      </c>
      <c r="H697" s="20" t="s">
        <v>229</v>
      </c>
      <c r="I697" s="21" t="s">
        <v>70</v>
      </c>
      <c r="J697" s="22" t="s">
        <v>3580</v>
      </c>
      <c r="K697" s="23">
        <v>28.0</v>
      </c>
      <c r="L697" s="24">
        <v>31.0</v>
      </c>
      <c r="M697" s="24" t="str">
        <f>IFERROR(VLOOKUP(D697,'Chủ đề bài nguồn'!$A$2:$C$735,3,0),"Khác")</f>
        <v>Thẻ tín dụng</v>
      </c>
      <c r="N697" s="24"/>
    </row>
    <row r="698">
      <c r="A698" s="15">
        <v>696.0</v>
      </c>
      <c r="B698" s="16" t="s">
        <v>93</v>
      </c>
      <c r="C698" s="18" t="s">
        <v>1766</v>
      </c>
      <c r="D698" s="16" t="s">
        <v>1957</v>
      </c>
      <c r="E698" s="16" t="s">
        <v>3582</v>
      </c>
      <c r="F698" s="16" t="s">
        <v>3583</v>
      </c>
      <c r="G698" s="16" t="s">
        <v>3584</v>
      </c>
      <c r="H698" s="20" t="s">
        <v>229</v>
      </c>
      <c r="I698" s="21" t="s">
        <v>70</v>
      </c>
      <c r="J698" s="22" t="s">
        <v>71</v>
      </c>
      <c r="K698" s="23">
        <v>28.0</v>
      </c>
      <c r="L698" s="24">
        <v>31.0</v>
      </c>
      <c r="M698" s="24" t="str">
        <f>IFERROR(VLOOKUP(D698,'Chủ đề bài nguồn'!$A$2:$C$735,3,0),"Khác")</f>
        <v>Thẻ tín dụng</v>
      </c>
      <c r="N698" s="24"/>
    </row>
    <row r="699">
      <c r="A699" s="15">
        <v>697.0</v>
      </c>
      <c r="B699" s="16" t="s">
        <v>93</v>
      </c>
      <c r="C699" s="18" t="s">
        <v>1766</v>
      </c>
      <c r="D699" s="16" t="s">
        <v>3009</v>
      </c>
      <c r="E699" s="16" t="s">
        <v>3585</v>
      </c>
      <c r="F699" s="16" t="s">
        <v>3586</v>
      </c>
      <c r="G699" s="16" t="s">
        <v>3587</v>
      </c>
      <c r="H699" s="20" t="s">
        <v>229</v>
      </c>
      <c r="I699" s="21" t="s">
        <v>70</v>
      </c>
      <c r="J699" s="22" t="s">
        <v>71</v>
      </c>
      <c r="K699" s="23">
        <v>28.0</v>
      </c>
      <c r="L699" s="24">
        <v>31.0</v>
      </c>
      <c r="M699" s="24" t="str">
        <f>IFERROR(VLOOKUP(D699,'Chủ đề bài nguồn'!$A$2:$C$735,3,0),"Khác")</f>
        <v>Thẻ tín dụng</v>
      </c>
      <c r="N699" s="24"/>
    </row>
    <row r="700">
      <c r="A700" s="15">
        <v>698.0</v>
      </c>
      <c r="B700" s="16" t="s">
        <v>93</v>
      </c>
      <c r="C700" s="18" t="s">
        <v>1766</v>
      </c>
      <c r="D700" s="16" t="s">
        <v>985</v>
      </c>
      <c r="E700" s="16" t="s">
        <v>3589</v>
      </c>
      <c r="F700" s="16" t="s">
        <v>3590</v>
      </c>
      <c r="G700" s="16" t="s">
        <v>3591</v>
      </c>
      <c r="H700" s="20" t="s">
        <v>229</v>
      </c>
      <c r="I700" s="21" t="s">
        <v>70</v>
      </c>
      <c r="J700" s="22" t="s">
        <v>1073</v>
      </c>
      <c r="K700" s="23">
        <v>28.0</v>
      </c>
      <c r="L700" s="24">
        <v>31.0</v>
      </c>
      <c r="M700" s="24" t="str">
        <f>IFERROR(VLOOKUP(D700,'Chủ đề bài nguồn'!$A$2:$C$735,3,0),"Khác")</f>
        <v>Quản lý tài chính cá nhân</v>
      </c>
      <c r="N700" s="24"/>
    </row>
    <row r="701">
      <c r="A701" s="15">
        <v>699.0</v>
      </c>
      <c r="B701" s="16" t="s">
        <v>93</v>
      </c>
      <c r="C701" s="18" t="s">
        <v>1766</v>
      </c>
      <c r="D701" s="16" t="s">
        <v>3172</v>
      </c>
      <c r="E701" s="16" t="s">
        <v>3592</v>
      </c>
      <c r="F701" s="16" t="s">
        <v>3593</v>
      </c>
      <c r="G701" s="16" t="s">
        <v>3594</v>
      </c>
      <c r="H701" s="20" t="s">
        <v>229</v>
      </c>
      <c r="I701" s="21" t="s">
        <v>70</v>
      </c>
      <c r="J701" s="22" t="s">
        <v>3454</v>
      </c>
      <c r="K701" s="23">
        <v>28.0</v>
      </c>
      <c r="L701" s="24">
        <v>31.0</v>
      </c>
      <c r="M701" s="24" t="str">
        <f>IFERROR(VLOOKUP(D701,'Chủ đề bài nguồn'!$A$2:$C$735,3,0),"Khác")</f>
        <v>Vay thế chấp &amp; mua nhà/xe</v>
      </c>
      <c r="N701" s="24"/>
    </row>
    <row r="702">
      <c r="A702" s="15">
        <v>700.0</v>
      </c>
      <c r="B702" s="16" t="s">
        <v>93</v>
      </c>
      <c r="C702" s="18" t="s">
        <v>1766</v>
      </c>
      <c r="D702" s="16" t="s">
        <v>2996</v>
      </c>
      <c r="E702" s="16" t="s">
        <v>3596</v>
      </c>
      <c r="F702" s="16" t="s">
        <v>3597</v>
      </c>
      <c r="G702" s="16" t="s">
        <v>3598</v>
      </c>
      <c r="H702" s="20" t="s">
        <v>229</v>
      </c>
      <c r="I702" s="21" t="s">
        <v>70</v>
      </c>
      <c r="J702" s="22" t="s">
        <v>3430</v>
      </c>
      <c r="K702" s="23">
        <v>28.0</v>
      </c>
      <c r="L702" s="24">
        <v>31.0</v>
      </c>
      <c r="M702" s="24" t="str">
        <f>IFERROR(VLOOKUP(D702,'Chủ đề bài nguồn'!$A$2:$C$735,3,0),"Khác")</f>
        <v>Thẻ ATM &amp; thẻ ghi nợ</v>
      </c>
      <c r="N702" s="24"/>
    </row>
    <row r="703">
      <c r="A703" s="15">
        <v>701.0</v>
      </c>
      <c r="B703" s="16" t="s">
        <v>93</v>
      </c>
      <c r="C703" s="18" t="s">
        <v>1762</v>
      </c>
      <c r="D703" s="16" t="s">
        <v>3116</v>
      </c>
      <c r="E703" s="16" t="s">
        <v>3599</v>
      </c>
      <c r="F703" s="16" t="s">
        <v>3601</v>
      </c>
      <c r="G703" s="16" t="s">
        <v>3602</v>
      </c>
      <c r="H703" s="20" t="s">
        <v>229</v>
      </c>
      <c r="I703" s="21" t="s">
        <v>70</v>
      </c>
      <c r="J703" s="22" t="s">
        <v>3454</v>
      </c>
      <c r="K703" s="23">
        <v>28.0</v>
      </c>
      <c r="L703" s="24">
        <v>31.0</v>
      </c>
      <c r="M703" s="24" t="str">
        <f>IFERROR(VLOOKUP(D703,'Chủ đề bài nguồn'!$A$2:$C$735,3,0),"Khác")</f>
        <v>Thẻ tín dụng</v>
      </c>
      <c r="N703" s="24"/>
    </row>
    <row r="704">
      <c r="A704" s="15">
        <v>702.0</v>
      </c>
      <c r="B704" s="16" t="s">
        <v>93</v>
      </c>
      <c r="C704" s="18" t="s">
        <v>1759</v>
      </c>
      <c r="D704" s="16" t="s">
        <v>2933</v>
      </c>
      <c r="E704" s="16" t="s">
        <v>3604</v>
      </c>
      <c r="F704" s="16" t="s">
        <v>3605</v>
      </c>
      <c r="G704" s="16" t="s">
        <v>3606</v>
      </c>
      <c r="H704" s="20" t="s">
        <v>229</v>
      </c>
      <c r="I704" s="21" t="s">
        <v>70</v>
      </c>
      <c r="J704" s="22" t="s">
        <v>71</v>
      </c>
      <c r="K704" s="23">
        <v>28.0</v>
      </c>
      <c r="L704" s="24">
        <v>31.0</v>
      </c>
      <c r="M704" s="24" t="str">
        <f>IFERROR(VLOOKUP(D704,'Chủ đề bài nguồn'!$A$2:$C$735,3,0),"Khác")</f>
        <v>Thẻ tín dụng</v>
      </c>
      <c r="N704" s="24"/>
    </row>
    <row r="705">
      <c r="A705" s="15">
        <v>703.0</v>
      </c>
      <c r="B705" s="16" t="s">
        <v>682</v>
      </c>
      <c r="C705" s="18" t="s">
        <v>1905</v>
      </c>
      <c r="D705" s="16" t="s">
        <v>3080</v>
      </c>
      <c r="E705" s="16" t="s">
        <v>710</v>
      </c>
      <c r="F705" s="16" t="s">
        <v>3608</v>
      </c>
      <c r="G705" s="16" t="s">
        <v>3609</v>
      </c>
      <c r="H705" s="20" t="s">
        <v>69</v>
      </c>
      <c r="I705" s="21" t="s">
        <v>70</v>
      </c>
      <c r="J705" s="22" t="s">
        <v>71</v>
      </c>
      <c r="K705" s="23">
        <v>29.0</v>
      </c>
      <c r="L705" s="24">
        <v>10.0</v>
      </c>
      <c r="M705" s="24" t="str">
        <f>IFERROR(VLOOKUP(D705,'Chủ đề bài nguồn'!$A$2:$C$735,3,0),"Khác")</f>
        <v>Thẻ tín dụng</v>
      </c>
      <c r="N705" s="24"/>
    </row>
    <row r="706">
      <c r="A706" s="15">
        <v>704.0</v>
      </c>
      <c r="B706" s="16" t="s">
        <v>682</v>
      </c>
      <c r="C706" s="18" t="s">
        <v>1905</v>
      </c>
      <c r="D706" s="16" t="s">
        <v>259</v>
      </c>
      <c r="E706" s="16" t="s">
        <v>3611</v>
      </c>
      <c r="F706" s="16" t="s">
        <v>3612</v>
      </c>
      <c r="G706" s="16" t="s">
        <v>3613</v>
      </c>
      <c r="H706" s="20" t="s">
        <v>69</v>
      </c>
      <c r="I706" s="21" t="s">
        <v>70</v>
      </c>
      <c r="J706" s="22" t="s">
        <v>71</v>
      </c>
      <c r="K706" s="23">
        <v>29.0</v>
      </c>
      <c r="L706" s="24">
        <v>11.0</v>
      </c>
      <c r="M706" s="24" t="str">
        <f>IFERROR(VLOOKUP(D706,'Chủ đề bài nguồn'!$A$2:$C$735,3,0),"Khác")</f>
        <v>Thẻ tín dụng</v>
      </c>
      <c r="N706" s="24"/>
    </row>
    <row r="707">
      <c r="A707" s="15">
        <v>705.0</v>
      </c>
      <c r="B707" s="16" t="s">
        <v>682</v>
      </c>
      <c r="C707" s="18" t="s">
        <v>1905</v>
      </c>
      <c r="D707" s="16" t="s">
        <v>3246</v>
      </c>
      <c r="E707" s="16" t="s">
        <v>3614</v>
      </c>
      <c r="F707" s="16" t="s">
        <v>3615</v>
      </c>
      <c r="G707" s="16" t="s">
        <v>3616</v>
      </c>
      <c r="H707" s="20" t="s">
        <v>69</v>
      </c>
      <c r="I707" s="21" t="s">
        <v>70</v>
      </c>
      <c r="J707" s="22" t="s">
        <v>71</v>
      </c>
      <c r="K707" s="23">
        <v>29.0</v>
      </c>
      <c r="L707" s="24">
        <v>11.0</v>
      </c>
      <c r="M707" s="24" t="str">
        <f>IFERROR(VLOOKUP(D707,'Chủ đề bài nguồn'!$A$2:$C$735,3,0),"Khác")</f>
        <v>Vay tiêu dùng &amp; tín chấp</v>
      </c>
      <c r="N707" s="24"/>
    </row>
    <row r="708">
      <c r="A708" s="15">
        <v>706.0</v>
      </c>
      <c r="B708" s="16" t="s">
        <v>682</v>
      </c>
      <c r="C708" s="18" t="s">
        <v>1905</v>
      </c>
      <c r="D708" s="16" t="s">
        <v>3187</v>
      </c>
      <c r="E708" s="16" t="s">
        <v>3619</v>
      </c>
      <c r="F708" s="16" t="s">
        <v>3620</v>
      </c>
      <c r="G708" s="16" t="s">
        <v>3622</v>
      </c>
      <c r="H708" s="20" t="s">
        <v>155</v>
      </c>
      <c r="I708" s="21" t="s">
        <v>70</v>
      </c>
      <c r="J708" s="22" t="s">
        <v>71</v>
      </c>
      <c r="K708" s="23">
        <v>29.0</v>
      </c>
      <c r="L708" s="24">
        <v>21.0</v>
      </c>
      <c r="M708" s="24" t="str">
        <f>IFERROR(VLOOKUP(D708,'Chủ đề bài nguồn'!$A$2:$C$735,3,0),"Khác")</f>
        <v>Thẻ tín dụng</v>
      </c>
      <c r="N708" s="24"/>
    </row>
    <row r="709">
      <c r="A709" s="15">
        <v>707.0</v>
      </c>
      <c r="B709" s="16" t="s">
        <v>682</v>
      </c>
      <c r="C709" s="18" t="s">
        <v>1905</v>
      </c>
      <c r="D709" s="16" t="s">
        <v>3183</v>
      </c>
      <c r="E709" s="16" t="s">
        <v>3624</v>
      </c>
      <c r="F709" s="16" t="s">
        <v>3625</v>
      </c>
      <c r="G709" s="16" t="s">
        <v>3626</v>
      </c>
      <c r="H709" s="20" t="s">
        <v>155</v>
      </c>
      <c r="I709" s="21" t="s">
        <v>70</v>
      </c>
      <c r="J709" s="22" t="s">
        <v>71</v>
      </c>
      <c r="K709" s="23">
        <v>29.0</v>
      </c>
      <c r="L709" s="24">
        <v>21.0</v>
      </c>
      <c r="M709" s="24" t="str">
        <f>IFERROR(VLOOKUP(D709,'Chủ đề bài nguồn'!$A$2:$C$735,3,0),"Khác")</f>
        <v>Thẻ tín dụng</v>
      </c>
      <c r="N709" s="24"/>
    </row>
    <row r="710">
      <c r="A710" s="15">
        <v>708.0</v>
      </c>
      <c r="B710" s="16" t="s">
        <v>682</v>
      </c>
      <c r="C710" s="18" t="s">
        <v>1905</v>
      </c>
      <c r="D710" s="16" t="s">
        <v>3089</v>
      </c>
      <c r="E710" s="16" t="s">
        <v>3628</v>
      </c>
      <c r="F710" s="16" t="s">
        <v>3629</v>
      </c>
      <c r="G710" s="16" t="s">
        <v>3630</v>
      </c>
      <c r="H710" s="20" t="s">
        <v>155</v>
      </c>
      <c r="I710" s="21" t="s">
        <v>70</v>
      </c>
      <c r="J710" s="22" t="s">
        <v>71</v>
      </c>
      <c r="K710" s="23">
        <v>29.0</v>
      </c>
      <c r="L710" s="24">
        <v>21.0</v>
      </c>
      <c r="M710" s="24" t="str">
        <f>IFERROR(VLOOKUP(D710,'Chủ đề bài nguồn'!$A$2:$C$735,3,0),"Khác")</f>
        <v>Thẻ tín dụng</v>
      </c>
      <c r="N710" s="24"/>
    </row>
    <row r="711">
      <c r="A711" s="15">
        <v>709.0</v>
      </c>
      <c r="B711" s="16" t="s">
        <v>682</v>
      </c>
      <c r="C711" s="18" t="s">
        <v>1905</v>
      </c>
      <c r="D711" s="16" t="s">
        <v>3004</v>
      </c>
      <c r="E711" s="16" t="s">
        <v>3631</v>
      </c>
      <c r="F711" s="16" t="s">
        <v>3632</v>
      </c>
      <c r="G711" s="16" t="s">
        <v>3633</v>
      </c>
      <c r="H711" s="20" t="s">
        <v>155</v>
      </c>
      <c r="I711" s="21" t="s">
        <v>70</v>
      </c>
      <c r="J711" s="22" t="s">
        <v>619</v>
      </c>
      <c r="K711" s="23">
        <v>29.0</v>
      </c>
      <c r="L711" s="24">
        <v>21.0</v>
      </c>
      <c r="M711" s="24" t="str">
        <f>IFERROR(VLOOKUP(D711,'Chủ đề bài nguồn'!$A$2:$C$735,3,0),"Khác")</f>
        <v>Thẻ tín dụng</v>
      </c>
      <c r="N711" s="24"/>
    </row>
    <row r="712">
      <c r="A712" s="15">
        <v>710.0</v>
      </c>
      <c r="B712" s="16" t="s">
        <v>682</v>
      </c>
      <c r="C712" s="18" t="s">
        <v>1905</v>
      </c>
      <c r="D712" s="16" t="s">
        <v>2343</v>
      </c>
      <c r="E712" s="16" t="s">
        <v>3635</v>
      </c>
      <c r="F712" s="16" t="s">
        <v>3636</v>
      </c>
      <c r="G712" s="16" t="s">
        <v>3637</v>
      </c>
      <c r="H712" s="20" t="s">
        <v>155</v>
      </c>
      <c r="I712" s="21" t="s">
        <v>70</v>
      </c>
      <c r="J712" s="22" t="s">
        <v>71</v>
      </c>
      <c r="K712" s="23">
        <v>29.0</v>
      </c>
      <c r="L712" s="24">
        <v>21.0</v>
      </c>
      <c r="M712" s="24" t="str">
        <f>IFERROR(VLOOKUP(D712,'Chủ đề bài nguồn'!$A$2:$C$735,3,0),"Khác")</f>
        <v>Thẻ tín dụng</v>
      </c>
      <c r="N712" s="24"/>
    </row>
    <row r="713">
      <c r="A713" s="15">
        <v>711.0</v>
      </c>
      <c r="B713" s="16" t="s">
        <v>682</v>
      </c>
      <c r="C713" s="18" t="s">
        <v>1905</v>
      </c>
      <c r="D713" s="16" t="s">
        <v>2252</v>
      </c>
      <c r="E713" s="16" t="s">
        <v>3638</v>
      </c>
      <c r="F713" s="16" t="s">
        <v>3639</v>
      </c>
      <c r="G713" s="16" t="s">
        <v>3640</v>
      </c>
      <c r="H713" s="20" t="s">
        <v>155</v>
      </c>
      <c r="I713" s="21" t="s">
        <v>70</v>
      </c>
      <c r="J713" s="22" t="s">
        <v>71</v>
      </c>
      <c r="K713" s="23">
        <v>29.0</v>
      </c>
      <c r="L713" s="24">
        <v>21.0</v>
      </c>
      <c r="M713" s="24" t="str">
        <f>IFERROR(VLOOKUP(D713,'Chủ đề bài nguồn'!$A$2:$C$735,3,0),"Khác")</f>
        <v>Thẻ tín dụng</v>
      </c>
      <c r="N713" s="24"/>
    </row>
    <row r="714">
      <c r="A714" s="15">
        <v>712.0</v>
      </c>
      <c r="B714" s="16" t="s">
        <v>682</v>
      </c>
      <c r="C714" s="18" t="s">
        <v>1905</v>
      </c>
      <c r="D714" s="16" t="s">
        <v>293</v>
      </c>
      <c r="E714" s="16" t="s">
        <v>295</v>
      </c>
      <c r="F714" s="16" t="s">
        <v>3643</v>
      </c>
      <c r="G714" s="16" t="s">
        <v>3644</v>
      </c>
      <c r="H714" s="20" t="s">
        <v>155</v>
      </c>
      <c r="I714" s="21" t="s">
        <v>70</v>
      </c>
      <c r="J714" s="22" t="s">
        <v>71</v>
      </c>
      <c r="K714" s="23">
        <v>29.0</v>
      </c>
      <c r="L714" s="24">
        <v>21.0</v>
      </c>
      <c r="M714" s="24" t="str">
        <f>IFERROR(VLOOKUP(D714,'Chủ đề bài nguồn'!$A$2:$C$735,3,0),"Khác")</f>
        <v>Thẻ tín dụng</v>
      </c>
      <c r="N714" s="24"/>
    </row>
    <row r="715">
      <c r="A715" s="15">
        <v>713.0</v>
      </c>
      <c r="B715" s="16" t="s">
        <v>682</v>
      </c>
      <c r="C715" s="18" t="s">
        <v>1905</v>
      </c>
      <c r="D715" s="16" t="s">
        <v>2080</v>
      </c>
      <c r="E715" s="16" t="s">
        <v>3645</v>
      </c>
      <c r="F715" s="16" t="s">
        <v>3646</v>
      </c>
      <c r="G715" s="16" t="s">
        <v>3647</v>
      </c>
      <c r="H715" s="20" t="s">
        <v>155</v>
      </c>
      <c r="I715" s="21" t="s">
        <v>70</v>
      </c>
      <c r="J715" s="22" t="s">
        <v>71</v>
      </c>
      <c r="K715" s="23">
        <v>29.0</v>
      </c>
      <c r="L715" s="24">
        <v>21.0</v>
      </c>
      <c r="M715" s="24" t="str">
        <f>IFERROR(VLOOKUP(D715,'Chủ đề bài nguồn'!$A$2:$C$735,3,0),"Khác")</f>
        <v>Thẻ ATM &amp; thẻ ghi nợ</v>
      </c>
      <c r="N715" s="24"/>
    </row>
    <row r="716">
      <c r="A716" s="15">
        <v>714.0</v>
      </c>
      <c r="B716" s="16" t="s">
        <v>682</v>
      </c>
      <c r="C716" s="18" t="s">
        <v>1905</v>
      </c>
      <c r="D716" s="16" t="s">
        <v>2967</v>
      </c>
      <c r="E716" s="16" t="s">
        <v>3649</v>
      </c>
      <c r="F716" s="16" t="s">
        <v>3650</v>
      </c>
      <c r="G716" s="16" t="s">
        <v>3651</v>
      </c>
      <c r="H716" s="20" t="s">
        <v>155</v>
      </c>
      <c r="I716" s="21" t="s">
        <v>70</v>
      </c>
      <c r="J716" s="22" t="s">
        <v>71</v>
      </c>
      <c r="K716" s="23">
        <v>29.0</v>
      </c>
      <c r="L716" s="24">
        <v>21.0</v>
      </c>
      <c r="M716" s="24" t="str">
        <f>IFERROR(VLOOKUP(D716,'Chủ đề bài nguồn'!$A$2:$C$735,3,0),"Khác")</f>
        <v>Thẻ tín dụng</v>
      </c>
      <c r="N716" s="24"/>
    </row>
    <row r="717">
      <c r="A717" s="15">
        <v>715.0</v>
      </c>
      <c r="B717" s="16" t="s">
        <v>682</v>
      </c>
      <c r="C717" s="18" t="s">
        <v>1905</v>
      </c>
      <c r="D717" s="16" t="s">
        <v>1386</v>
      </c>
      <c r="E717" s="16" t="s">
        <v>3652</v>
      </c>
      <c r="F717" s="16" t="s">
        <v>3653</v>
      </c>
      <c r="G717" s="16" t="s">
        <v>3655</v>
      </c>
      <c r="H717" s="20" t="s">
        <v>155</v>
      </c>
      <c r="I717" s="21" t="s">
        <v>70</v>
      </c>
      <c r="J717" s="22" t="s">
        <v>71</v>
      </c>
      <c r="K717" s="23">
        <v>29.0</v>
      </c>
      <c r="L717" s="24">
        <v>21.0</v>
      </c>
      <c r="M717" s="24" t="str">
        <f>IFERROR(VLOOKUP(D717,'Chủ đề bài nguồn'!$A$2:$C$735,3,0),"Khác")</f>
        <v>Thẻ tín dụng</v>
      </c>
      <c r="N717" s="24"/>
    </row>
    <row r="718">
      <c r="A718" s="15">
        <v>716.0</v>
      </c>
      <c r="B718" s="16" t="s">
        <v>682</v>
      </c>
      <c r="C718" s="18" t="s">
        <v>1905</v>
      </c>
      <c r="D718" s="16" t="s">
        <v>3185</v>
      </c>
      <c r="E718" s="16" t="s">
        <v>3656</v>
      </c>
      <c r="F718" s="16" t="s">
        <v>3657</v>
      </c>
      <c r="G718" s="16" t="s">
        <v>3658</v>
      </c>
      <c r="H718" s="20" t="s">
        <v>155</v>
      </c>
      <c r="I718" s="21" t="s">
        <v>70</v>
      </c>
      <c r="J718" s="22" t="s">
        <v>71</v>
      </c>
      <c r="K718" s="23">
        <v>29.0</v>
      </c>
      <c r="L718" s="24">
        <v>21.0</v>
      </c>
      <c r="M718" s="24" t="str">
        <f>IFERROR(VLOOKUP(D718,'Chủ đề bài nguồn'!$A$2:$C$735,3,0),"Khác")</f>
        <v>Thẻ tín dụng</v>
      </c>
      <c r="N718" s="24"/>
    </row>
    <row r="719">
      <c r="A719" s="15">
        <v>717.0</v>
      </c>
      <c r="B719" s="16" t="s">
        <v>682</v>
      </c>
      <c r="C719" s="18" t="s">
        <v>1905</v>
      </c>
      <c r="D719" s="16" t="s">
        <v>3198</v>
      </c>
      <c r="E719" s="16" t="s">
        <v>3660</v>
      </c>
      <c r="F719" s="16" t="s">
        <v>3661</v>
      </c>
      <c r="G719" s="16" t="s">
        <v>3662</v>
      </c>
      <c r="H719" s="20" t="s">
        <v>155</v>
      </c>
      <c r="I719" s="21" t="s">
        <v>70</v>
      </c>
      <c r="J719" s="22" t="s">
        <v>71</v>
      </c>
      <c r="K719" s="23">
        <v>29.0</v>
      </c>
      <c r="L719" s="24">
        <v>21.0</v>
      </c>
      <c r="M719" s="24" t="str">
        <f>IFERROR(VLOOKUP(D719,'Chủ đề bài nguồn'!$A$2:$C$735,3,0),"Khác")</f>
        <v>Thẻ tín dụng</v>
      </c>
      <c r="N719" s="24"/>
    </row>
    <row r="720">
      <c r="A720" s="15">
        <v>718.0</v>
      </c>
      <c r="B720" s="16" t="s">
        <v>682</v>
      </c>
      <c r="C720" s="18" t="s">
        <v>1905</v>
      </c>
      <c r="D720" s="16" t="s">
        <v>2625</v>
      </c>
      <c r="E720" s="16" t="s">
        <v>3663</v>
      </c>
      <c r="F720" s="16" t="s">
        <v>3664</v>
      </c>
      <c r="G720" s="16" t="s">
        <v>3665</v>
      </c>
      <c r="H720" s="20" t="s">
        <v>155</v>
      </c>
      <c r="I720" s="21" t="s">
        <v>70</v>
      </c>
      <c r="J720" s="22" t="s">
        <v>71</v>
      </c>
      <c r="K720" s="23">
        <v>29.0</v>
      </c>
      <c r="L720" s="24">
        <v>21.0</v>
      </c>
      <c r="M720" s="24" t="str">
        <f>IFERROR(VLOOKUP(D720,'Chủ đề bài nguồn'!$A$2:$C$735,3,0),"Khác")</f>
        <v>Thẻ ATM &amp; thẻ ghi nợ</v>
      </c>
      <c r="N720" s="24"/>
    </row>
    <row r="721">
      <c r="A721" s="15">
        <v>719.0</v>
      </c>
      <c r="B721" s="16" t="s">
        <v>682</v>
      </c>
      <c r="C721" s="18" t="s">
        <v>1905</v>
      </c>
      <c r="D721" s="16" t="s">
        <v>2131</v>
      </c>
      <c r="E721" s="16" t="s">
        <v>2821</v>
      </c>
      <c r="F721" s="16" t="s">
        <v>3666</v>
      </c>
      <c r="G721" s="16" t="s">
        <v>3667</v>
      </c>
      <c r="H721" s="20" t="s">
        <v>155</v>
      </c>
      <c r="I721" s="21" t="s">
        <v>70</v>
      </c>
      <c r="J721" s="22" t="s">
        <v>71</v>
      </c>
      <c r="K721" s="23">
        <v>29.0</v>
      </c>
      <c r="L721" s="24">
        <v>21.0</v>
      </c>
      <c r="M721" s="24" t="str">
        <f>IFERROR(VLOOKUP(D721,'Chủ đề bài nguồn'!$A$2:$C$735,3,0),"Khác")</f>
        <v>Thẻ ATM &amp; thẻ ghi nợ</v>
      </c>
      <c r="N721" s="24"/>
    </row>
    <row r="722">
      <c r="A722" s="15">
        <v>720.0</v>
      </c>
      <c r="B722" s="16" t="s">
        <v>682</v>
      </c>
      <c r="C722" s="18" t="s">
        <v>1905</v>
      </c>
      <c r="D722" s="16" t="s">
        <v>2405</v>
      </c>
      <c r="E722" s="16" t="s">
        <v>3669</v>
      </c>
      <c r="F722" s="16" t="s">
        <v>3670</v>
      </c>
      <c r="G722" s="16" t="s">
        <v>3671</v>
      </c>
      <c r="H722" s="20" t="s">
        <v>155</v>
      </c>
      <c r="I722" s="21" t="s">
        <v>70</v>
      </c>
      <c r="J722" s="22" t="s">
        <v>71</v>
      </c>
      <c r="K722" s="23">
        <v>29.0</v>
      </c>
      <c r="L722" s="24">
        <v>21.0</v>
      </c>
      <c r="M722" s="24" t="str">
        <f>IFERROR(VLOOKUP(D722,'Chủ đề bài nguồn'!$A$2:$C$735,3,0),"Khác")</f>
        <v>Thẻ ATM &amp; thẻ ghi nợ</v>
      </c>
      <c r="N722" s="24"/>
    </row>
    <row r="723">
      <c r="A723" s="15">
        <v>721.0</v>
      </c>
      <c r="B723" s="16" t="s">
        <v>682</v>
      </c>
      <c r="C723" s="18" t="s">
        <v>1905</v>
      </c>
      <c r="D723" s="16" t="s">
        <v>3190</v>
      </c>
      <c r="E723" s="16" t="s">
        <v>1070</v>
      </c>
      <c r="F723" s="16" t="s">
        <v>3674</v>
      </c>
      <c r="G723" s="16" t="s">
        <v>3675</v>
      </c>
      <c r="H723" s="20" t="s">
        <v>155</v>
      </c>
      <c r="I723" s="21" t="s">
        <v>70</v>
      </c>
      <c r="J723" s="22" t="s">
        <v>71</v>
      </c>
      <c r="K723" s="23">
        <v>29.0</v>
      </c>
      <c r="L723" s="24">
        <v>21.0</v>
      </c>
      <c r="M723" s="24" t="str">
        <f>IFERROR(VLOOKUP(D723,'Chủ đề bài nguồn'!$A$2:$C$735,3,0),"Khác")</f>
        <v>Thẻ tín dụng</v>
      </c>
      <c r="N723" s="24"/>
    </row>
    <row r="724">
      <c r="A724" s="15">
        <v>722.0</v>
      </c>
      <c r="B724" s="16" t="s">
        <v>682</v>
      </c>
      <c r="C724" s="18" t="s">
        <v>1905</v>
      </c>
      <c r="D724" s="16" t="s">
        <v>2207</v>
      </c>
      <c r="E724" s="16" t="s">
        <v>3678</v>
      </c>
      <c r="F724" s="16" t="s">
        <v>3679</v>
      </c>
      <c r="G724" s="16" t="s">
        <v>3680</v>
      </c>
      <c r="H724" s="20" t="s">
        <v>155</v>
      </c>
      <c r="I724" s="21" t="s">
        <v>70</v>
      </c>
      <c r="J724" s="22" t="s">
        <v>71</v>
      </c>
      <c r="K724" s="23">
        <v>29.0</v>
      </c>
      <c r="L724" s="24">
        <v>21.0</v>
      </c>
      <c r="M724" s="24" t="str">
        <f>IFERROR(VLOOKUP(D724,'Chủ đề bài nguồn'!$A$2:$C$735,3,0),"Khác")</f>
        <v>Thẻ tín dụng</v>
      </c>
      <c r="N724" s="24"/>
    </row>
    <row r="725">
      <c r="A725" s="15">
        <v>723.0</v>
      </c>
      <c r="B725" s="16" t="s">
        <v>682</v>
      </c>
      <c r="C725" s="18" t="s">
        <v>1905</v>
      </c>
      <c r="D725" s="16" t="s">
        <v>2911</v>
      </c>
      <c r="E725" s="16" t="s">
        <v>3682</v>
      </c>
      <c r="F725" s="16" t="s">
        <v>3683</v>
      </c>
      <c r="G725" s="16" t="s">
        <v>3609</v>
      </c>
      <c r="H725" s="20" t="s">
        <v>229</v>
      </c>
      <c r="I725" s="21" t="s">
        <v>70</v>
      </c>
      <c r="J725" s="22" t="s">
        <v>3684</v>
      </c>
      <c r="K725" s="23">
        <v>29.0</v>
      </c>
      <c r="L725" s="24">
        <v>30.0</v>
      </c>
      <c r="M725" s="24" t="str">
        <f>IFERROR(VLOOKUP(D725,'Chủ đề bài nguồn'!$A$2:$C$735,3,0),"Khác")</f>
        <v>Thanh toán, chuyển khoản &amp; QR</v>
      </c>
      <c r="N725" s="24"/>
    </row>
    <row r="726">
      <c r="A726" s="15">
        <v>724.0</v>
      </c>
      <c r="B726" s="16" t="s">
        <v>682</v>
      </c>
      <c r="C726" s="18" t="s">
        <v>1905</v>
      </c>
      <c r="D726" s="16" t="s">
        <v>3007</v>
      </c>
      <c r="E726" s="16" t="s">
        <v>3688</v>
      </c>
      <c r="F726" s="16" t="s">
        <v>3689</v>
      </c>
      <c r="G726" s="16" t="s">
        <v>3690</v>
      </c>
      <c r="H726" s="20" t="s">
        <v>229</v>
      </c>
      <c r="I726" s="21" t="s">
        <v>70</v>
      </c>
      <c r="J726" s="22" t="s">
        <v>71</v>
      </c>
      <c r="K726" s="23">
        <v>29.0</v>
      </c>
      <c r="L726" s="24">
        <v>31.0</v>
      </c>
      <c r="M726" s="24" t="str">
        <f>IFERROR(VLOOKUP(D726,'Chủ đề bài nguồn'!$A$2:$C$735,3,0),"Khác")</f>
        <v>Hộ kinh doanh &amp; bán hàng</v>
      </c>
      <c r="N726" s="24"/>
    </row>
    <row r="727">
      <c r="A727" s="15">
        <v>725.0</v>
      </c>
      <c r="B727" s="16" t="s">
        <v>682</v>
      </c>
      <c r="C727" s="18" t="s">
        <v>1905</v>
      </c>
      <c r="D727" s="16" t="s">
        <v>2961</v>
      </c>
      <c r="E727" s="16" t="s">
        <v>3693</v>
      </c>
      <c r="F727" s="16" t="s">
        <v>3694</v>
      </c>
      <c r="G727" s="16" t="s">
        <v>3696</v>
      </c>
      <c r="H727" s="20" t="s">
        <v>229</v>
      </c>
      <c r="I727" s="21" t="s">
        <v>70</v>
      </c>
      <c r="J727" s="22" t="s">
        <v>71</v>
      </c>
      <c r="K727" s="23">
        <v>29.0</v>
      </c>
      <c r="L727" s="24">
        <v>31.0</v>
      </c>
      <c r="M727" s="24" t="str">
        <f>IFERROR(VLOOKUP(D727,'Chủ đề bài nguồn'!$A$2:$C$735,3,0),"Khác")</f>
        <v>Doanh nghiệp (tài khoản, vay, tài chính)</v>
      </c>
      <c r="N727" s="24"/>
    </row>
    <row r="728">
      <c r="A728" s="15">
        <v>726.0</v>
      </c>
      <c r="B728" s="16" t="s">
        <v>682</v>
      </c>
      <c r="C728" s="18" t="s">
        <v>1905</v>
      </c>
      <c r="D728" s="16" t="s">
        <v>1633</v>
      </c>
      <c r="E728" s="16" t="s">
        <v>3697</v>
      </c>
      <c r="F728" s="16" t="s">
        <v>3698</v>
      </c>
      <c r="G728" s="16" t="s">
        <v>3699</v>
      </c>
      <c r="H728" s="20" t="s">
        <v>229</v>
      </c>
      <c r="I728" s="21" t="s">
        <v>70</v>
      </c>
      <c r="J728" s="22" t="s">
        <v>3700</v>
      </c>
      <c r="K728" s="23">
        <v>29.0</v>
      </c>
      <c r="L728" s="24">
        <v>31.0</v>
      </c>
      <c r="M728" s="24" t="str">
        <f>IFERROR(VLOOKUP(D728,'Chủ đề bài nguồn'!$A$2:$C$735,3,0),"Khác")</f>
        <v>Thẻ ATM &amp; thẻ ghi nợ</v>
      </c>
      <c r="N728" s="24"/>
    </row>
    <row r="729">
      <c r="A729" s="15">
        <v>727.0</v>
      </c>
      <c r="B729" s="16" t="s">
        <v>682</v>
      </c>
      <c r="C729" s="18" t="s">
        <v>1905</v>
      </c>
      <c r="D729" s="16" t="s">
        <v>2315</v>
      </c>
      <c r="E729" s="16" t="s">
        <v>3701</v>
      </c>
      <c r="F729" s="16" t="s">
        <v>3703</v>
      </c>
      <c r="G729" s="16" t="s">
        <v>3704</v>
      </c>
      <c r="H729" s="20" t="s">
        <v>229</v>
      </c>
      <c r="I729" s="21" t="s">
        <v>70</v>
      </c>
      <c r="J729" s="22" t="s">
        <v>71</v>
      </c>
      <c r="K729" s="23">
        <v>29.0</v>
      </c>
      <c r="L729" s="24">
        <v>31.0</v>
      </c>
      <c r="M729" s="24" t="str">
        <f>IFERROR(VLOOKUP(D729,'Chủ đề bài nguồn'!$A$2:$C$735,3,0),"Khác")</f>
        <v>Thẻ ATM &amp; thẻ ghi nợ</v>
      </c>
      <c r="N729" s="24"/>
    </row>
    <row r="730">
      <c r="A730" s="15">
        <v>728.0</v>
      </c>
      <c r="B730" s="16" t="s">
        <v>682</v>
      </c>
      <c r="C730" s="18" t="s">
        <v>1905</v>
      </c>
      <c r="D730" s="16" t="s">
        <v>2272</v>
      </c>
      <c r="E730" s="16" t="s">
        <v>3705</v>
      </c>
      <c r="F730" s="16" t="s">
        <v>3706</v>
      </c>
      <c r="G730" s="16" t="s">
        <v>3707</v>
      </c>
      <c r="H730" s="20" t="s">
        <v>229</v>
      </c>
      <c r="I730" s="21" t="s">
        <v>70</v>
      </c>
      <c r="J730" s="22" t="s">
        <v>71</v>
      </c>
      <c r="K730" s="23">
        <v>29.0</v>
      </c>
      <c r="L730" s="24">
        <v>31.0</v>
      </c>
      <c r="M730" s="24" t="str">
        <f>IFERROR(VLOOKUP(D730,'Chủ đề bài nguồn'!$A$2:$C$735,3,0),"Khác")</f>
        <v>Thẻ tín dụng</v>
      </c>
      <c r="N730" s="24"/>
    </row>
    <row r="731">
      <c r="A731" s="15">
        <v>729.0</v>
      </c>
      <c r="B731" s="16" t="s">
        <v>682</v>
      </c>
      <c r="C731" s="18" t="s">
        <v>1905</v>
      </c>
      <c r="D731" s="16" t="s">
        <v>2276</v>
      </c>
      <c r="E731" s="16" t="s">
        <v>2277</v>
      </c>
      <c r="F731" s="16" t="s">
        <v>3712</v>
      </c>
      <c r="G731" s="16" t="s">
        <v>3713</v>
      </c>
      <c r="H731" s="20" t="s">
        <v>229</v>
      </c>
      <c r="I731" s="21" t="s">
        <v>70</v>
      </c>
      <c r="J731" s="22" t="s">
        <v>71</v>
      </c>
      <c r="K731" s="23">
        <v>29.0</v>
      </c>
      <c r="L731" s="24">
        <v>31.0</v>
      </c>
      <c r="M731" s="24" t="str">
        <f>IFERROR(VLOOKUP(D731,'Chủ đề bài nguồn'!$A$2:$C$735,3,0),"Khác")</f>
        <v>Ngoại tệ &amp; chuyển tiền quốc tế</v>
      </c>
      <c r="N731" s="24"/>
    </row>
    <row r="732">
      <c r="A732" s="15">
        <v>730.0</v>
      </c>
      <c r="B732" s="16" t="s">
        <v>682</v>
      </c>
      <c r="C732" s="18" t="s">
        <v>1905</v>
      </c>
      <c r="D732" s="16" t="s">
        <v>893</v>
      </c>
      <c r="E732" s="16" t="s">
        <v>3715</v>
      </c>
      <c r="F732" s="16" t="s">
        <v>3716</v>
      </c>
      <c r="G732" s="16" t="s">
        <v>3717</v>
      </c>
      <c r="H732" s="20" t="s">
        <v>229</v>
      </c>
      <c r="I732" s="21" t="s">
        <v>70</v>
      </c>
      <c r="J732" s="22" t="s">
        <v>3718</v>
      </c>
      <c r="K732" s="23">
        <v>29.0</v>
      </c>
      <c r="L732" s="24">
        <v>31.0</v>
      </c>
      <c r="M732" s="24" t="str">
        <f>IFERROR(VLOOKUP(D732,'Chủ đề bài nguồn'!$A$2:$C$735,3,0),"Khác")</f>
        <v>Thẻ ATM &amp; thẻ ghi nợ</v>
      </c>
      <c r="N732" s="24"/>
    </row>
    <row r="733">
      <c r="A733" s="15">
        <v>731.0</v>
      </c>
      <c r="B733" s="16" t="s">
        <v>682</v>
      </c>
      <c r="C733" s="18" t="s">
        <v>1905</v>
      </c>
      <c r="D733" s="16" t="s">
        <v>3157</v>
      </c>
      <c r="E733" s="16" t="s">
        <v>710</v>
      </c>
      <c r="F733" s="16" t="s">
        <v>3719</v>
      </c>
      <c r="G733" s="16" t="s">
        <v>3720</v>
      </c>
      <c r="H733" s="20" t="s">
        <v>229</v>
      </c>
      <c r="I733" s="21" t="s">
        <v>70</v>
      </c>
      <c r="J733" s="22" t="s">
        <v>71</v>
      </c>
      <c r="K733" s="23">
        <v>29.0</v>
      </c>
      <c r="L733" s="24">
        <v>31.0</v>
      </c>
      <c r="M733" s="24" t="str">
        <f>IFERROR(VLOOKUP(D733,'Chủ đề bài nguồn'!$A$2:$C$735,3,0),"Khác")</f>
        <v>Thanh toán, chuyển khoản &amp; QR</v>
      </c>
      <c r="N733" s="24"/>
    </row>
    <row r="734">
      <c r="A734" s="15">
        <v>732.0</v>
      </c>
      <c r="B734" s="16" t="s">
        <v>682</v>
      </c>
      <c r="C734" s="18" t="s">
        <v>1905</v>
      </c>
      <c r="D734" s="16" t="s">
        <v>3227</v>
      </c>
      <c r="E734" s="16" t="s">
        <v>3722</v>
      </c>
      <c r="F734" s="16" t="s">
        <v>3723</v>
      </c>
      <c r="G734" s="16" t="s">
        <v>3724</v>
      </c>
      <c r="H734" s="20" t="s">
        <v>229</v>
      </c>
      <c r="I734" s="21" t="s">
        <v>70</v>
      </c>
      <c r="J734" s="22" t="s">
        <v>3725</v>
      </c>
      <c r="K734" s="23">
        <v>29.0</v>
      </c>
      <c r="L734" s="24">
        <v>31.0</v>
      </c>
      <c r="M734" s="24" t="str">
        <f>IFERROR(VLOOKUP(D734,'Chủ đề bài nguồn'!$A$2:$C$735,3,0),"Khác")</f>
        <v>Tiết kiệm &amp; lãi suất tiền gửi</v>
      </c>
      <c r="N734" s="24"/>
    </row>
    <row r="735">
      <c r="A735" s="15">
        <v>733.0</v>
      </c>
      <c r="B735" s="16" t="s">
        <v>682</v>
      </c>
      <c r="C735" s="18" t="s">
        <v>1905</v>
      </c>
      <c r="D735" s="16" t="s">
        <v>2886</v>
      </c>
      <c r="E735" s="16" t="s">
        <v>3727</v>
      </c>
      <c r="F735" s="16" t="s">
        <v>3728</v>
      </c>
      <c r="G735" s="16" t="s">
        <v>3730</v>
      </c>
      <c r="H735" s="20" t="s">
        <v>229</v>
      </c>
      <c r="I735" s="21" t="s">
        <v>70</v>
      </c>
      <c r="J735" s="22" t="s">
        <v>3731</v>
      </c>
      <c r="K735" s="23">
        <v>29.0</v>
      </c>
      <c r="L735" s="24">
        <v>31.0</v>
      </c>
      <c r="M735" s="24" t="str">
        <f>IFERROR(VLOOKUP(D735,'Chủ đề bài nguồn'!$A$2:$C$735,3,0),"Khác")</f>
        <v>Vay tiêu dùng &amp; tín chấp</v>
      </c>
      <c r="N735" s="24"/>
    </row>
    <row r="736">
      <c r="A736" s="15">
        <v>734.0</v>
      </c>
      <c r="B736" s="16" t="s">
        <v>682</v>
      </c>
      <c r="C736" s="18" t="s">
        <v>1905</v>
      </c>
      <c r="D736" s="16" t="s">
        <v>2394</v>
      </c>
      <c r="E736" s="16" t="s">
        <v>3733</v>
      </c>
      <c r="F736" s="16" t="s">
        <v>3734</v>
      </c>
      <c r="G736" s="16" t="s">
        <v>3735</v>
      </c>
      <c r="H736" s="20" t="s">
        <v>229</v>
      </c>
      <c r="I736" s="21" t="s">
        <v>70</v>
      </c>
      <c r="J736" s="22" t="s">
        <v>71</v>
      </c>
      <c r="K736" s="23">
        <v>29.0</v>
      </c>
      <c r="L736" s="24">
        <v>31.0</v>
      </c>
      <c r="M736" s="24" t="str">
        <f>IFERROR(VLOOKUP(D736,'Chủ đề bài nguồn'!$A$2:$C$735,3,0),"Khác")</f>
        <v>Thẻ tín dụng</v>
      </c>
      <c r="N736" s="24"/>
    </row>
    <row r="737">
      <c r="A737" s="15">
        <v>735.0</v>
      </c>
      <c r="B737" s="16" t="s">
        <v>682</v>
      </c>
      <c r="C737" s="18" t="s">
        <v>1905</v>
      </c>
      <c r="D737" s="16" t="s">
        <v>2268</v>
      </c>
      <c r="E737" s="16" t="s">
        <v>3738</v>
      </c>
      <c r="F737" s="16" t="s">
        <v>3739</v>
      </c>
      <c r="G737" s="16" t="s">
        <v>3740</v>
      </c>
      <c r="H737" s="20" t="s">
        <v>229</v>
      </c>
      <c r="I737" s="21" t="s">
        <v>70</v>
      </c>
      <c r="J737" s="22" t="s">
        <v>3741</v>
      </c>
      <c r="K737" s="23">
        <v>29.0</v>
      </c>
      <c r="L737" s="24">
        <v>31.0</v>
      </c>
      <c r="M737" s="24" t="str">
        <f>IFERROR(VLOOKUP(D737,'Chủ đề bài nguồn'!$A$2:$C$735,3,0),"Khác")</f>
        <v>Tiết kiệm &amp; lãi suất tiền gửi</v>
      </c>
      <c r="N737" s="24"/>
    </row>
    <row r="738">
      <c r="A738" s="15">
        <v>736.0</v>
      </c>
      <c r="B738" s="16" t="s">
        <v>682</v>
      </c>
      <c r="C738" s="18" t="s">
        <v>1905</v>
      </c>
      <c r="D738" s="16" t="s">
        <v>3260</v>
      </c>
      <c r="E738" s="16" t="s">
        <v>3745</v>
      </c>
      <c r="F738" s="16" t="s">
        <v>3746</v>
      </c>
      <c r="G738" s="16" t="s">
        <v>3747</v>
      </c>
      <c r="H738" s="20" t="s">
        <v>229</v>
      </c>
      <c r="I738" s="21" t="s">
        <v>70</v>
      </c>
      <c r="J738" s="22" t="s">
        <v>71</v>
      </c>
      <c r="K738" s="23">
        <v>29.0</v>
      </c>
      <c r="L738" s="24">
        <v>31.0</v>
      </c>
      <c r="M738" s="24" t="str">
        <f>IFERROR(VLOOKUP(D738,'Chủ đề bài nguồn'!$A$2:$C$735,3,0),"Khác")</f>
        <v>Vay tiêu dùng &amp; tín chấp</v>
      </c>
      <c r="N738" s="24"/>
    </row>
    <row r="739">
      <c r="A739" s="15">
        <v>737.0</v>
      </c>
      <c r="B739" s="16" t="s">
        <v>682</v>
      </c>
      <c r="C739" s="18" t="s">
        <v>1905</v>
      </c>
      <c r="D739" s="16" t="s">
        <v>2957</v>
      </c>
      <c r="E739" s="16" t="s">
        <v>3749</v>
      </c>
      <c r="F739" s="16" t="s">
        <v>3750</v>
      </c>
      <c r="G739" s="16" t="s">
        <v>3751</v>
      </c>
      <c r="H739" s="20" t="s">
        <v>229</v>
      </c>
      <c r="I739" s="21" t="s">
        <v>70</v>
      </c>
      <c r="J739" s="22" t="s">
        <v>884</v>
      </c>
      <c r="K739" s="23">
        <v>29.0</v>
      </c>
      <c r="L739" s="24">
        <v>31.0</v>
      </c>
      <c r="M739" s="24" t="str">
        <f>IFERROR(VLOOKUP(D739,'Chủ đề bài nguồn'!$A$2:$C$735,3,0),"Khác")</f>
        <v>Vay tiêu dùng &amp; tín chấp</v>
      </c>
      <c r="N739" s="24"/>
    </row>
    <row r="740">
      <c r="A740" s="15">
        <v>738.0</v>
      </c>
      <c r="B740" s="16" t="s">
        <v>682</v>
      </c>
      <c r="C740" s="18" t="s">
        <v>1905</v>
      </c>
      <c r="D740" s="16" t="s">
        <v>3265</v>
      </c>
      <c r="E740" s="16" t="s">
        <v>3752</v>
      </c>
      <c r="F740" s="16" t="s">
        <v>3753</v>
      </c>
      <c r="G740" s="16" t="s">
        <v>3754</v>
      </c>
      <c r="H740" s="20" t="s">
        <v>229</v>
      </c>
      <c r="I740" s="21" t="s">
        <v>70</v>
      </c>
      <c r="J740" s="22" t="s">
        <v>71</v>
      </c>
      <c r="K740" s="23">
        <v>29.0</v>
      </c>
      <c r="L740" s="24">
        <v>31.0</v>
      </c>
      <c r="M740" s="24" t="str">
        <f>IFERROR(VLOOKUP(D740,'Chủ đề bài nguồn'!$A$2:$C$735,3,0),"Khác")</f>
        <v>Hộ kinh doanh &amp; bán hàng</v>
      </c>
      <c r="N740" s="24"/>
    </row>
    <row r="741">
      <c r="A741" s="15">
        <v>739.0</v>
      </c>
      <c r="B741" s="39" t="s">
        <v>682</v>
      </c>
      <c r="C741" s="18" t="s">
        <v>1905</v>
      </c>
      <c r="D741" s="39" t="s">
        <v>1159</v>
      </c>
      <c r="E741" s="16" t="s">
        <v>3758</v>
      </c>
      <c r="F741" s="16" t="s">
        <v>3759</v>
      </c>
      <c r="G741" s="16" t="s">
        <v>3760</v>
      </c>
      <c r="H741" s="20" t="s">
        <v>229</v>
      </c>
      <c r="I741" s="21" t="s">
        <v>70</v>
      </c>
      <c r="J741" s="22" t="s">
        <v>3761</v>
      </c>
      <c r="K741" s="23">
        <v>29.0</v>
      </c>
      <c r="L741" s="24">
        <v>31.0</v>
      </c>
      <c r="M741" s="24" t="str">
        <f>IFERROR(VLOOKUP(D741,'Chủ đề bài nguồn'!$A$2:$C$735,3,0),"Khác")</f>
        <v>Tài khoản &amp; ngân hàng số</v>
      </c>
      <c r="N741" s="24"/>
    </row>
    <row r="742">
      <c r="A742" s="15">
        <v>740.0</v>
      </c>
      <c r="B742" s="39" t="s">
        <v>682</v>
      </c>
      <c r="C742" s="18" t="s">
        <v>1905</v>
      </c>
      <c r="D742" s="39" t="s">
        <v>909</v>
      </c>
      <c r="E742" s="16" t="s">
        <v>3765</v>
      </c>
      <c r="F742" s="16" t="s">
        <v>3766</v>
      </c>
      <c r="G742" s="16" t="s">
        <v>3767</v>
      </c>
      <c r="H742" s="20" t="s">
        <v>229</v>
      </c>
      <c r="I742" s="21" t="s">
        <v>70</v>
      </c>
      <c r="J742" s="22" t="s">
        <v>3768</v>
      </c>
      <c r="K742" s="23">
        <v>29.0</v>
      </c>
      <c r="L742" s="24">
        <v>31.0</v>
      </c>
      <c r="M742" s="24" t="str">
        <f>IFERROR(VLOOKUP(D742,'Chủ đề bài nguồn'!$A$2:$C$735,3,0),"Khác")</f>
        <v>Ngân hàng xanh &amp; thương hiệu</v>
      </c>
      <c r="N742" s="24"/>
    </row>
    <row r="743">
      <c r="A743" s="15">
        <v>741.0</v>
      </c>
      <c r="B743" s="39" t="s">
        <v>682</v>
      </c>
      <c r="C743" s="18" t="s">
        <v>1905</v>
      </c>
      <c r="D743" s="39" t="s">
        <v>2084</v>
      </c>
      <c r="E743" s="16" t="s">
        <v>3770</v>
      </c>
      <c r="F743" s="16" t="s">
        <v>3771</v>
      </c>
      <c r="G743" s="16" t="s">
        <v>3772</v>
      </c>
      <c r="H743" s="20" t="s">
        <v>229</v>
      </c>
      <c r="I743" s="21" t="s">
        <v>70</v>
      </c>
      <c r="J743" s="22" t="s">
        <v>71</v>
      </c>
      <c r="K743" s="23">
        <v>29.0</v>
      </c>
      <c r="L743" s="24">
        <v>31.0</v>
      </c>
      <c r="M743" s="24" t="str">
        <f>IFERROR(VLOOKUP(D743,'Chủ đề bài nguồn'!$A$2:$C$735,3,0),"Khác")</f>
        <v>Thẻ tín dụng</v>
      </c>
      <c r="N743" s="24"/>
    </row>
    <row r="744">
      <c r="A744" s="15">
        <v>742.0</v>
      </c>
      <c r="B744" s="39" t="s">
        <v>682</v>
      </c>
      <c r="C744" s="18" t="s">
        <v>1905</v>
      </c>
      <c r="D744" s="39" t="s">
        <v>1650</v>
      </c>
      <c r="E744" s="16" t="s">
        <v>3776</v>
      </c>
      <c r="F744" s="16" t="s">
        <v>3777</v>
      </c>
      <c r="G744" s="16" t="s">
        <v>3779</v>
      </c>
      <c r="H744" s="20" t="s">
        <v>229</v>
      </c>
      <c r="I744" s="21" t="s">
        <v>70</v>
      </c>
      <c r="J744" s="22" t="s">
        <v>71</v>
      </c>
      <c r="K744" s="23">
        <v>29.0</v>
      </c>
      <c r="L744" s="24">
        <v>31.0</v>
      </c>
      <c r="M744" s="24" t="str">
        <f>IFERROR(VLOOKUP(D744,'Chủ đề bài nguồn'!$A$2:$C$735,3,0),"Khác")</f>
        <v>Tài khoản &amp; ngân hàng số</v>
      </c>
      <c r="N744" s="24"/>
    </row>
    <row r="745">
      <c r="A745" s="15">
        <v>743.0</v>
      </c>
      <c r="B745" s="39" t="s">
        <v>682</v>
      </c>
      <c r="C745" s="18" t="s">
        <v>1905</v>
      </c>
      <c r="D745" s="39" t="s">
        <v>1659</v>
      </c>
      <c r="E745" s="16" t="s">
        <v>3782</v>
      </c>
      <c r="F745" s="16" t="s">
        <v>3777</v>
      </c>
      <c r="G745" s="16" t="s">
        <v>3779</v>
      </c>
      <c r="H745" s="20" t="s">
        <v>229</v>
      </c>
      <c r="I745" s="21" t="s">
        <v>70</v>
      </c>
      <c r="J745" s="22" t="s">
        <v>71</v>
      </c>
      <c r="K745" s="23">
        <v>29.0</v>
      </c>
      <c r="L745" s="24">
        <v>31.0</v>
      </c>
      <c r="M745" s="24" t="str">
        <f>IFERROR(VLOOKUP(D745,'Chủ đề bài nguồn'!$A$2:$C$735,3,0),"Khác")</f>
        <v>Tài khoản &amp; ngân hàng số</v>
      </c>
      <c r="N745" s="24"/>
    </row>
    <row r="746">
      <c r="A746" s="15">
        <v>744.0</v>
      </c>
      <c r="B746" s="16" t="s">
        <v>918</v>
      </c>
      <c r="C746" s="18" t="s">
        <v>1494</v>
      </c>
      <c r="D746" s="16" t="s">
        <v>3071</v>
      </c>
      <c r="E746" s="16" t="s">
        <v>3784</v>
      </c>
      <c r="F746" s="16" t="s">
        <v>3785</v>
      </c>
      <c r="G746" s="16" t="s">
        <v>3786</v>
      </c>
      <c r="H746" s="20" t="s">
        <v>69</v>
      </c>
      <c r="I746" s="21" t="s">
        <v>70</v>
      </c>
      <c r="J746" s="22" t="s">
        <v>71</v>
      </c>
      <c r="K746" s="23">
        <v>30.0</v>
      </c>
      <c r="L746" s="24">
        <v>10.0</v>
      </c>
      <c r="M746" s="24" t="str">
        <f>IFERROR(VLOOKUP(D746,'Chủ đề bài nguồn'!$A$2:$C$735,3,0),"Khác")</f>
        <v>Nợ xấu &amp; CIC</v>
      </c>
      <c r="N746" s="24"/>
    </row>
    <row r="747">
      <c r="A747" s="15">
        <v>745.0</v>
      </c>
      <c r="B747" s="16" t="s">
        <v>918</v>
      </c>
      <c r="C747" s="18" t="s">
        <v>1494</v>
      </c>
      <c r="D747" s="16" t="s">
        <v>3026</v>
      </c>
      <c r="E747" s="16" t="s">
        <v>3787</v>
      </c>
      <c r="F747" s="16" t="s">
        <v>3788</v>
      </c>
      <c r="G747" s="16" t="s">
        <v>3786</v>
      </c>
      <c r="H747" s="20" t="s">
        <v>69</v>
      </c>
      <c r="I747" s="21" t="s">
        <v>70</v>
      </c>
      <c r="J747" s="22" t="s">
        <v>71</v>
      </c>
      <c r="K747" s="23">
        <v>30.0</v>
      </c>
      <c r="L747" s="24">
        <v>10.0</v>
      </c>
      <c r="M747" s="24" t="str">
        <f>IFERROR(VLOOKUP(D747,'Chủ đề bài nguồn'!$A$2:$C$735,3,0),"Khác")</f>
        <v>Thẻ tín dụng</v>
      </c>
      <c r="N747" s="24"/>
    </row>
    <row r="748">
      <c r="A748" s="15">
        <v>746.0</v>
      </c>
      <c r="B748" s="16" t="s">
        <v>918</v>
      </c>
      <c r="C748" s="18" t="s">
        <v>1494</v>
      </c>
      <c r="D748" s="16" t="s">
        <v>2272</v>
      </c>
      <c r="E748" s="16" t="s">
        <v>3791</v>
      </c>
      <c r="F748" s="16" t="s">
        <v>3792</v>
      </c>
      <c r="G748" s="16" t="s">
        <v>3786</v>
      </c>
      <c r="H748" s="20" t="s">
        <v>69</v>
      </c>
      <c r="I748" s="21" t="s">
        <v>70</v>
      </c>
      <c r="J748" s="22" t="s">
        <v>71</v>
      </c>
      <c r="K748" s="23">
        <v>30.0</v>
      </c>
      <c r="L748" s="24">
        <v>10.0</v>
      </c>
      <c r="M748" s="24" t="str">
        <f>IFERROR(VLOOKUP(D748,'Chủ đề bài nguồn'!$A$2:$C$735,3,0),"Khác")</f>
        <v>Thẻ tín dụng</v>
      </c>
      <c r="N748" s="24"/>
    </row>
    <row r="749">
      <c r="A749" s="15">
        <v>747.0</v>
      </c>
      <c r="B749" s="16" t="s">
        <v>918</v>
      </c>
      <c r="C749" s="18" t="s">
        <v>3254</v>
      </c>
      <c r="D749" s="16" t="s">
        <v>3019</v>
      </c>
      <c r="E749" s="16" t="s">
        <v>3793</v>
      </c>
      <c r="F749" s="16" t="s">
        <v>3794</v>
      </c>
      <c r="G749" s="16" t="s">
        <v>3795</v>
      </c>
      <c r="H749" s="20" t="s">
        <v>69</v>
      </c>
      <c r="I749" s="21" t="s">
        <v>70</v>
      </c>
      <c r="J749" s="22" t="s">
        <v>71</v>
      </c>
      <c r="K749" s="23">
        <v>30.0</v>
      </c>
      <c r="L749" s="24">
        <v>10.0</v>
      </c>
      <c r="M749" s="24" t="str">
        <f>IFERROR(VLOOKUP(D749,'Chủ đề bài nguồn'!$A$2:$C$735,3,0),"Khác")</f>
        <v>Thẻ tín dụng</v>
      </c>
      <c r="N749" s="24"/>
    </row>
    <row r="750">
      <c r="A750" s="15">
        <v>748.0</v>
      </c>
      <c r="B750" s="16" t="s">
        <v>918</v>
      </c>
      <c r="C750" s="18" t="s">
        <v>3254</v>
      </c>
      <c r="D750" s="16" t="s">
        <v>2794</v>
      </c>
      <c r="E750" s="16" t="s">
        <v>3798</v>
      </c>
      <c r="F750" s="16" t="s">
        <v>3799</v>
      </c>
      <c r="G750" s="16" t="s">
        <v>3795</v>
      </c>
      <c r="H750" s="20" t="s">
        <v>69</v>
      </c>
      <c r="I750" s="21" t="s">
        <v>70</v>
      </c>
      <c r="J750" s="22" t="s">
        <v>71</v>
      </c>
      <c r="K750" s="23">
        <v>30.0</v>
      </c>
      <c r="L750" s="24">
        <v>10.0</v>
      </c>
      <c r="M750" s="24" t="str">
        <f>IFERROR(VLOOKUP(D750,'Chủ đề bài nguồn'!$A$2:$C$735,3,0),"Khác")</f>
        <v>Thẻ tín dụng</v>
      </c>
      <c r="N750" s="24"/>
    </row>
    <row r="751">
      <c r="A751" s="15">
        <v>749.0</v>
      </c>
      <c r="B751" s="16" t="s">
        <v>918</v>
      </c>
      <c r="C751" s="18" t="s">
        <v>3254</v>
      </c>
      <c r="D751" s="16" t="s">
        <v>3066</v>
      </c>
      <c r="E751" s="16" t="s">
        <v>3801</v>
      </c>
      <c r="F751" s="16" t="s">
        <v>3802</v>
      </c>
      <c r="G751" s="16" t="s">
        <v>3795</v>
      </c>
      <c r="H751" s="20" t="s">
        <v>69</v>
      </c>
      <c r="I751" s="21" t="s">
        <v>70</v>
      </c>
      <c r="J751" s="22" t="s">
        <v>71</v>
      </c>
      <c r="K751" s="23">
        <v>30.0</v>
      </c>
      <c r="L751" s="24">
        <v>10.0</v>
      </c>
      <c r="M751" s="24" t="str">
        <f>IFERROR(VLOOKUP(D751,'Chủ đề bài nguồn'!$A$2:$C$735,3,0),"Khác")</f>
        <v>Nợ xấu &amp; CIC</v>
      </c>
      <c r="N751" s="24"/>
    </row>
    <row r="752">
      <c r="A752" s="15">
        <v>750.0</v>
      </c>
      <c r="B752" s="16" t="s">
        <v>918</v>
      </c>
      <c r="C752" s="18" t="s">
        <v>3254</v>
      </c>
      <c r="D752" s="16" t="s">
        <v>1901</v>
      </c>
      <c r="E752" s="16" t="s">
        <v>3803</v>
      </c>
      <c r="F752" s="16" t="s">
        <v>3804</v>
      </c>
      <c r="G752" s="16" t="s">
        <v>3795</v>
      </c>
      <c r="H752" s="20" t="s">
        <v>69</v>
      </c>
      <c r="I752" s="21" t="s">
        <v>70</v>
      </c>
      <c r="J752" s="22" t="s">
        <v>71</v>
      </c>
      <c r="K752" s="23">
        <v>30.0</v>
      </c>
      <c r="L752" s="24">
        <v>10.0</v>
      </c>
      <c r="M752" s="24" t="str">
        <f>IFERROR(VLOOKUP(D752,'Chủ đề bài nguồn'!$A$2:$C$735,3,0),"Khác")</f>
        <v>Thẻ tín dụng</v>
      </c>
      <c r="N752" s="24"/>
    </row>
    <row r="753">
      <c r="A753" s="15">
        <v>751.0</v>
      </c>
      <c r="B753" s="16" t="s">
        <v>918</v>
      </c>
      <c r="C753" s="18" t="s">
        <v>3254</v>
      </c>
      <c r="D753" s="16" t="s">
        <v>2921</v>
      </c>
      <c r="E753" s="16" t="s">
        <v>3807</v>
      </c>
      <c r="F753" s="16" t="s">
        <v>3808</v>
      </c>
      <c r="G753" s="16" t="s">
        <v>3795</v>
      </c>
      <c r="H753" s="20" t="s">
        <v>69</v>
      </c>
      <c r="I753" s="21" t="s">
        <v>70</v>
      </c>
      <c r="J753" s="22" t="s">
        <v>71</v>
      </c>
      <c r="K753" s="23">
        <v>30.0</v>
      </c>
      <c r="L753" s="24">
        <v>10.0</v>
      </c>
      <c r="M753" s="24" t="str">
        <f>IFERROR(VLOOKUP(D753,'Chủ đề bài nguồn'!$A$2:$C$735,3,0),"Khác")</f>
        <v>Thẻ tín dụng</v>
      </c>
      <c r="N753" s="24"/>
    </row>
    <row r="754">
      <c r="A754" s="15">
        <v>752.0</v>
      </c>
      <c r="B754" s="16" t="s">
        <v>918</v>
      </c>
      <c r="C754" s="18" t="s">
        <v>3254</v>
      </c>
      <c r="D754" s="16" t="s">
        <v>3276</v>
      </c>
      <c r="E754" s="16" t="s">
        <v>3809</v>
      </c>
      <c r="F754" s="16" t="s">
        <v>3810</v>
      </c>
      <c r="G754" s="16" t="s">
        <v>3795</v>
      </c>
      <c r="H754" s="20" t="s">
        <v>69</v>
      </c>
      <c r="I754" s="21" t="s">
        <v>70</v>
      </c>
      <c r="J754" s="22" t="s">
        <v>71</v>
      </c>
      <c r="K754" s="23">
        <v>30.0</v>
      </c>
      <c r="L754" s="24">
        <v>10.0</v>
      </c>
      <c r="M754" s="24" t="str">
        <f>IFERROR(VLOOKUP(D754,'Chủ đề bài nguồn'!$A$2:$C$735,3,0),"Khác")</f>
        <v>Thẻ tín dụng</v>
      </c>
      <c r="N754" s="24"/>
    </row>
    <row r="755">
      <c r="A755" s="15">
        <v>753.0</v>
      </c>
      <c r="B755" s="16" t="s">
        <v>918</v>
      </c>
      <c r="C755" s="18" t="s">
        <v>3254</v>
      </c>
      <c r="D755" s="16" t="s">
        <v>3188</v>
      </c>
      <c r="E755" s="16" t="s">
        <v>710</v>
      </c>
      <c r="F755" s="16" t="s">
        <v>3811</v>
      </c>
      <c r="G755" s="16" t="s">
        <v>3795</v>
      </c>
      <c r="H755" s="20" t="s">
        <v>69</v>
      </c>
      <c r="I755" s="21" t="s">
        <v>70</v>
      </c>
      <c r="J755" s="22" t="s">
        <v>71</v>
      </c>
      <c r="K755" s="23">
        <v>30.0</v>
      </c>
      <c r="L755" s="24">
        <v>10.0</v>
      </c>
      <c r="M755" s="24" t="str">
        <f>IFERROR(VLOOKUP(D755,'Chủ đề bài nguồn'!$A$2:$C$735,3,0),"Khác")</f>
        <v>Thẻ tín dụng</v>
      </c>
      <c r="N755" s="24"/>
    </row>
    <row r="756">
      <c r="A756" s="15">
        <v>754.0</v>
      </c>
      <c r="B756" s="16" t="s">
        <v>918</v>
      </c>
      <c r="C756" s="18" t="s">
        <v>3254</v>
      </c>
      <c r="D756" s="16" t="s">
        <v>3004</v>
      </c>
      <c r="E756" s="16" t="s">
        <v>3631</v>
      </c>
      <c r="F756" s="16" t="s">
        <v>3813</v>
      </c>
      <c r="G756" s="16" t="s">
        <v>3795</v>
      </c>
      <c r="H756" s="20" t="s">
        <v>69</v>
      </c>
      <c r="I756" s="21" t="s">
        <v>70</v>
      </c>
      <c r="J756" s="22" t="s">
        <v>71</v>
      </c>
      <c r="K756" s="23">
        <v>30.0</v>
      </c>
      <c r="L756" s="24">
        <v>10.0</v>
      </c>
      <c r="M756" s="24" t="str">
        <f>IFERROR(VLOOKUP(D756,'Chủ đề bài nguồn'!$A$2:$C$735,3,0),"Khác")</f>
        <v>Thẻ tín dụng</v>
      </c>
      <c r="N756" s="24"/>
    </row>
    <row r="757">
      <c r="A757" s="15">
        <v>755.0</v>
      </c>
      <c r="B757" s="16" t="s">
        <v>918</v>
      </c>
      <c r="C757" s="18" t="s">
        <v>3254</v>
      </c>
      <c r="D757" s="16" t="s">
        <v>3189</v>
      </c>
      <c r="E757" s="16" t="s">
        <v>710</v>
      </c>
      <c r="F757" s="16" t="s">
        <v>3816</v>
      </c>
      <c r="G757" s="16" t="s">
        <v>3795</v>
      </c>
      <c r="H757" s="20" t="s">
        <v>69</v>
      </c>
      <c r="I757" s="21" t="s">
        <v>70</v>
      </c>
      <c r="J757" s="22" t="s">
        <v>2728</v>
      </c>
      <c r="K757" s="23">
        <v>30.0</v>
      </c>
      <c r="L757" s="24">
        <v>10.0</v>
      </c>
      <c r="M757" s="24" t="str">
        <f>IFERROR(VLOOKUP(D757,'Chủ đề bài nguồn'!$A$2:$C$735,3,0),"Khác")</f>
        <v>Thẻ tín dụng</v>
      </c>
      <c r="N757" s="24"/>
    </row>
    <row r="758">
      <c r="A758" s="15">
        <v>756.0</v>
      </c>
      <c r="B758" s="16" t="s">
        <v>918</v>
      </c>
      <c r="C758" s="18" t="s">
        <v>3254</v>
      </c>
      <c r="D758" s="16" t="s">
        <v>2343</v>
      </c>
      <c r="E758" s="16" t="s">
        <v>3818</v>
      </c>
      <c r="F758" s="16" t="s">
        <v>3819</v>
      </c>
      <c r="G758" s="16" t="s">
        <v>3795</v>
      </c>
      <c r="H758" s="20" t="s">
        <v>69</v>
      </c>
      <c r="I758" s="21" t="s">
        <v>70</v>
      </c>
      <c r="J758" s="22" t="s">
        <v>71</v>
      </c>
      <c r="K758" s="23">
        <v>30.0</v>
      </c>
      <c r="L758" s="24">
        <v>10.0</v>
      </c>
      <c r="M758" s="24" t="str">
        <f>IFERROR(VLOOKUP(D758,'Chủ đề bài nguồn'!$A$2:$C$735,3,0),"Khác")</f>
        <v>Thẻ tín dụng</v>
      </c>
      <c r="N758" s="24"/>
    </row>
    <row r="759">
      <c r="A759" s="15">
        <v>757.0</v>
      </c>
      <c r="B759" s="16" t="s">
        <v>918</v>
      </c>
      <c r="C759" s="18" t="s">
        <v>3254</v>
      </c>
      <c r="D759" s="16" t="s">
        <v>2510</v>
      </c>
      <c r="E759" s="16" t="s">
        <v>2511</v>
      </c>
      <c r="F759" s="16" t="s">
        <v>3822</v>
      </c>
      <c r="G759" s="16" t="s">
        <v>3795</v>
      </c>
      <c r="H759" s="20" t="s">
        <v>155</v>
      </c>
      <c r="I759" s="21" t="s">
        <v>70</v>
      </c>
      <c r="J759" s="22" t="s">
        <v>3823</v>
      </c>
      <c r="K759" s="23">
        <v>30.0</v>
      </c>
      <c r="L759" s="24">
        <v>20.0</v>
      </c>
      <c r="M759" s="24" t="str">
        <f>IFERROR(VLOOKUP(D759,'Chủ đề bài nguồn'!$A$2:$C$735,3,0),"Khác")</f>
        <v>Doanh nghiệp (tài khoản, vay, tài chính)</v>
      </c>
      <c r="N759" s="24"/>
    </row>
    <row r="760">
      <c r="A760" s="15">
        <v>758.0</v>
      </c>
      <c r="B760" s="16" t="s">
        <v>918</v>
      </c>
      <c r="C760" s="18" t="s">
        <v>3254</v>
      </c>
      <c r="D760" s="16" t="s">
        <v>2988</v>
      </c>
      <c r="E760" s="16" t="s">
        <v>3824</v>
      </c>
      <c r="F760" s="16" t="s">
        <v>3826</v>
      </c>
      <c r="G760" s="16" t="s">
        <v>3795</v>
      </c>
      <c r="H760" s="20" t="s">
        <v>155</v>
      </c>
      <c r="I760" s="21" t="s">
        <v>70</v>
      </c>
      <c r="J760" s="22" t="s">
        <v>71</v>
      </c>
      <c r="K760" s="23">
        <v>30.0</v>
      </c>
      <c r="L760" s="24">
        <v>20.0</v>
      </c>
      <c r="M760" s="24" t="str">
        <f>IFERROR(VLOOKUP(D760,'Chủ đề bài nguồn'!$A$2:$C$735,3,0),"Khác")</f>
        <v>Thẻ tín dụng</v>
      </c>
      <c r="N760" s="24"/>
    </row>
    <row r="761">
      <c r="A761" s="15">
        <v>759.0</v>
      </c>
      <c r="B761" s="16" t="s">
        <v>918</v>
      </c>
      <c r="C761" s="18" t="s">
        <v>1494</v>
      </c>
      <c r="D761" s="16" t="s">
        <v>2967</v>
      </c>
      <c r="E761" s="16" t="s">
        <v>3827</v>
      </c>
      <c r="F761" s="16" t="s">
        <v>3828</v>
      </c>
      <c r="G761" s="16" t="s">
        <v>3829</v>
      </c>
      <c r="H761" s="20" t="s">
        <v>155</v>
      </c>
      <c r="I761" s="21" t="s">
        <v>70</v>
      </c>
      <c r="J761" s="22" t="s">
        <v>71</v>
      </c>
      <c r="K761" s="23">
        <v>30.0</v>
      </c>
      <c r="L761" s="24">
        <v>21.0</v>
      </c>
      <c r="M761" s="24" t="str">
        <f>IFERROR(VLOOKUP(D761,'Chủ đề bài nguồn'!$A$2:$C$735,3,0),"Khác")</f>
        <v>Thẻ tín dụng</v>
      </c>
      <c r="N761" s="24"/>
    </row>
    <row r="762">
      <c r="A762" s="15">
        <v>760.0</v>
      </c>
      <c r="B762" s="16" t="s">
        <v>918</v>
      </c>
      <c r="C762" s="18" t="s">
        <v>1494</v>
      </c>
      <c r="D762" s="16" t="s">
        <v>3181</v>
      </c>
      <c r="E762" s="16" t="s">
        <v>3514</v>
      </c>
      <c r="F762" s="16" t="s">
        <v>3830</v>
      </c>
      <c r="G762" s="16" t="s">
        <v>3831</v>
      </c>
      <c r="H762" s="20" t="s">
        <v>155</v>
      </c>
      <c r="I762" s="21" t="s">
        <v>70</v>
      </c>
      <c r="J762" s="22" t="s">
        <v>71</v>
      </c>
      <c r="K762" s="23">
        <v>30.0</v>
      </c>
      <c r="L762" s="24">
        <v>21.0</v>
      </c>
      <c r="M762" s="24" t="str">
        <f>IFERROR(VLOOKUP(D762,'Chủ đề bài nguồn'!$A$2:$C$735,3,0),"Khác")</f>
        <v>Thẻ tín dụng</v>
      </c>
      <c r="N762" s="24"/>
    </row>
    <row r="763">
      <c r="A763" s="15">
        <v>761.0</v>
      </c>
      <c r="B763" s="16" t="s">
        <v>918</v>
      </c>
      <c r="C763" s="18" t="s">
        <v>1494</v>
      </c>
      <c r="D763" s="16" t="s">
        <v>3275</v>
      </c>
      <c r="E763" s="16" t="s">
        <v>3833</v>
      </c>
      <c r="F763" s="16" t="s">
        <v>3834</v>
      </c>
      <c r="G763" s="16" t="s">
        <v>3835</v>
      </c>
      <c r="H763" s="20" t="s">
        <v>155</v>
      </c>
      <c r="I763" s="21" t="s">
        <v>70</v>
      </c>
      <c r="J763" s="22" t="s">
        <v>71</v>
      </c>
      <c r="K763" s="23">
        <v>30.0</v>
      </c>
      <c r="L763" s="24">
        <v>21.0</v>
      </c>
      <c r="M763" s="24" t="str">
        <f>IFERROR(VLOOKUP(D763,'Chủ đề bài nguồn'!$A$2:$C$735,3,0),"Khác")</f>
        <v>Thẻ tín dụng</v>
      </c>
      <c r="N763" s="24"/>
    </row>
    <row r="764">
      <c r="A764" s="15">
        <v>762.0</v>
      </c>
      <c r="B764" s="16" t="s">
        <v>918</v>
      </c>
      <c r="C764" s="18" t="s">
        <v>1494</v>
      </c>
      <c r="D764" s="16" t="s">
        <v>1842</v>
      </c>
      <c r="E764" s="16" t="s">
        <v>3836</v>
      </c>
      <c r="F764" s="16" t="s">
        <v>3837</v>
      </c>
      <c r="G764" s="16" t="s">
        <v>3838</v>
      </c>
      <c r="H764" s="20" t="s">
        <v>155</v>
      </c>
      <c r="I764" s="21" t="s">
        <v>70</v>
      </c>
      <c r="J764" s="22" t="s">
        <v>71</v>
      </c>
      <c r="K764" s="23">
        <v>30.0</v>
      </c>
      <c r="L764" s="24">
        <v>21.0</v>
      </c>
      <c r="M764" s="24" t="str">
        <f>IFERROR(VLOOKUP(D764,'Chủ đề bài nguồn'!$A$2:$C$735,3,0),"Khác")</f>
        <v>Thanh toán, chuyển khoản &amp; QR</v>
      </c>
      <c r="N764" s="24"/>
    </row>
    <row r="765">
      <c r="A765" s="15">
        <v>763.0</v>
      </c>
      <c r="B765" s="16" t="s">
        <v>918</v>
      </c>
      <c r="C765" s="18" t="s">
        <v>1494</v>
      </c>
      <c r="D765" s="16" t="s">
        <v>909</v>
      </c>
      <c r="E765" s="16" t="s">
        <v>3841</v>
      </c>
      <c r="F765" s="16" t="s">
        <v>3842</v>
      </c>
      <c r="G765" s="16" t="s">
        <v>3843</v>
      </c>
      <c r="H765" s="20" t="s">
        <v>155</v>
      </c>
      <c r="I765" s="21" t="s">
        <v>70</v>
      </c>
      <c r="J765" s="22" t="s">
        <v>71</v>
      </c>
      <c r="K765" s="23">
        <v>30.0</v>
      </c>
      <c r="L765" s="24">
        <v>21.0</v>
      </c>
      <c r="M765" s="24" t="str">
        <f>IFERROR(VLOOKUP(D765,'Chủ đề bài nguồn'!$A$2:$C$735,3,0),"Khác")</f>
        <v>Ngân hàng xanh &amp; thương hiệu</v>
      </c>
      <c r="N765" s="24"/>
    </row>
    <row r="766">
      <c r="A766" s="15">
        <v>764.0</v>
      </c>
      <c r="B766" s="16" t="s">
        <v>918</v>
      </c>
      <c r="C766" s="18" t="s">
        <v>1494</v>
      </c>
      <c r="D766" s="16" t="s">
        <v>1817</v>
      </c>
      <c r="E766" s="16" t="s">
        <v>2068</v>
      </c>
      <c r="F766" s="16" t="s">
        <v>3845</v>
      </c>
      <c r="G766" s="16" t="s">
        <v>3846</v>
      </c>
      <c r="H766" s="20" t="s">
        <v>155</v>
      </c>
      <c r="I766" s="21" t="s">
        <v>70</v>
      </c>
      <c r="J766" s="22" t="s">
        <v>71</v>
      </c>
      <c r="K766" s="23">
        <v>30.0</v>
      </c>
      <c r="L766" s="24">
        <v>21.0</v>
      </c>
      <c r="M766" s="24" t="str">
        <f>IFERROR(VLOOKUP(D766,'Chủ đề bài nguồn'!$A$2:$C$735,3,0),"Khác")</f>
        <v>Thẻ ATM &amp; thẻ ghi nợ</v>
      </c>
      <c r="N766" s="24"/>
    </row>
    <row r="767">
      <c r="A767" s="15">
        <v>765.0</v>
      </c>
      <c r="B767" s="16" t="s">
        <v>918</v>
      </c>
      <c r="C767" s="18" t="s">
        <v>1494</v>
      </c>
      <c r="D767" s="16" t="s">
        <v>3032</v>
      </c>
      <c r="E767" s="16" t="s">
        <v>3847</v>
      </c>
      <c r="F767" s="16" t="s">
        <v>3848</v>
      </c>
      <c r="G767" s="16" t="s">
        <v>3849</v>
      </c>
      <c r="H767" s="20" t="s">
        <v>155</v>
      </c>
      <c r="I767" s="21" t="s">
        <v>70</v>
      </c>
      <c r="J767" s="22" t="s">
        <v>71</v>
      </c>
      <c r="K767" s="23">
        <v>30.0</v>
      </c>
      <c r="L767" s="24">
        <v>21.0</v>
      </c>
      <c r="M767" s="24" t="str">
        <f>IFERROR(VLOOKUP(D767,'Chủ đề bài nguồn'!$A$2:$C$735,3,0),"Khác")</f>
        <v>Vay tiêu dùng &amp; tín chấp</v>
      </c>
      <c r="N767" s="24"/>
    </row>
    <row r="768">
      <c r="A768" s="15">
        <v>766.0</v>
      </c>
      <c r="B768" s="16" t="s">
        <v>918</v>
      </c>
      <c r="C768" s="18" t="s">
        <v>1494</v>
      </c>
      <c r="D768" s="16" t="s">
        <v>3186</v>
      </c>
      <c r="E768" s="16" t="s">
        <v>3852</v>
      </c>
      <c r="F768" s="16" t="s">
        <v>3853</v>
      </c>
      <c r="G768" s="16" t="s">
        <v>3854</v>
      </c>
      <c r="H768" s="20" t="s">
        <v>155</v>
      </c>
      <c r="I768" s="21" t="s">
        <v>70</v>
      </c>
      <c r="J768" s="22" t="s">
        <v>71</v>
      </c>
      <c r="K768" s="23">
        <v>30.0</v>
      </c>
      <c r="L768" s="24">
        <v>21.0</v>
      </c>
      <c r="M768" s="24" t="str">
        <f>IFERROR(VLOOKUP(D768,'Chủ đề bài nguồn'!$A$2:$C$735,3,0),"Khác")</f>
        <v>Thẻ tín dụng</v>
      </c>
      <c r="N768" s="24"/>
    </row>
    <row r="769">
      <c r="A769" s="15">
        <v>767.0</v>
      </c>
      <c r="B769" s="16" t="s">
        <v>918</v>
      </c>
      <c r="C769" s="18" t="s">
        <v>1494</v>
      </c>
      <c r="D769" s="16" t="s">
        <v>3180</v>
      </c>
      <c r="E769" s="16" t="s">
        <v>3856</v>
      </c>
      <c r="F769" s="16" t="s">
        <v>3857</v>
      </c>
      <c r="G769" s="16" t="s">
        <v>3858</v>
      </c>
      <c r="H769" s="20" t="s">
        <v>155</v>
      </c>
      <c r="I769" s="21" t="s">
        <v>70</v>
      </c>
      <c r="J769" s="22" t="s">
        <v>71</v>
      </c>
      <c r="K769" s="23">
        <v>30.0</v>
      </c>
      <c r="L769" s="24">
        <v>21.0</v>
      </c>
      <c r="M769" s="24" t="str">
        <f>IFERROR(VLOOKUP(D769,'Chủ đề bài nguồn'!$A$2:$C$735,3,0),"Khác")</f>
        <v>Thẻ ATM &amp; thẻ ghi nợ</v>
      </c>
      <c r="N769" s="24"/>
    </row>
    <row r="770">
      <c r="A770" s="15">
        <v>768.0</v>
      </c>
      <c r="B770" s="16" t="s">
        <v>918</v>
      </c>
      <c r="C770" s="18" t="s">
        <v>3254</v>
      </c>
      <c r="D770" s="16" t="s">
        <v>3194</v>
      </c>
      <c r="E770" s="16" t="s">
        <v>3859</v>
      </c>
      <c r="F770" s="16" t="s">
        <v>3860</v>
      </c>
      <c r="G770" s="16" t="s">
        <v>3795</v>
      </c>
      <c r="H770" s="20" t="s">
        <v>229</v>
      </c>
      <c r="I770" s="21" t="s">
        <v>70</v>
      </c>
      <c r="J770" s="22" t="s">
        <v>3861</v>
      </c>
      <c r="K770" s="23">
        <v>30.0</v>
      </c>
      <c r="L770" s="24">
        <v>30.0</v>
      </c>
      <c r="M770" s="24" t="str">
        <f>IFERROR(VLOOKUP(D770,'Chủ đề bài nguồn'!$A$2:$C$735,3,0),"Khác")</f>
        <v>Thẻ tín dụng</v>
      </c>
      <c r="N770" s="24"/>
    </row>
    <row r="771">
      <c r="A771" s="15">
        <v>769.0</v>
      </c>
      <c r="B771" s="16" t="s">
        <v>918</v>
      </c>
      <c r="C771" s="18" t="s">
        <v>1494</v>
      </c>
      <c r="D771" s="16" t="s">
        <v>2915</v>
      </c>
      <c r="E771" s="16" t="s">
        <v>3862</v>
      </c>
      <c r="F771" s="16" t="s">
        <v>3863</v>
      </c>
      <c r="G771" s="16" t="s">
        <v>3864</v>
      </c>
      <c r="H771" s="20" t="s">
        <v>229</v>
      </c>
      <c r="I771" s="21" t="s">
        <v>70</v>
      </c>
      <c r="J771" s="22" t="s">
        <v>71</v>
      </c>
      <c r="K771" s="23">
        <v>30.0</v>
      </c>
      <c r="L771" s="24">
        <v>31.0</v>
      </c>
      <c r="M771" s="24" t="str">
        <f>IFERROR(VLOOKUP(D771,'Chủ đề bài nguồn'!$A$2:$C$735,3,0),"Khác")</f>
        <v>Thẻ ATM &amp; thẻ ghi nợ</v>
      </c>
      <c r="N771" s="24"/>
    </row>
    <row r="772">
      <c r="A772" s="15">
        <v>770.0</v>
      </c>
      <c r="B772" s="16" t="s">
        <v>918</v>
      </c>
      <c r="C772" s="18" t="s">
        <v>1494</v>
      </c>
      <c r="D772" s="16" t="s">
        <v>2107</v>
      </c>
      <c r="E772" s="16" t="s">
        <v>3866</v>
      </c>
      <c r="F772" s="16" t="s">
        <v>3867</v>
      </c>
      <c r="G772" s="16" t="s">
        <v>3868</v>
      </c>
      <c r="H772" s="20" t="s">
        <v>229</v>
      </c>
      <c r="I772" s="21" t="s">
        <v>70</v>
      </c>
      <c r="J772" s="22" t="s">
        <v>71</v>
      </c>
      <c r="K772" s="23">
        <v>30.0</v>
      </c>
      <c r="L772" s="24">
        <v>31.0</v>
      </c>
      <c r="M772" s="24" t="str">
        <f>IFERROR(VLOOKUP(D772,'Chủ đề bài nguồn'!$A$2:$C$735,3,0),"Khác")</f>
        <v>Thẻ ATM &amp; thẻ ghi nợ</v>
      </c>
      <c r="N772" s="24"/>
    </row>
    <row r="773">
      <c r="A773" s="15">
        <v>771.0</v>
      </c>
      <c r="B773" s="16" t="s">
        <v>918</v>
      </c>
      <c r="C773" s="18" t="s">
        <v>1494</v>
      </c>
      <c r="D773" s="16" t="s">
        <v>3199</v>
      </c>
      <c r="E773" s="16" t="s">
        <v>3871</v>
      </c>
      <c r="F773" s="16" t="s">
        <v>3872</v>
      </c>
      <c r="G773" s="16" t="s">
        <v>3873</v>
      </c>
      <c r="H773" s="20" t="s">
        <v>229</v>
      </c>
      <c r="I773" s="21" t="s">
        <v>70</v>
      </c>
      <c r="J773" s="22" t="s">
        <v>71</v>
      </c>
      <c r="K773" s="23">
        <v>30.0</v>
      </c>
      <c r="L773" s="24">
        <v>31.0</v>
      </c>
      <c r="M773" s="24" t="str">
        <f>IFERROR(VLOOKUP(D773,'Chủ đề bài nguồn'!$A$2:$C$735,3,0),"Khác")</f>
        <v>Thẻ tín dụng</v>
      </c>
      <c r="N773" s="24"/>
    </row>
    <row r="774">
      <c r="A774" s="15">
        <v>772.0</v>
      </c>
      <c r="B774" s="16" t="s">
        <v>918</v>
      </c>
      <c r="C774" s="18" t="s">
        <v>3254</v>
      </c>
      <c r="D774" s="16" t="s">
        <v>2933</v>
      </c>
      <c r="E774" s="16" t="s">
        <v>3874</v>
      </c>
      <c r="F774" s="16" t="s">
        <v>3875</v>
      </c>
      <c r="G774" s="16" t="s">
        <v>3876</v>
      </c>
      <c r="H774" s="20" t="s">
        <v>229</v>
      </c>
      <c r="I774" s="21" t="s">
        <v>70</v>
      </c>
      <c r="J774" s="22" t="s">
        <v>71</v>
      </c>
      <c r="K774" s="23">
        <v>30.0</v>
      </c>
      <c r="L774" s="24">
        <v>31.0</v>
      </c>
      <c r="M774" s="24" t="str">
        <f>IFERROR(VLOOKUP(D774,'Chủ đề bài nguồn'!$A$2:$C$735,3,0),"Khác")</f>
        <v>Thẻ tín dụng</v>
      </c>
      <c r="N774" s="24"/>
    </row>
    <row r="775">
      <c r="A775" s="15">
        <v>773.0</v>
      </c>
      <c r="B775" s="16" t="s">
        <v>918</v>
      </c>
      <c r="C775" s="18" t="s">
        <v>3254</v>
      </c>
      <c r="D775" s="16" t="s">
        <v>2099</v>
      </c>
      <c r="E775" s="16" t="s">
        <v>3347</v>
      </c>
      <c r="F775" s="16" t="s">
        <v>3878</v>
      </c>
      <c r="G775" s="16" t="s">
        <v>3879</v>
      </c>
      <c r="H775" s="20" t="s">
        <v>229</v>
      </c>
      <c r="I775" s="21" t="s">
        <v>70</v>
      </c>
      <c r="J775" s="22" t="s">
        <v>71</v>
      </c>
      <c r="K775" s="23">
        <v>30.0</v>
      </c>
      <c r="L775" s="24">
        <v>31.0</v>
      </c>
      <c r="M775" s="24" t="str">
        <f>IFERROR(VLOOKUP(D775,'Chủ đề bài nguồn'!$A$2:$C$735,3,0),"Khác")</f>
        <v>Thẻ ATM &amp; thẻ ghi nợ</v>
      </c>
      <c r="N775" s="24"/>
    </row>
    <row r="776">
      <c r="A776" s="15">
        <v>774.0</v>
      </c>
      <c r="B776" s="16" t="s">
        <v>922</v>
      </c>
      <c r="C776" s="18" t="s">
        <v>3331</v>
      </c>
      <c r="D776" s="16" t="s">
        <v>1143</v>
      </c>
      <c r="E776" s="16" t="s">
        <v>3880</v>
      </c>
      <c r="F776" s="16" t="s">
        <v>3881</v>
      </c>
      <c r="G776" s="16" t="s">
        <v>3882</v>
      </c>
      <c r="H776" s="20" t="s">
        <v>69</v>
      </c>
      <c r="I776" s="21" t="s">
        <v>70</v>
      </c>
      <c r="J776" s="22" t="s">
        <v>71</v>
      </c>
      <c r="K776" s="23">
        <v>31.0</v>
      </c>
      <c r="L776" s="24">
        <v>10.0</v>
      </c>
      <c r="M776" s="24" t="str">
        <f>IFERROR(VLOOKUP(D776,'Chủ đề bài nguồn'!$A$2:$C$735,3,0),"Khác")</f>
        <v>Ưu đãi, du lịch &amp; đời sống</v>
      </c>
      <c r="N776" s="24"/>
    </row>
    <row r="777">
      <c r="A777" s="15">
        <v>775.0</v>
      </c>
      <c r="B777" s="16" t="s">
        <v>922</v>
      </c>
      <c r="C777" s="18" t="s">
        <v>1507</v>
      </c>
      <c r="D777" s="16" t="s">
        <v>259</v>
      </c>
      <c r="E777" s="16" t="s">
        <v>3611</v>
      </c>
      <c r="F777" s="16" t="s">
        <v>3883</v>
      </c>
      <c r="G777" s="16" t="s">
        <v>3884</v>
      </c>
      <c r="H777" s="20" t="s">
        <v>155</v>
      </c>
      <c r="I777" s="21" t="s">
        <v>70</v>
      </c>
      <c r="J777" s="22" t="s">
        <v>71</v>
      </c>
      <c r="K777" s="23">
        <v>31.0</v>
      </c>
      <c r="L777" s="24">
        <v>21.0</v>
      </c>
      <c r="M777" s="24" t="str">
        <f>IFERROR(VLOOKUP(D777,'Chủ đề bài nguồn'!$A$2:$C$735,3,0),"Khác")</f>
        <v>Thẻ tín dụng</v>
      </c>
      <c r="N777" s="24"/>
    </row>
    <row r="778">
      <c r="A778" s="15">
        <v>776.0</v>
      </c>
      <c r="B778" s="16" t="s">
        <v>922</v>
      </c>
      <c r="C778" s="18" t="s">
        <v>1507</v>
      </c>
      <c r="D778" s="16" t="s">
        <v>682</v>
      </c>
      <c r="E778" s="16" t="s">
        <v>3886</v>
      </c>
      <c r="F778" s="16" t="s">
        <v>3887</v>
      </c>
      <c r="G778" s="16" t="s">
        <v>3888</v>
      </c>
      <c r="H778" s="20" t="s">
        <v>155</v>
      </c>
      <c r="I778" s="21" t="s">
        <v>70</v>
      </c>
      <c r="J778" s="22" t="s">
        <v>71</v>
      </c>
      <c r="K778" s="23">
        <v>31.0</v>
      </c>
      <c r="L778" s="24">
        <v>21.0</v>
      </c>
      <c r="M778" s="24" t="str">
        <f>IFERROR(VLOOKUP(D778,'Chủ đề bài nguồn'!$A$2:$C$735,3,0),"Khác")</f>
        <v>Thẻ tín dụng</v>
      </c>
      <c r="N778" s="24"/>
    </row>
    <row r="779">
      <c r="A779" s="15">
        <v>777.0</v>
      </c>
      <c r="B779" s="16" t="s">
        <v>922</v>
      </c>
      <c r="C779" s="18" t="s">
        <v>1507</v>
      </c>
      <c r="D779" s="16" t="s">
        <v>3026</v>
      </c>
      <c r="E779" s="16" t="s">
        <v>3787</v>
      </c>
      <c r="F779" s="16" t="s">
        <v>3889</v>
      </c>
      <c r="G779" s="16" t="s">
        <v>3890</v>
      </c>
      <c r="H779" s="20" t="s">
        <v>155</v>
      </c>
      <c r="I779" s="21" t="s">
        <v>70</v>
      </c>
      <c r="J779" s="22" t="s">
        <v>71</v>
      </c>
      <c r="K779" s="23">
        <v>31.0</v>
      </c>
      <c r="L779" s="24">
        <v>21.0</v>
      </c>
      <c r="M779" s="24" t="str">
        <f>IFERROR(VLOOKUP(D779,'Chủ đề bài nguồn'!$A$2:$C$735,3,0),"Khác")</f>
        <v>Thẻ tín dụng</v>
      </c>
      <c r="N779" s="24"/>
    </row>
    <row r="780">
      <c r="A780" s="15">
        <v>778.0</v>
      </c>
      <c r="B780" s="16" t="s">
        <v>922</v>
      </c>
      <c r="C780" s="18" t="s">
        <v>1507</v>
      </c>
      <c r="D780" s="16" t="s">
        <v>3032</v>
      </c>
      <c r="E780" s="16" t="s">
        <v>3893</v>
      </c>
      <c r="F780" s="16" t="s">
        <v>3894</v>
      </c>
      <c r="G780" s="16" t="s">
        <v>3895</v>
      </c>
      <c r="H780" s="20" t="s">
        <v>155</v>
      </c>
      <c r="I780" s="21" t="s">
        <v>70</v>
      </c>
      <c r="J780" s="22" t="s">
        <v>71</v>
      </c>
      <c r="K780" s="23">
        <v>31.0</v>
      </c>
      <c r="L780" s="24">
        <v>21.0</v>
      </c>
      <c r="M780" s="24" t="str">
        <f>IFERROR(VLOOKUP(D780,'Chủ đề bài nguồn'!$A$2:$C$735,3,0),"Khác")</f>
        <v>Vay tiêu dùng &amp; tín chấp</v>
      </c>
      <c r="N780" s="24"/>
    </row>
    <row r="781">
      <c r="A781" s="15">
        <v>779.0</v>
      </c>
      <c r="B781" s="16" t="s">
        <v>922</v>
      </c>
      <c r="C781" s="18" t="s">
        <v>1507</v>
      </c>
      <c r="D781" s="16" t="s">
        <v>3178</v>
      </c>
      <c r="E781" s="16" t="s">
        <v>3896</v>
      </c>
      <c r="F781" s="16" t="s">
        <v>3897</v>
      </c>
      <c r="G781" s="16" t="s">
        <v>3898</v>
      </c>
      <c r="H781" s="20" t="s">
        <v>155</v>
      </c>
      <c r="I781" s="21" t="s">
        <v>70</v>
      </c>
      <c r="J781" s="22" t="s">
        <v>71</v>
      </c>
      <c r="K781" s="23">
        <v>31.0</v>
      </c>
      <c r="L781" s="24">
        <v>21.0</v>
      </c>
      <c r="M781" s="24" t="str">
        <f>IFERROR(VLOOKUP(D781,'Chủ đề bài nguồn'!$A$2:$C$735,3,0),"Khác")</f>
        <v>Thẻ tín dụng</v>
      </c>
      <c r="N781" s="24"/>
    </row>
    <row r="782">
      <c r="A782" s="15">
        <v>780.0</v>
      </c>
      <c r="B782" s="16" t="s">
        <v>922</v>
      </c>
      <c r="C782" s="18" t="s">
        <v>1507</v>
      </c>
      <c r="D782" s="16" t="s">
        <v>700</v>
      </c>
      <c r="E782" s="16" t="s">
        <v>3900</v>
      </c>
      <c r="F782" s="16" t="s">
        <v>3901</v>
      </c>
      <c r="G782" s="16" t="s">
        <v>3902</v>
      </c>
      <c r="H782" s="20" t="s">
        <v>155</v>
      </c>
      <c r="I782" s="21" t="s">
        <v>70</v>
      </c>
      <c r="J782" s="22" t="s">
        <v>71</v>
      </c>
      <c r="K782" s="23">
        <v>31.0</v>
      </c>
      <c r="L782" s="24">
        <v>21.0</v>
      </c>
      <c r="M782" s="24" t="str">
        <f>IFERROR(VLOOKUP(D782,'Chủ đề bài nguồn'!$A$2:$C$735,3,0),"Khác")</f>
        <v>Thẻ tín dụng</v>
      </c>
      <c r="N782" s="24"/>
    </row>
    <row r="783">
      <c r="A783" s="15">
        <v>781.0</v>
      </c>
      <c r="B783" s="16" t="s">
        <v>922</v>
      </c>
      <c r="C783" s="18" t="s">
        <v>1507</v>
      </c>
      <c r="D783" s="16" t="s">
        <v>3089</v>
      </c>
      <c r="E783" s="16" t="s">
        <v>3628</v>
      </c>
      <c r="F783" s="16" t="s">
        <v>3903</v>
      </c>
      <c r="G783" s="16" t="s">
        <v>3888</v>
      </c>
      <c r="H783" s="20" t="s">
        <v>155</v>
      </c>
      <c r="I783" s="21" t="s">
        <v>70</v>
      </c>
      <c r="J783" s="22" t="s">
        <v>71</v>
      </c>
      <c r="K783" s="23">
        <v>31.0</v>
      </c>
      <c r="L783" s="24">
        <v>21.0</v>
      </c>
      <c r="M783" s="24" t="str">
        <f>IFERROR(VLOOKUP(D783,'Chủ đề bài nguồn'!$A$2:$C$735,3,0),"Khác")</f>
        <v>Thẻ tín dụng</v>
      </c>
      <c r="N783" s="24"/>
    </row>
    <row r="784">
      <c r="A784" s="15">
        <v>782.0</v>
      </c>
      <c r="B784" s="16" t="s">
        <v>922</v>
      </c>
      <c r="C784" s="18" t="s">
        <v>1507</v>
      </c>
      <c r="D784" s="16" t="s">
        <v>941</v>
      </c>
      <c r="E784" s="16" t="s">
        <v>3905</v>
      </c>
      <c r="F784" s="16" t="s">
        <v>3906</v>
      </c>
      <c r="G784" s="16" t="s">
        <v>3907</v>
      </c>
      <c r="H784" s="20" t="s">
        <v>155</v>
      </c>
      <c r="I784" s="21" t="s">
        <v>70</v>
      </c>
      <c r="J784" s="22" t="s">
        <v>71</v>
      </c>
      <c r="K784" s="23">
        <v>31.0</v>
      </c>
      <c r="L784" s="24">
        <v>21.0</v>
      </c>
      <c r="M784" s="24" t="str">
        <f>IFERROR(VLOOKUP(D784,'Chủ đề bài nguồn'!$A$2:$C$735,3,0),"Khác")</f>
        <v>Thẻ tín dụng</v>
      </c>
      <c r="N784" s="24"/>
    </row>
    <row r="785">
      <c r="A785" s="15">
        <v>783.0</v>
      </c>
      <c r="B785" s="16" t="s">
        <v>922</v>
      </c>
      <c r="C785" s="18" t="s">
        <v>1507</v>
      </c>
      <c r="D785" s="16" t="s">
        <v>2426</v>
      </c>
      <c r="E785" s="16" t="s">
        <v>3908</v>
      </c>
      <c r="F785" s="16" t="s">
        <v>3909</v>
      </c>
      <c r="G785" s="16" t="s">
        <v>3910</v>
      </c>
      <c r="H785" s="20" t="s">
        <v>155</v>
      </c>
      <c r="I785" s="21" t="s">
        <v>70</v>
      </c>
      <c r="J785" s="22" t="s">
        <v>71</v>
      </c>
      <c r="K785" s="23">
        <v>31.0</v>
      </c>
      <c r="L785" s="24">
        <v>21.0</v>
      </c>
      <c r="M785" s="24" t="str">
        <f>IFERROR(VLOOKUP(D785,'Chủ đề bài nguồn'!$A$2:$C$735,3,0),"Khác")</f>
        <v>Thẻ tín dụng</v>
      </c>
      <c r="N785" s="24"/>
    </row>
    <row r="786">
      <c r="A786" s="15">
        <v>784.0</v>
      </c>
      <c r="B786" s="16" t="s">
        <v>922</v>
      </c>
      <c r="C786" s="18" t="s">
        <v>1507</v>
      </c>
      <c r="D786" s="16" t="s">
        <v>2818</v>
      </c>
      <c r="E786" s="16" t="s">
        <v>3912</v>
      </c>
      <c r="F786" s="16" t="s">
        <v>3913</v>
      </c>
      <c r="G786" s="16" t="s">
        <v>3914</v>
      </c>
      <c r="H786" s="20" t="s">
        <v>155</v>
      </c>
      <c r="I786" s="21" t="s">
        <v>70</v>
      </c>
      <c r="J786" s="22" t="s">
        <v>71</v>
      </c>
      <c r="K786" s="23">
        <v>31.0</v>
      </c>
      <c r="L786" s="24">
        <v>21.0</v>
      </c>
      <c r="M786" s="24" t="str">
        <f>IFERROR(VLOOKUP(D786,'Chủ đề bài nguồn'!$A$2:$C$735,3,0),"Khác")</f>
        <v>Thẻ tín dụng</v>
      </c>
      <c r="N786" s="24"/>
    </row>
    <row r="787">
      <c r="A787" s="15">
        <v>785.0</v>
      </c>
      <c r="B787" s="16" t="s">
        <v>922</v>
      </c>
      <c r="C787" s="18" t="s">
        <v>1507</v>
      </c>
      <c r="D787" s="16" t="s">
        <v>2957</v>
      </c>
      <c r="E787" s="16" t="s">
        <v>3915</v>
      </c>
      <c r="F787" s="16" t="s">
        <v>3916</v>
      </c>
      <c r="G787" s="16" t="s">
        <v>3917</v>
      </c>
      <c r="H787" s="20" t="s">
        <v>229</v>
      </c>
      <c r="I787" s="21" t="s">
        <v>70</v>
      </c>
      <c r="J787" s="22" t="s">
        <v>3918</v>
      </c>
      <c r="K787" s="23">
        <v>31.0</v>
      </c>
      <c r="L787" s="24">
        <v>31.0</v>
      </c>
      <c r="M787" s="24" t="str">
        <f>IFERROR(VLOOKUP(D787,'Chủ đề bài nguồn'!$A$2:$C$735,3,0),"Khác")</f>
        <v>Vay tiêu dùng &amp; tín chấp</v>
      </c>
      <c r="N787" s="24"/>
    </row>
    <row r="788">
      <c r="A788" s="15">
        <v>786.0</v>
      </c>
      <c r="B788" s="16" t="s">
        <v>922</v>
      </c>
      <c r="C788" s="18" t="s">
        <v>1507</v>
      </c>
      <c r="D788" s="16" t="s">
        <v>2982</v>
      </c>
      <c r="E788" s="16" t="s">
        <v>3919</v>
      </c>
      <c r="F788" s="16" t="s">
        <v>3920</v>
      </c>
      <c r="G788" s="16" t="s">
        <v>3921</v>
      </c>
      <c r="H788" s="20" t="s">
        <v>229</v>
      </c>
      <c r="I788" s="21" t="s">
        <v>70</v>
      </c>
      <c r="J788" s="22" t="s">
        <v>619</v>
      </c>
      <c r="K788" s="23">
        <v>31.0</v>
      </c>
      <c r="L788" s="24">
        <v>31.0</v>
      </c>
      <c r="M788" s="24" t="str">
        <f>IFERROR(VLOOKUP(D788,'Chủ đề bài nguồn'!$A$2:$C$735,3,0),"Khác")</f>
        <v>Ưu đãi, du lịch &amp; đời sống</v>
      </c>
      <c r="N788" s="24"/>
    </row>
    <row r="789">
      <c r="A789" s="15">
        <v>787.0</v>
      </c>
      <c r="B789" s="16" t="s">
        <v>922</v>
      </c>
      <c r="C789" s="18" t="s">
        <v>1507</v>
      </c>
      <c r="D789" s="16" t="s">
        <v>3275</v>
      </c>
      <c r="E789" s="16" t="s">
        <v>3923</v>
      </c>
      <c r="F789" s="16" t="s">
        <v>3924</v>
      </c>
      <c r="G789" s="16" t="s">
        <v>3925</v>
      </c>
      <c r="H789" s="20" t="s">
        <v>229</v>
      </c>
      <c r="I789" s="21" t="s">
        <v>70</v>
      </c>
      <c r="J789" s="22" t="s">
        <v>3926</v>
      </c>
      <c r="K789" s="23">
        <v>31.0</v>
      </c>
      <c r="L789" s="24">
        <v>31.0</v>
      </c>
      <c r="M789" s="24" t="str">
        <f>IFERROR(VLOOKUP(D789,'Chủ đề bài nguồn'!$A$2:$C$735,3,0),"Khác")</f>
        <v>Thẻ tín dụng</v>
      </c>
      <c r="N789" s="24"/>
    </row>
    <row r="790">
      <c r="A790" s="15">
        <v>788.0</v>
      </c>
      <c r="B790" s="16" t="s">
        <v>922</v>
      </c>
      <c r="C790" s="18" t="s">
        <v>1507</v>
      </c>
      <c r="D790" s="16" t="s">
        <v>3004</v>
      </c>
      <c r="E790" s="16" t="s">
        <v>3631</v>
      </c>
      <c r="F790" s="16" t="s">
        <v>3927</v>
      </c>
      <c r="G790" s="16" t="s">
        <v>3928</v>
      </c>
      <c r="H790" s="20" t="s">
        <v>229</v>
      </c>
      <c r="I790" s="21" t="s">
        <v>70</v>
      </c>
      <c r="J790" s="22" t="s">
        <v>71</v>
      </c>
      <c r="K790" s="23">
        <v>31.0</v>
      </c>
      <c r="L790" s="24">
        <v>31.0</v>
      </c>
      <c r="M790" s="24" t="str">
        <f>IFERROR(VLOOKUP(D790,'Chủ đề bài nguồn'!$A$2:$C$735,3,0),"Khác")</f>
        <v>Thẻ tín dụng</v>
      </c>
      <c r="N790" s="24"/>
    </row>
    <row r="791">
      <c r="A791" s="15">
        <v>789.0</v>
      </c>
      <c r="B791" s="16" t="s">
        <v>922</v>
      </c>
      <c r="C791" s="18" t="s">
        <v>1507</v>
      </c>
      <c r="D791" s="16" t="s">
        <v>3116</v>
      </c>
      <c r="E791" s="16" t="s">
        <v>3931</v>
      </c>
      <c r="F791" s="16" t="s">
        <v>3932</v>
      </c>
      <c r="G791" s="16" t="s">
        <v>3933</v>
      </c>
      <c r="H791" s="20" t="s">
        <v>229</v>
      </c>
      <c r="I791" s="21" t="s">
        <v>70</v>
      </c>
      <c r="J791" s="22" t="s">
        <v>3934</v>
      </c>
      <c r="K791" s="23">
        <v>31.0</v>
      </c>
      <c r="L791" s="24">
        <v>31.0</v>
      </c>
      <c r="M791" s="24" t="str">
        <f>IFERROR(VLOOKUP(D791,'Chủ đề bài nguồn'!$A$2:$C$735,3,0),"Khác")</f>
        <v>Thẻ tín dụng</v>
      </c>
      <c r="N791" s="24"/>
    </row>
    <row r="792">
      <c r="A792" s="15">
        <v>790.0</v>
      </c>
      <c r="B792" s="16" t="s">
        <v>922</v>
      </c>
      <c r="C792" s="18" t="s">
        <v>1507</v>
      </c>
      <c r="D792" s="16" t="s">
        <v>2933</v>
      </c>
      <c r="E792" s="16" t="s">
        <v>3874</v>
      </c>
      <c r="F792" s="16" t="s">
        <v>3935</v>
      </c>
      <c r="G792" s="16" t="s">
        <v>3936</v>
      </c>
      <c r="H792" s="20" t="s">
        <v>229</v>
      </c>
      <c r="I792" s="21" t="s">
        <v>70</v>
      </c>
      <c r="J792" s="22" t="s">
        <v>71</v>
      </c>
      <c r="K792" s="23">
        <v>31.0</v>
      </c>
      <c r="L792" s="24">
        <v>31.0</v>
      </c>
      <c r="M792" s="24" t="str">
        <f>IFERROR(VLOOKUP(D792,'Chủ đề bài nguồn'!$A$2:$C$735,3,0),"Khác")</f>
        <v>Thẻ tín dụng</v>
      </c>
      <c r="N792" s="24"/>
    </row>
    <row r="793">
      <c r="A793" s="15">
        <v>791.0</v>
      </c>
      <c r="B793" s="16" t="s">
        <v>922</v>
      </c>
      <c r="C793" s="18" t="s">
        <v>1507</v>
      </c>
      <c r="D793" s="16" t="s">
        <v>3186</v>
      </c>
      <c r="E793" s="16" t="s">
        <v>3852</v>
      </c>
      <c r="F793" s="16" t="s">
        <v>3939</v>
      </c>
      <c r="G793" s="16" t="s">
        <v>3940</v>
      </c>
      <c r="H793" s="20" t="s">
        <v>229</v>
      </c>
      <c r="I793" s="21" t="s">
        <v>70</v>
      </c>
      <c r="J793" s="22" t="s">
        <v>71</v>
      </c>
      <c r="K793" s="23">
        <v>31.0</v>
      </c>
      <c r="L793" s="24">
        <v>31.0</v>
      </c>
      <c r="M793" s="24" t="str">
        <f>IFERROR(VLOOKUP(D793,'Chủ đề bài nguồn'!$A$2:$C$735,3,0),"Khác")</f>
        <v>Thẻ tín dụng</v>
      </c>
      <c r="N793" s="24"/>
    </row>
    <row r="794">
      <c r="A794" s="15">
        <v>792.0</v>
      </c>
      <c r="B794" s="16" t="s">
        <v>922</v>
      </c>
      <c r="C794" s="18" t="s">
        <v>1507</v>
      </c>
      <c r="D794" s="16" t="s">
        <v>2988</v>
      </c>
      <c r="E794" s="16" t="s">
        <v>3824</v>
      </c>
      <c r="F794" s="16" t="s">
        <v>3941</v>
      </c>
      <c r="G794" s="16" t="s">
        <v>3942</v>
      </c>
      <c r="H794" s="20" t="s">
        <v>229</v>
      </c>
      <c r="I794" s="21" t="s">
        <v>70</v>
      </c>
      <c r="J794" s="22" t="s">
        <v>71</v>
      </c>
      <c r="K794" s="23">
        <v>31.0</v>
      </c>
      <c r="L794" s="24">
        <v>31.0</v>
      </c>
      <c r="M794" s="24" t="str">
        <f>IFERROR(VLOOKUP(D794,'Chủ đề bài nguồn'!$A$2:$C$735,3,0),"Khác")</f>
        <v>Thẻ tín dụng</v>
      </c>
      <c r="N794" s="24"/>
    </row>
    <row r="795">
      <c r="A795" s="15">
        <v>793.0</v>
      </c>
      <c r="B795" s="16" t="s">
        <v>922</v>
      </c>
      <c r="C795" s="18" t="s">
        <v>1507</v>
      </c>
      <c r="D795" s="16" t="s">
        <v>3165</v>
      </c>
      <c r="E795" s="16" t="s">
        <v>3944</v>
      </c>
      <c r="F795" s="16" t="s">
        <v>3945</v>
      </c>
      <c r="G795" s="16" t="s">
        <v>3907</v>
      </c>
      <c r="H795" s="20" t="s">
        <v>229</v>
      </c>
      <c r="I795" s="21" t="s">
        <v>70</v>
      </c>
      <c r="J795" s="22" t="s">
        <v>71</v>
      </c>
      <c r="K795" s="23">
        <v>31.0</v>
      </c>
      <c r="L795" s="24">
        <v>31.0</v>
      </c>
      <c r="M795" s="24" t="str">
        <f>IFERROR(VLOOKUP(D795,'Chủ đề bài nguồn'!$A$2:$C$735,3,0),"Khác")</f>
        <v>Vay tiêu dùng &amp; tín chấp</v>
      </c>
      <c r="N795" s="24"/>
    </row>
    <row r="796">
      <c r="A796" s="15">
        <v>794.0</v>
      </c>
      <c r="B796" s="16" t="s">
        <v>922</v>
      </c>
      <c r="C796" s="18" t="s">
        <v>1507</v>
      </c>
      <c r="D796" s="16" t="s">
        <v>1343</v>
      </c>
      <c r="E796" s="16" t="s">
        <v>3946</v>
      </c>
      <c r="F796" s="16" t="s">
        <v>3947</v>
      </c>
      <c r="G796" s="16" t="s">
        <v>3890</v>
      </c>
      <c r="H796" s="20" t="s">
        <v>229</v>
      </c>
      <c r="I796" s="21" t="s">
        <v>70</v>
      </c>
      <c r="J796" s="22" t="s">
        <v>3948</v>
      </c>
      <c r="K796" s="23">
        <v>31.0</v>
      </c>
      <c r="L796" s="24">
        <v>31.0</v>
      </c>
      <c r="M796" s="24" t="str">
        <f>IFERROR(VLOOKUP(D796,'Chủ đề bài nguồn'!$A$2:$C$735,3,0),"Khác")</f>
        <v>Thanh toán, chuyển khoản &amp; QR</v>
      </c>
      <c r="N796" s="24"/>
    </row>
    <row r="797">
      <c r="A797" s="15">
        <v>795.0</v>
      </c>
      <c r="B797" s="16" t="s">
        <v>925</v>
      </c>
      <c r="C797" s="18" t="s">
        <v>1528</v>
      </c>
      <c r="D797" s="16" t="s">
        <v>1561</v>
      </c>
      <c r="E797" s="16" t="s">
        <v>3382</v>
      </c>
      <c r="F797" s="16" t="s">
        <v>3950</v>
      </c>
      <c r="G797" s="16" t="s">
        <v>3951</v>
      </c>
      <c r="H797" s="20" t="s">
        <v>69</v>
      </c>
      <c r="I797" s="21" t="s">
        <v>70</v>
      </c>
      <c r="J797" s="22" t="s">
        <v>71</v>
      </c>
      <c r="K797" s="23">
        <v>32.0</v>
      </c>
      <c r="L797" s="24">
        <v>11.0</v>
      </c>
      <c r="M797" s="24" t="str">
        <f>IFERROR(VLOOKUP(D797,'Chủ đề bài nguồn'!$A$2:$C$735,3,0),"Khác")</f>
        <v>Thẻ tín dụng</v>
      </c>
      <c r="N797" s="24"/>
    </row>
    <row r="798">
      <c r="A798" s="15">
        <v>796.0</v>
      </c>
      <c r="B798" s="16" t="s">
        <v>925</v>
      </c>
      <c r="C798" s="18" t="s">
        <v>3381</v>
      </c>
      <c r="D798" s="16" t="s">
        <v>2600</v>
      </c>
      <c r="E798" s="16" t="s">
        <v>3952</v>
      </c>
      <c r="F798" s="16" t="s">
        <v>3953</v>
      </c>
      <c r="G798" s="16" t="s">
        <v>3954</v>
      </c>
      <c r="H798" s="20" t="s">
        <v>155</v>
      </c>
      <c r="I798" s="21" t="s">
        <v>70</v>
      </c>
      <c r="J798" s="22" t="s">
        <v>71</v>
      </c>
      <c r="K798" s="23">
        <v>32.0</v>
      </c>
      <c r="L798" s="24">
        <v>21.0</v>
      </c>
      <c r="M798" s="24" t="str">
        <f>IFERROR(VLOOKUP(D798,'Chủ đề bài nguồn'!$A$2:$C$735,3,0),"Khác")</f>
        <v>Thẻ tín dụng</v>
      </c>
      <c r="N798" s="24"/>
    </row>
    <row r="799">
      <c r="A799" s="15">
        <v>797.0</v>
      </c>
      <c r="B799" s="16" t="s">
        <v>925</v>
      </c>
      <c r="C799" s="18" t="s">
        <v>3372</v>
      </c>
      <c r="D799" s="16" t="s">
        <v>3188</v>
      </c>
      <c r="E799" s="16" t="s">
        <v>3956</v>
      </c>
      <c r="F799" s="16" t="s">
        <v>3957</v>
      </c>
      <c r="G799" s="16" t="s">
        <v>3958</v>
      </c>
      <c r="H799" s="20" t="s">
        <v>155</v>
      </c>
      <c r="I799" s="21" t="s">
        <v>70</v>
      </c>
      <c r="J799" s="22" t="s">
        <v>71</v>
      </c>
      <c r="K799" s="23">
        <v>32.0</v>
      </c>
      <c r="L799" s="24">
        <v>21.0</v>
      </c>
      <c r="M799" s="24" t="str">
        <f>IFERROR(VLOOKUP(D799,'Chủ đề bài nguồn'!$A$2:$C$735,3,0),"Khác")</f>
        <v>Thẻ tín dụng</v>
      </c>
      <c r="N799" s="24"/>
    </row>
    <row r="800">
      <c r="A800" s="15">
        <v>798.0</v>
      </c>
      <c r="B800" s="16" t="s">
        <v>925</v>
      </c>
      <c r="C800" s="18" t="s">
        <v>3372</v>
      </c>
      <c r="D800" s="16" t="s">
        <v>3275</v>
      </c>
      <c r="E800" s="16" t="s">
        <v>3959</v>
      </c>
      <c r="F800" s="16" t="s">
        <v>3960</v>
      </c>
      <c r="G800" s="16" t="s">
        <v>3961</v>
      </c>
      <c r="H800" s="20" t="s">
        <v>155</v>
      </c>
      <c r="I800" s="21" t="s">
        <v>70</v>
      </c>
      <c r="J800" s="22" t="s">
        <v>602</v>
      </c>
      <c r="K800" s="23">
        <v>32.0</v>
      </c>
      <c r="L800" s="24">
        <v>21.0</v>
      </c>
      <c r="M800" s="24" t="str">
        <f>IFERROR(VLOOKUP(D800,'Chủ đề bài nguồn'!$A$2:$C$735,3,0),"Khác")</f>
        <v>Thẻ tín dụng</v>
      </c>
      <c r="N800" s="24"/>
    </row>
    <row r="801">
      <c r="A801" s="15">
        <v>799.0</v>
      </c>
      <c r="B801" s="16" t="s">
        <v>925</v>
      </c>
      <c r="C801" s="18" t="s">
        <v>3372</v>
      </c>
      <c r="D801" s="16" t="s">
        <v>1842</v>
      </c>
      <c r="E801" s="16" t="s">
        <v>3836</v>
      </c>
      <c r="F801" s="16" t="s">
        <v>3962</v>
      </c>
      <c r="G801" s="16" t="s">
        <v>3964</v>
      </c>
      <c r="H801" s="20" t="s">
        <v>155</v>
      </c>
      <c r="I801" s="21" t="s">
        <v>70</v>
      </c>
      <c r="J801" s="22" t="s">
        <v>71</v>
      </c>
      <c r="K801" s="23">
        <v>32.0</v>
      </c>
      <c r="L801" s="24">
        <v>21.0</v>
      </c>
      <c r="M801" s="24" t="str">
        <f>IFERROR(VLOOKUP(D801,'Chủ đề bài nguồn'!$A$2:$C$735,3,0),"Khác")</f>
        <v>Thanh toán, chuyển khoản &amp; QR</v>
      </c>
      <c r="N801" s="24"/>
    </row>
    <row r="802">
      <c r="A802" s="15">
        <v>800.0</v>
      </c>
      <c r="B802" s="16" t="s">
        <v>925</v>
      </c>
      <c r="C802" s="18" t="s">
        <v>3372</v>
      </c>
      <c r="D802" s="16" t="s">
        <v>3178</v>
      </c>
      <c r="E802" s="16" t="s">
        <v>3967</v>
      </c>
      <c r="F802" s="16" t="s">
        <v>3968</v>
      </c>
      <c r="G802" s="16" t="s">
        <v>3969</v>
      </c>
      <c r="H802" s="20" t="s">
        <v>155</v>
      </c>
      <c r="I802" s="21" t="s">
        <v>70</v>
      </c>
      <c r="J802" s="22" t="s">
        <v>71</v>
      </c>
      <c r="K802" s="23">
        <v>32.0</v>
      </c>
      <c r="L802" s="24">
        <v>21.0</v>
      </c>
      <c r="M802" s="24" t="str">
        <f>IFERROR(VLOOKUP(D802,'Chủ đề bài nguồn'!$A$2:$C$735,3,0),"Khác")</f>
        <v>Thẻ tín dụng</v>
      </c>
      <c r="N802" s="24"/>
    </row>
    <row r="803">
      <c r="A803" s="15">
        <v>801.0</v>
      </c>
      <c r="B803" s="16" t="s">
        <v>925</v>
      </c>
      <c r="C803" s="18" t="s">
        <v>3372</v>
      </c>
      <c r="D803" s="16" t="s">
        <v>2794</v>
      </c>
      <c r="E803" s="16" t="s">
        <v>3970</v>
      </c>
      <c r="F803" s="16" t="s">
        <v>3971</v>
      </c>
      <c r="G803" s="16" t="s">
        <v>3972</v>
      </c>
      <c r="H803" s="20" t="s">
        <v>155</v>
      </c>
      <c r="I803" s="21" t="s">
        <v>70</v>
      </c>
      <c r="J803" s="22" t="s">
        <v>71</v>
      </c>
      <c r="K803" s="23">
        <v>32.0</v>
      </c>
      <c r="L803" s="24">
        <v>21.0</v>
      </c>
      <c r="M803" s="24" t="str">
        <f>IFERROR(VLOOKUP(D803,'Chủ đề bài nguồn'!$A$2:$C$735,3,0),"Khác")</f>
        <v>Thẻ tín dụng</v>
      </c>
      <c r="N803" s="24"/>
    </row>
    <row r="804">
      <c r="A804" s="15">
        <v>802.0</v>
      </c>
      <c r="B804" s="16" t="s">
        <v>925</v>
      </c>
      <c r="C804" s="18" t="s">
        <v>3372</v>
      </c>
      <c r="D804" s="16" t="s">
        <v>2343</v>
      </c>
      <c r="E804" s="16" t="s">
        <v>3974</v>
      </c>
      <c r="F804" s="16" t="s">
        <v>3975</v>
      </c>
      <c r="G804" s="16" t="s">
        <v>3976</v>
      </c>
      <c r="H804" s="20" t="s">
        <v>155</v>
      </c>
      <c r="I804" s="21" t="s">
        <v>70</v>
      </c>
      <c r="J804" s="22" t="s">
        <v>71</v>
      </c>
      <c r="K804" s="23">
        <v>32.0</v>
      </c>
      <c r="L804" s="24">
        <v>21.0</v>
      </c>
      <c r="M804" s="24" t="str">
        <f>IFERROR(VLOOKUP(D804,'Chủ đề bài nguồn'!$A$2:$C$735,3,0),"Khác")</f>
        <v>Thẻ tín dụng</v>
      </c>
      <c r="N804" s="24"/>
    </row>
    <row r="805">
      <c r="A805" s="15">
        <v>803.0</v>
      </c>
      <c r="B805" s="16" t="s">
        <v>925</v>
      </c>
      <c r="C805" s="18" t="s">
        <v>3372</v>
      </c>
      <c r="D805" s="16" t="s">
        <v>3240</v>
      </c>
      <c r="E805" s="16" t="s">
        <v>3978</v>
      </c>
      <c r="F805" s="16" t="s">
        <v>3979</v>
      </c>
      <c r="G805" s="16" t="s">
        <v>3980</v>
      </c>
      <c r="H805" s="20" t="s">
        <v>155</v>
      </c>
      <c r="I805" s="21" t="s">
        <v>70</v>
      </c>
      <c r="J805" s="22" t="s">
        <v>71</v>
      </c>
      <c r="K805" s="23">
        <v>32.0</v>
      </c>
      <c r="L805" s="24">
        <v>21.0</v>
      </c>
      <c r="M805" s="24" t="str">
        <f>IFERROR(VLOOKUP(D805,'Chủ đề bài nguồn'!$A$2:$C$735,3,0),"Khác")</f>
        <v>Tiết kiệm &amp; lãi suất tiền gửi</v>
      </c>
      <c r="N805" s="24"/>
    </row>
    <row r="806">
      <c r="A806" s="15">
        <v>804.0</v>
      </c>
      <c r="B806" s="16" t="s">
        <v>925</v>
      </c>
      <c r="C806" s="18" t="s">
        <v>3372</v>
      </c>
      <c r="D806" s="16" t="s">
        <v>2426</v>
      </c>
      <c r="E806" s="16" t="s">
        <v>3981</v>
      </c>
      <c r="F806" s="16" t="s">
        <v>3982</v>
      </c>
      <c r="G806" s="16" t="s">
        <v>3983</v>
      </c>
      <c r="H806" s="20" t="s">
        <v>155</v>
      </c>
      <c r="I806" s="21" t="s">
        <v>70</v>
      </c>
      <c r="J806" s="22" t="s">
        <v>71</v>
      </c>
      <c r="K806" s="23">
        <v>32.0</v>
      </c>
      <c r="L806" s="24">
        <v>21.0</v>
      </c>
      <c r="M806" s="24" t="str">
        <f>IFERROR(VLOOKUP(D806,'Chủ đề bài nguồn'!$A$2:$C$735,3,0),"Khác")</f>
        <v>Thẻ tín dụng</v>
      </c>
      <c r="N806" s="24"/>
    </row>
    <row r="807">
      <c r="A807" s="15">
        <v>805.0</v>
      </c>
      <c r="B807" s="39" t="s">
        <v>925</v>
      </c>
      <c r="C807" s="18" t="s">
        <v>3372</v>
      </c>
      <c r="D807" s="39" t="s">
        <v>946</v>
      </c>
      <c r="E807" s="16" t="s">
        <v>3986</v>
      </c>
      <c r="F807" s="16" t="s">
        <v>3987</v>
      </c>
      <c r="G807" s="16" t="s">
        <v>3988</v>
      </c>
      <c r="H807" s="20" t="s">
        <v>155</v>
      </c>
      <c r="I807" s="21" t="s">
        <v>70</v>
      </c>
      <c r="J807" s="22" t="s">
        <v>3989</v>
      </c>
      <c r="K807" s="23">
        <v>32.0</v>
      </c>
      <c r="L807" s="24">
        <v>21.0</v>
      </c>
      <c r="M807" s="24" t="str">
        <f>IFERROR(VLOOKUP(D807,'Chủ đề bài nguồn'!$A$2:$C$735,3,0),"Khác")</f>
        <v>Ưu đãi, du lịch &amp; đời sống</v>
      </c>
      <c r="N807" s="24"/>
    </row>
    <row r="808">
      <c r="A808" s="15">
        <v>806.0</v>
      </c>
      <c r="B808" s="39" t="s">
        <v>925</v>
      </c>
      <c r="C808" s="18" t="s">
        <v>3372</v>
      </c>
      <c r="D808" s="39" t="s">
        <v>1323</v>
      </c>
      <c r="E808" s="16" t="s">
        <v>3992</v>
      </c>
      <c r="F808" s="16" t="s">
        <v>3993</v>
      </c>
      <c r="G808" s="16" t="s">
        <v>3994</v>
      </c>
      <c r="H808" s="20" t="s">
        <v>155</v>
      </c>
      <c r="I808" s="21" t="s">
        <v>70</v>
      </c>
      <c r="J808" s="22" t="s">
        <v>71</v>
      </c>
      <c r="K808" s="23">
        <v>32.0</v>
      </c>
      <c r="L808" s="24">
        <v>21.0</v>
      </c>
      <c r="M808" s="24" t="str">
        <f>IFERROR(VLOOKUP(D808,'Chủ đề bài nguồn'!$A$2:$C$735,3,0),"Khác")</f>
        <v>Thanh toán, chuyển khoản &amp; QR</v>
      </c>
      <c r="N808" s="24"/>
    </row>
    <row r="809">
      <c r="A809" s="15">
        <v>807.0</v>
      </c>
      <c r="B809" s="16" t="s">
        <v>925</v>
      </c>
      <c r="C809" s="18" t="s">
        <v>1528</v>
      </c>
      <c r="D809" s="16" t="s">
        <v>1416</v>
      </c>
      <c r="E809" s="16" t="s">
        <v>1418</v>
      </c>
      <c r="F809" s="16" t="s">
        <v>3997</v>
      </c>
      <c r="G809" s="16" t="s">
        <v>3998</v>
      </c>
      <c r="H809" s="20" t="s">
        <v>155</v>
      </c>
      <c r="I809" s="21" t="s">
        <v>70</v>
      </c>
      <c r="J809" s="22" t="s">
        <v>3999</v>
      </c>
      <c r="K809" s="23">
        <v>32.0</v>
      </c>
      <c r="L809" s="24">
        <v>21.0</v>
      </c>
      <c r="M809" s="24" t="str">
        <f>IFERROR(VLOOKUP(D809,'Chủ đề bài nguồn'!$A$2:$C$735,3,0),"Khác")</f>
        <v>Thẻ tín dụng</v>
      </c>
      <c r="N809" s="24"/>
    </row>
    <row r="810">
      <c r="A810" s="15">
        <v>808.0</v>
      </c>
      <c r="B810" s="16" t="s">
        <v>925</v>
      </c>
      <c r="C810" s="18" t="s">
        <v>1528</v>
      </c>
      <c r="D810" s="16" t="s">
        <v>1901</v>
      </c>
      <c r="E810" s="16" t="s">
        <v>710</v>
      </c>
      <c r="F810" s="16" t="s">
        <v>4000</v>
      </c>
      <c r="G810" s="16" t="s">
        <v>4001</v>
      </c>
      <c r="H810" s="20" t="s">
        <v>155</v>
      </c>
      <c r="I810" s="21" t="s">
        <v>70</v>
      </c>
      <c r="J810" s="22" t="s">
        <v>71</v>
      </c>
      <c r="K810" s="23">
        <v>32.0</v>
      </c>
      <c r="L810" s="24">
        <v>21.0</v>
      </c>
      <c r="M810" s="24" t="str">
        <f>IFERROR(VLOOKUP(D810,'Chủ đề bài nguồn'!$A$2:$C$735,3,0),"Khác")</f>
        <v>Thẻ tín dụng</v>
      </c>
      <c r="N810" s="24"/>
    </row>
    <row r="811">
      <c r="A811" s="15">
        <v>809.0</v>
      </c>
      <c r="B811" s="16" t="s">
        <v>925</v>
      </c>
      <c r="C811" s="18" t="s">
        <v>1528</v>
      </c>
      <c r="D811" s="16" t="s">
        <v>3276</v>
      </c>
      <c r="E811" s="16" t="s">
        <v>4003</v>
      </c>
      <c r="F811" s="16" t="s">
        <v>4004</v>
      </c>
      <c r="G811" s="16" t="s">
        <v>4005</v>
      </c>
      <c r="H811" s="20" t="s">
        <v>155</v>
      </c>
      <c r="I811" s="21" t="s">
        <v>70</v>
      </c>
      <c r="J811" s="22" t="s">
        <v>71</v>
      </c>
      <c r="K811" s="23">
        <v>32.0</v>
      </c>
      <c r="L811" s="24">
        <v>21.0</v>
      </c>
      <c r="M811" s="24" t="str">
        <f>IFERROR(VLOOKUP(D811,'Chủ đề bài nguồn'!$A$2:$C$735,3,0),"Khác")</f>
        <v>Thẻ tín dụng</v>
      </c>
      <c r="N811" s="24"/>
    </row>
    <row r="812">
      <c r="A812" s="15">
        <v>810.0</v>
      </c>
      <c r="B812" s="16" t="s">
        <v>925</v>
      </c>
      <c r="C812" s="18" t="s">
        <v>1528</v>
      </c>
      <c r="D812" s="16" t="s">
        <v>3189</v>
      </c>
      <c r="E812" s="16" t="s">
        <v>4006</v>
      </c>
      <c r="F812" s="16" t="s">
        <v>4007</v>
      </c>
      <c r="G812" s="16" t="s">
        <v>4008</v>
      </c>
      <c r="H812" s="20" t="s">
        <v>155</v>
      </c>
      <c r="I812" s="21" t="s">
        <v>70</v>
      </c>
      <c r="J812" s="22" t="s">
        <v>71</v>
      </c>
      <c r="K812" s="23">
        <v>32.0</v>
      </c>
      <c r="L812" s="24">
        <v>21.0</v>
      </c>
      <c r="M812" s="24" t="str">
        <f>IFERROR(VLOOKUP(D812,'Chủ đề bài nguồn'!$A$2:$C$735,3,0),"Khác")</f>
        <v>Thẻ tín dụng</v>
      </c>
      <c r="N812" s="24"/>
    </row>
    <row r="813">
      <c r="A813" s="15">
        <v>811.0</v>
      </c>
      <c r="B813" s="16" t="s">
        <v>925</v>
      </c>
      <c r="C813" s="18" t="s">
        <v>1528</v>
      </c>
      <c r="D813" s="16" t="s">
        <v>2988</v>
      </c>
      <c r="E813" s="16" t="s">
        <v>3824</v>
      </c>
      <c r="F813" s="16" t="s">
        <v>4009</v>
      </c>
      <c r="G813" s="16" t="s">
        <v>3998</v>
      </c>
      <c r="H813" s="20" t="s">
        <v>155</v>
      </c>
      <c r="I813" s="21" t="s">
        <v>70</v>
      </c>
      <c r="J813" s="22" t="s">
        <v>4010</v>
      </c>
      <c r="K813" s="23">
        <v>32.0</v>
      </c>
      <c r="L813" s="24">
        <v>21.0</v>
      </c>
      <c r="M813" s="24" t="str">
        <f>IFERROR(VLOOKUP(D813,'Chủ đề bài nguồn'!$A$2:$C$735,3,0),"Khác")</f>
        <v>Thẻ tín dụng</v>
      </c>
      <c r="N813" s="24"/>
    </row>
    <row r="814">
      <c r="A814" s="15">
        <v>812.0</v>
      </c>
      <c r="B814" s="39" t="s">
        <v>925</v>
      </c>
      <c r="C814" s="18" t="s">
        <v>1528</v>
      </c>
      <c r="D814" s="39" t="s">
        <v>1557</v>
      </c>
      <c r="E814" s="16" t="s">
        <v>2306</v>
      </c>
      <c r="F814" s="16" t="s">
        <v>4012</v>
      </c>
      <c r="G814" s="16" t="s">
        <v>4013</v>
      </c>
      <c r="H814" s="20" t="s">
        <v>155</v>
      </c>
      <c r="I814" s="21" t="s">
        <v>70</v>
      </c>
      <c r="J814" s="22" t="s">
        <v>71</v>
      </c>
      <c r="K814" s="23">
        <v>32.0</v>
      </c>
      <c r="L814" s="24">
        <v>21.0</v>
      </c>
      <c r="M814" s="24" t="str">
        <f>IFERROR(VLOOKUP(D814,'Chủ đề bài nguồn'!$A$2:$C$735,3,0),"Khác")</f>
        <v>Thẻ ATM &amp; thẻ ghi nợ</v>
      </c>
      <c r="N814" s="24"/>
    </row>
    <row r="815">
      <c r="A815" s="15">
        <v>813.0</v>
      </c>
      <c r="B815" s="16" t="s">
        <v>925</v>
      </c>
      <c r="C815" s="18" t="s">
        <v>3372</v>
      </c>
      <c r="D815" s="16" t="s">
        <v>2510</v>
      </c>
      <c r="E815" s="16" t="s">
        <v>710</v>
      </c>
      <c r="F815" s="16" t="s">
        <v>4014</v>
      </c>
      <c r="G815" s="16" t="s">
        <v>4015</v>
      </c>
      <c r="H815" s="20" t="s">
        <v>229</v>
      </c>
      <c r="I815" s="21" t="s">
        <v>70</v>
      </c>
      <c r="J815" s="22" t="s">
        <v>4016</v>
      </c>
      <c r="K815" s="23">
        <v>32.0</v>
      </c>
      <c r="L815" s="24">
        <v>31.0</v>
      </c>
      <c r="M815" s="24" t="str">
        <f>IFERROR(VLOOKUP(D815,'Chủ đề bài nguồn'!$A$2:$C$735,3,0),"Khác")</f>
        <v>Doanh nghiệp (tài khoản, vay, tài chính)</v>
      </c>
      <c r="N815" s="24"/>
    </row>
    <row r="816">
      <c r="A816" s="15">
        <v>814.0</v>
      </c>
      <c r="B816" s="39" t="s">
        <v>925</v>
      </c>
      <c r="C816" s="18" t="s">
        <v>3372</v>
      </c>
      <c r="D816" s="39" t="s">
        <v>1318</v>
      </c>
      <c r="E816" s="16" t="s">
        <v>1319</v>
      </c>
      <c r="F816" s="16" t="s">
        <v>4021</v>
      </c>
      <c r="G816" s="16" t="s">
        <v>4022</v>
      </c>
      <c r="H816" s="20" t="s">
        <v>229</v>
      </c>
      <c r="I816" s="21" t="s">
        <v>70</v>
      </c>
      <c r="J816" s="22" t="s">
        <v>387</v>
      </c>
      <c r="K816" s="23">
        <v>32.0</v>
      </c>
      <c r="L816" s="24">
        <v>31.0</v>
      </c>
      <c r="M816" s="24" t="str">
        <f>IFERROR(VLOOKUP(D816,'Chủ đề bài nguồn'!$A$2:$C$735,3,0),"Khác")</f>
        <v>Thanh toán, chuyển khoản &amp; QR</v>
      </c>
      <c r="N816" s="24"/>
    </row>
    <row r="817">
      <c r="A817" s="15">
        <v>815.0</v>
      </c>
      <c r="B817" s="16" t="s">
        <v>925</v>
      </c>
      <c r="C817" s="18" t="s">
        <v>1528</v>
      </c>
      <c r="D817" s="16" t="s">
        <v>293</v>
      </c>
      <c r="E817" s="16" t="s">
        <v>4023</v>
      </c>
      <c r="F817" s="16" t="s">
        <v>4024</v>
      </c>
      <c r="G817" s="16" t="s">
        <v>4025</v>
      </c>
      <c r="H817" s="20" t="s">
        <v>229</v>
      </c>
      <c r="I817" s="21" t="s">
        <v>70</v>
      </c>
      <c r="J817" s="22" t="s">
        <v>4026</v>
      </c>
      <c r="K817" s="23">
        <v>32.0</v>
      </c>
      <c r="L817" s="24">
        <v>31.0</v>
      </c>
      <c r="M817" s="24" t="str">
        <f>IFERROR(VLOOKUP(D817,'Chủ đề bài nguồn'!$A$2:$C$735,3,0),"Khác")</f>
        <v>Thẻ tín dụng</v>
      </c>
      <c r="N817" s="24"/>
    </row>
    <row r="818">
      <c r="A818" s="15">
        <v>816.0</v>
      </c>
      <c r="B818" s="16" t="s">
        <v>925</v>
      </c>
      <c r="C818" s="18" t="s">
        <v>1528</v>
      </c>
      <c r="D818" s="16" t="s">
        <v>3026</v>
      </c>
      <c r="E818" s="16" t="s">
        <v>4029</v>
      </c>
      <c r="F818" s="16" t="s">
        <v>4030</v>
      </c>
      <c r="G818" s="16" t="s">
        <v>4013</v>
      </c>
      <c r="H818" s="20" t="s">
        <v>229</v>
      </c>
      <c r="I818" s="21" t="s">
        <v>70</v>
      </c>
      <c r="J818" s="22" t="s">
        <v>71</v>
      </c>
      <c r="K818" s="23">
        <v>32.0</v>
      </c>
      <c r="L818" s="24">
        <v>31.0</v>
      </c>
      <c r="M818" s="24" t="str">
        <f>IFERROR(VLOOKUP(D818,'Chủ đề bài nguồn'!$A$2:$C$735,3,0),"Khác")</f>
        <v>Thẻ tín dụng</v>
      </c>
      <c r="N818" s="24"/>
    </row>
    <row r="819">
      <c r="A819" s="15">
        <v>817.0</v>
      </c>
      <c r="B819" s="16" t="s">
        <v>925</v>
      </c>
      <c r="C819" s="18" t="s">
        <v>1528</v>
      </c>
      <c r="D819" s="16" t="s">
        <v>3032</v>
      </c>
      <c r="E819" s="16" t="s">
        <v>3893</v>
      </c>
      <c r="F819" s="16" t="s">
        <v>4031</v>
      </c>
      <c r="G819" s="16" t="s">
        <v>4033</v>
      </c>
      <c r="H819" s="20" t="s">
        <v>229</v>
      </c>
      <c r="I819" s="21" t="s">
        <v>70</v>
      </c>
      <c r="J819" s="22" t="s">
        <v>71</v>
      </c>
      <c r="K819" s="23">
        <v>32.0</v>
      </c>
      <c r="L819" s="24">
        <v>31.0</v>
      </c>
      <c r="M819" s="24" t="str">
        <f>IFERROR(VLOOKUP(D819,'Chủ đề bài nguồn'!$A$2:$C$735,3,0),"Khác")</f>
        <v>Vay tiêu dùng &amp; tín chấp</v>
      </c>
      <c r="N819" s="24"/>
    </row>
    <row r="820">
      <c r="A820" s="15">
        <v>818.0</v>
      </c>
      <c r="B820" s="16" t="s">
        <v>700</v>
      </c>
      <c r="C820" s="18" t="s">
        <v>3408</v>
      </c>
      <c r="D820" s="16" t="s">
        <v>2967</v>
      </c>
      <c r="E820" s="16" t="s">
        <v>4034</v>
      </c>
      <c r="F820" s="16" t="s">
        <v>4035</v>
      </c>
      <c r="G820" s="16" t="s">
        <v>4036</v>
      </c>
      <c r="H820" s="20" t="s">
        <v>69</v>
      </c>
      <c r="I820" s="21" t="s">
        <v>70</v>
      </c>
      <c r="J820" s="22" t="s">
        <v>71</v>
      </c>
      <c r="K820" s="23">
        <v>33.0</v>
      </c>
      <c r="L820" s="24">
        <v>10.0</v>
      </c>
      <c r="M820" s="24" t="str">
        <f>IFERROR(VLOOKUP(D820,'Chủ đề bài nguồn'!$A$2:$C$735,3,0),"Khác")</f>
        <v>Thẻ tín dụng</v>
      </c>
      <c r="N820" s="24"/>
    </row>
    <row r="821">
      <c r="A821" s="15">
        <v>819.0</v>
      </c>
      <c r="B821" s="16" t="s">
        <v>700</v>
      </c>
      <c r="C821" s="18" t="s">
        <v>3408</v>
      </c>
      <c r="D821" s="16" t="s">
        <v>3004</v>
      </c>
      <c r="E821" s="16" t="s">
        <v>4037</v>
      </c>
      <c r="F821" s="16" t="s">
        <v>4038</v>
      </c>
      <c r="G821" s="16" t="s">
        <v>4036</v>
      </c>
      <c r="H821" s="20" t="s">
        <v>69</v>
      </c>
      <c r="I821" s="21" t="s">
        <v>70</v>
      </c>
      <c r="J821" s="22" t="s">
        <v>71</v>
      </c>
      <c r="K821" s="23">
        <v>33.0</v>
      </c>
      <c r="L821" s="24">
        <v>10.0</v>
      </c>
      <c r="M821" s="24" t="str">
        <f>IFERROR(VLOOKUP(D821,'Chủ đề bài nguồn'!$A$2:$C$735,3,0),"Khác")</f>
        <v>Thẻ tín dụng</v>
      </c>
      <c r="N821" s="24"/>
    </row>
    <row r="822">
      <c r="A822" s="15">
        <v>820.0</v>
      </c>
      <c r="B822" s="16" t="s">
        <v>700</v>
      </c>
      <c r="C822" s="18" t="s">
        <v>3408</v>
      </c>
      <c r="D822" s="16" t="s">
        <v>2921</v>
      </c>
      <c r="E822" s="16" t="s">
        <v>4040</v>
      </c>
      <c r="F822" s="16" t="s">
        <v>4041</v>
      </c>
      <c r="G822" s="16" t="s">
        <v>4042</v>
      </c>
      <c r="H822" s="20" t="s">
        <v>69</v>
      </c>
      <c r="I822" s="21" t="s">
        <v>70</v>
      </c>
      <c r="J822" s="22" t="s">
        <v>71</v>
      </c>
      <c r="K822" s="23">
        <v>33.0</v>
      </c>
      <c r="L822" s="24">
        <v>11.0</v>
      </c>
      <c r="M822" s="24" t="str">
        <f>IFERROR(VLOOKUP(D822,'Chủ đề bài nguồn'!$A$2:$C$735,3,0),"Khác")</f>
        <v>Thẻ tín dụng</v>
      </c>
      <c r="N822" s="24"/>
    </row>
    <row r="823">
      <c r="A823" s="15">
        <v>821.0</v>
      </c>
      <c r="B823" s="16" t="s">
        <v>700</v>
      </c>
      <c r="C823" s="18" t="s">
        <v>3408</v>
      </c>
      <c r="D823" s="16" t="s">
        <v>3186</v>
      </c>
      <c r="E823" s="16" t="s">
        <v>3852</v>
      </c>
      <c r="F823" s="16" t="s">
        <v>4044</v>
      </c>
      <c r="G823" s="16" t="s">
        <v>4045</v>
      </c>
      <c r="H823" s="20" t="s">
        <v>69</v>
      </c>
      <c r="I823" s="21" t="s">
        <v>70</v>
      </c>
      <c r="J823" s="22" t="s">
        <v>4047</v>
      </c>
      <c r="K823" s="23">
        <v>33.0</v>
      </c>
      <c r="L823" s="24">
        <v>11.0</v>
      </c>
      <c r="M823" s="24" t="str">
        <f>IFERROR(VLOOKUP(D823,'Chủ đề bài nguồn'!$A$2:$C$735,3,0),"Khác")</f>
        <v>Thẻ tín dụng</v>
      </c>
      <c r="N823" s="24"/>
    </row>
    <row r="824">
      <c r="A824" s="15">
        <v>822.0</v>
      </c>
      <c r="B824" s="16" t="s">
        <v>700</v>
      </c>
      <c r="C824" s="18" t="s">
        <v>1537</v>
      </c>
      <c r="D824" s="16" t="s">
        <v>3182</v>
      </c>
      <c r="E824" s="16" t="s">
        <v>4048</v>
      </c>
      <c r="F824" s="16" t="s">
        <v>4049</v>
      </c>
      <c r="G824" s="16" t="s">
        <v>4050</v>
      </c>
      <c r="H824" s="20" t="s">
        <v>155</v>
      </c>
      <c r="I824" s="21" t="s">
        <v>70</v>
      </c>
      <c r="J824" s="22" t="s">
        <v>71</v>
      </c>
      <c r="K824" s="23">
        <v>33.0</v>
      </c>
      <c r="L824" s="24">
        <v>21.0</v>
      </c>
      <c r="M824" s="24" t="str">
        <f>IFERROR(VLOOKUP(D824,'Chủ đề bài nguồn'!$A$2:$C$735,3,0),"Khác")</f>
        <v>Thẻ tín dụng</v>
      </c>
      <c r="N824" s="24"/>
    </row>
    <row r="825">
      <c r="A825" s="15">
        <v>823.0</v>
      </c>
      <c r="B825" s="16" t="s">
        <v>700</v>
      </c>
      <c r="C825" s="18" t="s">
        <v>1537</v>
      </c>
      <c r="D825" s="16" t="s">
        <v>1561</v>
      </c>
      <c r="E825" s="16" t="s">
        <v>3526</v>
      </c>
      <c r="F825" s="16" t="s">
        <v>4053</v>
      </c>
      <c r="G825" s="16" t="s">
        <v>4054</v>
      </c>
      <c r="H825" s="20" t="s">
        <v>155</v>
      </c>
      <c r="I825" s="21" t="s">
        <v>70</v>
      </c>
      <c r="J825" s="22" t="s">
        <v>71</v>
      </c>
      <c r="K825" s="23">
        <v>33.0</v>
      </c>
      <c r="L825" s="24">
        <v>21.0</v>
      </c>
      <c r="M825" s="24" t="str">
        <f>IFERROR(VLOOKUP(D825,'Chủ đề bài nguồn'!$A$2:$C$735,3,0),"Khác")</f>
        <v>Thẻ tín dụng</v>
      </c>
      <c r="N825" s="24"/>
    </row>
    <row r="826">
      <c r="A826" s="15">
        <v>824.0</v>
      </c>
      <c r="B826" s="16" t="s">
        <v>700</v>
      </c>
      <c r="C826" s="18" t="s">
        <v>1537</v>
      </c>
      <c r="D826" s="16" t="s">
        <v>918</v>
      </c>
      <c r="E826" s="16" t="s">
        <v>4055</v>
      </c>
      <c r="F826" s="16" t="s">
        <v>4056</v>
      </c>
      <c r="G826" s="16" t="s">
        <v>4057</v>
      </c>
      <c r="H826" s="20" t="s">
        <v>155</v>
      </c>
      <c r="I826" s="21" t="s">
        <v>70</v>
      </c>
      <c r="J826" s="22" t="s">
        <v>71</v>
      </c>
      <c r="K826" s="23">
        <v>33.0</v>
      </c>
      <c r="L826" s="24">
        <v>21.0</v>
      </c>
      <c r="M826" s="24" t="str">
        <f>IFERROR(VLOOKUP(D826,'Chủ đề bài nguồn'!$A$2:$C$735,3,0),"Khác")</f>
        <v>Thẻ tín dụng</v>
      </c>
      <c r="N826" s="24"/>
    </row>
    <row r="827">
      <c r="A827" s="15">
        <v>825.0</v>
      </c>
      <c r="B827" s="16" t="s">
        <v>700</v>
      </c>
      <c r="C827" s="18" t="s">
        <v>3408</v>
      </c>
      <c r="D827" s="16" t="s">
        <v>3081</v>
      </c>
      <c r="E827" s="16" t="s">
        <v>4058</v>
      </c>
      <c r="F827" s="16" t="s">
        <v>4060</v>
      </c>
      <c r="G827" s="16" t="s">
        <v>4061</v>
      </c>
      <c r="H827" s="20" t="s">
        <v>155</v>
      </c>
      <c r="I827" s="21" t="s">
        <v>70</v>
      </c>
      <c r="J827" s="22" t="s">
        <v>71</v>
      </c>
      <c r="K827" s="23">
        <v>33.0</v>
      </c>
      <c r="L827" s="24">
        <v>21.0</v>
      </c>
      <c r="M827" s="24" t="str">
        <f>IFERROR(VLOOKUP(D827,'Chủ đề bài nguồn'!$A$2:$C$735,3,0),"Khác")</f>
        <v>Thẻ tín dụng</v>
      </c>
      <c r="N827" s="24"/>
    </row>
    <row r="828">
      <c r="A828" s="15">
        <v>826.0</v>
      </c>
      <c r="B828" s="16" t="s">
        <v>700</v>
      </c>
      <c r="C828" s="18" t="s">
        <v>3408</v>
      </c>
      <c r="D828" s="16" t="s">
        <v>1767</v>
      </c>
      <c r="E828" s="16" t="s">
        <v>4062</v>
      </c>
      <c r="F828" s="16" t="s">
        <v>4063</v>
      </c>
      <c r="G828" s="16" t="s">
        <v>4064</v>
      </c>
      <c r="H828" s="20" t="s">
        <v>155</v>
      </c>
      <c r="I828" s="21" t="s">
        <v>70</v>
      </c>
      <c r="J828" s="22" t="s">
        <v>71</v>
      </c>
      <c r="K828" s="23">
        <v>33.0</v>
      </c>
      <c r="L828" s="24">
        <v>21.0</v>
      </c>
      <c r="M828" s="24" t="str">
        <f>IFERROR(VLOOKUP(D828,'Chủ đề bài nguồn'!$A$2:$C$735,3,0),"Khác")</f>
        <v>Thẻ ATM &amp; thẻ ghi nợ</v>
      </c>
      <c r="N828" s="24"/>
    </row>
    <row r="829">
      <c r="A829" s="15">
        <v>827.0</v>
      </c>
      <c r="B829" s="16" t="s">
        <v>700</v>
      </c>
      <c r="C829" s="18" t="s">
        <v>1537</v>
      </c>
      <c r="D829" s="16" t="s">
        <v>2510</v>
      </c>
      <c r="E829" s="16" t="s">
        <v>2511</v>
      </c>
      <c r="F829" s="16" t="s">
        <v>4067</v>
      </c>
      <c r="G829" s="16" t="s">
        <v>4068</v>
      </c>
      <c r="H829" s="20" t="s">
        <v>229</v>
      </c>
      <c r="I829" s="21" t="s">
        <v>70</v>
      </c>
      <c r="J829" s="22" t="s">
        <v>4016</v>
      </c>
      <c r="K829" s="23">
        <v>33.0</v>
      </c>
      <c r="L829" s="24">
        <v>31.0</v>
      </c>
      <c r="M829" s="24" t="str">
        <f>IFERROR(VLOOKUP(D829,'Chủ đề bài nguồn'!$A$2:$C$735,3,0),"Khác")</f>
        <v>Doanh nghiệp (tài khoản, vay, tài chính)</v>
      </c>
      <c r="N829" s="24"/>
    </row>
    <row r="830">
      <c r="A830" s="15">
        <v>828.0</v>
      </c>
      <c r="B830" s="16" t="s">
        <v>700</v>
      </c>
      <c r="C830" s="18" t="s">
        <v>1537</v>
      </c>
      <c r="D830" s="16" t="s">
        <v>2933</v>
      </c>
      <c r="E830" s="16" t="s">
        <v>3874</v>
      </c>
      <c r="F830" s="16" t="s">
        <v>4069</v>
      </c>
      <c r="G830" s="16" t="s">
        <v>4070</v>
      </c>
      <c r="H830" s="20" t="s">
        <v>229</v>
      </c>
      <c r="I830" s="21" t="s">
        <v>70</v>
      </c>
      <c r="J830" s="22" t="s">
        <v>71</v>
      </c>
      <c r="K830" s="23">
        <v>33.0</v>
      </c>
      <c r="L830" s="24">
        <v>31.0</v>
      </c>
      <c r="M830" s="24" t="str">
        <f>IFERROR(VLOOKUP(D830,'Chủ đề bài nguồn'!$A$2:$C$735,3,0),"Khác")</f>
        <v>Thẻ tín dụng</v>
      </c>
      <c r="N830" s="24"/>
    </row>
    <row r="831">
      <c r="A831" s="15">
        <v>829.0</v>
      </c>
      <c r="B831" s="16" t="s">
        <v>700</v>
      </c>
      <c r="C831" s="18" t="s">
        <v>1537</v>
      </c>
      <c r="D831" s="16" t="s">
        <v>3178</v>
      </c>
      <c r="E831" s="16" t="s">
        <v>3896</v>
      </c>
      <c r="F831" s="16" t="s">
        <v>4073</v>
      </c>
      <c r="G831" s="16" t="s">
        <v>4074</v>
      </c>
      <c r="H831" s="20" t="s">
        <v>229</v>
      </c>
      <c r="I831" s="21" t="s">
        <v>70</v>
      </c>
      <c r="J831" s="22" t="s">
        <v>71</v>
      </c>
      <c r="K831" s="23">
        <v>33.0</v>
      </c>
      <c r="L831" s="24">
        <v>31.0</v>
      </c>
      <c r="M831" s="24" t="str">
        <f>IFERROR(VLOOKUP(D831,'Chủ đề bài nguồn'!$A$2:$C$735,3,0),"Khác")</f>
        <v>Thẻ tín dụng</v>
      </c>
      <c r="N831" s="24"/>
    </row>
    <row r="832">
      <c r="A832" s="15">
        <v>830.0</v>
      </c>
      <c r="B832" s="16" t="s">
        <v>700</v>
      </c>
      <c r="C832" s="18" t="s">
        <v>1537</v>
      </c>
      <c r="D832" s="16" t="s">
        <v>2818</v>
      </c>
      <c r="E832" s="16" t="s">
        <v>3912</v>
      </c>
      <c r="F832" s="16" t="s">
        <v>4076</v>
      </c>
      <c r="G832" s="16" t="s">
        <v>4077</v>
      </c>
      <c r="H832" s="20" t="s">
        <v>229</v>
      </c>
      <c r="I832" s="21" t="s">
        <v>70</v>
      </c>
      <c r="J832" s="22" t="s">
        <v>71</v>
      </c>
      <c r="K832" s="23">
        <v>33.0</v>
      </c>
      <c r="L832" s="24">
        <v>31.0</v>
      </c>
      <c r="M832" s="24" t="str">
        <f>IFERROR(VLOOKUP(D832,'Chủ đề bài nguồn'!$A$2:$C$735,3,0),"Khác")</f>
        <v>Thẻ tín dụng</v>
      </c>
      <c r="N832" s="24"/>
    </row>
    <row r="833">
      <c r="A833" s="15">
        <v>831.0</v>
      </c>
      <c r="B833" s="16" t="s">
        <v>700</v>
      </c>
      <c r="C833" s="18" t="s">
        <v>1537</v>
      </c>
      <c r="D833" s="16" t="s">
        <v>1901</v>
      </c>
      <c r="E833" s="16" t="s">
        <v>3803</v>
      </c>
      <c r="F833" s="16" t="s">
        <v>4078</v>
      </c>
      <c r="G833" s="16" t="s">
        <v>4079</v>
      </c>
      <c r="H833" s="20" t="s">
        <v>229</v>
      </c>
      <c r="I833" s="21" t="s">
        <v>70</v>
      </c>
      <c r="J833" s="22" t="s">
        <v>71</v>
      </c>
      <c r="K833" s="23">
        <v>33.0</v>
      </c>
      <c r="L833" s="24">
        <v>31.0</v>
      </c>
      <c r="M833" s="24" t="str">
        <f>IFERROR(VLOOKUP(D833,'Chủ đề bài nguồn'!$A$2:$C$735,3,0),"Khác")</f>
        <v>Thẻ tín dụng</v>
      </c>
      <c r="N833" s="24"/>
    </row>
    <row r="834">
      <c r="A834" s="15">
        <v>832.0</v>
      </c>
      <c r="B834" s="16" t="s">
        <v>700</v>
      </c>
      <c r="C834" s="18" t="s">
        <v>1537</v>
      </c>
      <c r="D834" s="16" t="s">
        <v>3019</v>
      </c>
      <c r="E834" s="16" t="s">
        <v>4081</v>
      </c>
      <c r="F834" s="16" t="s">
        <v>4082</v>
      </c>
      <c r="G834" s="16" t="s">
        <v>4083</v>
      </c>
      <c r="H834" s="20" t="s">
        <v>229</v>
      </c>
      <c r="I834" s="21" t="s">
        <v>70</v>
      </c>
      <c r="J834" s="22" t="s">
        <v>71</v>
      </c>
      <c r="K834" s="23">
        <v>33.0</v>
      </c>
      <c r="L834" s="24">
        <v>31.0</v>
      </c>
      <c r="M834" s="24" t="str">
        <f>IFERROR(VLOOKUP(D834,'Chủ đề bài nguồn'!$A$2:$C$735,3,0),"Khác")</f>
        <v>Thẻ tín dụng</v>
      </c>
      <c r="N834" s="24"/>
    </row>
    <row r="835">
      <c r="A835" s="15">
        <v>833.0</v>
      </c>
      <c r="B835" s="16" t="s">
        <v>700</v>
      </c>
      <c r="C835" s="18" t="s">
        <v>1537</v>
      </c>
      <c r="D835" s="16" t="s">
        <v>3269</v>
      </c>
      <c r="E835" s="16" t="s">
        <v>4084</v>
      </c>
      <c r="F835" s="16" t="s">
        <v>4085</v>
      </c>
      <c r="G835" s="16" t="s">
        <v>4086</v>
      </c>
      <c r="H835" s="20" t="s">
        <v>229</v>
      </c>
      <c r="I835" s="21" t="s">
        <v>70</v>
      </c>
      <c r="J835" s="22" t="s">
        <v>71</v>
      </c>
      <c r="K835" s="23">
        <v>33.0</v>
      </c>
      <c r="L835" s="24">
        <v>31.0</v>
      </c>
      <c r="M835" s="24" t="str">
        <f>IFERROR(VLOOKUP(D835,'Chủ đề bài nguồn'!$A$2:$C$735,3,0),"Khác")</f>
        <v>Thẻ tín dụng</v>
      </c>
      <c r="N835" s="24"/>
    </row>
    <row r="836">
      <c r="A836" s="15">
        <v>834.0</v>
      </c>
      <c r="B836" s="16" t="s">
        <v>700</v>
      </c>
      <c r="C836" s="18" t="s">
        <v>1537</v>
      </c>
      <c r="D836" s="16" t="s">
        <v>2946</v>
      </c>
      <c r="E836" s="16" t="s">
        <v>4087</v>
      </c>
      <c r="F836" s="16" t="s">
        <v>4088</v>
      </c>
      <c r="G836" s="16" t="s">
        <v>4089</v>
      </c>
      <c r="H836" s="20" t="s">
        <v>229</v>
      </c>
      <c r="I836" s="21" t="s">
        <v>70</v>
      </c>
      <c r="J836" s="22" t="s">
        <v>71</v>
      </c>
      <c r="K836" s="23">
        <v>33.0</v>
      </c>
      <c r="L836" s="24">
        <v>31.0</v>
      </c>
      <c r="M836" s="24" t="str">
        <f>IFERROR(VLOOKUP(D836,'Chủ đề bài nguồn'!$A$2:$C$735,3,0),"Khác")</f>
        <v>Thẻ tín dụng</v>
      </c>
      <c r="N836" s="24"/>
    </row>
    <row r="837">
      <c r="A837" s="15">
        <v>835.0</v>
      </c>
      <c r="B837" s="16" t="s">
        <v>700</v>
      </c>
      <c r="C837" s="18" t="s">
        <v>1537</v>
      </c>
      <c r="D837" s="16" t="s">
        <v>259</v>
      </c>
      <c r="E837" s="16" t="s">
        <v>3611</v>
      </c>
      <c r="F837" s="16" t="s">
        <v>4091</v>
      </c>
      <c r="G837" s="16" t="s">
        <v>4092</v>
      </c>
      <c r="H837" s="20" t="s">
        <v>229</v>
      </c>
      <c r="I837" s="21" t="s">
        <v>70</v>
      </c>
      <c r="J837" s="22" t="s">
        <v>71</v>
      </c>
      <c r="K837" s="23">
        <v>33.0</v>
      </c>
      <c r="L837" s="24">
        <v>31.0</v>
      </c>
      <c r="M837" s="24" t="str">
        <f>IFERROR(VLOOKUP(D837,'Chủ đề bài nguồn'!$A$2:$C$735,3,0),"Khác")</f>
        <v>Thẻ tín dụng</v>
      </c>
      <c r="N837" s="24"/>
    </row>
    <row r="838">
      <c r="A838" s="15">
        <v>836.0</v>
      </c>
      <c r="B838" s="16" t="s">
        <v>700</v>
      </c>
      <c r="C838" s="18" t="s">
        <v>1537</v>
      </c>
      <c r="D838" s="16" t="s">
        <v>3181</v>
      </c>
      <c r="E838" s="16" t="s">
        <v>3514</v>
      </c>
      <c r="F838" s="16" t="s">
        <v>4093</v>
      </c>
      <c r="G838" s="16" t="s">
        <v>4094</v>
      </c>
      <c r="H838" s="20" t="s">
        <v>229</v>
      </c>
      <c r="I838" s="21" t="s">
        <v>70</v>
      </c>
      <c r="J838" s="22" t="s">
        <v>71</v>
      </c>
      <c r="K838" s="23">
        <v>33.0</v>
      </c>
      <c r="L838" s="24">
        <v>31.0</v>
      </c>
      <c r="M838" s="24" t="str">
        <f>IFERROR(VLOOKUP(D838,'Chủ đề bài nguồn'!$A$2:$C$735,3,0),"Khác")</f>
        <v>Thẻ tín dụng</v>
      </c>
      <c r="N838" s="24"/>
    </row>
    <row r="839">
      <c r="A839" s="15">
        <v>837.0</v>
      </c>
      <c r="B839" s="16" t="s">
        <v>700</v>
      </c>
      <c r="C839" s="18" t="s">
        <v>1537</v>
      </c>
      <c r="D839" s="16" t="s">
        <v>3163</v>
      </c>
      <c r="E839" s="16" t="s">
        <v>4097</v>
      </c>
      <c r="F839" s="16" t="s">
        <v>4098</v>
      </c>
      <c r="G839" s="16" t="s">
        <v>4099</v>
      </c>
      <c r="H839" s="20" t="s">
        <v>229</v>
      </c>
      <c r="I839" s="21" t="s">
        <v>70</v>
      </c>
      <c r="J839" s="22" t="s">
        <v>71</v>
      </c>
      <c r="K839" s="23">
        <v>33.0</v>
      </c>
      <c r="L839" s="24">
        <v>31.0</v>
      </c>
      <c r="M839" s="24" t="str">
        <f>IFERROR(VLOOKUP(D839,'Chủ đề bài nguồn'!$A$2:$C$735,3,0),"Khác")</f>
        <v>Thẻ tín dụng</v>
      </c>
      <c r="N839" s="24"/>
    </row>
    <row r="840">
      <c r="A840" s="15">
        <v>838.0</v>
      </c>
      <c r="B840" s="16" t="s">
        <v>700</v>
      </c>
      <c r="C840" s="18" t="s">
        <v>1537</v>
      </c>
      <c r="D840" s="16" t="s">
        <v>3165</v>
      </c>
      <c r="E840" s="16" t="s">
        <v>3944</v>
      </c>
      <c r="F840" s="16" t="s">
        <v>4100</v>
      </c>
      <c r="G840" s="16" t="s">
        <v>4101</v>
      </c>
      <c r="H840" s="20" t="s">
        <v>229</v>
      </c>
      <c r="I840" s="21" t="s">
        <v>70</v>
      </c>
      <c r="J840" s="22" t="s">
        <v>71</v>
      </c>
      <c r="K840" s="23">
        <v>33.0</v>
      </c>
      <c r="L840" s="24">
        <v>31.0</v>
      </c>
      <c r="M840" s="24" t="str">
        <f>IFERROR(VLOOKUP(D840,'Chủ đề bài nguồn'!$A$2:$C$735,3,0),"Khác")</f>
        <v>Vay tiêu dùng &amp; tín chấp</v>
      </c>
      <c r="N840" s="24"/>
    </row>
    <row r="841">
      <c r="A841" s="15">
        <v>839.0</v>
      </c>
      <c r="B841" s="16" t="s">
        <v>700</v>
      </c>
      <c r="C841" s="18" t="s">
        <v>1537</v>
      </c>
      <c r="D841" s="16" t="s">
        <v>2394</v>
      </c>
      <c r="E841" s="16" t="s">
        <v>4103</v>
      </c>
      <c r="F841" s="16" t="s">
        <v>4104</v>
      </c>
      <c r="G841" s="16" t="s">
        <v>4105</v>
      </c>
      <c r="H841" s="20" t="s">
        <v>229</v>
      </c>
      <c r="I841" s="21" t="s">
        <v>70</v>
      </c>
      <c r="J841" s="22" t="s">
        <v>71</v>
      </c>
      <c r="K841" s="23">
        <v>33.0</v>
      </c>
      <c r="L841" s="24">
        <v>31.0</v>
      </c>
      <c r="M841" s="24" t="str">
        <f>IFERROR(VLOOKUP(D841,'Chủ đề bài nguồn'!$A$2:$C$735,3,0),"Khác")</f>
        <v>Thẻ tín dụng</v>
      </c>
      <c r="N841" s="24"/>
    </row>
    <row r="842">
      <c r="A842" s="15">
        <v>840.0</v>
      </c>
      <c r="B842" s="16" t="s">
        <v>700</v>
      </c>
      <c r="C842" s="18" t="s">
        <v>3408</v>
      </c>
      <c r="D842" s="16" t="s">
        <v>3188</v>
      </c>
      <c r="E842" s="16" t="s">
        <v>3956</v>
      </c>
      <c r="F842" s="16" t="s">
        <v>4107</v>
      </c>
      <c r="G842" s="16" t="s">
        <v>4108</v>
      </c>
      <c r="H842" s="20" t="s">
        <v>229</v>
      </c>
      <c r="I842" s="21" t="s">
        <v>70</v>
      </c>
      <c r="J842" s="22" t="s">
        <v>71</v>
      </c>
      <c r="K842" s="23">
        <v>33.0</v>
      </c>
      <c r="L842" s="24">
        <v>31.0</v>
      </c>
      <c r="M842" s="24" t="str">
        <f>IFERROR(VLOOKUP(D842,'Chủ đề bài nguồn'!$A$2:$C$735,3,0),"Khác")</f>
        <v>Thẻ tín dụng</v>
      </c>
      <c r="N842" s="24"/>
    </row>
    <row r="843">
      <c r="A843" s="15">
        <v>841.0</v>
      </c>
      <c r="B843" s="16" t="s">
        <v>700</v>
      </c>
      <c r="C843" s="18" t="s">
        <v>3408</v>
      </c>
      <c r="D843" s="16" t="s">
        <v>3116</v>
      </c>
      <c r="E843" s="16" t="s">
        <v>4109</v>
      </c>
      <c r="F843" s="16" t="s">
        <v>4110</v>
      </c>
      <c r="G843" s="16" t="s">
        <v>4111</v>
      </c>
      <c r="H843" s="20" t="s">
        <v>229</v>
      </c>
      <c r="I843" s="21" t="s">
        <v>70</v>
      </c>
      <c r="J843" s="22" t="s">
        <v>71</v>
      </c>
      <c r="K843" s="23">
        <v>33.0</v>
      </c>
      <c r="L843" s="24">
        <v>31.0</v>
      </c>
      <c r="M843" s="24" t="str">
        <f>IFERROR(VLOOKUP(D843,'Chủ đề bài nguồn'!$A$2:$C$735,3,0),"Khác")</f>
        <v>Thẻ tín dụng</v>
      </c>
      <c r="N843" s="24"/>
    </row>
    <row r="844">
      <c r="A844" s="15">
        <v>842.0</v>
      </c>
      <c r="B844" s="16" t="s">
        <v>700</v>
      </c>
      <c r="C844" s="18" t="s">
        <v>3408</v>
      </c>
      <c r="D844" s="16" t="s">
        <v>2426</v>
      </c>
      <c r="E844" s="16" t="s">
        <v>3908</v>
      </c>
      <c r="F844" s="16" t="s">
        <v>4113</v>
      </c>
      <c r="G844" s="16" t="s">
        <v>4114</v>
      </c>
      <c r="H844" s="20" t="s">
        <v>229</v>
      </c>
      <c r="I844" s="21" t="s">
        <v>70</v>
      </c>
      <c r="J844" s="22" t="s">
        <v>71</v>
      </c>
      <c r="K844" s="23">
        <v>33.0</v>
      </c>
      <c r="L844" s="24">
        <v>31.0</v>
      </c>
      <c r="M844" s="24" t="str">
        <f>IFERROR(VLOOKUP(D844,'Chủ đề bài nguồn'!$A$2:$C$735,3,0),"Khác")</f>
        <v>Thẻ tín dụng</v>
      </c>
      <c r="N844" s="24"/>
    </row>
    <row r="845">
      <c r="A845" s="15">
        <v>843.0</v>
      </c>
      <c r="B845" s="16" t="s">
        <v>700</v>
      </c>
      <c r="C845" s="18" t="s">
        <v>3408</v>
      </c>
      <c r="D845" s="16" t="s">
        <v>3185</v>
      </c>
      <c r="E845" s="16" t="s">
        <v>4115</v>
      </c>
      <c r="F845" s="16" t="s">
        <v>4116</v>
      </c>
      <c r="G845" s="16" t="s">
        <v>4117</v>
      </c>
      <c r="H845" s="20" t="s">
        <v>229</v>
      </c>
      <c r="I845" s="21" t="s">
        <v>70</v>
      </c>
      <c r="J845" s="22" t="s">
        <v>71</v>
      </c>
      <c r="K845" s="23">
        <v>33.0</v>
      </c>
      <c r="L845" s="24">
        <v>31.0</v>
      </c>
      <c r="M845" s="24" t="str">
        <f>IFERROR(VLOOKUP(D845,'Chủ đề bài nguồn'!$A$2:$C$735,3,0),"Khác")</f>
        <v>Thẻ tín dụng</v>
      </c>
      <c r="N845" s="24"/>
    </row>
    <row r="846">
      <c r="A846" s="15">
        <v>844.0</v>
      </c>
      <c r="B846" s="16" t="s">
        <v>700</v>
      </c>
      <c r="C846" s="18" t="s">
        <v>3408</v>
      </c>
      <c r="D846" s="16" t="s">
        <v>3190</v>
      </c>
      <c r="E846" s="16" t="s">
        <v>4118</v>
      </c>
      <c r="F846" s="16" t="s">
        <v>4119</v>
      </c>
      <c r="G846" s="16" t="s">
        <v>4120</v>
      </c>
      <c r="H846" s="20" t="s">
        <v>229</v>
      </c>
      <c r="I846" s="21" t="s">
        <v>70</v>
      </c>
      <c r="J846" s="22" t="s">
        <v>71</v>
      </c>
      <c r="K846" s="23">
        <v>33.0</v>
      </c>
      <c r="L846" s="24">
        <v>31.0</v>
      </c>
      <c r="M846" s="24" t="str">
        <f>IFERROR(VLOOKUP(D846,'Chủ đề bài nguồn'!$A$2:$C$735,3,0),"Khác")</f>
        <v>Thẻ tín dụng</v>
      </c>
      <c r="N846" s="24"/>
    </row>
    <row r="847">
      <c r="A847" s="15">
        <v>845.0</v>
      </c>
      <c r="B847" s="16" t="s">
        <v>700</v>
      </c>
      <c r="C847" s="18" t="s">
        <v>3408</v>
      </c>
      <c r="D847" s="16" t="s">
        <v>2957</v>
      </c>
      <c r="E847" s="16" t="s">
        <v>4122</v>
      </c>
      <c r="F847" s="16" t="s">
        <v>4123</v>
      </c>
      <c r="G847" s="16" t="s">
        <v>4124</v>
      </c>
      <c r="H847" s="20" t="s">
        <v>229</v>
      </c>
      <c r="I847" s="21" t="s">
        <v>70</v>
      </c>
      <c r="J847" s="22" t="s">
        <v>2126</v>
      </c>
      <c r="K847" s="23">
        <v>33.0</v>
      </c>
      <c r="L847" s="24">
        <v>31.0</v>
      </c>
      <c r="M847" s="24" t="str">
        <f>IFERROR(VLOOKUP(D847,'Chủ đề bài nguồn'!$A$2:$C$735,3,0),"Khác")</f>
        <v>Vay tiêu dùng &amp; tín chấp</v>
      </c>
      <c r="N847" s="24"/>
    </row>
    <row r="848">
      <c r="A848" s="15">
        <v>846.0</v>
      </c>
      <c r="B848" s="16" t="s">
        <v>934</v>
      </c>
      <c r="C848" s="18" t="s">
        <v>1552</v>
      </c>
      <c r="D848" s="16" t="s">
        <v>293</v>
      </c>
      <c r="E848" s="16" t="s">
        <v>295</v>
      </c>
      <c r="F848" s="16" t="s">
        <v>4127</v>
      </c>
      <c r="G848" s="16" t="s">
        <v>4128</v>
      </c>
      <c r="H848" s="20" t="s">
        <v>69</v>
      </c>
      <c r="I848" s="21" t="s">
        <v>70</v>
      </c>
      <c r="J848" s="22" t="s">
        <v>71</v>
      </c>
      <c r="K848" s="23">
        <v>34.0</v>
      </c>
      <c r="L848" s="24">
        <v>10.0</v>
      </c>
      <c r="M848" s="24" t="str">
        <f>IFERROR(VLOOKUP(D848,'Chủ đề bài nguồn'!$A$2:$C$735,3,0),"Khác")</f>
        <v>Thẻ tín dụng</v>
      </c>
      <c r="N848" s="24"/>
    </row>
    <row r="849">
      <c r="A849" s="15">
        <v>847.0</v>
      </c>
      <c r="B849" s="16" t="s">
        <v>934</v>
      </c>
      <c r="C849" s="18" t="s">
        <v>1552</v>
      </c>
      <c r="D849" s="16" t="s">
        <v>2847</v>
      </c>
      <c r="E849" s="16" t="s">
        <v>4129</v>
      </c>
      <c r="F849" s="16" t="s">
        <v>4130</v>
      </c>
      <c r="G849" s="16" t="s">
        <v>4128</v>
      </c>
      <c r="H849" s="20" t="s">
        <v>69</v>
      </c>
      <c r="I849" s="21" t="s">
        <v>70</v>
      </c>
      <c r="J849" s="22" t="s">
        <v>4131</v>
      </c>
      <c r="K849" s="23">
        <v>34.0</v>
      </c>
      <c r="L849" s="24">
        <v>10.0</v>
      </c>
      <c r="M849" s="24" t="str">
        <f>IFERROR(VLOOKUP(D849,'Chủ đề bài nguồn'!$A$2:$C$735,3,0),"Khác")</f>
        <v>Nợ xấu &amp; CIC</v>
      </c>
      <c r="N849" s="24"/>
    </row>
    <row r="850">
      <c r="A850" s="15">
        <v>848.0</v>
      </c>
      <c r="B850" s="16" t="s">
        <v>934</v>
      </c>
      <c r="C850" s="18" t="s">
        <v>1552</v>
      </c>
      <c r="D850" s="16" t="s">
        <v>2816</v>
      </c>
      <c r="E850" s="16" t="s">
        <v>4133</v>
      </c>
      <c r="F850" s="16" t="s">
        <v>4134</v>
      </c>
      <c r="G850" s="16" t="s">
        <v>4128</v>
      </c>
      <c r="H850" s="20" t="s">
        <v>69</v>
      </c>
      <c r="I850" s="21" t="s">
        <v>70</v>
      </c>
      <c r="J850" s="22" t="s">
        <v>71</v>
      </c>
      <c r="K850" s="23">
        <v>34.0</v>
      </c>
      <c r="L850" s="24">
        <v>10.0</v>
      </c>
      <c r="M850" s="24" t="str">
        <f>IFERROR(VLOOKUP(D850,'Chủ đề bài nguồn'!$A$2:$C$735,3,0),"Khác")</f>
        <v>Vay tiêu dùng &amp; tín chấp</v>
      </c>
      <c r="N850" s="24"/>
    </row>
    <row r="851">
      <c r="A851" s="15">
        <v>849.0</v>
      </c>
      <c r="B851" s="16" t="s">
        <v>934</v>
      </c>
      <c r="C851" s="18" t="s">
        <v>1552</v>
      </c>
      <c r="D851" s="16" t="s">
        <v>3333</v>
      </c>
      <c r="E851" s="16" t="s">
        <v>4135</v>
      </c>
      <c r="F851" s="16" t="s">
        <v>4136</v>
      </c>
      <c r="G851" s="16" t="s">
        <v>4128</v>
      </c>
      <c r="H851" s="20" t="s">
        <v>69</v>
      </c>
      <c r="I851" s="21" t="s">
        <v>70</v>
      </c>
      <c r="J851" s="22" t="s">
        <v>71</v>
      </c>
      <c r="K851" s="23">
        <v>34.0</v>
      </c>
      <c r="L851" s="24">
        <v>10.0</v>
      </c>
      <c r="M851" s="24" t="str">
        <f>IFERROR(VLOOKUP(D851,'Chủ đề bài nguồn'!$A$2:$C$735,3,0),"Khác")</f>
        <v>Hộ kinh doanh &amp; bán hàng</v>
      </c>
      <c r="N851" s="24"/>
    </row>
    <row r="852">
      <c r="A852" s="15">
        <v>850.0</v>
      </c>
      <c r="B852" s="16" t="s">
        <v>934</v>
      </c>
      <c r="C852" s="18" t="s">
        <v>1552</v>
      </c>
      <c r="D852" s="16" t="s">
        <v>2929</v>
      </c>
      <c r="E852" s="16" t="s">
        <v>3433</v>
      </c>
      <c r="F852" s="16" t="s">
        <v>4138</v>
      </c>
      <c r="G852" s="16" t="s">
        <v>4139</v>
      </c>
      <c r="H852" s="20" t="s">
        <v>69</v>
      </c>
      <c r="I852" s="21" t="s">
        <v>70</v>
      </c>
      <c r="J852" s="22" t="s">
        <v>71</v>
      </c>
      <c r="K852" s="23">
        <v>34.0</v>
      </c>
      <c r="L852" s="24">
        <v>11.0</v>
      </c>
      <c r="M852" s="24" t="str">
        <f>IFERROR(VLOOKUP(D852,'Chủ đề bài nguồn'!$A$2:$C$735,3,0),"Khác")</f>
        <v>Vay thế chấp &amp; mua nhà/xe</v>
      </c>
      <c r="N852" s="24"/>
    </row>
    <row r="853">
      <c r="A853" s="15">
        <v>851.0</v>
      </c>
      <c r="B853" s="16" t="s">
        <v>934</v>
      </c>
      <c r="C853" s="18" t="s">
        <v>3432</v>
      </c>
      <c r="D853" s="16" t="s">
        <v>3318</v>
      </c>
      <c r="E853" s="16" t="s">
        <v>4140</v>
      </c>
      <c r="F853" s="16" t="s">
        <v>4141</v>
      </c>
      <c r="G853" s="16" t="s">
        <v>4142</v>
      </c>
      <c r="H853" s="20" t="s">
        <v>69</v>
      </c>
      <c r="I853" s="21" t="s">
        <v>70</v>
      </c>
      <c r="J853" s="22" t="s">
        <v>71</v>
      </c>
      <c r="K853" s="23">
        <v>34.0</v>
      </c>
      <c r="L853" s="24">
        <v>11.0</v>
      </c>
      <c r="M853" s="24" t="str">
        <f>IFERROR(VLOOKUP(D853,'Chủ đề bài nguồn'!$A$2:$C$735,3,0),"Khác")</f>
        <v>Vay thế chấp &amp; mua nhà/xe</v>
      </c>
      <c r="N853" s="24"/>
    </row>
    <row r="854">
      <c r="A854" s="15">
        <v>852.0</v>
      </c>
      <c r="B854" s="16" t="s">
        <v>934</v>
      </c>
      <c r="C854" s="18" t="s">
        <v>1552</v>
      </c>
      <c r="D854" s="16" t="s">
        <v>3067</v>
      </c>
      <c r="E854" s="16" t="s">
        <v>3463</v>
      </c>
      <c r="F854" s="16" t="s">
        <v>4144</v>
      </c>
      <c r="G854" s="16" t="s">
        <v>4145</v>
      </c>
      <c r="H854" s="20" t="s">
        <v>155</v>
      </c>
      <c r="I854" s="21" t="s">
        <v>70</v>
      </c>
      <c r="J854" s="22" t="s">
        <v>71</v>
      </c>
      <c r="K854" s="23">
        <v>34.0</v>
      </c>
      <c r="L854" s="24">
        <v>21.0</v>
      </c>
      <c r="M854" s="24" t="str">
        <f>IFERROR(VLOOKUP(D854,'Chủ đề bài nguồn'!$A$2:$C$735,3,0),"Khác")</f>
        <v>Nợ xấu &amp; CIC</v>
      </c>
      <c r="N854" s="24"/>
    </row>
    <row r="855">
      <c r="A855" s="15">
        <v>853.0</v>
      </c>
      <c r="B855" s="16" t="s">
        <v>934</v>
      </c>
      <c r="C855" s="18" t="s">
        <v>1552</v>
      </c>
      <c r="D855" s="16" t="s">
        <v>3065</v>
      </c>
      <c r="E855" s="16" t="s">
        <v>4146</v>
      </c>
      <c r="F855" s="16" t="s">
        <v>4147</v>
      </c>
      <c r="G855" s="16" t="s">
        <v>4148</v>
      </c>
      <c r="H855" s="20" t="s">
        <v>155</v>
      </c>
      <c r="I855" s="21" t="s">
        <v>70</v>
      </c>
      <c r="J855" s="22" t="s">
        <v>4149</v>
      </c>
      <c r="K855" s="23">
        <v>34.0</v>
      </c>
      <c r="L855" s="24">
        <v>21.0</v>
      </c>
      <c r="M855" s="24" t="str">
        <f>IFERROR(VLOOKUP(D855,'Chủ đề bài nguồn'!$A$2:$C$735,3,0),"Khác")</f>
        <v>Nợ xấu &amp; CIC</v>
      </c>
      <c r="N855" s="24"/>
    </row>
    <row r="856">
      <c r="A856" s="15">
        <v>854.0</v>
      </c>
      <c r="B856" s="16" t="s">
        <v>934</v>
      </c>
      <c r="C856" s="18" t="s">
        <v>1552</v>
      </c>
      <c r="D856" s="16" t="s">
        <v>1164</v>
      </c>
      <c r="E856" s="16" t="s">
        <v>4150</v>
      </c>
      <c r="F856" s="16" t="s">
        <v>4151</v>
      </c>
      <c r="G856" s="16" t="s">
        <v>4152</v>
      </c>
      <c r="H856" s="20" t="s">
        <v>155</v>
      </c>
      <c r="I856" s="21" t="s">
        <v>70</v>
      </c>
      <c r="J856" s="22" t="s">
        <v>71</v>
      </c>
      <c r="K856" s="23">
        <v>34.0</v>
      </c>
      <c r="L856" s="24">
        <v>21.0</v>
      </c>
      <c r="M856" s="24" t="str">
        <f>IFERROR(VLOOKUP(D856,'Chủ đề bài nguồn'!$A$2:$C$735,3,0),"Khác")</f>
        <v>Nợ xấu &amp; CIC</v>
      </c>
      <c r="N856" s="24"/>
    </row>
    <row r="857">
      <c r="A857" s="15">
        <v>855.0</v>
      </c>
      <c r="B857" s="16" t="s">
        <v>934</v>
      </c>
      <c r="C857" s="18" t="s">
        <v>1552</v>
      </c>
      <c r="D857" s="16" t="s">
        <v>3074</v>
      </c>
      <c r="E857" s="16" t="s">
        <v>4153</v>
      </c>
      <c r="F857" s="16" t="s">
        <v>4154</v>
      </c>
      <c r="G857" s="16" t="s">
        <v>4155</v>
      </c>
      <c r="H857" s="20" t="s">
        <v>155</v>
      </c>
      <c r="I857" s="21" t="s">
        <v>70</v>
      </c>
      <c r="J857" s="22" t="s">
        <v>71</v>
      </c>
      <c r="K857" s="23">
        <v>34.0</v>
      </c>
      <c r="L857" s="24">
        <v>21.0</v>
      </c>
      <c r="M857" s="24" t="str">
        <f>IFERROR(VLOOKUP(D857,'Chủ đề bài nguồn'!$A$2:$C$735,3,0),"Khác")</f>
        <v>Nợ xấu &amp; CIC</v>
      </c>
      <c r="N857" s="24"/>
    </row>
    <row r="858">
      <c r="A858" s="15">
        <v>856.0</v>
      </c>
      <c r="B858" s="16" t="s">
        <v>934</v>
      </c>
      <c r="C858" s="18" t="s">
        <v>1552</v>
      </c>
      <c r="D858" s="16" t="s">
        <v>3064</v>
      </c>
      <c r="E858" s="16" t="s">
        <v>4157</v>
      </c>
      <c r="F858" s="16" t="s">
        <v>4158</v>
      </c>
      <c r="G858" s="16" t="s">
        <v>4159</v>
      </c>
      <c r="H858" s="20" t="s">
        <v>155</v>
      </c>
      <c r="I858" s="21" t="s">
        <v>70</v>
      </c>
      <c r="J858" s="22" t="s">
        <v>71</v>
      </c>
      <c r="K858" s="23">
        <v>34.0</v>
      </c>
      <c r="L858" s="24">
        <v>21.0</v>
      </c>
      <c r="M858" s="24" t="str">
        <f>IFERROR(VLOOKUP(D858,'Chủ đề bài nguồn'!$A$2:$C$735,3,0),"Khác")</f>
        <v>Thẻ tín dụng</v>
      </c>
      <c r="N858" s="24"/>
    </row>
    <row r="859">
      <c r="A859" s="15">
        <v>857.0</v>
      </c>
      <c r="B859" s="39" t="s">
        <v>934</v>
      </c>
      <c r="C859" s="18" t="s">
        <v>1552</v>
      </c>
      <c r="D859" s="39" t="s">
        <v>2920</v>
      </c>
      <c r="E859" s="16" t="s">
        <v>4164</v>
      </c>
      <c r="F859" s="16" t="s">
        <v>4165</v>
      </c>
      <c r="G859" s="16" t="s">
        <v>4166</v>
      </c>
      <c r="H859" s="20" t="s">
        <v>155</v>
      </c>
      <c r="I859" s="21" t="s">
        <v>70</v>
      </c>
      <c r="J859" s="22" t="s">
        <v>71</v>
      </c>
      <c r="K859" s="23">
        <v>34.0</v>
      </c>
      <c r="L859" s="24">
        <v>21.0</v>
      </c>
      <c r="M859" s="24" t="str">
        <f>IFERROR(VLOOKUP(D859,'Chủ đề bài nguồn'!$A$2:$C$735,3,0),"Khác")</f>
        <v>Đầu tư, CCTG, trái phiếu, vàng</v>
      </c>
      <c r="N859" s="24"/>
    </row>
    <row r="860">
      <c r="A860" s="15">
        <v>858.0</v>
      </c>
      <c r="B860" s="16" t="s">
        <v>934</v>
      </c>
      <c r="C860" s="18" t="s">
        <v>3432</v>
      </c>
      <c r="D860" s="16" t="s">
        <v>2973</v>
      </c>
      <c r="E860" s="16" t="s">
        <v>4168</v>
      </c>
      <c r="F860" s="16" t="s">
        <v>4169</v>
      </c>
      <c r="G860" s="16" t="s">
        <v>4170</v>
      </c>
      <c r="H860" s="20" t="s">
        <v>155</v>
      </c>
      <c r="I860" s="21" t="s">
        <v>70</v>
      </c>
      <c r="J860" s="22" t="s">
        <v>71</v>
      </c>
      <c r="K860" s="23">
        <v>34.0</v>
      </c>
      <c r="L860" s="24">
        <v>21.0</v>
      </c>
      <c r="M860" s="24" t="str">
        <f>IFERROR(VLOOKUP(D860,'Chủ đề bài nguồn'!$A$2:$C$735,3,0),"Khác")</f>
        <v>Nợ xấu &amp; CIC</v>
      </c>
      <c r="N860" s="24"/>
    </row>
    <row r="861">
      <c r="A861" s="15">
        <v>859.0</v>
      </c>
      <c r="B861" s="16" t="s">
        <v>934</v>
      </c>
      <c r="C861" s="18" t="s">
        <v>3432</v>
      </c>
      <c r="D861" s="16" t="s">
        <v>3246</v>
      </c>
      <c r="E861" s="16" t="s">
        <v>3614</v>
      </c>
      <c r="F861" s="16" t="s">
        <v>4171</v>
      </c>
      <c r="G861" s="16" t="s">
        <v>4172</v>
      </c>
      <c r="H861" s="20" t="s">
        <v>155</v>
      </c>
      <c r="I861" s="21" t="s">
        <v>70</v>
      </c>
      <c r="J861" s="22" t="s">
        <v>71</v>
      </c>
      <c r="K861" s="23">
        <v>34.0</v>
      </c>
      <c r="L861" s="24">
        <v>21.0</v>
      </c>
      <c r="M861" s="24" t="str">
        <f>IFERROR(VLOOKUP(D861,'Chủ đề bài nguồn'!$A$2:$C$735,3,0),"Khác")</f>
        <v>Vay tiêu dùng &amp; tín chấp</v>
      </c>
      <c r="N861" s="24"/>
    </row>
    <row r="862">
      <c r="A862" s="15">
        <v>860.0</v>
      </c>
      <c r="B862" s="16" t="s">
        <v>934</v>
      </c>
      <c r="C862" s="18" t="s">
        <v>3432</v>
      </c>
      <c r="D862" s="16" t="s">
        <v>1158</v>
      </c>
      <c r="E862" s="16" t="s">
        <v>3424</v>
      </c>
      <c r="F862" s="16" t="s">
        <v>4173</v>
      </c>
      <c r="G862" s="16" t="s">
        <v>4174</v>
      </c>
      <c r="H862" s="20" t="s">
        <v>155</v>
      </c>
      <c r="I862" s="21" t="s">
        <v>70</v>
      </c>
      <c r="J862" s="22" t="s">
        <v>71</v>
      </c>
      <c r="K862" s="23">
        <v>34.0</v>
      </c>
      <c r="L862" s="24">
        <v>21.0</v>
      </c>
      <c r="M862" s="24" t="str">
        <f>IFERROR(VLOOKUP(D862,'Chủ đề bài nguồn'!$A$2:$C$735,3,0),"Khác")</f>
        <v>Nợ xấu &amp; CIC</v>
      </c>
      <c r="N862" s="24"/>
    </row>
    <row r="863">
      <c r="A863" s="15">
        <v>861.0</v>
      </c>
      <c r="B863" s="16" t="s">
        <v>934</v>
      </c>
      <c r="C863" s="18" t="s">
        <v>3432</v>
      </c>
      <c r="D863" s="16" t="s">
        <v>3155</v>
      </c>
      <c r="E863" s="16" t="s">
        <v>4176</v>
      </c>
      <c r="F863" s="16" t="s">
        <v>4177</v>
      </c>
      <c r="G863" s="16" t="s">
        <v>4178</v>
      </c>
      <c r="H863" s="20" t="s">
        <v>155</v>
      </c>
      <c r="I863" s="21" t="s">
        <v>70</v>
      </c>
      <c r="J863" s="22" t="s">
        <v>71</v>
      </c>
      <c r="K863" s="23">
        <v>34.0</v>
      </c>
      <c r="L863" s="24">
        <v>21.0</v>
      </c>
      <c r="M863" s="24" t="str">
        <f>IFERROR(VLOOKUP(D863,'Chủ đề bài nguồn'!$A$2:$C$735,3,0),"Khác")</f>
        <v>Vay tiêu dùng &amp; tín chấp</v>
      </c>
      <c r="N863" s="24"/>
    </row>
    <row r="864">
      <c r="A864" s="15">
        <v>862.0</v>
      </c>
      <c r="B864" s="16" t="s">
        <v>934</v>
      </c>
      <c r="C864" s="18" t="s">
        <v>3432</v>
      </c>
      <c r="D864" s="16" t="s">
        <v>2352</v>
      </c>
      <c r="E864" s="16" t="s">
        <v>4179</v>
      </c>
      <c r="F864" s="16" t="s">
        <v>4180</v>
      </c>
      <c r="G864" s="16" t="s">
        <v>4181</v>
      </c>
      <c r="H864" s="20" t="s">
        <v>155</v>
      </c>
      <c r="I864" s="21" t="s">
        <v>70</v>
      </c>
      <c r="J864" s="22" t="s">
        <v>71</v>
      </c>
      <c r="K864" s="23">
        <v>34.0</v>
      </c>
      <c r="L864" s="24">
        <v>21.0</v>
      </c>
      <c r="M864" s="24" t="str">
        <f>IFERROR(VLOOKUP(D864,'Chủ đề bài nguồn'!$A$2:$C$735,3,0),"Khác")</f>
        <v>Thẻ tín dụng</v>
      </c>
      <c r="N864" s="24"/>
    </row>
    <row r="865">
      <c r="A865" s="15">
        <v>863.0</v>
      </c>
      <c r="B865" s="16" t="s">
        <v>934</v>
      </c>
      <c r="C865" s="18" t="s">
        <v>3432</v>
      </c>
      <c r="D865" s="16" t="s">
        <v>3336</v>
      </c>
      <c r="E865" s="16" t="s">
        <v>4184</v>
      </c>
      <c r="F865" s="16" t="s">
        <v>4185</v>
      </c>
      <c r="G865" s="16" t="s">
        <v>4186</v>
      </c>
      <c r="H865" s="20" t="s">
        <v>155</v>
      </c>
      <c r="I865" s="21" t="s">
        <v>70</v>
      </c>
      <c r="J865" s="22" t="s">
        <v>71</v>
      </c>
      <c r="K865" s="23">
        <v>34.0</v>
      </c>
      <c r="L865" s="24">
        <v>21.0</v>
      </c>
      <c r="M865" s="24" t="str">
        <f>IFERROR(VLOOKUP(D865,'Chủ đề bài nguồn'!$A$2:$C$735,3,0),"Khác")</f>
        <v>Nợ xấu &amp; CIC</v>
      </c>
      <c r="N865" s="24"/>
    </row>
    <row r="866">
      <c r="A866" s="15">
        <v>864.0</v>
      </c>
      <c r="B866" s="16" t="s">
        <v>934</v>
      </c>
      <c r="C866" s="18" t="s">
        <v>1552</v>
      </c>
      <c r="D866" s="16" t="s">
        <v>3206</v>
      </c>
      <c r="E866" s="16" t="s">
        <v>4187</v>
      </c>
      <c r="F866" s="16" t="s">
        <v>4188</v>
      </c>
      <c r="G866" s="16" t="s">
        <v>4190</v>
      </c>
      <c r="H866" s="20" t="s">
        <v>229</v>
      </c>
      <c r="I866" s="21" t="s">
        <v>70</v>
      </c>
      <c r="J866" s="22" t="s">
        <v>4191</v>
      </c>
      <c r="K866" s="23">
        <v>34.0</v>
      </c>
      <c r="L866" s="24">
        <v>31.0</v>
      </c>
      <c r="M866" s="24" t="str">
        <f>IFERROR(VLOOKUP(D866,'Chủ đề bài nguồn'!$A$2:$C$735,3,0),"Khác")</f>
        <v>Đầu tư, CCTG, trái phiếu, vàng</v>
      </c>
      <c r="N866" s="24"/>
    </row>
    <row r="867">
      <c r="A867" s="15">
        <v>865.0</v>
      </c>
      <c r="B867" s="16" t="s">
        <v>934</v>
      </c>
      <c r="C867" s="18" t="s">
        <v>1552</v>
      </c>
      <c r="D867" s="16" t="s">
        <v>3048</v>
      </c>
      <c r="E867" s="16" t="s">
        <v>4192</v>
      </c>
      <c r="F867" s="16" t="s">
        <v>4193</v>
      </c>
      <c r="G867" s="16" t="s">
        <v>4148</v>
      </c>
      <c r="H867" s="20" t="s">
        <v>229</v>
      </c>
      <c r="I867" s="21" t="s">
        <v>70</v>
      </c>
      <c r="J867" s="22" t="s">
        <v>1555</v>
      </c>
      <c r="K867" s="23">
        <v>34.0</v>
      </c>
      <c r="L867" s="24">
        <v>31.0</v>
      </c>
      <c r="M867" s="24" t="str">
        <f>IFERROR(VLOOKUP(D867,'Chủ đề bài nguồn'!$A$2:$C$735,3,0),"Khác")</f>
        <v>Đầu tư, CCTG, trái phiếu, vàng</v>
      </c>
      <c r="N867" s="24"/>
    </row>
    <row r="868">
      <c r="A868" s="15">
        <v>866.0</v>
      </c>
      <c r="B868" s="39" t="s">
        <v>934</v>
      </c>
      <c r="C868" s="18" t="s">
        <v>1552</v>
      </c>
      <c r="D868" s="39" t="s">
        <v>1495</v>
      </c>
      <c r="E868" s="16" t="s">
        <v>710</v>
      </c>
      <c r="F868" s="16" t="s">
        <v>4196</v>
      </c>
      <c r="G868" s="16" t="s">
        <v>4148</v>
      </c>
      <c r="H868" s="20" t="s">
        <v>229</v>
      </c>
      <c r="I868" s="21" t="s">
        <v>70</v>
      </c>
      <c r="J868" s="22" t="s">
        <v>4197</v>
      </c>
      <c r="K868" s="23">
        <v>34.0</v>
      </c>
      <c r="L868" s="24">
        <v>31.0</v>
      </c>
      <c r="M868" s="24" t="str">
        <f>IFERROR(VLOOKUP(D868,'Chủ đề bài nguồn'!$A$2:$C$735,3,0),"Khác")</f>
        <v>Đầu tư, CCTG, trái phiếu, vàng</v>
      </c>
      <c r="N868" s="24"/>
    </row>
    <row r="869">
      <c r="A869" s="15">
        <v>867.0</v>
      </c>
      <c r="B869" s="39" t="s">
        <v>934</v>
      </c>
      <c r="C869" s="18" t="s">
        <v>1552</v>
      </c>
      <c r="D869" s="39" t="s">
        <v>2748</v>
      </c>
      <c r="E869" s="16" t="s">
        <v>4199</v>
      </c>
      <c r="F869" s="16" t="s">
        <v>4200</v>
      </c>
      <c r="G869" s="16" t="s">
        <v>4201</v>
      </c>
      <c r="H869" s="20" t="s">
        <v>229</v>
      </c>
      <c r="I869" s="21" t="s">
        <v>70</v>
      </c>
      <c r="J869" s="22" t="s">
        <v>71</v>
      </c>
      <c r="K869" s="23">
        <v>34.0</v>
      </c>
      <c r="L869" s="24">
        <v>31.0</v>
      </c>
      <c r="M869" s="24" t="str">
        <f>IFERROR(VLOOKUP(D869,'Chủ đề bài nguồn'!$A$2:$C$735,3,0),"Khác")</f>
        <v>Vay tiêu dùng &amp; tín chấp</v>
      </c>
      <c r="N869" s="24"/>
    </row>
    <row r="870">
      <c r="A870" s="15">
        <v>868.0</v>
      </c>
      <c r="B870" s="39" t="s">
        <v>934</v>
      </c>
      <c r="C870" s="18" t="s">
        <v>1552</v>
      </c>
      <c r="D870" s="39" t="s">
        <v>2798</v>
      </c>
      <c r="E870" s="16" t="s">
        <v>4205</v>
      </c>
      <c r="F870" s="16" t="s">
        <v>4206</v>
      </c>
      <c r="G870" s="16" t="s">
        <v>4207</v>
      </c>
      <c r="H870" s="20" t="s">
        <v>229</v>
      </c>
      <c r="I870" s="21" t="s">
        <v>70</v>
      </c>
      <c r="J870" s="22" t="s">
        <v>4208</v>
      </c>
      <c r="K870" s="23">
        <v>34.0</v>
      </c>
      <c r="L870" s="24">
        <v>31.0</v>
      </c>
      <c r="M870" s="24" t="str">
        <f>IFERROR(VLOOKUP(D870,'Chủ đề bài nguồn'!$A$2:$C$735,3,0),"Khác")</f>
        <v>Bảo hiểm</v>
      </c>
      <c r="N870" s="24"/>
    </row>
    <row r="871">
      <c r="A871" s="15">
        <v>869.0</v>
      </c>
      <c r="B871" s="39" t="s">
        <v>934</v>
      </c>
      <c r="C871" s="18" t="s">
        <v>1552</v>
      </c>
      <c r="D871" s="39" t="s">
        <v>3052</v>
      </c>
      <c r="E871" s="16" t="s">
        <v>4210</v>
      </c>
      <c r="F871" s="16" t="s">
        <v>4211</v>
      </c>
      <c r="G871" s="16" t="s">
        <v>4148</v>
      </c>
      <c r="H871" s="20" t="s">
        <v>229</v>
      </c>
      <c r="I871" s="21" t="s">
        <v>70</v>
      </c>
      <c r="J871" s="22" t="s">
        <v>4212</v>
      </c>
      <c r="K871" s="23">
        <v>34.0</v>
      </c>
      <c r="L871" s="24">
        <v>31.0</v>
      </c>
      <c r="M871" s="24" t="str">
        <f>IFERROR(VLOOKUP(D871,'Chủ đề bài nguồn'!$A$2:$C$735,3,0),"Khác")</f>
        <v>Đầu tư, CCTG, trái phiếu, vàng</v>
      </c>
      <c r="N871" s="24"/>
    </row>
    <row r="872">
      <c r="A872" s="15">
        <v>870.0</v>
      </c>
      <c r="B872" s="16" t="s">
        <v>934</v>
      </c>
      <c r="C872" s="18" t="s">
        <v>3432</v>
      </c>
      <c r="D872" s="16" t="s">
        <v>3120</v>
      </c>
      <c r="E872" s="16" t="s">
        <v>3449</v>
      </c>
      <c r="F872" s="16" t="s">
        <v>4214</v>
      </c>
      <c r="G872" s="16" t="s">
        <v>4215</v>
      </c>
      <c r="H872" s="20" t="s">
        <v>229</v>
      </c>
      <c r="I872" s="21" t="s">
        <v>70</v>
      </c>
      <c r="J872" s="22" t="s">
        <v>71</v>
      </c>
      <c r="K872" s="23">
        <v>34.0</v>
      </c>
      <c r="L872" s="24">
        <v>31.0</v>
      </c>
      <c r="M872" s="24" t="str">
        <f>IFERROR(VLOOKUP(D872,'Chủ đề bài nguồn'!$A$2:$C$735,3,0),"Khác")</f>
        <v>Vay tiêu dùng &amp; tín chấp</v>
      </c>
      <c r="N872" s="24"/>
    </row>
    <row r="873">
      <c r="A873" s="15">
        <v>871.0</v>
      </c>
      <c r="B873" s="16" t="s">
        <v>934</v>
      </c>
      <c r="C873" s="18" t="s">
        <v>3432</v>
      </c>
      <c r="D873" s="16" t="s">
        <v>2985</v>
      </c>
      <c r="E873" s="16" t="s">
        <v>4216</v>
      </c>
      <c r="F873" s="16" t="s">
        <v>4217</v>
      </c>
      <c r="G873" s="16" t="s">
        <v>4218</v>
      </c>
      <c r="H873" s="20" t="s">
        <v>229</v>
      </c>
      <c r="I873" s="21" t="s">
        <v>70</v>
      </c>
      <c r="J873" s="22" t="s">
        <v>71</v>
      </c>
      <c r="K873" s="23">
        <v>34.0</v>
      </c>
      <c r="L873" s="24">
        <v>31.0</v>
      </c>
      <c r="M873" s="24" t="str">
        <f>IFERROR(VLOOKUP(D873,'Chủ đề bài nguồn'!$A$2:$C$735,3,0),"Khác")</f>
        <v>Thẻ tín dụng</v>
      </c>
      <c r="N873" s="24"/>
    </row>
    <row r="874">
      <c r="A874" s="15">
        <v>872.0</v>
      </c>
      <c r="B874" s="16" t="s">
        <v>941</v>
      </c>
      <c r="C874" s="18" t="s">
        <v>3453</v>
      </c>
      <c r="D874" s="16" t="s">
        <v>1957</v>
      </c>
      <c r="E874" s="16" t="s">
        <v>4220</v>
      </c>
      <c r="F874" s="16" t="s">
        <v>4221</v>
      </c>
      <c r="G874" s="16" t="s">
        <v>4222</v>
      </c>
      <c r="H874" s="20" t="s">
        <v>69</v>
      </c>
      <c r="I874" s="21" t="s">
        <v>70</v>
      </c>
      <c r="J874" s="22" t="s">
        <v>71</v>
      </c>
      <c r="K874" s="23">
        <v>35.0</v>
      </c>
      <c r="L874" s="24">
        <v>10.0</v>
      </c>
      <c r="M874" s="24" t="str">
        <f>IFERROR(VLOOKUP(D874,'Chủ đề bài nguồn'!$A$2:$C$735,3,0),"Khác")</f>
        <v>Thẻ tín dụng</v>
      </c>
      <c r="N874" s="24"/>
    </row>
    <row r="875">
      <c r="A875" s="15">
        <v>873.0</v>
      </c>
      <c r="B875" s="16" t="s">
        <v>941</v>
      </c>
      <c r="C875" s="18" t="s">
        <v>3453</v>
      </c>
      <c r="D875" s="16" t="s">
        <v>2816</v>
      </c>
      <c r="E875" s="16" t="s">
        <v>4133</v>
      </c>
      <c r="F875" s="16" t="s">
        <v>4225</v>
      </c>
      <c r="G875" s="16" t="s">
        <v>4222</v>
      </c>
      <c r="H875" s="20" t="s">
        <v>69</v>
      </c>
      <c r="I875" s="21" t="s">
        <v>70</v>
      </c>
      <c r="J875" s="22" t="s">
        <v>71</v>
      </c>
      <c r="K875" s="23">
        <v>35.0</v>
      </c>
      <c r="L875" s="24">
        <v>10.0</v>
      </c>
      <c r="M875" s="24" t="str">
        <f>IFERROR(VLOOKUP(D875,'Chủ đề bài nguồn'!$A$2:$C$735,3,0),"Khác")</f>
        <v>Vay tiêu dùng &amp; tín chấp</v>
      </c>
      <c r="N875" s="24"/>
    </row>
    <row r="876">
      <c r="A876" s="15">
        <v>874.0</v>
      </c>
      <c r="B876" s="16" t="s">
        <v>941</v>
      </c>
      <c r="C876" s="18" t="s">
        <v>3453</v>
      </c>
      <c r="D876" s="16" t="s">
        <v>1276</v>
      </c>
      <c r="E876" s="16" t="s">
        <v>4226</v>
      </c>
      <c r="F876" s="16" t="s">
        <v>4227</v>
      </c>
      <c r="G876" s="16" t="s">
        <v>4222</v>
      </c>
      <c r="H876" s="20" t="s">
        <v>69</v>
      </c>
      <c r="I876" s="21" t="s">
        <v>70</v>
      </c>
      <c r="J876" s="22" t="s">
        <v>71</v>
      </c>
      <c r="K876" s="23">
        <v>35.0</v>
      </c>
      <c r="L876" s="24">
        <v>10.0</v>
      </c>
      <c r="M876" s="24" t="str">
        <f>IFERROR(VLOOKUP(D876,'Chủ đề bài nguồn'!$A$2:$C$735,3,0),"Khác")</f>
        <v>Tài khoản &amp; ngân hàng số</v>
      </c>
      <c r="N876" s="24"/>
    </row>
    <row r="877">
      <c r="A877" s="15">
        <v>875.0</v>
      </c>
      <c r="B877" s="16" t="s">
        <v>941</v>
      </c>
      <c r="C877" s="18" t="s">
        <v>3453</v>
      </c>
      <c r="D877" s="16" t="s">
        <v>2603</v>
      </c>
      <c r="E877" s="16" t="s">
        <v>4231</v>
      </c>
      <c r="F877" s="16" t="s">
        <v>4232</v>
      </c>
      <c r="G877" s="16" t="s">
        <v>4222</v>
      </c>
      <c r="H877" s="20" t="s">
        <v>69</v>
      </c>
      <c r="I877" s="21" t="s">
        <v>70</v>
      </c>
      <c r="J877" s="22" t="s">
        <v>71</v>
      </c>
      <c r="K877" s="23">
        <v>35.0</v>
      </c>
      <c r="L877" s="24">
        <v>10.0</v>
      </c>
      <c r="M877" s="24" t="str">
        <f>IFERROR(VLOOKUP(D877,'Chủ đề bài nguồn'!$A$2:$C$735,3,0),"Khác")</f>
        <v>Tài khoản &amp; ngân hàng số</v>
      </c>
      <c r="N877" s="24"/>
    </row>
    <row r="878">
      <c r="A878" s="15">
        <v>876.0</v>
      </c>
      <c r="B878" s="16" t="s">
        <v>941</v>
      </c>
      <c r="C878" s="18" t="s">
        <v>3453</v>
      </c>
      <c r="D878" s="16" t="s">
        <v>1516</v>
      </c>
      <c r="E878" s="16" t="s">
        <v>4233</v>
      </c>
      <c r="F878" s="16" t="s">
        <v>4234</v>
      </c>
      <c r="G878" s="16" t="s">
        <v>4222</v>
      </c>
      <c r="H878" s="20" t="s">
        <v>69</v>
      </c>
      <c r="I878" s="21" t="s">
        <v>70</v>
      </c>
      <c r="J878" s="22" t="s">
        <v>71</v>
      </c>
      <c r="K878" s="23">
        <v>35.0</v>
      </c>
      <c r="L878" s="24">
        <v>10.0</v>
      </c>
      <c r="M878" s="24" t="str">
        <f>IFERROR(VLOOKUP(D878,'Chủ đề bài nguồn'!$A$2:$C$735,3,0),"Khác")</f>
        <v>Tài khoản &amp; ngân hàng số</v>
      </c>
      <c r="N878" s="24"/>
    </row>
    <row r="879">
      <c r="A879" s="15">
        <v>877.0</v>
      </c>
      <c r="B879" s="16" t="s">
        <v>941</v>
      </c>
      <c r="C879" s="18" t="s">
        <v>3458</v>
      </c>
      <c r="D879" s="16" t="s">
        <v>2835</v>
      </c>
      <c r="E879" s="16" t="s">
        <v>4236</v>
      </c>
      <c r="F879" s="16" t="s">
        <v>4237</v>
      </c>
      <c r="G879" s="16" t="s">
        <v>4238</v>
      </c>
      <c r="H879" s="20" t="s">
        <v>69</v>
      </c>
      <c r="I879" s="21" t="s">
        <v>70</v>
      </c>
      <c r="J879" s="22" t="s">
        <v>71</v>
      </c>
      <c r="K879" s="23">
        <v>35.0</v>
      </c>
      <c r="L879" s="24">
        <v>10.0</v>
      </c>
      <c r="M879" s="24" t="str">
        <f>IFERROR(VLOOKUP(D879,'Chủ đề bài nguồn'!$A$2:$C$735,3,0),"Khác")</f>
        <v>Nợ xấu &amp; CIC</v>
      </c>
      <c r="N879" s="24"/>
    </row>
    <row r="880">
      <c r="A880" s="15">
        <v>878.0</v>
      </c>
      <c r="B880" s="16" t="s">
        <v>941</v>
      </c>
      <c r="C880" s="18" t="s">
        <v>3453</v>
      </c>
      <c r="D880" s="16" t="s">
        <v>700</v>
      </c>
      <c r="E880" s="16" t="s">
        <v>4239</v>
      </c>
      <c r="F880" s="16" t="s">
        <v>4240</v>
      </c>
      <c r="G880" s="16" t="s">
        <v>4241</v>
      </c>
      <c r="H880" s="20" t="s">
        <v>69</v>
      </c>
      <c r="I880" s="21" t="s">
        <v>70</v>
      </c>
      <c r="J880" s="22" t="s">
        <v>71</v>
      </c>
      <c r="K880" s="23">
        <v>35.0</v>
      </c>
      <c r="L880" s="24">
        <v>11.0</v>
      </c>
      <c r="M880" s="24" t="str">
        <f>IFERROR(VLOOKUP(D880,'Chủ đề bài nguồn'!$A$2:$C$735,3,0),"Khác")</f>
        <v>Thẻ tín dụng</v>
      </c>
      <c r="N880" s="24"/>
    </row>
    <row r="881">
      <c r="A881" s="15">
        <v>879.0</v>
      </c>
      <c r="B881" s="16" t="s">
        <v>941</v>
      </c>
      <c r="C881" s="18" t="s">
        <v>1558</v>
      </c>
      <c r="D881" s="16" t="s">
        <v>3189</v>
      </c>
      <c r="E881" s="16" t="s">
        <v>4006</v>
      </c>
      <c r="F881" s="16" t="s">
        <v>4243</v>
      </c>
      <c r="G881" s="16" t="s">
        <v>4244</v>
      </c>
      <c r="H881" s="20" t="s">
        <v>155</v>
      </c>
      <c r="I881" s="21" t="s">
        <v>70</v>
      </c>
      <c r="J881" s="22" t="s">
        <v>71</v>
      </c>
      <c r="K881" s="23">
        <v>35.0</v>
      </c>
      <c r="L881" s="24">
        <v>21.0</v>
      </c>
      <c r="M881" s="24" t="str">
        <f>IFERROR(VLOOKUP(D881,'Chủ đề bài nguồn'!$A$2:$C$735,3,0),"Khác")</f>
        <v>Thẻ tín dụng</v>
      </c>
      <c r="N881" s="24"/>
    </row>
    <row r="882">
      <c r="A882" s="15">
        <v>880.0</v>
      </c>
      <c r="B882" s="16" t="s">
        <v>941</v>
      </c>
      <c r="C882" s="18" t="s">
        <v>1558</v>
      </c>
      <c r="D882" s="16" t="s">
        <v>1842</v>
      </c>
      <c r="E882" s="16" t="s">
        <v>4245</v>
      </c>
      <c r="F882" s="16" t="s">
        <v>4246</v>
      </c>
      <c r="G882" s="16" t="s">
        <v>4247</v>
      </c>
      <c r="H882" s="20" t="s">
        <v>155</v>
      </c>
      <c r="I882" s="21" t="s">
        <v>70</v>
      </c>
      <c r="J882" s="22" t="s">
        <v>71</v>
      </c>
      <c r="K882" s="23">
        <v>35.0</v>
      </c>
      <c r="L882" s="24">
        <v>21.0</v>
      </c>
      <c r="M882" s="24" t="str">
        <f>IFERROR(VLOOKUP(D882,'Chủ đề bài nguồn'!$A$2:$C$735,3,0),"Khác")</f>
        <v>Thanh toán, chuyển khoản &amp; QR</v>
      </c>
      <c r="N882" s="24"/>
    </row>
    <row r="883">
      <c r="A883" s="15">
        <v>881.0</v>
      </c>
      <c r="B883" s="16" t="s">
        <v>941</v>
      </c>
      <c r="C883" s="18" t="s">
        <v>1558</v>
      </c>
      <c r="D883" s="16" t="s">
        <v>3032</v>
      </c>
      <c r="E883" s="16" t="s">
        <v>3893</v>
      </c>
      <c r="F883" s="16" t="s">
        <v>4250</v>
      </c>
      <c r="G883" s="16" t="s">
        <v>4251</v>
      </c>
      <c r="H883" s="20" t="s">
        <v>155</v>
      </c>
      <c r="I883" s="21" t="s">
        <v>70</v>
      </c>
      <c r="J883" s="22" t="s">
        <v>71</v>
      </c>
      <c r="K883" s="23">
        <v>35.0</v>
      </c>
      <c r="L883" s="24">
        <v>21.0</v>
      </c>
      <c r="M883" s="24" t="str">
        <f>IFERROR(VLOOKUP(D883,'Chủ đề bài nguồn'!$A$2:$C$735,3,0),"Khác")</f>
        <v>Vay tiêu dùng &amp; tín chấp</v>
      </c>
      <c r="N883" s="24"/>
    </row>
    <row r="884">
      <c r="A884" s="15">
        <v>882.0</v>
      </c>
      <c r="B884" s="16" t="s">
        <v>941</v>
      </c>
      <c r="C884" s="18" t="s">
        <v>1558</v>
      </c>
      <c r="D884" s="16" t="s">
        <v>2426</v>
      </c>
      <c r="E884" s="16" t="s">
        <v>3908</v>
      </c>
      <c r="F884" s="16" t="s">
        <v>4254</v>
      </c>
      <c r="G884" s="16" t="s">
        <v>4255</v>
      </c>
      <c r="H884" s="20" t="s">
        <v>155</v>
      </c>
      <c r="I884" s="21" t="s">
        <v>70</v>
      </c>
      <c r="J884" s="22" t="s">
        <v>71</v>
      </c>
      <c r="K884" s="23">
        <v>35.0</v>
      </c>
      <c r="L884" s="24">
        <v>21.0</v>
      </c>
      <c r="M884" s="24" t="str">
        <f>IFERROR(VLOOKUP(D884,'Chủ đề bài nguồn'!$A$2:$C$735,3,0),"Khác")</f>
        <v>Thẻ tín dụng</v>
      </c>
      <c r="N884" s="24"/>
    </row>
    <row r="885">
      <c r="A885" s="15">
        <v>883.0</v>
      </c>
      <c r="B885" s="39" t="s">
        <v>941</v>
      </c>
      <c r="C885" s="18" t="s">
        <v>1558</v>
      </c>
      <c r="D885" s="39" t="s">
        <v>1557</v>
      </c>
      <c r="E885" s="16" t="s">
        <v>4257</v>
      </c>
      <c r="F885" s="16" t="s">
        <v>4258</v>
      </c>
      <c r="G885" s="16" t="s">
        <v>4259</v>
      </c>
      <c r="H885" s="20" t="s">
        <v>155</v>
      </c>
      <c r="I885" s="21" t="s">
        <v>70</v>
      </c>
      <c r="J885" s="22" t="s">
        <v>71</v>
      </c>
      <c r="K885" s="23">
        <v>35.0</v>
      </c>
      <c r="L885" s="24">
        <v>21.0</v>
      </c>
      <c r="M885" s="24" t="str">
        <f>IFERROR(VLOOKUP(D885,'Chủ đề bài nguồn'!$A$2:$C$735,3,0),"Khác")</f>
        <v>Thẻ ATM &amp; thẻ ghi nợ</v>
      </c>
      <c r="N885" s="24"/>
    </row>
    <row r="886">
      <c r="A886" s="15">
        <v>884.0</v>
      </c>
      <c r="B886" s="16" t="s">
        <v>941</v>
      </c>
      <c r="C886" s="18" t="s">
        <v>3453</v>
      </c>
      <c r="D886" s="16" t="s">
        <v>3276</v>
      </c>
      <c r="E886" s="16" t="s">
        <v>4003</v>
      </c>
      <c r="F886" s="16" t="s">
        <v>4260</v>
      </c>
      <c r="G886" s="16" t="s">
        <v>4262</v>
      </c>
      <c r="H886" s="20" t="s">
        <v>155</v>
      </c>
      <c r="I886" s="21" t="s">
        <v>70</v>
      </c>
      <c r="J886" s="22" t="s">
        <v>71</v>
      </c>
      <c r="K886" s="23">
        <v>35.0</v>
      </c>
      <c r="L886" s="24">
        <v>21.0</v>
      </c>
      <c r="M886" s="24" t="str">
        <f>IFERROR(VLOOKUP(D886,'Chủ đề bài nguồn'!$A$2:$C$735,3,0),"Khác")</f>
        <v>Thẻ tín dụng</v>
      </c>
      <c r="N886" s="24"/>
    </row>
    <row r="887">
      <c r="A887" s="15">
        <v>885.0</v>
      </c>
      <c r="B887" s="16" t="s">
        <v>941</v>
      </c>
      <c r="C887" s="18" t="s">
        <v>3453</v>
      </c>
      <c r="D887" s="16" t="s">
        <v>3178</v>
      </c>
      <c r="E887" s="16" t="s">
        <v>4264</v>
      </c>
      <c r="F887" s="16" t="s">
        <v>4265</v>
      </c>
      <c r="G887" s="16" t="s">
        <v>4266</v>
      </c>
      <c r="H887" s="20" t="s">
        <v>155</v>
      </c>
      <c r="I887" s="21" t="s">
        <v>70</v>
      </c>
      <c r="J887" s="22" t="s">
        <v>71</v>
      </c>
      <c r="K887" s="23">
        <v>35.0</v>
      </c>
      <c r="L887" s="24">
        <v>21.0</v>
      </c>
      <c r="M887" s="24" t="str">
        <f>IFERROR(VLOOKUP(D887,'Chủ đề bài nguồn'!$A$2:$C$735,3,0),"Khác")</f>
        <v>Thẻ tín dụng</v>
      </c>
      <c r="N887" s="24"/>
    </row>
    <row r="888">
      <c r="A888" s="15">
        <v>886.0</v>
      </c>
      <c r="B888" s="16" t="s">
        <v>941</v>
      </c>
      <c r="C888" s="18" t="s">
        <v>3458</v>
      </c>
      <c r="D888" s="16" t="s">
        <v>2846</v>
      </c>
      <c r="E888" s="16" t="s">
        <v>4269</v>
      </c>
      <c r="F888" s="16" t="s">
        <v>4270</v>
      </c>
      <c r="G888" s="16" t="s">
        <v>4271</v>
      </c>
      <c r="H888" s="20" t="s">
        <v>155</v>
      </c>
      <c r="I888" s="21" t="s">
        <v>70</v>
      </c>
      <c r="J888" s="22" t="s">
        <v>71</v>
      </c>
      <c r="K888" s="23">
        <v>35.0</v>
      </c>
      <c r="L888" s="24">
        <v>21.0</v>
      </c>
      <c r="M888" s="24" t="str">
        <f>IFERROR(VLOOKUP(D888,'Chủ đề bài nguồn'!$A$2:$C$735,3,0),"Khác")</f>
        <v>Nợ xấu &amp; CIC</v>
      </c>
      <c r="N888" s="24"/>
    </row>
    <row r="889">
      <c r="A889" s="15">
        <v>887.0</v>
      </c>
      <c r="B889" s="16" t="s">
        <v>941</v>
      </c>
      <c r="C889" s="18" t="s">
        <v>3458</v>
      </c>
      <c r="D889" s="16" t="s">
        <v>3186</v>
      </c>
      <c r="E889" s="16" t="s">
        <v>3852</v>
      </c>
      <c r="F889" s="16" t="s">
        <v>4274</v>
      </c>
      <c r="G889" s="16" t="s">
        <v>4275</v>
      </c>
      <c r="H889" s="20" t="s">
        <v>155</v>
      </c>
      <c r="I889" s="21" t="s">
        <v>70</v>
      </c>
      <c r="J889" s="22" t="s">
        <v>71</v>
      </c>
      <c r="K889" s="23">
        <v>35.0</v>
      </c>
      <c r="L889" s="24">
        <v>21.0</v>
      </c>
      <c r="M889" s="24" t="str">
        <f>IFERROR(VLOOKUP(D889,'Chủ đề bài nguồn'!$A$2:$C$735,3,0),"Khác")</f>
        <v>Thẻ tín dụng</v>
      </c>
      <c r="N889" s="24"/>
    </row>
    <row r="890">
      <c r="A890" s="15">
        <v>888.0</v>
      </c>
      <c r="B890" s="16" t="s">
        <v>941</v>
      </c>
      <c r="C890" s="18" t="s">
        <v>3458</v>
      </c>
      <c r="D890" s="16" t="s">
        <v>2794</v>
      </c>
      <c r="E890" s="16" t="s">
        <v>4276</v>
      </c>
      <c r="F890" s="16" t="s">
        <v>4277</v>
      </c>
      <c r="G890" s="16" t="s">
        <v>4278</v>
      </c>
      <c r="H890" s="20" t="s">
        <v>155</v>
      </c>
      <c r="I890" s="21" t="s">
        <v>70</v>
      </c>
      <c r="J890" s="22" t="s">
        <v>71</v>
      </c>
      <c r="K890" s="23">
        <v>35.0</v>
      </c>
      <c r="L890" s="24">
        <v>21.0</v>
      </c>
      <c r="M890" s="24" t="str">
        <f>IFERROR(VLOOKUP(D890,'Chủ đề bài nguồn'!$A$2:$C$735,3,0),"Khác")</f>
        <v>Thẻ tín dụng</v>
      </c>
      <c r="N890" s="24"/>
    </row>
    <row r="891">
      <c r="A891" s="15">
        <v>889.0</v>
      </c>
      <c r="B891" s="39" t="s">
        <v>941</v>
      </c>
      <c r="C891" s="18" t="s">
        <v>3458</v>
      </c>
      <c r="D891" s="39" t="s">
        <v>2885</v>
      </c>
      <c r="E891" s="16" t="s">
        <v>4281</v>
      </c>
      <c r="F891" s="16" t="s">
        <v>4282</v>
      </c>
      <c r="G891" s="16" t="s">
        <v>4283</v>
      </c>
      <c r="H891" s="20" t="s">
        <v>155</v>
      </c>
      <c r="I891" s="21" t="s">
        <v>70</v>
      </c>
      <c r="J891" s="22" t="s">
        <v>71</v>
      </c>
      <c r="K891" s="23">
        <v>35.0</v>
      </c>
      <c r="L891" s="24">
        <v>21.0</v>
      </c>
      <c r="M891" s="24" t="str">
        <f>IFERROR(VLOOKUP(D891,'Chủ đề bài nguồn'!$A$2:$C$735,3,0),"Khác")</f>
        <v>Thẻ tín dụng</v>
      </c>
      <c r="N891" s="24"/>
    </row>
    <row r="892">
      <c r="A892" s="15">
        <v>890.0</v>
      </c>
      <c r="B892" s="16" t="s">
        <v>941</v>
      </c>
      <c r="C892" s="18" t="s">
        <v>1558</v>
      </c>
      <c r="D892" s="16" t="s">
        <v>1561</v>
      </c>
      <c r="E892" s="16" t="s">
        <v>4285</v>
      </c>
      <c r="F892" s="16" t="s">
        <v>4286</v>
      </c>
      <c r="G892" s="16" t="s">
        <v>4287</v>
      </c>
      <c r="H892" s="20" t="s">
        <v>229</v>
      </c>
      <c r="I892" s="21" t="s">
        <v>70</v>
      </c>
      <c r="J892" s="22" t="s">
        <v>4288</v>
      </c>
      <c r="K892" s="23">
        <v>35.0</v>
      </c>
      <c r="L892" s="24">
        <v>31.0</v>
      </c>
      <c r="M892" s="24" t="str">
        <f>IFERROR(VLOOKUP(D892,'Chủ đề bài nguồn'!$A$2:$C$735,3,0),"Khác")</f>
        <v>Thẻ tín dụng</v>
      </c>
      <c r="N892" s="24"/>
    </row>
    <row r="893">
      <c r="A893" s="15">
        <v>891.0</v>
      </c>
      <c r="B893" s="16" t="s">
        <v>941</v>
      </c>
      <c r="C893" s="18" t="s">
        <v>1558</v>
      </c>
      <c r="D893" s="16" t="s">
        <v>3188</v>
      </c>
      <c r="E893" s="16" t="s">
        <v>4289</v>
      </c>
      <c r="F893" s="16" t="s">
        <v>4290</v>
      </c>
      <c r="G893" s="16" t="s">
        <v>4291</v>
      </c>
      <c r="H893" s="20" t="s">
        <v>229</v>
      </c>
      <c r="I893" s="21" t="s">
        <v>70</v>
      </c>
      <c r="J893" s="22" t="s">
        <v>71</v>
      </c>
      <c r="K893" s="23">
        <v>35.0</v>
      </c>
      <c r="L893" s="24">
        <v>31.0</v>
      </c>
      <c r="M893" s="24" t="str">
        <f>IFERROR(VLOOKUP(D893,'Chủ đề bài nguồn'!$A$2:$C$735,3,0),"Khác")</f>
        <v>Thẻ tín dụng</v>
      </c>
      <c r="N893" s="24"/>
    </row>
    <row r="894">
      <c r="A894" s="15">
        <v>892.0</v>
      </c>
      <c r="B894" s="16" t="s">
        <v>941</v>
      </c>
      <c r="C894" s="18" t="s">
        <v>1558</v>
      </c>
      <c r="D894" s="16" t="s">
        <v>3026</v>
      </c>
      <c r="E894" s="16" t="s">
        <v>710</v>
      </c>
      <c r="F894" s="16" t="s">
        <v>4294</v>
      </c>
      <c r="G894" s="16" t="s">
        <v>4295</v>
      </c>
      <c r="H894" s="20" t="s">
        <v>229</v>
      </c>
      <c r="I894" s="21" t="s">
        <v>70</v>
      </c>
      <c r="J894" s="22" t="s">
        <v>71</v>
      </c>
      <c r="K894" s="23">
        <v>35.0</v>
      </c>
      <c r="L894" s="24">
        <v>31.0</v>
      </c>
      <c r="M894" s="24" t="str">
        <f>IFERROR(VLOOKUP(D894,'Chủ đề bài nguồn'!$A$2:$C$735,3,0),"Khác")</f>
        <v>Thẻ tín dụng</v>
      </c>
      <c r="N894" s="24"/>
    </row>
    <row r="895">
      <c r="A895" s="15">
        <v>893.0</v>
      </c>
      <c r="B895" s="16" t="s">
        <v>941</v>
      </c>
      <c r="C895" s="18" t="s">
        <v>1558</v>
      </c>
      <c r="D895" s="16" t="s">
        <v>3199</v>
      </c>
      <c r="E895" s="16" t="s">
        <v>4296</v>
      </c>
      <c r="F895" s="16" t="s">
        <v>4297</v>
      </c>
      <c r="G895" s="16" t="s">
        <v>4299</v>
      </c>
      <c r="H895" s="20" t="s">
        <v>229</v>
      </c>
      <c r="I895" s="21" t="s">
        <v>70</v>
      </c>
      <c r="J895" s="22" t="s">
        <v>71</v>
      </c>
      <c r="K895" s="23">
        <v>35.0</v>
      </c>
      <c r="L895" s="24">
        <v>31.0</v>
      </c>
      <c r="M895" s="24" t="str">
        <f>IFERROR(VLOOKUP(D895,'Chủ đề bài nguồn'!$A$2:$C$735,3,0),"Khác")</f>
        <v>Thẻ tín dụng</v>
      </c>
      <c r="N895" s="24"/>
    </row>
    <row r="896">
      <c r="A896" s="15">
        <v>894.0</v>
      </c>
      <c r="B896" s="39" t="s">
        <v>941</v>
      </c>
      <c r="C896" s="18" t="s">
        <v>1558</v>
      </c>
      <c r="D896" s="39" t="s">
        <v>1696</v>
      </c>
      <c r="E896" s="16" t="s">
        <v>4302</v>
      </c>
      <c r="F896" s="16" t="s">
        <v>4303</v>
      </c>
      <c r="G896" s="16" t="s">
        <v>4304</v>
      </c>
      <c r="H896" s="20" t="s">
        <v>229</v>
      </c>
      <c r="I896" s="21" t="s">
        <v>70</v>
      </c>
      <c r="J896" s="22" t="s">
        <v>387</v>
      </c>
      <c r="K896" s="23">
        <v>35.0</v>
      </c>
      <c r="L896" s="24">
        <v>31.0</v>
      </c>
      <c r="M896" s="24" t="str">
        <f>IFERROR(VLOOKUP(D896,'Chủ đề bài nguồn'!$A$2:$C$735,3,0),"Khác")</f>
        <v>Tài khoản &amp; ngân hàng số</v>
      </c>
      <c r="N896" s="24"/>
    </row>
    <row r="897">
      <c r="A897" s="15">
        <v>895.0</v>
      </c>
      <c r="B897" s="16" t="s">
        <v>949</v>
      </c>
      <c r="C897" s="18" t="s">
        <v>3485</v>
      </c>
      <c r="D897" s="16" t="s">
        <v>2771</v>
      </c>
      <c r="E897" s="16" t="s">
        <v>4305</v>
      </c>
      <c r="F897" s="16" t="s">
        <v>4306</v>
      </c>
      <c r="G897" s="16" t="s">
        <v>4307</v>
      </c>
      <c r="H897" s="20" t="s">
        <v>69</v>
      </c>
      <c r="I897" s="21" t="s">
        <v>70</v>
      </c>
      <c r="J897" s="22" t="s">
        <v>71</v>
      </c>
      <c r="K897" s="23">
        <v>36.0</v>
      </c>
      <c r="L897" s="24">
        <v>10.0</v>
      </c>
      <c r="M897" s="24" t="str">
        <f>IFERROR(VLOOKUP(D897,'Chủ đề bài nguồn'!$A$2:$C$735,3,0),"Khác")</f>
        <v>Đầu tư, CCTG, trái phiếu, vàng</v>
      </c>
      <c r="N897" s="24"/>
    </row>
    <row r="898">
      <c r="A898" s="15">
        <v>896.0</v>
      </c>
      <c r="B898" s="16" t="s">
        <v>949</v>
      </c>
      <c r="C898" s="18" t="s">
        <v>3485</v>
      </c>
      <c r="D898" s="16" t="s">
        <v>2425</v>
      </c>
      <c r="E898" s="16" t="s">
        <v>4309</v>
      </c>
      <c r="F898" s="16" t="s">
        <v>4310</v>
      </c>
      <c r="G898" s="16" t="s">
        <v>4311</v>
      </c>
      <c r="H898" s="20" t="s">
        <v>69</v>
      </c>
      <c r="I898" s="21" t="s">
        <v>70</v>
      </c>
      <c r="J898" s="22" t="s">
        <v>2718</v>
      </c>
      <c r="K898" s="23">
        <v>36.0</v>
      </c>
      <c r="L898" s="24">
        <v>10.0</v>
      </c>
      <c r="M898" s="24" t="str">
        <f>IFERROR(VLOOKUP(D898,'Chủ đề bài nguồn'!$A$2:$C$735,3,0),"Khác")</f>
        <v>Doanh nghiệp (tài khoản, vay, tài chính)</v>
      </c>
      <c r="N898" s="24"/>
    </row>
    <row r="899">
      <c r="A899" s="15">
        <v>897.0</v>
      </c>
      <c r="B899" s="16" t="s">
        <v>949</v>
      </c>
      <c r="C899" s="18" t="s">
        <v>3485</v>
      </c>
      <c r="D899" s="16" t="s">
        <v>3235</v>
      </c>
      <c r="E899" s="16" t="s">
        <v>4312</v>
      </c>
      <c r="F899" s="16" t="s">
        <v>4313</v>
      </c>
      <c r="G899" s="16" t="s">
        <v>4307</v>
      </c>
      <c r="H899" s="20" t="s">
        <v>69</v>
      </c>
      <c r="I899" s="21" t="s">
        <v>70</v>
      </c>
      <c r="J899" s="22" t="s">
        <v>71</v>
      </c>
      <c r="K899" s="23">
        <v>36.0</v>
      </c>
      <c r="L899" s="24">
        <v>10.0</v>
      </c>
      <c r="M899" s="24" t="str">
        <f>IFERROR(VLOOKUP(D899,'Chủ đề bài nguồn'!$A$2:$C$735,3,0),"Khác")</f>
        <v>Tiết kiệm &amp; lãi suất tiền gửi</v>
      </c>
      <c r="N899" s="24"/>
    </row>
    <row r="900">
      <c r="A900" s="15">
        <v>898.0</v>
      </c>
      <c r="B900" s="16" t="s">
        <v>949</v>
      </c>
      <c r="C900" s="18" t="s">
        <v>3485</v>
      </c>
      <c r="D900" s="16" t="s">
        <v>3051</v>
      </c>
      <c r="E900" s="16" t="s">
        <v>4315</v>
      </c>
      <c r="F900" s="16" t="s">
        <v>4316</v>
      </c>
      <c r="G900" s="16" t="s">
        <v>4307</v>
      </c>
      <c r="H900" s="20" t="s">
        <v>69</v>
      </c>
      <c r="I900" s="21" t="s">
        <v>70</v>
      </c>
      <c r="J900" s="22" t="s">
        <v>71</v>
      </c>
      <c r="K900" s="23">
        <v>36.0</v>
      </c>
      <c r="L900" s="24">
        <v>10.0</v>
      </c>
      <c r="M900" s="24" t="str">
        <f>IFERROR(VLOOKUP(D900,'Chủ đề bài nguồn'!$A$2:$C$735,3,0),"Khác")</f>
        <v>Ngoại tệ &amp; chuyển tiền quốc tế</v>
      </c>
      <c r="N900" s="24"/>
    </row>
    <row r="901">
      <c r="A901" s="15">
        <v>899.0</v>
      </c>
      <c r="B901" s="16" t="s">
        <v>949</v>
      </c>
      <c r="C901" s="18" t="s">
        <v>3485</v>
      </c>
      <c r="D901" s="16" t="s">
        <v>3142</v>
      </c>
      <c r="E901" s="16" t="s">
        <v>4317</v>
      </c>
      <c r="F901" s="16" t="s">
        <v>4318</v>
      </c>
      <c r="G901" s="16" t="s">
        <v>4307</v>
      </c>
      <c r="H901" s="20" t="s">
        <v>69</v>
      </c>
      <c r="I901" s="21" t="s">
        <v>70</v>
      </c>
      <c r="J901" s="22" t="s">
        <v>71</v>
      </c>
      <c r="K901" s="23">
        <v>36.0</v>
      </c>
      <c r="L901" s="24">
        <v>10.0</v>
      </c>
      <c r="M901" s="24" t="str">
        <f>IFERROR(VLOOKUP(D901,'Chủ đề bài nguồn'!$A$2:$C$735,3,0),"Khác")</f>
        <v>Đầu tư, CCTG, trái phiếu, vàng</v>
      </c>
      <c r="N901" s="24"/>
    </row>
    <row r="902">
      <c r="A902" s="15">
        <v>900.0</v>
      </c>
      <c r="B902" s="16" t="s">
        <v>949</v>
      </c>
      <c r="C902" s="18" t="s">
        <v>3485</v>
      </c>
      <c r="D902" s="16" t="s">
        <v>3135</v>
      </c>
      <c r="E902" s="16" t="s">
        <v>4320</v>
      </c>
      <c r="F902" s="16" t="s">
        <v>4321</v>
      </c>
      <c r="G902" s="16" t="s">
        <v>4307</v>
      </c>
      <c r="H902" s="20" t="s">
        <v>69</v>
      </c>
      <c r="I902" s="21" t="s">
        <v>70</v>
      </c>
      <c r="J902" s="22" t="s">
        <v>71</v>
      </c>
      <c r="K902" s="23">
        <v>36.0</v>
      </c>
      <c r="L902" s="24">
        <v>10.0</v>
      </c>
      <c r="M902" s="24" t="str">
        <f>IFERROR(VLOOKUP(D902,'Chủ đề bài nguồn'!$A$2:$C$735,3,0),"Khác")</f>
        <v>Vay tiêu dùng &amp; tín chấp</v>
      </c>
      <c r="N902" s="24"/>
    </row>
    <row r="903">
      <c r="A903" s="15">
        <v>901.0</v>
      </c>
      <c r="B903" s="16" t="s">
        <v>949</v>
      </c>
      <c r="C903" s="18" t="s">
        <v>3485</v>
      </c>
      <c r="D903" s="16" t="s">
        <v>1548</v>
      </c>
      <c r="E903" s="16" t="s">
        <v>4323</v>
      </c>
      <c r="F903" s="16" t="s">
        <v>4324</v>
      </c>
      <c r="G903" s="16" t="s">
        <v>4307</v>
      </c>
      <c r="H903" s="20" t="s">
        <v>69</v>
      </c>
      <c r="I903" s="21" t="s">
        <v>70</v>
      </c>
      <c r="J903" s="22" t="s">
        <v>71</v>
      </c>
      <c r="K903" s="23">
        <v>36.0</v>
      </c>
      <c r="L903" s="24">
        <v>10.0</v>
      </c>
      <c r="M903" s="24" t="str">
        <f>IFERROR(VLOOKUP(D903,'Chủ đề bài nguồn'!$A$2:$C$735,3,0),"Khác")</f>
        <v>Đầu tư, CCTG, trái phiếu, vàng</v>
      </c>
      <c r="N903" s="24"/>
    </row>
    <row r="904">
      <c r="A904" s="15">
        <v>902.0</v>
      </c>
      <c r="B904" s="16" t="s">
        <v>949</v>
      </c>
      <c r="C904" s="18" t="s">
        <v>3485</v>
      </c>
      <c r="D904" s="16" t="s">
        <v>1435</v>
      </c>
      <c r="E904" s="16" t="s">
        <v>4325</v>
      </c>
      <c r="F904" s="16" t="s">
        <v>4326</v>
      </c>
      <c r="G904" s="16" t="s">
        <v>4307</v>
      </c>
      <c r="H904" s="20" t="s">
        <v>69</v>
      </c>
      <c r="I904" s="21" t="s">
        <v>70</v>
      </c>
      <c r="J904" s="22" t="s">
        <v>71</v>
      </c>
      <c r="K904" s="23">
        <v>36.0</v>
      </c>
      <c r="L904" s="24">
        <v>10.0</v>
      </c>
      <c r="M904" s="24" t="str">
        <f>IFERROR(VLOOKUP(D904,'Chủ đề bài nguồn'!$A$2:$C$735,3,0),"Khác")</f>
        <v>Đầu tư, CCTG, trái phiếu, vàng</v>
      </c>
      <c r="N904" s="24"/>
    </row>
    <row r="905">
      <c r="A905" s="15">
        <v>903.0</v>
      </c>
      <c r="B905" s="16" t="s">
        <v>949</v>
      </c>
      <c r="C905" s="18" t="s">
        <v>3485</v>
      </c>
      <c r="D905" s="16" t="s">
        <v>3013</v>
      </c>
      <c r="E905" s="16" t="s">
        <v>4328</v>
      </c>
      <c r="F905" s="16" t="s">
        <v>4329</v>
      </c>
      <c r="G905" s="16" t="s">
        <v>4307</v>
      </c>
      <c r="H905" s="20" t="s">
        <v>69</v>
      </c>
      <c r="I905" s="21" t="s">
        <v>70</v>
      </c>
      <c r="J905" s="22" t="s">
        <v>71</v>
      </c>
      <c r="K905" s="23">
        <v>36.0</v>
      </c>
      <c r="L905" s="24">
        <v>10.0</v>
      </c>
      <c r="M905" s="24" t="str">
        <f>IFERROR(VLOOKUP(D905,'Chủ đề bài nguồn'!$A$2:$C$735,3,0),"Khác")</f>
        <v>Tiết kiệm &amp; lãi suất tiền gửi</v>
      </c>
      <c r="N905" s="24"/>
    </row>
    <row r="906">
      <c r="A906" s="15">
        <v>904.0</v>
      </c>
      <c r="B906" s="16" t="s">
        <v>949</v>
      </c>
      <c r="C906" s="18" t="s">
        <v>3485</v>
      </c>
      <c r="D906" s="16" t="s">
        <v>985</v>
      </c>
      <c r="E906" s="16" t="s">
        <v>4330</v>
      </c>
      <c r="F906" s="16" t="s">
        <v>4331</v>
      </c>
      <c r="G906" s="16" t="s">
        <v>4307</v>
      </c>
      <c r="H906" s="20" t="s">
        <v>69</v>
      </c>
      <c r="I906" s="21" t="s">
        <v>70</v>
      </c>
      <c r="J906" s="22" t="s">
        <v>71</v>
      </c>
      <c r="K906" s="23">
        <v>36.0</v>
      </c>
      <c r="L906" s="24">
        <v>10.0</v>
      </c>
      <c r="M906" s="24" t="str">
        <f>IFERROR(VLOOKUP(D906,'Chủ đề bài nguồn'!$A$2:$C$735,3,0),"Khác")</f>
        <v>Quản lý tài chính cá nhân</v>
      </c>
      <c r="N906" s="24"/>
    </row>
    <row r="907">
      <c r="A907" s="15">
        <v>905.0</v>
      </c>
      <c r="B907" s="16" t="s">
        <v>949</v>
      </c>
      <c r="C907" s="18" t="s">
        <v>3485</v>
      </c>
      <c r="D907" s="16" t="s">
        <v>2959</v>
      </c>
      <c r="E907" s="16" t="s">
        <v>4332</v>
      </c>
      <c r="F907" s="16" t="s">
        <v>4333</v>
      </c>
      <c r="G907" s="16" t="s">
        <v>4307</v>
      </c>
      <c r="H907" s="20" t="s">
        <v>69</v>
      </c>
      <c r="I907" s="21" t="s">
        <v>70</v>
      </c>
      <c r="J907" s="22" t="s">
        <v>4334</v>
      </c>
      <c r="K907" s="23">
        <v>36.0</v>
      </c>
      <c r="L907" s="24">
        <v>10.0</v>
      </c>
      <c r="M907" s="24" t="str">
        <f>IFERROR(VLOOKUP(D907,'Chủ đề bài nguồn'!$A$2:$C$735,3,0),"Khác")</f>
        <v>Đầu tư, CCTG, trái phiếu, vàng</v>
      </c>
      <c r="N907" s="24"/>
    </row>
    <row r="908">
      <c r="A908" s="15">
        <v>906.0</v>
      </c>
      <c r="B908" s="16" t="s">
        <v>949</v>
      </c>
      <c r="C908" s="18" t="s">
        <v>3485</v>
      </c>
      <c r="D908" s="16" t="s">
        <v>1529</v>
      </c>
      <c r="E908" s="16" t="s">
        <v>4335</v>
      </c>
      <c r="F908" s="16" t="s">
        <v>4337</v>
      </c>
      <c r="G908" s="16" t="s">
        <v>4307</v>
      </c>
      <c r="H908" s="20" t="s">
        <v>69</v>
      </c>
      <c r="I908" s="21" t="s">
        <v>70</v>
      </c>
      <c r="J908" s="22" t="s">
        <v>71</v>
      </c>
      <c r="K908" s="23">
        <v>36.0</v>
      </c>
      <c r="L908" s="24">
        <v>10.0</v>
      </c>
      <c r="M908" s="24" t="str">
        <f>IFERROR(VLOOKUP(D908,'Chủ đề bài nguồn'!$A$2:$C$735,3,0),"Khác")</f>
        <v>Đầu tư, CCTG, trái phiếu, vàng</v>
      </c>
      <c r="N908" s="24"/>
    </row>
    <row r="909">
      <c r="A909" s="15">
        <v>907.0</v>
      </c>
      <c r="B909" s="16" t="s">
        <v>949</v>
      </c>
      <c r="C909" s="18" t="s">
        <v>3485</v>
      </c>
      <c r="D909" s="16" t="s">
        <v>1276</v>
      </c>
      <c r="E909" s="16" t="s">
        <v>2385</v>
      </c>
      <c r="F909" s="16" t="s">
        <v>4338</v>
      </c>
      <c r="G909" s="16" t="s">
        <v>4307</v>
      </c>
      <c r="H909" s="20" t="s">
        <v>69</v>
      </c>
      <c r="I909" s="21" t="s">
        <v>70</v>
      </c>
      <c r="J909" s="22" t="s">
        <v>71</v>
      </c>
      <c r="K909" s="23">
        <v>36.0</v>
      </c>
      <c r="L909" s="24">
        <v>10.0</v>
      </c>
      <c r="M909" s="24" t="str">
        <f>IFERROR(VLOOKUP(D909,'Chủ đề bài nguồn'!$A$2:$C$735,3,0),"Khác")</f>
        <v>Tài khoản &amp; ngân hàng số</v>
      </c>
      <c r="N909" s="24"/>
    </row>
    <row r="910">
      <c r="A910" s="15">
        <v>908.0</v>
      </c>
      <c r="B910" s="16" t="s">
        <v>949</v>
      </c>
      <c r="C910" s="18" t="s">
        <v>3485</v>
      </c>
      <c r="D910" s="16" t="s">
        <v>2864</v>
      </c>
      <c r="E910" s="16" t="s">
        <v>4339</v>
      </c>
      <c r="F910" s="16" t="s">
        <v>4340</v>
      </c>
      <c r="G910" s="16" t="s">
        <v>4307</v>
      </c>
      <c r="H910" s="20" t="s">
        <v>69</v>
      </c>
      <c r="I910" s="21" t="s">
        <v>70</v>
      </c>
      <c r="J910" s="22" t="s">
        <v>71</v>
      </c>
      <c r="K910" s="23">
        <v>36.0</v>
      </c>
      <c r="L910" s="24">
        <v>10.0</v>
      </c>
      <c r="M910" s="24" t="str">
        <f>IFERROR(VLOOKUP(D910,'Chủ đề bài nguồn'!$A$2:$C$735,3,0),"Khác")</f>
        <v>Tiết kiệm &amp; lãi suất tiền gửi</v>
      </c>
      <c r="N910" s="24"/>
    </row>
    <row r="911">
      <c r="A911" s="15">
        <v>909.0</v>
      </c>
      <c r="B911" s="16" t="s">
        <v>949</v>
      </c>
      <c r="C911" s="18" t="s">
        <v>3485</v>
      </c>
      <c r="D911" s="16" t="s">
        <v>3137</v>
      </c>
      <c r="E911" s="16" t="s">
        <v>4343</v>
      </c>
      <c r="F911" s="16" t="s">
        <v>4344</v>
      </c>
      <c r="G911" s="16" t="s">
        <v>4307</v>
      </c>
      <c r="H911" s="20" t="s">
        <v>69</v>
      </c>
      <c r="I911" s="21" t="s">
        <v>70</v>
      </c>
      <c r="J911" s="22" t="s">
        <v>71</v>
      </c>
      <c r="K911" s="23">
        <v>36.0</v>
      </c>
      <c r="L911" s="24">
        <v>10.0</v>
      </c>
      <c r="M911" s="24" t="str">
        <f>IFERROR(VLOOKUP(D911,'Chủ đề bài nguồn'!$A$2:$C$735,3,0),"Khác")</f>
        <v>Đầu tư, CCTG, trái phiếu, vàng</v>
      </c>
      <c r="N911" s="24"/>
    </row>
    <row r="912">
      <c r="A912" s="15">
        <v>910.0</v>
      </c>
      <c r="B912" s="16" t="s">
        <v>949</v>
      </c>
      <c r="C912" s="18" t="s">
        <v>3485</v>
      </c>
      <c r="D912" s="16" t="s">
        <v>2764</v>
      </c>
      <c r="E912" s="16" t="s">
        <v>4346</v>
      </c>
      <c r="F912" s="16" t="s">
        <v>4347</v>
      </c>
      <c r="G912" s="16" t="s">
        <v>4348</v>
      </c>
      <c r="H912" s="20" t="s">
        <v>69</v>
      </c>
      <c r="I912" s="21" t="s">
        <v>70</v>
      </c>
      <c r="J912" s="22" t="s">
        <v>4349</v>
      </c>
      <c r="K912" s="23">
        <v>36.0</v>
      </c>
      <c r="L912" s="24">
        <v>11.0</v>
      </c>
      <c r="M912" s="24" t="str">
        <f>IFERROR(VLOOKUP(D912,'Chủ đề bài nguồn'!$A$2:$C$735,3,0),"Khác")</f>
        <v>Đầu tư, CCTG, trái phiếu, vàng</v>
      </c>
      <c r="N912" s="24"/>
    </row>
    <row r="913">
      <c r="A913" s="15">
        <v>911.0</v>
      </c>
      <c r="B913" s="16" t="s">
        <v>949</v>
      </c>
      <c r="C913" s="18" t="s">
        <v>3485</v>
      </c>
      <c r="D913" s="16" t="s">
        <v>2796</v>
      </c>
      <c r="E913" s="16" t="s">
        <v>4351</v>
      </c>
      <c r="F913" s="16" t="s">
        <v>4353</v>
      </c>
      <c r="G913" s="16" t="s">
        <v>4307</v>
      </c>
      <c r="H913" s="20" t="s">
        <v>155</v>
      </c>
      <c r="I913" s="21" t="s">
        <v>70</v>
      </c>
      <c r="J913" s="22" t="s">
        <v>71</v>
      </c>
      <c r="K913" s="23">
        <v>36.0</v>
      </c>
      <c r="L913" s="24">
        <v>20.0</v>
      </c>
      <c r="M913" s="24" t="str">
        <f>IFERROR(VLOOKUP(D913,'Chủ đề bài nguồn'!$A$2:$C$735,3,0),"Khác")</f>
        <v>Đầu tư, CCTG, trái phiếu, vàng</v>
      </c>
      <c r="N913" s="24"/>
    </row>
    <row r="914">
      <c r="A914" s="15">
        <v>912.0</v>
      </c>
      <c r="B914" s="16" t="s">
        <v>949</v>
      </c>
      <c r="C914" s="18" t="s">
        <v>3485</v>
      </c>
      <c r="D914" s="16" t="s">
        <v>961</v>
      </c>
      <c r="E914" s="16" t="s">
        <v>1937</v>
      </c>
      <c r="F914" s="16" t="s">
        <v>4310</v>
      </c>
      <c r="G914" s="16" t="s">
        <v>4311</v>
      </c>
      <c r="H914" s="20" t="s">
        <v>155</v>
      </c>
      <c r="I914" s="21" t="s">
        <v>70</v>
      </c>
      <c r="J914" s="22" t="s">
        <v>4354</v>
      </c>
      <c r="K914" s="23">
        <v>36.0</v>
      </c>
      <c r="L914" s="24">
        <v>20.0</v>
      </c>
      <c r="M914" s="24" t="str">
        <f>IFERROR(VLOOKUP(D914,'Chủ đề bài nguồn'!$A$2:$C$735,3,0),"Khác")</f>
        <v>Đầu tư, CCTG, trái phiếu, vàng</v>
      </c>
      <c r="N914" s="24"/>
    </row>
    <row r="915">
      <c r="A915" s="15">
        <v>913.0</v>
      </c>
      <c r="B915" s="39" t="s">
        <v>949</v>
      </c>
      <c r="C915" s="18" t="s">
        <v>3485</v>
      </c>
      <c r="D915" s="39" t="s">
        <v>1516</v>
      </c>
      <c r="E915" s="16" t="s">
        <v>4357</v>
      </c>
      <c r="F915" s="16" t="s">
        <v>4358</v>
      </c>
      <c r="G915" s="16" t="s">
        <v>4311</v>
      </c>
      <c r="H915" s="20" t="s">
        <v>155</v>
      </c>
      <c r="I915" s="21" t="s">
        <v>70</v>
      </c>
      <c r="J915" s="22" t="s">
        <v>4359</v>
      </c>
      <c r="K915" s="23">
        <v>36.0</v>
      </c>
      <c r="L915" s="24">
        <v>20.0</v>
      </c>
      <c r="M915" s="24" t="str">
        <f>IFERROR(VLOOKUP(D915,'Chủ đề bài nguồn'!$A$2:$C$735,3,0),"Khác")</f>
        <v>Tài khoản &amp; ngân hàng số</v>
      </c>
      <c r="N915" s="24"/>
    </row>
    <row r="916">
      <c r="A916" s="15">
        <v>914.0</v>
      </c>
      <c r="B916" s="16" t="s">
        <v>949</v>
      </c>
      <c r="C916" s="18" t="s">
        <v>3485</v>
      </c>
      <c r="D916" s="16" t="s">
        <v>3131</v>
      </c>
      <c r="E916" s="16" t="s">
        <v>4361</v>
      </c>
      <c r="F916" s="16" t="s">
        <v>4362</v>
      </c>
      <c r="G916" s="16" t="s">
        <v>4307</v>
      </c>
      <c r="H916" s="20" t="s">
        <v>155</v>
      </c>
      <c r="I916" s="21" t="s">
        <v>70</v>
      </c>
      <c r="J916" s="22" t="s">
        <v>4363</v>
      </c>
      <c r="K916" s="23">
        <v>36.0</v>
      </c>
      <c r="L916" s="24">
        <v>20.0</v>
      </c>
      <c r="M916" s="24" t="str">
        <f>IFERROR(VLOOKUP(D916,'Chủ đề bài nguồn'!$A$2:$C$735,3,0),"Khác")</f>
        <v>Tiết kiệm &amp; lãi suất tiền gửi</v>
      </c>
      <c r="N916" s="24"/>
    </row>
    <row r="917">
      <c r="A917" s="15">
        <v>915.0</v>
      </c>
      <c r="B917" s="16" t="s">
        <v>949</v>
      </c>
      <c r="C917" s="18" t="s">
        <v>3485</v>
      </c>
      <c r="D917" s="16" t="s">
        <v>3094</v>
      </c>
      <c r="E917" s="16" t="s">
        <v>4364</v>
      </c>
      <c r="F917" s="16" t="s">
        <v>4365</v>
      </c>
      <c r="G917" s="16" t="s">
        <v>4311</v>
      </c>
      <c r="H917" s="20" t="s">
        <v>155</v>
      </c>
      <c r="I917" s="21" t="s">
        <v>70</v>
      </c>
      <c r="J917" s="22" t="s">
        <v>4366</v>
      </c>
      <c r="K917" s="23">
        <v>36.0</v>
      </c>
      <c r="L917" s="24">
        <v>20.0</v>
      </c>
      <c r="M917" s="24" t="str">
        <f>IFERROR(VLOOKUP(D917,'Chủ đề bài nguồn'!$A$2:$C$735,3,0),"Khác")</f>
        <v>Tiết kiệm &amp; lãi suất tiền gửi</v>
      </c>
      <c r="N917" s="24"/>
    </row>
    <row r="918">
      <c r="A918" s="15">
        <v>916.0</v>
      </c>
      <c r="B918" s="39" t="s">
        <v>949</v>
      </c>
      <c r="C918" s="18" t="s">
        <v>3485</v>
      </c>
      <c r="D918" s="39" t="s">
        <v>1242</v>
      </c>
      <c r="E918" s="16" t="s">
        <v>4369</v>
      </c>
      <c r="F918" s="16" t="s">
        <v>4370</v>
      </c>
      <c r="G918" s="16" t="s">
        <v>4371</v>
      </c>
      <c r="H918" s="20" t="s">
        <v>155</v>
      </c>
      <c r="I918" s="21" t="s">
        <v>70</v>
      </c>
      <c r="J918" s="22" t="s">
        <v>4372</v>
      </c>
      <c r="K918" s="23">
        <v>36.0</v>
      </c>
      <c r="L918" s="24">
        <v>21.0</v>
      </c>
      <c r="M918" s="24" t="str">
        <f>IFERROR(VLOOKUP(D918,'Chủ đề bài nguồn'!$A$2:$C$735,3,0),"Khác")</f>
        <v>Tài khoản &amp; ngân hàng số</v>
      </c>
      <c r="N918" s="24"/>
    </row>
    <row r="919">
      <c r="A919" s="15">
        <v>917.0</v>
      </c>
      <c r="B919" s="16" t="s">
        <v>949</v>
      </c>
      <c r="C919" s="18" t="s">
        <v>1572</v>
      </c>
      <c r="D919" s="16" t="s">
        <v>2877</v>
      </c>
      <c r="E919" s="16" t="s">
        <v>4373</v>
      </c>
      <c r="F919" s="16" t="s">
        <v>4374</v>
      </c>
      <c r="G919" s="16" t="s">
        <v>4375</v>
      </c>
      <c r="H919" s="20" t="s">
        <v>155</v>
      </c>
      <c r="I919" s="21" t="s">
        <v>70</v>
      </c>
      <c r="J919" s="22" t="s">
        <v>71</v>
      </c>
      <c r="K919" s="23">
        <v>36.0</v>
      </c>
      <c r="L919" s="24">
        <v>21.0</v>
      </c>
      <c r="M919" s="24" t="str">
        <f>IFERROR(VLOOKUP(D919,'Chủ đề bài nguồn'!$A$2:$C$735,3,0),"Khác")</f>
        <v>Đầu tư, CCTG, trái phiếu, vàng</v>
      </c>
      <c r="N919" s="24"/>
    </row>
    <row r="920">
      <c r="A920" s="15">
        <v>918.0</v>
      </c>
      <c r="B920" s="16" t="s">
        <v>949</v>
      </c>
      <c r="C920" s="18" t="s">
        <v>3485</v>
      </c>
      <c r="D920" s="16" t="s">
        <v>3180</v>
      </c>
      <c r="E920" s="16" t="s">
        <v>3856</v>
      </c>
      <c r="F920" s="16" t="s">
        <v>4377</v>
      </c>
      <c r="G920" s="16" t="s">
        <v>4307</v>
      </c>
      <c r="H920" s="20" t="s">
        <v>229</v>
      </c>
      <c r="I920" s="21" t="s">
        <v>70</v>
      </c>
      <c r="J920" s="22" t="s">
        <v>4378</v>
      </c>
      <c r="K920" s="23">
        <v>36.0</v>
      </c>
      <c r="L920" s="24">
        <v>30.0</v>
      </c>
      <c r="M920" s="24" t="str">
        <f>IFERROR(VLOOKUP(D920,'Chủ đề bài nguồn'!$A$2:$C$735,3,0),"Khác")</f>
        <v>Thẻ ATM &amp; thẻ ghi nợ</v>
      </c>
      <c r="N920" s="24"/>
    </row>
    <row r="921">
      <c r="A921" s="15">
        <v>919.0</v>
      </c>
      <c r="B921" s="16" t="s">
        <v>949</v>
      </c>
      <c r="C921" s="18" t="s">
        <v>3485</v>
      </c>
      <c r="D921" s="16" t="s">
        <v>1889</v>
      </c>
      <c r="E921" s="16" t="s">
        <v>1890</v>
      </c>
      <c r="F921" s="16" t="s">
        <v>4381</v>
      </c>
      <c r="G921" s="16" t="s">
        <v>4307</v>
      </c>
      <c r="H921" s="20" t="s">
        <v>229</v>
      </c>
      <c r="I921" s="21" t="s">
        <v>70</v>
      </c>
      <c r="J921" s="22" t="s">
        <v>4382</v>
      </c>
      <c r="K921" s="23">
        <v>36.0</v>
      </c>
      <c r="L921" s="24">
        <v>30.0</v>
      </c>
      <c r="M921" s="24" t="str">
        <f>IFERROR(VLOOKUP(D921,'Chủ đề bài nguồn'!$A$2:$C$735,3,0),"Khác")</f>
        <v>Tiết kiệm &amp; lãi suất tiền gửi</v>
      </c>
      <c r="N921" s="24"/>
    </row>
    <row r="922">
      <c r="A922" s="15">
        <v>920.0</v>
      </c>
      <c r="B922" s="16" t="s">
        <v>949</v>
      </c>
      <c r="C922" s="18" t="s">
        <v>3485</v>
      </c>
      <c r="D922" s="16" t="s">
        <v>1847</v>
      </c>
      <c r="E922" s="16" t="s">
        <v>1848</v>
      </c>
      <c r="F922" s="16" t="s">
        <v>4384</v>
      </c>
      <c r="G922" s="16" t="s">
        <v>4385</v>
      </c>
      <c r="H922" s="20" t="s">
        <v>229</v>
      </c>
      <c r="I922" s="21" t="s">
        <v>70</v>
      </c>
      <c r="J922" s="22" t="s">
        <v>71</v>
      </c>
      <c r="K922" s="23">
        <v>36.0</v>
      </c>
      <c r="L922" s="24">
        <v>31.0</v>
      </c>
      <c r="M922" s="24" t="str">
        <f>IFERROR(VLOOKUP(D922,'Chủ đề bài nguồn'!$A$2:$C$735,3,0),"Khác")</f>
        <v>Tài khoản &amp; ngân hàng số</v>
      </c>
      <c r="N922" s="24"/>
    </row>
    <row r="923">
      <c r="A923" s="15">
        <v>921.0</v>
      </c>
      <c r="B923" s="16" t="s">
        <v>949</v>
      </c>
      <c r="C923" s="18" t="s">
        <v>1572</v>
      </c>
      <c r="D923" s="16" t="s">
        <v>3040</v>
      </c>
      <c r="E923" s="16" t="s">
        <v>4387</v>
      </c>
      <c r="F923" s="16" t="s">
        <v>4388</v>
      </c>
      <c r="G923" s="16" t="s">
        <v>4389</v>
      </c>
      <c r="H923" s="20" t="s">
        <v>229</v>
      </c>
      <c r="I923" s="21" t="s">
        <v>70</v>
      </c>
      <c r="J923" s="22" t="s">
        <v>71</v>
      </c>
      <c r="K923" s="23">
        <v>36.0</v>
      </c>
      <c r="L923" s="24">
        <v>31.0</v>
      </c>
      <c r="M923" s="24" t="str">
        <f>IFERROR(VLOOKUP(D923,'Chủ đề bài nguồn'!$A$2:$C$735,3,0),"Khác")</f>
        <v>Tiết kiệm &amp; lãi suất tiền gửi</v>
      </c>
      <c r="N923" s="24"/>
    </row>
    <row r="924">
      <c r="A924" s="15">
        <v>922.0</v>
      </c>
      <c r="B924" s="16" t="s">
        <v>949</v>
      </c>
      <c r="C924" s="18" t="s">
        <v>1572</v>
      </c>
      <c r="D924" s="16" t="s">
        <v>2867</v>
      </c>
      <c r="E924" s="16" t="s">
        <v>4391</v>
      </c>
      <c r="F924" s="16" t="s">
        <v>4392</v>
      </c>
      <c r="G924" s="16" t="s">
        <v>4393</v>
      </c>
      <c r="H924" s="20" t="s">
        <v>229</v>
      </c>
      <c r="I924" s="21" t="s">
        <v>70</v>
      </c>
      <c r="J924" s="22" t="s">
        <v>4395</v>
      </c>
      <c r="K924" s="23">
        <v>36.0</v>
      </c>
      <c r="L924" s="24">
        <v>31.0</v>
      </c>
      <c r="M924" s="24" t="str">
        <f>IFERROR(VLOOKUP(D924,'Chủ đề bài nguồn'!$A$2:$C$735,3,0),"Khác")</f>
        <v>Tiết kiệm &amp; lãi suất tiền gửi</v>
      </c>
      <c r="N924" s="24"/>
    </row>
    <row r="925">
      <c r="A925" s="15">
        <v>923.0</v>
      </c>
      <c r="B925" s="16" t="s">
        <v>949</v>
      </c>
      <c r="C925" s="18" t="s">
        <v>1572</v>
      </c>
      <c r="D925" s="16" t="s">
        <v>2833</v>
      </c>
      <c r="E925" s="16" t="s">
        <v>710</v>
      </c>
      <c r="F925" s="16" t="s">
        <v>4397</v>
      </c>
      <c r="G925" s="16" t="s">
        <v>4399</v>
      </c>
      <c r="H925" s="20" t="s">
        <v>229</v>
      </c>
      <c r="I925" s="21" t="s">
        <v>70</v>
      </c>
      <c r="J925" s="22" t="s">
        <v>71</v>
      </c>
      <c r="K925" s="23">
        <v>36.0</v>
      </c>
      <c r="L925" s="24">
        <v>31.0</v>
      </c>
      <c r="M925" s="24" t="str">
        <f>IFERROR(VLOOKUP(D925,'Chủ đề bài nguồn'!$A$2:$C$735,3,0),"Khác")</f>
        <v>Doanh nghiệp (tài khoản, vay, tài chính)</v>
      </c>
      <c r="N925" s="24"/>
    </row>
    <row r="926">
      <c r="A926" s="15">
        <v>924.0</v>
      </c>
      <c r="B926" s="16" t="s">
        <v>961</v>
      </c>
      <c r="C926" s="18" t="s">
        <v>3513</v>
      </c>
      <c r="D926" s="16" t="s">
        <v>3137</v>
      </c>
      <c r="E926" s="16" t="s">
        <v>4343</v>
      </c>
      <c r="F926" s="16" t="s">
        <v>4400</v>
      </c>
      <c r="G926" s="16" t="s">
        <v>4401</v>
      </c>
      <c r="H926" s="20" t="s">
        <v>69</v>
      </c>
      <c r="I926" s="21" t="s">
        <v>70</v>
      </c>
      <c r="J926" s="22" t="s">
        <v>71</v>
      </c>
      <c r="K926" s="23">
        <v>37.0</v>
      </c>
      <c r="L926" s="24">
        <v>10.0</v>
      </c>
      <c r="M926" s="24" t="str">
        <f>IFERROR(VLOOKUP(D926,'Chủ đề bài nguồn'!$A$2:$C$735,3,0),"Khác")</f>
        <v>Đầu tư, CCTG, trái phiếu, vàng</v>
      </c>
      <c r="N926" s="24"/>
    </row>
    <row r="927">
      <c r="A927" s="15">
        <v>925.0</v>
      </c>
      <c r="B927" s="16" t="s">
        <v>961</v>
      </c>
      <c r="C927" s="18" t="s">
        <v>3518</v>
      </c>
      <c r="D927" s="16" t="s">
        <v>2425</v>
      </c>
      <c r="E927" s="16" t="s">
        <v>4402</v>
      </c>
      <c r="F927" s="16" t="s">
        <v>4403</v>
      </c>
      <c r="G927" s="16" t="s">
        <v>4404</v>
      </c>
      <c r="H927" s="20" t="s">
        <v>69</v>
      </c>
      <c r="I927" s="21" t="s">
        <v>70</v>
      </c>
      <c r="J927" s="22" t="s">
        <v>71</v>
      </c>
      <c r="K927" s="23">
        <v>37.0</v>
      </c>
      <c r="L927" s="24">
        <v>10.0</v>
      </c>
      <c r="M927" s="24" t="str">
        <f>IFERROR(VLOOKUP(D927,'Chủ đề bài nguồn'!$A$2:$C$735,3,0),"Khác")</f>
        <v>Doanh nghiệp (tài khoản, vay, tài chính)</v>
      </c>
      <c r="N927" s="24"/>
    </row>
    <row r="928">
      <c r="A928" s="15">
        <v>926.0</v>
      </c>
      <c r="B928" s="16" t="s">
        <v>961</v>
      </c>
      <c r="C928" s="18" t="s">
        <v>3513</v>
      </c>
      <c r="D928" s="16" t="s">
        <v>2768</v>
      </c>
      <c r="E928" s="16" t="s">
        <v>4406</v>
      </c>
      <c r="F928" s="16" t="s">
        <v>4407</v>
      </c>
      <c r="G928" s="16" t="s">
        <v>4408</v>
      </c>
      <c r="H928" s="20" t="s">
        <v>69</v>
      </c>
      <c r="I928" s="21" t="s">
        <v>70</v>
      </c>
      <c r="J928" s="22" t="s">
        <v>71</v>
      </c>
      <c r="K928" s="23">
        <v>37.0</v>
      </c>
      <c r="L928" s="24">
        <v>11.0</v>
      </c>
      <c r="M928" s="24" t="str">
        <f>IFERROR(VLOOKUP(D928,'Chủ đề bài nguồn'!$A$2:$C$735,3,0),"Khác")</f>
        <v>Đầu tư, CCTG, trái phiếu, vàng</v>
      </c>
      <c r="N928" s="24"/>
    </row>
    <row r="929">
      <c r="A929" s="15">
        <v>927.0</v>
      </c>
      <c r="B929" s="16" t="s">
        <v>961</v>
      </c>
      <c r="C929" s="18" t="s">
        <v>1601</v>
      </c>
      <c r="D929" s="16" t="s">
        <v>949</v>
      </c>
      <c r="E929" s="16" t="s">
        <v>4409</v>
      </c>
      <c r="F929" s="16" t="s">
        <v>4410</v>
      </c>
      <c r="G929" s="16" t="s">
        <v>4411</v>
      </c>
      <c r="H929" s="20" t="s">
        <v>69</v>
      </c>
      <c r="I929" s="21" t="s">
        <v>70</v>
      </c>
      <c r="J929" s="22" t="s">
        <v>71</v>
      </c>
      <c r="K929" s="23">
        <v>37.0</v>
      </c>
      <c r="L929" s="24">
        <v>11.0</v>
      </c>
      <c r="M929" s="24" t="str">
        <f>IFERROR(VLOOKUP(D929,'Chủ đề bài nguồn'!$A$2:$C$735,3,0),"Khác")</f>
        <v>Đầu tư, CCTG, trái phiếu, vàng</v>
      </c>
      <c r="N929" s="24"/>
    </row>
    <row r="930">
      <c r="A930" s="15">
        <v>928.0</v>
      </c>
      <c r="B930" s="16" t="s">
        <v>961</v>
      </c>
      <c r="C930" s="18" t="s">
        <v>1601</v>
      </c>
      <c r="D930" s="16" t="s">
        <v>2770</v>
      </c>
      <c r="E930" s="16" t="s">
        <v>4414</v>
      </c>
      <c r="F930" s="16" t="s">
        <v>4415</v>
      </c>
      <c r="G930" s="16" t="s">
        <v>4416</v>
      </c>
      <c r="H930" s="20" t="s">
        <v>69</v>
      </c>
      <c r="I930" s="21" t="s">
        <v>70</v>
      </c>
      <c r="J930" s="22" t="s">
        <v>71</v>
      </c>
      <c r="K930" s="23">
        <v>37.0</v>
      </c>
      <c r="L930" s="24">
        <v>11.0</v>
      </c>
      <c r="M930" s="24" t="str">
        <f>IFERROR(VLOOKUP(D930,'Chủ đề bài nguồn'!$A$2:$C$735,3,0),"Khác")</f>
        <v>Đầu tư, CCTG, trái phiếu, vàng</v>
      </c>
      <c r="N930" s="24"/>
    </row>
    <row r="931">
      <c r="A931" s="15">
        <v>929.0</v>
      </c>
      <c r="B931" s="39" t="s">
        <v>961</v>
      </c>
      <c r="C931" s="18" t="s">
        <v>1601</v>
      </c>
      <c r="D931" s="39" t="s">
        <v>2058</v>
      </c>
      <c r="E931" s="16" t="s">
        <v>4421</v>
      </c>
      <c r="F931" s="16" t="s">
        <v>4422</v>
      </c>
      <c r="G931" s="16" t="s">
        <v>4423</v>
      </c>
      <c r="H931" s="20" t="s">
        <v>69</v>
      </c>
      <c r="I931" s="21" t="s">
        <v>70</v>
      </c>
      <c r="J931" s="22" t="s">
        <v>71</v>
      </c>
      <c r="K931" s="23">
        <v>37.0</v>
      </c>
      <c r="L931" s="24">
        <v>11.0</v>
      </c>
      <c r="M931" s="24" t="str">
        <f>IFERROR(VLOOKUP(D931,'Chủ đề bài nguồn'!$A$2:$C$735,3,0),"Khác")</f>
        <v>Đầu tư, CCTG, trái phiếu, vàng</v>
      </c>
      <c r="N931" s="24"/>
    </row>
    <row r="932">
      <c r="A932" s="15">
        <v>930.0</v>
      </c>
      <c r="B932" s="16" t="s">
        <v>961</v>
      </c>
      <c r="C932" s="18" t="s">
        <v>3518</v>
      </c>
      <c r="D932" s="16" t="s">
        <v>2796</v>
      </c>
      <c r="E932" s="16" t="s">
        <v>4424</v>
      </c>
      <c r="F932" s="16" t="s">
        <v>4425</v>
      </c>
      <c r="G932" s="16" t="s">
        <v>4426</v>
      </c>
      <c r="H932" s="20" t="s">
        <v>69</v>
      </c>
      <c r="I932" s="21" t="s">
        <v>70</v>
      </c>
      <c r="J932" s="22" t="s">
        <v>71</v>
      </c>
      <c r="K932" s="23">
        <v>37.0</v>
      </c>
      <c r="L932" s="24">
        <v>11.0</v>
      </c>
      <c r="M932" s="24" t="str">
        <f>IFERROR(VLOOKUP(D932,'Chủ đề bài nguồn'!$A$2:$C$735,3,0),"Khác")</f>
        <v>Đầu tư, CCTG, trái phiếu, vàng</v>
      </c>
      <c r="N932" s="24"/>
    </row>
    <row r="933">
      <c r="A933" s="15">
        <v>931.0</v>
      </c>
      <c r="B933" s="16" t="s">
        <v>961</v>
      </c>
      <c r="C933" s="18" t="s">
        <v>3513</v>
      </c>
      <c r="D933" s="16" t="s">
        <v>1525</v>
      </c>
      <c r="E933" s="16" t="s">
        <v>4427</v>
      </c>
      <c r="F933" s="16" t="s">
        <v>4428</v>
      </c>
      <c r="G933" s="16" t="s">
        <v>4429</v>
      </c>
      <c r="H933" s="20" t="s">
        <v>155</v>
      </c>
      <c r="I933" s="21" t="s">
        <v>70</v>
      </c>
      <c r="J933" s="22" t="s">
        <v>71</v>
      </c>
      <c r="K933" s="23">
        <v>37.0</v>
      </c>
      <c r="L933" s="24">
        <v>21.0</v>
      </c>
      <c r="M933" s="24" t="str">
        <f>IFERROR(VLOOKUP(D933,'Chủ đề bài nguồn'!$A$2:$C$735,3,0),"Khác")</f>
        <v>Đầu tư, CCTG, trái phiếu, vàng</v>
      </c>
      <c r="N933" s="24"/>
    </row>
    <row r="934">
      <c r="A934" s="15">
        <v>932.0</v>
      </c>
      <c r="B934" s="16" t="s">
        <v>961</v>
      </c>
      <c r="C934" s="18" t="s">
        <v>3513</v>
      </c>
      <c r="D934" s="16" t="s">
        <v>3095</v>
      </c>
      <c r="E934" s="16" t="s">
        <v>4430</v>
      </c>
      <c r="F934" s="16" t="s">
        <v>4431</v>
      </c>
      <c r="G934" s="16" t="s">
        <v>4432</v>
      </c>
      <c r="H934" s="20" t="s">
        <v>155</v>
      </c>
      <c r="I934" s="21" t="s">
        <v>70</v>
      </c>
      <c r="J934" s="22" t="s">
        <v>4433</v>
      </c>
      <c r="K934" s="23">
        <v>37.0</v>
      </c>
      <c r="L934" s="24">
        <v>21.0</v>
      </c>
      <c r="M934" s="24" t="str">
        <f>IFERROR(VLOOKUP(D934,'Chủ đề bài nguồn'!$A$2:$C$735,3,0),"Khác")</f>
        <v>Doanh nghiệp (tài khoản, vay, tài chính)</v>
      </c>
      <c r="N934" s="24"/>
    </row>
    <row r="935">
      <c r="A935" s="15">
        <v>933.0</v>
      </c>
      <c r="B935" s="16" t="s">
        <v>961</v>
      </c>
      <c r="C935" s="18" t="s">
        <v>3513</v>
      </c>
      <c r="D935" s="16" t="s">
        <v>1521</v>
      </c>
      <c r="E935" s="16" t="s">
        <v>4434</v>
      </c>
      <c r="F935" s="16" t="s">
        <v>4435</v>
      </c>
      <c r="G935" s="16" t="s">
        <v>4436</v>
      </c>
      <c r="H935" s="20" t="s">
        <v>155</v>
      </c>
      <c r="I935" s="21" t="s">
        <v>70</v>
      </c>
      <c r="J935" s="22" t="s">
        <v>71</v>
      </c>
      <c r="K935" s="23">
        <v>37.0</v>
      </c>
      <c r="L935" s="24">
        <v>21.0</v>
      </c>
      <c r="M935" s="24" t="str">
        <f>IFERROR(VLOOKUP(D935,'Chủ đề bài nguồn'!$A$2:$C$735,3,0),"Khác")</f>
        <v>Đầu tư, CCTG, trái phiếu, vàng</v>
      </c>
      <c r="N935" s="24"/>
    </row>
    <row r="936">
      <c r="A936" s="15">
        <v>934.0</v>
      </c>
      <c r="B936" s="39" t="s">
        <v>961</v>
      </c>
      <c r="C936" s="18" t="s">
        <v>3513</v>
      </c>
      <c r="D936" s="39" t="s">
        <v>860</v>
      </c>
      <c r="E936" s="16" t="s">
        <v>4437</v>
      </c>
      <c r="F936" s="16" t="s">
        <v>4438</v>
      </c>
      <c r="G936" s="16" t="s">
        <v>4432</v>
      </c>
      <c r="H936" s="20" t="s">
        <v>155</v>
      </c>
      <c r="I936" s="21" t="s">
        <v>70</v>
      </c>
      <c r="J936" s="22" t="s">
        <v>4433</v>
      </c>
      <c r="K936" s="23">
        <v>37.0</v>
      </c>
      <c r="L936" s="24">
        <v>21.0</v>
      </c>
      <c r="M936" s="24" t="str">
        <f>IFERROR(VLOOKUP(D936,'Chủ đề bài nguồn'!$A$2:$C$735,3,0),"Khác")</f>
        <v>Doanh nghiệp (tài khoản, vay, tài chính)</v>
      </c>
      <c r="N936" s="24"/>
    </row>
    <row r="937">
      <c r="A937" s="15">
        <v>935.0</v>
      </c>
      <c r="B937" s="16" t="s">
        <v>961</v>
      </c>
      <c r="C937" s="18" t="s">
        <v>1601</v>
      </c>
      <c r="D937" s="16" t="s">
        <v>3226</v>
      </c>
      <c r="E937" s="16" t="s">
        <v>4439</v>
      </c>
      <c r="F937" s="16" t="s">
        <v>4440</v>
      </c>
      <c r="G937" s="16" t="s">
        <v>4441</v>
      </c>
      <c r="H937" s="20" t="s">
        <v>155</v>
      </c>
      <c r="I937" s="21" t="s">
        <v>70</v>
      </c>
      <c r="J937" s="22" t="s">
        <v>71</v>
      </c>
      <c r="K937" s="23">
        <v>37.0</v>
      </c>
      <c r="L937" s="24">
        <v>21.0</v>
      </c>
      <c r="M937" s="24" t="str">
        <f>IFERROR(VLOOKUP(D937,'Chủ đề bài nguồn'!$A$2:$C$735,3,0),"Khác")</f>
        <v>Tiết kiệm &amp; lãi suất tiền gửi</v>
      </c>
      <c r="N937" s="24"/>
    </row>
    <row r="938">
      <c r="A938" s="15">
        <v>936.0</v>
      </c>
      <c r="B938" s="16" t="s">
        <v>961</v>
      </c>
      <c r="C938" s="18" t="s">
        <v>3518</v>
      </c>
      <c r="D938" s="16" t="s">
        <v>2764</v>
      </c>
      <c r="E938" s="16" t="s">
        <v>4442</v>
      </c>
      <c r="F938" s="16" t="s">
        <v>4443</v>
      </c>
      <c r="G938" s="16" t="s">
        <v>4444</v>
      </c>
      <c r="H938" s="20" t="s">
        <v>155</v>
      </c>
      <c r="I938" s="21" t="s">
        <v>70</v>
      </c>
      <c r="J938" s="22" t="s">
        <v>71</v>
      </c>
      <c r="K938" s="23">
        <v>37.0</v>
      </c>
      <c r="L938" s="24">
        <v>21.0</v>
      </c>
      <c r="M938" s="24" t="str">
        <f>IFERROR(VLOOKUP(D938,'Chủ đề bài nguồn'!$A$2:$C$735,3,0),"Khác")</f>
        <v>Đầu tư, CCTG, trái phiếu, vàng</v>
      </c>
      <c r="N938" s="24"/>
    </row>
    <row r="939">
      <c r="A939" s="15">
        <v>937.0</v>
      </c>
      <c r="B939" s="16" t="s">
        <v>961</v>
      </c>
      <c r="C939" s="18" t="s">
        <v>3518</v>
      </c>
      <c r="D939" s="16" t="s">
        <v>3235</v>
      </c>
      <c r="E939" s="16" t="s">
        <v>4445</v>
      </c>
      <c r="F939" s="16" t="s">
        <v>4446</v>
      </c>
      <c r="G939" s="16" t="s">
        <v>4447</v>
      </c>
      <c r="H939" s="20" t="s">
        <v>155</v>
      </c>
      <c r="I939" s="21" t="s">
        <v>70</v>
      </c>
      <c r="J939" s="22" t="s">
        <v>2136</v>
      </c>
      <c r="K939" s="23">
        <v>37.0</v>
      </c>
      <c r="L939" s="24">
        <v>21.0</v>
      </c>
      <c r="M939" s="24" t="str">
        <f>IFERROR(VLOOKUP(D939,'Chủ đề bài nguồn'!$A$2:$C$735,3,0),"Khác")</f>
        <v>Tiết kiệm &amp; lãi suất tiền gửi</v>
      </c>
      <c r="N939" s="24"/>
    </row>
    <row r="940">
      <c r="A940" s="15">
        <v>938.0</v>
      </c>
      <c r="B940" s="16" t="s">
        <v>961</v>
      </c>
      <c r="C940" s="18" t="s">
        <v>3518</v>
      </c>
      <c r="D940" s="16" t="s">
        <v>3051</v>
      </c>
      <c r="E940" s="16" t="s">
        <v>4315</v>
      </c>
      <c r="F940" s="16" t="s">
        <v>4448</v>
      </c>
      <c r="G940" s="16" t="s">
        <v>4449</v>
      </c>
      <c r="H940" s="20" t="s">
        <v>155</v>
      </c>
      <c r="I940" s="21" t="s">
        <v>70</v>
      </c>
      <c r="J940" s="22" t="s">
        <v>71</v>
      </c>
      <c r="K940" s="23">
        <v>37.0</v>
      </c>
      <c r="L940" s="24">
        <v>21.0</v>
      </c>
      <c r="M940" s="24" t="str">
        <f>IFERROR(VLOOKUP(D940,'Chủ đề bài nguồn'!$A$2:$C$735,3,0),"Khác")</f>
        <v>Ngoại tệ &amp; chuyển tiền quốc tế</v>
      </c>
      <c r="N940" s="24"/>
    </row>
    <row r="941">
      <c r="A941" s="15">
        <v>939.0</v>
      </c>
      <c r="B941" s="16" t="s">
        <v>961</v>
      </c>
      <c r="C941" s="18" t="s">
        <v>3518</v>
      </c>
      <c r="D941" s="16" t="s">
        <v>3142</v>
      </c>
      <c r="E941" s="16" t="s">
        <v>4450</v>
      </c>
      <c r="F941" s="16" t="s">
        <v>4451</v>
      </c>
      <c r="G941" s="16" t="s">
        <v>4452</v>
      </c>
      <c r="H941" s="20" t="s">
        <v>155</v>
      </c>
      <c r="I941" s="21" t="s">
        <v>70</v>
      </c>
      <c r="J941" s="22" t="s">
        <v>71</v>
      </c>
      <c r="K941" s="23">
        <v>37.0</v>
      </c>
      <c r="L941" s="24">
        <v>21.0</v>
      </c>
      <c r="M941" s="24" t="str">
        <f>IFERROR(VLOOKUP(D941,'Chủ đề bài nguồn'!$A$2:$C$735,3,0),"Khác")</f>
        <v>Đầu tư, CCTG, trái phiếu, vàng</v>
      </c>
      <c r="N941" s="24"/>
    </row>
    <row r="942">
      <c r="A942" s="15">
        <v>940.0</v>
      </c>
      <c r="B942" s="39" t="s">
        <v>961</v>
      </c>
      <c r="C942" s="18" t="s">
        <v>3518</v>
      </c>
      <c r="D942" s="39" t="s">
        <v>1906</v>
      </c>
      <c r="E942" s="16" t="s">
        <v>4453</v>
      </c>
      <c r="F942" s="16" t="s">
        <v>4454</v>
      </c>
      <c r="G942" s="16" t="s">
        <v>4455</v>
      </c>
      <c r="H942" s="20" t="s">
        <v>155</v>
      </c>
      <c r="I942" s="21" t="s">
        <v>70</v>
      </c>
      <c r="J942" s="22" t="s">
        <v>71</v>
      </c>
      <c r="K942" s="23">
        <v>37.0</v>
      </c>
      <c r="L942" s="24">
        <v>21.0</v>
      </c>
      <c r="M942" s="24" t="str">
        <f>IFERROR(VLOOKUP(D942,'Chủ đề bài nguồn'!$A$2:$C$735,3,0),"Khác")</f>
        <v>Thẻ ATM &amp; thẻ ghi nợ</v>
      </c>
      <c r="N942" s="24"/>
    </row>
    <row r="943">
      <c r="A943" s="15">
        <v>941.0</v>
      </c>
      <c r="B943" s="16" t="s">
        <v>961</v>
      </c>
      <c r="C943" s="18" t="s">
        <v>3513</v>
      </c>
      <c r="D943" s="16" t="s">
        <v>2833</v>
      </c>
      <c r="E943" s="16" t="s">
        <v>710</v>
      </c>
      <c r="F943" s="16" t="s">
        <v>4456</v>
      </c>
      <c r="G943" s="16" t="s">
        <v>4457</v>
      </c>
      <c r="H943" s="20" t="s">
        <v>229</v>
      </c>
      <c r="I943" s="21" t="s">
        <v>70</v>
      </c>
      <c r="J943" s="22" t="s">
        <v>71</v>
      </c>
      <c r="K943" s="23">
        <v>37.0</v>
      </c>
      <c r="L943" s="24">
        <v>31.0</v>
      </c>
      <c r="M943" s="24" t="str">
        <f>IFERROR(VLOOKUP(D943,'Chủ đề bài nguồn'!$A$2:$C$735,3,0),"Khác")</f>
        <v>Doanh nghiệp (tài khoản, vay, tài chính)</v>
      </c>
      <c r="N943" s="24"/>
    </row>
    <row r="944">
      <c r="A944" s="15">
        <v>942.0</v>
      </c>
      <c r="B944" s="16" t="s">
        <v>961</v>
      </c>
      <c r="C944" s="18" t="s">
        <v>3513</v>
      </c>
      <c r="D944" s="16" t="s">
        <v>1128</v>
      </c>
      <c r="E944" s="16" t="s">
        <v>4458</v>
      </c>
      <c r="F944" s="16" t="s">
        <v>4459</v>
      </c>
      <c r="G944" s="16" t="s">
        <v>4460</v>
      </c>
      <c r="H944" s="20" t="s">
        <v>229</v>
      </c>
      <c r="I944" s="21" t="s">
        <v>70</v>
      </c>
      <c r="J944" s="22" t="s">
        <v>71</v>
      </c>
      <c r="K944" s="23">
        <v>37.0</v>
      </c>
      <c r="L944" s="24">
        <v>31.0</v>
      </c>
      <c r="M944" s="24" t="str">
        <f>IFERROR(VLOOKUP(D944,'Chủ đề bài nguồn'!$A$2:$C$735,3,0),"Khác")</f>
        <v>Tiết kiệm &amp; lãi suất tiền gửi</v>
      </c>
      <c r="N944" s="24"/>
    </row>
    <row r="945">
      <c r="A945" s="15">
        <v>943.0</v>
      </c>
      <c r="B945" s="16" t="s">
        <v>961</v>
      </c>
      <c r="C945" s="18" t="s">
        <v>3513</v>
      </c>
      <c r="D945" s="16" t="s">
        <v>2874</v>
      </c>
      <c r="E945" s="16" t="s">
        <v>4461</v>
      </c>
      <c r="F945" s="16" t="s">
        <v>4462</v>
      </c>
      <c r="G945" s="16" t="s">
        <v>4463</v>
      </c>
      <c r="H945" s="20" t="s">
        <v>229</v>
      </c>
      <c r="I945" s="21" t="s">
        <v>70</v>
      </c>
      <c r="J945" s="22" t="s">
        <v>71</v>
      </c>
      <c r="K945" s="23">
        <v>37.0</v>
      </c>
      <c r="L945" s="24">
        <v>31.0</v>
      </c>
      <c r="M945" s="24" t="str">
        <f>IFERROR(VLOOKUP(D945,'Chủ đề bài nguồn'!$A$2:$C$735,3,0),"Khác")</f>
        <v>Tiết kiệm &amp; lãi suất tiền gửi</v>
      </c>
      <c r="N945" s="24"/>
    </row>
    <row r="946">
      <c r="A946" s="15">
        <v>944.0</v>
      </c>
      <c r="B946" s="16" t="s">
        <v>961</v>
      </c>
      <c r="C946" s="18" t="s">
        <v>3513</v>
      </c>
      <c r="D946" s="16" t="s">
        <v>2932</v>
      </c>
      <c r="E946" s="16" t="s">
        <v>4461</v>
      </c>
      <c r="F946" s="16" t="s">
        <v>4462</v>
      </c>
      <c r="G946" s="16" t="s">
        <v>4464</v>
      </c>
      <c r="H946" s="20" t="s">
        <v>229</v>
      </c>
      <c r="I946" s="21" t="s">
        <v>70</v>
      </c>
      <c r="J946" s="22" t="s">
        <v>4465</v>
      </c>
      <c r="K946" s="23">
        <v>37.0</v>
      </c>
      <c r="L946" s="24">
        <v>31.0</v>
      </c>
      <c r="M946" s="24" t="str">
        <f>IFERROR(VLOOKUP(D946,'Chủ đề bài nguồn'!$A$2:$C$735,3,0),"Khác")</f>
        <v>Tiết kiệm &amp; lãi suất tiền gửi</v>
      </c>
      <c r="N946" s="24"/>
    </row>
    <row r="947">
      <c r="A947" s="15">
        <v>945.0</v>
      </c>
      <c r="B947" s="16" t="s">
        <v>961</v>
      </c>
      <c r="C947" s="18" t="s">
        <v>1601</v>
      </c>
      <c r="D947" s="16" t="s">
        <v>2754</v>
      </c>
      <c r="E947" s="16" t="s">
        <v>4466</v>
      </c>
      <c r="F947" s="16" t="s">
        <v>4467</v>
      </c>
      <c r="G947" s="16" t="s">
        <v>4468</v>
      </c>
      <c r="H947" s="20" t="s">
        <v>229</v>
      </c>
      <c r="I947" s="21" t="s">
        <v>70</v>
      </c>
      <c r="J947" s="22" t="s">
        <v>71</v>
      </c>
      <c r="K947" s="23">
        <v>37.0</v>
      </c>
      <c r="L947" s="24">
        <v>31.0</v>
      </c>
      <c r="M947" s="24" t="str">
        <f>IFERROR(VLOOKUP(D947,'Chủ đề bài nguồn'!$A$2:$C$735,3,0),"Khác")</f>
        <v>Đầu tư, CCTG, trái phiếu, vàng</v>
      </c>
      <c r="N947" s="24"/>
    </row>
    <row r="948">
      <c r="A948" s="15">
        <v>946.0</v>
      </c>
      <c r="B948" s="16" t="s">
        <v>961</v>
      </c>
      <c r="C948" s="18" t="s">
        <v>1601</v>
      </c>
      <c r="D948" s="16" t="s">
        <v>3206</v>
      </c>
      <c r="E948" s="16" t="s">
        <v>4469</v>
      </c>
      <c r="F948" s="16" t="s">
        <v>4470</v>
      </c>
      <c r="G948" s="16" t="s">
        <v>4471</v>
      </c>
      <c r="H948" s="20" t="s">
        <v>229</v>
      </c>
      <c r="I948" s="21" t="s">
        <v>70</v>
      </c>
      <c r="J948" s="22" t="s">
        <v>71</v>
      </c>
      <c r="K948" s="23">
        <v>37.0</v>
      </c>
      <c r="L948" s="24">
        <v>31.0</v>
      </c>
      <c r="M948" s="24" t="str">
        <f>IFERROR(VLOOKUP(D948,'Chủ đề bài nguồn'!$A$2:$C$735,3,0),"Khác")</f>
        <v>Đầu tư, CCTG, trái phiếu, vàng</v>
      </c>
      <c r="N948" s="24"/>
    </row>
    <row r="949">
      <c r="A949" s="15">
        <v>947.0</v>
      </c>
      <c r="B949" s="39" t="s">
        <v>961</v>
      </c>
      <c r="C949" s="18" t="s">
        <v>1601</v>
      </c>
      <c r="D949" s="39" t="s">
        <v>2849</v>
      </c>
      <c r="E949" s="16" t="s">
        <v>4472</v>
      </c>
      <c r="F949" s="16" t="s">
        <v>4473</v>
      </c>
      <c r="G949" s="16" t="s">
        <v>4474</v>
      </c>
      <c r="H949" s="20" t="s">
        <v>229</v>
      </c>
      <c r="I949" s="21" t="s">
        <v>70</v>
      </c>
      <c r="J949" s="22" t="s">
        <v>4475</v>
      </c>
      <c r="K949" s="23">
        <v>37.0</v>
      </c>
      <c r="L949" s="24">
        <v>31.0</v>
      </c>
      <c r="M949" s="24" t="str">
        <f>IFERROR(VLOOKUP(D949,'Chủ đề bài nguồn'!$A$2:$C$735,3,0),"Khác")</f>
        <v>Ngân hàng xanh &amp; thương hiệu</v>
      </c>
      <c r="N949" s="24"/>
    </row>
    <row r="950">
      <c r="A950" s="15">
        <v>948.0</v>
      </c>
      <c r="B950" s="39" t="s">
        <v>961</v>
      </c>
      <c r="C950" s="18" t="s">
        <v>1601</v>
      </c>
      <c r="D950" s="39" t="s">
        <v>3248</v>
      </c>
      <c r="E950" s="16" t="s">
        <v>4476</v>
      </c>
      <c r="F950" s="16" t="s">
        <v>4477</v>
      </c>
      <c r="G950" s="16" t="s">
        <v>4464</v>
      </c>
      <c r="H950" s="20" t="s">
        <v>229</v>
      </c>
      <c r="I950" s="21" t="s">
        <v>70</v>
      </c>
      <c r="J950" s="22" t="s">
        <v>71</v>
      </c>
      <c r="K950" s="23">
        <v>37.0</v>
      </c>
      <c r="L950" s="24">
        <v>31.0</v>
      </c>
      <c r="M950" s="24" t="str">
        <f>IFERROR(VLOOKUP(D950,'Chủ đề bài nguồn'!$A$2:$C$735,3,0),"Khác")</f>
        <v>Đầu tư, CCTG, trái phiếu, vàng</v>
      </c>
      <c r="N950" s="24"/>
    </row>
    <row r="951">
      <c r="A951" s="15">
        <v>949.0</v>
      </c>
      <c r="B951" s="16" t="s">
        <v>732</v>
      </c>
      <c r="C951" s="18" t="s">
        <v>3541</v>
      </c>
      <c r="D951" s="16" t="s">
        <v>3239</v>
      </c>
      <c r="E951" s="16" t="s">
        <v>4478</v>
      </c>
      <c r="F951" s="16" t="s">
        <v>4479</v>
      </c>
      <c r="G951" s="16" t="s">
        <v>4480</v>
      </c>
      <c r="H951" s="20" t="s">
        <v>69</v>
      </c>
      <c r="I951" s="21" t="s">
        <v>70</v>
      </c>
      <c r="J951" s="22" t="s">
        <v>71</v>
      </c>
      <c r="K951" s="23">
        <v>38.0</v>
      </c>
      <c r="L951" s="24">
        <v>10.0</v>
      </c>
      <c r="M951" s="24" t="str">
        <f>IFERROR(VLOOKUP(D951,'Chủ đề bài nguồn'!$A$2:$C$735,3,0),"Khác")</f>
        <v>Ngoại tệ &amp; chuyển tiền quốc tế</v>
      </c>
      <c r="N951" s="24"/>
    </row>
    <row r="952">
      <c r="A952" s="15">
        <v>950.0</v>
      </c>
      <c r="B952" s="16" t="s">
        <v>732</v>
      </c>
      <c r="C952" s="18" t="s">
        <v>3541</v>
      </c>
      <c r="D952" s="16" t="s">
        <v>888</v>
      </c>
      <c r="E952" s="16" t="s">
        <v>710</v>
      </c>
      <c r="F952" s="16" t="s">
        <v>4481</v>
      </c>
      <c r="G952" s="16" t="s">
        <v>4482</v>
      </c>
      <c r="H952" s="20" t="s">
        <v>69</v>
      </c>
      <c r="I952" s="21" t="s">
        <v>70</v>
      </c>
      <c r="J952" s="22" t="s">
        <v>71</v>
      </c>
      <c r="K952" s="23">
        <v>38.0</v>
      </c>
      <c r="L952" s="24">
        <v>10.0</v>
      </c>
      <c r="M952" s="24" t="str">
        <f>IFERROR(VLOOKUP(D952,'Chủ đề bài nguồn'!$A$2:$C$735,3,0),"Khác")</f>
        <v>Ngoại tệ &amp; chuyển tiền quốc tế</v>
      </c>
      <c r="N952" s="24"/>
    </row>
    <row r="953">
      <c r="A953" s="15">
        <v>951.0</v>
      </c>
      <c r="B953" s="16" t="s">
        <v>732</v>
      </c>
      <c r="C953" s="18" t="s">
        <v>1620</v>
      </c>
      <c r="D953" s="16" t="s">
        <v>784</v>
      </c>
      <c r="E953" s="16" t="s">
        <v>4483</v>
      </c>
      <c r="F953" s="16" t="s">
        <v>4484</v>
      </c>
      <c r="G953" s="16" t="s">
        <v>4485</v>
      </c>
      <c r="H953" s="20" t="s">
        <v>69</v>
      </c>
      <c r="I953" s="21" t="s">
        <v>70</v>
      </c>
      <c r="J953" s="22" t="s">
        <v>71</v>
      </c>
      <c r="K953" s="23">
        <v>38.0</v>
      </c>
      <c r="L953" s="24">
        <v>11.0</v>
      </c>
      <c r="M953" s="24" t="str">
        <f>IFERROR(VLOOKUP(D953,'Chủ đề bài nguồn'!$A$2:$C$735,3,0),"Khác")</f>
        <v>Ngoại tệ &amp; chuyển tiền quốc tế</v>
      </c>
      <c r="N953" s="24"/>
    </row>
    <row r="954">
      <c r="A954" s="15">
        <v>952.0</v>
      </c>
      <c r="B954" s="16" t="s">
        <v>732</v>
      </c>
      <c r="C954" s="18" t="s">
        <v>3541</v>
      </c>
      <c r="D954" s="16" t="s">
        <v>3050</v>
      </c>
      <c r="E954" s="16" t="s">
        <v>4486</v>
      </c>
      <c r="F954" s="16" t="s">
        <v>4487</v>
      </c>
      <c r="G954" s="16" t="s">
        <v>4488</v>
      </c>
      <c r="H954" s="20" t="s">
        <v>69</v>
      </c>
      <c r="I954" s="21" t="s">
        <v>70</v>
      </c>
      <c r="J954" s="22" t="s">
        <v>71</v>
      </c>
      <c r="K954" s="23">
        <v>38.0</v>
      </c>
      <c r="L954" s="24">
        <v>11.0</v>
      </c>
      <c r="M954" s="24" t="str">
        <f>IFERROR(VLOOKUP(D954,'Chủ đề bài nguồn'!$A$2:$C$735,3,0),"Khác")</f>
        <v>Ngoại tệ &amp; chuyển tiền quốc tế</v>
      </c>
      <c r="N954" s="24"/>
    </row>
    <row r="955">
      <c r="A955" s="15">
        <v>953.0</v>
      </c>
      <c r="B955" s="16" t="s">
        <v>732</v>
      </c>
      <c r="C955" s="18" t="s">
        <v>1620</v>
      </c>
      <c r="D955" s="16" t="s">
        <v>1038</v>
      </c>
      <c r="E955" s="16" t="s">
        <v>4489</v>
      </c>
      <c r="F955" s="16" t="s">
        <v>4490</v>
      </c>
      <c r="G955" s="16" t="s">
        <v>4491</v>
      </c>
      <c r="H955" s="20" t="s">
        <v>155</v>
      </c>
      <c r="I955" s="21" t="s">
        <v>70</v>
      </c>
      <c r="J955" s="22" t="s">
        <v>71</v>
      </c>
      <c r="K955" s="23">
        <v>38.0</v>
      </c>
      <c r="L955" s="24">
        <v>21.0</v>
      </c>
      <c r="M955" s="24" t="str">
        <f>IFERROR(VLOOKUP(D955,'Chủ đề bài nguồn'!$A$2:$C$735,3,0),"Khác")</f>
        <v>Ngoại tệ &amp; chuyển tiền quốc tế</v>
      </c>
      <c r="N955" s="24"/>
    </row>
    <row r="956">
      <c r="A956" s="15">
        <v>954.0</v>
      </c>
      <c r="B956" s="16" t="s">
        <v>732</v>
      </c>
      <c r="C956" s="18" t="s">
        <v>3541</v>
      </c>
      <c r="D956" s="16" t="s">
        <v>3154</v>
      </c>
      <c r="E956" s="16" t="s">
        <v>4492</v>
      </c>
      <c r="F956" s="16" t="s">
        <v>4493</v>
      </c>
      <c r="G956" s="16" t="s">
        <v>4494</v>
      </c>
      <c r="H956" s="20" t="s">
        <v>155</v>
      </c>
      <c r="I956" s="21" t="s">
        <v>70</v>
      </c>
      <c r="J956" s="22" t="s">
        <v>71</v>
      </c>
      <c r="K956" s="23">
        <v>38.0</v>
      </c>
      <c r="L956" s="24">
        <v>21.0</v>
      </c>
      <c r="M956" s="24" t="str">
        <f>IFERROR(VLOOKUP(D956,'Chủ đề bài nguồn'!$A$2:$C$735,3,0),"Khác")</f>
        <v>Thanh toán, chuyển khoản &amp; QR</v>
      </c>
      <c r="N956" s="24"/>
    </row>
    <row r="957">
      <c r="A957" s="15">
        <v>955.0</v>
      </c>
      <c r="B957" s="16" t="s">
        <v>732</v>
      </c>
      <c r="C957" s="18" t="s">
        <v>3541</v>
      </c>
      <c r="D957" s="16" t="s">
        <v>2834</v>
      </c>
      <c r="E957" s="16" t="s">
        <v>4495</v>
      </c>
      <c r="F957" s="16" t="s">
        <v>4496</v>
      </c>
      <c r="G957" s="16" t="s">
        <v>4497</v>
      </c>
      <c r="H957" s="20" t="s">
        <v>155</v>
      </c>
      <c r="I957" s="21" t="s">
        <v>70</v>
      </c>
      <c r="J957" s="22" t="s">
        <v>71</v>
      </c>
      <c r="K957" s="23">
        <v>38.0</v>
      </c>
      <c r="L957" s="24">
        <v>21.0</v>
      </c>
      <c r="M957" s="24" t="str">
        <f>IFERROR(VLOOKUP(D957,'Chủ đề bài nguồn'!$A$2:$C$735,3,0),"Khác")</f>
        <v>Ngoại tệ &amp; chuyển tiền quốc tế</v>
      </c>
      <c r="N957" s="24"/>
    </row>
    <row r="958">
      <c r="A958" s="15">
        <v>956.0</v>
      </c>
      <c r="B958" s="16" t="s">
        <v>732</v>
      </c>
      <c r="C958" s="18" t="s">
        <v>1620</v>
      </c>
      <c r="D958" s="16" t="s">
        <v>641</v>
      </c>
      <c r="E958" s="16" t="s">
        <v>4498</v>
      </c>
      <c r="F958" s="16" t="s">
        <v>4499</v>
      </c>
      <c r="G958" s="16" t="s">
        <v>4485</v>
      </c>
      <c r="H958" s="20" t="s">
        <v>229</v>
      </c>
      <c r="I958" s="21" t="s">
        <v>70</v>
      </c>
      <c r="J958" s="22" t="s">
        <v>4500</v>
      </c>
      <c r="K958" s="23">
        <v>38.0</v>
      </c>
      <c r="L958" s="24">
        <v>31.0</v>
      </c>
      <c r="M958" s="24" t="str">
        <f>IFERROR(VLOOKUP(D958,'Chủ đề bài nguồn'!$A$2:$C$735,3,0),"Khác")</f>
        <v>Ngoại tệ &amp; chuyển tiền quốc tế</v>
      </c>
      <c r="N958" s="24"/>
    </row>
    <row r="959">
      <c r="A959" s="15">
        <v>957.0</v>
      </c>
      <c r="B959" s="16" t="s">
        <v>732</v>
      </c>
      <c r="C959" s="18" t="s">
        <v>1620</v>
      </c>
      <c r="D959" s="16" t="s">
        <v>2879</v>
      </c>
      <c r="E959" s="16" t="s">
        <v>4501</v>
      </c>
      <c r="F959" s="16" t="s">
        <v>4502</v>
      </c>
      <c r="G959" s="16" t="s">
        <v>4503</v>
      </c>
      <c r="H959" s="20" t="s">
        <v>229</v>
      </c>
      <c r="I959" s="21" t="s">
        <v>70</v>
      </c>
      <c r="J959" s="22" t="s">
        <v>809</v>
      </c>
      <c r="K959" s="23">
        <v>38.0</v>
      </c>
      <c r="L959" s="24">
        <v>31.0</v>
      </c>
      <c r="M959" s="24" t="str">
        <f>IFERROR(VLOOKUP(D959,'Chủ đề bài nguồn'!$A$2:$C$735,3,0),"Khác")</f>
        <v>Ngoại tệ &amp; chuyển tiền quốc tế</v>
      </c>
      <c r="N959" s="24"/>
    </row>
    <row r="960">
      <c r="A960" s="15">
        <v>958.0</v>
      </c>
      <c r="B960" s="16" t="s">
        <v>732</v>
      </c>
      <c r="C960" s="18" t="s">
        <v>1620</v>
      </c>
      <c r="D960" s="16" t="s">
        <v>1748</v>
      </c>
      <c r="E960" s="16" t="s">
        <v>4504</v>
      </c>
      <c r="F960" s="16" t="s">
        <v>4505</v>
      </c>
      <c r="G960" s="16" t="s">
        <v>4506</v>
      </c>
      <c r="H960" s="20" t="s">
        <v>229</v>
      </c>
      <c r="I960" s="21" t="s">
        <v>70</v>
      </c>
      <c r="J960" s="22" t="s">
        <v>71</v>
      </c>
      <c r="K960" s="23">
        <v>38.0</v>
      </c>
      <c r="L960" s="24">
        <v>31.0</v>
      </c>
      <c r="M960" s="24" t="str">
        <f>IFERROR(VLOOKUP(D960,'Chủ đề bài nguồn'!$A$2:$C$735,3,0),"Khác")</f>
        <v>Tài khoản &amp; ngân hàng số</v>
      </c>
      <c r="N960" s="24"/>
    </row>
    <row r="961">
      <c r="A961" s="15">
        <v>959.0</v>
      </c>
      <c r="B961" s="16" t="s">
        <v>732</v>
      </c>
      <c r="C961" s="18" t="s">
        <v>1620</v>
      </c>
      <c r="D961" s="16" t="s">
        <v>3079</v>
      </c>
      <c r="E961" s="16" t="s">
        <v>4507</v>
      </c>
      <c r="F961" s="16" t="s">
        <v>4508</v>
      </c>
      <c r="G961" s="16" t="s">
        <v>4509</v>
      </c>
      <c r="H961" s="20" t="s">
        <v>229</v>
      </c>
      <c r="I961" s="21" t="s">
        <v>70</v>
      </c>
      <c r="J961" s="22" t="s">
        <v>71</v>
      </c>
      <c r="K961" s="23">
        <v>38.0</v>
      </c>
      <c r="L961" s="24">
        <v>31.0</v>
      </c>
      <c r="M961" s="24" t="str">
        <f>IFERROR(VLOOKUP(D961,'Chủ đề bài nguồn'!$A$2:$C$735,3,0),"Khác")</f>
        <v>Ngoại tệ &amp; chuyển tiền quốc tế</v>
      </c>
      <c r="N961" s="24"/>
    </row>
    <row r="962">
      <c r="A962" s="15">
        <v>960.0</v>
      </c>
      <c r="B962" s="16" t="s">
        <v>732</v>
      </c>
      <c r="C962" s="18" t="s">
        <v>1620</v>
      </c>
      <c r="D962" s="16" t="s">
        <v>908</v>
      </c>
      <c r="E962" s="16" t="s">
        <v>4510</v>
      </c>
      <c r="F962" s="16" t="s">
        <v>4511</v>
      </c>
      <c r="G962" s="16" t="s">
        <v>4485</v>
      </c>
      <c r="H962" s="20" t="s">
        <v>229</v>
      </c>
      <c r="I962" s="21" t="s">
        <v>70</v>
      </c>
      <c r="J962" s="22" t="s">
        <v>4512</v>
      </c>
      <c r="K962" s="23">
        <v>38.0</v>
      </c>
      <c r="L962" s="24">
        <v>31.0</v>
      </c>
      <c r="M962" s="24" t="str">
        <f>IFERROR(VLOOKUP(D962,'Chủ đề bài nguồn'!$A$2:$C$735,3,0),"Khác")</f>
        <v>Ngoại tệ &amp; chuyển tiền quốc tế</v>
      </c>
      <c r="N962" s="24"/>
    </row>
    <row r="963">
      <c r="A963" s="15">
        <v>961.0</v>
      </c>
      <c r="B963" s="16" t="s">
        <v>732</v>
      </c>
      <c r="C963" s="18" t="s">
        <v>1620</v>
      </c>
      <c r="D963" s="16" t="s">
        <v>1002</v>
      </c>
      <c r="E963" s="16" t="s">
        <v>4513</v>
      </c>
      <c r="F963" s="16" t="s">
        <v>4514</v>
      </c>
      <c r="G963" s="16" t="s">
        <v>4515</v>
      </c>
      <c r="H963" s="20" t="s">
        <v>229</v>
      </c>
      <c r="I963" s="21" t="s">
        <v>70</v>
      </c>
      <c r="J963" s="22" t="s">
        <v>4516</v>
      </c>
      <c r="K963" s="23">
        <v>38.0</v>
      </c>
      <c r="L963" s="24">
        <v>31.0</v>
      </c>
      <c r="M963" s="24" t="str">
        <f>IFERROR(VLOOKUP(D963,'Chủ đề bài nguồn'!$A$2:$C$735,3,0),"Khác")</f>
        <v>Ngoại tệ &amp; chuyển tiền quốc tế</v>
      </c>
      <c r="N963" s="24"/>
    </row>
    <row r="964">
      <c r="A964" s="15">
        <v>962.0</v>
      </c>
      <c r="B964" s="16" t="s">
        <v>732</v>
      </c>
      <c r="C964" s="18" t="s">
        <v>1620</v>
      </c>
      <c r="D964" s="16" t="s">
        <v>597</v>
      </c>
      <c r="E964" s="16" t="s">
        <v>4517</v>
      </c>
      <c r="F964" s="16" t="s">
        <v>4518</v>
      </c>
      <c r="G964" s="16" t="s">
        <v>4485</v>
      </c>
      <c r="H964" s="20" t="s">
        <v>229</v>
      </c>
      <c r="I964" s="21" t="s">
        <v>70</v>
      </c>
      <c r="J964" s="22" t="s">
        <v>4512</v>
      </c>
      <c r="K964" s="23">
        <v>38.0</v>
      </c>
      <c r="L964" s="24">
        <v>31.0</v>
      </c>
      <c r="M964" s="24" t="str">
        <f>IFERROR(VLOOKUP(D964,'Chủ đề bài nguồn'!$A$2:$C$735,3,0),"Khác")</f>
        <v>Ngoại tệ &amp; chuyển tiền quốc tế</v>
      </c>
      <c r="N964" s="24"/>
    </row>
    <row r="965">
      <c r="A965" s="15">
        <v>963.0</v>
      </c>
      <c r="B965" s="16" t="s">
        <v>732</v>
      </c>
      <c r="C965" s="18" t="s">
        <v>1620</v>
      </c>
      <c r="D965" s="16" t="s">
        <v>926</v>
      </c>
      <c r="E965" s="16" t="s">
        <v>710</v>
      </c>
      <c r="F965" s="16" t="s">
        <v>4519</v>
      </c>
      <c r="G965" s="16" t="s">
        <v>4485</v>
      </c>
      <c r="H965" s="20" t="s">
        <v>229</v>
      </c>
      <c r="I965" s="21" t="s">
        <v>70</v>
      </c>
      <c r="J965" s="22" t="s">
        <v>4512</v>
      </c>
      <c r="K965" s="23">
        <v>38.0</v>
      </c>
      <c r="L965" s="24">
        <v>31.0</v>
      </c>
      <c r="M965" s="24" t="str">
        <f>IFERROR(VLOOKUP(D965,'Chủ đề bài nguồn'!$A$2:$C$735,3,0),"Khác")</f>
        <v>Ngoại tệ &amp; chuyển tiền quốc tế</v>
      </c>
      <c r="N965" s="24"/>
    </row>
    <row r="966">
      <c r="A966" s="15">
        <v>964.0</v>
      </c>
      <c r="B966" s="16" t="s">
        <v>732</v>
      </c>
      <c r="C966" s="18" t="s">
        <v>1620</v>
      </c>
      <c r="D966" s="16" t="s">
        <v>830</v>
      </c>
      <c r="E966" s="16" t="s">
        <v>4520</v>
      </c>
      <c r="F966" s="16" t="s">
        <v>4521</v>
      </c>
      <c r="G966" s="16" t="s">
        <v>4485</v>
      </c>
      <c r="H966" s="20" t="s">
        <v>229</v>
      </c>
      <c r="I966" s="21" t="s">
        <v>70</v>
      </c>
      <c r="J966" s="22" t="s">
        <v>4512</v>
      </c>
      <c r="K966" s="23">
        <v>38.0</v>
      </c>
      <c r="L966" s="24">
        <v>31.0</v>
      </c>
      <c r="M966" s="24" t="str">
        <f>IFERROR(VLOOKUP(D966,'Chủ đề bài nguồn'!$A$2:$C$735,3,0),"Khác")</f>
        <v>Ngoại tệ &amp; chuyển tiền quốc tế</v>
      </c>
      <c r="N966" s="24"/>
    </row>
    <row r="967">
      <c r="A967" s="15">
        <v>965.0</v>
      </c>
      <c r="B967" s="16" t="s">
        <v>732</v>
      </c>
      <c r="C967" s="18" t="s">
        <v>1620</v>
      </c>
      <c r="D967" s="16" t="s">
        <v>477</v>
      </c>
      <c r="E967" s="16" t="s">
        <v>4522</v>
      </c>
      <c r="F967" s="16" t="s">
        <v>4523</v>
      </c>
      <c r="G967" s="16" t="s">
        <v>4485</v>
      </c>
      <c r="H967" s="20" t="s">
        <v>229</v>
      </c>
      <c r="I967" s="21" t="s">
        <v>70</v>
      </c>
      <c r="J967" s="22" t="s">
        <v>4512</v>
      </c>
      <c r="K967" s="23">
        <v>38.0</v>
      </c>
      <c r="L967" s="24">
        <v>31.0</v>
      </c>
      <c r="M967" s="24" t="str">
        <f>IFERROR(VLOOKUP(D967,'Chủ đề bài nguồn'!$A$2:$C$735,3,0),"Khác")</f>
        <v>Ngoại tệ &amp; chuyển tiền quốc tế</v>
      </c>
      <c r="N967" s="24"/>
    </row>
    <row r="968">
      <c r="A968" s="15">
        <v>966.0</v>
      </c>
      <c r="B968" s="16" t="s">
        <v>732</v>
      </c>
      <c r="C968" s="18" t="s">
        <v>1620</v>
      </c>
      <c r="D968" s="16" t="s">
        <v>27</v>
      </c>
      <c r="E968" s="16" t="s">
        <v>710</v>
      </c>
      <c r="F968" s="16" t="s">
        <v>4524</v>
      </c>
      <c r="G968" s="16" t="s">
        <v>4485</v>
      </c>
      <c r="H968" s="20" t="s">
        <v>229</v>
      </c>
      <c r="I968" s="21" t="s">
        <v>70</v>
      </c>
      <c r="J968" s="22" t="s">
        <v>4512</v>
      </c>
      <c r="K968" s="23">
        <v>38.0</v>
      </c>
      <c r="L968" s="24">
        <v>31.0</v>
      </c>
      <c r="M968" s="24" t="str">
        <f>IFERROR(VLOOKUP(D968,'Chủ đề bài nguồn'!$A$2:$C$735,3,0),"Khác")</f>
        <v>Ngoại tệ &amp; chuyển tiền quốc tế</v>
      </c>
      <c r="N968" s="24"/>
    </row>
    <row r="969">
      <c r="A969" s="15">
        <v>967.0</v>
      </c>
      <c r="B969" s="39" t="s">
        <v>732</v>
      </c>
      <c r="C969" s="18" t="s">
        <v>1620</v>
      </c>
      <c r="D969" s="39" t="s">
        <v>626</v>
      </c>
      <c r="E969" s="16" t="s">
        <v>4525</v>
      </c>
      <c r="F969" s="16" t="s">
        <v>4526</v>
      </c>
      <c r="G969" s="16" t="s">
        <v>4485</v>
      </c>
      <c r="H969" s="20" t="s">
        <v>229</v>
      </c>
      <c r="I969" s="21" t="s">
        <v>70</v>
      </c>
      <c r="J969" s="22" t="s">
        <v>4512</v>
      </c>
      <c r="K969" s="23">
        <v>38.0</v>
      </c>
      <c r="L969" s="24">
        <v>31.0</v>
      </c>
      <c r="M969" s="24" t="str">
        <f>IFERROR(VLOOKUP(D969,'Chủ đề bài nguồn'!$A$2:$C$735,3,0),"Khác")</f>
        <v>Ngoại tệ &amp; chuyển tiền quốc tế</v>
      </c>
      <c r="N969" s="24"/>
    </row>
    <row r="970">
      <c r="A970" s="15">
        <v>968.0</v>
      </c>
      <c r="B970" s="39" t="s">
        <v>732</v>
      </c>
      <c r="C970" s="18" t="s">
        <v>1620</v>
      </c>
      <c r="D970" s="39" t="s">
        <v>772</v>
      </c>
      <c r="E970" s="16" t="s">
        <v>4527</v>
      </c>
      <c r="F970" s="16" t="s">
        <v>4521</v>
      </c>
      <c r="G970" s="16" t="s">
        <v>4485</v>
      </c>
      <c r="H970" s="20" t="s">
        <v>229</v>
      </c>
      <c r="I970" s="21" t="s">
        <v>70</v>
      </c>
      <c r="J970" s="22" t="s">
        <v>4512</v>
      </c>
      <c r="K970" s="23">
        <v>38.0</v>
      </c>
      <c r="L970" s="24">
        <v>31.0</v>
      </c>
      <c r="M970" s="24" t="str">
        <f>IFERROR(VLOOKUP(D970,'Chủ đề bài nguồn'!$A$2:$C$735,3,0),"Khác")</f>
        <v>Ngoại tệ &amp; chuyển tiền quốc tế</v>
      </c>
      <c r="N970" s="24"/>
    </row>
    <row r="971">
      <c r="A971" s="15">
        <v>969.0</v>
      </c>
      <c r="B971" s="39" t="s">
        <v>732</v>
      </c>
      <c r="C971" s="18" t="s">
        <v>1620</v>
      </c>
      <c r="D971" s="39" t="s">
        <v>3145</v>
      </c>
      <c r="E971" s="16" t="s">
        <v>4528</v>
      </c>
      <c r="F971" s="16" t="s">
        <v>4529</v>
      </c>
      <c r="G971" s="16" t="s">
        <v>4530</v>
      </c>
      <c r="H971" s="20" t="s">
        <v>229</v>
      </c>
      <c r="I971" s="21" t="s">
        <v>70</v>
      </c>
      <c r="J971" s="22" t="s">
        <v>71</v>
      </c>
      <c r="K971" s="23">
        <v>38.0</v>
      </c>
      <c r="L971" s="24">
        <v>31.0</v>
      </c>
      <c r="M971" s="24" t="str">
        <f>IFERROR(VLOOKUP(D971,'Chủ đề bài nguồn'!$A$2:$C$735,3,0),"Khác")</f>
        <v>Ngoại tệ &amp; chuyển tiền quốc tế</v>
      </c>
      <c r="N971" s="24"/>
    </row>
    <row r="972">
      <c r="A972" s="15">
        <v>970.0</v>
      </c>
      <c r="B972" s="16" t="s">
        <v>732</v>
      </c>
      <c r="C972" s="18" t="s">
        <v>3541</v>
      </c>
      <c r="D972" s="16" t="s">
        <v>1862</v>
      </c>
      <c r="E972" s="16" t="s">
        <v>4531</v>
      </c>
      <c r="F972" s="16" t="s">
        <v>4532</v>
      </c>
      <c r="G972" s="16" t="s">
        <v>4533</v>
      </c>
      <c r="H972" s="20" t="s">
        <v>229</v>
      </c>
      <c r="I972" s="21" t="s">
        <v>70</v>
      </c>
      <c r="J972" s="22" t="s">
        <v>4534</v>
      </c>
      <c r="K972" s="23">
        <v>38.0</v>
      </c>
      <c r="L972" s="24">
        <v>31.0</v>
      </c>
      <c r="M972" s="24" t="str">
        <f>IFERROR(VLOOKUP(D972,'Chủ đề bài nguồn'!$A$2:$C$735,3,0),"Khác")</f>
        <v>Doanh nghiệp (tài khoản, vay, tài chính)</v>
      </c>
      <c r="N972" s="24"/>
    </row>
    <row r="973">
      <c r="A973" s="15">
        <v>971.0</v>
      </c>
      <c r="B973" s="16" t="s">
        <v>732</v>
      </c>
      <c r="C973" s="18" t="s">
        <v>3541</v>
      </c>
      <c r="D973" s="16" t="s">
        <v>3049</v>
      </c>
      <c r="E973" s="16" t="s">
        <v>4535</v>
      </c>
      <c r="F973" s="16" t="s">
        <v>4536</v>
      </c>
      <c r="G973" s="16" t="s">
        <v>4537</v>
      </c>
      <c r="H973" s="20" t="s">
        <v>229</v>
      </c>
      <c r="I973" s="21" t="s">
        <v>70</v>
      </c>
      <c r="J973" s="22" t="s">
        <v>71</v>
      </c>
      <c r="K973" s="23">
        <v>38.0</v>
      </c>
      <c r="L973" s="24">
        <v>31.0</v>
      </c>
      <c r="M973" s="24" t="str">
        <f>IFERROR(VLOOKUP(D973,'Chủ đề bài nguồn'!$A$2:$C$735,3,0),"Khác")</f>
        <v>Ngoại tệ &amp; chuyển tiền quốc tế</v>
      </c>
      <c r="N973" s="24"/>
    </row>
    <row r="974">
      <c r="A974" s="15">
        <v>972.0</v>
      </c>
      <c r="B974" s="16" t="s">
        <v>732</v>
      </c>
      <c r="C974" s="18" t="s">
        <v>3541</v>
      </c>
      <c r="D974" s="16" t="s">
        <v>1917</v>
      </c>
      <c r="E974" s="16" t="s">
        <v>710</v>
      </c>
      <c r="F974" s="16" t="s">
        <v>4538</v>
      </c>
      <c r="G974" s="16" t="s">
        <v>4537</v>
      </c>
      <c r="H974" s="20" t="s">
        <v>229</v>
      </c>
      <c r="I974" s="21" t="s">
        <v>70</v>
      </c>
      <c r="J974" s="22" t="s">
        <v>71</v>
      </c>
      <c r="K974" s="23">
        <v>38.0</v>
      </c>
      <c r="L974" s="24">
        <v>31.0</v>
      </c>
      <c r="M974" s="24" t="str">
        <f>IFERROR(VLOOKUP(D974,'Chủ đề bài nguồn'!$A$2:$C$735,3,0),"Khác")</f>
        <v>Ngoại tệ &amp; chuyển tiền quốc tế</v>
      </c>
      <c r="N974" s="24"/>
    </row>
    <row r="975">
      <c r="A975" s="15">
        <v>973.0</v>
      </c>
      <c r="B975" s="16" t="s">
        <v>732</v>
      </c>
      <c r="C975" s="18" t="s">
        <v>3541</v>
      </c>
      <c r="D975" s="16" t="s">
        <v>1941</v>
      </c>
      <c r="E975" s="16" t="s">
        <v>1942</v>
      </c>
      <c r="F975" s="16" t="s">
        <v>4539</v>
      </c>
      <c r="G975" s="16" t="s">
        <v>4537</v>
      </c>
      <c r="H975" s="20" t="s">
        <v>229</v>
      </c>
      <c r="I975" s="21" t="s">
        <v>70</v>
      </c>
      <c r="J975" s="22" t="s">
        <v>71</v>
      </c>
      <c r="K975" s="23">
        <v>38.0</v>
      </c>
      <c r="L975" s="24">
        <v>31.0</v>
      </c>
      <c r="M975" s="24" t="str">
        <f>IFERROR(VLOOKUP(D975,'Chủ đề bài nguồn'!$A$2:$C$735,3,0),"Khác")</f>
        <v>Ngoại tệ &amp; chuyển tiền quốc tế</v>
      </c>
      <c r="N975" s="24"/>
    </row>
    <row r="976">
      <c r="A976" s="15">
        <v>974.0</v>
      </c>
      <c r="B976" s="16" t="s">
        <v>732</v>
      </c>
      <c r="C976" s="18" t="s">
        <v>3541</v>
      </c>
      <c r="D976" s="16" t="s">
        <v>1047</v>
      </c>
      <c r="E976" s="16" t="s">
        <v>4540</v>
      </c>
      <c r="F976" s="16" t="s">
        <v>4541</v>
      </c>
      <c r="G976" s="16" t="s">
        <v>4542</v>
      </c>
      <c r="H976" s="20" t="s">
        <v>229</v>
      </c>
      <c r="I976" s="21" t="s">
        <v>70</v>
      </c>
      <c r="J976" s="22" t="s">
        <v>71</v>
      </c>
      <c r="K976" s="23">
        <v>38.0</v>
      </c>
      <c r="L976" s="24">
        <v>31.0</v>
      </c>
      <c r="M976" s="24" t="str">
        <f>IFERROR(VLOOKUP(D976,'Chủ đề bài nguồn'!$A$2:$C$735,3,0),"Khác")</f>
        <v>Ngoại tệ &amp; chuyển tiền quốc tế</v>
      </c>
      <c r="N976" s="24"/>
    </row>
    <row r="977">
      <c r="A977" s="15">
        <v>975.0</v>
      </c>
      <c r="B977" s="39" t="s">
        <v>732</v>
      </c>
      <c r="C977" s="18" t="s">
        <v>3541</v>
      </c>
      <c r="D977" s="39" t="s">
        <v>2501</v>
      </c>
      <c r="E977" s="16" t="s">
        <v>4543</v>
      </c>
      <c r="F977" s="16" t="s">
        <v>4544</v>
      </c>
      <c r="G977" s="16" t="s">
        <v>4545</v>
      </c>
      <c r="H977" s="20" t="s">
        <v>229</v>
      </c>
      <c r="I977" s="21" t="s">
        <v>70</v>
      </c>
      <c r="J977" s="22" t="s">
        <v>71</v>
      </c>
      <c r="K977" s="23">
        <v>38.0</v>
      </c>
      <c r="L977" s="24">
        <v>31.0</v>
      </c>
      <c r="M977" s="24" t="str">
        <f>IFERROR(VLOOKUP(D977,'Chủ đề bài nguồn'!$A$2:$C$735,3,0),"Khác")</f>
        <v>Ngoại tệ &amp; chuyển tiền quốc tế</v>
      </c>
      <c r="N977" s="24"/>
    </row>
    <row r="978">
      <c r="A978" s="15">
        <v>976.0</v>
      </c>
      <c r="B978" s="39" t="s">
        <v>732</v>
      </c>
      <c r="C978" s="18" t="s">
        <v>3541</v>
      </c>
      <c r="D978" s="39" t="s">
        <v>1866</v>
      </c>
      <c r="E978" s="16" t="s">
        <v>4546</v>
      </c>
      <c r="F978" s="16" t="s">
        <v>4547</v>
      </c>
      <c r="G978" s="16" t="s">
        <v>4548</v>
      </c>
      <c r="H978" s="20" t="s">
        <v>229</v>
      </c>
      <c r="I978" s="21" t="s">
        <v>70</v>
      </c>
      <c r="J978" s="22" t="s">
        <v>71</v>
      </c>
      <c r="K978" s="23">
        <v>38.0</v>
      </c>
      <c r="L978" s="24">
        <v>31.0</v>
      </c>
      <c r="M978" s="24" t="str">
        <f>IFERROR(VLOOKUP(D978,'Chủ đề bài nguồn'!$A$2:$C$735,3,0),"Khác")</f>
        <v>Ngoại tệ &amp; chuyển tiền quốc tế</v>
      </c>
      <c r="N978" s="24"/>
    </row>
    <row r="979">
      <c r="A979" s="15">
        <v>977.0</v>
      </c>
      <c r="B979" s="16" t="s">
        <v>597</v>
      </c>
      <c r="C979" s="18" t="s">
        <v>3576</v>
      </c>
      <c r="D979" s="16" t="s">
        <v>3365</v>
      </c>
      <c r="E979" s="16" t="s">
        <v>710</v>
      </c>
      <c r="F979" s="16" t="s">
        <v>4549</v>
      </c>
      <c r="G979" s="16" t="s">
        <v>4550</v>
      </c>
      <c r="H979" s="20" t="s">
        <v>69</v>
      </c>
      <c r="I979" s="21" t="s">
        <v>70</v>
      </c>
      <c r="J979" s="22" t="s">
        <v>71</v>
      </c>
      <c r="K979" s="23">
        <v>39.0</v>
      </c>
      <c r="L979" s="24">
        <v>10.0</v>
      </c>
      <c r="M979" s="24" t="str">
        <f>IFERROR(VLOOKUP(D979,'Chủ đề bài nguồn'!$A$2:$C$735,3,0),"Khác")</f>
        <v>Ngoại tệ &amp; chuyển tiền quốc tế</v>
      </c>
      <c r="N979" s="24"/>
    </row>
    <row r="980">
      <c r="A980" s="15">
        <v>978.0</v>
      </c>
      <c r="B980" s="16" t="s">
        <v>597</v>
      </c>
      <c r="C980" s="18" t="s">
        <v>3576</v>
      </c>
      <c r="D980" s="16" t="s">
        <v>2837</v>
      </c>
      <c r="E980" s="16" t="s">
        <v>4551</v>
      </c>
      <c r="F980" s="16" t="s">
        <v>4552</v>
      </c>
      <c r="G980" s="16" t="s">
        <v>4550</v>
      </c>
      <c r="H980" s="20" t="s">
        <v>69</v>
      </c>
      <c r="I980" s="21" t="s">
        <v>70</v>
      </c>
      <c r="J980" s="22" t="s">
        <v>71</v>
      </c>
      <c r="K980" s="23">
        <v>39.0</v>
      </c>
      <c r="L980" s="24">
        <v>10.0</v>
      </c>
      <c r="M980" s="24" t="str">
        <f>IFERROR(VLOOKUP(D980,'Chủ đề bài nguồn'!$A$2:$C$735,3,0),"Khác")</f>
        <v>Ngoại tệ &amp; chuyển tiền quốc tế</v>
      </c>
      <c r="N980" s="24"/>
    </row>
    <row r="981">
      <c r="A981" s="15">
        <v>979.0</v>
      </c>
      <c r="B981" s="16" t="s">
        <v>597</v>
      </c>
      <c r="C981" s="18" t="s">
        <v>3576</v>
      </c>
      <c r="D981" s="16" t="s">
        <v>27</v>
      </c>
      <c r="E981" s="16" t="s">
        <v>4553</v>
      </c>
      <c r="F981" s="16" t="s">
        <v>4554</v>
      </c>
      <c r="G981" s="16" t="s">
        <v>4555</v>
      </c>
      <c r="H981" s="20" t="s">
        <v>69</v>
      </c>
      <c r="I981" s="21" t="s">
        <v>70</v>
      </c>
      <c r="J981" s="22" t="s">
        <v>71</v>
      </c>
      <c r="K981" s="23">
        <v>39.0</v>
      </c>
      <c r="L981" s="24">
        <v>10.0</v>
      </c>
      <c r="M981" s="24" t="str">
        <f>IFERROR(VLOOKUP(D981,'Chủ đề bài nguồn'!$A$2:$C$735,3,0),"Khác")</f>
        <v>Ngoại tệ &amp; chuyển tiền quốc tế</v>
      </c>
      <c r="N981" s="24"/>
    </row>
    <row r="982">
      <c r="A982" s="15">
        <v>980.0</v>
      </c>
      <c r="B982" s="16" t="s">
        <v>597</v>
      </c>
      <c r="C982" s="18" t="s">
        <v>3576</v>
      </c>
      <c r="D982" s="16" t="s">
        <v>2787</v>
      </c>
      <c r="E982" s="16" t="s">
        <v>4556</v>
      </c>
      <c r="F982" s="16" t="s">
        <v>4557</v>
      </c>
      <c r="G982" s="16" t="s">
        <v>4550</v>
      </c>
      <c r="H982" s="20" t="s">
        <v>69</v>
      </c>
      <c r="I982" s="21" t="s">
        <v>70</v>
      </c>
      <c r="J982" s="22" t="s">
        <v>71</v>
      </c>
      <c r="K982" s="23">
        <v>39.0</v>
      </c>
      <c r="L982" s="24">
        <v>10.0</v>
      </c>
      <c r="M982" s="24" t="str">
        <f>IFERROR(VLOOKUP(D982,'Chủ đề bài nguồn'!$A$2:$C$735,3,0),"Khác")</f>
        <v>Thanh toán, chuyển khoản &amp; QR</v>
      </c>
      <c r="N982" s="24"/>
    </row>
    <row r="983">
      <c r="A983" s="15">
        <v>981.0</v>
      </c>
      <c r="B983" s="16" t="s">
        <v>597</v>
      </c>
      <c r="C983" s="18" t="s">
        <v>3576</v>
      </c>
      <c r="D983" s="16" t="s">
        <v>2845</v>
      </c>
      <c r="E983" s="16" t="s">
        <v>4558</v>
      </c>
      <c r="F983" s="16" t="s">
        <v>4559</v>
      </c>
      <c r="G983" s="16" t="s">
        <v>4550</v>
      </c>
      <c r="H983" s="20" t="s">
        <v>69</v>
      </c>
      <c r="I983" s="21" t="s">
        <v>70</v>
      </c>
      <c r="J983" s="22" t="s">
        <v>71</v>
      </c>
      <c r="K983" s="23">
        <v>39.0</v>
      </c>
      <c r="L983" s="24">
        <v>10.0</v>
      </c>
      <c r="M983" s="24" t="str">
        <f>IFERROR(VLOOKUP(D983,'Chủ đề bài nguồn'!$A$2:$C$735,3,0),"Khác")</f>
        <v>Thị trường &amp; giá cả</v>
      </c>
      <c r="N983" s="24"/>
    </row>
    <row r="984">
      <c r="A984" s="15">
        <v>982.0</v>
      </c>
      <c r="B984" s="16" t="s">
        <v>597</v>
      </c>
      <c r="C984" s="18" t="s">
        <v>3576</v>
      </c>
      <c r="D984" s="16" t="s">
        <v>3281</v>
      </c>
      <c r="E984" s="16" t="s">
        <v>4560</v>
      </c>
      <c r="F984" s="16" t="s">
        <v>4561</v>
      </c>
      <c r="G984" s="16" t="s">
        <v>4550</v>
      </c>
      <c r="H984" s="20" t="s">
        <v>69</v>
      </c>
      <c r="I984" s="21" t="s">
        <v>70</v>
      </c>
      <c r="J984" s="22" t="s">
        <v>71</v>
      </c>
      <c r="K984" s="23">
        <v>39.0</v>
      </c>
      <c r="L984" s="24">
        <v>10.0</v>
      </c>
      <c r="M984" s="24" t="str">
        <f>IFERROR(VLOOKUP(D984,'Chủ đề bài nguồn'!$A$2:$C$735,3,0),"Khác")</f>
        <v>Đầu tư, CCTG, trái phiếu, vàng</v>
      </c>
      <c r="N984" s="24"/>
    </row>
    <row r="985">
      <c r="A985" s="15">
        <v>983.0</v>
      </c>
      <c r="B985" s="16" t="s">
        <v>597</v>
      </c>
      <c r="C985" s="18" t="s">
        <v>3576</v>
      </c>
      <c r="D985" s="16" t="s">
        <v>2358</v>
      </c>
      <c r="E985" s="16" t="s">
        <v>4562</v>
      </c>
      <c r="F985" s="16" t="s">
        <v>4563</v>
      </c>
      <c r="G985" s="16" t="s">
        <v>4555</v>
      </c>
      <c r="H985" s="20" t="s">
        <v>69</v>
      </c>
      <c r="I985" s="21" t="s">
        <v>70</v>
      </c>
      <c r="J985" s="22" t="s">
        <v>4564</v>
      </c>
      <c r="K985" s="23">
        <v>39.0</v>
      </c>
      <c r="L985" s="24">
        <v>10.0</v>
      </c>
      <c r="M985" s="24" t="str">
        <f>IFERROR(VLOOKUP(D985,'Chủ đề bài nguồn'!$A$2:$C$735,3,0),"Khác")</f>
        <v>Thị trường &amp; giá cả</v>
      </c>
      <c r="N985" s="24"/>
    </row>
    <row r="986">
      <c r="A986" s="15">
        <v>984.0</v>
      </c>
      <c r="B986" s="16" t="s">
        <v>597</v>
      </c>
      <c r="C986" s="18" t="s">
        <v>3576</v>
      </c>
      <c r="D986" s="16" t="s">
        <v>2856</v>
      </c>
      <c r="E986" s="16" t="s">
        <v>4565</v>
      </c>
      <c r="F986" s="16" t="s">
        <v>4566</v>
      </c>
      <c r="G986" s="16" t="s">
        <v>4550</v>
      </c>
      <c r="H986" s="20" t="s">
        <v>69</v>
      </c>
      <c r="I986" s="21" t="s">
        <v>70</v>
      </c>
      <c r="J986" s="22" t="s">
        <v>71</v>
      </c>
      <c r="K986" s="23">
        <v>39.0</v>
      </c>
      <c r="L986" s="24">
        <v>10.0</v>
      </c>
      <c r="M986" s="24" t="str">
        <f>IFERROR(VLOOKUP(D986,'Chủ đề bài nguồn'!$A$2:$C$735,3,0),"Khác")</f>
        <v>Đầu tư, CCTG, trái phiếu, vàng</v>
      </c>
      <c r="N986" s="24"/>
    </row>
    <row r="987">
      <c r="A987" s="15">
        <v>985.0</v>
      </c>
      <c r="B987" s="16" t="s">
        <v>597</v>
      </c>
      <c r="C987" s="18" t="s">
        <v>3576</v>
      </c>
      <c r="D987" s="16" t="s">
        <v>2875</v>
      </c>
      <c r="E987" s="16" t="s">
        <v>4567</v>
      </c>
      <c r="F987" s="16" t="s">
        <v>4568</v>
      </c>
      <c r="G987" s="16" t="s">
        <v>4550</v>
      </c>
      <c r="H987" s="20" t="s">
        <v>69</v>
      </c>
      <c r="I987" s="21" t="s">
        <v>70</v>
      </c>
      <c r="J987" s="22" t="s">
        <v>71</v>
      </c>
      <c r="K987" s="23">
        <v>39.0</v>
      </c>
      <c r="L987" s="24">
        <v>10.0</v>
      </c>
      <c r="M987" s="24" t="str">
        <f>IFERROR(VLOOKUP(D987,'Chủ đề bài nguồn'!$A$2:$C$735,3,0),"Khác")</f>
        <v>Tiết kiệm &amp; lãi suất tiền gửi</v>
      </c>
      <c r="N987" s="24"/>
    </row>
    <row r="988">
      <c r="A988" s="15">
        <v>986.0</v>
      </c>
      <c r="B988" s="16" t="s">
        <v>597</v>
      </c>
      <c r="C988" s="18" t="s">
        <v>3576</v>
      </c>
      <c r="D988" s="16" t="s">
        <v>757</v>
      </c>
      <c r="E988" s="16" t="s">
        <v>4569</v>
      </c>
      <c r="F988" s="16" t="s">
        <v>4570</v>
      </c>
      <c r="G988" s="16" t="s">
        <v>4550</v>
      </c>
      <c r="H988" s="20" t="s">
        <v>69</v>
      </c>
      <c r="I988" s="21" t="s">
        <v>70</v>
      </c>
      <c r="J988" s="22" t="s">
        <v>71</v>
      </c>
      <c r="K988" s="23">
        <v>39.0</v>
      </c>
      <c r="L988" s="24">
        <v>10.0</v>
      </c>
      <c r="M988" s="24" t="str">
        <f>IFERROR(VLOOKUP(D988,'Chủ đề bài nguồn'!$A$2:$C$735,3,0),"Khác")</f>
        <v>Ngoại tệ &amp; chuyển tiền quốc tế</v>
      </c>
      <c r="N988" s="24"/>
    </row>
    <row r="989">
      <c r="A989" s="15">
        <v>987.0</v>
      </c>
      <c r="B989" s="16" t="s">
        <v>597</v>
      </c>
      <c r="C989" s="18" t="s">
        <v>3576</v>
      </c>
      <c r="D989" s="16" t="s">
        <v>2938</v>
      </c>
      <c r="E989" s="16" t="s">
        <v>4571</v>
      </c>
      <c r="F989" s="16" t="s">
        <v>4572</v>
      </c>
      <c r="G989" s="16" t="s">
        <v>4573</v>
      </c>
      <c r="H989" s="20" t="s">
        <v>155</v>
      </c>
      <c r="I989" s="21" t="s">
        <v>70</v>
      </c>
      <c r="J989" s="22" t="s">
        <v>71</v>
      </c>
      <c r="K989" s="23">
        <v>39.0</v>
      </c>
      <c r="L989" s="24">
        <v>21.0</v>
      </c>
      <c r="M989" s="24" t="str">
        <f>IFERROR(VLOOKUP(D989,'Chủ đề bài nguồn'!$A$2:$C$735,3,0),"Khác")</f>
        <v>Tiết kiệm &amp; lãi suất tiền gửi</v>
      </c>
      <c r="N989" s="24"/>
    </row>
    <row r="990">
      <c r="A990" s="15">
        <v>988.0</v>
      </c>
      <c r="B990" s="16" t="s">
        <v>597</v>
      </c>
      <c r="C990" s="18" t="s">
        <v>3576</v>
      </c>
      <c r="D990" s="16" t="s">
        <v>867</v>
      </c>
      <c r="E990" s="16" t="s">
        <v>4574</v>
      </c>
      <c r="F990" s="16" t="s">
        <v>4575</v>
      </c>
      <c r="G990" s="16" t="s">
        <v>4576</v>
      </c>
      <c r="H990" s="20" t="s">
        <v>155</v>
      </c>
      <c r="I990" s="21" t="s">
        <v>70</v>
      </c>
      <c r="J990" s="22" t="s">
        <v>71</v>
      </c>
      <c r="K990" s="23">
        <v>39.0</v>
      </c>
      <c r="L990" s="24">
        <v>21.0</v>
      </c>
      <c r="M990" s="24" t="str">
        <f>IFERROR(VLOOKUP(D990,'Chủ đề bài nguồn'!$A$2:$C$735,3,0),"Khác")</f>
        <v>Ngoại tệ &amp; chuyển tiền quốc tế</v>
      </c>
      <c r="N990" s="24"/>
    </row>
    <row r="991">
      <c r="A991" s="15">
        <v>989.0</v>
      </c>
      <c r="B991" s="16" t="s">
        <v>597</v>
      </c>
      <c r="C991" s="18" t="s">
        <v>3576</v>
      </c>
      <c r="D991" s="16" t="s">
        <v>3229</v>
      </c>
      <c r="E991" s="16" t="s">
        <v>4577</v>
      </c>
      <c r="F991" s="16" t="s">
        <v>4578</v>
      </c>
      <c r="G991" s="16" t="s">
        <v>4579</v>
      </c>
      <c r="H991" s="20" t="s">
        <v>155</v>
      </c>
      <c r="I991" s="21" t="s">
        <v>70</v>
      </c>
      <c r="J991" s="22" t="s">
        <v>71</v>
      </c>
      <c r="K991" s="23">
        <v>39.0</v>
      </c>
      <c r="L991" s="24">
        <v>21.0</v>
      </c>
      <c r="M991" s="24" t="str">
        <f>IFERROR(VLOOKUP(D991,'Chủ đề bài nguồn'!$A$2:$C$735,3,0),"Khác")</f>
        <v>Ngoại tệ &amp; chuyển tiền quốc tế</v>
      </c>
      <c r="N991" s="24"/>
    </row>
    <row r="992">
      <c r="A992" s="15">
        <v>990.0</v>
      </c>
      <c r="B992" s="16" t="s">
        <v>597</v>
      </c>
      <c r="C992" s="18" t="s">
        <v>3576</v>
      </c>
      <c r="D992" s="16" t="s">
        <v>2027</v>
      </c>
      <c r="E992" s="16" t="s">
        <v>4580</v>
      </c>
      <c r="F992" s="16" t="s">
        <v>4581</v>
      </c>
      <c r="G992" s="16" t="s">
        <v>4582</v>
      </c>
      <c r="H992" s="20" t="s">
        <v>155</v>
      </c>
      <c r="I992" s="21" t="s">
        <v>70</v>
      </c>
      <c r="J992" s="22" t="s">
        <v>71</v>
      </c>
      <c r="K992" s="23">
        <v>39.0</v>
      </c>
      <c r="L992" s="24">
        <v>21.0</v>
      </c>
      <c r="M992" s="24" t="str">
        <f>IFERROR(VLOOKUP(D992,'Chủ đề bài nguồn'!$A$2:$C$735,3,0),"Khác")</f>
        <v>Ngoại tệ &amp; chuyển tiền quốc tế</v>
      </c>
      <c r="N992" s="24"/>
    </row>
    <row r="993">
      <c r="A993" s="15">
        <v>991.0</v>
      </c>
      <c r="B993" s="16" t="s">
        <v>597</v>
      </c>
      <c r="C993" s="18" t="s">
        <v>3576</v>
      </c>
      <c r="D993" s="16" t="s">
        <v>3234</v>
      </c>
      <c r="E993" s="16" t="s">
        <v>4583</v>
      </c>
      <c r="F993" s="16" t="s">
        <v>4584</v>
      </c>
      <c r="G993" s="16" t="s">
        <v>4579</v>
      </c>
      <c r="H993" s="20" t="s">
        <v>155</v>
      </c>
      <c r="I993" s="21" t="s">
        <v>70</v>
      </c>
      <c r="J993" s="22" t="s">
        <v>71</v>
      </c>
      <c r="K993" s="23">
        <v>39.0</v>
      </c>
      <c r="L993" s="24">
        <v>21.0</v>
      </c>
      <c r="M993" s="24" t="str">
        <f>IFERROR(VLOOKUP(D993,'Chủ đề bài nguồn'!$A$2:$C$735,3,0),"Khác")</f>
        <v>Ngoại tệ &amp; chuyển tiền quốc tế</v>
      </c>
      <c r="N993" s="24"/>
    </row>
    <row r="994">
      <c r="A994" s="15">
        <v>992.0</v>
      </c>
      <c r="B994" s="39" t="s">
        <v>597</v>
      </c>
      <c r="C994" s="18" t="s">
        <v>3576</v>
      </c>
      <c r="D994" s="39" t="s">
        <v>190</v>
      </c>
      <c r="E994" s="16" t="s">
        <v>4585</v>
      </c>
      <c r="F994" s="16" t="s">
        <v>4586</v>
      </c>
      <c r="G994" s="16" t="s">
        <v>4587</v>
      </c>
      <c r="H994" s="20" t="s">
        <v>155</v>
      </c>
      <c r="I994" s="21" t="s">
        <v>70</v>
      </c>
      <c r="J994" s="22" t="s">
        <v>71</v>
      </c>
      <c r="K994" s="23">
        <v>39.0</v>
      </c>
      <c r="L994" s="24">
        <v>21.0</v>
      </c>
      <c r="M994" s="24" t="str">
        <f>IFERROR(VLOOKUP(D994,'Chủ đề bài nguồn'!$A$2:$C$735,3,0),"Khác")</f>
        <v>Thị trường &amp; giá cả</v>
      </c>
      <c r="N994" s="24"/>
    </row>
    <row r="995">
      <c r="A995" s="15">
        <v>993.0</v>
      </c>
      <c r="B995" s="39" t="s">
        <v>597</v>
      </c>
      <c r="C995" s="18" t="s">
        <v>3576</v>
      </c>
      <c r="D995" s="39" t="s">
        <v>3233</v>
      </c>
      <c r="E995" s="16" t="s">
        <v>4588</v>
      </c>
      <c r="F995" s="16" t="s">
        <v>4589</v>
      </c>
      <c r="G995" s="16" t="s">
        <v>4590</v>
      </c>
      <c r="H995" s="20" t="s">
        <v>155</v>
      </c>
      <c r="I995" s="21" t="s">
        <v>70</v>
      </c>
      <c r="J995" s="22" t="s">
        <v>71</v>
      </c>
      <c r="K995" s="23">
        <v>39.0</v>
      </c>
      <c r="L995" s="24">
        <v>21.0</v>
      </c>
      <c r="M995" s="24" t="str">
        <f>IFERROR(VLOOKUP(D995,'Chủ đề bài nguồn'!$A$2:$C$735,3,0),"Khác")</f>
        <v>Ngoại tệ &amp; chuyển tiền quốc tế</v>
      </c>
      <c r="N995" s="24"/>
    </row>
    <row r="996">
      <c r="A996" s="15">
        <v>994.0</v>
      </c>
      <c r="B996" s="39" t="s">
        <v>597</v>
      </c>
      <c r="C996" s="18" t="s">
        <v>3576</v>
      </c>
      <c r="D996" s="39" t="s">
        <v>3268</v>
      </c>
      <c r="E996" s="16" t="s">
        <v>4591</v>
      </c>
      <c r="F996" s="16" t="s">
        <v>4592</v>
      </c>
      <c r="G996" s="16" t="s">
        <v>4593</v>
      </c>
      <c r="H996" s="20" t="s">
        <v>155</v>
      </c>
      <c r="I996" s="21" t="s">
        <v>70</v>
      </c>
      <c r="J996" s="22" t="s">
        <v>71</v>
      </c>
      <c r="K996" s="23">
        <v>39.0</v>
      </c>
      <c r="L996" s="24">
        <v>21.0</v>
      </c>
      <c r="M996" s="24" t="str">
        <f>IFERROR(VLOOKUP(D996,'Chủ đề bài nguồn'!$A$2:$C$735,3,0),"Khác")</f>
        <v>Ngoại tệ &amp; chuyển tiền quốc tế</v>
      </c>
      <c r="N996" s="24"/>
    </row>
    <row r="997">
      <c r="A997" s="15">
        <v>995.0</v>
      </c>
      <c r="B997" s="16" t="s">
        <v>597</v>
      </c>
      <c r="C997" s="18" t="s">
        <v>3571</v>
      </c>
      <c r="D997" s="16" t="s">
        <v>732</v>
      </c>
      <c r="E997" s="16" t="s">
        <v>4594</v>
      </c>
      <c r="F997" s="16" t="s">
        <v>4595</v>
      </c>
      <c r="G997" s="16" t="s">
        <v>4596</v>
      </c>
      <c r="H997" s="20" t="s">
        <v>229</v>
      </c>
      <c r="I997" s="21" t="s">
        <v>70</v>
      </c>
      <c r="J997" s="22" t="s">
        <v>4512</v>
      </c>
      <c r="K997" s="23">
        <v>39.0</v>
      </c>
      <c r="L997" s="24">
        <v>31.0</v>
      </c>
      <c r="M997" s="24" t="str">
        <f>IFERROR(VLOOKUP(D997,'Chủ đề bài nguồn'!$A$2:$C$735,3,0),"Khác")</f>
        <v>Ngoại tệ &amp; chuyển tiền quốc tế</v>
      </c>
      <c r="N997" s="24"/>
    </row>
    <row r="998">
      <c r="A998" s="15">
        <v>996.0</v>
      </c>
      <c r="B998" s="16" t="s">
        <v>597</v>
      </c>
      <c r="C998" s="18" t="s">
        <v>3571</v>
      </c>
      <c r="D998" s="16" t="s">
        <v>3239</v>
      </c>
      <c r="E998" s="16" t="s">
        <v>4597</v>
      </c>
      <c r="F998" s="16" t="s">
        <v>4598</v>
      </c>
      <c r="G998" s="16" t="s">
        <v>4596</v>
      </c>
      <c r="H998" s="20" t="s">
        <v>229</v>
      </c>
      <c r="I998" s="21" t="s">
        <v>70</v>
      </c>
      <c r="J998" s="22" t="s">
        <v>2136</v>
      </c>
      <c r="K998" s="23">
        <v>39.0</v>
      </c>
      <c r="L998" s="24">
        <v>31.0</v>
      </c>
      <c r="M998" s="24" t="str">
        <f>IFERROR(VLOOKUP(D998,'Chủ đề bài nguồn'!$A$2:$C$735,3,0),"Khác")</f>
        <v>Ngoại tệ &amp; chuyển tiền quốc tế</v>
      </c>
      <c r="N998" s="24"/>
    </row>
    <row r="999">
      <c r="A999" s="15">
        <v>997.0</v>
      </c>
      <c r="B999" s="16" t="s">
        <v>597</v>
      </c>
      <c r="C999" s="18" t="s">
        <v>3571</v>
      </c>
      <c r="D999" s="16" t="s">
        <v>784</v>
      </c>
      <c r="E999" s="16" t="s">
        <v>710</v>
      </c>
      <c r="F999" s="16" t="s">
        <v>4599</v>
      </c>
      <c r="G999" s="16" t="s">
        <v>4596</v>
      </c>
      <c r="H999" s="20" t="s">
        <v>229</v>
      </c>
      <c r="I999" s="21" t="s">
        <v>70</v>
      </c>
      <c r="J999" s="22" t="s">
        <v>4512</v>
      </c>
      <c r="K999" s="23">
        <v>39.0</v>
      </c>
      <c r="L999" s="24">
        <v>31.0</v>
      </c>
      <c r="M999" s="24" t="str">
        <f>IFERROR(VLOOKUP(D999,'Chủ đề bài nguồn'!$A$2:$C$735,3,0),"Khác")</f>
        <v>Ngoại tệ &amp; chuyển tiền quốc tế</v>
      </c>
      <c r="N999" s="24"/>
    </row>
    <row r="1000">
      <c r="A1000" s="15">
        <v>998.0</v>
      </c>
      <c r="B1000" s="16" t="s">
        <v>597</v>
      </c>
      <c r="C1000" s="18" t="s">
        <v>3571</v>
      </c>
      <c r="D1000" s="16" t="s">
        <v>1002</v>
      </c>
      <c r="E1000" s="16" t="s">
        <v>4600</v>
      </c>
      <c r="F1000" s="16" t="s">
        <v>4601</v>
      </c>
      <c r="G1000" s="16" t="s">
        <v>4602</v>
      </c>
      <c r="H1000" s="20" t="s">
        <v>229</v>
      </c>
      <c r="I1000" s="21" t="s">
        <v>70</v>
      </c>
      <c r="J1000" s="22" t="s">
        <v>71</v>
      </c>
      <c r="K1000" s="23">
        <v>39.0</v>
      </c>
      <c r="L1000" s="24">
        <v>31.0</v>
      </c>
      <c r="M1000" s="24" t="str">
        <f>IFERROR(VLOOKUP(D1000,'Chủ đề bài nguồn'!$A$2:$C$735,3,0),"Khác")</f>
        <v>Ngoại tệ &amp; chuyển tiền quốc tế</v>
      </c>
      <c r="N1000" s="24"/>
    </row>
    <row r="1001">
      <c r="A1001" s="15">
        <v>999.0</v>
      </c>
      <c r="B1001" s="16" t="s">
        <v>597</v>
      </c>
      <c r="C1001" s="18" t="s">
        <v>3571</v>
      </c>
      <c r="D1001" s="16" t="s">
        <v>830</v>
      </c>
      <c r="E1001" s="16" t="s">
        <v>4603</v>
      </c>
      <c r="F1001" s="16" t="s">
        <v>4604</v>
      </c>
      <c r="G1001" s="16" t="s">
        <v>4596</v>
      </c>
      <c r="H1001" s="20" t="s">
        <v>229</v>
      </c>
      <c r="I1001" s="21" t="s">
        <v>70</v>
      </c>
      <c r="J1001" s="22" t="s">
        <v>4512</v>
      </c>
      <c r="K1001" s="23">
        <v>39.0</v>
      </c>
      <c r="L1001" s="24">
        <v>31.0</v>
      </c>
      <c r="M1001" s="24" t="str">
        <f>IFERROR(VLOOKUP(D1001,'Chủ đề bài nguồn'!$A$2:$C$735,3,0),"Khác")</f>
        <v>Ngoại tệ &amp; chuyển tiền quốc tế</v>
      </c>
      <c r="N1001" s="24"/>
    </row>
    <row r="1002">
      <c r="A1002" s="15">
        <v>1000.0</v>
      </c>
      <c r="B1002" s="16" t="s">
        <v>597</v>
      </c>
      <c r="C1002" s="18" t="s">
        <v>3576</v>
      </c>
      <c r="D1002" s="16" t="s">
        <v>2780</v>
      </c>
      <c r="E1002" s="16" t="s">
        <v>4605</v>
      </c>
      <c r="F1002" s="16" t="s">
        <v>4606</v>
      </c>
      <c r="G1002" s="16" t="s">
        <v>4607</v>
      </c>
      <c r="H1002" s="20" t="s">
        <v>229</v>
      </c>
      <c r="I1002" s="21" t="s">
        <v>70</v>
      </c>
      <c r="J1002" s="22" t="s">
        <v>4608</v>
      </c>
      <c r="K1002" s="23">
        <v>39.0</v>
      </c>
      <c r="L1002" s="24">
        <v>31.0</v>
      </c>
      <c r="M1002" s="24" t="str">
        <f>IFERROR(VLOOKUP(D1002,'Chủ đề bài nguồn'!$A$2:$C$735,3,0),"Khác")</f>
        <v>Tiết kiệm &amp; lãi suất tiền gửi</v>
      </c>
      <c r="N1002" s="24"/>
    </row>
    <row r="1003">
      <c r="A1003" s="15">
        <v>1001.0</v>
      </c>
      <c r="B1003" s="16" t="s">
        <v>597</v>
      </c>
      <c r="C1003" s="18" t="s">
        <v>3576</v>
      </c>
      <c r="D1003" s="16" t="s">
        <v>3236</v>
      </c>
      <c r="E1003" s="16" t="s">
        <v>4609</v>
      </c>
      <c r="F1003" s="16" t="s">
        <v>4610</v>
      </c>
      <c r="G1003" s="16" t="s">
        <v>4611</v>
      </c>
      <c r="H1003" s="20" t="s">
        <v>229</v>
      </c>
      <c r="I1003" s="21" t="s">
        <v>70</v>
      </c>
      <c r="J1003" s="22" t="s">
        <v>4612</v>
      </c>
      <c r="K1003" s="23">
        <v>39.0</v>
      </c>
      <c r="L1003" s="24">
        <v>31.0</v>
      </c>
      <c r="M1003" s="24" t="str">
        <f>IFERROR(VLOOKUP(D1003,'Chủ đề bài nguồn'!$A$2:$C$735,3,0),"Khác")</f>
        <v>Ngoại tệ &amp; chuyển tiền quốc tế</v>
      </c>
      <c r="N1003" s="24"/>
    </row>
    <row r="1004">
      <c r="A1004" s="15">
        <v>1002.0</v>
      </c>
      <c r="B1004" s="16" t="s">
        <v>597</v>
      </c>
      <c r="C1004" s="18" t="s">
        <v>3576</v>
      </c>
      <c r="D1004" s="16" t="s">
        <v>908</v>
      </c>
      <c r="E1004" s="16" t="s">
        <v>4613</v>
      </c>
      <c r="F1004" s="16" t="s">
        <v>4614</v>
      </c>
      <c r="G1004" s="16" t="s">
        <v>4615</v>
      </c>
      <c r="H1004" s="20" t="s">
        <v>229</v>
      </c>
      <c r="I1004" s="21" t="s">
        <v>70</v>
      </c>
      <c r="J1004" s="22" t="s">
        <v>4512</v>
      </c>
      <c r="K1004" s="23">
        <v>39.0</v>
      </c>
      <c r="L1004" s="24">
        <v>31.0</v>
      </c>
      <c r="M1004" s="24" t="str">
        <f>IFERROR(VLOOKUP(D1004,'Chủ đề bài nguồn'!$A$2:$C$735,3,0),"Khác")</f>
        <v>Ngoại tệ &amp; chuyển tiền quốc tế</v>
      </c>
      <c r="N1004" s="24"/>
    </row>
    <row r="1005">
      <c r="A1005" s="15">
        <v>1003.0</v>
      </c>
      <c r="B1005" s="16" t="s">
        <v>597</v>
      </c>
      <c r="C1005" s="18" t="s">
        <v>3576</v>
      </c>
      <c r="D1005" s="16" t="s">
        <v>888</v>
      </c>
      <c r="E1005" s="16" t="s">
        <v>4616</v>
      </c>
      <c r="F1005" s="16" t="s">
        <v>4617</v>
      </c>
      <c r="G1005" s="16" t="s">
        <v>4615</v>
      </c>
      <c r="H1005" s="20" t="s">
        <v>229</v>
      </c>
      <c r="I1005" s="21" t="s">
        <v>70</v>
      </c>
      <c r="J1005" s="22" t="s">
        <v>4512</v>
      </c>
      <c r="K1005" s="23">
        <v>39.0</v>
      </c>
      <c r="L1005" s="24">
        <v>31.0</v>
      </c>
      <c r="M1005" s="24" t="str">
        <f>IFERROR(VLOOKUP(D1005,'Chủ đề bài nguồn'!$A$2:$C$735,3,0),"Khác")</f>
        <v>Ngoại tệ &amp; chuyển tiền quốc tế</v>
      </c>
      <c r="N1005" s="24"/>
    </row>
    <row r="1006">
      <c r="A1006" s="15">
        <v>1004.0</v>
      </c>
      <c r="B1006" s="16" t="s">
        <v>597</v>
      </c>
      <c r="C1006" s="18" t="s">
        <v>3576</v>
      </c>
      <c r="D1006" s="16" t="s">
        <v>979</v>
      </c>
      <c r="E1006" s="16" t="s">
        <v>4618</v>
      </c>
      <c r="F1006" s="16" t="s">
        <v>4619</v>
      </c>
      <c r="G1006" s="16" t="s">
        <v>4611</v>
      </c>
      <c r="H1006" s="20" t="s">
        <v>229</v>
      </c>
      <c r="I1006" s="21" t="s">
        <v>70</v>
      </c>
      <c r="J1006" s="22" t="s">
        <v>4620</v>
      </c>
      <c r="K1006" s="23">
        <v>39.0</v>
      </c>
      <c r="L1006" s="24">
        <v>31.0</v>
      </c>
      <c r="M1006" s="24" t="str">
        <f>IFERROR(VLOOKUP(D1006,'Chủ đề bài nguồn'!$A$2:$C$735,3,0),"Khác")</f>
        <v>Ngoại tệ &amp; chuyển tiền quốc tế</v>
      </c>
      <c r="N1006" s="24"/>
    </row>
    <row r="1007">
      <c r="A1007" s="15">
        <v>1005.0</v>
      </c>
      <c r="B1007" s="16" t="s">
        <v>597</v>
      </c>
      <c r="C1007" s="18" t="s">
        <v>3576</v>
      </c>
      <c r="D1007" s="16" t="s">
        <v>3295</v>
      </c>
      <c r="E1007" s="16" t="s">
        <v>4621</v>
      </c>
      <c r="F1007" s="16" t="s">
        <v>4622</v>
      </c>
      <c r="G1007" s="16" t="s">
        <v>4611</v>
      </c>
      <c r="H1007" s="20" t="s">
        <v>229</v>
      </c>
      <c r="I1007" s="21" t="s">
        <v>70</v>
      </c>
      <c r="J1007" s="22" t="s">
        <v>2136</v>
      </c>
      <c r="K1007" s="23">
        <v>39.0</v>
      </c>
      <c r="L1007" s="24">
        <v>31.0</v>
      </c>
      <c r="M1007" s="24" t="str">
        <f>IFERROR(VLOOKUP(D1007,'Chủ đề bài nguồn'!$A$2:$C$735,3,0),"Khác")</f>
        <v>Vay tiêu dùng &amp; tín chấp</v>
      </c>
      <c r="N1007" s="24"/>
    </row>
    <row r="1008">
      <c r="A1008" s="15">
        <v>1006.0</v>
      </c>
      <c r="B1008" s="16" t="s">
        <v>979</v>
      </c>
      <c r="C1008" s="18" t="s">
        <v>1674</v>
      </c>
      <c r="D1008" s="16" t="s">
        <v>641</v>
      </c>
      <c r="E1008" s="16" t="s">
        <v>710</v>
      </c>
      <c r="F1008" s="16" t="s">
        <v>4623</v>
      </c>
      <c r="G1008" s="16" t="s">
        <v>4624</v>
      </c>
      <c r="H1008" s="20" t="s">
        <v>69</v>
      </c>
      <c r="I1008" s="21" t="s">
        <v>70</v>
      </c>
      <c r="J1008" s="22" t="s">
        <v>71</v>
      </c>
      <c r="K1008" s="23">
        <v>40.0</v>
      </c>
      <c r="L1008" s="24">
        <v>10.0</v>
      </c>
      <c r="M1008" s="24" t="str">
        <f>IFERROR(VLOOKUP(D1008,'Chủ đề bài nguồn'!$A$2:$C$735,3,0),"Khác")</f>
        <v>Ngoại tệ &amp; chuyển tiền quốc tế</v>
      </c>
      <c r="N1008" s="24"/>
    </row>
    <row r="1009">
      <c r="A1009" s="15">
        <v>1007.0</v>
      </c>
      <c r="B1009" s="16" t="s">
        <v>979</v>
      </c>
      <c r="C1009" s="18" t="s">
        <v>3603</v>
      </c>
      <c r="D1009" s="16" t="s">
        <v>926</v>
      </c>
      <c r="E1009" s="16" t="s">
        <v>4625</v>
      </c>
      <c r="F1009" s="16" t="s">
        <v>4626</v>
      </c>
      <c r="G1009" s="16" t="s">
        <v>4627</v>
      </c>
      <c r="H1009" s="20" t="s">
        <v>69</v>
      </c>
      <c r="I1009" s="21" t="s">
        <v>70</v>
      </c>
      <c r="J1009" s="22" t="s">
        <v>71</v>
      </c>
      <c r="K1009" s="23">
        <v>40.0</v>
      </c>
      <c r="L1009" s="24">
        <v>10.0</v>
      </c>
      <c r="M1009" s="24" t="str">
        <f>IFERROR(VLOOKUP(D1009,'Chủ đề bài nguồn'!$A$2:$C$735,3,0),"Khác")</f>
        <v>Ngoại tệ &amp; chuyển tiền quốc tế</v>
      </c>
      <c r="N1009" s="24"/>
    </row>
    <row r="1010">
      <c r="A1010" s="15">
        <v>1008.0</v>
      </c>
      <c r="B1010" s="16" t="s">
        <v>979</v>
      </c>
      <c r="C1010" s="18" t="s">
        <v>3603</v>
      </c>
      <c r="D1010" s="16" t="s">
        <v>2788</v>
      </c>
      <c r="E1010" s="16" t="s">
        <v>4628</v>
      </c>
      <c r="F1010" s="16" t="s">
        <v>4629</v>
      </c>
      <c r="G1010" s="16" t="s">
        <v>4630</v>
      </c>
      <c r="H1010" s="20" t="s">
        <v>69</v>
      </c>
      <c r="I1010" s="21" t="s">
        <v>70</v>
      </c>
      <c r="J1010" s="22" t="s">
        <v>71</v>
      </c>
      <c r="K1010" s="23">
        <v>40.0</v>
      </c>
      <c r="L1010" s="24">
        <v>11.0</v>
      </c>
      <c r="M1010" s="24" t="str">
        <f>IFERROR(VLOOKUP(D1010,'Chủ đề bài nguồn'!$A$2:$C$735,3,0),"Khác")</f>
        <v>Thanh toán, chuyển khoản &amp; QR</v>
      </c>
      <c r="N1010" s="24"/>
    </row>
    <row r="1011">
      <c r="A1011" s="15">
        <v>1009.0</v>
      </c>
      <c r="B1011" s="16" t="s">
        <v>979</v>
      </c>
      <c r="C1011" s="18" t="s">
        <v>1674</v>
      </c>
      <c r="D1011" s="16" t="s">
        <v>3153</v>
      </c>
      <c r="E1011" s="16" t="s">
        <v>4631</v>
      </c>
      <c r="F1011" s="16" t="s">
        <v>4632</v>
      </c>
      <c r="G1011" s="16" t="s">
        <v>4633</v>
      </c>
      <c r="H1011" s="20" t="s">
        <v>155</v>
      </c>
      <c r="I1011" s="21" t="s">
        <v>70</v>
      </c>
      <c r="J1011" s="22" t="s">
        <v>71</v>
      </c>
      <c r="K1011" s="23">
        <v>40.0</v>
      </c>
      <c r="L1011" s="24">
        <v>21.0</v>
      </c>
      <c r="M1011" s="24" t="str">
        <f>IFERROR(VLOOKUP(D1011,'Chủ đề bài nguồn'!$A$2:$C$735,3,0),"Khác")</f>
        <v>Tiết kiệm &amp; lãi suất tiền gửi</v>
      </c>
      <c r="N1011" s="24"/>
    </row>
    <row r="1012">
      <c r="A1012" s="15">
        <v>1010.0</v>
      </c>
      <c r="B1012" s="16" t="s">
        <v>979</v>
      </c>
      <c r="C1012" s="18" t="s">
        <v>1674</v>
      </c>
      <c r="D1012" s="16" t="s">
        <v>2879</v>
      </c>
      <c r="E1012" s="16" t="s">
        <v>4634</v>
      </c>
      <c r="F1012" s="16" t="s">
        <v>4635</v>
      </c>
      <c r="G1012" s="16" t="s">
        <v>4636</v>
      </c>
      <c r="H1012" s="20" t="s">
        <v>155</v>
      </c>
      <c r="I1012" s="21" t="s">
        <v>70</v>
      </c>
      <c r="J1012" s="22" t="s">
        <v>71</v>
      </c>
      <c r="K1012" s="23">
        <v>40.0</v>
      </c>
      <c r="L1012" s="24">
        <v>21.0</v>
      </c>
      <c r="M1012" s="24" t="str">
        <f>IFERROR(VLOOKUP(D1012,'Chủ đề bài nguồn'!$A$2:$C$735,3,0),"Khác")</f>
        <v>Ngoại tệ &amp; chuyển tiền quốc tế</v>
      </c>
      <c r="N1012" s="24"/>
    </row>
    <row r="1013">
      <c r="A1013" s="15">
        <v>1011.0</v>
      </c>
      <c r="B1013" s="16" t="s">
        <v>979</v>
      </c>
      <c r="C1013" s="18" t="s">
        <v>1674</v>
      </c>
      <c r="D1013" s="16" t="s">
        <v>1038</v>
      </c>
      <c r="E1013" s="16" t="s">
        <v>4637</v>
      </c>
      <c r="F1013" s="16" t="s">
        <v>4638</v>
      </c>
      <c r="G1013" s="16" t="s">
        <v>4639</v>
      </c>
      <c r="H1013" s="20" t="s">
        <v>155</v>
      </c>
      <c r="I1013" s="21" t="s">
        <v>70</v>
      </c>
      <c r="J1013" s="22" t="s">
        <v>71</v>
      </c>
      <c r="K1013" s="23">
        <v>40.0</v>
      </c>
      <c r="L1013" s="24">
        <v>21.0</v>
      </c>
      <c r="M1013" s="24" t="str">
        <f>IFERROR(VLOOKUP(D1013,'Chủ đề bài nguồn'!$A$2:$C$735,3,0),"Khác")</f>
        <v>Ngoại tệ &amp; chuyển tiền quốc tế</v>
      </c>
      <c r="N1013" s="24"/>
    </row>
    <row r="1014">
      <c r="A1014" s="15">
        <v>1012.0</v>
      </c>
      <c r="B1014" s="16" t="s">
        <v>979</v>
      </c>
      <c r="C1014" s="18" t="s">
        <v>1674</v>
      </c>
      <c r="D1014" s="16" t="s">
        <v>2268</v>
      </c>
      <c r="E1014" s="16" t="s">
        <v>4640</v>
      </c>
      <c r="F1014" s="16" t="s">
        <v>4641</v>
      </c>
      <c r="G1014" s="16" t="s">
        <v>4642</v>
      </c>
      <c r="H1014" s="20" t="s">
        <v>229</v>
      </c>
      <c r="I1014" s="21" t="s">
        <v>70</v>
      </c>
      <c r="J1014" s="22" t="s">
        <v>387</v>
      </c>
      <c r="K1014" s="23">
        <v>40.0</v>
      </c>
      <c r="L1014" s="24">
        <v>31.0</v>
      </c>
      <c r="M1014" s="24" t="str">
        <f>IFERROR(VLOOKUP(D1014,'Chủ đề bài nguồn'!$A$2:$C$735,3,0),"Khác")</f>
        <v>Tiết kiệm &amp; lãi suất tiền gửi</v>
      </c>
      <c r="N1014" s="24"/>
    </row>
    <row r="1015">
      <c r="A1015" s="15">
        <v>1013.0</v>
      </c>
      <c r="B1015" s="16" t="s">
        <v>979</v>
      </c>
      <c r="C1015" s="18" t="s">
        <v>1674</v>
      </c>
      <c r="D1015" s="16" t="s">
        <v>597</v>
      </c>
      <c r="E1015" s="16" t="s">
        <v>4643</v>
      </c>
      <c r="F1015" s="16" t="s">
        <v>4644</v>
      </c>
      <c r="G1015" s="16" t="s">
        <v>4645</v>
      </c>
      <c r="H1015" s="20" t="s">
        <v>229</v>
      </c>
      <c r="I1015" s="21" t="s">
        <v>70</v>
      </c>
      <c r="J1015" s="22" t="s">
        <v>4512</v>
      </c>
      <c r="K1015" s="23">
        <v>40.0</v>
      </c>
      <c r="L1015" s="24">
        <v>31.0</v>
      </c>
      <c r="M1015" s="24" t="str">
        <f>IFERROR(VLOOKUP(D1015,'Chủ đề bài nguồn'!$A$2:$C$735,3,0),"Khác")</f>
        <v>Ngoại tệ &amp; chuyển tiền quốc tế</v>
      </c>
      <c r="N1015" s="24"/>
    </row>
    <row r="1016">
      <c r="A1016" s="15">
        <v>1014.0</v>
      </c>
      <c r="B1016" s="16" t="s">
        <v>979</v>
      </c>
      <c r="C1016" s="18" t="s">
        <v>1674</v>
      </c>
      <c r="D1016" s="16" t="s">
        <v>732</v>
      </c>
      <c r="E1016" s="16" t="s">
        <v>4646</v>
      </c>
      <c r="F1016" s="16" t="s">
        <v>4647</v>
      </c>
      <c r="G1016" s="16" t="s">
        <v>4648</v>
      </c>
      <c r="H1016" s="20" t="s">
        <v>229</v>
      </c>
      <c r="I1016" s="21" t="s">
        <v>70</v>
      </c>
      <c r="J1016" s="22" t="s">
        <v>4512</v>
      </c>
      <c r="K1016" s="23">
        <v>40.0</v>
      </c>
      <c r="L1016" s="24">
        <v>31.0</v>
      </c>
      <c r="M1016" s="24" t="str">
        <f>IFERROR(VLOOKUP(D1016,'Chủ đề bài nguồn'!$A$2:$C$735,3,0),"Khác")</f>
        <v>Ngoại tệ &amp; chuyển tiền quốc tế</v>
      </c>
      <c r="N1016" s="24"/>
    </row>
    <row r="1017">
      <c r="A1017" s="15">
        <v>1015.0</v>
      </c>
      <c r="B1017" s="16" t="s">
        <v>979</v>
      </c>
      <c r="C1017" s="18" t="s">
        <v>1674</v>
      </c>
      <c r="D1017" s="16" t="s">
        <v>3239</v>
      </c>
      <c r="E1017" s="16" t="s">
        <v>4649</v>
      </c>
      <c r="F1017" s="16" t="s">
        <v>4650</v>
      </c>
      <c r="G1017" s="16" t="s">
        <v>4651</v>
      </c>
      <c r="H1017" s="20" t="s">
        <v>229</v>
      </c>
      <c r="I1017" s="21" t="s">
        <v>70</v>
      </c>
      <c r="J1017" s="22" t="s">
        <v>71</v>
      </c>
      <c r="K1017" s="23">
        <v>40.0</v>
      </c>
      <c r="L1017" s="24">
        <v>31.0</v>
      </c>
      <c r="M1017" s="24" t="str">
        <f>IFERROR(VLOOKUP(D1017,'Chủ đề bài nguồn'!$A$2:$C$735,3,0),"Khác")</f>
        <v>Ngoại tệ &amp; chuyển tiền quốc tế</v>
      </c>
      <c r="N1017" s="24"/>
    </row>
    <row r="1018">
      <c r="A1018" s="15">
        <v>1016.0</v>
      </c>
      <c r="B1018" s="16" t="s">
        <v>979</v>
      </c>
      <c r="C1018" s="18" t="s">
        <v>1674</v>
      </c>
      <c r="D1018" s="16" t="s">
        <v>3236</v>
      </c>
      <c r="E1018" s="16" t="s">
        <v>710</v>
      </c>
      <c r="F1018" s="16" t="s">
        <v>4652</v>
      </c>
      <c r="G1018" s="16" t="s">
        <v>4653</v>
      </c>
      <c r="H1018" s="20" t="s">
        <v>229</v>
      </c>
      <c r="I1018" s="21" t="s">
        <v>70</v>
      </c>
      <c r="J1018" s="22" t="s">
        <v>71</v>
      </c>
      <c r="K1018" s="23">
        <v>40.0</v>
      </c>
      <c r="L1018" s="24">
        <v>31.0</v>
      </c>
      <c r="M1018" s="24" t="str">
        <f>IFERROR(VLOOKUP(D1018,'Chủ đề bài nguồn'!$A$2:$C$735,3,0),"Khác")</f>
        <v>Ngoại tệ &amp; chuyển tiền quốc tế</v>
      </c>
      <c r="N1018" s="24"/>
    </row>
    <row r="1019">
      <c r="A1019" s="15">
        <v>1017.0</v>
      </c>
      <c r="B1019" s="16" t="s">
        <v>979</v>
      </c>
      <c r="C1019" s="18" t="s">
        <v>1674</v>
      </c>
      <c r="D1019" s="16" t="s">
        <v>908</v>
      </c>
      <c r="E1019" s="16" t="s">
        <v>4654</v>
      </c>
      <c r="F1019" s="16" t="s">
        <v>4655</v>
      </c>
      <c r="G1019" s="16" t="s">
        <v>4656</v>
      </c>
      <c r="H1019" s="20" t="s">
        <v>229</v>
      </c>
      <c r="I1019" s="21" t="s">
        <v>70</v>
      </c>
      <c r="J1019" s="22" t="s">
        <v>4512</v>
      </c>
      <c r="K1019" s="23">
        <v>40.0</v>
      </c>
      <c r="L1019" s="24">
        <v>31.0</v>
      </c>
      <c r="M1019" s="24" t="str">
        <f>IFERROR(VLOOKUP(D1019,'Chủ đề bài nguồn'!$A$2:$C$735,3,0),"Khác")</f>
        <v>Ngoại tệ &amp; chuyển tiền quốc tế</v>
      </c>
      <c r="N1019" s="24"/>
    </row>
    <row r="1020">
      <c r="A1020" s="15">
        <v>1018.0</v>
      </c>
      <c r="B1020" s="16" t="s">
        <v>979</v>
      </c>
      <c r="C1020" s="18" t="s">
        <v>1674</v>
      </c>
      <c r="D1020" s="16" t="s">
        <v>784</v>
      </c>
      <c r="E1020" s="16" t="s">
        <v>4657</v>
      </c>
      <c r="F1020" s="16" t="s">
        <v>4658</v>
      </c>
      <c r="G1020" s="16" t="s">
        <v>4656</v>
      </c>
      <c r="H1020" s="20" t="s">
        <v>229</v>
      </c>
      <c r="I1020" s="21" t="s">
        <v>70</v>
      </c>
      <c r="J1020" s="22" t="s">
        <v>4659</v>
      </c>
      <c r="K1020" s="23">
        <v>40.0</v>
      </c>
      <c r="L1020" s="24">
        <v>31.0</v>
      </c>
      <c r="M1020" s="24" t="str">
        <f>IFERROR(VLOOKUP(D1020,'Chủ đề bài nguồn'!$A$2:$C$735,3,0),"Khác")</f>
        <v>Ngoại tệ &amp; chuyển tiền quốc tế</v>
      </c>
      <c r="N1020" s="24"/>
    </row>
    <row r="1021">
      <c r="A1021" s="15">
        <v>1019.0</v>
      </c>
      <c r="B1021" s="16" t="s">
        <v>979</v>
      </c>
      <c r="C1021" s="18" t="s">
        <v>1674</v>
      </c>
      <c r="D1021" s="16" t="s">
        <v>888</v>
      </c>
      <c r="E1021" s="16" t="s">
        <v>4660</v>
      </c>
      <c r="F1021" s="16" t="s">
        <v>4661</v>
      </c>
      <c r="G1021" s="16" t="s">
        <v>4645</v>
      </c>
      <c r="H1021" s="20" t="s">
        <v>229</v>
      </c>
      <c r="I1021" s="21" t="s">
        <v>70</v>
      </c>
      <c r="J1021" s="22" t="s">
        <v>4512</v>
      </c>
      <c r="K1021" s="23">
        <v>40.0</v>
      </c>
      <c r="L1021" s="24">
        <v>31.0</v>
      </c>
      <c r="M1021" s="24" t="str">
        <f>IFERROR(VLOOKUP(D1021,'Chủ đề bài nguồn'!$A$2:$C$735,3,0),"Khác")</f>
        <v>Ngoại tệ &amp; chuyển tiền quốc tế</v>
      </c>
      <c r="N1021" s="24"/>
    </row>
    <row r="1022">
      <c r="A1022" s="15">
        <v>1020.0</v>
      </c>
      <c r="B1022" s="16" t="s">
        <v>979</v>
      </c>
      <c r="C1022" s="18" t="s">
        <v>1674</v>
      </c>
      <c r="D1022" s="16" t="s">
        <v>867</v>
      </c>
      <c r="E1022" s="16" t="s">
        <v>4662</v>
      </c>
      <c r="F1022" s="16" t="s">
        <v>4663</v>
      </c>
      <c r="G1022" s="16" t="s">
        <v>4656</v>
      </c>
      <c r="H1022" s="20" t="s">
        <v>229</v>
      </c>
      <c r="I1022" s="21" t="s">
        <v>70</v>
      </c>
      <c r="J1022" s="22" t="s">
        <v>4512</v>
      </c>
      <c r="K1022" s="23">
        <v>40.0</v>
      </c>
      <c r="L1022" s="24">
        <v>31.0</v>
      </c>
      <c r="M1022" s="24" t="str">
        <f>IFERROR(VLOOKUP(D1022,'Chủ đề bài nguồn'!$A$2:$C$735,3,0),"Khác")</f>
        <v>Ngoại tệ &amp; chuyển tiền quốc tế</v>
      </c>
      <c r="N1022" s="24"/>
    </row>
    <row r="1023">
      <c r="A1023" s="15">
        <v>1021.0</v>
      </c>
      <c r="B1023" s="16" t="s">
        <v>979</v>
      </c>
      <c r="C1023" s="18" t="s">
        <v>1674</v>
      </c>
      <c r="D1023" s="16" t="s">
        <v>1002</v>
      </c>
      <c r="E1023" s="16" t="s">
        <v>4664</v>
      </c>
      <c r="F1023" s="16" t="s">
        <v>4665</v>
      </c>
      <c r="G1023" s="16" t="s">
        <v>4666</v>
      </c>
      <c r="H1023" s="20" t="s">
        <v>229</v>
      </c>
      <c r="I1023" s="21" t="s">
        <v>70</v>
      </c>
      <c r="J1023" s="22" t="s">
        <v>4667</v>
      </c>
      <c r="K1023" s="23">
        <v>40.0</v>
      </c>
      <c r="L1023" s="24">
        <v>31.0</v>
      </c>
      <c r="M1023" s="24" t="str">
        <f>IFERROR(VLOOKUP(D1023,'Chủ đề bài nguồn'!$A$2:$C$735,3,0),"Khác")</f>
        <v>Ngoại tệ &amp; chuyển tiền quốc tế</v>
      </c>
      <c r="N1023" s="24"/>
    </row>
    <row r="1024">
      <c r="A1024" s="15">
        <v>1022.0</v>
      </c>
      <c r="B1024" s="16" t="s">
        <v>979</v>
      </c>
      <c r="C1024" s="18" t="s">
        <v>1674</v>
      </c>
      <c r="D1024" s="16" t="s">
        <v>830</v>
      </c>
      <c r="E1024" s="16" t="s">
        <v>4603</v>
      </c>
      <c r="F1024" s="16" t="s">
        <v>4668</v>
      </c>
      <c r="G1024" s="16" t="s">
        <v>4656</v>
      </c>
      <c r="H1024" s="20" t="s">
        <v>229</v>
      </c>
      <c r="I1024" s="21" t="s">
        <v>70</v>
      </c>
      <c r="J1024" s="22" t="s">
        <v>4512</v>
      </c>
      <c r="K1024" s="23">
        <v>40.0</v>
      </c>
      <c r="L1024" s="24">
        <v>31.0</v>
      </c>
      <c r="M1024" s="24" t="str">
        <f>IFERROR(VLOOKUP(D1024,'Chủ đề bài nguồn'!$A$2:$C$735,3,0),"Khác")</f>
        <v>Ngoại tệ &amp; chuyển tiền quốc tế</v>
      </c>
      <c r="N1024" s="24"/>
    </row>
    <row r="1025">
      <c r="A1025" s="15">
        <v>1023.0</v>
      </c>
      <c r="B1025" s="16" t="s">
        <v>979</v>
      </c>
      <c r="C1025" s="18" t="s">
        <v>1674</v>
      </c>
      <c r="D1025" s="16" t="s">
        <v>477</v>
      </c>
      <c r="E1025" s="16" t="s">
        <v>710</v>
      </c>
      <c r="F1025" s="16" t="s">
        <v>4669</v>
      </c>
      <c r="G1025" s="16" t="s">
        <v>4656</v>
      </c>
      <c r="H1025" s="20" t="s">
        <v>229</v>
      </c>
      <c r="I1025" s="21" t="s">
        <v>70</v>
      </c>
      <c r="J1025" s="22" t="s">
        <v>4512</v>
      </c>
      <c r="K1025" s="23">
        <v>40.0</v>
      </c>
      <c r="L1025" s="24">
        <v>31.0</v>
      </c>
      <c r="M1025" s="24" t="str">
        <f>IFERROR(VLOOKUP(D1025,'Chủ đề bài nguồn'!$A$2:$C$735,3,0),"Khác")</f>
        <v>Ngoại tệ &amp; chuyển tiền quốc tế</v>
      </c>
      <c r="N1025" s="24"/>
    </row>
    <row r="1026">
      <c r="A1026" s="15">
        <v>1024.0</v>
      </c>
      <c r="B1026" s="16" t="s">
        <v>841</v>
      </c>
      <c r="C1026" s="18" t="s">
        <v>3621</v>
      </c>
      <c r="D1026" s="16" t="s">
        <v>979</v>
      </c>
      <c r="E1026" s="16" t="s">
        <v>4670</v>
      </c>
      <c r="F1026" s="16" t="s">
        <v>4671</v>
      </c>
      <c r="G1026" s="16" t="s">
        <v>4672</v>
      </c>
      <c r="H1026" s="20" t="s">
        <v>69</v>
      </c>
      <c r="I1026" s="21" t="s">
        <v>70</v>
      </c>
      <c r="J1026" s="22" t="s">
        <v>71</v>
      </c>
      <c r="K1026" s="23">
        <v>41.0</v>
      </c>
      <c r="L1026" s="24">
        <v>10.0</v>
      </c>
      <c r="M1026" s="24" t="str">
        <f>IFERROR(VLOOKUP(D1026,'Chủ đề bài nguồn'!$A$2:$C$735,3,0),"Khác")</f>
        <v>Ngoại tệ &amp; chuyển tiền quốc tế</v>
      </c>
      <c r="N1026" s="24"/>
    </row>
    <row r="1027">
      <c r="A1027" s="15">
        <v>1025.0</v>
      </c>
      <c r="B1027" s="16" t="s">
        <v>841</v>
      </c>
      <c r="C1027" s="18" t="s">
        <v>3621</v>
      </c>
      <c r="D1027" s="16" t="s">
        <v>2788</v>
      </c>
      <c r="E1027" s="16" t="s">
        <v>4673</v>
      </c>
      <c r="F1027" s="16" t="s">
        <v>4674</v>
      </c>
      <c r="G1027" s="16" t="s">
        <v>4672</v>
      </c>
      <c r="H1027" s="20" t="s">
        <v>69</v>
      </c>
      <c r="I1027" s="21" t="s">
        <v>70</v>
      </c>
      <c r="J1027" s="22" t="s">
        <v>71</v>
      </c>
      <c r="K1027" s="23">
        <v>41.0</v>
      </c>
      <c r="L1027" s="24">
        <v>10.0</v>
      </c>
      <c r="M1027" s="24" t="str">
        <f>IFERROR(VLOOKUP(D1027,'Chủ đề bài nguồn'!$A$2:$C$735,3,0),"Khác")</f>
        <v>Thanh toán, chuyển khoản &amp; QR</v>
      </c>
      <c r="N1027" s="24"/>
    </row>
    <row r="1028">
      <c r="A1028" s="15">
        <v>1026.0</v>
      </c>
      <c r="B1028" s="16" t="s">
        <v>841</v>
      </c>
      <c r="C1028" s="18" t="s">
        <v>3621</v>
      </c>
      <c r="D1028" s="16" t="s">
        <v>3153</v>
      </c>
      <c r="E1028" s="16" t="s">
        <v>4675</v>
      </c>
      <c r="F1028" s="16" t="s">
        <v>4676</v>
      </c>
      <c r="G1028" s="16" t="s">
        <v>4677</v>
      </c>
      <c r="H1028" s="20" t="s">
        <v>69</v>
      </c>
      <c r="I1028" s="21" t="s">
        <v>70</v>
      </c>
      <c r="J1028" s="22" t="s">
        <v>71</v>
      </c>
      <c r="K1028" s="23">
        <v>41.0</v>
      </c>
      <c r="L1028" s="24">
        <v>11.0</v>
      </c>
      <c r="M1028" s="24" t="str">
        <f>IFERROR(VLOOKUP(D1028,'Chủ đề bài nguồn'!$A$2:$C$735,3,0),"Khác")</f>
        <v>Tiết kiệm &amp; lãi suất tiền gửi</v>
      </c>
      <c r="N1028" s="24"/>
    </row>
    <row r="1029">
      <c r="A1029" s="15">
        <v>1027.0</v>
      </c>
      <c r="B1029" s="16" t="s">
        <v>841</v>
      </c>
      <c r="C1029" s="18" t="s">
        <v>1688</v>
      </c>
      <c r="D1029" s="16" t="s">
        <v>641</v>
      </c>
      <c r="E1029" s="16" t="s">
        <v>4498</v>
      </c>
      <c r="F1029" s="16" t="s">
        <v>4678</v>
      </c>
      <c r="G1029" s="16" t="s">
        <v>4679</v>
      </c>
      <c r="H1029" s="20" t="s">
        <v>155</v>
      </c>
      <c r="I1029" s="21" t="s">
        <v>70</v>
      </c>
      <c r="J1029" s="22" t="s">
        <v>71</v>
      </c>
      <c r="K1029" s="23">
        <v>41.0</v>
      </c>
      <c r="L1029" s="24">
        <v>21.0</v>
      </c>
      <c r="M1029" s="24" t="str">
        <f>IFERROR(VLOOKUP(D1029,'Chủ đề bài nguồn'!$A$2:$C$735,3,0),"Khác")</f>
        <v>Ngoại tệ &amp; chuyển tiền quốc tế</v>
      </c>
      <c r="N1029" s="24"/>
    </row>
    <row r="1030">
      <c r="A1030" s="15">
        <v>1028.0</v>
      </c>
      <c r="B1030" s="16" t="s">
        <v>841</v>
      </c>
      <c r="C1030" s="18" t="s">
        <v>3621</v>
      </c>
      <c r="D1030" s="16" t="s">
        <v>926</v>
      </c>
      <c r="E1030" s="16" t="s">
        <v>4680</v>
      </c>
      <c r="F1030" s="16" t="s">
        <v>4681</v>
      </c>
      <c r="G1030" s="16" t="s">
        <v>4682</v>
      </c>
      <c r="H1030" s="20" t="s">
        <v>155</v>
      </c>
      <c r="I1030" s="21" t="s">
        <v>70</v>
      </c>
      <c r="J1030" s="22" t="s">
        <v>71</v>
      </c>
      <c r="K1030" s="23">
        <v>41.0</v>
      </c>
      <c r="L1030" s="24">
        <v>21.0</v>
      </c>
      <c r="M1030" s="24" t="str">
        <f>IFERROR(VLOOKUP(D1030,'Chủ đề bài nguồn'!$A$2:$C$735,3,0),"Khác")</f>
        <v>Ngoại tệ &amp; chuyển tiền quốc tế</v>
      </c>
      <c r="N1030" s="24"/>
    </row>
    <row r="1031">
      <c r="A1031" s="15">
        <v>1029.0</v>
      </c>
      <c r="B1031" s="16" t="s">
        <v>841</v>
      </c>
      <c r="C1031" s="18" t="s">
        <v>1688</v>
      </c>
      <c r="D1031" s="16" t="s">
        <v>597</v>
      </c>
      <c r="E1031" s="16" t="s">
        <v>710</v>
      </c>
      <c r="F1031" s="16" t="s">
        <v>4683</v>
      </c>
      <c r="G1031" s="16" t="s">
        <v>4684</v>
      </c>
      <c r="H1031" s="20" t="s">
        <v>229</v>
      </c>
      <c r="I1031" s="21" t="s">
        <v>70</v>
      </c>
      <c r="J1031" s="22" t="s">
        <v>4512</v>
      </c>
      <c r="K1031" s="23">
        <v>41.0</v>
      </c>
      <c r="L1031" s="24">
        <v>31.0</v>
      </c>
      <c r="M1031" s="24" t="str">
        <f>IFERROR(VLOOKUP(D1031,'Chủ đề bài nguồn'!$A$2:$C$735,3,0),"Khác")</f>
        <v>Ngoại tệ &amp; chuyển tiền quốc tế</v>
      </c>
      <c r="N1031" s="24"/>
    </row>
    <row r="1032">
      <c r="A1032" s="15">
        <v>1030.0</v>
      </c>
      <c r="B1032" s="16" t="s">
        <v>841</v>
      </c>
      <c r="C1032" s="18" t="s">
        <v>1688</v>
      </c>
      <c r="D1032" s="16" t="s">
        <v>732</v>
      </c>
      <c r="E1032" s="16" t="s">
        <v>4646</v>
      </c>
      <c r="F1032" s="16" t="s">
        <v>4685</v>
      </c>
      <c r="G1032" s="16" t="s">
        <v>4684</v>
      </c>
      <c r="H1032" s="20" t="s">
        <v>229</v>
      </c>
      <c r="I1032" s="21" t="s">
        <v>70</v>
      </c>
      <c r="J1032" s="22" t="s">
        <v>4686</v>
      </c>
      <c r="K1032" s="23">
        <v>41.0</v>
      </c>
      <c r="L1032" s="24">
        <v>31.0</v>
      </c>
      <c r="M1032" s="24" t="str">
        <f>IFERROR(VLOOKUP(D1032,'Chủ đề bài nguồn'!$A$2:$C$735,3,0),"Khác")</f>
        <v>Ngoại tệ &amp; chuyển tiền quốc tế</v>
      </c>
      <c r="N1032" s="24"/>
    </row>
    <row r="1033">
      <c r="A1033" s="15">
        <v>1031.0</v>
      </c>
      <c r="B1033" s="16" t="s">
        <v>841</v>
      </c>
      <c r="C1033" s="18" t="s">
        <v>1688</v>
      </c>
      <c r="D1033" s="16" t="s">
        <v>804</v>
      </c>
      <c r="E1033" s="16" t="s">
        <v>4687</v>
      </c>
      <c r="F1033" s="16" t="s">
        <v>4688</v>
      </c>
      <c r="G1033" s="16" t="s">
        <v>4684</v>
      </c>
      <c r="H1033" s="20" t="s">
        <v>229</v>
      </c>
      <c r="I1033" s="21" t="s">
        <v>70</v>
      </c>
      <c r="J1033" s="22" t="s">
        <v>4689</v>
      </c>
      <c r="K1033" s="23">
        <v>41.0</v>
      </c>
      <c r="L1033" s="24">
        <v>31.0</v>
      </c>
      <c r="M1033" s="24" t="str">
        <f>IFERROR(VLOOKUP(D1033,'Chủ đề bài nguồn'!$A$2:$C$735,3,0),"Khác")</f>
        <v>Ngoại tệ &amp; chuyển tiền quốc tế</v>
      </c>
      <c r="N1033" s="24"/>
    </row>
    <row r="1034">
      <c r="A1034" s="15">
        <v>1032.0</v>
      </c>
      <c r="B1034" s="16" t="s">
        <v>841</v>
      </c>
      <c r="C1034" s="18" t="s">
        <v>1688</v>
      </c>
      <c r="D1034" s="16" t="s">
        <v>784</v>
      </c>
      <c r="E1034" s="16" t="s">
        <v>4690</v>
      </c>
      <c r="F1034" s="16" t="s">
        <v>4691</v>
      </c>
      <c r="G1034" s="16" t="s">
        <v>4684</v>
      </c>
      <c r="H1034" s="20" t="s">
        <v>229</v>
      </c>
      <c r="I1034" s="21" t="s">
        <v>70</v>
      </c>
      <c r="J1034" s="22" t="s">
        <v>4512</v>
      </c>
      <c r="K1034" s="23">
        <v>41.0</v>
      </c>
      <c r="L1034" s="24">
        <v>31.0</v>
      </c>
      <c r="M1034" s="24" t="str">
        <f>IFERROR(VLOOKUP(D1034,'Chủ đề bài nguồn'!$A$2:$C$735,3,0),"Khác")</f>
        <v>Ngoại tệ &amp; chuyển tiền quốc tế</v>
      </c>
      <c r="N1034" s="24"/>
    </row>
    <row r="1035">
      <c r="A1035" s="15">
        <v>1033.0</v>
      </c>
      <c r="B1035" s="16" t="s">
        <v>841</v>
      </c>
      <c r="C1035" s="18" t="s">
        <v>1688</v>
      </c>
      <c r="D1035" s="16" t="s">
        <v>757</v>
      </c>
      <c r="E1035" s="16" t="s">
        <v>710</v>
      </c>
      <c r="F1035" s="16" t="s">
        <v>4692</v>
      </c>
      <c r="G1035" s="16" t="s">
        <v>4684</v>
      </c>
      <c r="H1035" s="20" t="s">
        <v>229</v>
      </c>
      <c r="I1035" s="21" t="s">
        <v>70</v>
      </c>
      <c r="J1035" s="22" t="s">
        <v>4512</v>
      </c>
      <c r="K1035" s="23">
        <v>41.0</v>
      </c>
      <c r="L1035" s="24">
        <v>31.0</v>
      </c>
      <c r="M1035" s="24" t="str">
        <f>IFERROR(VLOOKUP(D1035,'Chủ đề bài nguồn'!$A$2:$C$735,3,0),"Khác")</f>
        <v>Ngoại tệ &amp; chuyển tiền quốc tế</v>
      </c>
      <c r="N1035" s="24"/>
    </row>
    <row r="1036">
      <c r="A1036" s="15">
        <v>1034.0</v>
      </c>
      <c r="B1036" s="16" t="s">
        <v>841</v>
      </c>
      <c r="C1036" s="18" t="s">
        <v>1688</v>
      </c>
      <c r="D1036" s="16" t="s">
        <v>1002</v>
      </c>
      <c r="E1036" s="16" t="s">
        <v>4513</v>
      </c>
      <c r="F1036" s="16" t="s">
        <v>4693</v>
      </c>
      <c r="G1036" s="16" t="s">
        <v>4694</v>
      </c>
      <c r="H1036" s="20" t="s">
        <v>229</v>
      </c>
      <c r="I1036" s="21" t="s">
        <v>70</v>
      </c>
      <c r="J1036" s="22" t="s">
        <v>4667</v>
      </c>
      <c r="K1036" s="23">
        <v>41.0</v>
      </c>
      <c r="L1036" s="24">
        <v>31.0</v>
      </c>
      <c r="M1036" s="24" t="str">
        <f>IFERROR(VLOOKUP(D1036,'Chủ đề bài nguồn'!$A$2:$C$735,3,0),"Khác")</f>
        <v>Ngoại tệ &amp; chuyển tiền quốc tế</v>
      </c>
      <c r="N1036" s="24"/>
    </row>
    <row r="1037">
      <c r="A1037" s="15">
        <v>1035.0</v>
      </c>
      <c r="B1037" s="16" t="s">
        <v>841</v>
      </c>
      <c r="C1037" s="18" t="s">
        <v>1688</v>
      </c>
      <c r="D1037" s="16" t="s">
        <v>27</v>
      </c>
      <c r="E1037" s="16" t="s">
        <v>4695</v>
      </c>
      <c r="F1037" s="16" t="s">
        <v>4696</v>
      </c>
      <c r="G1037" s="16" t="s">
        <v>4684</v>
      </c>
      <c r="H1037" s="20" t="s">
        <v>229</v>
      </c>
      <c r="I1037" s="21" t="s">
        <v>70</v>
      </c>
      <c r="J1037" s="22" t="s">
        <v>4512</v>
      </c>
      <c r="K1037" s="23">
        <v>41.0</v>
      </c>
      <c r="L1037" s="24">
        <v>31.0</v>
      </c>
      <c r="M1037" s="24" t="str">
        <f>IFERROR(VLOOKUP(D1037,'Chủ đề bài nguồn'!$A$2:$C$735,3,0),"Khác")</f>
        <v>Ngoại tệ &amp; chuyển tiền quốc tế</v>
      </c>
      <c r="N1037" s="24"/>
    </row>
    <row r="1038">
      <c r="A1038" s="15">
        <v>1036.0</v>
      </c>
      <c r="B1038" s="16" t="s">
        <v>841</v>
      </c>
      <c r="C1038" s="18" t="s">
        <v>1688</v>
      </c>
      <c r="D1038" s="16" t="s">
        <v>830</v>
      </c>
      <c r="E1038" s="16" t="s">
        <v>710</v>
      </c>
      <c r="F1038" s="16" t="s">
        <v>4697</v>
      </c>
      <c r="G1038" s="16" t="s">
        <v>4684</v>
      </c>
      <c r="H1038" s="20" t="s">
        <v>229</v>
      </c>
      <c r="I1038" s="21" t="s">
        <v>70</v>
      </c>
      <c r="J1038" s="22" t="s">
        <v>4512</v>
      </c>
      <c r="K1038" s="23">
        <v>41.0</v>
      </c>
      <c r="L1038" s="24">
        <v>31.0</v>
      </c>
      <c r="M1038" s="24" t="str">
        <f>IFERROR(VLOOKUP(D1038,'Chủ đề bài nguồn'!$A$2:$C$735,3,0),"Khác")</f>
        <v>Ngoại tệ &amp; chuyển tiền quốc tế</v>
      </c>
      <c r="N1038" s="24"/>
    </row>
    <row r="1039">
      <c r="A1039" s="15">
        <v>1037.0</v>
      </c>
      <c r="B1039" s="16" t="s">
        <v>841</v>
      </c>
      <c r="C1039" s="18" t="s">
        <v>1688</v>
      </c>
      <c r="D1039" s="16" t="s">
        <v>477</v>
      </c>
      <c r="E1039" s="16" t="s">
        <v>4522</v>
      </c>
      <c r="F1039" s="16" t="s">
        <v>4698</v>
      </c>
      <c r="G1039" s="16" t="s">
        <v>4684</v>
      </c>
      <c r="H1039" s="20" t="s">
        <v>229</v>
      </c>
      <c r="I1039" s="21" t="s">
        <v>70</v>
      </c>
      <c r="J1039" s="22" t="s">
        <v>4512</v>
      </c>
      <c r="K1039" s="23">
        <v>41.0</v>
      </c>
      <c r="L1039" s="24">
        <v>31.0</v>
      </c>
      <c r="M1039" s="24" t="str">
        <f>IFERROR(VLOOKUP(D1039,'Chủ đề bài nguồn'!$A$2:$C$735,3,0),"Khác")</f>
        <v>Ngoại tệ &amp; chuyển tiền quốc tế</v>
      </c>
      <c r="N1039" s="24"/>
    </row>
    <row r="1040">
      <c r="A1040" s="15">
        <v>1038.0</v>
      </c>
      <c r="B1040" s="16" t="s">
        <v>841</v>
      </c>
      <c r="C1040" s="18" t="s">
        <v>3621</v>
      </c>
      <c r="D1040" s="16" t="s">
        <v>1047</v>
      </c>
      <c r="E1040" s="16" t="s">
        <v>4540</v>
      </c>
      <c r="F1040" s="16" t="s">
        <v>4699</v>
      </c>
      <c r="G1040" s="16" t="s">
        <v>4700</v>
      </c>
      <c r="H1040" s="20" t="s">
        <v>229</v>
      </c>
      <c r="I1040" s="21" t="s">
        <v>70</v>
      </c>
      <c r="J1040" s="22" t="s">
        <v>71</v>
      </c>
      <c r="K1040" s="23">
        <v>41.0</v>
      </c>
      <c r="L1040" s="24">
        <v>31.0</v>
      </c>
      <c r="M1040" s="24" t="str">
        <f>IFERROR(VLOOKUP(D1040,'Chủ đề bài nguồn'!$A$2:$C$735,3,0),"Khác")</f>
        <v>Ngoại tệ &amp; chuyển tiền quốc tế</v>
      </c>
      <c r="N1040" s="24"/>
    </row>
    <row r="1041">
      <c r="A1041" s="15">
        <v>1039.0</v>
      </c>
      <c r="B1041" s="16" t="s">
        <v>841</v>
      </c>
      <c r="C1041" s="18" t="s">
        <v>3621</v>
      </c>
      <c r="D1041" s="16" t="s">
        <v>908</v>
      </c>
      <c r="E1041" s="16" t="s">
        <v>4613</v>
      </c>
      <c r="F1041" s="16" t="s">
        <v>4701</v>
      </c>
      <c r="G1041" s="16" t="s">
        <v>4702</v>
      </c>
      <c r="H1041" s="20" t="s">
        <v>229</v>
      </c>
      <c r="I1041" s="21" t="s">
        <v>70</v>
      </c>
      <c r="J1041" s="22" t="s">
        <v>4512</v>
      </c>
      <c r="K1041" s="23">
        <v>41.0</v>
      </c>
      <c r="L1041" s="24">
        <v>31.0</v>
      </c>
      <c r="M1041" s="24" t="str">
        <f>IFERROR(VLOOKUP(D1041,'Chủ đề bài nguồn'!$A$2:$C$735,3,0),"Khác")</f>
        <v>Ngoại tệ &amp; chuyển tiền quốc tế</v>
      </c>
      <c r="N1041" s="24"/>
    </row>
    <row r="1042">
      <c r="A1042" s="15">
        <v>1040.0</v>
      </c>
      <c r="B1042" s="16" t="s">
        <v>841</v>
      </c>
      <c r="C1042" s="18" t="s">
        <v>3621</v>
      </c>
      <c r="D1042" s="16" t="s">
        <v>867</v>
      </c>
      <c r="E1042" s="16" t="s">
        <v>4703</v>
      </c>
      <c r="F1042" s="16" t="s">
        <v>4704</v>
      </c>
      <c r="G1042" s="16" t="s">
        <v>4702</v>
      </c>
      <c r="H1042" s="20" t="s">
        <v>229</v>
      </c>
      <c r="I1042" s="21" t="s">
        <v>70</v>
      </c>
      <c r="J1042" s="22" t="s">
        <v>4512</v>
      </c>
      <c r="K1042" s="23">
        <v>41.0</v>
      </c>
      <c r="L1042" s="24">
        <v>31.0</v>
      </c>
      <c r="M1042" s="24" t="str">
        <f>IFERROR(VLOOKUP(D1042,'Chủ đề bài nguồn'!$A$2:$C$735,3,0),"Khác")</f>
        <v>Ngoại tệ &amp; chuyển tiền quốc tế</v>
      </c>
      <c r="N1042" s="24"/>
    </row>
    <row r="1043">
      <c r="A1043" s="15">
        <v>1041.0</v>
      </c>
      <c r="B1043" s="16" t="s">
        <v>841</v>
      </c>
      <c r="C1043" s="18" t="s">
        <v>3621</v>
      </c>
      <c r="D1043" s="16" t="s">
        <v>1020</v>
      </c>
      <c r="E1043" s="16" t="s">
        <v>4705</v>
      </c>
      <c r="F1043" s="16" t="s">
        <v>4706</v>
      </c>
      <c r="G1043" s="16" t="s">
        <v>4707</v>
      </c>
      <c r="H1043" s="20" t="s">
        <v>229</v>
      </c>
      <c r="I1043" s="21" t="s">
        <v>70</v>
      </c>
      <c r="J1043" s="22" t="s">
        <v>1255</v>
      </c>
      <c r="K1043" s="23">
        <v>41.0</v>
      </c>
      <c r="L1043" s="24">
        <v>31.0</v>
      </c>
      <c r="M1043" s="24" t="str">
        <f>IFERROR(VLOOKUP(D1043,'Chủ đề bài nguồn'!$A$2:$C$735,3,0),"Khác")</f>
        <v>Ngoại tệ &amp; chuyển tiền quốc tế</v>
      </c>
      <c r="N1043" s="24"/>
    </row>
    <row r="1044">
      <c r="A1044" s="15">
        <v>1042.0</v>
      </c>
      <c r="B1044" s="16" t="s">
        <v>830</v>
      </c>
      <c r="C1044" s="18" t="s">
        <v>3642</v>
      </c>
      <c r="D1044" s="16" t="s">
        <v>772</v>
      </c>
      <c r="E1044" s="16" t="s">
        <v>4708</v>
      </c>
      <c r="F1044" s="16" t="s">
        <v>4709</v>
      </c>
      <c r="G1044" s="16" t="s">
        <v>4710</v>
      </c>
      <c r="H1044" s="20" t="s">
        <v>69</v>
      </c>
      <c r="I1044" s="21" t="s">
        <v>70</v>
      </c>
      <c r="J1044" s="22" t="s">
        <v>71</v>
      </c>
      <c r="K1044" s="23">
        <v>42.0</v>
      </c>
      <c r="L1044" s="24">
        <v>10.0</v>
      </c>
      <c r="M1044" s="24" t="str">
        <f>IFERROR(VLOOKUP(D1044,'Chủ đề bài nguồn'!$A$2:$C$735,3,0),"Khác")</f>
        <v>Ngoại tệ &amp; chuyển tiền quốc tế</v>
      </c>
      <c r="N1044" s="24"/>
    </row>
    <row r="1045">
      <c r="A1045" s="15">
        <v>1043.0</v>
      </c>
      <c r="B1045" s="16" t="s">
        <v>830</v>
      </c>
      <c r="C1045" s="18" t="s">
        <v>3642</v>
      </c>
      <c r="D1045" s="16" t="s">
        <v>3150</v>
      </c>
      <c r="E1045" s="16" t="s">
        <v>4711</v>
      </c>
      <c r="F1045" s="16" t="s">
        <v>4712</v>
      </c>
      <c r="G1045" s="16" t="s">
        <v>4713</v>
      </c>
      <c r="H1045" s="20" t="s">
        <v>69</v>
      </c>
      <c r="I1045" s="21" t="s">
        <v>70</v>
      </c>
      <c r="J1045" s="22" t="s">
        <v>71</v>
      </c>
      <c r="K1045" s="23">
        <v>42.0</v>
      </c>
      <c r="L1045" s="24">
        <v>11.0</v>
      </c>
      <c r="M1045" s="24" t="str">
        <f>IFERROR(VLOOKUP(D1045,'Chủ đề bài nguồn'!$A$2:$C$735,3,0),"Khác")</f>
        <v>Thanh toán, chuyển khoản &amp; QR</v>
      </c>
      <c r="N1045" s="24"/>
    </row>
    <row r="1046">
      <c r="A1046" s="15">
        <v>1044.0</v>
      </c>
      <c r="B1046" s="16" t="s">
        <v>830</v>
      </c>
      <c r="C1046" s="18" t="s">
        <v>3642</v>
      </c>
      <c r="D1046" s="16" t="s">
        <v>2786</v>
      </c>
      <c r="E1046" s="16" t="s">
        <v>4714</v>
      </c>
      <c r="F1046" s="16" t="s">
        <v>4715</v>
      </c>
      <c r="G1046" s="16" t="s">
        <v>4716</v>
      </c>
      <c r="H1046" s="20" t="s">
        <v>69</v>
      </c>
      <c r="I1046" s="21" t="s">
        <v>70</v>
      </c>
      <c r="J1046" s="22" t="s">
        <v>134</v>
      </c>
      <c r="K1046" s="23">
        <v>42.0</v>
      </c>
      <c r="L1046" s="24">
        <v>11.0</v>
      </c>
      <c r="M1046" s="24" t="str">
        <f>IFERROR(VLOOKUP(D1046,'Chủ đề bài nguồn'!$A$2:$C$735,3,0),"Khác")</f>
        <v>Tiết kiệm &amp; lãi suất tiền gửi</v>
      </c>
      <c r="N1046" s="24"/>
    </row>
    <row r="1047">
      <c r="A1047" s="15">
        <v>1045.0</v>
      </c>
      <c r="B1047" s="16" t="s">
        <v>830</v>
      </c>
      <c r="C1047" s="18" t="s">
        <v>3642</v>
      </c>
      <c r="D1047" s="16" t="s">
        <v>908</v>
      </c>
      <c r="E1047" s="16" t="s">
        <v>4613</v>
      </c>
      <c r="F1047" s="16" t="s">
        <v>4717</v>
      </c>
      <c r="G1047" s="16" t="s">
        <v>4718</v>
      </c>
      <c r="H1047" s="20" t="s">
        <v>155</v>
      </c>
      <c r="I1047" s="21" t="s">
        <v>70</v>
      </c>
      <c r="J1047" s="22" t="s">
        <v>71</v>
      </c>
      <c r="K1047" s="23">
        <v>42.0</v>
      </c>
      <c r="L1047" s="24">
        <v>21.0</v>
      </c>
      <c r="M1047" s="24" t="str">
        <f>IFERROR(VLOOKUP(D1047,'Chủ đề bài nguồn'!$A$2:$C$735,3,0),"Khác")</f>
        <v>Ngoại tệ &amp; chuyển tiền quốc tế</v>
      </c>
      <c r="N1047" s="24"/>
    </row>
    <row r="1048">
      <c r="A1048" s="15">
        <v>1046.0</v>
      </c>
      <c r="B1048" s="16" t="s">
        <v>830</v>
      </c>
      <c r="C1048" s="18" t="s">
        <v>3642</v>
      </c>
      <c r="D1048" s="16" t="s">
        <v>2879</v>
      </c>
      <c r="E1048" s="16" t="s">
        <v>4634</v>
      </c>
      <c r="F1048" s="16" t="s">
        <v>4719</v>
      </c>
      <c r="G1048" s="16" t="s">
        <v>4720</v>
      </c>
      <c r="H1048" s="20" t="s">
        <v>155</v>
      </c>
      <c r="I1048" s="21" t="s">
        <v>70</v>
      </c>
      <c r="J1048" s="22" t="s">
        <v>619</v>
      </c>
      <c r="K1048" s="23">
        <v>42.0</v>
      </c>
      <c r="L1048" s="24">
        <v>21.0</v>
      </c>
      <c r="M1048" s="24" t="str">
        <f>IFERROR(VLOOKUP(D1048,'Chủ đề bài nguồn'!$A$2:$C$735,3,0),"Khác")</f>
        <v>Ngoại tệ &amp; chuyển tiền quốc tế</v>
      </c>
      <c r="N1048" s="24"/>
    </row>
    <row r="1049">
      <c r="A1049" s="15">
        <v>1047.0</v>
      </c>
      <c r="B1049" s="16" t="s">
        <v>830</v>
      </c>
      <c r="C1049" s="18" t="s">
        <v>3642</v>
      </c>
      <c r="D1049" s="16" t="s">
        <v>3145</v>
      </c>
      <c r="E1049" s="16" t="s">
        <v>4721</v>
      </c>
      <c r="F1049" s="16" t="s">
        <v>4722</v>
      </c>
      <c r="G1049" s="16" t="s">
        <v>4723</v>
      </c>
      <c r="H1049" s="20" t="s">
        <v>155</v>
      </c>
      <c r="I1049" s="21" t="s">
        <v>70</v>
      </c>
      <c r="J1049" s="22" t="s">
        <v>71</v>
      </c>
      <c r="K1049" s="23">
        <v>42.0</v>
      </c>
      <c r="L1049" s="24">
        <v>21.0</v>
      </c>
      <c r="M1049" s="24" t="str">
        <f>IFERROR(VLOOKUP(D1049,'Chủ đề bài nguồn'!$A$2:$C$735,3,0),"Khác")</f>
        <v>Ngoại tệ &amp; chuyển tiền quốc tế</v>
      </c>
      <c r="N1049" s="24"/>
    </row>
    <row r="1050">
      <c r="A1050" s="15">
        <v>1048.0</v>
      </c>
      <c r="B1050" s="16" t="s">
        <v>830</v>
      </c>
      <c r="C1050" s="18" t="s">
        <v>1706</v>
      </c>
      <c r="D1050" s="16" t="s">
        <v>597</v>
      </c>
      <c r="E1050" s="16" t="s">
        <v>4517</v>
      </c>
      <c r="F1050" s="16" t="s">
        <v>4724</v>
      </c>
      <c r="G1050" s="16" t="s">
        <v>4725</v>
      </c>
      <c r="H1050" s="20" t="s">
        <v>229</v>
      </c>
      <c r="I1050" s="21" t="s">
        <v>70</v>
      </c>
      <c r="J1050" s="22" t="s">
        <v>4512</v>
      </c>
      <c r="K1050" s="23">
        <v>42.0</v>
      </c>
      <c r="L1050" s="24">
        <v>31.0</v>
      </c>
      <c r="M1050" s="24" t="str">
        <f>IFERROR(VLOOKUP(D1050,'Chủ đề bài nguồn'!$A$2:$C$735,3,0),"Khác")</f>
        <v>Ngoại tệ &amp; chuyển tiền quốc tế</v>
      </c>
      <c r="N1050" s="24"/>
    </row>
    <row r="1051">
      <c r="A1051" s="15">
        <v>1049.0</v>
      </c>
      <c r="B1051" s="16" t="s">
        <v>830</v>
      </c>
      <c r="C1051" s="18" t="s">
        <v>1706</v>
      </c>
      <c r="D1051" s="16" t="s">
        <v>732</v>
      </c>
      <c r="E1051" s="16" t="s">
        <v>710</v>
      </c>
      <c r="F1051" s="16" t="s">
        <v>4726</v>
      </c>
      <c r="G1051" s="16" t="s">
        <v>4725</v>
      </c>
      <c r="H1051" s="20" t="s">
        <v>229</v>
      </c>
      <c r="I1051" s="21" t="s">
        <v>70</v>
      </c>
      <c r="J1051" s="22" t="s">
        <v>4512</v>
      </c>
      <c r="K1051" s="23">
        <v>42.0</v>
      </c>
      <c r="L1051" s="24">
        <v>31.0</v>
      </c>
      <c r="M1051" s="24" t="str">
        <f>IFERROR(VLOOKUP(D1051,'Chủ đề bài nguồn'!$A$2:$C$735,3,0),"Khác")</f>
        <v>Ngoại tệ &amp; chuyển tiền quốc tế</v>
      </c>
      <c r="N1051" s="24"/>
    </row>
    <row r="1052">
      <c r="A1052" s="15">
        <v>1050.0</v>
      </c>
      <c r="B1052" s="16" t="s">
        <v>830</v>
      </c>
      <c r="C1052" s="18" t="s">
        <v>1706</v>
      </c>
      <c r="D1052" s="16" t="s">
        <v>27</v>
      </c>
      <c r="E1052" s="16" t="s">
        <v>4553</v>
      </c>
      <c r="F1052" s="16" t="s">
        <v>4727</v>
      </c>
      <c r="G1052" s="16" t="s">
        <v>4725</v>
      </c>
      <c r="H1052" s="20" t="s">
        <v>229</v>
      </c>
      <c r="I1052" s="21" t="s">
        <v>70</v>
      </c>
      <c r="J1052" s="22" t="s">
        <v>4512</v>
      </c>
      <c r="K1052" s="23">
        <v>42.0</v>
      </c>
      <c r="L1052" s="24">
        <v>31.0</v>
      </c>
      <c r="M1052" s="24" t="str">
        <f>IFERROR(VLOOKUP(D1052,'Chủ đề bài nguồn'!$A$2:$C$735,3,0),"Khác")</f>
        <v>Ngoại tệ &amp; chuyển tiền quốc tế</v>
      </c>
      <c r="N1052" s="24"/>
    </row>
    <row r="1053">
      <c r="A1053" s="15">
        <v>1051.0</v>
      </c>
      <c r="B1053" s="16" t="s">
        <v>830</v>
      </c>
      <c r="C1053" s="18" t="s">
        <v>1706</v>
      </c>
      <c r="D1053" s="16" t="s">
        <v>804</v>
      </c>
      <c r="E1053" s="16" t="s">
        <v>710</v>
      </c>
      <c r="F1053" s="16" t="s">
        <v>4728</v>
      </c>
      <c r="G1053" s="16" t="s">
        <v>4725</v>
      </c>
      <c r="H1053" s="20" t="s">
        <v>229</v>
      </c>
      <c r="I1053" s="21" t="s">
        <v>70</v>
      </c>
      <c r="J1053" s="22" t="s">
        <v>4512</v>
      </c>
      <c r="K1053" s="23">
        <v>42.0</v>
      </c>
      <c r="L1053" s="24">
        <v>31.0</v>
      </c>
      <c r="M1053" s="24" t="str">
        <f>IFERROR(VLOOKUP(D1053,'Chủ đề bài nguồn'!$A$2:$C$735,3,0),"Khác")</f>
        <v>Ngoại tệ &amp; chuyển tiền quốc tế</v>
      </c>
      <c r="N1053" s="24"/>
    </row>
    <row r="1054">
      <c r="A1054" s="15">
        <v>1052.0</v>
      </c>
      <c r="B1054" s="16" t="s">
        <v>830</v>
      </c>
      <c r="C1054" s="18" t="s">
        <v>1706</v>
      </c>
      <c r="D1054" s="16" t="s">
        <v>641</v>
      </c>
      <c r="E1054" s="16" t="s">
        <v>4729</v>
      </c>
      <c r="F1054" s="16" t="s">
        <v>4730</v>
      </c>
      <c r="G1054" s="16" t="s">
        <v>4725</v>
      </c>
      <c r="H1054" s="20" t="s">
        <v>229</v>
      </c>
      <c r="I1054" s="21" t="s">
        <v>70</v>
      </c>
      <c r="J1054" s="22" t="s">
        <v>4512</v>
      </c>
      <c r="K1054" s="23">
        <v>42.0</v>
      </c>
      <c r="L1054" s="24">
        <v>31.0</v>
      </c>
      <c r="M1054" s="24" t="str">
        <f>IFERROR(VLOOKUP(D1054,'Chủ đề bài nguồn'!$A$2:$C$735,3,0),"Khác")</f>
        <v>Ngoại tệ &amp; chuyển tiền quốc tế</v>
      </c>
      <c r="N1054" s="24"/>
    </row>
    <row r="1055">
      <c r="A1055" s="15">
        <v>1053.0</v>
      </c>
      <c r="B1055" s="16" t="s">
        <v>830</v>
      </c>
      <c r="C1055" s="18" t="s">
        <v>3642</v>
      </c>
      <c r="D1055" s="16" t="s">
        <v>1917</v>
      </c>
      <c r="E1055" s="16" t="s">
        <v>4731</v>
      </c>
      <c r="F1055" s="16" t="s">
        <v>4732</v>
      </c>
      <c r="G1055" s="16" t="s">
        <v>4733</v>
      </c>
      <c r="H1055" s="20" t="s">
        <v>229</v>
      </c>
      <c r="I1055" s="21" t="s">
        <v>70</v>
      </c>
      <c r="J1055" s="22" t="s">
        <v>71</v>
      </c>
      <c r="K1055" s="23">
        <v>42.0</v>
      </c>
      <c r="L1055" s="24">
        <v>31.0</v>
      </c>
      <c r="M1055" s="24" t="str">
        <f>IFERROR(VLOOKUP(D1055,'Chủ đề bài nguồn'!$A$2:$C$735,3,0),"Khác")</f>
        <v>Ngoại tệ &amp; chuyển tiền quốc tế</v>
      </c>
      <c r="N1055" s="24"/>
    </row>
    <row r="1056">
      <c r="A1056" s="15">
        <v>1054.0</v>
      </c>
      <c r="B1056" s="16" t="s">
        <v>830</v>
      </c>
      <c r="C1056" s="18" t="s">
        <v>3642</v>
      </c>
      <c r="D1056" s="16" t="s">
        <v>1047</v>
      </c>
      <c r="E1056" s="16" t="s">
        <v>4734</v>
      </c>
      <c r="F1056" s="16" t="s">
        <v>4735</v>
      </c>
      <c r="G1056" s="16" t="s">
        <v>4736</v>
      </c>
      <c r="H1056" s="20" t="s">
        <v>229</v>
      </c>
      <c r="I1056" s="21" t="s">
        <v>70</v>
      </c>
      <c r="J1056" s="22" t="s">
        <v>71</v>
      </c>
      <c r="K1056" s="23">
        <v>42.0</v>
      </c>
      <c r="L1056" s="24">
        <v>31.0</v>
      </c>
      <c r="M1056" s="24" t="str">
        <f>IFERROR(VLOOKUP(D1056,'Chủ đề bài nguồn'!$A$2:$C$735,3,0),"Khác")</f>
        <v>Ngoại tệ &amp; chuyển tiền quốc tế</v>
      </c>
      <c r="N1056" s="24"/>
    </row>
    <row r="1057">
      <c r="A1057" s="15">
        <v>1055.0</v>
      </c>
      <c r="B1057" s="16" t="s">
        <v>830</v>
      </c>
      <c r="C1057" s="18" t="s">
        <v>3642</v>
      </c>
      <c r="D1057" s="16" t="s">
        <v>867</v>
      </c>
      <c r="E1057" s="16" t="s">
        <v>4574</v>
      </c>
      <c r="F1057" s="16" t="s">
        <v>4737</v>
      </c>
      <c r="G1057" s="16" t="s">
        <v>4738</v>
      </c>
      <c r="H1057" s="20" t="s">
        <v>229</v>
      </c>
      <c r="I1057" s="21" t="s">
        <v>70</v>
      </c>
      <c r="J1057" s="22" t="s">
        <v>4512</v>
      </c>
      <c r="K1057" s="23">
        <v>42.0</v>
      </c>
      <c r="L1057" s="24">
        <v>31.0</v>
      </c>
      <c r="M1057" s="24" t="str">
        <f>IFERROR(VLOOKUP(D1057,'Chủ đề bài nguồn'!$A$2:$C$735,3,0),"Khác")</f>
        <v>Ngoại tệ &amp; chuyển tiền quốc tế</v>
      </c>
      <c r="N1057" s="24"/>
    </row>
    <row r="1058">
      <c r="A1058" s="15">
        <v>1056.0</v>
      </c>
      <c r="B1058" s="16" t="s">
        <v>830</v>
      </c>
      <c r="C1058" s="18" t="s">
        <v>3642</v>
      </c>
      <c r="D1058" s="16" t="s">
        <v>2837</v>
      </c>
      <c r="E1058" s="16" t="s">
        <v>4739</v>
      </c>
      <c r="F1058" s="16" t="s">
        <v>4740</v>
      </c>
      <c r="G1058" s="16" t="s">
        <v>4741</v>
      </c>
      <c r="H1058" s="20" t="s">
        <v>229</v>
      </c>
      <c r="I1058" s="21" t="s">
        <v>70</v>
      </c>
      <c r="J1058" s="22" t="s">
        <v>71</v>
      </c>
      <c r="K1058" s="23">
        <v>42.0</v>
      </c>
      <c r="L1058" s="24">
        <v>31.0</v>
      </c>
      <c r="M1058" s="24" t="str">
        <f>IFERROR(VLOOKUP(D1058,'Chủ đề bài nguồn'!$A$2:$C$735,3,0),"Khác")</f>
        <v>Ngoại tệ &amp; chuyển tiền quốc tế</v>
      </c>
      <c r="N1058" s="24"/>
    </row>
    <row r="1059">
      <c r="A1059" s="15">
        <v>1057.0</v>
      </c>
      <c r="B1059" s="16" t="s">
        <v>830</v>
      </c>
      <c r="C1059" s="18" t="s">
        <v>3642</v>
      </c>
      <c r="D1059" s="16" t="s">
        <v>2781</v>
      </c>
      <c r="E1059" s="16" t="s">
        <v>4742</v>
      </c>
      <c r="F1059" s="16" t="s">
        <v>4743</v>
      </c>
      <c r="G1059" s="16" t="s">
        <v>4744</v>
      </c>
      <c r="H1059" s="20" t="s">
        <v>229</v>
      </c>
      <c r="I1059" s="21" t="s">
        <v>70</v>
      </c>
      <c r="J1059" s="22" t="s">
        <v>71</v>
      </c>
      <c r="K1059" s="23">
        <v>42.0</v>
      </c>
      <c r="L1059" s="24">
        <v>31.0</v>
      </c>
      <c r="M1059" s="24" t="str">
        <f>IFERROR(VLOOKUP(D1059,'Chủ đề bài nguồn'!$A$2:$C$735,3,0),"Khác")</f>
        <v>Ngoại tệ &amp; chuyển tiền quốc tế</v>
      </c>
      <c r="N1059" s="24"/>
    </row>
    <row r="1060">
      <c r="A1060" s="15">
        <v>1058.0</v>
      </c>
      <c r="B1060" s="16" t="s">
        <v>1002</v>
      </c>
      <c r="C1060" s="18" t="s">
        <v>3673</v>
      </c>
      <c r="D1060" s="16" t="s">
        <v>804</v>
      </c>
      <c r="E1060" s="16" t="s">
        <v>4745</v>
      </c>
      <c r="F1060" s="16" t="s">
        <v>4746</v>
      </c>
      <c r="G1060" s="16" t="s">
        <v>4747</v>
      </c>
      <c r="H1060" s="20" t="s">
        <v>69</v>
      </c>
      <c r="I1060" s="21" t="s">
        <v>70</v>
      </c>
      <c r="J1060" s="22" t="s">
        <v>71</v>
      </c>
      <c r="K1060" s="23">
        <v>43.0</v>
      </c>
      <c r="L1060" s="24">
        <v>10.0</v>
      </c>
      <c r="M1060" s="24" t="str">
        <f>IFERROR(VLOOKUP(D1060,'Chủ đề bài nguồn'!$A$2:$C$735,3,0),"Khác")</f>
        <v>Ngoại tệ &amp; chuyển tiền quốc tế</v>
      </c>
      <c r="N1060" s="24"/>
    </row>
    <row r="1061">
      <c r="A1061" s="15">
        <v>1059.0</v>
      </c>
      <c r="B1061" s="16" t="s">
        <v>1002</v>
      </c>
      <c r="C1061" s="18" t="s">
        <v>3677</v>
      </c>
      <c r="D1061" s="16" t="s">
        <v>3050</v>
      </c>
      <c r="E1061" s="16" t="s">
        <v>4748</v>
      </c>
      <c r="F1061" s="16" t="s">
        <v>4719</v>
      </c>
      <c r="G1061" s="16" t="s">
        <v>4749</v>
      </c>
      <c r="H1061" s="20" t="s">
        <v>229</v>
      </c>
      <c r="I1061" s="21" t="s">
        <v>70</v>
      </c>
      <c r="J1061" s="22" t="s">
        <v>2506</v>
      </c>
      <c r="K1061" s="23">
        <v>43.0</v>
      </c>
      <c r="L1061" s="24">
        <v>31.0</v>
      </c>
      <c r="M1061" s="24" t="str">
        <f>IFERROR(VLOOKUP(D1061,'Chủ đề bài nguồn'!$A$2:$C$735,3,0),"Khác")</f>
        <v>Ngoại tệ &amp; chuyển tiền quốc tế</v>
      </c>
      <c r="N1061" s="24"/>
    </row>
    <row r="1062">
      <c r="A1062" s="15">
        <v>1060.0</v>
      </c>
      <c r="B1062" s="16" t="s">
        <v>1002</v>
      </c>
      <c r="C1062" s="18" t="s">
        <v>3677</v>
      </c>
      <c r="D1062" s="16" t="s">
        <v>1917</v>
      </c>
      <c r="E1062" s="16" t="s">
        <v>4750</v>
      </c>
      <c r="F1062" s="16" t="s">
        <v>4751</v>
      </c>
      <c r="G1062" s="16" t="s">
        <v>4752</v>
      </c>
      <c r="H1062" s="20" t="s">
        <v>229</v>
      </c>
      <c r="I1062" s="21" t="s">
        <v>70</v>
      </c>
      <c r="J1062" s="22" t="s">
        <v>71</v>
      </c>
      <c r="K1062" s="23">
        <v>43.0</v>
      </c>
      <c r="L1062" s="24">
        <v>31.0</v>
      </c>
      <c r="M1062" s="24" t="str">
        <f>IFERROR(VLOOKUP(D1062,'Chủ đề bài nguồn'!$A$2:$C$735,3,0),"Khác")</f>
        <v>Ngoại tệ &amp; chuyển tiền quốc tế</v>
      </c>
      <c r="N1062" s="24"/>
    </row>
    <row r="1063">
      <c r="A1063" s="15">
        <v>1061.0</v>
      </c>
      <c r="B1063" s="16" t="s">
        <v>1002</v>
      </c>
      <c r="C1063" s="18" t="s">
        <v>3677</v>
      </c>
      <c r="D1063" s="16" t="s">
        <v>2879</v>
      </c>
      <c r="E1063" s="16" t="s">
        <v>4501</v>
      </c>
      <c r="F1063" s="16" t="s">
        <v>4753</v>
      </c>
      <c r="G1063" s="16" t="s">
        <v>4754</v>
      </c>
      <c r="H1063" s="20" t="s">
        <v>229</v>
      </c>
      <c r="I1063" s="21" t="s">
        <v>70</v>
      </c>
      <c r="J1063" s="40" t="s">
        <v>4755</v>
      </c>
      <c r="K1063" s="23">
        <v>43.0</v>
      </c>
      <c r="L1063" s="24">
        <v>31.0</v>
      </c>
      <c r="M1063" s="24" t="str">
        <f>IFERROR(VLOOKUP(D1063,'Chủ đề bài nguồn'!$A$2:$C$735,3,0),"Khác")</f>
        <v>Ngoại tệ &amp; chuyển tiền quốc tế</v>
      </c>
      <c r="N1063" s="24"/>
    </row>
    <row r="1064">
      <c r="A1064" s="15">
        <v>1062.0</v>
      </c>
      <c r="B1064" s="16" t="s">
        <v>1002</v>
      </c>
      <c r="C1064" s="18" t="s">
        <v>3677</v>
      </c>
      <c r="D1064" s="16" t="s">
        <v>1047</v>
      </c>
      <c r="E1064" s="16" t="s">
        <v>4540</v>
      </c>
      <c r="F1064" s="16" t="s">
        <v>4719</v>
      </c>
      <c r="G1064" s="16" t="s">
        <v>4756</v>
      </c>
      <c r="H1064" s="20" t="s">
        <v>229</v>
      </c>
      <c r="I1064" s="21" t="s">
        <v>70</v>
      </c>
      <c r="J1064" s="22" t="s">
        <v>71</v>
      </c>
      <c r="K1064" s="23">
        <v>43.0</v>
      </c>
      <c r="L1064" s="24">
        <v>31.0</v>
      </c>
      <c r="M1064" s="24" t="str">
        <f>IFERROR(VLOOKUP(D1064,'Chủ đề bài nguồn'!$A$2:$C$735,3,0),"Khác")</f>
        <v>Ngoại tệ &amp; chuyển tiền quốc tế</v>
      </c>
      <c r="N1064" s="24"/>
    </row>
    <row r="1065">
      <c r="A1065" s="15">
        <v>1063.0</v>
      </c>
      <c r="B1065" s="16" t="s">
        <v>1002</v>
      </c>
      <c r="C1065" s="18" t="s">
        <v>3677</v>
      </c>
      <c r="D1065" s="16" t="s">
        <v>867</v>
      </c>
      <c r="E1065" s="16" t="s">
        <v>4757</v>
      </c>
      <c r="F1065" s="16" t="s">
        <v>4758</v>
      </c>
      <c r="G1065" s="16" t="s">
        <v>4759</v>
      </c>
      <c r="H1065" s="20" t="s">
        <v>229</v>
      </c>
      <c r="I1065" s="21" t="s">
        <v>70</v>
      </c>
      <c r="J1065" s="22" t="s">
        <v>4512</v>
      </c>
      <c r="K1065" s="23">
        <v>43.0</v>
      </c>
      <c r="L1065" s="24">
        <v>31.0</v>
      </c>
      <c r="M1065" s="24" t="str">
        <f>IFERROR(VLOOKUP(D1065,'Chủ đề bài nguồn'!$A$2:$C$735,3,0),"Khác")</f>
        <v>Ngoại tệ &amp; chuyển tiền quốc tế</v>
      </c>
      <c r="N1065" s="24"/>
    </row>
    <row r="1066">
      <c r="A1066" s="15">
        <v>1064.0</v>
      </c>
      <c r="B1066" s="16" t="s">
        <v>1002</v>
      </c>
      <c r="C1066" s="18" t="s">
        <v>3677</v>
      </c>
      <c r="D1066" s="16" t="s">
        <v>2837</v>
      </c>
      <c r="E1066" s="16" t="s">
        <v>4760</v>
      </c>
      <c r="F1066" s="16" t="s">
        <v>4719</v>
      </c>
      <c r="G1066" s="16" t="s">
        <v>4761</v>
      </c>
      <c r="H1066" s="20" t="s">
        <v>229</v>
      </c>
      <c r="I1066" s="21" t="s">
        <v>70</v>
      </c>
      <c r="J1066" s="22" t="s">
        <v>71</v>
      </c>
      <c r="K1066" s="23">
        <v>43.0</v>
      </c>
      <c r="L1066" s="24">
        <v>31.0</v>
      </c>
      <c r="M1066" s="24" t="str">
        <f>IFERROR(VLOOKUP(D1066,'Chủ đề bài nguồn'!$A$2:$C$735,3,0),"Khác")</f>
        <v>Ngoại tệ &amp; chuyển tiền quốc tế</v>
      </c>
      <c r="N1066" s="24"/>
    </row>
    <row r="1067">
      <c r="A1067" s="15">
        <v>1065.0</v>
      </c>
      <c r="B1067" s="16" t="s">
        <v>1002</v>
      </c>
      <c r="C1067" s="18" t="s">
        <v>3677</v>
      </c>
      <c r="D1067" s="16" t="s">
        <v>2027</v>
      </c>
      <c r="E1067" s="16" t="s">
        <v>2028</v>
      </c>
      <c r="F1067" s="16" t="s">
        <v>4719</v>
      </c>
      <c r="G1067" s="16" t="s">
        <v>4762</v>
      </c>
      <c r="H1067" s="20" t="s">
        <v>229</v>
      </c>
      <c r="I1067" s="21" t="s">
        <v>70</v>
      </c>
      <c r="J1067" s="22" t="s">
        <v>71</v>
      </c>
      <c r="K1067" s="23">
        <v>43.0</v>
      </c>
      <c r="L1067" s="24">
        <v>31.0</v>
      </c>
      <c r="M1067" s="24" t="str">
        <f>IFERROR(VLOOKUP(D1067,'Chủ đề bài nguồn'!$A$2:$C$735,3,0),"Khác")</f>
        <v>Ngoại tệ &amp; chuyển tiền quốc tế</v>
      </c>
      <c r="N1067" s="24"/>
    </row>
    <row r="1068">
      <c r="A1068" s="15">
        <v>1066.0</v>
      </c>
      <c r="B1068" s="16" t="s">
        <v>1002</v>
      </c>
      <c r="C1068" s="18" t="s">
        <v>3677</v>
      </c>
      <c r="D1068" s="16" t="s">
        <v>3210</v>
      </c>
      <c r="E1068" s="16" t="s">
        <v>4763</v>
      </c>
      <c r="F1068" s="16" t="s">
        <v>4764</v>
      </c>
      <c r="G1068" s="16" t="s">
        <v>4765</v>
      </c>
      <c r="H1068" s="20" t="s">
        <v>229</v>
      </c>
      <c r="I1068" s="21" t="s">
        <v>70</v>
      </c>
      <c r="J1068" s="22" t="s">
        <v>71</v>
      </c>
      <c r="K1068" s="23">
        <v>43.0</v>
      </c>
      <c r="L1068" s="24">
        <v>31.0</v>
      </c>
      <c r="M1068" s="24" t="str">
        <f>IFERROR(VLOOKUP(D1068,'Chủ đề bài nguồn'!$A$2:$C$735,3,0),"Khác")</f>
        <v>Ngoại tệ &amp; chuyển tiền quốc tế</v>
      </c>
      <c r="N1068" s="24"/>
    </row>
    <row r="1069">
      <c r="A1069" s="15">
        <v>1067.0</v>
      </c>
      <c r="B1069" s="16" t="s">
        <v>1002</v>
      </c>
      <c r="C1069" s="18" t="s">
        <v>3677</v>
      </c>
      <c r="D1069" s="16" t="s">
        <v>2863</v>
      </c>
      <c r="E1069" s="16" t="s">
        <v>4766</v>
      </c>
      <c r="F1069" s="16" t="s">
        <v>4767</v>
      </c>
      <c r="G1069" s="16" t="s">
        <v>4768</v>
      </c>
      <c r="H1069" s="20" t="s">
        <v>229</v>
      </c>
      <c r="I1069" s="21" t="s">
        <v>70</v>
      </c>
      <c r="J1069" s="22" t="s">
        <v>71</v>
      </c>
      <c r="K1069" s="23">
        <v>43.0</v>
      </c>
      <c r="L1069" s="24">
        <v>31.0</v>
      </c>
      <c r="M1069" s="24" t="str">
        <f>IFERROR(VLOOKUP(D1069,'Chủ đề bài nguồn'!$A$2:$C$735,3,0),"Khác")</f>
        <v>Ngoại tệ &amp; chuyển tiền quốc tế</v>
      </c>
      <c r="N1069" s="24"/>
    </row>
    <row r="1070">
      <c r="A1070" s="15">
        <v>1068.0</v>
      </c>
      <c r="B1070" s="16" t="s">
        <v>1002</v>
      </c>
      <c r="C1070" s="18" t="s">
        <v>3677</v>
      </c>
      <c r="D1070" s="16" t="s">
        <v>1038</v>
      </c>
      <c r="E1070" s="16" t="s">
        <v>4769</v>
      </c>
      <c r="F1070" s="16" t="s">
        <v>4770</v>
      </c>
      <c r="G1070" s="16" t="s">
        <v>4771</v>
      </c>
      <c r="H1070" s="20" t="s">
        <v>229</v>
      </c>
      <c r="I1070" s="21" t="s">
        <v>70</v>
      </c>
      <c r="J1070" s="22" t="s">
        <v>71</v>
      </c>
      <c r="K1070" s="23">
        <v>43.0</v>
      </c>
      <c r="L1070" s="24">
        <v>31.0</v>
      </c>
      <c r="M1070" s="24" t="str">
        <f>IFERROR(VLOOKUP(D1070,'Chủ đề bài nguồn'!$A$2:$C$735,3,0),"Khác")</f>
        <v>Ngoại tệ &amp; chuyển tiền quốc tế</v>
      </c>
      <c r="N1070" s="24"/>
    </row>
    <row r="1071">
      <c r="A1071" s="15">
        <v>1069.0</v>
      </c>
      <c r="B1071" s="16" t="s">
        <v>641</v>
      </c>
      <c r="C1071" s="18" t="s">
        <v>3687</v>
      </c>
      <c r="D1071" s="16" t="s">
        <v>841</v>
      </c>
      <c r="E1071" s="16" t="s">
        <v>4772</v>
      </c>
      <c r="F1071" s="16" t="s">
        <v>4773</v>
      </c>
      <c r="G1071" s="16" t="s">
        <v>4774</v>
      </c>
      <c r="H1071" s="20" t="s">
        <v>69</v>
      </c>
      <c r="I1071" s="21" t="s">
        <v>70</v>
      </c>
      <c r="J1071" s="22" t="s">
        <v>4775</v>
      </c>
      <c r="K1071" s="23">
        <v>44.0</v>
      </c>
      <c r="L1071" s="24">
        <v>11.0</v>
      </c>
      <c r="M1071" s="24" t="str">
        <f>IFERROR(VLOOKUP(D1071,'Chủ đề bài nguồn'!$A$2:$C$735,3,0),"Khác")</f>
        <v>Ngoại tệ &amp; chuyển tiền quốc tế</v>
      </c>
      <c r="N1071" s="24"/>
    </row>
    <row r="1072">
      <c r="A1072" s="15">
        <v>1070.0</v>
      </c>
      <c r="B1072" s="16" t="s">
        <v>641</v>
      </c>
      <c r="C1072" s="18" t="s">
        <v>3687</v>
      </c>
      <c r="D1072" s="16" t="s">
        <v>2788</v>
      </c>
      <c r="E1072" s="16" t="s">
        <v>4628</v>
      </c>
      <c r="F1072" s="16" t="s">
        <v>4776</v>
      </c>
      <c r="G1072" s="16" t="s">
        <v>4777</v>
      </c>
      <c r="H1072" s="20" t="s">
        <v>69</v>
      </c>
      <c r="I1072" s="21" t="s">
        <v>70</v>
      </c>
      <c r="J1072" s="22" t="s">
        <v>134</v>
      </c>
      <c r="K1072" s="23">
        <v>44.0</v>
      </c>
      <c r="L1072" s="24">
        <v>11.0</v>
      </c>
      <c r="M1072" s="24" t="str">
        <f>IFERROR(VLOOKUP(D1072,'Chủ đề bài nguồn'!$A$2:$C$735,3,0),"Khác")</f>
        <v>Thanh toán, chuyển khoản &amp; QR</v>
      </c>
      <c r="N1072" s="24"/>
    </row>
    <row r="1073">
      <c r="A1073" s="15">
        <v>1071.0</v>
      </c>
      <c r="B1073" s="16" t="s">
        <v>641</v>
      </c>
      <c r="C1073" s="18" t="s">
        <v>1764</v>
      </c>
      <c r="D1073" s="16" t="s">
        <v>926</v>
      </c>
      <c r="E1073" s="16" t="s">
        <v>4778</v>
      </c>
      <c r="F1073" s="16" t="s">
        <v>4779</v>
      </c>
      <c r="G1073" s="16" t="s">
        <v>4780</v>
      </c>
      <c r="H1073" s="20" t="s">
        <v>155</v>
      </c>
      <c r="I1073" s="21" t="s">
        <v>70</v>
      </c>
      <c r="J1073" s="22" t="s">
        <v>71</v>
      </c>
      <c r="K1073" s="23">
        <v>44.0</v>
      </c>
      <c r="L1073" s="24">
        <v>21.0</v>
      </c>
      <c r="M1073" s="24" t="str">
        <f>IFERROR(VLOOKUP(D1073,'Chủ đề bài nguồn'!$A$2:$C$735,3,0),"Khác")</f>
        <v>Ngoại tệ &amp; chuyển tiền quốc tế</v>
      </c>
      <c r="N1073" s="24"/>
    </row>
    <row r="1074">
      <c r="A1074" s="15">
        <v>1072.0</v>
      </c>
      <c r="B1074" s="16" t="s">
        <v>641</v>
      </c>
      <c r="C1074" s="18" t="s">
        <v>3687</v>
      </c>
      <c r="D1074" s="16" t="s">
        <v>979</v>
      </c>
      <c r="E1074" s="16" t="s">
        <v>4781</v>
      </c>
      <c r="F1074" s="16" t="s">
        <v>4782</v>
      </c>
      <c r="G1074" s="16" t="s">
        <v>4774</v>
      </c>
      <c r="H1074" s="20" t="s">
        <v>155</v>
      </c>
      <c r="I1074" s="21" t="s">
        <v>70</v>
      </c>
      <c r="J1074" s="22" t="s">
        <v>4783</v>
      </c>
      <c r="K1074" s="23">
        <v>44.0</v>
      </c>
      <c r="L1074" s="24">
        <v>21.0</v>
      </c>
      <c r="M1074" s="24" t="str">
        <f>IFERROR(VLOOKUP(D1074,'Chủ đề bài nguồn'!$A$2:$C$735,3,0),"Khác")</f>
        <v>Ngoại tệ &amp; chuyển tiền quốc tế</v>
      </c>
      <c r="N1074" s="24"/>
    </row>
    <row r="1075">
      <c r="A1075" s="15">
        <v>1073.0</v>
      </c>
      <c r="B1075" s="16" t="s">
        <v>641</v>
      </c>
      <c r="C1075" s="18" t="s">
        <v>1764</v>
      </c>
      <c r="D1075" s="16" t="s">
        <v>804</v>
      </c>
      <c r="E1075" s="16" t="s">
        <v>4745</v>
      </c>
      <c r="F1075" s="16" t="s">
        <v>4784</v>
      </c>
      <c r="G1075" s="16" t="s">
        <v>4780</v>
      </c>
      <c r="H1075" s="20" t="s">
        <v>229</v>
      </c>
      <c r="I1075" s="21" t="s">
        <v>70</v>
      </c>
      <c r="J1075" s="22" t="s">
        <v>4512</v>
      </c>
      <c r="K1075" s="23">
        <v>44.0</v>
      </c>
      <c r="L1075" s="24">
        <v>31.0</v>
      </c>
      <c r="M1075" s="24" t="str">
        <f>IFERROR(VLOOKUP(D1075,'Chủ đề bài nguồn'!$A$2:$C$735,3,0),"Khác")</f>
        <v>Ngoại tệ &amp; chuyển tiền quốc tế</v>
      </c>
      <c r="N1075" s="24"/>
    </row>
    <row r="1076">
      <c r="A1076" s="15">
        <v>1074.0</v>
      </c>
      <c r="B1076" s="16" t="s">
        <v>641</v>
      </c>
      <c r="C1076" s="18" t="s">
        <v>1764</v>
      </c>
      <c r="D1076" s="16" t="s">
        <v>626</v>
      </c>
      <c r="E1076" s="16" t="s">
        <v>4785</v>
      </c>
      <c r="F1076" s="16" t="s">
        <v>4786</v>
      </c>
      <c r="G1076" s="16" t="s">
        <v>4780</v>
      </c>
      <c r="H1076" s="20" t="s">
        <v>229</v>
      </c>
      <c r="I1076" s="21" t="s">
        <v>70</v>
      </c>
      <c r="J1076" s="22" t="s">
        <v>4512</v>
      </c>
      <c r="K1076" s="23">
        <v>44.0</v>
      </c>
      <c r="L1076" s="24">
        <v>31.0</v>
      </c>
      <c r="M1076" s="24" t="str">
        <f>IFERROR(VLOOKUP(D1076,'Chủ đề bài nguồn'!$A$2:$C$735,3,0),"Khác")</f>
        <v>Ngoại tệ &amp; chuyển tiền quốc tế</v>
      </c>
      <c r="N1076" s="24"/>
    </row>
    <row r="1077">
      <c r="A1077" s="15">
        <v>1075.0</v>
      </c>
      <c r="B1077" s="16" t="s">
        <v>641</v>
      </c>
      <c r="C1077" s="18" t="s">
        <v>1764</v>
      </c>
      <c r="D1077" s="16" t="s">
        <v>772</v>
      </c>
      <c r="E1077" s="16" t="s">
        <v>4787</v>
      </c>
      <c r="F1077" s="16" t="s">
        <v>4788</v>
      </c>
      <c r="G1077" s="16" t="s">
        <v>4780</v>
      </c>
      <c r="H1077" s="20" t="s">
        <v>229</v>
      </c>
      <c r="I1077" s="21" t="s">
        <v>70</v>
      </c>
      <c r="J1077" s="22" t="s">
        <v>4512</v>
      </c>
      <c r="K1077" s="23">
        <v>44.0</v>
      </c>
      <c r="L1077" s="24">
        <v>31.0</v>
      </c>
      <c r="M1077" s="24" t="str">
        <f>IFERROR(VLOOKUP(D1077,'Chủ đề bài nguồn'!$A$2:$C$735,3,0),"Khác")</f>
        <v>Ngoại tệ &amp; chuyển tiền quốc tế</v>
      </c>
      <c r="N1077" s="24"/>
    </row>
    <row r="1078">
      <c r="A1078" s="15">
        <v>1076.0</v>
      </c>
      <c r="B1078" s="16" t="s">
        <v>641</v>
      </c>
      <c r="C1078" s="18" t="s">
        <v>1764</v>
      </c>
      <c r="D1078" s="16" t="s">
        <v>27</v>
      </c>
      <c r="E1078" s="16" t="s">
        <v>4789</v>
      </c>
      <c r="F1078" s="16" t="s">
        <v>4790</v>
      </c>
      <c r="G1078" s="16" t="s">
        <v>4780</v>
      </c>
      <c r="H1078" s="20" t="s">
        <v>229</v>
      </c>
      <c r="I1078" s="21" t="s">
        <v>70</v>
      </c>
      <c r="J1078" s="22" t="s">
        <v>4512</v>
      </c>
      <c r="K1078" s="23">
        <v>44.0</v>
      </c>
      <c r="L1078" s="24">
        <v>31.0</v>
      </c>
      <c r="M1078" s="24" t="str">
        <f>IFERROR(VLOOKUP(D1078,'Chủ đề bài nguồn'!$A$2:$C$735,3,0),"Khác")</f>
        <v>Ngoại tệ &amp; chuyển tiền quốc tế</v>
      </c>
      <c r="N1078" s="24"/>
    </row>
    <row r="1079">
      <c r="A1079" s="15">
        <v>1077.0</v>
      </c>
      <c r="B1079" s="16" t="s">
        <v>1020</v>
      </c>
      <c r="C1079" s="18" t="s">
        <v>3711</v>
      </c>
      <c r="D1079" s="16" t="s">
        <v>1003</v>
      </c>
      <c r="E1079" s="16" t="s">
        <v>4791</v>
      </c>
      <c r="F1079" s="16" t="s">
        <v>4792</v>
      </c>
      <c r="G1079" s="16" t="s">
        <v>4793</v>
      </c>
      <c r="H1079" s="20" t="s">
        <v>69</v>
      </c>
      <c r="I1079" s="21" t="s">
        <v>70</v>
      </c>
      <c r="J1079" s="22" t="s">
        <v>71</v>
      </c>
      <c r="K1079" s="23">
        <v>45.0</v>
      </c>
      <c r="L1079" s="24">
        <v>10.0</v>
      </c>
      <c r="M1079" s="24" t="str">
        <f>IFERROR(VLOOKUP(D1079,'Chủ đề bài nguồn'!$A$2:$C$735,3,0),"Khác")</f>
        <v>Thanh toán, chuyển khoản &amp; QR</v>
      </c>
      <c r="N1079" s="24"/>
    </row>
    <row r="1080">
      <c r="A1080" s="15">
        <v>1078.0</v>
      </c>
      <c r="B1080" s="16" t="s">
        <v>1020</v>
      </c>
      <c r="C1080" s="18" t="s">
        <v>1797</v>
      </c>
      <c r="D1080" s="16" t="s">
        <v>3161</v>
      </c>
      <c r="E1080" s="16" t="s">
        <v>4794</v>
      </c>
      <c r="F1080" s="16" t="s">
        <v>4795</v>
      </c>
      <c r="G1080" s="16" t="s">
        <v>4796</v>
      </c>
      <c r="H1080" s="20" t="s">
        <v>155</v>
      </c>
      <c r="I1080" s="21" t="s">
        <v>70</v>
      </c>
      <c r="J1080" s="22" t="s">
        <v>71</v>
      </c>
      <c r="K1080" s="23">
        <v>45.0</v>
      </c>
      <c r="L1080" s="24">
        <v>21.0</v>
      </c>
      <c r="M1080" s="24" t="str">
        <f>IFERROR(VLOOKUP(D1080,'Chủ đề bài nguồn'!$A$2:$C$735,3,0),"Khác")</f>
        <v>Thanh toán, chuyển khoản &amp; QR</v>
      </c>
      <c r="N1080" s="24"/>
    </row>
    <row r="1081">
      <c r="A1081" s="15">
        <v>1079.0</v>
      </c>
      <c r="B1081" s="16" t="s">
        <v>1020</v>
      </c>
      <c r="C1081" s="18" t="s">
        <v>3709</v>
      </c>
      <c r="D1081" s="16" t="s">
        <v>2863</v>
      </c>
      <c r="E1081" s="16" t="s">
        <v>710</v>
      </c>
      <c r="F1081" s="16" t="s">
        <v>4797</v>
      </c>
      <c r="G1081" s="16" t="s">
        <v>4798</v>
      </c>
      <c r="H1081" s="20" t="s">
        <v>229</v>
      </c>
      <c r="I1081" s="21" t="s">
        <v>70</v>
      </c>
      <c r="J1081" s="22" t="s">
        <v>1956</v>
      </c>
      <c r="K1081" s="23">
        <v>45.0</v>
      </c>
      <c r="L1081" s="24">
        <v>31.0</v>
      </c>
      <c r="M1081" s="24" t="str">
        <f>IFERROR(VLOOKUP(D1081,'Chủ đề bài nguồn'!$A$2:$C$735,3,0),"Khác")</f>
        <v>Ngoại tệ &amp; chuyển tiền quốc tế</v>
      </c>
      <c r="N1081" s="24"/>
    </row>
    <row r="1082">
      <c r="A1082" s="15">
        <v>1080.0</v>
      </c>
      <c r="B1082" s="16" t="s">
        <v>1020</v>
      </c>
      <c r="C1082" s="18" t="s">
        <v>1797</v>
      </c>
      <c r="D1082" s="16" t="s">
        <v>3190</v>
      </c>
      <c r="E1082" s="16" t="s">
        <v>4799</v>
      </c>
      <c r="F1082" s="16" t="s">
        <v>4800</v>
      </c>
      <c r="G1082" s="16" t="s">
        <v>4801</v>
      </c>
      <c r="H1082" s="20" t="s">
        <v>229</v>
      </c>
      <c r="I1082" s="21" t="s">
        <v>70</v>
      </c>
      <c r="J1082" s="22" t="s">
        <v>71</v>
      </c>
      <c r="K1082" s="23">
        <v>45.0</v>
      </c>
      <c r="L1082" s="24">
        <v>31.0</v>
      </c>
      <c r="M1082" s="24" t="str">
        <f>IFERROR(VLOOKUP(D1082,'Chủ đề bài nguồn'!$A$2:$C$735,3,0),"Khác")</f>
        <v>Thẻ tín dụng</v>
      </c>
      <c r="N1082" s="24"/>
    </row>
    <row r="1083">
      <c r="A1083" s="15">
        <v>1081.0</v>
      </c>
      <c r="B1083" s="16" t="s">
        <v>1020</v>
      </c>
      <c r="C1083" s="18" t="s">
        <v>1797</v>
      </c>
      <c r="D1083" s="16" t="s">
        <v>2192</v>
      </c>
      <c r="E1083" s="16" t="s">
        <v>4802</v>
      </c>
      <c r="F1083" s="16" t="s">
        <v>4803</v>
      </c>
      <c r="G1083" s="16" t="s">
        <v>4804</v>
      </c>
      <c r="H1083" s="20" t="s">
        <v>229</v>
      </c>
      <c r="I1083" s="21" t="s">
        <v>70</v>
      </c>
      <c r="J1083" s="22" t="s">
        <v>387</v>
      </c>
      <c r="K1083" s="23">
        <v>45.0</v>
      </c>
      <c r="L1083" s="24">
        <v>31.0</v>
      </c>
      <c r="M1083" s="24" t="str">
        <f>IFERROR(VLOOKUP(D1083,'Chủ đề bài nguồn'!$A$2:$C$735,3,0),"Khác")</f>
        <v>Thanh toán, chuyển khoản &amp; QR</v>
      </c>
      <c r="N1083" s="24"/>
    </row>
    <row r="1084">
      <c r="A1084" s="15">
        <v>1082.0</v>
      </c>
      <c r="B1084" s="16" t="s">
        <v>1020</v>
      </c>
      <c r="C1084" s="18" t="s">
        <v>1797</v>
      </c>
      <c r="D1084" s="16" t="s">
        <v>1363</v>
      </c>
      <c r="E1084" s="16" t="s">
        <v>4805</v>
      </c>
      <c r="F1084" s="16" t="s">
        <v>4806</v>
      </c>
      <c r="G1084" s="16" t="s">
        <v>4807</v>
      </c>
      <c r="H1084" s="20" t="s">
        <v>229</v>
      </c>
      <c r="I1084" s="21" t="s">
        <v>70</v>
      </c>
      <c r="J1084" s="22" t="s">
        <v>1425</v>
      </c>
      <c r="K1084" s="23">
        <v>45.0</v>
      </c>
      <c r="L1084" s="24">
        <v>31.0</v>
      </c>
      <c r="M1084" s="24" t="str">
        <f>IFERROR(VLOOKUP(D1084,'Chủ đề bài nguồn'!$A$2:$C$735,3,0),"Khác")</f>
        <v>Thẻ ATM &amp; thẻ ghi nợ</v>
      </c>
      <c r="N1084" s="24"/>
    </row>
    <row r="1085">
      <c r="A1085" s="15">
        <v>1083.0</v>
      </c>
      <c r="B1085" s="16" t="s">
        <v>1020</v>
      </c>
      <c r="C1085" s="18" t="s">
        <v>1797</v>
      </c>
      <c r="D1085" s="16" t="s">
        <v>3027</v>
      </c>
      <c r="E1085" s="16" t="s">
        <v>4808</v>
      </c>
      <c r="F1085" s="16" t="s">
        <v>4809</v>
      </c>
      <c r="G1085" s="16" t="s">
        <v>4810</v>
      </c>
      <c r="H1085" s="20" t="s">
        <v>229</v>
      </c>
      <c r="I1085" s="21" t="s">
        <v>70</v>
      </c>
      <c r="J1085" s="22" t="s">
        <v>71</v>
      </c>
      <c r="K1085" s="23">
        <v>45.0</v>
      </c>
      <c r="L1085" s="24">
        <v>31.0</v>
      </c>
      <c r="M1085" s="24" t="str">
        <f>IFERROR(VLOOKUP(D1085,'Chủ đề bài nguồn'!$A$2:$C$735,3,0),"Khác")</f>
        <v>Thẻ tín dụng</v>
      </c>
      <c r="N1085" s="24"/>
    </row>
    <row r="1086">
      <c r="A1086" s="15">
        <v>1084.0</v>
      </c>
      <c r="B1086" s="16" t="s">
        <v>757</v>
      </c>
      <c r="C1086" s="18" t="s">
        <v>1822</v>
      </c>
      <c r="D1086" s="16" t="s">
        <v>597</v>
      </c>
      <c r="E1086" s="16" t="s">
        <v>4811</v>
      </c>
      <c r="F1086" s="16" t="s">
        <v>4812</v>
      </c>
      <c r="G1086" s="16" t="s">
        <v>4813</v>
      </c>
      <c r="H1086" s="20" t="s">
        <v>155</v>
      </c>
      <c r="I1086" s="21" t="s">
        <v>70</v>
      </c>
      <c r="J1086" s="22" t="s">
        <v>71</v>
      </c>
      <c r="K1086" s="23">
        <v>46.0</v>
      </c>
      <c r="L1086" s="24">
        <v>21.0</v>
      </c>
      <c r="M1086" s="24" t="str">
        <f>IFERROR(VLOOKUP(D1086,'Chủ đề bài nguồn'!$A$2:$C$735,3,0),"Khác")</f>
        <v>Ngoại tệ &amp; chuyển tiền quốc tế</v>
      </c>
      <c r="N1086" s="24"/>
    </row>
    <row r="1087">
      <c r="A1087" s="15">
        <v>1085.0</v>
      </c>
      <c r="B1087" s="16" t="s">
        <v>757</v>
      </c>
      <c r="C1087" s="18" t="s">
        <v>1822</v>
      </c>
      <c r="D1087" s="16" t="s">
        <v>1047</v>
      </c>
      <c r="E1087" s="16" t="s">
        <v>710</v>
      </c>
      <c r="F1087" s="16" t="s">
        <v>4814</v>
      </c>
      <c r="G1087" s="16" t="s">
        <v>4815</v>
      </c>
      <c r="H1087" s="20" t="s">
        <v>155</v>
      </c>
      <c r="I1087" s="21" t="s">
        <v>70</v>
      </c>
      <c r="J1087" s="22" t="s">
        <v>71</v>
      </c>
      <c r="K1087" s="23">
        <v>46.0</v>
      </c>
      <c r="L1087" s="24">
        <v>21.0</v>
      </c>
      <c r="M1087" s="24" t="str">
        <f>IFERROR(VLOOKUP(D1087,'Chủ đề bài nguồn'!$A$2:$C$735,3,0),"Khác")</f>
        <v>Ngoại tệ &amp; chuyển tiền quốc tế</v>
      </c>
      <c r="N1087" s="24"/>
    </row>
    <row r="1088">
      <c r="A1088" s="15">
        <v>1086.0</v>
      </c>
      <c r="B1088" s="16" t="s">
        <v>757</v>
      </c>
      <c r="C1088" s="18" t="s">
        <v>1822</v>
      </c>
      <c r="D1088" s="16" t="s">
        <v>3050</v>
      </c>
      <c r="E1088" s="16" t="s">
        <v>4816</v>
      </c>
      <c r="F1088" s="16" t="s">
        <v>4817</v>
      </c>
      <c r="G1088" s="16" t="s">
        <v>4818</v>
      </c>
      <c r="H1088" s="20" t="s">
        <v>155</v>
      </c>
      <c r="I1088" s="21" t="s">
        <v>70</v>
      </c>
      <c r="J1088" s="22" t="s">
        <v>71</v>
      </c>
      <c r="K1088" s="23">
        <v>46.0</v>
      </c>
      <c r="L1088" s="24">
        <v>21.0</v>
      </c>
      <c r="M1088" s="24" t="str">
        <f>IFERROR(VLOOKUP(D1088,'Chủ đề bài nguồn'!$A$2:$C$735,3,0),"Khác")</f>
        <v>Ngoại tệ &amp; chuyển tiền quốc tế</v>
      </c>
      <c r="N1088" s="24"/>
    </row>
    <row r="1089">
      <c r="A1089" s="15">
        <v>1087.0</v>
      </c>
      <c r="B1089" s="16" t="s">
        <v>757</v>
      </c>
      <c r="C1089" s="18" t="s">
        <v>1822</v>
      </c>
      <c r="D1089" s="16" t="s">
        <v>2787</v>
      </c>
      <c r="E1089" s="16" t="s">
        <v>4819</v>
      </c>
      <c r="F1089" s="16" t="s">
        <v>4820</v>
      </c>
      <c r="G1089" s="16" t="s">
        <v>4821</v>
      </c>
      <c r="H1089" s="20" t="s">
        <v>155</v>
      </c>
      <c r="I1089" s="21" t="s">
        <v>70</v>
      </c>
      <c r="J1089" s="22" t="s">
        <v>4822</v>
      </c>
      <c r="K1089" s="23">
        <v>46.0</v>
      </c>
      <c r="L1089" s="24">
        <v>21.0</v>
      </c>
      <c r="M1089" s="24" t="str">
        <f>IFERROR(VLOOKUP(D1089,'Chủ đề bài nguồn'!$A$2:$C$735,3,0),"Khác")</f>
        <v>Thanh toán, chuyển khoản &amp; QR</v>
      </c>
      <c r="N1089" s="24"/>
    </row>
    <row r="1090">
      <c r="A1090" s="15">
        <v>1088.0</v>
      </c>
      <c r="B1090" s="16" t="s">
        <v>757</v>
      </c>
      <c r="C1090" s="18" t="s">
        <v>1822</v>
      </c>
      <c r="D1090" s="16" t="s">
        <v>772</v>
      </c>
      <c r="E1090" s="16" t="s">
        <v>710</v>
      </c>
      <c r="F1090" s="16" t="s">
        <v>4823</v>
      </c>
      <c r="G1090" s="16" t="s">
        <v>4824</v>
      </c>
      <c r="H1090" s="20" t="s">
        <v>229</v>
      </c>
      <c r="I1090" s="21" t="s">
        <v>70</v>
      </c>
      <c r="J1090" s="22" t="s">
        <v>4512</v>
      </c>
      <c r="K1090" s="23">
        <v>46.0</v>
      </c>
      <c r="L1090" s="24">
        <v>31.0</v>
      </c>
      <c r="M1090" s="24" t="str">
        <f>IFERROR(VLOOKUP(D1090,'Chủ đề bài nguồn'!$A$2:$C$735,3,0),"Khác")</f>
        <v>Ngoại tệ &amp; chuyển tiền quốc tế</v>
      </c>
      <c r="N1090" s="24"/>
    </row>
    <row r="1091">
      <c r="A1091" s="15">
        <v>1089.0</v>
      </c>
      <c r="B1091" s="16" t="s">
        <v>757</v>
      </c>
      <c r="C1091" s="18" t="s">
        <v>1822</v>
      </c>
      <c r="D1091" s="16" t="s">
        <v>841</v>
      </c>
      <c r="E1091" s="16" t="s">
        <v>4825</v>
      </c>
      <c r="F1091" s="16" t="s">
        <v>4826</v>
      </c>
      <c r="G1091" s="16" t="s">
        <v>4824</v>
      </c>
      <c r="H1091" s="20" t="s">
        <v>229</v>
      </c>
      <c r="I1091" s="21" t="s">
        <v>70</v>
      </c>
      <c r="J1091" s="22" t="s">
        <v>4512</v>
      </c>
      <c r="K1091" s="23">
        <v>46.0</v>
      </c>
      <c r="L1091" s="24">
        <v>31.0</v>
      </c>
      <c r="M1091" s="24" t="str">
        <f>IFERROR(VLOOKUP(D1091,'Chủ đề bài nguồn'!$A$2:$C$735,3,0),"Khác")</f>
        <v>Ngoại tệ &amp; chuyển tiền quốc tế</v>
      </c>
      <c r="N1091" s="24"/>
    </row>
    <row r="1092">
      <c r="A1092" s="15">
        <v>1090.0</v>
      </c>
      <c r="B1092" s="16" t="s">
        <v>757</v>
      </c>
      <c r="C1092" s="18" t="s">
        <v>1822</v>
      </c>
      <c r="D1092" s="16" t="s">
        <v>804</v>
      </c>
      <c r="E1092" s="16" t="s">
        <v>4664</v>
      </c>
      <c r="F1092" s="16" t="s">
        <v>4827</v>
      </c>
      <c r="G1092" s="16" t="s">
        <v>4824</v>
      </c>
      <c r="H1092" s="20" t="s">
        <v>229</v>
      </c>
      <c r="I1092" s="21" t="s">
        <v>70</v>
      </c>
      <c r="J1092" s="22" t="s">
        <v>4512</v>
      </c>
      <c r="K1092" s="23">
        <v>46.0</v>
      </c>
      <c r="L1092" s="24">
        <v>31.0</v>
      </c>
      <c r="M1092" s="24" t="str">
        <f>IFERROR(VLOOKUP(D1092,'Chủ đề bài nguồn'!$A$2:$C$735,3,0),"Khác")</f>
        <v>Ngoại tệ &amp; chuyển tiền quốc tế</v>
      </c>
      <c r="N1092" s="24"/>
    </row>
    <row r="1093">
      <c r="A1093" s="15">
        <v>1091.0</v>
      </c>
      <c r="B1093" s="16" t="s">
        <v>757</v>
      </c>
      <c r="C1093" s="18" t="s">
        <v>1822</v>
      </c>
      <c r="D1093" s="16" t="s">
        <v>626</v>
      </c>
      <c r="E1093" s="16" t="s">
        <v>4828</v>
      </c>
      <c r="F1093" s="16" t="s">
        <v>4829</v>
      </c>
      <c r="G1093" s="16" t="s">
        <v>4824</v>
      </c>
      <c r="H1093" s="20" t="s">
        <v>229</v>
      </c>
      <c r="I1093" s="21" t="s">
        <v>70</v>
      </c>
      <c r="J1093" s="22" t="s">
        <v>4512</v>
      </c>
      <c r="K1093" s="23">
        <v>46.0</v>
      </c>
      <c r="L1093" s="24">
        <v>31.0</v>
      </c>
      <c r="M1093" s="24" t="str">
        <f>IFERROR(VLOOKUP(D1093,'Chủ đề bài nguồn'!$A$2:$C$735,3,0),"Khác")</f>
        <v>Ngoại tệ &amp; chuyển tiền quốc tế</v>
      </c>
      <c r="N1093" s="24"/>
    </row>
    <row r="1094">
      <c r="A1094" s="15">
        <v>1092.0</v>
      </c>
      <c r="B1094" s="16" t="s">
        <v>757</v>
      </c>
      <c r="C1094" s="18" t="s">
        <v>1822</v>
      </c>
      <c r="D1094" s="16" t="s">
        <v>477</v>
      </c>
      <c r="E1094" s="16" t="s">
        <v>4830</v>
      </c>
      <c r="F1094" s="16" t="s">
        <v>4831</v>
      </c>
      <c r="G1094" s="16" t="s">
        <v>4824</v>
      </c>
      <c r="H1094" s="20" t="s">
        <v>229</v>
      </c>
      <c r="I1094" s="21" t="s">
        <v>70</v>
      </c>
      <c r="J1094" s="22" t="s">
        <v>4512</v>
      </c>
      <c r="K1094" s="23">
        <v>46.0</v>
      </c>
      <c r="L1094" s="24">
        <v>31.0</v>
      </c>
      <c r="M1094" s="24" t="str">
        <f>IFERROR(VLOOKUP(D1094,'Chủ đề bài nguồn'!$A$2:$C$735,3,0),"Khác")</f>
        <v>Ngoại tệ &amp; chuyển tiền quốc tế</v>
      </c>
      <c r="N1094" s="24"/>
    </row>
    <row r="1095">
      <c r="A1095" s="15">
        <v>1093.0</v>
      </c>
      <c r="B1095" s="16" t="s">
        <v>757</v>
      </c>
      <c r="C1095" s="18" t="s">
        <v>1822</v>
      </c>
      <c r="D1095" s="16" t="s">
        <v>3351</v>
      </c>
      <c r="E1095" s="16" t="s">
        <v>4832</v>
      </c>
      <c r="F1095" s="16" t="s">
        <v>4833</v>
      </c>
      <c r="G1095" s="16" t="s">
        <v>4824</v>
      </c>
      <c r="H1095" s="20" t="s">
        <v>229</v>
      </c>
      <c r="I1095" s="21" t="s">
        <v>70</v>
      </c>
      <c r="J1095" s="22" t="s">
        <v>4834</v>
      </c>
      <c r="K1095" s="23">
        <v>46.0</v>
      </c>
      <c r="L1095" s="24">
        <v>31.0</v>
      </c>
      <c r="M1095" s="24" t="str">
        <f>IFERROR(VLOOKUP(D1095,'Chủ đề bài nguồn'!$A$2:$C$735,3,0),"Khác")</f>
        <v>Ngoại tệ &amp; chuyển tiền quốc tế</v>
      </c>
      <c r="N1095" s="24"/>
    </row>
    <row r="1096">
      <c r="A1096" s="15">
        <v>1094.0</v>
      </c>
      <c r="B1096" s="16" t="s">
        <v>757</v>
      </c>
      <c r="C1096" s="18" t="s">
        <v>1822</v>
      </c>
      <c r="D1096" s="16" t="s">
        <v>2840</v>
      </c>
      <c r="E1096" s="16" t="s">
        <v>4835</v>
      </c>
      <c r="F1096" s="16" t="s">
        <v>4836</v>
      </c>
      <c r="G1096" s="16" t="s">
        <v>4837</v>
      </c>
      <c r="H1096" s="20" t="s">
        <v>229</v>
      </c>
      <c r="I1096" s="21" t="s">
        <v>70</v>
      </c>
      <c r="J1096" s="22" t="s">
        <v>71</v>
      </c>
      <c r="K1096" s="23">
        <v>46.0</v>
      </c>
      <c r="L1096" s="24">
        <v>31.0</v>
      </c>
      <c r="M1096" s="24" t="str">
        <f>IFERROR(VLOOKUP(D1096,'Chủ đề bài nguồn'!$A$2:$C$735,3,0),"Khác")</f>
        <v>Ngoại tệ &amp; chuyển tiền quốc tế</v>
      </c>
      <c r="N1096" s="24"/>
    </row>
    <row r="1097">
      <c r="A1097" s="15">
        <v>1095.0</v>
      </c>
      <c r="B1097" s="16" t="s">
        <v>757</v>
      </c>
      <c r="C1097" s="18" t="s">
        <v>1822</v>
      </c>
      <c r="D1097" s="16" t="s">
        <v>3049</v>
      </c>
      <c r="E1097" s="16" t="s">
        <v>4838</v>
      </c>
      <c r="F1097" s="16" t="s">
        <v>4839</v>
      </c>
      <c r="G1097" s="16" t="s">
        <v>4824</v>
      </c>
      <c r="H1097" s="20" t="s">
        <v>229</v>
      </c>
      <c r="I1097" s="21" t="s">
        <v>70</v>
      </c>
      <c r="J1097" s="22" t="s">
        <v>4840</v>
      </c>
      <c r="K1097" s="23">
        <v>46.0</v>
      </c>
      <c r="L1097" s="24">
        <v>31.0</v>
      </c>
      <c r="M1097" s="24" t="str">
        <f>IFERROR(VLOOKUP(D1097,'Chủ đề bài nguồn'!$A$2:$C$735,3,0),"Khác")</f>
        <v>Ngoại tệ &amp; chuyển tiền quốc tế</v>
      </c>
      <c r="N1097" s="24"/>
    </row>
    <row r="1098">
      <c r="A1098" s="15">
        <v>1096.0</v>
      </c>
      <c r="B1098" s="16" t="s">
        <v>757</v>
      </c>
      <c r="C1098" s="18" t="s">
        <v>1822</v>
      </c>
      <c r="D1098" s="16" t="s">
        <v>3268</v>
      </c>
      <c r="E1098" s="16" t="s">
        <v>4841</v>
      </c>
      <c r="F1098" s="16" t="s">
        <v>4842</v>
      </c>
      <c r="G1098" s="16" t="s">
        <v>4824</v>
      </c>
      <c r="H1098" s="20" t="s">
        <v>229</v>
      </c>
      <c r="I1098" s="21" t="s">
        <v>70</v>
      </c>
      <c r="J1098" s="22" t="s">
        <v>71</v>
      </c>
      <c r="K1098" s="23">
        <v>46.0</v>
      </c>
      <c r="L1098" s="24">
        <v>31.0</v>
      </c>
      <c r="M1098" s="24" t="str">
        <f>IFERROR(VLOOKUP(D1098,'Chủ đề bài nguồn'!$A$2:$C$735,3,0),"Khác")</f>
        <v>Ngoại tệ &amp; chuyển tiền quốc tế</v>
      </c>
      <c r="N1098" s="24"/>
    </row>
    <row r="1099">
      <c r="A1099" s="15">
        <v>1097.0</v>
      </c>
      <c r="B1099" s="16" t="s">
        <v>757</v>
      </c>
      <c r="C1099" s="18" t="s">
        <v>1822</v>
      </c>
      <c r="D1099" s="16" t="s">
        <v>3365</v>
      </c>
      <c r="E1099" s="16" t="s">
        <v>4843</v>
      </c>
      <c r="F1099" s="16" t="s">
        <v>4844</v>
      </c>
      <c r="G1099" s="16" t="s">
        <v>4845</v>
      </c>
      <c r="H1099" s="20" t="s">
        <v>229</v>
      </c>
      <c r="I1099" s="21" t="s">
        <v>70</v>
      </c>
      <c r="J1099" s="22" t="s">
        <v>71</v>
      </c>
      <c r="K1099" s="23">
        <v>46.0</v>
      </c>
      <c r="L1099" s="24">
        <v>31.0</v>
      </c>
      <c r="M1099" s="24" t="str">
        <f>IFERROR(VLOOKUP(D1099,'Chủ đề bài nguồn'!$A$2:$C$735,3,0),"Khác")</f>
        <v>Ngoại tệ &amp; chuyển tiền quốc tế</v>
      </c>
      <c r="N1099" s="24"/>
    </row>
    <row r="1100">
      <c r="A1100" s="15">
        <v>1098.0</v>
      </c>
      <c r="B1100" s="39" t="s">
        <v>757</v>
      </c>
      <c r="C1100" s="18" t="s">
        <v>1822</v>
      </c>
      <c r="D1100" s="39" t="s">
        <v>2358</v>
      </c>
      <c r="E1100" s="16" t="s">
        <v>4562</v>
      </c>
      <c r="F1100" s="16" t="s">
        <v>4846</v>
      </c>
      <c r="G1100" s="16" t="s">
        <v>4847</v>
      </c>
      <c r="H1100" s="20" t="s">
        <v>229</v>
      </c>
      <c r="I1100" s="21" t="s">
        <v>70</v>
      </c>
      <c r="J1100" s="22" t="s">
        <v>387</v>
      </c>
      <c r="K1100" s="23">
        <v>46.0</v>
      </c>
      <c r="L1100" s="24">
        <v>31.0</v>
      </c>
      <c r="M1100" s="24" t="str">
        <f>IFERROR(VLOOKUP(D1100,'Chủ đề bài nguồn'!$A$2:$C$735,3,0),"Khác")</f>
        <v>Thị trường &amp; giá cả</v>
      </c>
      <c r="N1100" s="24"/>
    </row>
    <row r="1101">
      <c r="A1101" s="15">
        <v>1099.0</v>
      </c>
      <c r="B1101" s="39" t="s">
        <v>757</v>
      </c>
      <c r="C1101" s="18" t="s">
        <v>1822</v>
      </c>
      <c r="D1101" s="39" t="s">
        <v>2837</v>
      </c>
      <c r="E1101" s="16" t="s">
        <v>4848</v>
      </c>
      <c r="F1101" s="16" t="s">
        <v>4849</v>
      </c>
      <c r="G1101" s="16" t="s">
        <v>4850</v>
      </c>
      <c r="H1101" s="20" t="s">
        <v>229</v>
      </c>
      <c r="I1101" s="21" t="s">
        <v>70</v>
      </c>
      <c r="J1101" s="22" t="s">
        <v>71</v>
      </c>
      <c r="K1101" s="23">
        <v>46.0</v>
      </c>
      <c r="L1101" s="24">
        <v>31.0</v>
      </c>
      <c r="M1101" s="24" t="str">
        <f>IFERROR(VLOOKUP(D1101,'Chủ đề bài nguồn'!$A$2:$C$735,3,0),"Khác")</f>
        <v>Ngoại tệ &amp; chuyển tiền quốc tế</v>
      </c>
      <c r="N1101" s="24"/>
    </row>
    <row r="1102">
      <c r="A1102" s="15">
        <v>1100.0</v>
      </c>
      <c r="B1102" s="39" t="s">
        <v>757</v>
      </c>
      <c r="C1102" s="18" t="s">
        <v>1822</v>
      </c>
      <c r="D1102" s="39" t="s">
        <v>2043</v>
      </c>
      <c r="E1102" s="16" t="s">
        <v>4851</v>
      </c>
      <c r="F1102" s="16" t="s">
        <v>4852</v>
      </c>
      <c r="G1102" s="16" t="s">
        <v>4853</v>
      </c>
      <c r="H1102" s="20" t="s">
        <v>229</v>
      </c>
      <c r="I1102" s="21" t="s">
        <v>70</v>
      </c>
      <c r="J1102" s="22" t="s">
        <v>4854</v>
      </c>
      <c r="K1102" s="23">
        <v>46.0</v>
      </c>
      <c r="L1102" s="24">
        <v>31.0</v>
      </c>
      <c r="M1102" s="24" t="str">
        <f>IFERROR(VLOOKUP(D1102,'Chủ đề bài nguồn'!$A$2:$C$735,3,0),"Khác")</f>
        <v>Ngoại tệ &amp; chuyển tiền quốc tế</v>
      </c>
      <c r="N1102" s="24"/>
    </row>
    <row r="1103">
      <c r="A1103" s="15">
        <v>1101.0</v>
      </c>
      <c r="B1103" s="39" t="s">
        <v>757</v>
      </c>
      <c r="C1103" s="18" t="s">
        <v>1822</v>
      </c>
      <c r="D1103" s="39" t="s">
        <v>2845</v>
      </c>
      <c r="E1103" s="16" t="s">
        <v>4855</v>
      </c>
      <c r="F1103" s="16" t="s">
        <v>4856</v>
      </c>
      <c r="G1103" s="16" t="s">
        <v>4857</v>
      </c>
      <c r="H1103" s="20" t="s">
        <v>229</v>
      </c>
      <c r="I1103" s="21" t="s">
        <v>70</v>
      </c>
      <c r="J1103" s="22" t="s">
        <v>71</v>
      </c>
      <c r="K1103" s="23">
        <v>46.0</v>
      </c>
      <c r="L1103" s="24">
        <v>31.0</v>
      </c>
      <c r="M1103" s="24" t="str">
        <f>IFERROR(VLOOKUP(D1103,'Chủ đề bài nguồn'!$A$2:$C$735,3,0),"Khác")</f>
        <v>Thị trường &amp; giá cả</v>
      </c>
      <c r="N1103" s="24"/>
    </row>
    <row r="1104">
      <c r="A1104" s="15">
        <v>1102.0</v>
      </c>
      <c r="B1104" s="39" t="s">
        <v>757</v>
      </c>
      <c r="C1104" s="18" t="s">
        <v>1822</v>
      </c>
      <c r="D1104" s="39" t="s">
        <v>2850</v>
      </c>
      <c r="E1104" s="16" t="s">
        <v>4858</v>
      </c>
      <c r="F1104" s="16" t="s">
        <v>4859</v>
      </c>
      <c r="G1104" s="16" t="s">
        <v>4860</v>
      </c>
      <c r="H1104" s="20" t="s">
        <v>229</v>
      </c>
      <c r="I1104" s="21" t="s">
        <v>70</v>
      </c>
      <c r="J1104" s="22" t="s">
        <v>4861</v>
      </c>
      <c r="K1104" s="23">
        <v>46.0</v>
      </c>
      <c r="L1104" s="24">
        <v>31.0</v>
      </c>
      <c r="M1104" s="24" t="str">
        <f>IFERROR(VLOOKUP(D1104,'Chủ đề bài nguồn'!$A$2:$C$735,3,0),"Khác")</f>
        <v>Thị trường &amp; giá cả</v>
      </c>
      <c r="N1104" s="24"/>
    </row>
    <row r="1105">
      <c r="A1105" s="15">
        <v>1103.0</v>
      </c>
      <c r="B1105" s="39" t="s">
        <v>757</v>
      </c>
      <c r="C1105" s="18" t="s">
        <v>1822</v>
      </c>
      <c r="D1105" s="39" t="s">
        <v>1569</v>
      </c>
      <c r="E1105" s="16" t="s">
        <v>1570</v>
      </c>
      <c r="F1105" s="16" t="s">
        <v>4862</v>
      </c>
      <c r="G1105" s="16" t="s">
        <v>4863</v>
      </c>
      <c r="H1105" s="20" t="s">
        <v>229</v>
      </c>
      <c r="I1105" s="21" t="s">
        <v>70</v>
      </c>
      <c r="J1105" s="22" t="s">
        <v>619</v>
      </c>
      <c r="K1105" s="23">
        <v>46.0</v>
      </c>
      <c r="L1105" s="24">
        <v>31.0</v>
      </c>
      <c r="M1105" s="24" t="str">
        <f>IFERROR(VLOOKUP(D1105,'Chủ đề bài nguồn'!$A$2:$C$735,3,0),"Khác")</f>
        <v>Ngoại tệ &amp; chuyển tiền quốc tế</v>
      </c>
      <c r="N1105" s="24"/>
    </row>
    <row r="1106">
      <c r="A1106" s="15">
        <v>1104.0</v>
      </c>
      <c r="B1106" s="39" t="s">
        <v>757</v>
      </c>
      <c r="C1106" s="18" t="s">
        <v>1822</v>
      </c>
      <c r="D1106" s="39" t="s">
        <v>3079</v>
      </c>
      <c r="E1106" s="16" t="s">
        <v>4507</v>
      </c>
      <c r="F1106" s="16" t="s">
        <v>4864</v>
      </c>
      <c r="G1106" s="16" t="s">
        <v>4824</v>
      </c>
      <c r="H1106" s="20" t="s">
        <v>229</v>
      </c>
      <c r="I1106" s="21" t="s">
        <v>70</v>
      </c>
      <c r="J1106" s="22" t="s">
        <v>4865</v>
      </c>
      <c r="K1106" s="23">
        <v>46.0</v>
      </c>
      <c r="L1106" s="24">
        <v>31.0</v>
      </c>
      <c r="M1106" s="24" t="str">
        <f>IFERROR(VLOOKUP(D1106,'Chủ đề bài nguồn'!$A$2:$C$735,3,0),"Khác")</f>
        <v>Ngoại tệ &amp; chuyển tiền quốc tế</v>
      </c>
      <c r="N1106" s="24"/>
    </row>
    <row r="1107">
      <c r="A1107" s="15">
        <v>1105.0</v>
      </c>
      <c r="B1107" s="16" t="s">
        <v>908</v>
      </c>
      <c r="C1107" s="18" t="s">
        <v>3743</v>
      </c>
      <c r="D1107" s="16" t="s">
        <v>830</v>
      </c>
      <c r="E1107" s="16" t="s">
        <v>4866</v>
      </c>
      <c r="F1107" s="16" t="s">
        <v>4867</v>
      </c>
      <c r="G1107" s="16" t="s">
        <v>4868</v>
      </c>
      <c r="H1107" s="20" t="s">
        <v>69</v>
      </c>
      <c r="I1107" s="21" t="s">
        <v>70</v>
      </c>
      <c r="J1107" s="22" t="s">
        <v>71</v>
      </c>
      <c r="K1107" s="23">
        <v>47.0</v>
      </c>
      <c r="L1107" s="24">
        <v>10.0</v>
      </c>
      <c r="M1107" s="24" t="str">
        <f>IFERROR(VLOOKUP(D1107,'Chủ đề bài nguồn'!$A$2:$C$735,3,0),"Khác")</f>
        <v>Ngoại tệ &amp; chuyển tiền quốc tế</v>
      </c>
      <c r="N1107" s="24"/>
    </row>
    <row r="1108">
      <c r="A1108" s="15">
        <v>1106.0</v>
      </c>
      <c r="B1108" s="16" t="s">
        <v>908</v>
      </c>
      <c r="C1108" s="18" t="s">
        <v>3743</v>
      </c>
      <c r="D1108" s="16" t="s">
        <v>2786</v>
      </c>
      <c r="E1108" s="16" t="s">
        <v>4714</v>
      </c>
      <c r="F1108" s="16" t="s">
        <v>4869</v>
      </c>
      <c r="G1108" s="16" t="s">
        <v>4870</v>
      </c>
      <c r="H1108" s="20" t="s">
        <v>155</v>
      </c>
      <c r="I1108" s="21" t="s">
        <v>70</v>
      </c>
      <c r="J1108" s="22" t="s">
        <v>4871</v>
      </c>
      <c r="K1108" s="23">
        <v>47.0</v>
      </c>
      <c r="L1108" s="24">
        <v>21.0</v>
      </c>
      <c r="M1108" s="24" t="str">
        <f>IFERROR(VLOOKUP(D1108,'Chủ đề bài nguồn'!$A$2:$C$735,3,0),"Khác")</f>
        <v>Tiết kiệm &amp; lãi suất tiền gửi</v>
      </c>
      <c r="N1108" s="24"/>
    </row>
    <row r="1109">
      <c r="A1109" s="15">
        <v>1107.0</v>
      </c>
      <c r="B1109" s="16" t="s">
        <v>908</v>
      </c>
      <c r="C1109" s="18" t="s">
        <v>1861</v>
      </c>
      <c r="D1109" s="16" t="s">
        <v>772</v>
      </c>
      <c r="E1109" s="16" t="s">
        <v>4489</v>
      </c>
      <c r="F1109" s="16" t="s">
        <v>4872</v>
      </c>
      <c r="G1109" s="16" t="s">
        <v>4873</v>
      </c>
      <c r="H1109" s="20" t="s">
        <v>155</v>
      </c>
      <c r="I1109" s="21" t="s">
        <v>70</v>
      </c>
      <c r="J1109" s="22" t="s">
        <v>71</v>
      </c>
      <c r="K1109" s="23">
        <v>47.0</v>
      </c>
      <c r="L1109" s="24">
        <v>21.0</v>
      </c>
      <c r="M1109" s="24" t="str">
        <f>IFERROR(VLOOKUP(D1109,'Chủ đề bài nguồn'!$A$2:$C$735,3,0),"Khác")</f>
        <v>Ngoại tệ &amp; chuyển tiền quốc tế</v>
      </c>
      <c r="N1109" s="24"/>
    </row>
    <row r="1110">
      <c r="A1110" s="15">
        <v>1108.0</v>
      </c>
      <c r="B1110" s="16" t="s">
        <v>908</v>
      </c>
      <c r="C1110" s="18" t="s">
        <v>1861</v>
      </c>
      <c r="D1110" s="16" t="s">
        <v>3150</v>
      </c>
      <c r="E1110" s="16" t="s">
        <v>4874</v>
      </c>
      <c r="F1110" s="16" t="s">
        <v>4875</v>
      </c>
      <c r="G1110" s="16" t="s">
        <v>4876</v>
      </c>
      <c r="H1110" s="20" t="s">
        <v>229</v>
      </c>
      <c r="I1110" s="21" t="s">
        <v>70</v>
      </c>
      <c r="J1110" s="22" t="s">
        <v>4877</v>
      </c>
      <c r="K1110" s="23">
        <v>47.0</v>
      </c>
      <c r="L1110" s="24">
        <v>31.0</v>
      </c>
      <c r="M1110" s="24" t="str">
        <f>IFERROR(VLOOKUP(D1110,'Chủ đề bài nguồn'!$A$2:$C$735,3,0),"Khác")</f>
        <v>Thanh toán, chuyển khoản &amp; QR</v>
      </c>
      <c r="N1110" s="24"/>
    </row>
    <row r="1111">
      <c r="A1111" s="15">
        <v>1109.0</v>
      </c>
      <c r="B1111" s="16" t="s">
        <v>908</v>
      </c>
      <c r="C1111" s="18" t="s">
        <v>1861</v>
      </c>
      <c r="D1111" s="16" t="s">
        <v>888</v>
      </c>
      <c r="E1111" s="16" t="s">
        <v>4878</v>
      </c>
      <c r="F1111" s="16" t="s">
        <v>4879</v>
      </c>
      <c r="G1111" s="16" t="s">
        <v>4873</v>
      </c>
      <c r="H1111" s="20" t="s">
        <v>229</v>
      </c>
      <c r="I1111" s="21" t="s">
        <v>70</v>
      </c>
      <c r="J1111" s="22" t="s">
        <v>4512</v>
      </c>
      <c r="K1111" s="23">
        <v>47.0</v>
      </c>
      <c r="L1111" s="24">
        <v>31.0</v>
      </c>
      <c r="M1111" s="24" t="str">
        <f>IFERROR(VLOOKUP(D1111,'Chủ đề bài nguồn'!$A$2:$C$735,3,0),"Khác")</f>
        <v>Ngoại tệ &amp; chuyển tiền quốc tế</v>
      </c>
      <c r="N1111" s="24"/>
    </row>
    <row r="1112">
      <c r="A1112" s="15">
        <v>1110.0</v>
      </c>
      <c r="B1112" s="16" t="s">
        <v>908</v>
      </c>
      <c r="C1112" s="18" t="s">
        <v>1861</v>
      </c>
      <c r="D1112" s="16" t="s">
        <v>3145</v>
      </c>
      <c r="E1112" s="16" t="s">
        <v>4880</v>
      </c>
      <c r="F1112" s="16" t="s">
        <v>4881</v>
      </c>
      <c r="G1112" s="16" t="s">
        <v>4882</v>
      </c>
      <c r="H1112" s="20" t="s">
        <v>229</v>
      </c>
      <c r="I1112" s="21" t="s">
        <v>70</v>
      </c>
      <c r="J1112" s="22" t="s">
        <v>71</v>
      </c>
      <c r="K1112" s="23">
        <v>47.0</v>
      </c>
      <c r="L1112" s="24">
        <v>31.0</v>
      </c>
      <c r="M1112" s="24" t="str">
        <f>IFERROR(VLOOKUP(D1112,'Chủ đề bài nguồn'!$A$2:$C$735,3,0),"Khác")</f>
        <v>Ngoại tệ &amp; chuyển tiền quốc tế</v>
      </c>
      <c r="N1112" s="24"/>
    </row>
    <row r="1113">
      <c r="A1113" s="15">
        <v>1111.0</v>
      </c>
      <c r="B1113" s="16" t="s">
        <v>1038</v>
      </c>
      <c r="C1113" s="18" t="s">
        <v>3763</v>
      </c>
      <c r="D1113" s="16" t="s">
        <v>626</v>
      </c>
      <c r="E1113" s="16" t="s">
        <v>4883</v>
      </c>
      <c r="F1113" s="16" t="s">
        <v>4884</v>
      </c>
      <c r="G1113" s="16" t="s">
        <v>4885</v>
      </c>
      <c r="H1113" s="20" t="s">
        <v>69</v>
      </c>
      <c r="I1113" s="21" t="s">
        <v>70</v>
      </c>
      <c r="J1113" s="22" t="s">
        <v>71</v>
      </c>
      <c r="K1113" s="23">
        <v>48.0</v>
      </c>
      <c r="L1113" s="24">
        <v>10.0</v>
      </c>
      <c r="M1113" s="24" t="str">
        <f>IFERROR(VLOOKUP(D1113,'Chủ đề bài nguồn'!$A$2:$C$735,3,0),"Khác")</f>
        <v>Ngoại tệ &amp; chuyển tiền quốc tế</v>
      </c>
      <c r="N1113" s="24"/>
    </row>
    <row r="1114">
      <c r="A1114" s="15">
        <v>1112.0</v>
      </c>
      <c r="B1114" s="16" t="s">
        <v>1038</v>
      </c>
      <c r="C1114" s="18" t="s">
        <v>3763</v>
      </c>
      <c r="D1114" s="16" t="s">
        <v>3236</v>
      </c>
      <c r="E1114" s="16" t="s">
        <v>4886</v>
      </c>
      <c r="F1114" s="16" t="s">
        <v>4887</v>
      </c>
      <c r="G1114" s="16" t="s">
        <v>4885</v>
      </c>
      <c r="H1114" s="20" t="s">
        <v>69</v>
      </c>
      <c r="I1114" s="21" t="s">
        <v>70</v>
      </c>
      <c r="J1114" s="22" t="s">
        <v>71</v>
      </c>
      <c r="K1114" s="23">
        <v>48.0</v>
      </c>
      <c r="L1114" s="24">
        <v>10.0</v>
      </c>
      <c r="M1114" s="24" t="str">
        <f>IFERROR(VLOOKUP(D1114,'Chủ đề bài nguồn'!$A$2:$C$735,3,0),"Khác")</f>
        <v>Ngoại tệ &amp; chuyển tiền quốc tế</v>
      </c>
      <c r="N1114" s="24"/>
    </row>
    <row r="1115">
      <c r="A1115" s="15">
        <v>1113.0</v>
      </c>
      <c r="B1115" s="16" t="s">
        <v>1038</v>
      </c>
      <c r="C1115" s="18" t="s">
        <v>3763</v>
      </c>
      <c r="D1115" s="16" t="s">
        <v>888</v>
      </c>
      <c r="E1115" s="16" t="s">
        <v>4878</v>
      </c>
      <c r="F1115" s="16" t="s">
        <v>4888</v>
      </c>
      <c r="G1115" s="16" t="s">
        <v>4885</v>
      </c>
      <c r="H1115" s="20" t="s">
        <v>69</v>
      </c>
      <c r="I1115" s="21" t="s">
        <v>70</v>
      </c>
      <c r="J1115" s="22" t="s">
        <v>71</v>
      </c>
      <c r="K1115" s="23">
        <v>48.0</v>
      </c>
      <c r="L1115" s="24">
        <v>10.0</v>
      </c>
      <c r="M1115" s="24" t="str">
        <f>IFERROR(VLOOKUP(D1115,'Chủ đề bài nguồn'!$A$2:$C$735,3,0),"Khác")</f>
        <v>Ngoại tệ &amp; chuyển tiền quốc tế</v>
      </c>
      <c r="N1115" s="24"/>
    </row>
    <row r="1116">
      <c r="A1116" s="15">
        <v>1114.0</v>
      </c>
      <c r="B1116" s="16" t="s">
        <v>1038</v>
      </c>
      <c r="C1116" s="18" t="s">
        <v>3763</v>
      </c>
      <c r="D1116" s="16" t="s">
        <v>477</v>
      </c>
      <c r="E1116" s="16" t="s">
        <v>4889</v>
      </c>
      <c r="F1116" s="16" t="s">
        <v>4884</v>
      </c>
      <c r="G1116" s="16" t="s">
        <v>4885</v>
      </c>
      <c r="H1116" s="20" t="s">
        <v>69</v>
      </c>
      <c r="I1116" s="21" t="s">
        <v>70</v>
      </c>
      <c r="J1116" s="22" t="s">
        <v>71</v>
      </c>
      <c r="K1116" s="23">
        <v>48.0</v>
      </c>
      <c r="L1116" s="24">
        <v>10.0</v>
      </c>
      <c r="M1116" s="24" t="str">
        <f>IFERROR(VLOOKUP(D1116,'Chủ đề bài nguồn'!$A$2:$C$735,3,0),"Khác")</f>
        <v>Ngoại tệ &amp; chuyển tiền quốc tế</v>
      </c>
      <c r="N1116" s="24"/>
    </row>
    <row r="1117">
      <c r="A1117" s="15">
        <v>1115.0</v>
      </c>
      <c r="B1117" s="39" t="s">
        <v>1038</v>
      </c>
      <c r="C1117" s="18" t="s">
        <v>3763</v>
      </c>
      <c r="D1117" s="39" t="s">
        <v>3268</v>
      </c>
      <c r="E1117" s="16" t="s">
        <v>4841</v>
      </c>
      <c r="F1117" s="16" t="s">
        <v>4890</v>
      </c>
      <c r="G1117" s="16" t="s">
        <v>4885</v>
      </c>
      <c r="H1117" s="20" t="s">
        <v>69</v>
      </c>
      <c r="I1117" s="21" t="s">
        <v>70</v>
      </c>
      <c r="J1117" s="22" t="s">
        <v>71</v>
      </c>
      <c r="K1117" s="23">
        <v>48.0</v>
      </c>
      <c r="L1117" s="24">
        <v>10.0</v>
      </c>
      <c r="M1117" s="24" t="str">
        <f>IFERROR(VLOOKUP(D1117,'Chủ đề bài nguồn'!$A$2:$C$735,3,0),"Khác")</f>
        <v>Ngoại tệ &amp; chuyển tiền quốc tế</v>
      </c>
      <c r="N1117" s="24"/>
    </row>
    <row r="1118">
      <c r="A1118" s="15">
        <v>1116.0</v>
      </c>
      <c r="B1118" s="39" t="s">
        <v>1038</v>
      </c>
      <c r="C1118" s="18" t="s">
        <v>3763</v>
      </c>
      <c r="D1118" s="39" t="s">
        <v>1941</v>
      </c>
      <c r="E1118" s="16" t="s">
        <v>4891</v>
      </c>
      <c r="F1118" s="16" t="s">
        <v>4892</v>
      </c>
      <c r="G1118" s="16" t="s">
        <v>4885</v>
      </c>
      <c r="H1118" s="20" t="s">
        <v>69</v>
      </c>
      <c r="I1118" s="21" t="s">
        <v>70</v>
      </c>
      <c r="J1118" s="22" t="s">
        <v>71</v>
      </c>
      <c r="K1118" s="23">
        <v>48.0</v>
      </c>
      <c r="L1118" s="24">
        <v>10.0</v>
      </c>
      <c r="M1118" s="24" t="str">
        <f>IFERROR(VLOOKUP(D1118,'Chủ đề bài nguồn'!$A$2:$C$735,3,0),"Khác")</f>
        <v>Ngoại tệ &amp; chuyển tiền quốc tế</v>
      </c>
      <c r="N1118" s="24"/>
    </row>
    <row r="1119">
      <c r="A1119" s="15">
        <v>1117.0</v>
      </c>
      <c r="B1119" s="39" t="s">
        <v>1038</v>
      </c>
      <c r="C1119" s="18" t="s">
        <v>3763</v>
      </c>
      <c r="D1119" s="39" t="s">
        <v>3365</v>
      </c>
      <c r="E1119" s="16" t="s">
        <v>4843</v>
      </c>
      <c r="F1119" s="16" t="s">
        <v>4893</v>
      </c>
      <c r="G1119" s="16" t="s">
        <v>4885</v>
      </c>
      <c r="H1119" s="20" t="s">
        <v>69</v>
      </c>
      <c r="I1119" s="21" t="s">
        <v>70</v>
      </c>
      <c r="J1119" s="22" t="s">
        <v>71</v>
      </c>
      <c r="K1119" s="23">
        <v>48.0</v>
      </c>
      <c r="L1119" s="24">
        <v>10.0</v>
      </c>
      <c r="M1119" s="24" t="str">
        <f>IFERROR(VLOOKUP(D1119,'Chủ đề bài nguồn'!$A$2:$C$735,3,0),"Khác")</f>
        <v>Ngoại tệ &amp; chuyển tiền quốc tế</v>
      </c>
      <c r="N1119" s="24"/>
    </row>
    <row r="1120">
      <c r="A1120" s="15">
        <v>1118.0</v>
      </c>
      <c r="B1120" s="16" t="s">
        <v>1038</v>
      </c>
      <c r="C1120" s="18" t="s">
        <v>3757</v>
      </c>
      <c r="D1120" s="16" t="s">
        <v>3053</v>
      </c>
      <c r="E1120" s="16" t="s">
        <v>4894</v>
      </c>
      <c r="F1120" s="16" t="s">
        <v>4895</v>
      </c>
      <c r="G1120" s="16" t="s">
        <v>4896</v>
      </c>
      <c r="H1120" s="20" t="s">
        <v>69</v>
      </c>
      <c r="I1120" s="21" t="s">
        <v>70</v>
      </c>
      <c r="J1120" s="22" t="s">
        <v>4897</v>
      </c>
      <c r="K1120" s="23">
        <v>48.0</v>
      </c>
      <c r="L1120" s="24">
        <v>10.0</v>
      </c>
      <c r="M1120" s="24" t="str">
        <f>IFERROR(VLOOKUP(D1120,'Chủ đề bài nguồn'!$A$2:$C$735,3,0),"Khác")</f>
        <v>Ngoại tệ &amp; chuyển tiền quốc tế</v>
      </c>
      <c r="N1120" s="24"/>
    </row>
    <row r="1121">
      <c r="A1121" s="15">
        <v>1119.0</v>
      </c>
      <c r="B1121" s="16" t="s">
        <v>1038</v>
      </c>
      <c r="C1121" s="18" t="s">
        <v>3757</v>
      </c>
      <c r="D1121" s="16" t="s">
        <v>757</v>
      </c>
      <c r="E1121" s="16" t="s">
        <v>4898</v>
      </c>
      <c r="F1121" s="16" t="s">
        <v>4888</v>
      </c>
      <c r="G1121" s="16" t="s">
        <v>4896</v>
      </c>
      <c r="H1121" s="20" t="s">
        <v>69</v>
      </c>
      <c r="I1121" s="21" t="s">
        <v>70</v>
      </c>
      <c r="J1121" s="22" t="s">
        <v>71</v>
      </c>
      <c r="K1121" s="23">
        <v>48.0</v>
      </c>
      <c r="L1121" s="24">
        <v>10.0</v>
      </c>
      <c r="M1121" s="24" t="str">
        <f>IFERROR(VLOOKUP(D1121,'Chủ đề bài nguồn'!$A$2:$C$735,3,0),"Khác")</f>
        <v>Ngoại tệ &amp; chuyển tiền quốc tế</v>
      </c>
      <c r="N1121" s="24"/>
    </row>
    <row r="1122">
      <c r="A1122" s="15">
        <v>1120.0</v>
      </c>
      <c r="B1122" s="16" t="s">
        <v>1038</v>
      </c>
      <c r="C1122" s="18" t="s">
        <v>3757</v>
      </c>
      <c r="D1122" s="16" t="s">
        <v>641</v>
      </c>
      <c r="E1122" s="16" t="s">
        <v>4729</v>
      </c>
      <c r="F1122" s="16" t="s">
        <v>4888</v>
      </c>
      <c r="G1122" s="16" t="s">
        <v>4896</v>
      </c>
      <c r="H1122" s="20" t="s">
        <v>69</v>
      </c>
      <c r="I1122" s="21" t="s">
        <v>70</v>
      </c>
      <c r="J1122" s="22" t="s">
        <v>71</v>
      </c>
      <c r="K1122" s="23">
        <v>48.0</v>
      </c>
      <c r="L1122" s="24">
        <v>10.0</v>
      </c>
      <c r="M1122" s="24" t="str">
        <f>IFERROR(VLOOKUP(D1122,'Chủ đề bài nguồn'!$A$2:$C$735,3,0),"Khác")</f>
        <v>Ngoại tệ &amp; chuyển tiền quốc tế</v>
      </c>
      <c r="N1122" s="24"/>
    </row>
    <row r="1123">
      <c r="A1123" s="15">
        <v>1121.0</v>
      </c>
      <c r="B1123" s="16" t="s">
        <v>1038</v>
      </c>
      <c r="C1123" s="18" t="s">
        <v>3757</v>
      </c>
      <c r="D1123" s="16" t="s">
        <v>3239</v>
      </c>
      <c r="E1123" s="16" t="s">
        <v>4649</v>
      </c>
      <c r="F1123" s="16" t="s">
        <v>4899</v>
      </c>
      <c r="G1123" s="16" t="s">
        <v>4896</v>
      </c>
      <c r="H1123" s="20" t="s">
        <v>69</v>
      </c>
      <c r="I1123" s="21" t="s">
        <v>70</v>
      </c>
      <c r="J1123" s="22" t="s">
        <v>71</v>
      </c>
      <c r="K1123" s="23">
        <v>48.0</v>
      </c>
      <c r="L1123" s="24">
        <v>10.0</v>
      </c>
      <c r="M1123" s="24" t="str">
        <f>IFERROR(VLOOKUP(D1123,'Chủ đề bài nguồn'!$A$2:$C$735,3,0),"Khác")</f>
        <v>Ngoại tệ &amp; chuyển tiền quốc tế</v>
      </c>
      <c r="N1123" s="24"/>
    </row>
    <row r="1124">
      <c r="A1124" s="15">
        <v>1122.0</v>
      </c>
      <c r="B1124" s="16" t="s">
        <v>1038</v>
      </c>
      <c r="C1124" s="18" t="s">
        <v>3757</v>
      </c>
      <c r="D1124" s="16" t="s">
        <v>784</v>
      </c>
      <c r="E1124" s="16" t="s">
        <v>4690</v>
      </c>
      <c r="F1124" s="16" t="s">
        <v>4888</v>
      </c>
      <c r="G1124" s="16" t="s">
        <v>4896</v>
      </c>
      <c r="H1124" s="20" t="s">
        <v>69</v>
      </c>
      <c r="I1124" s="21" t="s">
        <v>70</v>
      </c>
      <c r="J1124" s="22" t="s">
        <v>71</v>
      </c>
      <c r="K1124" s="23">
        <v>48.0</v>
      </c>
      <c r="L1124" s="24">
        <v>10.0</v>
      </c>
      <c r="M1124" s="24" t="str">
        <f>IFERROR(VLOOKUP(D1124,'Chủ đề bài nguồn'!$A$2:$C$735,3,0),"Khác")</f>
        <v>Ngoại tệ &amp; chuyển tiền quốc tế</v>
      </c>
      <c r="N1124" s="24"/>
    </row>
    <row r="1125">
      <c r="A1125" s="15">
        <v>1123.0</v>
      </c>
      <c r="B1125" s="16" t="s">
        <v>1038</v>
      </c>
      <c r="C1125" s="18" t="s">
        <v>3757</v>
      </c>
      <c r="D1125" s="16" t="s">
        <v>2031</v>
      </c>
      <c r="E1125" s="16" t="s">
        <v>4900</v>
      </c>
      <c r="F1125" s="16" t="s">
        <v>4901</v>
      </c>
      <c r="G1125" s="16" t="s">
        <v>4896</v>
      </c>
      <c r="H1125" s="20" t="s">
        <v>69</v>
      </c>
      <c r="I1125" s="21" t="s">
        <v>70</v>
      </c>
      <c r="J1125" s="22" t="s">
        <v>71</v>
      </c>
      <c r="K1125" s="23">
        <v>48.0</v>
      </c>
      <c r="L1125" s="24">
        <v>10.0</v>
      </c>
      <c r="M1125" s="24" t="str">
        <f>IFERROR(VLOOKUP(D1125,'Chủ đề bài nguồn'!$A$2:$C$735,3,0),"Khác")</f>
        <v>Ngoại tệ &amp; chuyển tiền quốc tế</v>
      </c>
      <c r="N1125" s="24"/>
    </row>
    <row r="1126">
      <c r="A1126" s="15">
        <v>1124.0</v>
      </c>
      <c r="B1126" s="16" t="s">
        <v>1038</v>
      </c>
      <c r="C1126" s="18" t="s">
        <v>3757</v>
      </c>
      <c r="D1126" s="16" t="s">
        <v>2999</v>
      </c>
      <c r="E1126" s="16" t="s">
        <v>4902</v>
      </c>
      <c r="F1126" s="16" t="s">
        <v>4903</v>
      </c>
      <c r="G1126" s="16" t="s">
        <v>4904</v>
      </c>
      <c r="H1126" s="20" t="s">
        <v>69</v>
      </c>
      <c r="I1126" s="21" t="s">
        <v>70</v>
      </c>
      <c r="J1126" s="22" t="s">
        <v>71</v>
      </c>
      <c r="K1126" s="23">
        <v>48.0</v>
      </c>
      <c r="L1126" s="24">
        <v>11.0</v>
      </c>
      <c r="M1126" s="24" t="str">
        <f>IFERROR(VLOOKUP(D1126,'Chủ đề bài nguồn'!$A$2:$C$735,3,0),"Khác")</f>
        <v>Ngoại tệ &amp; chuyển tiền quốc tế</v>
      </c>
      <c r="N1126" s="24"/>
    </row>
    <row r="1127">
      <c r="A1127" s="15">
        <v>1125.0</v>
      </c>
      <c r="B1127" s="39" t="s">
        <v>1038</v>
      </c>
      <c r="C1127" s="18" t="s">
        <v>3757</v>
      </c>
      <c r="D1127" s="39" t="s">
        <v>3234</v>
      </c>
      <c r="E1127" s="16" t="s">
        <v>4905</v>
      </c>
      <c r="F1127" s="16" t="s">
        <v>4906</v>
      </c>
      <c r="G1127" s="16" t="s">
        <v>4907</v>
      </c>
      <c r="H1127" s="20" t="s">
        <v>69</v>
      </c>
      <c r="I1127" s="21" t="s">
        <v>70</v>
      </c>
      <c r="J1127" s="22" t="s">
        <v>4908</v>
      </c>
      <c r="K1127" s="23">
        <v>48.0</v>
      </c>
      <c r="L1127" s="24">
        <v>11.0</v>
      </c>
      <c r="M1127" s="24" t="str">
        <f>IFERROR(VLOOKUP(D1127,'Chủ đề bài nguồn'!$A$2:$C$735,3,0),"Khác")</f>
        <v>Ngoại tệ &amp; chuyển tiền quốc tế</v>
      </c>
      <c r="N1127" s="24"/>
    </row>
    <row r="1128">
      <c r="A1128" s="15">
        <v>1126.0</v>
      </c>
      <c r="B1128" s="16" t="s">
        <v>1038</v>
      </c>
      <c r="C1128" s="18" t="s">
        <v>3763</v>
      </c>
      <c r="D1128" s="16" t="s">
        <v>2016</v>
      </c>
      <c r="E1128" s="16" t="s">
        <v>4909</v>
      </c>
      <c r="F1128" s="16" t="s">
        <v>4910</v>
      </c>
      <c r="G1128" s="16" t="s">
        <v>4885</v>
      </c>
      <c r="H1128" s="20" t="s">
        <v>155</v>
      </c>
      <c r="I1128" s="21" t="s">
        <v>70</v>
      </c>
      <c r="J1128" s="22" t="s">
        <v>71</v>
      </c>
      <c r="K1128" s="23">
        <v>48.0</v>
      </c>
      <c r="L1128" s="24">
        <v>20.0</v>
      </c>
      <c r="M1128" s="24" t="str">
        <f>IFERROR(VLOOKUP(D1128,'Chủ đề bài nguồn'!$A$2:$C$735,3,0),"Khác")</f>
        <v>Ngoại tệ &amp; chuyển tiền quốc tế</v>
      </c>
      <c r="N1128" s="24"/>
    </row>
    <row r="1129">
      <c r="A1129" s="15">
        <v>1127.0</v>
      </c>
      <c r="B1129" s="16" t="s">
        <v>1038</v>
      </c>
      <c r="C1129" s="18" t="s">
        <v>3757</v>
      </c>
      <c r="D1129" s="16" t="s">
        <v>880</v>
      </c>
      <c r="E1129" s="16" t="s">
        <v>4911</v>
      </c>
      <c r="F1129" s="16" t="s">
        <v>4912</v>
      </c>
      <c r="G1129" s="16" t="s">
        <v>4896</v>
      </c>
      <c r="H1129" s="20" t="s">
        <v>155</v>
      </c>
      <c r="I1129" s="21" t="s">
        <v>70</v>
      </c>
      <c r="J1129" s="22" t="s">
        <v>4913</v>
      </c>
      <c r="K1129" s="23">
        <v>48.0</v>
      </c>
      <c r="L1129" s="24">
        <v>20.0</v>
      </c>
      <c r="M1129" s="24" t="str">
        <f>IFERROR(VLOOKUP(D1129,'Chủ đề bài nguồn'!$A$2:$C$735,3,0),"Khác")</f>
        <v>Doanh nghiệp (tài khoản, vay, tài chính)</v>
      </c>
      <c r="N1129" s="24"/>
    </row>
    <row r="1130">
      <c r="A1130" s="15">
        <v>1128.0</v>
      </c>
      <c r="B1130" s="39" t="s">
        <v>1038</v>
      </c>
      <c r="C1130" s="18" t="s">
        <v>3763</v>
      </c>
      <c r="D1130" s="39" t="s">
        <v>1020</v>
      </c>
      <c r="E1130" s="16" t="s">
        <v>4914</v>
      </c>
      <c r="F1130" s="16" t="s">
        <v>4915</v>
      </c>
      <c r="G1130" s="16" t="s">
        <v>4916</v>
      </c>
      <c r="H1130" s="20" t="s">
        <v>155</v>
      </c>
      <c r="I1130" s="21" t="s">
        <v>70</v>
      </c>
      <c r="J1130" s="22" t="s">
        <v>71</v>
      </c>
      <c r="K1130" s="23">
        <v>48.0</v>
      </c>
      <c r="L1130" s="24">
        <v>21.0</v>
      </c>
      <c r="M1130" s="24" t="str">
        <f>IFERROR(VLOOKUP(D1130,'Chủ đề bài nguồn'!$A$2:$C$735,3,0),"Khác")</f>
        <v>Ngoại tệ &amp; chuyển tiền quốc tế</v>
      </c>
      <c r="N1130" s="24"/>
    </row>
    <row r="1131">
      <c r="A1131" s="15">
        <v>1129.0</v>
      </c>
      <c r="B1131" s="16" t="s">
        <v>1038</v>
      </c>
      <c r="C1131" s="18" t="s">
        <v>3757</v>
      </c>
      <c r="D1131" s="16" t="s">
        <v>3162</v>
      </c>
      <c r="E1131" s="16" t="s">
        <v>4917</v>
      </c>
      <c r="F1131" s="16" t="s">
        <v>4918</v>
      </c>
      <c r="G1131" s="16" t="s">
        <v>4919</v>
      </c>
      <c r="H1131" s="20" t="s">
        <v>155</v>
      </c>
      <c r="I1131" s="21" t="s">
        <v>70</v>
      </c>
      <c r="J1131" s="22" t="s">
        <v>71</v>
      </c>
      <c r="K1131" s="23">
        <v>48.0</v>
      </c>
      <c r="L1131" s="24">
        <v>21.0</v>
      </c>
      <c r="M1131" s="24" t="str">
        <f>IFERROR(VLOOKUP(D1131,'Chủ đề bài nguồn'!$A$2:$C$735,3,0),"Khác")</f>
        <v>Ngoại tệ &amp; chuyển tiền quốc tế</v>
      </c>
      <c r="N1131" s="24"/>
    </row>
    <row r="1132">
      <c r="A1132" s="15">
        <v>1130.0</v>
      </c>
      <c r="B1132" s="16" t="s">
        <v>1038</v>
      </c>
      <c r="C1132" s="18" t="s">
        <v>3757</v>
      </c>
      <c r="D1132" s="16" t="s">
        <v>3210</v>
      </c>
      <c r="E1132" s="16" t="s">
        <v>4763</v>
      </c>
      <c r="F1132" s="16" t="s">
        <v>4920</v>
      </c>
      <c r="G1132" s="16" t="s">
        <v>4921</v>
      </c>
      <c r="H1132" s="20" t="s">
        <v>155</v>
      </c>
      <c r="I1132" s="21" t="s">
        <v>70</v>
      </c>
      <c r="J1132" s="22" t="s">
        <v>71</v>
      </c>
      <c r="K1132" s="23">
        <v>48.0</v>
      </c>
      <c r="L1132" s="24">
        <v>21.0</v>
      </c>
      <c r="M1132" s="24" t="str">
        <f>IFERROR(VLOOKUP(D1132,'Chủ đề bài nguồn'!$A$2:$C$735,3,0),"Khác")</f>
        <v>Ngoại tệ &amp; chuyển tiền quốc tế</v>
      </c>
      <c r="N1132" s="24"/>
    </row>
    <row r="1133">
      <c r="A1133" s="15">
        <v>1131.0</v>
      </c>
      <c r="B1133" s="16" t="s">
        <v>1038</v>
      </c>
      <c r="C1133" s="18" t="s">
        <v>3757</v>
      </c>
      <c r="D1133" s="16" t="s">
        <v>2863</v>
      </c>
      <c r="E1133" s="16" t="s">
        <v>4922</v>
      </c>
      <c r="F1133" s="16" t="s">
        <v>4923</v>
      </c>
      <c r="G1133" s="16" t="s">
        <v>4924</v>
      </c>
      <c r="H1133" s="20" t="s">
        <v>155</v>
      </c>
      <c r="I1133" s="21" t="s">
        <v>70</v>
      </c>
      <c r="J1133" s="22" t="s">
        <v>71</v>
      </c>
      <c r="K1133" s="23">
        <v>48.0</v>
      </c>
      <c r="L1133" s="24">
        <v>21.0</v>
      </c>
      <c r="M1133" s="24" t="str">
        <f>IFERROR(VLOOKUP(D1133,'Chủ đề bài nguồn'!$A$2:$C$735,3,0),"Khác")</f>
        <v>Ngoại tệ &amp; chuyển tiền quốc tế</v>
      </c>
      <c r="N1133" s="24"/>
    </row>
    <row r="1134">
      <c r="A1134" s="15">
        <v>1132.0</v>
      </c>
      <c r="B1134" s="16" t="s">
        <v>1038</v>
      </c>
      <c r="C1134" s="18" t="s">
        <v>1874</v>
      </c>
      <c r="D1134" s="16" t="s">
        <v>2879</v>
      </c>
      <c r="E1134" s="16" t="s">
        <v>4925</v>
      </c>
      <c r="F1134" s="16" t="s">
        <v>4926</v>
      </c>
      <c r="G1134" s="16" t="s">
        <v>4927</v>
      </c>
      <c r="H1134" s="20" t="s">
        <v>229</v>
      </c>
      <c r="I1134" s="21" t="s">
        <v>70</v>
      </c>
      <c r="J1134" s="22" t="s">
        <v>4928</v>
      </c>
      <c r="K1134" s="23">
        <v>48.0</v>
      </c>
      <c r="L1134" s="24">
        <v>31.0</v>
      </c>
      <c r="M1134" s="24" t="str">
        <f>IFERROR(VLOOKUP(D1134,'Chủ đề bài nguồn'!$A$2:$C$735,3,0),"Khác")</f>
        <v>Ngoại tệ &amp; chuyển tiền quốc tế</v>
      </c>
      <c r="N1134" s="24"/>
    </row>
    <row r="1135">
      <c r="A1135" s="15">
        <v>1133.0</v>
      </c>
      <c r="B1135" s="16" t="s">
        <v>1038</v>
      </c>
      <c r="C1135" s="18" t="s">
        <v>3757</v>
      </c>
      <c r="D1135" s="16" t="s">
        <v>3177</v>
      </c>
      <c r="E1135" s="16" t="s">
        <v>4929</v>
      </c>
      <c r="F1135" s="16" t="s">
        <v>4930</v>
      </c>
      <c r="G1135" s="16" t="s">
        <v>4931</v>
      </c>
      <c r="H1135" s="20" t="s">
        <v>229</v>
      </c>
      <c r="I1135" s="21" t="s">
        <v>70</v>
      </c>
      <c r="J1135" s="22" t="s">
        <v>71</v>
      </c>
      <c r="K1135" s="23">
        <v>48.0</v>
      </c>
      <c r="L1135" s="24">
        <v>31.0</v>
      </c>
      <c r="M1135" s="24" t="str">
        <f>IFERROR(VLOOKUP(D1135,'Chủ đề bài nguồn'!$A$2:$C$735,3,0),"Khác")</f>
        <v>Ngoại tệ &amp; chuyển tiền quốc tế</v>
      </c>
      <c r="N1135" s="24"/>
    </row>
    <row r="1136">
      <c r="A1136" s="15">
        <v>1134.0</v>
      </c>
      <c r="B1136" s="16" t="s">
        <v>1038</v>
      </c>
      <c r="C1136" s="18" t="s">
        <v>3757</v>
      </c>
      <c r="D1136" s="16" t="s">
        <v>2093</v>
      </c>
      <c r="E1136" s="16" t="s">
        <v>710</v>
      </c>
      <c r="F1136" s="16" t="s">
        <v>4932</v>
      </c>
      <c r="G1136" s="16" t="s">
        <v>4933</v>
      </c>
      <c r="H1136" s="20" t="s">
        <v>229</v>
      </c>
      <c r="I1136" s="21" t="s">
        <v>70</v>
      </c>
      <c r="J1136" s="22" t="s">
        <v>71</v>
      </c>
      <c r="K1136" s="23">
        <v>48.0</v>
      </c>
      <c r="L1136" s="24">
        <v>31.0</v>
      </c>
      <c r="M1136" s="24" t="str">
        <f>IFERROR(VLOOKUP(D1136,'Chủ đề bài nguồn'!$A$2:$C$735,3,0),"Khác")</f>
        <v>Ngoại tệ &amp; chuyển tiền quốc tế</v>
      </c>
      <c r="N1136" s="24"/>
    </row>
    <row r="1137">
      <c r="A1137" s="15">
        <v>1135.0</v>
      </c>
      <c r="B1137" s="16" t="s">
        <v>1038</v>
      </c>
      <c r="C1137" s="18" t="s">
        <v>3757</v>
      </c>
      <c r="D1137" s="16" t="s">
        <v>2781</v>
      </c>
      <c r="E1137" s="16" t="s">
        <v>4934</v>
      </c>
      <c r="F1137" s="16" t="s">
        <v>4935</v>
      </c>
      <c r="G1137" s="16" t="s">
        <v>4936</v>
      </c>
      <c r="H1137" s="20" t="s">
        <v>229</v>
      </c>
      <c r="I1137" s="21" t="s">
        <v>70</v>
      </c>
      <c r="J1137" s="22" t="s">
        <v>4937</v>
      </c>
      <c r="K1137" s="23">
        <v>48.0</v>
      </c>
      <c r="L1137" s="24">
        <v>31.0</v>
      </c>
      <c r="M1137" s="24" t="str">
        <f>IFERROR(VLOOKUP(D1137,'Chủ đề bài nguồn'!$A$2:$C$735,3,0),"Khác")</f>
        <v>Ngoại tệ &amp; chuyển tiền quốc tế</v>
      </c>
      <c r="N1137" s="24"/>
    </row>
    <row r="1138">
      <c r="A1138" s="15">
        <v>1136.0</v>
      </c>
      <c r="B1138" s="16" t="s">
        <v>1038</v>
      </c>
      <c r="C1138" s="18" t="s">
        <v>3757</v>
      </c>
      <c r="D1138" s="16" t="s">
        <v>3050</v>
      </c>
      <c r="E1138" s="16" t="s">
        <v>4938</v>
      </c>
      <c r="F1138" s="16" t="s">
        <v>4939</v>
      </c>
      <c r="G1138" s="16" t="s">
        <v>4940</v>
      </c>
      <c r="H1138" s="20" t="s">
        <v>229</v>
      </c>
      <c r="I1138" s="21" t="s">
        <v>70</v>
      </c>
      <c r="J1138" s="22" t="s">
        <v>71</v>
      </c>
      <c r="K1138" s="23">
        <v>48.0</v>
      </c>
      <c r="L1138" s="24">
        <v>31.0</v>
      </c>
      <c r="M1138" s="24" t="str">
        <f>IFERROR(VLOOKUP(D1138,'Chủ đề bài nguồn'!$A$2:$C$735,3,0),"Khác")</f>
        <v>Ngoại tệ &amp; chuyển tiền quốc tế</v>
      </c>
      <c r="N1138" s="24"/>
    </row>
    <row r="1139">
      <c r="A1139" s="15">
        <v>1137.0</v>
      </c>
      <c r="B1139" s="16" t="s">
        <v>1038</v>
      </c>
      <c r="C1139" s="18" t="s">
        <v>3757</v>
      </c>
      <c r="D1139" s="16" t="s">
        <v>3041</v>
      </c>
      <c r="E1139" s="16" t="s">
        <v>4941</v>
      </c>
      <c r="F1139" s="16" t="s">
        <v>4942</v>
      </c>
      <c r="G1139" s="16" t="s">
        <v>4943</v>
      </c>
      <c r="H1139" s="20" t="s">
        <v>229</v>
      </c>
      <c r="I1139" s="21" t="s">
        <v>70</v>
      </c>
      <c r="J1139" s="22" t="s">
        <v>71</v>
      </c>
      <c r="K1139" s="23">
        <v>48.0</v>
      </c>
      <c r="L1139" s="24">
        <v>31.0</v>
      </c>
      <c r="M1139" s="24" t="str">
        <f>IFERROR(VLOOKUP(D1139,'Chủ đề bài nguồn'!$A$2:$C$735,3,0),"Khác")</f>
        <v>Thẻ tín dụng</v>
      </c>
      <c r="N1139" s="24"/>
    </row>
    <row r="1140">
      <c r="A1140" s="15">
        <v>1138.0</v>
      </c>
      <c r="B1140" s="16" t="s">
        <v>1038</v>
      </c>
      <c r="C1140" s="18" t="s">
        <v>3757</v>
      </c>
      <c r="D1140" s="16" t="s">
        <v>2043</v>
      </c>
      <c r="E1140" s="16" t="s">
        <v>4944</v>
      </c>
      <c r="F1140" s="16" t="s">
        <v>4945</v>
      </c>
      <c r="G1140" s="16" t="s">
        <v>4946</v>
      </c>
      <c r="H1140" s="20" t="s">
        <v>229</v>
      </c>
      <c r="I1140" s="21" t="s">
        <v>70</v>
      </c>
      <c r="J1140" s="22" t="s">
        <v>71</v>
      </c>
      <c r="K1140" s="23">
        <v>48.0</v>
      </c>
      <c r="L1140" s="24">
        <v>31.0</v>
      </c>
      <c r="M1140" s="24" t="str">
        <f>IFERROR(VLOOKUP(D1140,'Chủ đề bài nguồn'!$A$2:$C$735,3,0),"Khác")</f>
        <v>Ngoại tệ &amp; chuyển tiền quốc tế</v>
      </c>
      <c r="N1140" s="24"/>
    </row>
    <row r="1141">
      <c r="A1141" s="15">
        <v>1139.0</v>
      </c>
      <c r="B1141" s="16" t="s">
        <v>1047</v>
      </c>
      <c r="C1141" s="18" t="s">
        <v>1904</v>
      </c>
      <c r="D1141" s="16" t="s">
        <v>2834</v>
      </c>
      <c r="E1141" s="16" t="s">
        <v>4495</v>
      </c>
      <c r="F1141" s="16" t="s">
        <v>4947</v>
      </c>
      <c r="G1141" s="16" t="s">
        <v>4948</v>
      </c>
      <c r="H1141" s="20" t="s">
        <v>155</v>
      </c>
      <c r="I1141" s="21" t="s">
        <v>70</v>
      </c>
      <c r="J1141" s="40" t="s">
        <v>4949</v>
      </c>
      <c r="K1141" s="23">
        <v>49.0</v>
      </c>
      <c r="L1141" s="24">
        <v>21.0</v>
      </c>
      <c r="M1141" s="24" t="str">
        <f>IFERROR(VLOOKUP(D1141,'Chủ đề bài nguồn'!$A$2:$C$735,3,0),"Khác")</f>
        <v>Ngoại tệ &amp; chuyển tiền quốc tế</v>
      </c>
      <c r="N1141" s="24"/>
    </row>
    <row r="1142">
      <c r="A1142" s="15">
        <v>1140.0</v>
      </c>
      <c r="B1142" s="16" t="s">
        <v>1047</v>
      </c>
      <c r="C1142" s="18" t="s">
        <v>1904</v>
      </c>
      <c r="D1142" s="16" t="s">
        <v>757</v>
      </c>
      <c r="E1142" s="16" t="s">
        <v>4950</v>
      </c>
      <c r="F1142" s="16" t="s">
        <v>4951</v>
      </c>
      <c r="G1142" s="16" t="s">
        <v>4952</v>
      </c>
      <c r="H1142" s="20" t="s">
        <v>155</v>
      </c>
      <c r="I1142" s="21" t="s">
        <v>70</v>
      </c>
      <c r="J1142" s="22" t="s">
        <v>4953</v>
      </c>
      <c r="K1142" s="23">
        <v>49.0</v>
      </c>
      <c r="L1142" s="24">
        <v>21.0</v>
      </c>
      <c r="M1142" s="24" t="str">
        <f>IFERROR(VLOOKUP(D1142,'Chủ đề bài nguồn'!$A$2:$C$735,3,0),"Khác")</f>
        <v>Ngoại tệ &amp; chuyển tiền quốc tế</v>
      </c>
      <c r="N1142" s="24"/>
    </row>
    <row r="1143">
      <c r="A1143" s="15">
        <v>1141.0</v>
      </c>
      <c r="B1143" s="16" t="s">
        <v>1047</v>
      </c>
      <c r="C1143" s="18" t="s">
        <v>1904</v>
      </c>
      <c r="D1143" s="16" t="s">
        <v>3234</v>
      </c>
      <c r="E1143" s="16" t="s">
        <v>4954</v>
      </c>
      <c r="F1143" s="16" t="s">
        <v>4955</v>
      </c>
      <c r="G1143" s="16" t="s">
        <v>4956</v>
      </c>
      <c r="H1143" s="20" t="s">
        <v>155</v>
      </c>
      <c r="I1143" s="21" t="s">
        <v>70</v>
      </c>
      <c r="J1143" s="22" t="s">
        <v>71</v>
      </c>
      <c r="K1143" s="23">
        <v>49.0</v>
      </c>
      <c r="L1143" s="24">
        <v>21.0</v>
      </c>
      <c r="M1143" s="24" t="str">
        <f>IFERROR(VLOOKUP(D1143,'Chủ đề bài nguồn'!$A$2:$C$735,3,0),"Khác")</f>
        <v>Ngoại tệ &amp; chuyển tiền quốc tế</v>
      </c>
      <c r="N1143" s="24"/>
    </row>
    <row r="1144">
      <c r="A1144" s="15">
        <v>1142.0</v>
      </c>
      <c r="B1144" s="16" t="s">
        <v>1047</v>
      </c>
      <c r="C1144" s="18" t="s">
        <v>1904</v>
      </c>
      <c r="D1144" s="16" t="s">
        <v>3079</v>
      </c>
      <c r="E1144" s="16" t="s">
        <v>4957</v>
      </c>
      <c r="F1144" s="16" t="s">
        <v>4958</v>
      </c>
      <c r="G1144" s="16" t="s">
        <v>4959</v>
      </c>
      <c r="H1144" s="20" t="s">
        <v>155</v>
      </c>
      <c r="I1144" s="21" t="s">
        <v>70</v>
      </c>
      <c r="J1144" s="22" t="s">
        <v>71</v>
      </c>
      <c r="K1144" s="23">
        <v>49.0</v>
      </c>
      <c r="L1144" s="24">
        <v>21.0</v>
      </c>
      <c r="M1144" s="24" t="str">
        <f>IFERROR(VLOOKUP(D1144,'Chủ đề bài nguồn'!$A$2:$C$735,3,0),"Khác")</f>
        <v>Ngoại tệ &amp; chuyển tiền quốc tế</v>
      </c>
      <c r="N1144" s="24"/>
    </row>
    <row r="1145">
      <c r="A1145" s="15">
        <v>1143.0</v>
      </c>
      <c r="B1145" s="16" t="s">
        <v>1047</v>
      </c>
      <c r="C1145" s="18" t="s">
        <v>3775</v>
      </c>
      <c r="D1145" s="16" t="s">
        <v>3351</v>
      </c>
      <c r="E1145" s="16" t="s">
        <v>4960</v>
      </c>
      <c r="F1145" s="16" t="s">
        <v>4961</v>
      </c>
      <c r="G1145" s="16" t="s">
        <v>4962</v>
      </c>
      <c r="H1145" s="20" t="s">
        <v>155</v>
      </c>
      <c r="I1145" s="21" t="s">
        <v>70</v>
      </c>
      <c r="J1145" s="22" t="s">
        <v>71</v>
      </c>
      <c r="K1145" s="23">
        <v>49.0</v>
      </c>
      <c r="L1145" s="24">
        <v>21.0</v>
      </c>
      <c r="M1145" s="24" t="str">
        <f>IFERROR(VLOOKUP(D1145,'Chủ đề bài nguồn'!$A$2:$C$735,3,0),"Khác")</f>
        <v>Ngoại tệ &amp; chuyển tiền quốc tế</v>
      </c>
      <c r="N1145" s="24"/>
    </row>
    <row r="1146">
      <c r="A1146" s="15">
        <v>1144.0</v>
      </c>
      <c r="B1146" s="16" t="s">
        <v>1047</v>
      </c>
      <c r="C1146" s="18" t="s">
        <v>1904</v>
      </c>
      <c r="D1146" s="16" t="s">
        <v>1866</v>
      </c>
      <c r="E1146" s="16" t="s">
        <v>1868</v>
      </c>
      <c r="F1146" s="16" t="s">
        <v>4963</v>
      </c>
      <c r="G1146" s="16" t="s">
        <v>4964</v>
      </c>
      <c r="H1146" s="20" t="s">
        <v>229</v>
      </c>
      <c r="I1146" s="21" t="s">
        <v>70</v>
      </c>
      <c r="J1146" s="22" t="s">
        <v>71</v>
      </c>
      <c r="K1146" s="23">
        <v>49.0</v>
      </c>
      <c r="L1146" s="24">
        <v>31.0</v>
      </c>
      <c r="M1146" s="24" t="str">
        <f>IFERROR(VLOOKUP(D1146,'Chủ đề bài nguồn'!$A$2:$C$735,3,0),"Khác")</f>
        <v>Ngoại tệ &amp; chuyển tiền quốc tế</v>
      </c>
      <c r="N1146" s="24"/>
    </row>
    <row r="1147">
      <c r="A1147" s="15">
        <v>1145.0</v>
      </c>
      <c r="B1147" s="16" t="s">
        <v>1047</v>
      </c>
      <c r="C1147" s="18" t="s">
        <v>1904</v>
      </c>
      <c r="D1147" s="16" t="s">
        <v>3053</v>
      </c>
      <c r="E1147" s="16" t="s">
        <v>4894</v>
      </c>
      <c r="F1147" s="16" t="s">
        <v>4965</v>
      </c>
      <c r="G1147" s="16" t="s">
        <v>4966</v>
      </c>
      <c r="H1147" s="20" t="s">
        <v>229</v>
      </c>
      <c r="I1147" s="21" t="s">
        <v>70</v>
      </c>
      <c r="J1147" s="22" t="s">
        <v>71</v>
      </c>
      <c r="K1147" s="23">
        <v>49.0</v>
      </c>
      <c r="L1147" s="24">
        <v>31.0</v>
      </c>
      <c r="M1147" s="24" t="str">
        <f>IFERROR(VLOOKUP(D1147,'Chủ đề bài nguồn'!$A$2:$C$735,3,0),"Khác")</f>
        <v>Ngoại tệ &amp; chuyển tiền quốc tế</v>
      </c>
      <c r="N1147" s="24"/>
    </row>
    <row r="1148">
      <c r="A1148" s="15">
        <v>1146.0</v>
      </c>
      <c r="B1148" s="16" t="s">
        <v>1047</v>
      </c>
      <c r="C1148" s="18" t="s">
        <v>1904</v>
      </c>
      <c r="D1148" s="16" t="s">
        <v>3236</v>
      </c>
      <c r="E1148" s="16" t="s">
        <v>4886</v>
      </c>
      <c r="F1148" s="16" t="s">
        <v>4967</v>
      </c>
      <c r="G1148" s="16" t="s">
        <v>4968</v>
      </c>
      <c r="H1148" s="20" t="s">
        <v>229</v>
      </c>
      <c r="I1148" s="21" t="s">
        <v>70</v>
      </c>
      <c r="J1148" s="22" t="s">
        <v>71</v>
      </c>
      <c r="K1148" s="23">
        <v>49.0</v>
      </c>
      <c r="L1148" s="24">
        <v>31.0</v>
      </c>
      <c r="M1148" s="24" t="str">
        <f>IFERROR(VLOOKUP(D1148,'Chủ đề bài nguồn'!$A$2:$C$735,3,0),"Khác")</f>
        <v>Ngoại tệ &amp; chuyển tiền quốc tế</v>
      </c>
      <c r="N1148" s="24"/>
    </row>
    <row r="1149">
      <c r="A1149" s="15">
        <v>1147.0</v>
      </c>
      <c r="B1149" s="16" t="s">
        <v>1047</v>
      </c>
      <c r="C1149" s="18" t="s">
        <v>1904</v>
      </c>
      <c r="D1149" s="16" t="s">
        <v>3161</v>
      </c>
      <c r="E1149" s="16" t="s">
        <v>4969</v>
      </c>
      <c r="F1149" s="16" t="s">
        <v>4970</v>
      </c>
      <c r="G1149" s="16" t="s">
        <v>4971</v>
      </c>
      <c r="H1149" s="20" t="s">
        <v>229</v>
      </c>
      <c r="I1149" s="21" t="s">
        <v>70</v>
      </c>
      <c r="J1149" s="22" t="s">
        <v>4972</v>
      </c>
      <c r="K1149" s="23">
        <v>49.0</v>
      </c>
      <c r="L1149" s="24">
        <v>31.0</v>
      </c>
      <c r="M1149" s="24" t="str">
        <f>IFERROR(VLOOKUP(D1149,'Chủ đề bài nguồn'!$A$2:$C$735,3,0),"Khác")</f>
        <v>Thanh toán, chuyển khoản &amp; QR</v>
      </c>
      <c r="N1149" s="24"/>
    </row>
    <row r="1150">
      <c r="A1150" s="15">
        <v>1148.0</v>
      </c>
      <c r="B1150" s="16" t="s">
        <v>1047</v>
      </c>
      <c r="C1150" s="18" t="s">
        <v>1904</v>
      </c>
      <c r="D1150" s="16" t="s">
        <v>2787</v>
      </c>
      <c r="E1150" s="16" t="s">
        <v>4973</v>
      </c>
      <c r="F1150" s="16" t="s">
        <v>4974</v>
      </c>
      <c r="G1150" s="16" t="s">
        <v>4975</v>
      </c>
      <c r="H1150" s="20" t="s">
        <v>229</v>
      </c>
      <c r="I1150" s="21" t="s">
        <v>70</v>
      </c>
      <c r="J1150" s="22" t="s">
        <v>71</v>
      </c>
      <c r="K1150" s="23">
        <v>49.0</v>
      </c>
      <c r="L1150" s="24">
        <v>31.0</v>
      </c>
      <c r="M1150" s="24" t="str">
        <f>IFERROR(VLOOKUP(D1150,'Chủ đề bài nguồn'!$A$2:$C$735,3,0),"Khác")</f>
        <v>Thanh toán, chuyển khoản &amp; QR</v>
      </c>
      <c r="N1150" s="24"/>
    </row>
    <row r="1151">
      <c r="A1151" s="15">
        <v>1149.0</v>
      </c>
      <c r="B1151" s="16" t="s">
        <v>1056</v>
      </c>
      <c r="C1151" s="18" t="s">
        <v>3790</v>
      </c>
      <c r="D1151" s="16" t="s">
        <v>3055</v>
      </c>
      <c r="E1151" s="16" t="s">
        <v>710</v>
      </c>
      <c r="F1151" s="16" t="s">
        <v>4976</v>
      </c>
      <c r="G1151" s="16" t="s">
        <v>4977</v>
      </c>
      <c r="H1151" s="20" t="s">
        <v>69</v>
      </c>
      <c r="I1151" s="21" t="s">
        <v>70</v>
      </c>
      <c r="J1151" s="22" t="s">
        <v>4978</v>
      </c>
      <c r="K1151" s="23">
        <v>50.0</v>
      </c>
      <c r="L1151" s="24">
        <v>11.0</v>
      </c>
      <c r="M1151" s="24" t="str">
        <f>IFERROR(VLOOKUP(D1151,'Chủ đề bài nguồn'!$A$2:$C$735,3,0),"Khác")</f>
        <v>Vay tiêu dùng &amp; tín chấp</v>
      </c>
      <c r="N1151" s="24"/>
    </row>
    <row r="1152">
      <c r="A1152" s="15">
        <v>1150.0</v>
      </c>
      <c r="B1152" s="16" t="s">
        <v>1056</v>
      </c>
      <c r="C1152" s="18" t="s">
        <v>1928</v>
      </c>
      <c r="D1152" s="16" t="s">
        <v>2799</v>
      </c>
      <c r="E1152" s="16" t="s">
        <v>4979</v>
      </c>
      <c r="F1152" s="16" t="s">
        <v>4980</v>
      </c>
      <c r="G1152" s="16" t="s">
        <v>4981</v>
      </c>
      <c r="H1152" s="20" t="s">
        <v>69</v>
      </c>
      <c r="I1152" s="21" t="s">
        <v>70</v>
      </c>
      <c r="J1152" s="22" t="s">
        <v>71</v>
      </c>
      <c r="K1152" s="23">
        <v>50.0</v>
      </c>
      <c r="L1152" s="24">
        <v>11.0</v>
      </c>
      <c r="M1152" s="24" t="str">
        <f>IFERROR(VLOOKUP(D1152,'Chủ đề bài nguồn'!$A$2:$C$735,3,0),"Khác")</f>
        <v>Vay thế chấp &amp; mua nhà/xe</v>
      </c>
      <c r="N1152" s="24"/>
    </row>
    <row r="1153">
      <c r="A1153" s="15">
        <v>1151.0</v>
      </c>
      <c r="B1153" s="16" t="s">
        <v>1056</v>
      </c>
      <c r="C1153" s="18" t="s">
        <v>3790</v>
      </c>
      <c r="D1153" s="16" t="s">
        <v>3285</v>
      </c>
      <c r="E1153" s="16" t="s">
        <v>4982</v>
      </c>
      <c r="F1153" s="16" t="s">
        <v>4983</v>
      </c>
      <c r="G1153" s="16" t="s">
        <v>4984</v>
      </c>
      <c r="H1153" s="20" t="s">
        <v>155</v>
      </c>
      <c r="I1153" s="21" t="s">
        <v>70</v>
      </c>
      <c r="J1153" s="22" t="s">
        <v>71</v>
      </c>
      <c r="K1153" s="23">
        <v>50.0</v>
      </c>
      <c r="L1153" s="24">
        <v>21.0</v>
      </c>
      <c r="M1153" s="24" t="str">
        <f>IFERROR(VLOOKUP(D1153,'Chủ đề bài nguồn'!$A$2:$C$735,3,0),"Khác")</f>
        <v>Vay tiêu dùng &amp; tín chấp</v>
      </c>
      <c r="N1153" s="24"/>
    </row>
    <row r="1154">
      <c r="A1154" s="15">
        <v>1152.0</v>
      </c>
      <c r="B1154" s="16" t="s">
        <v>1056</v>
      </c>
      <c r="C1154" s="18" t="s">
        <v>3790</v>
      </c>
      <c r="D1154" s="16" t="s">
        <v>126</v>
      </c>
      <c r="E1154" s="16" t="s">
        <v>127</v>
      </c>
      <c r="F1154" s="16" t="s">
        <v>4985</v>
      </c>
      <c r="G1154" s="16" t="s">
        <v>4986</v>
      </c>
      <c r="H1154" s="20" t="s">
        <v>155</v>
      </c>
      <c r="I1154" s="21" t="s">
        <v>70</v>
      </c>
      <c r="J1154" s="22" t="s">
        <v>134</v>
      </c>
      <c r="K1154" s="23">
        <v>50.0</v>
      </c>
      <c r="L1154" s="24">
        <v>21.0</v>
      </c>
      <c r="M1154" s="24" t="str">
        <f>IFERROR(VLOOKUP(D1154,'Chủ đề bài nguồn'!$A$2:$C$735,3,0),"Khác")</f>
        <v>Vay tiêu dùng &amp; tín chấp</v>
      </c>
      <c r="N1154" s="24"/>
    </row>
    <row r="1155">
      <c r="A1155" s="15">
        <v>1153.0</v>
      </c>
      <c r="B1155" s="16" t="s">
        <v>1056</v>
      </c>
      <c r="C1155" s="18" t="s">
        <v>3790</v>
      </c>
      <c r="D1155" s="16" t="s">
        <v>3291</v>
      </c>
      <c r="E1155" s="16" t="s">
        <v>4987</v>
      </c>
      <c r="F1155" s="16" t="s">
        <v>4988</v>
      </c>
      <c r="G1155" s="16" t="s">
        <v>4984</v>
      </c>
      <c r="H1155" s="20" t="s">
        <v>155</v>
      </c>
      <c r="I1155" s="21" t="s">
        <v>70</v>
      </c>
      <c r="J1155" s="22" t="s">
        <v>71</v>
      </c>
      <c r="K1155" s="23">
        <v>50.0</v>
      </c>
      <c r="L1155" s="24">
        <v>21.0</v>
      </c>
      <c r="M1155" s="24" t="str">
        <f>IFERROR(VLOOKUP(D1155,'Chủ đề bài nguồn'!$A$2:$C$735,3,0),"Khác")</f>
        <v>Vay tiêu dùng &amp; tín chấp</v>
      </c>
      <c r="N1155" s="24"/>
    </row>
    <row r="1156">
      <c r="A1156" s="15">
        <v>1154.0</v>
      </c>
      <c r="B1156" s="16" t="s">
        <v>1056</v>
      </c>
      <c r="C1156" s="18" t="s">
        <v>1928</v>
      </c>
      <c r="D1156" s="16" t="s">
        <v>2950</v>
      </c>
      <c r="E1156" s="16" t="s">
        <v>4989</v>
      </c>
      <c r="F1156" s="16" t="s">
        <v>4990</v>
      </c>
      <c r="G1156" s="16" t="s">
        <v>4991</v>
      </c>
      <c r="H1156" s="20" t="s">
        <v>155</v>
      </c>
      <c r="I1156" s="21" t="s">
        <v>70</v>
      </c>
      <c r="J1156" s="22" t="s">
        <v>71</v>
      </c>
      <c r="K1156" s="23">
        <v>50.0</v>
      </c>
      <c r="L1156" s="24">
        <v>21.0</v>
      </c>
      <c r="M1156" s="24" t="str">
        <f>IFERROR(VLOOKUP(D1156,'Chủ đề bài nguồn'!$A$2:$C$735,3,0),"Khác")</f>
        <v>Vay thế chấp &amp; mua nhà/xe</v>
      </c>
      <c r="N1156" s="24"/>
    </row>
    <row r="1157">
      <c r="A1157" s="15">
        <v>1155.0</v>
      </c>
      <c r="B1157" s="16" t="s">
        <v>1056</v>
      </c>
      <c r="C1157" s="18" t="s">
        <v>1928</v>
      </c>
      <c r="D1157" s="16" t="s">
        <v>2810</v>
      </c>
      <c r="E1157" s="16" t="s">
        <v>4992</v>
      </c>
      <c r="F1157" s="16" t="s">
        <v>4993</v>
      </c>
      <c r="G1157" s="16" t="s">
        <v>4994</v>
      </c>
      <c r="H1157" s="20" t="s">
        <v>229</v>
      </c>
      <c r="I1157" s="21" t="s">
        <v>70</v>
      </c>
      <c r="J1157" s="22" t="s">
        <v>71</v>
      </c>
      <c r="K1157" s="23">
        <v>50.0</v>
      </c>
      <c r="L1157" s="24">
        <v>31.0</v>
      </c>
      <c r="M1157" s="24" t="str">
        <f>IFERROR(VLOOKUP(D1157,'Chủ đề bài nguồn'!$A$2:$C$735,3,0),"Khác")</f>
        <v>Vay tiêu dùng &amp; tín chấp</v>
      </c>
      <c r="N1157" s="24"/>
    </row>
    <row r="1158">
      <c r="A1158" s="15">
        <v>1156.0</v>
      </c>
      <c r="B1158" s="16" t="s">
        <v>1056</v>
      </c>
      <c r="C1158" s="18" t="s">
        <v>1928</v>
      </c>
      <c r="D1158" s="16" t="s">
        <v>173</v>
      </c>
      <c r="E1158" s="16" t="s">
        <v>175</v>
      </c>
      <c r="F1158" s="16" t="s">
        <v>4995</v>
      </c>
      <c r="G1158" s="16" t="s">
        <v>4996</v>
      </c>
      <c r="H1158" s="20" t="s">
        <v>229</v>
      </c>
      <c r="I1158" s="21" t="s">
        <v>70</v>
      </c>
      <c r="J1158" s="22" t="s">
        <v>71</v>
      </c>
      <c r="K1158" s="23">
        <v>50.0</v>
      </c>
      <c r="L1158" s="24">
        <v>31.0</v>
      </c>
      <c r="M1158" s="24" t="str">
        <f>IFERROR(VLOOKUP(D1158,'Chủ đề bài nguồn'!$A$2:$C$735,3,0),"Khác")</f>
        <v>Vay thế chấp &amp; mua nhà/xe</v>
      </c>
      <c r="N1158" s="24"/>
    </row>
    <row r="1159">
      <c r="A1159" s="15">
        <v>1157.0</v>
      </c>
      <c r="B1159" s="16" t="s">
        <v>1064</v>
      </c>
      <c r="C1159" s="18" t="s">
        <v>1961</v>
      </c>
      <c r="D1159" s="16" t="s">
        <v>3033</v>
      </c>
      <c r="E1159" s="16" t="s">
        <v>4997</v>
      </c>
      <c r="F1159" s="16" t="s">
        <v>4998</v>
      </c>
      <c r="G1159" s="16" t="s">
        <v>4999</v>
      </c>
      <c r="H1159" s="20" t="s">
        <v>69</v>
      </c>
      <c r="I1159" s="21" t="s">
        <v>70</v>
      </c>
      <c r="J1159" s="22" t="s">
        <v>2506</v>
      </c>
      <c r="K1159" s="23">
        <v>51.0</v>
      </c>
      <c r="L1159" s="24">
        <v>11.0</v>
      </c>
      <c r="M1159" s="24" t="str">
        <f>IFERROR(VLOOKUP(D1159,'Chủ đề bài nguồn'!$A$2:$C$735,3,0),"Khác")</f>
        <v>Ưu đãi, du lịch &amp; đời sống</v>
      </c>
      <c r="N1159" s="24"/>
    </row>
    <row r="1160">
      <c r="A1160" s="15">
        <v>1158.0</v>
      </c>
      <c r="B1160" s="16" t="s">
        <v>1064</v>
      </c>
      <c r="C1160" s="18" t="s">
        <v>3815</v>
      </c>
      <c r="D1160" s="16" t="s">
        <v>3361</v>
      </c>
      <c r="E1160" s="16" t="s">
        <v>5000</v>
      </c>
      <c r="F1160" s="16" t="s">
        <v>5001</v>
      </c>
      <c r="G1160" s="16" t="s">
        <v>5002</v>
      </c>
      <c r="H1160" s="20" t="s">
        <v>155</v>
      </c>
      <c r="I1160" s="21" t="s">
        <v>70</v>
      </c>
      <c r="J1160" s="22" t="s">
        <v>71</v>
      </c>
      <c r="K1160" s="23">
        <v>51.0</v>
      </c>
      <c r="L1160" s="24">
        <v>21.0</v>
      </c>
      <c r="M1160" s="24" t="str">
        <f>IFERROR(VLOOKUP(D1160,'Chủ đề bài nguồn'!$A$2:$C$735,3,0),"Khác")</f>
        <v>Ưu đãi, du lịch &amp; đời sống</v>
      </c>
      <c r="N1160" s="24"/>
    </row>
    <row r="1161">
      <c r="A1161" s="15">
        <v>1159.0</v>
      </c>
      <c r="B1161" s="16" t="s">
        <v>1064</v>
      </c>
      <c r="C1161" s="18" t="s">
        <v>3815</v>
      </c>
      <c r="D1161" s="16" t="s">
        <v>3354</v>
      </c>
      <c r="E1161" s="16" t="s">
        <v>5003</v>
      </c>
      <c r="F1161" s="16" t="s">
        <v>5004</v>
      </c>
      <c r="G1161" s="16" t="s">
        <v>5005</v>
      </c>
      <c r="H1161" s="20" t="s">
        <v>155</v>
      </c>
      <c r="I1161" s="21" t="s">
        <v>70</v>
      </c>
      <c r="J1161" s="22" t="s">
        <v>71</v>
      </c>
      <c r="K1161" s="23">
        <v>51.0</v>
      </c>
      <c r="L1161" s="24">
        <v>21.0</v>
      </c>
      <c r="M1161" s="24" t="str">
        <f>IFERROR(VLOOKUP(D1161,'Chủ đề bài nguồn'!$A$2:$C$735,3,0),"Khác")</f>
        <v>Ưu đãi, du lịch &amp; đời sống</v>
      </c>
      <c r="N1161" s="24"/>
    </row>
    <row r="1162">
      <c r="A1162" s="15">
        <v>1160.0</v>
      </c>
      <c r="B1162" s="16" t="s">
        <v>1064</v>
      </c>
      <c r="C1162" s="18" t="s">
        <v>3815</v>
      </c>
      <c r="D1162" s="16" t="s">
        <v>3357</v>
      </c>
      <c r="E1162" s="16" t="s">
        <v>5006</v>
      </c>
      <c r="F1162" s="16" t="s">
        <v>5007</v>
      </c>
      <c r="G1162" s="16" t="s">
        <v>5008</v>
      </c>
      <c r="H1162" s="20" t="s">
        <v>155</v>
      </c>
      <c r="I1162" s="21" t="s">
        <v>70</v>
      </c>
      <c r="J1162" s="22" t="s">
        <v>71</v>
      </c>
      <c r="K1162" s="23">
        <v>51.0</v>
      </c>
      <c r="L1162" s="24">
        <v>21.0</v>
      </c>
      <c r="M1162" s="24" t="str">
        <f>IFERROR(VLOOKUP(D1162,'Chủ đề bài nguồn'!$A$2:$C$735,3,0),"Khác")</f>
        <v>Ưu đãi, du lịch &amp; đời sống</v>
      </c>
      <c r="N1162" s="24"/>
    </row>
    <row r="1163">
      <c r="A1163" s="15">
        <v>1161.0</v>
      </c>
      <c r="B1163" s="16" t="s">
        <v>1064</v>
      </c>
      <c r="C1163" s="18" t="s">
        <v>3815</v>
      </c>
      <c r="D1163" s="16" t="s">
        <v>3358</v>
      </c>
      <c r="E1163" s="16" t="s">
        <v>5009</v>
      </c>
      <c r="F1163" s="16" t="s">
        <v>5010</v>
      </c>
      <c r="G1163" s="16" t="s">
        <v>5008</v>
      </c>
      <c r="H1163" s="20" t="s">
        <v>155</v>
      </c>
      <c r="I1163" s="21" t="s">
        <v>70</v>
      </c>
      <c r="J1163" s="22" t="s">
        <v>71</v>
      </c>
      <c r="K1163" s="23">
        <v>51.0</v>
      </c>
      <c r="L1163" s="24">
        <v>21.0</v>
      </c>
      <c r="M1163" s="24" t="str">
        <f>IFERROR(VLOOKUP(D1163,'Chủ đề bài nguồn'!$A$2:$C$735,3,0),"Khác")</f>
        <v>Ưu đãi, du lịch &amp; đời sống</v>
      </c>
      <c r="N1163" s="24"/>
    </row>
    <row r="1164">
      <c r="A1164" s="15">
        <v>1162.0</v>
      </c>
      <c r="B1164" s="16" t="s">
        <v>1064</v>
      </c>
      <c r="C1164" s="18" t="s">
        <v>3815</v>
      </c>
      <c r="D1164" s="16" t="s">
        <v>2923</v>
      </c>
      <c r="E1164" s="16" t="s">
        <v>5011</v>
      </c>
      <c r="F1164" s="16" t="s">
        <v>5012</v>
      </c>
      <c r="G1164" s="16" t="s">
        <v>5013</v>
      </c>
      <c r="H1164" s="20" t="s">
        <v>155</v>
      </c>
      <c r="I1164" s="21" t="s">
        <v>70</v>
      </c>
      <c r="J1164" s="22" t="s">
        <v>5014</v>
      </c>
      <c r="K1164" s="23">
        <v>51.0</v>
      </c>
      <c r="L1164" s="24">
        <v>21.0</v>
      </c>
      <c r="M1164" s="24" t="str">
        <f>IFERROR(VLOOKUP(D1164,'Chủ đề bài nguồn'!$A$2:$C$735,3,0),"Khác")</f>
        <v>Ưu đãi, du lịch &amp; đời sống</v>
      </c>
      <c r="N1164" s="24"/>
    </row>
    <row r="1165">
      <c r="A1165" s="15">
        <v>1163.0</v>
      </c>
      <c r="B1165" s="16" t="s">
        <v>1064</v>
      </c>
      <c r="C1165" s="18" t="s">
        <v>3815</v>
      </c>
      <c r="D1165" s="16" t="s">
        <v>2991</v>
      </c>
      <c r="E1165" s="16" t="s">
        <v>5015</v>
      </c>
      <c r="F1165" s="16" t="s">
        <v>5016</v>
      </c>
      <c r="G1165" s="16" t="s">
        <v>5017</v>
      </c>
      <c r="H1165" s="20" t="s">
        <v>155</v>
      </c>
      <c r="I1165" s="21" t="s">
        <v>70</v>
      </c>
      <c r="J1165" s="22" t="s">
        <v>71</v>
      </c>
      <c r="K1165" s="23">
        <v>51.0</v>
      </c>
      <c r="L1165" s="24">
        <v>21.0</v>
      </c>
      <c r="M1165" s="24" t="str">
        <f>IFERROR(VLOOKUP(D1165,'Chủ đề bài nguồn'!$A$2:$C$735,3,0),"Khác")</f>
        <v>Ưu đãi, du lịch &amp; đời sống</v>
      </c>
      <c r="N1165" s="24"/>
    </row>
    <row r="1166">
      <c r="A1166" s="15">
        <v>1164.0</v>
      </c>
      <c r="B1166" s="16" t="s">
        <v>1064</v>
      </c>
      <c r="C1166" s="18" t="s">
        <v>3815</v>
      </c>
      <c r="D1166" s="16" t="s">
        <v>3218</v>
      </c>
      <c r="E1166" s="16" t="s">
        <v>5018</v>
      </c>
      <c r="F1166" s="16" t="s">
        <v>5019</v>
      </c>
      <c r="G1166" s="16" t="s">
        <v>5013</v>
      </c>
      <c r="H1166" s="20" t="s">
        <v>155</v>
      </c>
      <c r="I1166" s="21" t="s">
        <v>70</v>
      </c>
      <c r="J1166" s="22" t="s">
        <v>5020</v>
      </c>
      <c r="K1166" s="23">
        <v>51.0</v>
      </c>
      <c r="L1166" s="24">
        <v>21.0</v>
      </c>
      <c r="M1166" s="24" t="str">
        <f>IFERROR(VLOOKUP(D1166,'Chủ đề bài nguồn'!$A$2:$C$735,3,0),"Khác")</f>
        <v>Ưu đãi, du lịch &amp; đời sống</v>
      </c>
      <c r="N1166" s="24"/>
    </row>
    <row r="1167">
      <c r="A1167" s="15">
        <v>1165.0</v>
      </c>
      <c r="B1167" s="16" t="s">
        <v>1064</v>
      </c>
      <c r="C1167" s="18" t="s">
        <v>3815</v>
      </c>
      <c r="D1167" s="16" t="s">
        <v>2803</v>
      </c>
      <c r="E1167" s="16" t="s">
        <v>5021</v>
      </c>
      <c r="F1167" s="16" t="s">
        <v>5022</v>
      </c>
      <c r="G1167" s="16" t="s">
        <v>5023</v>
      </c>
      <c r="H1167" s="20" t="s">
        <v>155</v>
      </c>
      <c r="I1167" s="21" t="s">
        <v>70</v>
      </c>
      <c r="J1167" s="22" t="s">
        <v>71</v>
      </c>
      <c r="K1167" s="23">
        <v>51.0</v>
      </c>
      <c r="L1167" s="24">
        <v>21.0</v>
      </c>
      <c r="M1167" s="24" t="str">
        <f>IFERROR(VLOOKUP(D1167,'Chủ đề bài nguồn'!$A$2:$C$735,3,0),"Khác")</f>
        <v>Hộ kinh doanh &amp; bán hàng</v>
      </c>
      <c r="N1167" s="24"/>
    </row>
    <row r="1168">
      <c r="A1168" s="15">
        <v>1166.0</v>
      </c>
      <c r="B1168" s="16" t="s">
        <v>1064</v>
      </c>
      <c r="C1168" s="18" t="s">
        <v>3815</v>
      </c>
      <c r="D1168" s="16" t="s">
        <v>3359</v>
      </c>
      <c r="E1168" s="16" t="s">
        <v>5024</v>
      </c>
      <c r="F1168" s="16" t="s">
        <v>5025</v>
      </c>
      <c r="G1168" s="16" t="s">
        <v>5013</v>
      </c>
      <c r="H1168" s="20" t="s">
        <v>155</v>
      </c>
      <c r="I1168" s="21" t="s">
        <v>70</v>
      </c>
      <c r="J1168" s="22" t="s">
        <v>5020</v>
      </c>
      <c r="K1168" s="23">
        <v>51.0</v>
      </c>
      <c r="L1168" s="24">
        <v>21.0</v>
      </c>
      <c r="M1168" s="24" t="str">
        <f>IFERROR(VLOOKUP(D1168,'Chủ đề bài nguồn'!$A$2:$C$735,3,0),"Khác")</f>
        <v>Ưu đãi, du lịch &amp; đời sống</v>
      </c>
      <c r="N1168" s="24"/>
    </row>
    <row r="1169">
      <c r="A1169" s="15">
        <v>1167.0</v>
      </c>
      <c r="B1169" s="16" t="s">
        <v>1064</v>
      </c>
      <c r="C1169" s="18" t="s">
        <v>3815</v>
      </c>
      <c r="D1169" s="16" t="s">
        <v>3360</v>
      </c>
      <c r="E1169" s="16" t="s">
        <v>3376</v>
      </c>
      <c r="F1169" s="16" t="s">
        <v>5026</v>
      </c>
      <c r="G1169" s="16" t="s">
        <v>5027</v>
      </c>
      <c r="H1169" s="20" t="s">
        <v>155</v>
      </c>
      <c r="I1169" s="21" t="s">
        <v>70</v>
      </c>
      <c r="J1169" s="22" t="s">
        <v>71</v>
      </c>
      <c r="K1169" s="23">
        <v>51.0</v>
      </c>
      <c r="L1169" s="24">
        <v>21.0</v>
      </c>
      <c r="M1169" s="24" t="str">
        <f>IFERROR(VLOOKUP(D1169,'Chủ đề bài nguồn'!$A$2:$C$735,3,0),"Khác")</f>
        <v>Ưu đãi, du lịch &amp; đời sống</v>
      </c>
      <c r="N1169" s="24"/>
    </row>
    <row r="1170">
      <c r="A1170" s="15">
        <v>1168.0</v>
      </c>
      <c r="B1170" s="16" t="s">
        <v>1064</v>
      </c>
      <c r="C1170" s="18" t="s">
        <v>3815</v>
      </c>
      <c r="D1170" s="16" t="s">
        <v>3356</v>
      </c>
      <c r="E1170" s="16" t="s">
        <v>5028</v>
      </c>
      <c r="F1170" s="16" t="s">
        <v>5029</v>
      </c>
      <c r="G1170" s="16" t="s">
        <v>5030</v>
      </c>
      <c r="H1170" s="20" t="s">
        <v>155</v>
      </c>
      <c r="I1170" s="21" t="s">
        <v>70</v>
      </c>
      <c r="J1170" s="22" t="s">
        <v>71</v>
      </c>
      <c r="K1170" s="23">
        <v>51.0</v>
      </c>
      <c r="L1170" s="24">
        <v>21.0</v>
      </c>
      <c r="M1170" s="24" t="str">
        <f>IFERROR(VLOOKUP(D1170,'Chủ đề bài nguồn'!$A$2:$C$735,3,0),"Khác")</f>
        <v>Ưu đãi, du lịch &amp; đời sống</v>
      </c>
      <c r="N1170" s="24"/>
    </row>
    <row r="1171">
      <c r="A1171" s="15">
        <v>1169.0</v>
      </c>
      <c r="B1171" s="16" t="s">
        <v>1064</v>
      </c>
      <c r="C1171" s="18" t="s">
        <v>3815</v>
      </c>
      <c r="D1171" s="16" t="s">
        <v>3252</v>
      </c>
      <c r="E1171" s="16" t="s">
        <v>5031</v>
      </c>
      <c r="F1171" s="16" t="s">
        <v>5032</v>
      </c>
      <c r="G1171" s="16" t="s">
        <v>5033</v>
      </c>
      <c r="H1171" s="20" t="s">
        <v>155</v>
      </c>
      <c r="I1171" s="21" t="s">
        <v>70</v>
      </c>
      <c r="J1171" s="22" t="s">
        <v>71</v>
      </c>
      <c r="K1171" s="23">
        <v>51.0</v>
      </c>
      <c r="L1171" s="24">
        <v>21.0</v>
      </c>
      <c r="M1171" s="24" t="str">
        <f>IFERROR(VLOOKUP(D1171,'Chủ đề bài nguồn'!$A$2:$C$735,3,0),"Khác")</f>
        <v>Ưu đãi, du lịch &amp; đời sống</v>
      </c>
      <c r="N1171" s="24"/>
    </row>
    <row r="1172">
      <c r="A1172" s="15">
        <v>1170.0</v>
      </c>
      <c r="B1172" s="16" t="s">
        <v>1064</v>
      </c>
      <c r="C1172" s="18" t="s">
        <v>3815</v>
      </c>
      <c r="D1172" s="16" t="s">
        <v>3363</v>
      </c>
      <c r="E1172" s="16" t="s">
        <v>5034</v>
      </c>
      <c r="F1172" s="16" t="s">
        <v>5035</v>
      </c>
      <c r="G1172" s="16" t="s">
        <v>5013</v>
      </c>
      <c r="H1172" s="20" t="s">
        <v>155</v>
      </c>
      <c r="I1172" s="21" t="s">
        <v>70</v>
      </c>
      <c r="J1172" s="22" t="s">
        <v>5020</v>
      </c>
      <c r="K1172" s="23">
        <v>51.0</v>
      </c>
      <c r="L1172" s="24">
        <v>21.0</v>
      </c>
      <c r="M1172" s="24" t="str">
        <f>IFERROR(VLOOKUP(D1172,'Chủ đề bài nguồn'!$A$2:$C$735,3,0),"Khác")</f>
        <v>Ngân hàng xanh &amp; thương hiệu</v>
      </c>
      <c r="N1172" s="24"/>
    </row>
    <row r="1173">
      <c r="A1173" s="15">
        <v>1171.0</v>
      </c>
      <c r="B1173" s="16" t="s">
        <v>1064</v>
      </c>
      <c r="C1173" s="18" t="s">
        <v>1961</v>
      </c>
      <c r="D1173" s="16" t="s">
        <v>2156</v>
      </c>
      <c r="E1173" s="16" t="s">
        <v>5036</v>
      </c>
      <c r="F1173" s="16" t="s">
        <v>5037</v>
      </c>
      <c r="G1173" s="16" t="s">
        <v>5038</v>
      </c>
      <c r="H1173" s="20" t="s">
        <v>155</v>
      </c>
      <c r="I1173" s="21" t="s">
        <v>70</v>
      </c>
      <c r="J1173" s="22" t="s">
        <v>71</v>
      </c>
      <c r="K1173" s="23">
        <v>51.0</v>
      </c>
      <c r="L1173" s="24">
        <v>21.0</v>
      </c>
      <c r="M1173" s="24" t="str">
        <f>IFERROR(VLOOKUP(D1173,'Chủ đề bài nguồn'!$A$2:$C$735,3,0),"Khác")</f>
        <v>Đầu tư, CCTG, trái phiếu, vàng</v>
      </c>
      <c r="N1173" s="24"/>
    </row>
    <row r="1174">
      <c r="A1174" s="15">
        <v>1172.0</v>
      </c>
      <c r="B1174" s="16" t="s">
        <v>1064</v>
      </c>
      <c r="C1174" s="18" t="s">
        <v>1961</v>
      </c>
      <c r="D1174" s="16" t="s">
        <v>2820</v>
      </c>
      <c r="E1174" s="16" t="s">
        <v>5039</v>
      </c>
      <c r="F1174" s="16" t="s">
        <v>5040</v>
      </c>
      <c r="G1174" s="16" t="s">
        <v>5041</v>
      </c>
      <c r="H1174" s="20" t="s">
        <v>155</v>
      </c>
      <c r="I1174" s="21" t="s">
        <v>70</v>
      </c>
      <c r="J1174" s="22" t="s">
        <v>71</v>
      </c>
      <c r="K1174" s="23">
        <v>51.0</v>
      </c>
      <c r="L1174" s="24">
        <v>21.0</v>
      </c>
      <c r="M1174" s="24" t="str">
        <f>IFERROR(VLOOKUP(D1174,'Chủ đề bài nguồn'!$A$2:$C$735,3,0),"Khác")</f>
        <v>Ưu đãi, du lịch &amp; đời sống</v>
      </c>
      <c r="N1174" s="24"/>
    </row>
    <row r="1175">
      <c r="A1175" s="15">
        <v>1173.0</v>
      </c>
      <c r="B1175" s="16" t="s">
        <v>1064</v>
      </c>
      <c r="C1175" s="18" t="s">
        <v>1961</v>
      </c>
      <c r="D1175" s="16" t="s">
        <v>1003</v>
      </c>
      <c r="E1175" s="16" t="s">
        <v>5042</v>
      </c>
      <c r="F1175" s="16" t="s">
        <v>5043</v>
      </c>
      <c r="G1175" s="16" t="s">
        <v>5044</v>
      </c>
      <c r="H1175" s="20" t="s">
        <v>155</v>
      </c>
      <c r="I1175" s="21" t="s">
        <v>70</v>
      </c>
      <c r="J1175" s="22" t="s">
        <v>71</v>
      </c>
      <c r="K1175" s="23">
        <v>51.0</v>
      </c>
      <c r="L1175" s="24">
        <v>21.0</v>
      </c>
      <c r="M1175" s="24" t="str">
        <f>IFERROR(VLOOKUP(D1175,'Chủ đề bài nguồn'!$A$2:$C$735,3,0),"Khác")</f>
        <v>Thanh toán, chuyển khoản &amp; QR</v>
      </c>
      <c r="N1175" s="24"/>
    </row>
    <row r="1176">
      <c r="A1176" s="15">
        <v>1174.0</v>
      </c>
      <c r="B1176" s="16" t="s">
        <v>1064</v>
      </c>
      <c r="C1176" s="18" t="s">
        <v>1961</v>
      </c>
      <c r="D1176" s="16" t="s">
        <v>3034</v>
      </c>
      <c r="E1176" s="16" t="s">
        <v>5045</v>
      </c>
      <c r="F1176" s="16" t="s">
        <v>5046</v>
      </c>
      <c r="G1176" s="16" t="s">
        <v>5047</v>
      </c>
      <c r="H1176" s="20" t="s">
        <v>155</v>
      </c>
      <c r="I1176" s="21" t="s">
        <v>70</v>
      </c>
      <c r="J1176" s="22" t="s">
        <v>71</v>
      </c>
      <c r="K1176" s="23">
        <v>51.0</v>
      </c>
      <c r="L1176" s="24">
        <v>21.0</v>
      </c>
      <c r="M1176" s="24" t="str">
        <f>IFERROR(VLOOKUP(D1176,'Chủ đề bài nguồn'!$A$2:$C$735,3,0),"Khác")</f>
        <v>Ưu đãi, du lịch &amp; đời sống</v>
      </c>
      <c r="N1176" s="24"/>
    </row>
    <row r="1177">
      <c r="A1177" s="15">
        <v>1175.0</v>
      </c>
      <c r="B1177" s="16" t="s">
        <v>1064</v>
      </c>
      <c r="C1177" s="18" t="s">
        <v>1961</v>
      </c>
      <c r="D1177" s="16" t="s">
        <v>1377</v>
      </c>
      <c r="E1177" s="16" t="s">
        <v>5048</v>
      </c>
      <c r="F1177" s="16" t="s">
        <v>5049</v>
      </c>
      <c r="G1177" s="16" t="s">
        <v>5050</v>
      </c>
      <c r="H1177" s="20" t="s">
        <v>155</v>
      </c>
      <c r="I1177" s="21" t="s">
        <v>70</v>
      </c>
      <c r="J1177" s="22" t="s">
        <v>71</v>
      </c>
      <c r="K1177" s="23">
        <v>51.0</v>
      </c>
      <c r="L1177" s="24">
        <v>21.0</v>
      </c>
      <c r="M1177" s="24" t="str">
        <f>IFERROR(VLOOKUP(D1177,'Chủ đề bài nguồn'!$A$2:$C$735,3,0),"Khác")</f>
        <v>Ưu đãi, du lịch &amp; đời sống</v>
      </c>
      <c r="N1177" s="24"/>
    </row>
    <row r="1178">
      <c r="A1178" s="15">
        <v>1176.0</v>
      </c>
      <c r="B1178" s="16" t="s">
        <v>1064</v>
      </c>
      <c r="C1178" s="18" t="s">
        <v>1961</v>
      </c>
      <c r="D1178" s="16" t="s">
        <v>2192</v>
      </c>
      <c r="E1178" s="16" t="s">
        <v>4802</v>
      </c>
      <c r="F1178" s="16" t="s">
        <v>5051</v>
      </c>
      <c r="G1178" s="16" t="s">
        <v>5052</v>
      </c>
      <c r="H1178" s="20" t="s">
        <v>155</v>
      </c>
      <c r="I1178" s="21" t="s">
        <v>70</v>
      </c>
      <c r="J1178" s="22" t="s">
        <v>71</v>
      </c>
      <c r="K1178" s="23">
        <v>51.0</v>
      </c>
      <c r="L1178" s="24">
        <v>21.0</v>
      </c>
      <c r="M1178" s="24" t="str">
        <f>IFERROR(VLOOKUP(D1178,'Chủ đề bài nguồn'!$A$2:$C$735,3,0),"Khác")</f>
        <v>Thanh toán, chuyển khoản &amp; QR</v>
      </c>
      <c r="N1178" s="24"/>
    </row>
    <row r="1179">
      <c r="A1179" s="15">
        <v>1177.0</v>
      </c>
      <c r="B1179" s="39" t="s">
        <v>1064</v>
      </c>
      <c r="C1179" s="18" t="s">
        <v>1961</v>
      </c>
      <c r="D1179" s="39" t="s">
        <v>2772</v>
      </c>
      <c r="E1179" s="16" t="s">
        <v>5053</v>
      </c>
      <c r="F1179" s="16" t="s">
        <v>5054</v>
      </c>
      <c r="G1179" s="16" t="s">
        <v>5055</v>
      </c>
      <c r="H1179" s="20" t="s">
        <v>155</v>
      </c>
      <c r="I1179" s="21" t="s">
        <v>70</v>
      </c>
      <c r="J1179" s="22" t="s">
        <v>71</v>
      </c>
      <c r="K1179" s="23">
        <v>51.0</v>
      </c>
      <c r="L1179" s="24">
        <v>21.0</v>
      </c>
      <c r="M1179" s="24" t="str">
        <f>IFERROR(VLOOKUP(D1179,'Chủ đề bài nguồn'!$A$2:$C$735,3,0),"Khác")</f>
        <v>Ưu đãi, du lịch &amp; đời sống</v>
      </c>
      <c r="N1179" s="24"/>
    </row>
    <row r="1180">
      <c r="A1180" s="15">
        <v>1178.0</v>
      </c>
      <c r="B1180" s="39" t="s">
        <v>1064</v>
      </c>
      <c r="C1180" s="18" t="s">
        <v>1961</v>
      </c>
      <c r="D1180" s="39" t="s">
        <v>2806</v>
      </c>
      <c r="E1180" s="16" t="s">
        <v>5056</v>
      </c>
      <c r="F1180" s="16" t="s">
        <v>5057</v>
      </c>
      <c r="G1180" s="16" t="s">
        <v>5058</v>
      </c>
      <c r="H1180" s="20" t="s">
        <v>155</v>
      </c>
      <c r="I1180" s="21" t="s">
        <v>70</v>
      </c>
      <c r="J1180" s="22" t="s">
        <v>71</v>
      </c>
      <c r="K1180" s="23">
        <v>51.0</v>
      </c>
      <c r="L1180" s="24">
        <v>21.0</v>
      </c>
      <c r="M1180" s="24" t="str">
        <f>IFERROR(VLOOKUP(D1180,'Chủ đề bài nguồn'!$A$2:$C$735,3,0),"Khác")</f>
        <v>Ưu đãi, du lịch &amp; đời sống</v>
      </c>
      <c r="N1180" s="24"/>
    </row>
    <row r="1181">
      <c r="A1181" s="15">
        <v>1179.0</v>
      </c>
      <c r="B1181" s="39" t="s">
        <v>1064</v>
      </c>
      <c r="C1181" s="18" t="s">
        <v>1961</v>
      </c>
      <c r="D1181" s="39" t="s">
        <v>3111</v>
      </c>
      <c r="E1181" s="16" t="s">
        <v>3986</v>
      </c>
      <c r="F1181" s="16" t="s">
        <v>5059</v>
      </c>
      <c r="G1181" s="16" t="s">
        <v>5060</v>
      </c>
      <c r="H1181" s="20" t="s">
        <v>155</v>
      </c>
      <c r="I1181" s="21" t="s">
        <v>70</v>
      </c>
      <c r="J1181" s="22" t="s">
        <v>71</v>
      </c>
      <c r="K1181" s="23">
        <v>51.0</v>
      </c>
      <c r="L1181" s="24">
        <v>21.0</v>
      </c>
      <c r="M1181" s="24" t="str">
        <f>IFERROR(VLOOKUP(D1181,'Chủ đề bài nguồn'!$A$2:$C$735,3,0),"Khác")</f>
        <v>Ưu đãi, du lịch &amp; đời sống</v>
      </c>
      <c r="N1181" s="24"/>
    </row>
    <row r="1182">
      <c r="A1182" s="15">
        <v>1180.0</v>
      </c>
      <c r="B1182" s="39" t="s">
        <v>1064</v>
      </c>
      <c r="C1182" s="18" t="s">
        <v>1961</v>
      </c>
      <c r="D1182" s="39" t="s">
        <v>3355</v>
      </c>
      <c r="E1182" s="16" t="s">
        <v>3986</v>
      </c>
      <c r="F1182" s="16" t="s">
        <v>5061</v>
      </c>
      <c r="G1182" s="16" t="s">
        <v>5062</v>
      </c>
      <c r="H1182" s="20" t="s">
        <v>155</v>
      </c>
      <c r="I1182" s="21" t="s">
        <v>70</v>
      </c>
      <c r="J1182" s="22" t="s">
        <v>71</v>
      </c>
      <c r="K1182" s="23">
        <v>51.0</v>
      </c>
      <c r="L1182" s="24">
        <v>21.0</v>
      </c>
      <c r="M1182" s="24" t="str">
        <f>IFERROR(VLOOKUP(D1182,'Chủ đề bài nguồn'!$A$2:$C$735,3,0),"Khác")</f>
        <v>Ưu đãi, du lịch &amp; đời sống</v>
      </c>
      <c r="N1182" s="24"/>
    </row>
    <row r="1183">
      <c r="A1183" s="15">
        <v>1181.0</v>
      </c>
      <c r="B1183" s="16" t="s">
        <v>1064</v>
      </c>
      <c r="C1183" s="18" t="s">
        <v>3815</v>
      </c>
      <c r="D1183" s="16" t="s">
        <v>2989</v>
      </c>
      <c r="E1183" s="16" t="s">
        <v>710</v>
      </c>
      <c r="F1183" s="16" t="s">
        <v>5063</v>
      </c>
      <c r="G1183" s="16" t="s">
        <v>5064</v>
      </c>
      <c r="H1183" s="20" t="s">
        <v>229</v>
      </c>
      <c r="I1183" s="21" t="s">
        <v>70</v>
      </c>
      <c r="J1183" s="22" t="s">
        <v>71</v>
      </c>
      <c r="K1183" s="23">
        <v>51.0</v>
      </c>
      <c r="L1183" s="24">
        <v>31.0</v>
      </c>
      <c r="M1183" s="24" t="str">
        <f>IFERROR(VLOOKUP(D1183,'Chủ đề bài nguồn'!$A$2:$C$735,3,0),"Khác")</f>
        <v>Ưu đãi, du lịch &amp; đời sống</v>
      </c>
      <c r="N1183" s="24"/>
    </row>
    <row r="1184">
      <c r="A1184" s="15">
        <v>1182.0</v>
      </c>
      <c r="B1184" s="16" t="s">
        <v>1064</v>
      </c>
      <c r="C1184" s="18" t="s">
        <v>3815</v>
      </c>
      <c r="D1184" s="16" t="s">
        <v>2858</v>
      </c>
      <c r="E1184" s="16" t="s">
        <v>710</v>
      </c>
      <c r="F1184" s="16" t="s">
        <v>5065</v>
      </c>
      <c r="G1184" s="16" t="s">
        <v>5066</v>
      </c>
      <c r="H1184" s="20" t="s">
        <v>229</v>
      </c>
      <c r="I1184" s="21" t="s">
        <v>70</v>
      </c>
      <c r="J1184" s="22" t="s">
        <v>1956</v>
      </c>
      <c r="K1184" s="23">
        <v>51.0</v>
      </c>
      <c r="L1184" s="24">
        <v>31.0</v>
      </c>
      <c r="M1184" s="24" t="str">
        <f>IFERROR(VLOOKUP(D1184,'Chủ đề bài nguồn'!$A$2:$C$735,3,0),"Khác")</f>
        <v>Ưu đãi, du lịch &amp; đời sống</v>
      </c>
      <c r="N1184" s="24"/>
    </row>
    <row r="1185">
      <c r="A1185" s="15">
        <v>1183.0</v>
      </c>
      <c r="B1185" s="16" t="s">
        <v>1064</v>
      </c>
      <c r="C1185" s="18" t="s">
        <v>3815</v>
      </c>
      <c r="D1185" s="16" t="s">
        <v>2990</v>
      </c>
      <c r="E1185" s="16" t="s">
        <v>710</v>
      </c>
      <c r="F1185" s="16" t="s">
        <v>5067</v>
      </c>
      <c r="G1185" s="16" t="s">
        <v>5068</v>
      </c>
      <c r="H1185" s="20" t="s">
        <v>229</v>
      </c>
      <c r="I1185" s="21" t="s">
        <v>70</v>
      </c>
      <c r="J1185" s="22" t="s">
        <v>71</v>
      </c>
      <c r="K1185" s="23">
        <v>51.0</v>
      </c>
      <c r="L1185" s="24">
        <v>31.0</v>
      </c>
      <c r="M1185" s="24" t="str">
        <f>IFERROR(VLOOKUP(D1185,'Chủ đề bài nguồn'!$A$2:$C$735,3,0),"Khác")</f>
        <v>Ưu đãi, du lịch &amp; đời sống</v>
      </c>
      <c r="N1185" s="24"/>
    </row>
    <row r="1186">
      <c r="A1186" s="15">
        <v>1184.0</v>
      </c>
      <c r="B1186" s="16" t="s">
        <v>1064</v>
      </c>
      <c r="C1186" s="18" t="s">
        <v>3815</v>
      </c>
      <c r="D1186" s="16" t="s">
        <v>2992</v>
      </c>
      <c r="E1186" s="16" t="s">
        <v>5069</v>
      </c>
      <c r="F1186" s="16" t="s">
        <v>5070</v>
      </c>
      <c r="G1186" s="16" t="s">
        <v>5071</v>
      </c>
      <c r="H1186" s="20" t="s">
        <v>229</v>
      </c>
      <c r="I1186" s="21" t="s">
        <v>70</v>
      </c>
      <c r="J1186" s="22" t="s">
        <v>5072</v>
      </c>
      <c r="K1186" s="23">
        <v>51.0</v>
      </c>
      <c r="L1186" s="24">
        <v>31.0</v>
      </c>
      <c r="M1186" s="24" t="str">
        <f>IFERROR(VLOOKUP(D1186,'Chủ đề bài nguồn'!$A$2:$C$735,3,0),"Khác")</f>
        <v>Ưu đãi, du lịch &amp; đời sống</v>
      </c>
      <c r="N1186" s="24"/>
    </row>
    <row r="1187">
      <c r="A1187" s="15">
        <v>1185.0</v>
      </c>
      <c r="B1187" s="16" t="s">
        <v>1064</v>
      </c>
      <c r="C1187" s="18" t="s">
        <v>3815</v>
      </c>
      <c r="D1187" s="16" t="s">
        <v>3023</v>
      </c>
      <c r="E1187" s="16" t="s">
        <v>5073</v>
      </c>
      <c r="F1187" s="16" t="s">
        <v>5074</v>
      </c>
      <c r="G1187" s="16" t="s">
        <v>5075</v>
      </c>
      <c r="H1187" s="20" t="s">
        <v>229</v>
      </c>
      <c r="I1187" s="21" t="s">
        <v>70</v>
      </c>
      <c r="J1187" s="22" t="s">
        <v>71</v>
      </c>
      <c r="K1187" s="23">
        <v>51.0</v>
      </c>
      <c r="L1187" s="24">
        <v>31.0</v>
      </c>
      <c r="M1187" s="24" t="str">
        <f>IFERROR(VLOOKUP(D1187,'Chủ đề bài nguồn'!$A$2:$C$735,3,0),"Khác")</f>
        <v>Ưu đãi, du lịch &amp; đời sống</v>
      </c>
      <c r="N1187" s="24"/>
    </row>
    <row r="1188">
      <c r="A1188" s="15">
        <v>1186.0</v>
      </c>
      <c r="B1188" s="16" t="s">
        <v>1064</v>
      </c>
      <c r="C1188" s="18" t="s">
        <v>3815</v>
      </c>
      <c r="D1188" s="16" t="s">
        <v>2822</v>
      </c>
      <c r="E1188" s="16" t="s">
        <v>5076</v>
      </c>
      <c r="F1188" s="16" t="s">
        <v>5077</v>
      </c>
      <c r="G1188" s="16" t="s">
        <v>5078</v>
      </c>
      <c r="H1188" s="20" t="s">
        <v>229</v>
      </c>
      <c r="I1188" s="21" t="s">
        <v>70</v>
      </c>
      <c r="J1188" s="22" t="s">
        <v>71</v>
      </c>
      <c r="K1188" s="23">
        <v>51.0</v>
      </c>
      <c r="L1188" s="24">
        <v>31.0</v>
      </c>
      <c r="M1188" s="24" t="str">
        <f>IFERROR(VLOOKUP(D1188,'Chủ đề bài nguồn'!$A$2:$C$735,3,0),"Khác")</f>
        <v>Ngân hàng xanh &amp; thương hiệu</v>
      </c>
      <c r="N1188" s="24"/>
    </row>
    <row r="1189">
      <c r="A1189" s="15">
        <v>1187.0</v>
      </c>
      <c r="B1189" s="16" t="s">
        <v>591</v>
      </c>
      <c r="C1189" s="18" t="s">
        <v>1916</v>
      </c>
      <c r="D1189" s="16" t="s">
        <v>620</v>
      </c>
      <c r="E1189" s="16" t="s">
        <v>5079</v>
      </c>
      <c r="F1189" s="16" t="s">
        <v>5080</v>
      </c>
      <c r="G1189" s="16" t="s">
        <v>5081</v>
      </c>
      <c r="H1189" s="20" t="s">
        <v>69</v>
      </c>
      <c r="I1189" s="21" t="s">
        <v>70</v>
      </c>
      <c r="J1189" s="22" t="s">
        <v>71</v>
      </c>
      <c r="K1189" s="23">
        <v>52.0</v>
      </c>
      <c r="L1189" s="24">
        <v>10.0</v>
      </c>
      <c r="M1189" s="24" t="str">
        <f>IFERROR(VLOOKUP(D1189,'Chủ đề bài nguồn'!$A$2:$C$735,3,0),"Khác")</f>
        <v>Thuế</v>
      </c>
      <c r="N1189" s="24"/>
    </row>
    <row r="1190">
      <c r="A1190" s="15">
        <v>1188.0</v>
      </c>
      <c r="B1190" s="16" t="s">
        <v>591</v>
      </c>
      <c r="C1190" s="18" t="s">
        <v>1916</v>
      </c>
      <c r="D1190" s="16" t="s">
        <v>316</v>
      </c>
      <c r="E1190" s="16" t="s">
        <v>5082</v>
      </c>
      <c r="F1190" s="16" t="s">
        <v>5083</v>
      </c>
      <c r="G1190" s="16" t="s">
        <v>5081</v>
      </c>
      <c r="H1190" s="20" t="s">
        <v>69</v>
      </c>
      <c r="I1190" s="21" t="s">
        <v>70</v>
      </c>
      <c r="J1190" s="22" t="s">
        <v>71</v>
      </c>
      <c r="K1190" s="23">
        <v>52.0</v>
      </c>
      <c r="L1190" s="24">
        <v>10.0</v>
      </c>
      <c r="M1190" s="24" t="str">
        <f>IFERROR(VLOOKUP(D1190,'Chủ đề bài nguồn'!$A$2:$C$735,3,0),"Khác")</f>
        <v>Thuế</v>
      </c>
      <c r="N1190" s="24"/>
    </row>
    <row r="1191">
      <c r="A1191" s="15">
        <v>1189.0</v>
      </c>
      <c r="B1191" s="16" t="s">
        <v>591</v>
      </c>
      <c r="C1191" s="18" t="s">
        <v>1916</v>
      </c>
      <c r="D1191" s="16" t="s">
        <v>568</v>
      </c>
      <c r="E1191" s="16" t="s">
        <v>5084</v>
      </c>
      <c r="F1191" s="16" t="s">
        <v>5085</v>
      </c>
      <c r="G1191" s="16" t="s">
        <v>5081</v>
      </c>
      <c r="H1191" s="20" t="s">
        <v>69</v>
      </c>
      <c r="I1191" s="21" t="s">
        <v>70</v>
      </c>
      <c r="J1191" s="22" t="s">
        <v>71</v>
      </c>
      <c r="K1191" s="23">
        <v>52.0</v>
      </c>
      <c r="L1191" s="24">
        <v>10.0</v>
      </c>
      <c r="M1191" s="24" t="str">
        <f>IFERROR(VLOOKUP(D1191,'Chủ đề bài nguồn'!$A$2:$C$735,3,0),"Khác")</f>
        <v>Thuế</v>
      </c>
      <c r="N1191" s="24"/>
    </row>
    <row r="1192">
      <c r="A1192" s="15">
        <v>1190.0</v>
      </c>
      <c r="B1192" s="16" t="s">
        <v>591</v>
      </c>
      <c r="C1192" s="18" t="s">
        <v>1916</v>
      </c>
      <c r="D1192" s="16" t="s">
        <v>631</v>
      </c>
      <c r="E1192" s="16" t="s">
        <v>5086</v>
      </c>
      <c r="F1192" s="16" t="s">
        <v>5087</v>
      </c>
      <c r="G1192" s="16" t="s">
        <v>5081</v>
      </c>
      <c r="H1192" s="20" t="s">
        <v>69</v>
      </c>
      <c r="I1192" s="21" t="s">
        <v>70</v>
      </c>
      <c r="J1192" s="22" t="s">
        <v>71</v>
      </c>
      <c r="K1192" s="23">
        <v>52.0</v>
      </c>
      <c r="L1192" s="24">
        <v>10.0</v>
      </c>
      <c r="M1192" s="24" t="str">
        <f>IFERROR(VLOOKUP(D1192,'Chủ đề bài nguồn'!$A$2:$C$735,3,0),"Khác")</f>
        <v>Thuế</v>
      </c>
      <c r="N1192" s="24"/>
    </row>
    <row r="1193">
      <c r="A1193" s="15">
        <v>1191.0</v>
      </c>
      <c r="B1193" s="16" t="s">
        <v>591</v>
      </c>
      <c r="C1193" s="18" t="s">
        <v>1916</v>
      </c>
      <c r="D1193" s="16" t="s">
        <v>427</v>
      </c>
      <c r="E1193" s="16" t="s">
        <v>710</v>
      </c>
      <c r="F1193" s="16" t="s">
        <v>5088</v>
      </c>
      <c r="G1193" s="16" t="s">
        <v>5081</v>
      </c>
      <c r="H1193" s="20" t="s">
        <v>155</v>
      </c>
      <c r="I1193" s="21" t="s">
        <v>70</v>
      </c>
      <c r="J1193" s="22" t="s">
        <v>71</v>
      </c>
      <c r="K1193" s="23">
        <v>52.0</v>
      </c>
      <c r="L1193" s="24">
        <v>20.0</v>
      </c>
      <c r="M1193" s="24" t="str">
        <f>IFERROR(VLOOKUP(D1193,'Chủ đề bài nguồn'!$A$2:$C$735,3,0),"Khác")</f>
        <v>Thuế</v>
      </c>
      <c r="N1193" s="24"/>
    </row>
    <row r="1194">
      <c r="A1194" s="15">
        <v>1192.0</v>
      </c>
      <c r="B1194" s="16" t="s">
        <v>591</v>
      </c>
      <c r="C1194" s="18" t="s">
        <v>1916</v>
      </c>
      <c r="D1194" s="16" t="s">
        <v>514</v>
      </c>
      <c r="E1194" s="16" t="s">
        <v>5089</v>
      </c>
      <c r="F1194" s="16" t="s">
        <v>5090</v>
      </c>
      <c r="G1194" s="16" t="s">
        <v>5081</v>
      </c>
      <c r="H1194" s="20" t="s">
        <v>155</v>
      </c>
      <c r="I1194" s="21" t="s">
        <v>70</v>
      </c>
      <c r="J1194" s="22" t="s">
        <v>71</v>
      </c>
      <c r="K1194" s="23">
        <v>52.0</v>
      </c>
      <c r="L1194" s="24">
        <v>20.0</v>
      </c>
      <c r="M1194" s="24" t="str">
        <f>IFERROR(VLOOKUP(D1194,'Chủ đề bài nguồn'!$A$2:$C$735,3,0),"Khác")</f>
        <v>Thuế</v>
      </c>
      <c r="N1194" s="24"/>
    </row>
    <row r="1195">
      <c r="A1195" s="15">
        <v>1193.0</v>
      </c>
      <c r="B1195" s="16" t="s">
        <v>591</v>
      </c>
      <c r="C1195" s="18" t="s">
        <v>1920</v>
      </c>
      <c r="D1195" s="16" t="s">
        <v>901</v>
      </c>
      <c r="E1195" s="16" t="s">
        <v>5091</v>
      </c>
      <c r="F1195" s="16" t="s">
        <v>5092</v>
      </c>
      <c r="G1195" s="16" t="s">
        <v>5093</v>
      </c>
      <c r="H1195" s="20" t="s">
        <v>155</v>
      </c>
      <c r="I1195" s="21" t="s">
        <v>70</v>
      </c>
      <c r="J1195" s="22" t="s">
        <v>71</v>
      </c>
      <c r="K1195" s="23">
        <v>52.0</v>
      </c>
      <c r="L1195" s="24">
        <v>21.0</v>
      </c>
      <c r="M1195" s="24" t="str">
        <f>IFERROR(VLOOKUP(D1195,'Chủ đề bài nguồn'!$A$2:$C$735,3,0),"Khác")</f>
        <v>Thuế</v>
      </c>
      <c r="N1195" s="24"/>
    </row>
    <row r="1196">
      <c r="A1196" s="15">
        <v>1194.0</v>
      </c>
      <c r="B1196" s="16" t="s">
        <v>591</v>
      </c>
      <c r="C1196" s="18" t="s">
        <v>1920</v>
      </c>
      <c r="D1196" s="16" t="s">
        <v>604</v>
      </c>
      <c r="E1196" s="16" t="s">
        <v>1612</v>
      </c>
      <c r="F1196" s="16" t="s">
        <v>5094</v>
      </c>
      <c r="G1196" s="16" t="s">
        <v>5095</v>
      </c>
      <c r="H1196" s="20" t="s">
        <v>155</v>
      </c>
      <c r="I1196" s="21" t="s">
        <v>70</v>
      </c>
      <c r="J1196" s="22" t="s">
        <v>71</v>
      </c>
      <c r="K1196" s="23">
        <v>52.0</v>
      </c>
      <c r="L1196" s="24">
        <v>21.0</v>
      </c>
      <c r="M1196" s="24" t="str">
        <f>IFERROR(VLOOKUP(D1196,'Chủ đề bài nguồn'!$A$2:$C$735,3,0),"Khác")</f>
        <v>Thuế</v>
      </c>
      <c r="N1196" s="24"/>
    </row>
    <row r="1197">
      <c r="A1197" s="15">
        <v>1195.0</v>
      </c>
      <c r="B1197" s="16" t="s">
        <v>591</v>
      </c>
      <c r="C1197" s="18" t="s">
        <v>1916</v>
      </c>
      <c r="D1197" s="16" t="s">
        <v>642</v>
      </c>
      <c r="E1197" s="16" t="s">
        <v>5096</v>
      </c>
      <c r="F1197" s="16" t="s">
        <v>5097</v>
      </c>
      <c r="G1197" s="16" t="s">
        <v>5098</v>
      </c>
      <c r="H1197" s="20" t="s">
        <v>155</v>
      </c>
      <c r="I1197" s="21" t="s">
        <v>70</v>
      </c>
      <c r="J1197" s="22" t="s">
        <v>71</v>
      </c>
      <c r="K1197" s="23">
        <v>52.0</v>
      </c>
      <c r="L1197" s="24">
        <v>21.0</v>
      </c>
      <c r="M1197" s="24" t="str">
        <f>IFERROR(VLOOKUP(D1197,'Chủ đề bài nguồn'!$A$2:$C$735,3,0),"Khác")</f>
        <v>Thuế</v>
      </c>
      <c r="N1197" s="24"/>
    </row>
    <row r="1198">
      <c r="A1198" s="15">
        <v>1196.0</v>
      </c>
      <c r="B1198" s="16" t="s">
        <v>591</v>
      </c>
      <c r="C1198" s="18" t="s">
        <v>1916</v>
      </c>
      <c r="D1198" s="16" t="s">
        <v>656</v>
      </c>
      <c r="E1198" s="16" t="s">
        <v>5099</v>
      </c>
      <c r="F1198" s="16" t="s">
        <v>5100</v>
      </c>
      <c r="G1198" s="16" t="s">
        <v>5101</v>
      </c>
      <c r="H1198" s="20" t="s">
        <v>155</v>
      </c>
      <c r="I1198" s="21" t="s">
        <v>70</v>
      </c>
      <c r="J1198" s="22" t="s">
        <v>71</v>
      </c>
      <c r="K1198" s="23">
        <v>52.0</v>
      </c>
      <c r="L1198" s="24">
        <v>21.0</v>
      </c>
      <c r="M1198" s="24" t="str">
        <f>IFERROR(VLOOKUP(D1198,'Chủ đề bài nguồn'!$A$2:$C$735,3,0),"Khác")</f>
        <v>Thuế</v>
      </c>
      <c r="N1198" s="24"/>
    </row>
    <row r="1199">
      <c r="A1199" s="15">
        <v>1197.0</v>
      </c>
      <c r="B1199" s="16" t="s">
        <v>591</v>
      </c>
      <c r="C1199" s="18" t="s">
        <v>1916</v>
      </c>
      <c r="D1199" s="16" t="s">
        <v>1666</v>
      </c>
      <c r="E1199" s="16" t="s">
        <v>5102</v>
      </c>
      <c r="F1199" s="16" t="s">
        <v>5103</v>
      </c>
      <c r="G1199" s="16" t="s">
        <v>5104</v>
      </c>
      <c r="H1199" s="20" t="s">
        <v>155</v>
      </c>
      <c r="I1199" s="21" t="s">
        <v>70</v>
      </c>
      <c r="J1199" s="22" t="s">
        <v>71</v>
      </c>
      <c r="K1199" s="23">
        <v>52.0</v>
      </c>
      <c r="L1199" s="24">
        <v>21.0</v>
      </c>
      <c r="M1199" s="24" t="str">
        <f>IFERROR(VLOOKUP(D1199,'Chủ đề bài nguồn'!$A$2:$C$735,3,0),"Khác")</f>
        <v>Thuế</v>
      </c>
      <c r="N1199" s="24"/>
    </row>
    <row r="1200">
      <c r="A1200" s="15">
        <v>1198.0</v>
      </c>
      <c r="B1200" s="16" t="s">
        <v>591</v>
      </c>
      <c r="C1200" s="18" t="s">
        <v>1916</v>
      </c>
      <c r="D1200" s="16" t="s">
        <v>607</v>
      </c>
      <c r="E1200" s="16" t="s">
        <v>5105</v>
      </c>
      <c r="F1200" s="16" t="s">
        <v>5106</v>
      </c>
      <c r="G1200" s="16" t="s">
        <v>5107</v>
      </c>
      <c r="H1200" s="20" t="s">
        <v>155</v>
      </c>
      <c r="I1200" s="21" t="s">
        <v>70</v>
      </c>
      <c r="J1200" s="22" t="s">
        <v>71</v>
      </c>
      <c r="K1200" s="23">
        <v>52.0</v>
      </c>
      <c r="L1200" s="24">
        <v>21.0</v>
      </c>
      <c r="M1200" s="24" t="str">
        <f>IFERROR(VLOOKUP(D1200,'Chủ đề bài nguồn'!$A$2:$C$735,3,0),"Khác")</f>
        <v>Thuế</v>
      </c>
      <c r="N1200" s="24"/>
    </row>
    <row r="1201">
      <c r="A1201" s="15">
        <v>1199.0</v>
      </c>
      <c r="B1201" s="16" t="s">
        <v>591</v>
      </c>
      <c r="C1201" s="18" t="s">
        <v>1916</v>
      </c>
      <c r="D1201" s="16" t="s">
        <v>3143</v>
      </c>
      <c r="E1201" s="16" t="s">
        <v>5108</v>
      </c>
      <c r="F1201" s="16" t="s">
        <v>5109</v>
      </c>
      <c r="G1201" s="16" t="s">
        <v>5110</v>
      </c>
      <c r="H1201" s="20" t="s">
        <v>155</v>
      </c>
      <c r="I1201" s="21" t="s">
        <v>70</v>
      </c>
      <c r="J1201" s="22" t="s">
        <v>5111</v>
      </c>
      <c r="K1201" s="23">
        <v>52.0</v>
      </c>
      <c r="L1201" s="24">
        <v>21.0</v>
      </c>
      <c r="M1201" s="24" t="str">
        <f>IFERROR(VLOOKUP(D1201,'Chủ đề bài nguồn'!$A$2:$C$735,3,0),"Khác")</f>
        <v>Hộ kinh doanh &amp; bán hàng</v>
      </c>
      <c r="N1201" s="24"/>
    </row>
    <row r="1202">
      <c r="A1202" s="15">
        <v>1200.0</v>
      </c>
      <c r="B1202" s="16" t="s">
        <v>591</v>
      </c>
      <c r="C1202" s="18" t="s">
        <v>1916</v>
      </c>
      <c r="D1202" s="16" t="s">
        <v>2162</v>
      </c>
      <c r="E1202" s="16" t="s">
        <v>5112</v>
      </c>
      <c r="F1202" s="16" t="s">
        <v>5113</v>
      </c>
      <c r="G1202" s="16" t="s">
        <v>5114</v>
      </c>
      <c r="H1202" s="20" t="s">
        <v>155</v>
      </c>
      <c r="I1202" s="21" t="s">
        <v>70</v>
      </c>
      <c r="J1202" s="22" t="s">
        <v>71</v>
      </c>
      <c r="K1202" s="23">
        <v>52.0</v>
      </c>
      <c r="L1202" s="24">
        <v>21.0</v>
      </c>
      <c r="M1202" s="24" t="str">
        <f>IFERROR(VLOOKUP(D1202,'Chủ đề bài nguồn'!$A$2:$C$735,3,0),"Khác")</f>
        <v>Hộ kinh doanh &amp; bán hàng</v>
      </c>
      <c r="N1202" s="24"/>
    </row>
    <row r="1203">
      <c r="A1203" s="15">
        <v>1201.0</v>
      </c>
      <c r="B1203" s="16" t="s">
        <v>591</v>
      </c>
      <c r="C1203" s="18" t="s">
        <v>1916</v>
      </c>
      <c r="D1203" s="16" t="s">
        <v>795</v>
      </c>
      <c r="E1203" s="16" t="s">
        <v>5115</v>
      </c>
      <c r="F1203" s="16" t="s">
        <v>5116</v>
      </c>
      <c r="G1203" s="16" t="s">
        <v>5117</v>
      </c>
      <c r="H1203" s="20" t="s">
        <v>155</v>
      </c>
      <c r="I1203" s="21" t="s">
        <v>70</v>
      </c>
      <c r="J1203" s="22" t="s">
        <v>71</v>
      </c>
      <c r="K1203" s="23">
        <v>52.0</v>
      </c>
      <c r="L1203" s="24">
        <v>21.0</v>
      </c>
      <c r="M1203" s="24" t="str">
        <f>IFERROR(VLOOKUP(D1203,'Chủ đề bài nguồn'!$A$2:$C$735,3,0),"Khác")</f>
        <v>Hộ kinh doanh &amp; bán hàng</v>
      </c>
      <c r="N1203" s="24"/>
    </row>
    <row r="1204">
      <c r="A1204" s="15">
        <v>1202.0</v>
      </c>
      <c r="B1204" s="16" t="s">
        <v>591</v>
      </c>
      <c r="C1204" s="18" t="s">
        <v>1916</v>
      </c>
      <c r="D1204" s="16" t="s">
        <v>743</v>
      </c>
      <c r="E1204" s="16" t="s">
        <v>5118</v>
      </c>
      <c r="F1204" s="16" t="s">
        <v>5119</v>
      </c>
      <c r="G1204" s="16" t="s">
        <v>5120</v>
      </c>
      <c r="H1204" s="20" t="s">
        <v>155</v>
      </c>
      <c r="I1204" s="21" t="s">
        <v>70</v>
      </c>
      <c r="J1204" s="22" t="s">
        <v>71</v>
      </c>
      <c r="K1204" s="23">
        <v>52.0</v>
      </c>
      <c r="L1204" s="24">
        <v>21.0</v>
      </c>
      <c r="M1204" s="24" t="str">
        <f>IFERROR(VLOOKUP(D1204,'Chủ đề bài nguồn'!$A$2:$C$735,3,0),"Khác")</f>
        <v>Hộ kinh doanh &amp; bán hàng</v>
      </c>
      <c r="N1204" s="24"/>
    </row>
    <row r="1205">
      <c r="A1205" s="15">
        <v>1203.0</v>
      </c>
      <c r="B1205" s="16" t="s">
        <v>591</v>
      </c>
      <c r="C1205" s="18" t="s">
        <v>1916</v>
      </c>
      <c r="D1205" s="16" t="s">
        <v>701</v>
      </c>
      <c r="E1205" s="16" t="s">
        <v>702</v>
      </c>
      <c r="F1205" s="16" t="s">
        <v>5121</v>
      </c>
      <c r="G1205" s="16" t="s">
        <v>5122</v>
      </c>
      <c r="H1205" s="20" t="s">
        <v>155</v>
      </c>
      <c r="I1205" s="21" t="s">
        <v>70</v>
      </c>
      <c r="J1205" s="22" t="s">
        <v>71</v>
      </c>
      <c r="K1205" s="23">
        <v>52.0</v>
      </c>
      <c r="L1205" s="24">
        <v>21.0</v>
      </c>
      <c r="M1205" s="24" t="str">
        <f>IFERROR(VLOOKUP(D1205,'Chủ đề bài nguồn'!$A$2:$C$735,3,0),"Khác")</f>
        <v>Thuế</v>
      </c>
      <c r="N1205" s="24"/>
    </row>
    <row r="1206">
      <c r="A1206" s="15">
        <v>1204.0</v>
      </c>
      <c r="B1206" s="16" t="s">
        <v>591</v>
      </c>
      <c r="C1206" s="18" t="s">
        <v>1916</v>
      </c>
      <c r="D1206" s="16" t="s">
        <v>1021</v>
      </c>
      <c r="E1206" s="16" t="s">
        <v>710</v>
      </c>
      <c r="F1206" s="16" t="s">
        <v>5123</v>
      </c>
      <c r="G1206" s="16" t="s">
        <v>5124</v>
      </c>
      <c r="H1206" s="20" t="s">
        <v>155</v>
      </c>
      <c r="I1206" s="21" t="s">
        <v>70</v>
      </c>
      <c r="J1206" s="22" t="s">
        <v>71</v>
      </c>
      <c r="K1206" s="23">
        <v>52.0</v>
      </c>
      <c r="L1206" s="24">
        <v>21.0</v>
      </c>
      <c r="M1206" s="24" t="str">
        <f>IFERROR(VLOOKUP(D1206,'Chủ đề bài nguồn'!$A$2:$C$735,3,0),"Khác")</f>
        <v>Thuế</v>
      </c>
      <c r="N1206" s="24"/>
    </row>
    <row r="1207">
      <c r="A1207" s="15">
        <v>1205.0</v>
      </c>
      <c r="B1207" s="16" t="s">
        <v>591</v>
      </c>
      <c r="C1207" s="18" t="s">
        <v>1916</v>
      </c>
      <c r="D1207" s="16" t="s">
        <v>1100</v>
      </c>
      <c r="E1207" s="16" t="s">
        <v>5125</v>
      </c>
      <c r="F1207" s="16" t="s">
        <v>5126</v>
      </c>
      <c r="G1207" s="16" t="s">
        <v>5127</v>
      </c>
      <c r="H1207" s="20" t="s">
        <v>155</v>
      </c>
      <c r="I1207" s="21" t="s">
        <v>70</v>
      </c>
      <c r="J1207" s="22" t="s">
        <v>71</v>
      </c>
      <c r="K1207" s="23">
        <v>52.0</v>
      </c>
      <c r="L1207" s="24">
        <v>21.0</v>
      </c>
      <c r="M1207" s="24" t="str">
        <f>IFERROR(VLOOKUP(D1207,'Chủ đề bài nguồn'!$A$2:$C$735,3,0),"Khác")</f>
        <v>Hộ kinh doanh &amp; bán hàng</v>
      </c>
      <c r="N1207" s="24"/>
    </row>
    <row r="1208">
      <c r="A1208" s="15">
        <v>1206.0</v>
      </c>
      <c r="B1208" s="16" t="s">
        <v>591</v>
      </c>
      <c r="C1208" s="18" t="s">
        <v>1916</v>
      </c>
      <c r="D1208" s="16" t="s">
        <v>3333</v>
      </c>
      <c r="E1208" s="16" t="s">
        <v>5128</v>
      </c>
      <c r="F1208" s="16" t="s">
        <v>5129</v>
      </c>
      <c r="G1208" s="16" t="s">
        <v>5130</v>
      </c>
      <c r="H1208" s="20" t="s">
        <v>155</v>
      </c>
      <c r="I1208" s="21" t="s">
        <v>70</v>
      </c>
      <c r="J1208" s="22" t="s">
        <v>71</v>
      </c>
      <c r="K1208" s="23">
        <v>52.0</v>
      </c>
      <c r="L1208" s="24">
        <v>21.0</v>
      </c>
      <c r="M1208" s="24" t="str">
        <f>IFERROR(VLOOKUP(D1208,'Chủ đề bài nguồn'!$A$2:$C$735,3,0),"Khác")</f>
        <v>Hộ kinh doanh &amp; bán hàng</v>
      </c>
      <c r="N1208" s="24"/>
    </row>
    <row r="1209">
      <c r="A1209" s="15">
        <v>1207.0</v>
      </c>
      <c r="B1209" s="16" t="s">
        <v>591</v>
      </c>
      <c r="C1209" s="18" t="s">
        <v>1916</v>
      </c>
      <c r="D1209" s="16" t="s">
        <v>548</v>
      </c>
      <c r="E1209" s="16" t="s">
        <v>5131</v>
      </c>
      <c r="F1209" s="16" t="s">
        <v>5132</v>
      </c>
      <c r="G1209" s="16" t="s">
        <v>5133</v>
      </c>
      <c r="H1209" s="20" t="s">
        <v>155</v>
      </c>
      <c r="I1209" s="21" t="s">
        <v>70</v>
      </c>
      <c r="J1209" s="22" t="s">
        <v>71</v>
      </c>
      <c r="K1209" s="23">
        <v>52.0</v>
      </c>
      <c r="L1209" s="24">
        <v>21.0</v>
      </c>
      <c r="M1209" s="24" t="str">
        <f>IFERROR(VLOOKUP(D1209,'Chủ đề bài nguồn'!$A$2:$C$735,3,0),"Khác")</f>
        <v>Thuế</v>
      </c>
      <c r="N1209" s="24"/>
    </row>
    <row r="1210">
      <c r="A1210" s="15">
        <v>1208.0</v>
      </c>
      <c r="B1210" s="16" t="s">
        <v>591</v>
      </c>
      <c r="C1210" s="18" t="s">
        <v>1916</v>
      </c>
      <c r="D1210" s="16" t="s">
        <v>788</v>
      </c>
      <c r="E1210" s="16" t="s">
        <v>789</v>
      </c>
      <c r="F1210" s="16" t="s">
        <v>5134</v>
      </c>
      <c r="G1210" s="16" t="s">
        <v>5135</v>
      </c>
      <c r="H1210" s="20" t="s">
        <v>155</v>
      </c>
      <c r="I1210" s="21" t="s">
        <v>70</v>
      </c>
      <c r="J1210" s="22" t="s">
        <v>71</v>
      </c>
      <c r="K1210" s="23">
        <v>52.0</v>
      </c>
      <c r="L1210" s="24">
        <v>21.0</v>
      </c>
      <c r="M1210" s="24" t="str">
        <f>IFERROR(VLOOKUP(D1210,'Chủ đề bài nguồn'!$A$2:$C$735,3,0),"Khác")</f>
        <v>Hộ kinh doanh &amp; bán hàng</v>
      </c>
      <c r="N1210" s="24"/>
    </row>
    <row r="1211">
      <c r="A1211" s="15">
        <v>1209.0</v>
      </c>
      <c r="B1211" s="16" t="s">
        <v>591</v>
      </c>
      <c r="C1211" s="18" t="s">
        <v>1916</v>
      </c>
      <c r="D1211" s="16" t="s">
        <v>2860</v>
      </c>
      <c r="E1211" s="16" t="s">
        <v>5136</v>
      </c>
      <c r="F1211" s="16" t="s">
        <v>5137</v>
      </c>
      <c r="G1211" s="16" t="s">
        <v>5138</v>
      </c>
      <c r="H1211" s="20" t="s">
        <v>155</v>
      </c>
      <c r="I1211" s="21" t="s">
        <v>70</v>
      </c>
      <c r="J1211" s="22" t="s">
        <v>71</v>
      </c>
      <c r="K1211" s="23">
        <v>52.0</v>
      </c>
      <c r="L1211" s="24">
        <v>21.0</v>
      </c>
      <c r="M1211" s="24" t="str">
        <f>IFERROR(VLOOKUP(D1211,'Chủ đề bài nguồn'!$A$2:$C$735,3,0),"Khác")</f>
        <v>Hộ kinh doanh &amp; bán hàng</v>
      </c>
      <c r="N1211" s="24"/>
    </row>
    <row r="1212">
      <c r="A1212" s="15">
        <v>1210.0</v>
      </c>
      <c r="B1212" s="16" t="s">
        <v>591</v>
      </c>
      <c r="C1212" s="18" t="s">
        <v>1916</v>
      </c>
      <c r="D1212" s="16" t="s">
        <v>2373</v>
      </c>
      <c r="E1212" s="16" t="s">
        <v>5139</v>
      </c>
      <c r="F1212" s="16" t="s">
        <v>5140</v>
      </c>
      <c r="G1212" s="16" t="s">
        <v>5141</v>
      </c>
      <c r="H1212" s="20" t="s">
        <v>155</v>
      </c>
      <c r="I1212" s="21" t="s">
        <v>70</v>
      </c>
      <c r="J1212" s="22" t="s">
        <v>71</v>
      </c>
      <c r="K1212" s="23">
        <v>52.0</v>
      </c>
      <c r="L1212" s="24">
        <v>21.0</v>
      </c>
      <c r="M1212" s="24" t="str">
        <f>IFERROR(VLOOKUP(D1212,'Chủ đề bài nguồn'!$A$2:$C$735,3,0),"Khác")</f>
        <v>Thuế</v>
      </c>
      <c r="N1212" s="24"/>
    </row>
    <row r="1213">
      <c r="A1213" s="15">
        <v>1211.0</v>
      </c>
      <c r="B1213" s="16" t="s">
        <v>591</v>
      </c>
      <c r="C1213" s="18" t="s">
        <v>1916</v>
      </c>
      <c r="D1213" s="16" t="s">
        <v>610</v>
      </c>
      <c r="E1213" s="16" t="s">
        <v>5142</v>
      </c>
      <c r="F1213" s="16" t="s">
        <v>5143</v>
      </c>
      <c r="G1213" s="16" t="s">
        <v>5144</v>
      </c>
      <c r="H1213" s="20" t="s">
        <v>155</v>
      </c>
      <c r="I1213" s="21" t="s">
        <v>70</v>
      </c>
      <c r="J1213" s="22" t="s">
        <v>71</v>
      </c>
      <c r="K1213" s="23">
        <v>52.0</v>
      </c>
      <c r="L1213" s="24">
        <v>21.0</v>
      </c>
      <c r="M1213" s="24" t="str">
        <f>IFERROR(VLOOKUP(D1213,'Chủ đề bài nguồn'!$A$2:$C$735,3,0),"Khác")</f>
        <v>Thuế</v>
      </c>
      <c r="N1213" s="24"/>
    </row>
    <row r="1214">
      <c r="A1214" s="15">
        <v>1212.0</v>
      </c>
      <c r="B1214" s="16" t="s">
        <v>591</v>
      </c>
      <c r="C1214" s="18" t="s">
        <v>1916</v>
      </c>
      <c r="D1214" s="16" t="s">
        <v>2807</v>
      </c>
      <c r="E1214" s="16" t="s">
        <v>5145</v>
      </c>
      <c r="F1214" s="16" t="s">
        <v>5146</v>
      </c>
      <c r="G1214" s="16" t="s">
        <v>5147</v>
      </c>
      <c r="H1214" s="20" t="s">
        <v>155</v>
      </c>
      <c r="I1214" s="21" t="s">
        <v>70</v>
      </c>
      <c r="J1214" s="22" t="s">
        <v>71</v>
      </c>
      <c r="K1214" s="23">
        <v>52.0</v>
      </c>
      <c r="L1214" s="24">
        <v>21.0</v>
      </c>
      <c r="M1214" s="24" t="str">
        <f>IFERROR(VLOOKUP(D1214,'Chủ đề bài nguồn'!$A$2:$C$735,3,0),"Khác")</f>
        <v>Hộ kinh doanh &amp; bán hàng</v>
      </c>
      <c r="N1214" s="24"/>
    </row>
    <row r="1215">
      <c r="A1215" s="15">
        <v>1213.0</v>
      </c>
      <c r="B1215" s="16" t="s">
        <v>591</v>
      </c>
      <c r="C1215" s="18" t="s">
        <v>1916</v>
      </c>
      <c r="D1215" s="16" t="s">
        <v>2775</v>
      </c>
      <c r="E1215" s="16" t="s">
        <v>5148</v>
      </c>
      <c r="F1215" s="16" t="s">
        <v>5149</v>
      </c>
      <c r="G1215" s="16" t="s">
        <v>5150</v>
      </c>
      <c r="H1215" s="20" t="s">
        <v>155</v>
      </c>
      <c r="I1215" s="21" t="s">
        <v>70</v>
      </c>
      <c r="J1215" s="22" t="s">
        <v>71</v>
      </c>
      <c r="K1215" s="23">
        <v>52.0</v>
      </c>
      <c r="L1215" s="24">
        <v>21.0</v>
      </c>
      <c r="M1215" s="24" t="str">
        <f>IFERROR(VLOOKUP(D1215,'Chủ đề bài nguồn'!$A$2:$C$735,3,0),"Khác")</f>
        <v>Hộ kinh doanh &amp; bán hàng</v>
      </c>
      <c r="N1215" s="24"/>
    </row>
    <row r="1216">
      <c r="A1216" s="15">
        <v>1214.0</v>
      </c>
      <c r="B1216" s="16" t="s">
        <v>591</v>
      </c>
      <c r="C1216" s="18" t="s">
        <v>1916</v>
      </c>
      <c r="D1216" s="16" t="s">
        <v>615</v>
      </c>
      <c r="E1216" s="16" t="s">
        <v>5151</v>
      </c>
      <c r="F1216" s="16" t="s">
        <v>5152</v>
      </c>
      <c r="G1216" s="16" t="s">
        <v>5153</v>
      </c>
      <c r="H1216" s="20" t="s">
        <v>155</v>
      </c>
      <c r="I1216" s="21" t="s">
        <v>70</v>
      </c>
      <c r="J1216" s="22" t="s">
        <v>71</v>
      </c>
      <c r="K1216" s="23">
        <v>52.0</v>
      </c>
      <c r="L1216" s="24">
        <v>21.0</v>
      </c>
      <c r="M1216" s="24" t="str">
        <f>IFERROR(VLOOKUP(D1216,'Chủ đề bài nguồn'!$A$2:$C$735,3,0),"Khác")</f>
        <v>Hộ kinh doanh &amp; bán hàng</v>
      </c>
      <c r="N1216" s="24"/>
    </row>
    <row r="1217">
      <c r="A1217" s="15">
        <v>1215.0</v>
      </c>
      <c r="B1217" s="39" t="s">
        <v>591</v>
      </c>
      <c r="C1217" s="18" t="s">
        <v>1916</v>
      </c>
      <c r="D1217" s="39" t="s">
        <v>2898</v>
      </c>
      <c r="E1217" s="16" t="s">
        <v>5154</v>
      </c>
      <c r="F1217" s="16" t="s">
        <v>5155</v>
      </c>
      <c r="G1217" s="16" t="s">
        <v>5156</v>
      </c>
      <c r="H1217" s="20" t="s">
        <v>155</v>
      </c>
      <c r="I1217" s="21" t="s">
        <v>70</v>
      </c>
      <c r="J1217" s="22" t="s">
        <v>71</v>
      </c>
      <c r="K1217" s="23">
        <v>52.0</v>
      </c>
      <c r="L1217" s="24">
        <v>21.0</v>
      </c>
      <c r="M1217" s="24" t="str">
        <f>IFERROR(VLOOKUP(D1217,'Chủ đề bài nguồn'!$A$2:$C$735,3,0),"Khác")</f>
        <v>Hộ kinh doanh &amp; bán hàng</v>
      </c>
      <c r="N1217" s="24"/>
    </row>
    <row r="1218">
      <c r="A1218" s="15">
        <v>1216.0</v>
      </c>
      <c r="B1218" s="39" t="s">
        <v>591</v>
      </c>
      <c r="C1218" s="18" t="s">
        <v>1916</v>
      </c>
      <c r="D1218" s="39" t="s">
        <v>980</v>
      </c>
      <c r="E1218" s="16" t="s">
        <v>5157</v>
      </c>
      <c r="F1218" s="16" t="s">
        <v>5158</v>
      </c>
      <c r="G1218" s="16" t="s">
        <v>5159</v>
      </c>
      <c r="H1218" s="20" t="s">
        <v>155</v>
      </c>
      <c r="I1218" s="21" t="s">
        <v>70</v>
      </c>
      <c r="J1218" s="22" t="s">
        <v>71</v>
      </c>
      <c r="K1218" s="23">
        <v>52.0</v>
      </c>
      <c r="L1218" s="24">
        <v>21.0</v>
      </c>
      <c r="M1218" s="24" t="str">
        <f>IFERROR(VLOOKUP(D1218,'Chủ đề bài nguồn'!$A$2:$C$735,3,0),"Khác")</f>
        <v>Hộ kinh doanh &amp; bán hàng</v>
      </c>
      <c r="N1218" s="24"/>
    </row>
    <row r="1219">
      <c r="A1219" s="15">
        <v>1217.0</v>
      </c>
      <c r="B1219" s="39" t="s">
        <v>591</v>
      </c>
      <c r="C1219" s="18" t="s">
        <v>1916</v>
      </c>
      <c r="D1219" s="39" t="s">
        <v>3078</v>
      </c>
      <c r="E1219" s="16" t="s">
        <v>5160</v>
      </c>
      <c r="F1219" s="16" t="s">
        <v>5161</v>
      </c>
      <c r="G1219" s="16" t="s">
        <v>5162</v>
      </c>
      <c r="H1219" s="20" t="s">
        <v>155</v>
      </c>
      <c r="I1219" s="21" t="s">
        <v>70</v>
      </c>
      <c r="J1219" s="22" t="s">
        <v>71</v>
      </c>
      <c r="K1219" s="23">
        <v>52.0</v>
      </c>
      <c r="L1219" s="24">
        <v>21.0</v>
      </c>
      <c r="M1219" s="24" t="str">
        <f>IFERROR(VLOOKUP(D1219,'Chủ đề bài nguồn'!$A$2:$C$735,3,0),"Khác")</f>
        <v>Thuế</v>
      </c>
      <c r="N1219" s="24"/>
    </row>
    <row r="1220">
      <c r="A1220" s="15">
        <v>1218.0</v>
      </c>
      <c r="B1220" s="39" t="s">
        <v>591</v>
      </c>
      <c r="C1220" s="18" t="s">
        <v>1916</v>
      </c>
      <c r="D1220" s="39" t="s">
        <v>665</v>
      </c>
      <c r="E1220" s="16" t="s">
        <v>666</v>
      </c>
      <c r="F1220" s="16" t="s">
        <v>5163</v>
      </c>
      <c r="G1220" s="16" t="s">
        <v>5164</v>
      </c>
      <c r="H1220" s="20" t="s">
        <v>155</v>
      </c>
      <c r="I1220" s="21" t="s">
        <v>70</v>
      </c>
      <c r="J1220" s="22" t="s">
        <v>71</v>
      </c>
      <c r="K1220" s="23">
        <v>52.0</v>
      </c>
      <c r="L1220" s="24">
        <v>21.0</v>
      </c>
      <c r="M1220" s="24" t="str">
        <f>IFERROR(VLOOKUP(D1220,'Chủ đề bài nguồn'!$A$2:$C$735,3,0),"Khác")</f>
        <v>Hộ kinh doanh &amp; bán hàng</v>
      </c>
      <c r="N1220" s="24"/>
    </row>
    <row r="1221">
      <c r="A1221" s="15">
        <v>1219.0</v>
      </c>
      <c r="B1221" s="39" t="s">
        <v>591</v>
      </c>
      <c r="C1221" s="18" t="s">
        <v>1916</v>
      </c>
      <c r="D1221" s="39" t="s">
        <v>2919</v>
      </c>
      <c r="E1221" s="16" t="s">
        <v>5165</v>
      </c>
      <c r="F1221" s="16" t="s">
        <v>5166</v>
      </c>
      <c r="G1221" s="16" t="s">
        <v>5167</v>
      </c>
      <c r="H1221" s="20" t="s">
        <v>155</v>
      </c>
      <c r="I1221" s="21" t="s">
        <v>70</v>
      </c>
      <c r="J1221" s="22" t="s">
        <v>71</v>
      </c>
      <c r="K1221" s="23">
        <v>52.0</v>
      </c>
      <c r="L1221" s="24">
        <v>21.0</v>
      </c>
      <c r="M1221" s="24" t="str">
        <f>IFERROR(VLOOKUP(D1221,'Chủ đề bài nguồn'!$A$2:$C$735,3,0),"Khác")</f>
        <v>Vay tiêu dùng &amp; tín chấp</v>
      </c>
      <c r="N1221" s="24"/>
    </row>
    <row r="1222">
      <c r="A1222" s="15">
        <v>1220.0</v>
      </c>
      <c r="B1222" s="39" t="s">
        <v>591</v>
      </c>
      <c r="C1222" s="18" t="s">
        <v>1916</v>
      </c>
      <c r="D1222" s="39" t="s">
        <v>3095</v>
      </c>
      <c r="E1222" s="16" t="s">
        <v>3596</v>
      </c>
      <c r="F1222" s="16" t="s">
        <v>5168</v>
      </c>
      <c r="G1222" s="16" t="s">
        <v>5169</v>
      </c>
      <c r="H1222" s="20" t="s">
        <v>155</v>
      </c>
      <c r="I1222" s="21" t="s">
        <v>70</v>
      </c>
      <c r="J1222" s="22" t="s">
        <v>71</v>
      </c>
      <c r="K1222" s="23">
        <v>52.0</v>
      </c>
      <c r="L1222" s="24">
        <v>21.0</v>
      </c>
      <c r="M1222" s="24" t="str">
        <f>IFERROR(VLOOKUP(D1222,'Chủ đề bài nguồn'!$A$2:$C$735,3,0),"Khác")</f>
        <v>Doanh nghiệp (tài khoản, vay, tài chính)</v>
      </c>
      <c r="N1222" s="24"/>
    </row>
    <row r="1223">
      <c r="A1223" s="15">
        <v>1221.0</v>
      </c>
      <c r="B1223" s="16" t="s">
        <v>591</v>
      </c>
      <c r="C1223" s="18" t="s">
        <v>1916</v>
      </c>
      <c r="D1223" s="16" t="s">
        <v>1060</v>
      </c>
      <c r="E1223" s="16" t="s">
        <v>710</v>
      </c>
      <c r="F1223" s="16" t="s">
        <v>5170</v>
      </c>
      <c r="G1223" s="16" t="s">
        <v>5171</v>
      </c>
      <c r="H1223" s="20" t="s">
        <v>229</v>
      </c>
      <c r="I1223" s="21" t="s">
        <v>70</v>
      </c>
      <c r="J1223" s="22" t="s">
        <v>71</v>
      </c>
      <c r="K1223" s="23">
        <v>52.0</v>
      </c>
      <c r="L1223" s="24">
        <v>31.0</v>
      </c>
      <c r="M1223" s="24" t="str">
        <f>IFERROR(VLOOKUP(D1223,'Chủ đề bài nguồn'!$A$2:$C$735,3,0),"Khác")</f>
        <v>Thuế</v>
      </c>
      <c r="N1223" s="24"/>
    </row>
    <row r="1224">
      <c r="A1224" s="15">
        <v>1222.0</v>
      </c>
      <c r="B1224" s="16" t="s">
        <v>591</v>
      </c>
      <c r="C1224" s="18" t="s">
        <v>1916</v>
      </c>
      <c r="D1224" s="16" t="s">
        <v>876</v>
      </c>
      <c r="E1224" s="16" t="s">
        <v>1081</v>
      </c>
      <c r="F1224" s="16" t="s">
        <v>5172</v>
      </c>
      <c r="G1224" s="16" t="s">
        <v>5173</v>
      </c>
      <c r="H1224" s="20" t="s">
        <v>229</v>
      </c>
      <c r="I1224" s="21" t="s">
        <v>70</v>
      </c>
      <c r="J1224" s="22" t="s">
        <v>71</v>
      </c>
      <c r="K1224" s="23">
        <v>52.0</v>
      </c>
      <c r="L1224" s="24">
        <v>31.0</v>
      </c>
      <c r="M1224" s="24" t="str">
        <f>IFERROR(VLOOKUP(D1224,'Chủ đề bài nguồn'!$A$2:$C$735,3,0),"Khác")</f>
        <v>Thuế</v>
      </c>
      <c r="N1224" s="24"/>
    </row>
    <row r="1225">
      <c r="A1225" s="15">
        <v>1223.0</v>
      </c>
      <c r="B1225" s="16" t="s">
        <v>591</v>
      </c>
      <c r="C1225" s="18" t="s">
        <v>1916</v>
      </c>
      <c r="D1225" s="16" t="s">
        <v>313</v>
      </c>
      <c r="E1225" s="16" t="s">
        <v>651</v>
      </c>
      <c r="F1225" s="16" t="s">
        <v>5174</v>
      </c>
      <c r="G1225" s="16" t="s">
        <v>5175</v>
      </c>
      <c r="H1225" s="20" t="s">
        <v>229</v>
      </c>
      <c r="I1225" s="21" t="s">
        <v>70</v>
      </c>
      <c r="J1225" s="22" t="s">
        <v>71</v>
      </c>
      <c r="K1225" s="23">
        <v>52.0</v>
      </c>
      <c r="L1225" s="24">
        <v>31.0</v>
      </c>
      <c r="M1225" s="24" t="str">
        <f>IFERROR(VLOOKUP(D1225,'Chủ đề bài nguồn'!$A$2:$C$735,3,0),"Khác")</f>
        <v>Thuế</v>
      </c>
      <c r="N1225" s="24"/>
    </row>
    <row r="1226">
      <c r="A1226" s="15">
        <v>1224.0</v>
      </c>
      <c r="B1226" s="16" t="s">
        <v>591</v>
      </c>
      <c r="C1226" s="18" t="s">
        <v>1916</v>
      </c>
      <c r="D1226" s="16" t="s">
        <v>2580</v>
      </c>
      <c r="E1226" s="16" t="s">
        <v>5176</v>
      </c>
      <c r="F1226" s="16" t="s">
        <v>5177</v>
      </c>
      <c r="G1226" s="16" t="s">
        <v>5178</v>
      </c>
      <c r="H1226" s="20" t="s">
        <v>229</v>
      </c>
      <c r="I1226" s="21" t="s">
        <v>70</v>
      </c>
      <c r="J1226" s="22" t="s">
        <v>71</v>
      </c>
      <c r="K1226" s="23">
        <v>52.0</v>
      </c>
      <c r="L1226" s="24">
        <v>31.0</v>
      </c>
      <c r="M1226" s="24" t="str">
        <f>IFERROR(VLOOKUP(D1226,'Chủ đề bài nguồn'!$A$2:$C$735,3,0),"Khác")</f>
        <v>Hộ kinh doanh &amp; bán hàng</v>
      </c>
      <c r="N1226" s="24"/>
    </row>
    <row r="1227">
      <c r="A1227" s="15">
        <v>1225.0</v>
      </c>
      <c r="B1227" s="16" t="s">
        <v>591</v>
      </c>
      <c r="C1227" s="18" t="s">
        <v>1916</v>
      </c>
      <c r="D1227" s="16" t="s">
        <v>811</v>
      </c>
      <c r="E1227" s="16" t="s">
        <v>5179</v>
      </c>
      <c r="F1227" s="16" t="s">
        <v>5180</v>
      </c>
      <c r="G1227" s="16" t="s">
        <v>5181</v>
      </c>
      <c r="H1227" s="20" t="s">
        <v>229</v>
      </c>
      <c r="I1227" s="21" t="s">
        <v>70</v>
      </c>
      <c r="J1227" s="22" t="s">
        <v>71</v>
      </c>
      <c r="K1227" s="23">
        <v>52.0</v>
      </c>
      <c r="L1227" s="24">
        <v>31.0</v>
      </c>
      <c r="M1227" s="24" t="str">
        <f>IFERROR(VLOOKUP(D1227,'Chủ đề bài nguồn'!$A$2:$C$735,3,0),"Khác")</f>
        <v>Hộ kinh doanh &amp; bán hàng</v>
      </c>
      <c r="N1227" s="24"/>
    </row>
    <row r="1228">
      <c r="A1228" s="15">
        <v>1226.0</v>
      </c>
      <c r="B1228" s="16" t="s">
        <v>591</v>
      </c>
      <c r="C1228" s="18" t="s">
        <v>1916</v>
      </c>
      <c r="D1228" s="16" t="s">
        <v>3007</v>
      </c>
      <c r="E1228" s="16" t="s">
        <v>5182</v>
      </c>
      <c r="F1228" s="16" t="s">
        <v>5183</v>
      </c>
      <c r="G1228" s="16" t="s">
        <v>5184</v>
      </c>
      <c r="H1228" s="20" t="s">
        <v>229</v>
      </c>
      <c r="I1228" s="21" t="s">
        <v>70</v>
      </c>
      <c r="J1228" s="22" t="s">
        <v>71</v>
      </c>
      <c r="K1228" s="23">
        <v>52.0</v>
      </c>
      <c r="L1228" s="24">
        <v>31.0</v>
      </c>
      <c r="M1228" s="24" t="str">
        <f>IFERROR(VLOOKUP(D1228,'Chủ đề bài nguồn'!$A$2:$C$735,3,0),"Khác")</f>
        <v>Hộ kinh doanh &amp; bán hàng</v>
      </c>
      <c r="N1228" s="24"/>
    </row>
    <row r="1229">
      <c r="A1229" s="15">
        <v>1227.0</v>
      </c>
      <c r="B1229" s="39" t="s">
        <v>591</v>
      </c>
      <c r="C1229" s="18" t="s">
        <v>1916</v>
      </c>
      <c r="D1229" s="39" t="s">
        <v>3005</v>
      </c>
      <c r="E1229" s="16" t="s">
        <v>5185</v>
      </c>
      <c r="F1229" s="16" t="s">
        <v>5186</v>
      </c>
      <c r="G1229" s="16" t="s">
        <v>5187</v>
      </c>
      <c r="H1229" s="20" t="s">
        <v>229</v>
      </c>
      <c r="I1229" s="21" t="s">
        <v>70</v>
      </c>
      <c r="J1229" s="22" t="s">
        <v>71</v>
      </c>
      <c r="K1229" s="23">
        <v>52.0</v>
      </c>
      <c r="L1229" s="24">
        <v>31.0</v>
      </c>
      <c r="M1229" s="24" t="str">
        <f>IFERROR(VLOOKUP(D1229,'Chủ đề bài nguồn'!$A$2:$C$735,3,0),"Khác")</f>
        <v>Hộ kinh doanh &amp; bán hàng</v>
      </c>
      <c r="N1229" s="24"/>
    </row>
    <row r="1230">
      <c r="A1230" s="15">
        <v>1228.0</v>
      </c>
      <c r="B1230" s="39" t="s">
        <v>591</v>
      </c>
      <c r="C1230" s="18" t="s">
        <v>1916</v>
      </c>
      <c r="D1230" s="39" t="s">
        <v>753</v>
      </c>
      <c r="E1230" s="16" t="s">
        <v>5188</v>
      </c>
      <c r="F1230" s="16" t="s">
        <v>5189</v>
      </c>
      <c r="G1230" s="16" t="s">
        <v>5190</v>
      </c>
      <c r="H1230" s="20" t="s">
        <v>229</v>
      </c>
      <c r="I1230" s="21" t="s">
        <v>70</v>
      </c>
      <c r="J1230" s="22" t="s">
        <v>71</v>
      </c>
      <c r="K1230" s="23">
        <v>52.0</v>
      </c>
      <c r="L1230" s="24">
        <v>31.0</v>
      </c>
      <c r="M1230" s="24" t="str">
        <f>IFERROR(VLOOKUP(D1230,'Chủ đề bài nguồn'!$A$2:$C$735,3,0),"Khác")</f>
        <v>Thuế</v>
      </c>
      <c r="N1230" s="24"/>
    </row>
    <row r="1231">
      <c r="A1231" s="15">
        <v>1229.0</v>
      </c>
      <c r="B1231" s="39" t="s">
        <v>591</v>
      </c>
      <c r="C1231" s="18" t="s">
        <v>1916</v>
      </c>
      <c r="D1231" s="39" t="s">
        <v>872</v>
      </c>
      <c r="E1231" s="16" t="s">
        <v>873</v>
      </c>
      <c r="F1231" s="16" t="s">
        <v>5191</v>
      </c>
      <c r="G1231" s="16" t="s">
        <v>5192</v>
      </c>
      <c r="H1231" s="20" t="s">
        <v>229</v>
      </c>
      <c r="I1231" s="21" t="s">
        <v>70</v>
      </c>
      <c r="J1231" s="22" t="s">
        <v>71</v>
      </c>
      <c r="K1231" s="23">
        <v>52.0</v>
      </c>
      <c r="L1231" s="24">
        <v>31.0</v>
      </c>
      <c r="M1231" s="24" t="str">
        <f>IFERROR(VLOOKUP(D1231,'Chủ đề bài nguồn'!$A$2:$C$735,3,0),"Khác")</f>
        <v>Doanh nghiệp (tài khoản, vay, tài chính)</v>
      </c>
      <c r="N1231" s="24"/>
    </row>
    <row r="1232">
      <c r="A1232" s="15">
        <v>1230.0</v>
      </c>
      <c r="B1232" s="16" t="s">
        <v>591</v>
      </c>
      <c r="C1232" s="18" t="s">
        <v>1916</v>
      </c>
      <c r="D1232" s="16" t="s">
        <v>719</v>
      </c>
      <c r="E1232" s="16" t="s">
        <v>5193</v>
      </c>
      <c r="F1232" s="16" t="s">
        <v>5194</v>
      </c>
      <c r="G1232" s="16" t="s">
        <v>5195</v>
      </c>
      <c r="H1232" s="20" t="s">
        <v>229</v>
      </c>
      <c r="I1232" s="21" t="s">
        <v>70</v>
      </c>
      <c r="J1232" s="22" t="s">
        <v>71</v>
      </c>
      <c r="K1232" s="23">
        <v>52.0</v>
      </c>
      <c r="L1232" s="24">
        <v>31.0</v>
      </c>
      <c r="M1232" s="24" t="str">
        <f>IFERROR(VLOOKUP(D1232,'Chủ đề bài nguồn'!$A$2:$C$735,3,0),"Khác")</f>
        <v>Thuế</v>
      </c>
      <c r="N1232" s="24"/>
    </row>
    <row r="1233">
      <c r="A1233" s="15">
        <v>1231.0</v>
      </c>
      <c r="B1233" s="16" t="s">
        <v>1074</v>
      </c>
      <c r="C1233" s="18" t="s">
        <v>3870</v>
      </c>
      <c r="D1233" s="16" t="s">
        <v>3057</v>
      </c>
      <c r="E1233" s="16" t="s">
        <v>5196</v>
      </c>
      <c r="F1233" s="16" t="s">
        <v>5197</v>
      </c>
      <c r="G1233" s="16" t="s">
        <v>5198</v>
      </c>
      <c r="H1233" s="20" t="s">
        <v>69</v>
      </c>
      <c r="I1233" s="21" t="s">
        <v>70</v>
      </c>
      <c r="J1233" s="22" t="s">
        <v>71</v>
      </c>
      <c r="K1233" s="23">
        <v>53.0</v>
      </c>
      <c r="L1233" s="24">
        <v>10.0</v>
      </c>
      <c r="M1233" s="24" t="str">
        <f>IFERROR(VLOOKUP(D1233,'Chủ đề bài nguồn'!$A$2:$C$735,3,0),"Khác")</f>
        <v>Hộ kinh doanh &amp; bán hàng</v>
      </c>
      <c r="N1233" s="24"/>
    </row>
    <row r="1234">
      <c r="A1234" s="15">
        <v>1232.0</v>
      </c>
      <c r="B1234" s="16" t="s">
        <v>1074</v>
      </c>
      <c r="C1234" s="18" t="s">
        <v>3870</v>
      </c>
      <c r="D1234" s="16" t="s">
        <v>2819</v>
      </c>
      <c r="E1234" s="16" t="s">
        <v>5199</v>
      </c>
      <c r="F1234" s="16" t="s">
        <v>5200</v>
      </c>
      <c r="G1234" s="16" t="s">
        <v>5198</v>
      </c>
      <c r="H1234" s="20" t="s">
        <v>69</v>
      </c>
      <c r="I1234" s="21" t="s">
        <v>70</v>
      </c>
      <c r="J1234" s="22" t="s">
        <v>71</v>
      </c>
      <c r="K1234" s="23">
        <v>53.0</v>
      </c>
      <c r="L1234" s="24">
        <v>10.0</v>
      </c>
      <c r="M1234" s="24" t="str">
        <f>IFERROR(VLOOKUP(D1234,'Chủ đề bài nguồn'!$A$2:$C$735,3,0),"Khác")</f>
        <v>Khác</v>
      </c>
      <c r="N1234" s="24"/>
    </row>
    <row r="1235">
      <c r="A1235" s="15">
        <v>1233.0</v>
      </c>
      <c r="B1235" s="16" t="s">
        <v>1074</v>
      </c>
      <c r="C1235" s="18" t="s">
        <v>3870</v>
      </c>
      <c r="D1235" s="16" t="s">
        <v>2681</v>
      </c>
      <c r="E1235" s="16" t="s">
        <v>5201</v>
      </c>
      <c r="F1235" s="16" t="s">
        <v>5202</v>
      </c>
      <c r="G1235" s="16" t="s">
        <v>5198</v>
      </c>
      <c r="H1235" s="20" t="s">
        <v>69</v>
      </c>
      <c r="I1235" s="21" t="s">
        <v>70</v>
      </c>
      <c r="J1235" s="22" t="s">
        <v>71</v>
      </c>
      <c r="K1235" s="23">
        <v>53.0</v>
      </c>
      <c r="L1235" s="24">
        <v>10.0</v>
      </c>
      <c r="M1235" s="24" t="str">
        <f>IFERROR(VLOOKUP(D1235,'Chủ đề bài nguồn'!$A$2:$C$735,3,0),"Khác")</f>
        <v>Hộ kinh doanh &amp; bán hàng</v>
      </c>
      <c r="N1235" s="24"/>
    </row>
    <row r="1236">
      <c r="A1236" s="15">
        <v>1234.0</v>
      </c>
      <c r="B1236" s="16" t="s">
        <v>1074</v>
      </c>
      <c r="C1236" s="18" t="s">
        <v>3870</v>
      </c>
      <c r="D1236" s="16" t="s">
        <v>2893</v>
      </c>
      <c r="E1236" s="16" t="s">
        <v>2895</v>
      </c>
      <c r="F1236" s="16" t="s">
        <v>5203</v>
      </c>
      <c r="G1236" s="16" t="s">
        <v>5198</v>
      </c>
      <c r="H1236" s="20" t="s">
        <v>69</v>
      </c>
      <c r="I1236" s="21" t="s">
        <v>70</v>
      </c>
      <c r="J1236" s="22" t="s">
        <v>71</v>
      </c>
      <c r="K1236" s="23">
        <v>53.0</v>
      </c>
      <c r="L1236" s="24">
        <v>10.0</v>
      </c>
      <c r="M1236" s="24" t="str">
        <f>IFERROR(VLOOKUP(D1236,'Chủ đề bài nguồn'!$A$2:$C$735,3,0),"Khác")</f>
        <v>Thanh toán, chuyển khoản &amp; QR</v>
      </c>
      <c r="N1236" s="24"/>
    </row>
    <row r="1237">
      <c r="A1237" s="15">
        <v>1235.0</v>
      </c>
      <c r="B1237" s="16" t="s">
        <v>1074</v>
      </c>
      <c r="C1237" s="18" t="s">
        <v>3870</v>
      </c>
      <c r="D1237" s="16" t="s">
        <v>3308</v>
      </c>
      <c r="E1237" s="16" t="s">
        <v>5204</v>
      </c>
      <c r="F1237" s="16" t="s">
        <v>5205</v>
      </c>
      <c r="G1237" s="16" t="s">
        <v>5198</v>
      </c>
      <c r="H1237" s="20" t="s">
        <v>69</v>
      </c>
      <c r="I1237" s="21" t="s">
        <v>70</v>
      </c>
      <c r="J1237" s="22" t="s">
        <v>71</v>
      </c>
      <c r="K1237" s="23">
        <v>53.0</v>
      </c>
      <c r="L1237" s="24">
        <v>10.0</v>
      </c>
      <c r="M1237" s="24" t="str">
        <f>IFERROR(VLOOKUP(D1237,'Chủ đề bài nguồn'!$A$2:$C$735,3,0),"Khác")</f>
        <v>Vay thế chấp &amp; mua nhà/xe</v>
      </c>
      <c r="N1237" s="24"/>
    </row>
    <row r="1238">
      <c r="A1238" s="15">
        <v>1236.0</v>
      </c>
      <c r="B1238" s="16" t="s">
        <v>1074</v>
      </c>
      <c r="C1238" s="18" t="s">
        <v>3870</v>
      </c>
      <c r="D1238" s="16" t="s">
        <v>2776</v>
      </c>
      <c r="E1238" s="16" t="s">
        <v>5206</v>
      </c>
      <c r="F1238" s="16" t="s">
        <v>5207</v>
      </c>
      <c r="G1238" s="16" t="s">
        <v>5198</v>
      </c>
      <c r="H1238" s="20" t="s">
        <v>69</v>
      </c>
      <c r="I1238" s="21" t="s">
        <v>70</v>
      </c>
      <c r="J1238" s="22" t="s">
        <v>71</v>
      </c>
      <c r="K1238" s="23">
        <v>53.0</v>
      </c>
      <c r="L1238" s="24">
        <v>10.0</v>
      </c>
      <c r="M1238" s="24" t="str">
        <f>IFERROR(VLOOKUP(D1238,'Chủ đề bài nguồn'!$A$2:$C$735,3,0),"Khác")</f>
        <v>Ngân hàng xanh &amp; thương hiệu</v>
      </c>
      <c r="N1238" s="24"/>
    </row>
    <row r="1239">
      <c r="A1239" s="15">
        <v>1237.0</v>
      </c>
      <c r="B1239" s="16" t="s">
        <v>1074</v>
      </c>
      <c r="C1239" s="18" t="s">
        <v>3870</v>
      </c>
      <c r="D1239" s="16" t="s">
        <v>2851</v>
      </c>
      <c r="E1239" s="16" t="s">
        <v>5208</v>
      </c>
      <c r="F1239" s="16" t="s">
        <v>5209</v>
      </c>
      <c r="G1239" s="16" t="s">
        <v>5198</v>
      </c>
      <c r="H1239" s="20" t="s">
        <v>69</v>
      </c>
      <c r="I1239" s="21" t="s">
        <v>70</v>
      </c>
      <c r="J1239" s="22" t="s">
        <v>71</v>
      </c>
      <c r="K1239" s="23">
        <v>53.0</v>
      </c>
      <c r="L1239" s="24">
        <v>10.0</v>
      </c>
      <c r="M1239" s="24" t="str">
        <f>IFERROR(VLOOKUP(D1239,'Chủ đề bài nguồn'!$A$2:$C$735,3,0),"Khác")</f>
        <v>Thị trường &amp; giá cả</v>
      </c>
      <c r="N1239" s="24"/>
    </row>
    <row r="1240">
      <c r="A1240" s="15">
        <v>1238.0</v>
      </c>
      <c r="B1240" s="16" t="s">
        <v>1074</v>
      </c>
      <c r="C1240" s="18" t="s">
        <v>3870</v>
      </c>
      <c r="D1240" s="16" t="s">
        <v>514</v>
      </c>
      <c r="E1240" s="16" t="s">
        <v>710</v>
      </c>
      <c r="F1240" s="16" t="s">
        <v>5210</v>
      </c>
      <c r="G1240" s="16" t="s">
        <v>5198</v>
      </c>
      <c r="H1240" s="20" t="s">
        <v>69</v>
      </c>
      <c r="I1240" s="21" t="s">
        <v>70</v>
      </c>
      <c r="J1240" s="22" t="s">
        <v>71</v>
      </c>
      <c r="K1240" s="23">
        <v>53.0</v>
      </c>
      <c r="L1240" s="24">
        <v>10.0</v>
      </c>
      <c r="M1240" s="24" t="str">
        <f>IFERROR(VLOOKUP(D1240,'Chủ đề bài nguồn'!$A$2:$C$735,3,0),"Khác")</f>
        <v>Thuế</v>
      </c>
      <c r="N1240" s="24"/>
    </row>
    <row r="1241">
      <c r="A1241" s="15">
        <v>1239.0</v>
      </c>
      <c r="B1241" s="39" t="s">
        <v>1074</v>
      </c>
      <c r="C1241" s="18" t="s">
        <v>3870</v>
      </c>
      <c r="D1241" s="39" t="s">
        <v>1480</v>
      </c>
      <c r="E1241" s="16" t="s">
        <v>5211</v>
      </c>
      <c r="F1241" s="16" t="s">
        <v>5212</v>
      </c>
      <c r="G1241" s="16" t="s">
        <v>5198</v>
      </c>
      <c r="H1241" s="20" t="s">
        <v>69</v>
      </c>
      <c r="I1241" s="21" t="s">
        <v>70</v>
      </c>
      <c r="J1241" s="22" t="s">
        <v>71</v>
      </c>
      <c r="K1241" s="23">
        <v>53.0</v>
      </c>
      <c r="L1241" s="24">
        <v>10.0</v>
      </c>
      <c r="M1241" s="24" t="str">
        <f>IFERROR(VLOOKUP(D1241,'Chủ đề bài nguồn'!$A$2:$C$735,3,0),"Khác")</f>
        <v>Hộ kinh doanh &amp; bán hàng</v>
      </c>
      <c r="N1241" s="24"/>
    </row>
    <row r="1242">
      <c r="A1242" s="15">
        <v>1240.0</v>
      </c>
      <c r="B1242" s="16" t="s">
        <v>1074</v>
      </c>
      <c r="C1242" s="18" t="s">
        <v>3870</v>
      </c>
      <c r="D1242" s="16" t="s">
        <v>665</v>
      </c>
      <c r="E1242" s="16" t="s">
        <v>710</v>
      </c>
      <c r="F1242" s="16" t="s">
        <v>5213</v>
      </c>
      <c r="G1242" s="16" t="s">
        <v>5198</v>
      </c>
      <c r="H1242" s="20" t="s">
        <v>69</v>
      </c>
      <c r="I1242" s="21" t="s">
        <v>70</v>
      </c>
      <c r="J1242" s="22" t="s">
        <v>71</v>
      </c>
      <c r="K1242" s="23">
        <v>53.0</v>
      </c>
      <c r="L1242" s="24">
        <v>10.0</v>
      </c>
      <c r="M1242" s="24" t="str">
        <f>IFERROR(VLOOKUP(D1242,'Chủ đề bài nguồn'!$A$2:$C$735,3,0),"Khác")</f>
        <v>Hộ kinh doanh &amp; bán hàng</v>
      </c>
      <c r="N1242" s="24"/>
    </row>
    <row r="1243">
      <c r="A1243" s="15">
        <v>1241.0</v>
      </c>
      <c r="B1243" s="16" t="s">
        <v>1074</v>
      </c>
      <c r="C1243" s="18" t="s">
        <v>3870</v>
      </c>
      <c r="D1243" s="16" t="s">
        <v>915</v>
      </c>
      <c r="E1243" s="16" t="s">
        <v>5214</v>
      </c>
      <c r="F1243" s="16" t="s">
        <v>5215</v>
      </c>
      <c r="G1243" s="16" t="s">
        <v>5198</v>
      </c>
      <c r="H1243" s="20" t="s">
        <v>69</v>
      </c>
      <c r="I1243" s="21" t="s">
        <v>70</v>
      </c>
      <c r="J1243" s="22" t="s">
        <v>71</v>
      </c>
      <c r="K1243" s="23">
        <v>53.0</v>
      </c>
      <c r="L1243" s="24">
        <v>10.0</v>
      </c>
      <c r="M1243" s="24" t="str">
        <f>IFERROR(VLOOKUP(D1243,'Chủ đề bài nguồn'!$A$2:$C$735,3,0),"Khác")</f>
        <v>Hộ kinh doanh &amp; bán hàng</v>
      </c>
      <c r="N1243" s="24"/>
    </row>
    <row r="1244">
      <c r="A1244" s="15">
        <v>1242.0</v>
      </c>
      <c r="B1244" s="16" t="s">
        <v>1074</v>
      </c>
      <c r="C1244" s="18" t="s">
        <v>3870</v>
      </c>
      <c r="D1244" s="16" t="s">
        <v>779</v>
      </c>
      <c r="E1244" s="16" t="s">
        <v>710</v>
      </c>
      <c r="F1244" s="16" t="s">
        <v>5216</v>
      </c>
      <c r="G1244" s="16" t="s">
        <v>5198</v>
      </c>
      <c r="H1244" s="20" t="s">
        <v>69</v>
      </c>
      <c r="I1244" s="21" t="s">
        <v>70</v>
      </c>
      <c r="J1244" s="22" t="s">
        <v>71</v>
      </c>
      <c r="K1244" s="23">
        <v>53.0</v>
      </c>
      <c r="L1244" s="24">
        <v>10.0</v>
      </c>
      <c r="M1244" s="24" t="str">
        <f>IFERROR(VLOOKUP(D1244,'Chủ đề bài nguồn'!$A$2:$C$735,3,0),"Khác")</f>
        <v>Hộ kinh doanh &amp; bán hàng</v>
      </c>
      <c r="N1244" s="24"/>
    </row>
    <row r="1245">
      <c r="A1245" s="15">
        <v>1243.0</v>
      </c>
      <c r="B1245" s="16" t="s">
        <v>1074</v>
      </c>
      <c r="C1245" s="18" t="s">
        <v>3870</v>
      </c>
      <c r="D1245" s="16" t="s">
        <v>825</v>
      </c>
      <c r="E1245" s="16" t="s">
        <v>5217</v>
      </c>
      <c r="F1245" s="16" t="s">
        <v>5218</v>
      </c>
      <c r="G1245" s="16" t="s">
        <v>5198</v>
      </c>
      <c r="H1245" s="20" t="s">
        <v>155</v>
      </c>
      <c r="I1245" s="21" t="s">
        <v>70</v>
      </c>
      <c r="J1245" s="22" t="s">
        <v>71</v>
      </c>
      <c r="K1245" s="23">
        <v>53.0</v>
      </c>
      <c r="L1245" s="24">
        <v>20.0</v>
      </c>
      <c r="M1245" s="24" t="str">
        <f>IFERROR(VLOOKUP(D1245,'Chủ đề bài nguồn'!$A$2:$C$735,3,0),"Khác")</f>
        <v>Doanh nghiệp (tài khoản, vay, tài chính)</v>
      </c>
      <c r="N1245" s="24"/>
    </row>
    <row r="1246">
      <c r="A1246" s="15">
        <v>1244.0</v>
      </c>
      <c r="B1246" s="16" t="s">
        <v>1074</v>
      </c>
      <c r="C1246" s="18" t="s">
        <v>3870</v>
      </c>
      <c r="D1246" s="16" t="s">
        <v>3083</v>
      </c>
      <c r="E1246" s="16" t="s">
        <v>5219</v>
      </c>
      <c r="F1246" s="16" t="s">
        <v>5220</v>
      </c>
      <c r="G1246" s="16" t="s">
        <v>5198</v>
      </c>
      <c r="H1246" s="20" t="s">
        <v>155</v>
      </c>
      <c r="I1246" s="21" t="s">
        <v>70</v>
      </c>
      <c r="J1246" s="22" t="s">
        <v>71</v>
      </c>
      <c r="K1246" s="23">
        <v>53.0</v>
      </c>
      <c r="L1246" s="24">
        <v>20.0</v>
      </c>
      <c r="M1246" s="24" t="str">
        <f>IFERROR(VLOOKUP(D1246,'Chủ đề bài nguồn'!$A$2:$C$735,3,0),"Khác")</f>
        <v>Hộ kinh doanh &amp; bán hàng</v>
      </c>
      <c r="N1246" s="24"/>
    </row>
    <row r="1247">
      <c r="A1247" s="15">
        <v>1245.0</v>
      </c>
      <c r="B1247" s="16" t="s">
        <v>1074</v>
      </c>
      <c r="C1247" s="18" t="s">
        <v>3870</v>
      </c>
      <c r="D1247" s="16" t="s">
        <v>954</v>
      </c>
      <c r="E1247" s="16" t="s">
        <v>1567</v>
      </c>
      <c r="F1247" s="16" t="s">
        <v>5221</v>
      </c>
      <c r="G1247" s="16" t="s">
        <v>5198</v>
      </c>
      <c r="H1247" s="20" t="s">
        <v>155</v>
      </c>
      <c r="I1247" s="21" t="s">
        <v>70</v>
      </c>
      <c r="J1247" s="22" t="s">
        <v>71</v>
      </c>
      <c r="K1247" s="23">
        <v>53.0</v>
      </c>
      <c r="L1247" s="24">
        <v>20.0</v>
      </c>
      <c r="M1247" s="24" t="str">
        <f>IFERROR(VLOOKUP(D1247,'Chủ đề bài nguồn'!$A$2:$C$735,3,0),"Khác")</f>
        <v>Hộ kinh doanh &amp; bán hàng</v>
      </c>
      <c r="N1247" s="24"/>
    </row>
    <row r="1248">
      <c r="A1248" s="15">
        <v>1246.0</v>
      </c>
      <c r="B1248" s="39" t="s">
        <v>1074</v>
      </c>
      <c r="C1248" s="18" t="s">
        <v>3870</v>
      </c>
      <c r="D1248" s="39" t="s">
        <v>1980</v>
      </c>
      <c r="E1248" s="16" t="s">
        <v>5222</v>
      </c>
      <c r="F1248" s="16" t="s">
        <v>5223</v>
      </c>
      <c r="G1248" s="16" t="s">
        <v>5224</v>
      </c>
      <c r="H1248" s="20" t="s">
        <v>155</v>
      </c>
      <c r="I1248" s="21" t="s">
        <v>70</v>
      </c>
      <c r="J1248" s="40" t="s">
        <v>5225</v>
      </c>
      <c r="K1248" s="23">
        <v>53.0</v>
      </c>
      <c r="L1248" s="24">
        <v>21.0</v>
      </c>
      <c r="M1248" s="24" t="str">
        <f>IFERROR(VLOOKUP(D1248,'Chủ đề bài nguồn'!$A$2:$C$735,3,0),"Khác")</f>
        <v>Hộ kinh doanh &amp; bán hàng</v>
      </c>
      <c r="N1248" s="24"/>
    </row>
    <row r="1249">
      <c r="A1249" s="15">
        <v>1247.0</v>
      </c>
      <c r="B1249" s="16" t="s">
        <v>1074</v>
      </c>
      <c r="C1249" s="18" t="s">
        <v>2011</v>
      </c>
      <c r="D1249" s="16" t="s">
        <v>646</v>
      </c>
      <c r="E1249" s="16" t="s">
        <v>5226</v>
      </c>
      <c r="F1249" s="16" t="s">
        <v>5227</v>
      </c>
      <c r="G1249" s="16" t="s">
        <v>5228</v>
      </c>
      <c r="H1249" s="20" t="s">
        <v>155</v>
      </c>
      <c r="I1249" s="21" t="s">
        <v>70</v>
      </c>
      <c r="J1249" s="22" t="s">
        <v>71</v>
      </c>
      <c r="K1249" s="23">
        <v>53.0</v>
      </c>
      <c r="L1249" s="24">
        <v>21.0</v>
      </c>
      <c r="M1249" s="24" t="str">
        <f>IFERROR(VLOOKUP(D1249,'Chủ đề bài nguồn'!$A$2:$C$735,3,0),"Khác")</f>
        <v>Hộ kinh doanh &amp; bán hàng</v>
      </c>
      <c r="N1249" s="24"/>
    </row>
    <row r="1250">
      <c r="A1250" s="15">
        <v>1248.0</v>
      </c>
      <c r="B1250" s="16" t="s">
        <v>1074</v>
      </c>
      <c r="C1250" s="18" t="s">
        <v>2011</v>
      </c>
      <c r="D1250" s="16" t="s">
        <v>660</v>
      </c>
      <c r="E1250" s="16" t="s">
        <v>5229</v>
      </c>
      <c r="F1250" s="16" t="s">
        <v>5230</v>
      </c>
      <c r="G1250" s="16" t="s">
        <v>5231</v>
      </c>
      <c r="H1250" s="20" t="s">
        <v>155</v>
      </c>
      <c r="I1250" s="21" t="s">
        <v>70</v>
      </c>
      <c r="J1250" s="22" t="s">
        <v>71</v>
      </c>
      <c r="K1250" s="23">
        <v>53.0</v>
      </c>
      <c r="L1250" s="24">
        <v>21.0</v>
      </c>
      <c r="M1250" s="24" t="str">
        <f>IFERROR(VLOOKUP(D1250,'Chủ đề bài nguồn'!$A$2:$C$735,3,0),"Khác")</f>
        <v>Hộ kinh doanh &amp; bán hàng</v>
      </c>
      <c r="N1250" s="24"/>
    </row>
    <row r="1251">
      <c r="A1251" s="15">
        <v>1249.0</v>
      </c>
      <c r="B1251" s="16" t="s">
        <v>1074</v>
      </c>
      <c r="C1251" s="18" t="s">
        <v>2011</v>
      </c>
      <c r="D1251" s="16" t="s">
        <v>743</v>
      </c>
      <c r="E1251" s="16" t="s">
        <v>5232</v>
      </c>
      <c r="F1251" s="16" t="s">
        <v>5233</v>
      </c>
      <c r="G1251" s="16" t="s">
        <v>5234</v>
      </c>
      <c r="H1251" s="20" t="s">
        <v>155</v>
      </c>
      <c r="I1251" s="21" t="s">
        <v>70</v>
      </c>
      <c r="J1251" s="22" t="s">
        <v>71</v>
      </c>
      <c r="K1251" s="23">
        <v>53.0</v>
      </c>
      <c r="L1251" s="24">
        <v>21.0</v>
      </c>
      <c r="M1251" s="24" t="str">
        <f>IFERROR(VLOOKUP(D1251,'Chủ đề bài nguồn'!$A$2:$C$735,3,0),"Khác")</f>
        <v>Hộ kinh doanh &amp; bán hàng</v>
      </c>
      <c r="N1251" s="24"/>
    </row>
    <row r="1252">
      <c r="A1252" s="15">
        <v>1250.0</v>
      </c>
      <c r="B1252" s="16" t="s">
        <v>1074</v>
      </c>
      <c r="C1252" s="18" t="s">
        <v>2011</v>
      </c>
      <c r="D1252" s="16" t="s">
        <v>2807</v>
      </c>
      <c r="E1252" s="16" t="s">
        <v>5145</v>
      </c>
      <c r="F1252" s="16" t="s">
        <v>5235</v>
      </c>
      <c r="G1252" s="16" t="s">
        <v>5236</v>
      </c>
      <c r="H1252" s="20" t="s">
        <v>155</v>
      </c>
      <c r="I1252" s="21" t="s">
        <v>70</v>
      </c>
      <c r="J1252" s="22" t="s">
        <v>71</v>
      </c>
      <c r="K1252" s="23">
        <v>53.0</v>
      </c>
      <c r="L1252" s="24">
        <v>21.0</v>
      </c>
      <c r="M1252" s="24" t="str">
        <f>IFERROR(VLOOKUP(D1252,'Chủ đề bài nguồn'!$A$2:$C$735,3,0),"Khác")</f>
        <v>Hộ kinh doanh &amp; bán hàng</v>
      </c>
      <c r="N1252" s="24"/>
    </row>
    <row r="1253">
      <c r="A1253" s="15">
        <v>1251.0</v>
      </c>
      <c r="B1253" s="16" t="s">
        <v>1074</v>
      </c>
      <c r="C1253" s="18" t="s">
        <v>3870</v>
      </c>
      <c r="D1253" s="16" t="s">
        <v>3058</v>
      </c>
      <c r="E1253" s="16" t="s">
        <v>5237</v>
      </c>
      <c r="F1253" s="16" t="s">
        <v>5238</v>
      </c>
      <c r="G1253" s="16" t="s">
        <v>5198</v>
      </c>
      <c r="H1253" s="20" t="s">
        <v>229</v>
      </c>
      <c r="I1253" s="21" t="s">
        <v>70</v>
      </c>
      <c r="J1253" s="22" t="s">
        <v>5239</v>
      </c>
      <c r="K1253" s="23">
        <v>53.0</v>
      </c>
      <c r="L1253" s="24">
        <v>30.0</v>
      </c>
      <c r="M1253" s="24" t="str">
        <f>IFERROR(VLOOKUP(D1253,'Chủ đề bài nguồn'!$A$2:$C$735,3,0),"Khác")</f>
        <v>Doanh nghiệp (tài khoản, vay, tài chính)</v>
      </c>
      <c r="N1253" s="24"/>
    </row>
    <row r="1254">
      <c r="A1254" s="15">
        <v>1252.0</v>
      </c>
      <c r="B1254" s="39" t="s">
        <v>1074</v>
      </c>
      <c r="C1254" s="18" t="s">
        <v>3870</v>
      </c>
      <c r="D1254" s="39" t="s">
        <v>2850</v>
      </c>
      <c r="E1254" s="16" t="s">
        <v>4858</v>
      </c>
      <c r="F1254" s="16" t="s">
        <v>5240</v>
      </c>
      <c r="G1254" s="16" t="s">
        <v>5241</v>
      </c>
      <c r="H1254" s="20" t="s">
        <v>229</v>
      </c>
      <c r="I1254" s="21" t="s">
        <v>70</v>
      </c>
      <c r="J1254" s="22" t="s">
        <v>71</v>
      </c>
      <c r="K1254" s="23">
        <v>53.0</v>
      </c>
      <c r="L1254" s="24">
        <v>31.0</v>
      </c>
      <c r="M1254" s="24" t="str">
        <f>IFERROR(VLOOKUP(D1254,'Chủ đề bài nguồn'!$A$2:$C$735,3,0),"Khác")</f>
        <v>Thị trường &amp; giá cả</v>
      </c>
      <c r="N1254" s="24"/>
    </row>
    <row r="1255">
      <c r="A1255" s="15">
        <v>1253.0</v>
      </c>
      <c r="B1255" s="39" t="s">
        <v>1074</v>
      </c>
      <c r="C1255" s="18" t="s">
        <v>3870</v>
      </c>
      <c r="D1255" s="39" t="s">
        <v>2012</v>
      </c>
      <c r="E1255" s="16" t="s">
        <v>5242</v>
      </c>
      <c r="F1255" s="16" t="s">
        <v>5243</v>
      </c>
      <c r="G1255" s="16" t="s">
        <v>5244</v>
      </c>
      <c r="H1255" s="20" t="s">
        <v>229</v>
      </c>
      <c r="I1255" s="21" t="s">
        <v>70</v>
      </c>
      <c r="J1255" s="22" t="s">
        <v>71</v>
      </c>
      <c r="K1255" s="23">
        <v>53.0</v>
      </c>
      <c r="L1255" s="24">
        <v>31.0</v>
      </c>
      <c r="M1255" s="24" t="str">
        <f>IFERROR(VLOOKUP(D1255,'Chủ đề bài nguồn'!$A$2:$C$735,3,0),"Khác")</f>
        <v>Thanh toán, chuyển khoản &amp; QR</v>
      </c>
      <c r="N1255" s="24"/>
    </row>
    <row r="1256">
      <c r="A1256" s="15">
        <v>1254.0</v>
      </c>
      <c r="B1256" s="16" t="s">
        <v>1074</v>
      </c>
      <c r="C1256" s="18" t="s">
        <v>2011</v>
      </c>
      <c r="D1256" s="16" t="s">
        <v>1165</v>
      </c>
      <c r="E1256" s="16" t="s">
        <v>5245</v>
      </c>
      <c r="F1256" s="16" t="s">
        <v>5246</v>
      </c>
      <c r="G1256" s="16" t="s">
        <v>5247</v>
      </c>
      <c r="H1256" s="20" t="s">
        <v>229</v>
      </c>
      <c r="I1256" s="21" t="s">
        <v>70</v>
      </c>
      <c r="J1256" s="22" t="s">
        <v>5248</v>
      </c>
      <c r="K1256" s="23">
        <v>53.0</v>
      </c>
      <c r="L1256" s="24">
        <v>31.0</v>
      </c>
      <c r="M1256" s="24" t="str">
        <f>IFERROR(VLOOKUP(D1256,'Chủ đề bài nguồn'!$A$2:$C$735,3,0),"Khác")</f>
        <v>Doanh nghiệp (tài khoản, vay, tài chính)</v>
      </c>
      <c r="N1256" s="24"/>
    </row>
    <row r="1257">
      <c r="A1257" s="15">
        <v>1255.0</v>
      </c>
      <c r="B1257" s="16" t="s">
        <v>1074</v>
      </c>
      <c r="C1257" s="18" t="s">
        <v>2011</v>
      </c>
      <c r="D1257" s="16" t="s">
        <v>2906</v>
      </c>
      <c r="E1257" s="16" t="s">
        <v>5249</v>
      </c>
      <c r="F1257" s="16" t="s">
        <v>5250</v>
      </c>
      <c r="G1257" s="16" t="s">
        <v>5251</v>
      </c>
      <c r="H1257" s="20" t="s">
        <v>229</v>
      </c>
      <c r="I1257" s="21" t="s">
        <v>70</v>
      </c>
      <c r="J1257" s="22" t="s">
        <v>71</v>
      </c>
      <c r="K1257" s="23">
        <v>53.0</v>
      </c>
      <c r="L1257" s="24">
        <v>31.0</v>
      </c>
      <c r="M1257" s="24" t="str">
        <f>IFERROR(VLOOKUP(D1257,'Chủ đề bài nguồn'!$A$2:$C$735,3,0),"Khác")</f>
        <v>Doanh nghiệp (tài khoản, vay, tài chính)</v>
      </c>
      <c r="N1257" s="24"/>
    </row>
    <row r="1258">
      <c r="A1258" s="15">
        <v>1256.0</v>
      </c>
      <c r="B1258" s="16" t="s">
        <v>1074</v>
      </c>
      <c r="C1258" s="18" t="s">
        <v>2011</v>
      </c>
      <c r="D1258" s="16" t="s">
        <v>785</v>
      </c>
      <c r="E1258" s="16" t="s">
        <v>1113</v>
      </c>
      <c r="F1258" s="16" t="s">
        <v>5252</v>
      </c>
      <c r="G1258" s="16" t="s">
        <v>5253</v>
      </c>
      <c r="H1258" s="20" t="s">
        <v>229</v>
      </c>
      <c r="I1258" s="21" t="s">
        <v>70</v>
      </c>
      <c r="J1258" s="22" t="s">
        <v>71</v>
      </c>
      <c r="K1258" s="23">
        <v>53.0</v>
      </c>
      <c r="L1258" s="24">
        <v>31.0</v>
      </c>
      <c r="M1258" s="24" t="str">
        <f>IFERROR(VLOOKUP(D1258,'Chủ đề bài nguồn'!$A$2:$C$735,3,0),"Khác")</f>
        <v>Thuế</v>
      </c>
      <c r="N1258" s="24"/>
    </row>
    <row r="1259">
      <c r="A1259" s="15">
        <v>1257.0</v>
      </c>
      <c r="B1259" s="16" t="s">
        <v>1074</v>
      </c>
      <c r="C1259" s="18" t="s">
        <v>2011</v>
      </c>
      <c r="D1259" s="16" t="s">
        <v>598</v>
      </c>
      <c r="E1259" s="16" t="s">
        <v>5254</v>
      </c>
      <c r="F1259" s="16" t="s">
        <v>5255</v>
      </c>
      <c r="G1259" s="16" t="s">
        <v>5256</v>
      </c>
      <c r="H1259" s="20" t="s">
        <v>229</v>
      </c>
      <c r="I1259" s="21" t="s">
        <v>70</v>
      </c>
      <c r="J1259" s="22" t="s">
        <v>71</v>
      </c>
      <c r="K1259" s="23">
        <v>53.0</v>
      </c>
      <c r="L1259" s="24">
        <v>31.0</v>
      </c>
      <c r="M1259" s="24" t="str">
        <f>IFERROR(VLOOKUP(D1259,'Chủ đề bài nguồn'!$A$2:$C$735,3,0),"Khác")</f>
        <v>Thuế</v>
      </c>
      <c r="N1259" s="24"/>
    </row>
    <row r="1260">
      <c r="A1260" s="15">
        <v>1258.0</v>
      </c>
      <c r="B1260" s="16" t="s">
        <v>1074</v>
      </c>
      <c r="C1260" s="18" t="s">
        <v>2011</v>
      </c>
      <c r="D1260" s="16" t="s">
        <v>2860</v>
      </c>
      <c r="E1260" s="16" t="s">
        <v>5257</v>
      </c>
      <c r="F1260" s="16" t="s">
        <v>5258</v>
      </c>
      <c r="G1260" s="16" t="s">
        <v>5259</v>
      </c>
      <c r="H1260" s="20" t="s">
        <v>229</v>
      </c>
      <c r="I1260" s="21" t="s">
        <v>70</v>
      </c>
      <c r="J1260" s="22" t="s">
        <v>71</v>
      </c>
      <c r="K1260" s="23">
        <v>53.0</v>
      </c>
      <c r="L1260" s="24">
        <v>31.0</v>
      </c>
      <c r="M1260" s="24" t="str">
        <f>IFERROR(VLOOKUP(D1260,'Chủ đề bài nguồn'!$A$2:$C$735,3,0),"Khác")</f>
        <v>Hộ kinh doanh &amp; bán hàng</v>
      </c>
      <c r="N1260" s="24"/>
    </row>
    <row r="1261">
      <c r="A1261" s="15">
        <v>1259.0</v>
      </c>
      <c r="B1261" s="16" t="s">
        <v>1090</v>
      </c>
      <c r="C1261" s="18" t="s">
        <v>3892</v>
      </c>
      <c r="D1261" s="16" t="s">
        <v>2162</v>
      </c>
      <c r="E1261" s="16" t="s">
        <v>5260</v>
      </c>
      <c r="F1261" s="16" t="s">
        <v>5261</v>
      </c>
      <c r="G1261" s="16" t="s">
        <v>5262</v>
      </c>
      <c r="H1261" s="20" t="s">
        <v>69</v>
      </c>
      <c r="I1261" s="21" t="s">
        <v>70</v>
      </c>
      <c r="J1261" s="22" t="s">
        <v>71</v>
      </c>
      <c r="K1261" s="23">
        <v>54.0</v>
      </c>
      <c r="L1261" s="24">
        <v>11.0</v>
      </c>
      <c r="M1261" s="24" t="str">
        <f>IFERROR(VLOOKUP(D1261,'Chủ đề bài nguồn'!$A$2:$C$735,3,0),"Khác")</f>
        <v>Hộ kinh doanh &amp; bán hàng</v>
      </c>
      <c r="N1261" s="24"/>
    </row>
    <row r="1262">
      <c r="A1262" s="15">
        <v>1260.0</v>
      </c>
      <c r="B1262" s="16" t="s">
        <v>1090</v>
      </c>
      <c r="C1262" s="18" t="s">
        <v>3892</v>
      </c>
      <c r="D1262" s="16" t="s">
        <v>1973</v>
      </c>
      <c r="E1262" s="16" t="s">
        <v>5263</v>
      </c>
      <c r="F1262" s="16" t="s">
        <v>5264</v>
      </c>
      <c r="G1262" s="16" t="s">
        <v>5265</v>
      </c>
      <c r="H1262" s="20" t="s">
        <v>69</v>
      </c>
      <c r="I1262" s="21" t="s">
        <v>70</v>
      </c>
      <c r="J1262" s="22" t="s">
        <v>71</v>
      </c>
      <c r="K1262" s="23">
        <v>54.0</v>
      </c>
      <c r="L1262" s="24">
        <v>11.0</v>
      </c>
      <c r="M1262" s="24" t="str">
        <f>IFERROR(VLOOKUP(D1262,'Chủ đề bài nguồn'!$A$2:$C$735,3,0),"Khác")</f>
        <v>Ngoại tệ &amp; chuyển tiền quốc tế</v>
      </c>
      <c r="N1262" s="24"/>
    </row>
    <row r="1263">
      <c r="A1263" s="15">
        <v>1261.0</v>
      </c>
      <c r="B1263" s="16" t="s">
        <v>1090</v>
      </c>
      <c r="C1263" s="18" t="s">
        <v>3892</v>
      </c>
      <c r="D1263" s="16" t="s">
        <v>2911</v>
      </c>
      <c r="E1263" s="16" t="s">
        <v>5266</v>
      </c>
      <c r="F1263" s="16" t="s">
        <v>5267</v>
      </c>
      <c r="G1263" s="16" t="s">
        <v>5268</v>
      </c>
      <c r="H1263" s="20" t="s">
        <v>155</v>
      </c>
      <c r="I1263" s="21" t="s">
        <v>70</v>
      </c>
      <c r="J1263" s="22" t="s">
        <v>71</v>
      </c>
      <c r="K1263" s="23">
        <v>54.0</v>
      </c>
      <c r="L1263" s="24">
        <v>21.0</v>
      </c>
      <c r="M1263" s="24" t="str">
        <f>IFERROR(VLOOKUP(D1263,'Chủ đề bài nguồn'!$A$2:$C$735,3,0),"Khác")</f>
        <v>Thanh toán, chuyển khoản &amp; QR</v>
      </c>
      <c r="N1263" s="24"/>
    </row>
    <row r="1264">
      <c r="A1264" s="15">
        <v>1262.0</v>
      </c>
      <c r="B1264" s="16" t="s">
        <v>1090</v>
      </c>
      <c r="C1264" s="18" t="s">
        <v>3892</v>
      </c>
      <c r="D1264" s="16" t="s">
        <v>1670</v>
      </c>
      <c r="E1264" s="16" t="s">
        <v>2601</v>
      </c>
      <c r="F1264" s="16" t="s">
        <v>5269</v>
      </c>
      <c r="G1264" s="16" t="s">
        <v>5270</v>
      </c>
      <c r="H1264" s="20" t="s">
        <v>155</v>
      </c>
      <c r="I1264" s="21" t="s">
        <v>70</v>
      </c>
      <c r="J1264" s="22" t="s">
        <v>71</v>
      </c>
      <c r="K1264" s="23">
        <v>54.0</v>
      </c>
      <c r="L1264" s="24">
        <v>21.0</v>
      </c>
      <c r="M1264" s="24" t="str">
        <f>IFERROR(VLOOKUP(D1264,'Chủ đề bài nguồn'!$A$2:$C$735,3,0),"Khác")</f>
        <v>Thanh toán, chuyển khoản &amp; QR</v>
      </c>
      <c r="N1264" s="24"/>
    </row>
    <row r="1265">
      <c r="A1265" s="15">
        <v>1263.0</v>
      </c>
      <c r="B1265" s="16" t="s">
        <v>1090</v>
      </c>
      <c r="C1265" s="18" t="s">
        <v>3892</v>
      </c>
      <c r="D1265" s="16" t="s">
        <v>2951</v>
      </c>
      <c r="E1265" s="16" t="s">
        <v>2952</v>
      </c>
      <c r="F1265" s="16" t="s">
        <v>5271</v>
      </c>
      <c r="G1265" s="16" t="s">
        <v>5272</v>
      </c>
      <c r="H1265" s="20" t="s">
        <v>155</v>
      </c>
      <c r="I1265" s="21" t="s">
        <v>70</v>
      </c>
      <c r="J1265" s="22" t="s">
        <v>994</v>
      </c>
      <c r="K1265" s="23">
        <v>54.0</v>
      </c>
      <c r="L1265" s="24">
        <v>21.0</v>
      </c>
      <c r="M1265" s="24" t="str">
        <f>IFERROR(VLOOKUP(D1265,'Chủ đề bài nguồn'!$A$2:$C$735,3,0),"Khác")</f>
        <v>Thanh toán, chuyển khoản &amp; QR</v>
      </c>
      <c r="N1265" s="24"/>
    </row>
    <row r="1266">
      <c r="A1266" s="15">
        <v>1264.0</v>
      </c>
      <c r="B1266" s="16" t="s">
        <v>1090</v>
      </c>
      <c r="C1266" s="18" t="s">
        <v>3892</v>
      </c>
      <c r="D1266" s="16" t="s">
        <v>3132</v>
      </c>
      <c r="E1266" s="16" t="s">
        <v>5273</v>
      </c>
      <c r="F1266" s="16" t="s">
        <v>5274</v>
      </c>
      <c r="G1266" s="16" t="s">
        <v>5272</v>
      </c>
      <c r="H1266" s="20" t="s">
        <v>155</v>
      </c>
      <c r="I1266" s="21" t="s">
        <v>70</v>
      </c>
      <c r="J1266" s="22" t="s">
        <v>994</v>
      </c>
      <c r="K1266" s="23">
        <v>54.0</v>
      </c>
      <c r="L1266" s="24">
        <v>21.0</v>
      </c>
      <c r="M1266" s="24" t="str">
        <f>IFERROR(VLOOKUP(D1266,'Chủ đề bài nguồn'!$A$2:$C$735,3,0),"Khác")</f>
        <v>Hộ kinh doanh &amp; bán hàng</v>
      </c>
      <c r="N1266" s="24"/>
    </row>
    <row r="1267">
      <c r="A1267" s="15">
        <v>1265.0</v>
      </c>
      <c r="B1267" s="16" t="s">
        <v>1090</v>
      </c>
      <c r="C1267" s="18" t="s">
        <v>3892</v>
      </c>
      <c r="D1267" s="16" t="s">
        <v>2893</v>
      </c>
      <c r="E1267" s="16" t="s">
        <v>5275</v>
      </c>
      <c r="F1267" s="16" t="s">
        <v>5276</v>
      </c>
      <c r="G1267" s="16" t="s">
        <v>5272</v>
      </c>
      <c r="H1267" s="20" t="s">
        <v>155</v>
      </c>
      <c r="I1267" s="21" t="s">
        <v>70</v>
      </c>
      <c r="J1267" s="22" t="s">
        <v>994</v>
      </c>
      <c r="K1267" s="23">
        <v>54.0</v>
      </c>
      <c r="L1267" s="24">
        <v>21.0</v>
      </c>
      <c r="M1267" s="24" t="str">
        <f>IFERROR(VLOOKUP(D1267,'Chủ đề bài nguồn'!$A$2:$C$735,3,0),"Khác")</f>
        <v>Thanh toán, chuyển khoản &amp; QR</v>
      </c>
      <c r="N1267" s="24"/>
    </row>
    <row r="1268">
      <c r="A1268" s="15">
        <v>1266.0</v>
      </c>
      <c r="B1268" s="16" t="s">
        <v>1090</v>
      </c>
      <c r="C1268" s="18" t="s">
        <v>3892</v>
      </c>
      <c r="D1268" s="16" t="s">
        <v>1343</v>
      </c>
      <c r="E1268" s="16" t="s">
        <v>1344</v>
      </c>
      <c r="F1268" s="16" t="s">
        <v>5277</v>
      </c>
      <c r="G1268" s="16" t="s">
        <v>5278</v>
      </c>
      <c r="H1268" s="20" t="s">
        <v>155</v>
      </c>
      <c r="I1268" s="21" t="s">
        <v>70</v>
      </c>
      <c r="J1268" s="22" t="s">
        <v>71</v>
      </c>
      <c r="K1268" s="23">
        <v>54.0</v>
      </c>
      <c r="L1268" s="24">
        <v>21.0</v>
      </c>
      <c r="M1268" s="24" t="str">
        <f>IFERROR(VLOOKUP(D1268,'Chủ đề bài nguồn'!$A$2:$C$735,3,0),"Khác")</f>
        <v>Thanh toán, chuyển khoản &amp; QR</v>
      </c>
      <c r="N1268" s="24"/>
    </row>
    <row r="1269">
      <c r="A1269" s="15">
        <v>1267.0</v>
      </c>
      <c r="B1269" s="16" t="s">
        <v>1090</v>
      </c>
      <c r="C1269" s="18" t="s">
        <v>3892</v>
      </c>
      <c r="D1269" s="16" t="s">
        <v>2080</v>
      </c>
      <c r="E1269" s="16" t="s">
        <v>5279</v>
      </c>
      <c r="F1269" s="16" t="s">
        <v>5280</v>
      </c>
      <c r="G1269" s="16" t="s">
        <v>5281</v>
      </c>
      <c r="H1269" s="20" t="s">
        <v>155</v>
      </c>
      <c r="I1269" s="21" t="s">
        <v>70</v>
      </c>
      <c r="J1269" s="22" t="s">
        <v>71</v>
      </c>
      <c r="K1269" s="23">
        <v>54.0</v>
      </c>
      <c r="L1269" s="24">
        <v>21.0</v>
      </c>
      <c r="M1269" s="24" t="str">
        <f>IFERROR(VLOOKUP(D1269,'Chủ đề bài nguồn'!$A$2:$C$735,3,0),"Khác")</f>
        <v>Thẻ ATM &amp; thẻ ghi nợ</v>
      </c>
      <c r="N1269" s="24"/>
    </row>
    <row r="1270">
      <c r="A1270" s="15">
        <v>1268.0</v>
      </c>
      <c r="B1270" s="16" t="s">
        <v>1090</v>
      </c>
      <c r="C1270" s="18" t="s">
        <v>3892</v>
      </c>
      <c r="D1270" s="16" t="s">
        <v>1621</v>
      </c>
      <c r="E1270" s="16" t="s">
        <v>5282</v>
      </c>
      <c r="F1270" s="16" t="s">
        <v>5283</v>
      </c>
      <c r="G1270" s="16" t="s">
        <v>5284</v>
      </c>
      <c r="H1270" s="20" t="s">
        <v>155</v>
      </c>
      <c r="I1270" s="21" t="s">
        <v>70</v>
      </c>
      <c r="J1270" s="22" t="s">
        <v>71</v>
      </c>
      <c r="K1270" s="23">
        <v>54.0</v>
      </c>
      <c r="L1270" s="24">
        <v>21.0</v>
      </c>
      <c r="M1270" s="24" t="str">
        <f>IFERROR(VLOOKUP(D1270,'Chủ đề bài nguồn'!$A$2:$C$735,3,0),"Khác")</f>
        <v>Thanh toán, chuyển khoản &amp; QR</v>
      </c>
      <c r="N1270" s="24"/>
    </row>
    <row r="1271">
      <c r="A1271" s="15">
        <v>1269.0</v>
      </c>
      <c r="B1271" s="39" t="s">
        <v>1090</v>
      </c>
      <c r="C1271" s="18" t="s">
        <v>3892</v>
      </c>
      <c r="D1271" s="39" t="s">
        <v>1159</v>
      </c>
      <c r="E1271" s="16" t="s">
        <v>5285</v>
      </c>
      <c r="F1271" s="16" t="s">
        <v>5286</v>
      </c>
      <c r="G1271" s="16" t="s">
        <v>5287</v>
      </c>
      <c r="H1271" s="20" t="s">
        <v>155</v>
      </c>
      <c r="I1271" s="21" t="s">
        <v>70</v>
      </c>
      <c r="J1271" s="22" t="s">
        <v>71</v>
      </c>
      <c r="K1271" s="23">
        <v>54.0</v>
      </c>
      <c r="L1271" s="24">
        <v>21.0</v>
      </c>
      <c r="M1271" s="24" t="str">
        <f>IFERROR(VLOOKUP(D1271,'Chủ đề bài nguồn'!$A$2:$C$735,3,0),"Khác")</f>
        <v>Tài khoản &amp; ngân hàng số</v>
      </c>
      <c r="N1271" s="24"/>
    </row>
    <row r="1272">
      <c r="A1272" s="15">
        <v>1270.0</v>
      </c>
      <c r="B1272" s="39" t="s">
        <v>1090</v>
      </c>
      <c r="C1272" s="18" t="s">
        <v>3892</v>
      </c>
      <c r="D1272" s="39" t="s">
        <v>2775</v>
      </c>
      <c r="E1272" s="16" t="s">
        <v>5148</v>
      </c>
      <c r="F1272" s="16" t="s">
        <v>5288</v>
      </c>
      <c r="G1272" s="16" t="s">
        <v>5289</v>
      </c>
      <c r="H1272" s="20" t="s">
        <v>155</v>
      </c>
      <c r="I1272" s="21" t="s">
        <v>70</v>
      </c>
      <c r="J1272" s="22" t="s">
        <v>71</v>
      </c>
      <c r="K1272" s="23">
        <v>54.0</v>
      </c>
      <c r="L1272" s="24">
        <v>21.0</v>
      </c>
      <c r="M1272" s="24" t="str">
        <f>IFERROR(VLOOKUP(D1272,'Chủ đề bài nguồn'!$A$2:$C$735,3,0),"Khác")</f>
        <v>Hộ kinh doanh &amp; bán hàng</v>
      </c>
      <c r="N1272" s="24"/>
    </row>
    <row r="1273">
      <c r="A1273" s="15">
        <v>1271.0</v>
      </c>
      <c r="B1273" s="16" t="s">
        <v>1090</v>
      </c>
      <c r="C1273" s="18" t="s">
        <v>2035</v>
      </c>
      <c r="D1273" s="16" t="s">
        <v>2958</v>
      </c>
      <c r="E1273" s="16" t="s">
        <v>5290</v>
      </c>
      <c r="F1273" s="16" t="s">
        <v>5291</v>
      </c>
      <c r="G1273" s="16" t="s">
        <v>5292</v>
      </c>
      <c r="H1273" s="20" t="s">
        <v>155</v>
      </c>
      <c r="I1273" s="21" t="s">
        <v>70</v>
      </c>
      <c r="J1273" s="22" t="s">
        <v>71</v>
      </c>
      <c r="K1273" s="23">
        <v>54.0</v>
      </c>
      <c r="L1273" s="24">
        <v>21.0</v>
      </c>
      <c r="M1273" s="24" t="str">
        <f>IFERROR(VLOOKUP(D1273,'Chủ đề bài nguồn'!$A$2:$C$735,3,0),"Khác")</f>
        <v>Thanh toán, chuyển khoản &amp; QR</v>
      </c>
      <c r="N1273" s="24"/>
    </row>
    <row r="1274">
      <c r="A1274" s="15">
        <v>1272.0</v>
      </c>
      <c r="B1274" s="16" t="s">
        <v>1090</v>
      </c>
      <c r="C1274" s="18" t="s">
        <v>2035</v>
      </c>
      <c r="D1274" s="16" t="s">
        <v>3007</v>
      </c>
      <c r="E1274" s="16" t="s">
        <v>5293</v>
      </c>
      <c r="F1274" s="16" t="s">
        <v>5294</v>
      </c>
      <c r="G1274" s="16" t="s">
        <v>5295</v>
      </c>
      <c r="H1274" s="20" t="s">
        <v>155</v>
      </c>
      <c r="I1274" s="21" t="s">
        <v>70</v>
      </c>
      <c r="J1274" s="22" t="s">
        <v>71</v>
      </c>
      <c r="K1274" s="23">
        <v>54.0</v>
      </c>
      <c r="L1274" s="24">
        <v>21.0</v>
      </c>
      <c r="M1274" s="24" t="str">
        <f>IFERROR(VLOOKUP(D1274,'Chủ đề bài nguồn'!$A$2:$C$735,3,0),"Khác")</f>
        <v>Hộ kinh doanh &amp; bán hàng</v>
      </c>
      <c r="N1274" s="24"/>
    </row>
    <row r="1275">
      <c r="A1275" s="15">
        <v>1273.0</v>
      </c>
      <c r="B1275" s="16" t="s">
        <v>1090</v>
      </c>
      <c r="C1275" s="18" t="s">
        <v>2035</v>
      </c>
      <c r="D1275" s="16" t="s">
        <v>2998</v>
      </c>
      <c r="E1275" s="16" t="s">
        <v>5296</v>
      </c>
      <c r="F1275" s="16" t="s">
        <v>5297</v>
      </c>
      <c r="G1275" s="16" t="s">
        <v>5298</v>
      </c>
      <c r="H1275" s="20" t="s">
        <v>155</v>
      </c>
      <c r="I1275" s="21" t="s">
        <v>70</v>
      </c>
      <c r="J1275" s="22" t="s">
        <v>5299</v>
      </c>
      <c r="K1275" s="23">
        <v>54.0</v>
      </c>
      <c r="L1275" s="24">
        <v>21.0</v>
      </c>
      <c r="M1275" s="24" t="str">
        <f>IFERROR(VLOOKUP(D1275,'Chủ đề bài nguồn'!$A$2:$C$735,3,0),"Khác")</f>
        <v>Thanh toán, chuyển khoản &amp; QR</v>
      </c>
      <c r="N1275" s="24"/>
    </row>
    <row r="1276">
      <c r="A1276" s="15">
        <v>1274.0</v>
      </c>
      <c r="B1276" s="16" t="s">
        <v>1090</v>
      </c>
      <c r="C1276" s="18" t="s">
        <v>2035</v>
      </c>
      <c r="D1276" s="16" t="s">
        <v>3119</v>
      </c>
      <c r="E1276" s="16" t="s">
        <v>5300</v>
      </c>
      <c r="F1276" s="16" t="s">
        <v>5301</v>
      </c>
      <c r="G1276" s="16" t="s">
        <v>5302</v>
      </c>
      <c r="H1276" s="20" t="s">
        <v>155</v>
      </c>
      <c r="I1276" s="21" t="s">
        <v>70</v>
      </c>
      <c r="J1276" s="22" t="s">
        <v>71</v>
      </c>
      <c r="K1276" s="23">
        <v>54.0</v>
      </c>
      <c r="L1276" s="24">
        <v>21.0</v>
      </c>
      <c r="M1276" s="24" t="str">
        <f>IFERROR(VLOOKUP(D1276,'Chủ đề bài nguồn'!$A$2:$C$735,3,0),"Khác")</f>
        <v>Thanh toán, chuyển khoản &amp; QR</v>
      </c>
      <c r="N1276" s="24"/>
    </row>
    <row r="1277">
      <c r="A1277" s="15">
        <v>1275.0</v>
      </c>
      <c r="B1277" s="16" t="s">
        <v>1090</v>
      </c>
      <c r="C1277" s="18" t="s">
        <v>2035</v>
      </c>
      <c r="D1277" s="16" t="s">
        <v>3084</v>
      </c>
      <c r="E1277" s="16" t="s">
        <v>5303</v>
      </c>
      <c r="F1277" s="16" t="s">
        <v>5304</v>
      </c>
      <c r="G1277" s="16" t="s">
        <v>5272</v>
      </c>
      <c r="H1277" s="20" t="s">
        <v>155</v>
      </c>
      <c r="I1277" s="21" t="s">
        <v>70</v>
      </c>
      <c r="J1277" s="22" t="s">
        <v>994</v>
      </c>
      <c r="K1277" s="23">
        <v>54.0</v>
      </c>
      <c r="L1277" s="24">
        <v>21.0</v>
      </c>
      <c r="M1277" s="24" t="str">
        <f>IFERROR(VLOOKUP(D1277,'Chủ đề bài nguồn'!$A$2:$C$735,3,0),"Khác")</f>
        <v>Doanh nghiệp (tài khoản, vay, tài chính)</v>
      </c>
      <c r="N1277" s="24"/>
    </row>
    <row r="1278">
      <c r="A1278" s="15">
        <v>1276.0</v>
      </c>
      <c r="B1278" s="16" t="s">
        <v>1090</v>
      </c>
      <c r="C1278" s="18" t="s">
        <v>2035</v>
      </c>
      <c r="D1278" s="16" t="s">
        <v>3086</v>
      </c>
      <c r="E1278" s="16" t="s">
        <v>5305</v>
      </c>
      <c r="F1278" s="16" t="s">
        <v>5306</v>
      </c>
      <c r="G1278" s="16" t="s">
        <v>5272</v>
      </c>
      <c r="H1278" s="20" t="s">
        <v>155</v>
      </c>
      <c r="I1278" s="21" t="s">
        <v>70</v>
      </c>
      <c r="J1278" s="22" t="s">
        <v>71</v>
      </c>
      <c r="K1278" s="23">
        <v>54.0</v>
      </c>
      <c r="L1278" s="24">
        <v>21.0</v>
      </c>
      <c r="M1278" s="24" t="str">
        <f>IFERROR(VLOOKUP(D1278,'Chủ đề bài nguồn'!$A$2:$C$735,3,0),"Khác")</f>
        <v>Hộ kinh doanh &amp; bán hàng</v>
      </c>
      <c r="N1278" s="24"/>
    </row>
    <row r="1279">
      <c r="A1279" s="15">
        <v>1277.0</v>
      </c>
      <c r="B1279" s="16" t="s">
        <v>1090</v>
      </c>
      <c r="C1279" s="18" t="s">
        <v>2035</v>
      </c>
      <c r="D1279" s="16" t="s">
        <v>1369</v>
      </c>
      <c r="E1279" s="16" t="s">
        <v>5307</v>
      </c>
      <c r="F1279" s="16" t="s">
        <v>5308</v>
      </c>
      <c r="G1279" s="16" t="s">
        <v>5309</v>
      </c>
      <c r="H1279" s="20" t="s">
        <v>155</v>
      </c>
      <c r="I1279" s="21" t="s">
        <v>70</v>
      </c>
      <c r="J1279" s="22" t="s">
        <v>71</v>
      </c>
      <c r="K1279" s="23">
        <v>54.0</v>
      </c>
      <c r="L1279" s="24">
        <v>21.0</v>
      </c>
      <c r="M1279" s="24" t="str">
        <f>IFERROR(VLOOKUP(D1279,'Chủ đề bài nguồn'!$A$2:$C$735,3,0),"Khác")</f>
        <v>Thanh toán, chuyển khoản &amp; QR</v>
      </c>
      <c r="N1279" s="24"/>
    </row>
    <row r="1280">
      <c r="A1280" s="15">
        <v>1278.0</v>
      </c>
      <c r="B1280" s="16" t="s">
        <v>1090</v>
      </c>
      <c r="C1280" s="18" t="s">
        <v>2035</v>
      </c>
      <c r="D1280" s="16" t="s">
        <v>1639</v>
      </c>
      <c r="E1280" s="16" t="s">
        <v>1986</v>
      </c>
      <c r="F1280" s="16" t="s">
        <v>5310</v>
      </c>
      <c r="G1280" s="16" t="s">
        <v>5311</v>
      </c>
      <c r="H1280" s="20" t="s">
        <v>155</v>
      </c>
      <c r="I1280" s="21" t="s">
        <v>70</v>
      </c>
      <c r="J1280" s="22" t="s">
        <v>71</v>
      </c>
      <c r="K1280" s="23">
        <v>54.0</v>
      </c>
      <c r="L1280" s="24">
        <v>21.0</v>
      </c>
      <c r="M1280" s="24" t="str">
        <f>IFERROR(VLOOKUP(D1280,'Chủ đề bài nguồn'!$A$2:$C$735,3,0),"Khác")</f>
        <v>Thanh toán, chuyển khoản &amp; QR</v>
      </c>
      <c r="N1280" s="24"/>
    </row>
    <row r="1281">
      <c r="A1281" s="15">
        <v>1279.0</v>
      </c>
      <c r="B1281" s="16" t="s">
        <v>1090</v>
      </c>
      <c r="C1281" s="18" t="s">
        <v>3892</v>
      </c>
      <c r="D1281" s="16" t="s">
        <v>660</v>
      </c>
      <c r="E1281" s="16" t="s">
        <v>5312</v>
      </c>
      <c r="F1281" s="16" t="s">
        <v>5313</v>
      </c>
      <c r="G1281" s="16" t="s">
        <v>5272</v>
      </c>
      <c r="H1281" s="20" t="s">
        <v>229</v>
      </c>
      <c r="I1281" s="21" t="s">
        <v>70</v>
      </c>
      <c r="J1281" s="22" t="s">
        <v>71</v>
      </c>
      <c r="K1281" s="23">
        <v>54.0</v>
      </c>
      <c r="L1281" s="24">
        <v>31.0</v>
      </c>
      <c r="M1281" s="24" t="str">
        <f>IFERROR(VLOOKUP(D1281,'Chủ đề bài nguồn'!$A$2:$C$735,3,0),"Khác")</f>
        <v>Hộ kinh doanh &amp; bán hàng</v>
      </c>
      <c r="N1281" s="24"/>
    </row>
    <row r="1282">
      <c r="A1282" s="15">
        <v>1280.0</v>
      </c>
      <c r="B1282" s="16" t="s">
        <v>1090</v>
      </c>
      <c r="C1282" s="18" t="s">
        <v>3892</v>
      </c>
      <c r="D1282" s="16" t="s">
        <v>2012</v>
      </c>
      <c r="E1282" s="16" t="s">
        <v>5314</v>
      </c>
      <c r="F1282" s="16" t="s">
        <v>5315</v>
      </c>
      <c r="G1282" s="16" t="s">
        <v>5316</v>
      </c>
      <c r="H1282" s="20" t="s">
        <v>229</v>
      </c>
      <c r="I1282" s="21" t="s">
        <v>70</v>
      </c>
      <c r="J1282" s="22" t="s">
        <v>71</v>
      </c>
      <c r="K1282" s="23">
        <v>54.0</v>
      </c>
      <c r="L1282" s="24">
        <v>31.0</v>
      </c>
      <c r="M1282" s="24" t="str">
        <f>IFERROR(VLOOKUP(D1282,'Chủ đề bài nguồn'!$A$2:$C$735,3,0),"Khác")</f>
        <v>Thanh toán, chuyển khoản &amp; QR</v>
      </c>
      <c r="N1282" s="24"/>
    </row>
    <row r="1283">
      <c r="A1283" s="15">
        <v>1281.0</v>
      </c>
      <c r="B1283" s="16" t="s">
        <v>1090</v>
      </c>
      <c r="C1283" s="18" t="s">
        <v>2035</v>
      </c>
      <c r="D1283" s="16" t="s">
        <v>3083</v>
      </c>
      <c r="E1283" s="16" t="s">
        <v>5317</v>
      </c>
      <c r="F1283" s="16" t="s">
        <v>5318</v>
      </c>
      <c r="G1283" s="16" t="s">
        <v>5272</v>
      </c>
      <c r="H1283" s="20" t="s">
        <v>229</v>
      </c>
      <c r="I1283" s="21" t="s">
        <v>70</v>
      </c>
      <c r="J1283" s="22" t="s">
        <v>71</v>
      </c>
      <c r="K1283" s="23">
        <v>54.0</v>
      </c>
      <c r="L1283" s="24">
        <v>31.0</v>
      </c>
      <c r="M1283" s="24" t="str">
        <f>IFERROR(VLOOKUP(D1283,'Chủ đề bài nguồn'!$A$2:$C$735,3,0),"Khác")</f>
        <v>Hộ kinh doanh &amp; bán hàng</v>
      </c>
      <c r="N1283" s="24"/>
    </row>
    <row r="1284">
      <c r="A1284" s="15">
        <v>1282.0</v>
      </c>
      <c r="B1284" s="16" t="s">
        <v>1090</v>
      </c>
      <c r="C1284" s="18" t="s">
        <v>2035</v>
      </c>
      <c r="D1284" s="16" t="s">
        <v>2907</v>
      </c>
      <c r="E1284" s="16" t="s">
        <v>5319</v>
      </c>
      <c r="F1284" s="16" t="s">
        <v>5320</v>
      </c>
      <c r="G1284" s="16" t="s">
        <v>5321</v>
      </c>
      <c r="H1284" s="20" t="s">
        <v>229</v>
      </c>
      <c r="I1284" s="21" t="s">
        <v>70</v>
      </c>
      <c r="J1284" s="22" t="s">
        <v>71</v>
      </c>
      <c r="K1284" s="23">
        <v>54.0</v>
      </c>
      <c r="L1284" s="24">
        <v>31.0</v>
      </c>
      <c r="M1284" s="24" t="str">
        <f>IFERROR(VLOOKUP(D1284,'Chủ đề bài nguồn'!$A$2:$C$735,3,0),"Khác")</f>
        <v>Thanh toán, chuyển khoản &amp; QR</v>
      </c>
      <c r="N1284" s="24"/>
    </row>
    <row r="1285">
      <c r="A1285" s="15">
        <v>1283.0</v>
      </c>
      <c r="B1285" s="16" t="s">
        <v>1090</v>
      </c>
      <c r="C1285" s="18" t="s">
        <v>2035</v>
      </c>
      <c r="D1285" s="16" t="s">
        <v>665</v>
      </c>
      <c r="E1285" s="16" t="s">
        <v>5322</v>
      </c>
      <c r="F1285" s="16" t="s">
        <v>5323</v>
      </c>
      <c r="G1285" s="16" t="s">
        <v>5324</v>
      </c>
      <c r="H1285" s="20" t="s">
        <v>229</v>
      </c>
      <c r="I1285" s="21" t="s">
        <v>70</v>
      </c>
      <c r="J1285" s="22" t="s">
        <v>71</v>
      </c>
      <c r="K1285" s="23">
        <v>54.0</v>
      </c>
      <c r="L1285" s="24">
        <v>31.0</v>
      </c>
      <c r="M1285" s="24" t="str">
        <f>IFERROR(VLOOKUP(D1285,'Chủ đề bài nguồn'!$A$2:$C$735,3,0),"Khác")</f>
        <v>Hộ kinh doanh &amp; bán hàng</v>
      </c>
      <c r="N1285" s="24"/>
    </row>
    <row r="1286">
      <c r="A1286" s="15">
        <v>1284.0</v>
      </c>
      <c r="B1286" s="16" t="s">
        <v>1090</v>
      </c>
      <c r="C1286" s="18" t="s">
        <v>2035</v>
      </c>
      <c r="D1286" s="16" t="s">
        <v>1980</v>
      </c>
      <c r="E1286" s="16" t="s">
        <v>5325</v>
      </c>
      <c r="F1286" s="16" t="s">
        <v>5326</v>
      </c>
      <c r="G1286" s="16" t="s">
        <v>5327</v>
      </c>
      <c r="H1286" s="20" t="s">
        <v>229</v>
      </c>
      <c r="I1286" s="21" t="s">
        <v>70</v>
      </c>
      <c r="J1286" s="22" t="s">
        <v>71</v>
      </c>
      <c r="K1286" s="23">
        <v>54.0</v>
      </c>
      <c r="L1286" s="24">
        <v>31.0</v>
      </c>
      <c r="M1286" s="24" t="str">
        <f>IFERROR(VLOOKUP(D1286,'Chủ đề bài nguồn'!$A$2:$C$735,3,0),"Khác")</f>
        <v>Hộ kinh doanh &amp; bán hàng</v>
      </c>
      <c r="N1286" s="24"/>
    </row>
    <row r="1287">
      <c r="A1287" s="15">
        <v>1285.0</v>
      </c>
      <c r="B1287" s="16" t="s">
        <v>1100</v>
      </c>
      <c r="C1287" s="18" t="s">
        <v>2057</v>
      </c>
      <c r="D1287" s="16" t="s">
        <v>3143</v>
      </c>
      <c r="E1287" s="16" t="s">
        <v>5328</v>
      </c>
      <c r="F1287" s="16" t="s">
        <v>5329</v>
      </c>
      <c r="G1287" s="16" t="s">
        <v>5330</v>
      </c>
      <c r="H1287" s="20" t="s">
        <v>69</v>
      </c>
      <c r="I1287" s="21" t="s">
        <v>70</v>
      </c>
      <c r="J1287" s="22" t="s">
        <v>71</v>
      </c>
      <c r="K1287" s="23">
        <v>55.0</v>
      </c>
      <c r="L1287" s="24">
        <v>10.0</v>
      </c>
      <c r="M1287" s="24" t="str">
        <f>IFERROR(VLOOKUP(D1287,'Chủ đề bài nguồn'!$A$2:$C$735,3,0),"Khác")</f>
        <v>Hộ kinh doanh &amp; bán hàng</v>
      </c>
      <c r="N1287" s="24"/>
    </row>
    <row r="1288">
      <c r="A1288" s="15">
        <v>1286.0</v>
      </c>
      <c r="B1288" s="16" t="s">
        <v>1100</v>
      </c>
      <c r="C1288" s="18" t="s">
        <v>2057</v>
      </c>
      <c r="D1288" s="16" t="s">
        <v>915</v>
      </c>
      <c r="E1288" s="16" t="s">
        <v>5331</v>
      </c>
      <c r="F1288" s="16" t="s">
        <v>5329</v>
      </c>
      <c r="G1288" s="16" t="s">
        <v>5330</v>
      </c>
      <c r="H1288" s="20" t="s">
        <v>69</v>
      </c>
      <c r="I1288" s="21" t="s">
        <v>70</v>
      </c>
      <c r="J1288" s="22" t="s">
        <v>71</v>
      </c>
      <c r="K1288" s="23">
        <v>55.0</v>
      </c>
      <c r="L1288" s="24">
        <v>10.0</v>
      </c>
      <c r="M1288" s="24" t="str">
        <f>IFERROR(VLOOKUP(D1288,'Chủ đề bài nguồn'!$A$2:$C$735,3,0),"Khác")</f>
        <v>Hộ kinh doanh &amp; bán hàng</v>
      </c>
      <c r="N1288" s="24"/>
    </row>
    <row r="1289">
      <c r="A1289" s="15">
        <v>1287.0</v>
      </c>
      <c r="B1289" s="16" t="s">
        <v>1100</v>
      </c>
      <c r="C1289" s="18" t="s">
        <v>2057</v>
      </c>
      <c r="D1289" s="16" t="s">
        <v>1666</v>
      </c>
      <c r="E1289" s="16" t="s">
        <v>5332</v>
      </c>
      <c r="F1289" s="16" t="s">
        <v>5329</v>
      </c>
      <c r="G1289" s="16" t="s">
        <v>5330</v>
      </c>
      <c r="H1289" s="20" t="s">
        <v>69</v>
      </c>
      <c r="I1289" s="21" t="s">
        <v>70</v>
      </c>
      <c r="J1289" s="22" t="s">
        <v>71</v>
      </c>
      <c r="K1289" s="23">
        <v>55.0</v>
      </c>
      <c r="L1289" s="24">
        <v>10.0</v>
      </c>
      <c r="M1289" s="24" t="str">
        <f>IFERROR(VLOOKUP(D1289,'Chủ đề bài nguồn'!$A$2:$C$735,3,0),"Khác")</f>
        <v>Thuế</v>
      </c>
      <c r="N1289" s="24"/>
    </row>
    <row r="1290">
      <c r="A1290" s="15">
        <v>1288.0</v>
      </c>
      <c r="B1290" s="16" t="s">
        <v>1100</v>
      </c>
      <c r="C1290" s="18" t="s">
        <v>2057</v>
      </c>
      <c r="D1290" s="16" t="s">
        <v>1105</v>
      </c>
      <c r="E1290" s="16" t="s">
        <v>5333</v>
      </c>
      <c r="F1290" s="16" t="s">
        <v>5334</v>
      </c>
      <c r="G1290" s="16" t="s">
        <v>5335</v>
      </c>
      <c r="H1290" s="20" t="s">
        <v>69</v>
      </c>
      <c r="I1290" s="21" t="s">
        <v>70</v>
      </c>
      <c r="J1290" s="22" t="s">
        <v>71</v>
      </c>
      <c r="K1290" s="23">
        <v>55.0</v>
      </c>
      <c r="L1290" s="24">
        <v>10.0</v>
      </c>
      <c r="M1290" s="24" t="str">
        <f>IFERROR(VLOOKUP(D1290,'Chủ đề bài nguồn'!$A$2:$C$735,3,0),"Khác")</f>
        <v>Thuế</v>
      </c>
      <c r="N1290" s="24"/>
    </row>
    <row r="1291">
      <c r="A1291" s="15">
        <v>1289.0</v>
      </c>
      <c r="B1291" s="16" t="s">
        <v>1100</v>
      </c>
      <c r="C1291" s="18" t="s">
        <v>2057</v>
      </c>
      <c r="D1291" s="16" t="s">
        <v>568</v>
      </c>
      <c r="E1291" s="16" t="s">
        <v>5336</v>
      </c>
      <c r="F1291" s="16" t="s">
        <v>5329</v>
      </c>
      <c r="G1291" s="16" t="s">
        <v>5330</v>
      </c>
      <c r="H1291" s="20" t="s">
        <v>69</v>
      </c>
      <c r="I1291" s="21" t="s">
        <v>70</v>
      </c>
      <c r="J1291" s="22" t="s">
        <v>71</v>
      </c>
      <c r="K1291" s="23">
        <v>55.0</v>
      </c>
      <c r="L1291" s="24">
        <v>10.0</v>
      </c>
      <c r="M1291" s="24" t="str">
        <f>IFERROR(VLOOKUP(D1291,'Chủ đề bài nguồn'!$A$2:$C$735,3,0),"Khác")</f>
        <v>Thuế</v>
      </c>
      <c r="N1291" s="24"/>
    </row>
    <row r="1292">
      <c r="A1292" s="15">
        <v>1290.0</v>
      </c>
      <c r="B1292" s="16" t="s">
        <v>1100</v>
      </c>
      <c r="C1292" s="18" t="s">
        <v>3938</v>
      </c>
      <c r="D1292" s="16" t="s">
        <v>610</v>
      </c>
      <c r="E1292" s="16" t="s">
        <v>5142</v>
      </c>
      <c r="F1292" s="16" t="s">
        <v>5329</v>
      </c>
      <c r="G1292" s="16" t="s">
        <v>5337</v>
      </c>
      <c r="H1292" s="20" t="s">
        <v>69</v>
      </c>
      <c r="I1292" s="21" t="s">
        <v>70</v>
      </c>
      <c r="J1292" s="22" t="s">
        <v>71</v>
      </c>
      <c r="K1292" s="23">
        <v>55.0</v>
      </c>
      <c r="L1292" s="24">
        <v>10.0</v>
      </c>
      <c r="M1292" s="24" t="str">
        <f>IFERROR(VLOOKUP(D1292,'Chủ đề bài nguồn'!$A$2:$C$735,3,0),"Khác")</f>
        <v>Thuế</v>
      </c>
      <c r="N1292" s="24"/>
    </row>
    <row r="1293">
      <c r="A1293" s="15">
        <v>1291.0</v>
      </c>
      <c r="B1293" s="16" t="s">
        <v>1100</v>
      </c>
      <c r="C1293" s="18" t="s">
        <v>3938</v>
      </c>
      <c r="D1293" s="16" t="s">
        <v>2104</v>
      </c>
      <c r="E1293" s="16" t="s">
        <v>5338</v>
      </c>
      <c r="F1293" s="16" t="s">
        <v>5339</v>
      </c>
      <c r="G1293" s="16" t="s">
        <v>5337</v>
      </c>
      <c r="H1293" s="20" t="s">
        <v>69</v>
      </c>
      <c r="I1293" s="21" t="s">
        <v>70</v>
      </c>
      <c r="J1293" s="22" t="s">
        <v>71</v>
      </c>
      <c r="K1293" s="23">
        <v>55.0</v>
      </c>
      <c r="L1293" s="24">
        <v>10.0</v>
      </c>
      <c r="M1293" s="24" t="str">
        <f>IFERROR(VLOOKUP(D1293,'Chủ đề bài nguồn'!$A$2:$C$735,3,0),"Khác")</f>
        <v>Hộ kinh doanh &amp; bán hàng</v>
      </c>
      <c r="N1293" s="24"/>
    </row>
    <row r="1294">
      <c r="A1294" s="15">
        <v>1292.0</v>
      </c>
      <c r="B1294" s="16" t="s">
        <v>1100</v>
      </c>
      <c r="C1294" s="18" t="s">
        <v>3938</v>
      </c>
      <c r="D1294" s="16" t="s">
        <v>627</v>
      </c>
      <c r="E1294" s="16" t="s">
        <v>5340</v>
      </c>
      <c r="F1294" s="16" t="s">
        <v>5341</v>
      </c>
      <c r="G1294" s="16" t="s">
        <v>5342</v>
      </c>
      <c r="H1294" s="20" t="s">
        <v>69</v>
      </c>
      <c r="I1294" s="21" t="s">
        <v>70</v>
      </c>
      <c r="J1294" s="22" t="s">
        <v>5343</v>
      </c>
      <c r="K1294" s="23">
        <v>55.0</v>
      </c>
      <c r="L1294" s="24">
        <v>10.0</v>
      </c>
      <c r="M1294" s="24" t="str">
        <f>IFERROR(VLOOKUP(D1294,'Chủ đề bài nguồn'!$A$2:$C$735,3,0),"Khác")</f>
        <v>Thuế</v>
      </c>
      <c r="N1294" s="24"/>
    </row>
    <row r="1295">
      <c r="A1295" s="15">
        <v>1293.0</v>
      </c>
      <c r="B1295" s="16" t="s">
        <v>1100</v>
      </c>
      <c r="C1295" s="18" t="s">
        <v>3938</v>
      </c>
      <c r="D1295" s="16" t="s">
        <v>3216</v>
      </c>
      <c r="E1295" s="16" t="s">
        <v>5344</v>
      </c>
      <c r="F1295" s="16" t="s">
        <v>5345</v>
      </c>
      <c r="G1295" s="16" t="s">
        <v>5337</v>
      </c>
      <c r="H1295" s="20" t="s">
        <v>69</v>
      </c>
      <c r="I1295" s="21" t="s">
        <v>70</v>
      </c>
      <c r="J1295" s="22" t="s">
        <v>71</v>
      </c>
      <c r="K1295" s="23">
        <v>55.0</v>
      </c>
      <c r="L1295" s="24">
        <v>10.0</v>
      </c>
      <c r="M1295" s="24" t="str">
        <f>IFERROR(VLOOKUP(D1295,'Chủ đề bài nguồn'!$A$2:$C$735,3,0),"Khác")</f>
        <v>Hộ kinh doanh &amp; bán hàng</v>
      </c>
      <c r="N1295" s="24"/>
    </row>
    <row r="1296">
      <c r="A1296" s="15">
        <v>1294.0</v>
      </c>
      <c r="B1296" s="16" t="s">
        <v>1100</v>
      </c>
      <c r="C1296" s="18" t="s">
        <v>3938</v>
      </c>
      <c r="D1296" s="16" t="s">
        <v>2580</v>
      </c>
      <c r="E1296" s="16" t="s">
        <v>5176</v>
      </c>
      <c r="F1296" s="16" t="s">
        <v>5329</v>
      </c>
      <c r="G1296" s="16" t="s">
        <v>5337</v>
      </c>
      <c r="H1296" s="20" t="s">
        <v>69</v>
      </c>
      <c r="I1296" s="21" t="s">
        <v>70</v>
      </c>
      <c r="J1296" s="22" t="s">
        <v>71</v>
      </c>
      <c r="K1296" s="23">
        <v>55.0</v>
      </c>
      <c r="L1296" s="24">
        <v>10.0</v>
      </c>
      <c r="M1296" s="24" t="str">
        <f>IFERROR(VLOOKUP(D1296,'Chủ đề bài nguồn'!$A$2:$C$735,3,0),"Khác")</f>
        <v>Hộ kinh doanh &amp; bán hàng</v>
      </c>
      <c r="N1296" s="24"/>
    </row>
    <row r="1297">
      <c r="A1297" s="15">
        <v>1295.0</v>
      </c>
      <c r="B1297" s="16" t="s">
        <v>1100</v>
      </c>
      <c r="C1297" s="18" t="s">
        <v>3938</v>
      </c>
      <c r="D1297" s="16" t="s">
        <v>972</v>
      </c>
      <c r="E1297" s="16" t="s">
        <v>5346</v>
      </c>
      <c r="F1297" s="16" t="s">
        <v>5334</v>
      </c>
      <c r="G1297" s="16" t="s">
        <v>5337</v>
      </c>
      <c r="H1297" s="20" t="s">
        <v>69</v>
      </c>
      <c r="I1297" s="21" t="s">
        <v>70</v>
      </c>
      <c r="J1297" s="22" t="s">
        <v>71</v>
      </c>
      <c r="K1297" s="23">
        <v>55.0</v>
      </c>
      <c r="L1297" s="24">
        <v>10.0</v>
      </c>
      <c r="M1297" s="24" t="str">
        <f>IFERROR(VLOOKUP(D1297,'Chủ đề bài nguồn'!$A$2:$C$735,3,0),"Khác")</f>
        <v>Thuế</v>
      </c>
      <c r="N1297" s="24"/>
    </row>
    <row r="1298">
      <c r="A1298" s="15">
        <v>1296.0</v>
      </c>
      <c r="B1298" s="16" t="s">
        <v>1100</v>
      </c>
      <c r="C1298" s="18" t="s">
        <v>3938</v>
      </c>
      <c r="D1298" s="16" t="s">
        <v>1480</v>
      </c>
      <c r="E1298" s="16" t="s">
        <v>5347</v>
      </c>
      <c r="F1298" s="16" t="s">
        <v>5348</v>
      </c>
      <c r="G1298" s="16" t="s">
        <v>5349</v>
      </c>
      <c r="H1298" s="20" t="s">
        <v>69</v>
      </c>
      <c r="I1298" s="21" t="s">
        <v>70</v>
      </c>
      <c r="J1298" s="22" t="s">
        <v>71</v>
      </c>
      <c r="K1298" s="23">
        <v>55.0</v>
      </c>
      <c r="L1298" s="24">
        <v>10.0</v>
      </c>
      <c r="M1298" s="24" t="str">
        <f>IFERROR(VLOOKUP(D1298,'Chủ đề bài nguồn'!$A$2:$C$735,3,0),"Khác")</f>
        <v>Hộ kinh doanh &amp; bán hàng</v>
      </c>
      <c r="N1298" s="24"/>
    </row>
    <row r="1299">
      <c r="A1299" s="15">
        <v>1297.0</v>
      </c>
      <c r="B1299" s="16" t="s">
        <v>1100</v>
      </c>
      <c r="C1299" s="18" t="s">
        <v>3938</v>
      </c>
      <c r="D1299" s="16" t="s">
        <v>607</v>
      </c>
      <c r="E1299" s="16" t="s">
        <v>5105</v>
      </c>
      <c r="F1299" s="16" t="s">
        <v>5329</v>
      </c>
      <c r="G1299" s="16" t="s">
        <v>5337</v>
      </c>
      <c r="H1299" s="20" t="s">
        <v>69</v>
      </c>
      <c r="I1299" s="21" t="s">
        <v>70</v>
      </c>
      <c r="J1299" s="22" t="s">
        <v>71</v>
      </c>
      <c r="K1299" s="23">
        <v>55.0</v>
      </c>
      <c r="L1299" s="24">
        <v>10.0</v>
      </c>
      <c r="M1299" s="24" t="str">
        <f>IFERROR(VLOOKUP(D1299,'Chủ đề bài nguồn'!$A$2:$C$735,3,0),"Khác")</f>
        <v>Thuế</v>
      </c>
      <c r="N1299" s="24"/>
    </row>
    <row r="1300">
      <c r="A1300" s="15">
        <v>1298.0</v>
      </c>
      <c r="B1300" s="39" t="s">
        <v>1100</v>
      </c>
      <c r="C1300" s="18" t="s">
        <v>2057</v>
      </c>
      <c r="D1300" s="39" t="s">
        <v>3005</v>
      </c>
      <c r="E1300" s="16" t="s">
        <v>5350</v>
      </c>
      <c r="F1300" s="16" t="s">
        <v>5329</v>
      </c>
      <c r="G1300" s="16" t="s">
        <v>5330</v>
      </c>
      <c r="H1300" s="20" t="s">
        <v>155</v>
      </c>
      <c r="I1300" s="21" t="s">
        <v>70</v>
      </c>
      <c r="J1300" s="22" t="s">
        <v>5351</v>
      </c>
      <c r="K1300" s="23">
        <v>55.0</v>
      </c>
      <c r="L1300" s="24">
        <v>20.0</v>
      </c>
      <c r="M1300" s="24" t="str">
        <f>IFERROR(VLOOKUP(D1300,'Chủ đề bài nguồn'!$A$2:$C$735,3,0),"Khác")</f>
        <v>Hộ kinh doanh &amp; bán hàng</v>
      </c>
      <c r="N1300" s="24"/>
    </row>
    <row r="1301">
      <c r="A1301" s="15">
        <v>1299.0</v>
      </c>
      <c r="B1301" s="16" t="s">
        <v>1100</v>
      </c>
      <c r="C1301" s="18" t="s">
        <v>3930</v>
      </c>
      <c r="D1301" s="16" t="s">
        <v>987</v>
      </c>
      <c r="E1301" s="16" t="s">
        <v>5352</v>
      </c>
      <c r="F1301" s="16" t="s">
        <v>5353</v>
      </c>
      <c r="G1301" s="16" t="s">
        <v>5354</v>
      </c>
      <c r="H1301" s="20" t="s">
        <v>155</v>
      </c>
      <c r="I1301" s="21" t="s">
        <v>70</v>
      </c>
      <c r="J1301" s="22" t="s">
        <v>71</v>
      </c>
      <c r="K1301" s="23">
        <v>55.0</v>
      </c>
      <c r="L1301" s="24">
        <v>21.0</v>
      </c>
      <c r="M1301" s="24" t="str">
        <f>IFERROR(VLOOKUP(D1301,'Chủ đề bài nguồn'!$A$2:$C$735,3,0),"Khác")</f>
        <v>Hộ kinh doanh &amp; bán hàng</v>
      </c>
      <c r="N1301" s="24"/>
    </row>
    <row r="1302">
      <c r="A1302" s="15">
        <v>1300.0</v>
      </c>
      <c r="B1302" s="16" t="s">
        <v>1100</v>
      </c>
      <c r="C1302" s="18" t="s">
        <v>2057</v>
      </c>
      <c r="D1302" s="16" t="s">
        <v>1060</v>
      </c>
      <c r="E1302" s="16" t="s">
        <v>5355</v>
      </c>
      <c r="F1302" s="16" t="s">
        <v>5356</v>
      </c>
      <c r="G1302" s="16" t="s">
        <v>5357</v>
      </c>
      <c r="H1302" s="20" t="s">
        <v>155</v>
      </c>
      <c r="I1302" s="21" t="s">
        <v>70</v>
      </c>
      <c r="J1302" s="22" t="s">
        <v>5358</v>
      </c>
      <c r="K1302" s="23">
        <v>55.0</v>
      </c>
      <c r="L1302" s="24">
        <v>21.0</v>
      </c>
      <c r="M1302" s="24" t="str">
        <f>IFERROR(VLOOKUP(D1302,'Chủ đề bài nguồn'!$A$2:$C$735,3,0),"Khác")</f>
        <v>Thuế</v>
      </c>
      <c r="N1302" s="24"/>
    </row>
    <row r="1303">
      <c r="A1303" s="15">
        <v>1301.0</v>
      </c>
      <c r="B1303" s="16" t="s">
        <v>1100</v>
      </c>
      <c r="C1303" s="18" t="s">
        <v>2057</v>
      </c>
      <c r="D1303" s="16" t="s">
        <v>2860</v>
      </c>
      <c r="E1303" s="16" t="s">
        <v>5359</v>
      </c>
      <c r="F1303" s="16" t="s">
        <v>5360</v>
      </c>
      <c r="G1303" s="16" t="s">
        <v>5361</v>
      </c>
      <c r="H1303" s="20" t="s">
        <v>155</v>
      </c>
      <c r="I1303" s="21" t="s">
        <v>70</v>
      </c>
      <c r="J1303" s="22" t="s">
        <v>71</v>
      </c>
      <c r="K1303" s="23">
        <v>55.0</v>
      </c>
      <c r="L1303" s="24">
        <v>21.0</v>
      </c>
      <c r="M1303" s="24" t="str">
        <f>IFERROR(VLOOKUP(D1303,'Chủ đề bài nguồn'!$A$2:$C$735,3,0),"Khác")</f>
        <v>Hộ kinh doanh &amp; bán hàng</v>
      </c>
      <c r="N1303" s="24"/>
    </row>
    <row r="1304">
      <c r="A1304" s="15">
        <v>1302.0</v>
      </c>
      <c r="B1304" s="16" t="s">
        <v>1100</v>
      </c>
      <c r="C1304" s="18" t="s">
        <v>3938</v>
      </c>
      <c r="D1304" s="16" t="s">
        <v>2888</v>
      </c>
      <c r="E1304" s="16" t="s">
        <v>5362</v>
      </c>
      <c r="F1304" s="16" t="s">
        <v>5363</v>
      </c>
      <c r="G1304" s="16" t="s">
        <v>5364</v>
      </c>
      <c r="H1304" s="20" t="s">
        <v>155</v>
      </c>
      <c r="I1304" s="21" t="s">
        <v>70</v>
      </c>
      <c r="J1304" s="22" t="s">
        <v>71</v>
      </c>
      <c r="K1304" s="23">
        <v>55.0</v>
      </c>
      <c r="L1304" s="24">
        <v>21.0</v>
      </c>
      <c r="M1304" s="24" t="str">
        <f>IFERROR(VLOOKUP(D1304,'Chủ đề bài nguồn'!$A$2:$C$735,3,0),"Khác")</f>
        <v>Hộ kinh doanh &amp; bán hàng</v>
      </c>
      <c r="N1304" s="24"/>
    </row>
    <row r="1305">
      <c r="A1305" s="15">
        <v>1303.0</v>
      </c>
      <c r="B1305" s="39" t="s">
        <v>1100</v>
      </c>
      <c r="C1305" s="18" t="s">
        <v>3938</v>
      </c>
      <c r="D1305" s="39" t="s">
        <v>3078</v>
      </c>
      <c r="E1305" s="16" t="s">
        <v>5365</v>
      </c>
      <c r="F1305" s="16" t="s">
        <v>5366</v>
      </c>
      <c r="G1305" s="16" t="s">
        <v>5367</v>
      </c>
      <c r="H1305" s="20" t="s">
        <v>155</v>
      </c>
      <c r="I1305" s="21" t="s">
        <v>70</v>
      </c>
      <c r="J1305" s="22" t="s">
        <v>71</v>
      </c>
      <c r="K1305" s="23">
        <v>55.0</v>
      </c>
      <c r="L1305" s="24">
        <v>21.0</v>
      </c>
      <c r="M1305" s="24" t="str">
        <f>IFERROR(VLOOKUP(D1305,'Chủ đề bài nguồn'!$A$2:$C$735,3,0),"Khác")</f>
        <v>Thuế</v>
      </c>
      <c r="N1305" s="24"/>
    </row>
    <row r="1306">
      <c r="A1306" s="15">
        <v>1304.0</v>
      </c>
      <c r="B1306" s="16" t="s">
        <v>1100</v>
      </c>
      <c r="C1306" s="18" t="s">
        <v>3938</v>
      </c>
      <c r="D1306" s="16" t="s">
        <v>779</v>
      </c>
      <c r="E1306" s="16" t="s">
        <v>923</v>
      </c>
      <c r="F1306" s="16" t="s">
        <v>5368</v>
      </c>
      <c r="G1306" s="16" t="s">
        <v>5369</v>
      </c>
      <c r="H1306" s="20" t="s">
        <v>155</v>
      </c>
      <c r="I1306" s="21" t="s">
        <v>70</v>
      </c>
      <c r="J1306" s="22" t="s">
        <v>71</v>
      </c>
      <c r="K1306" s="23">
        <v>55.0</v>
      </c>
      <c r="L1306" s="24">
        <v>21.0</v>
      </c>
      <c r="M1306" s="24" t="str">
        <f>IFERROR(VLOOKUP(D1306,'Chủ đề bài nguồn'!$A$2:$C$735,3,0),"Khác")</f>
        <v>Hộ kinh doanh &amp; bán hàng</v>
      </c>
      <c r="N1306" s="24"/>
    </row>
    <row r="1307">
      <c r="A1307" s="15">
        <v>1305.0</v>
      </c>
      <c r="B1307" s="16" t="s">
        <v>1100</v>
      </c>
      <c r="C1307" s="18" t="s">
        <v>3938</v>
      </c>
      <c r="D1307" s="16" t="s">
        <v>642</v>
      </c>
      <c r="E1307" s="16" t="s">
        <v>5370</v>
      </c>
      <c r="F1307" s="16" t="s">
        <v>5371</v>
      </c>
      <c r="G1307" s="16" t="s">
        <v>5372</v>
      </c>
      <c r="H1307" s="20" t="s">
        <v>155</v>
      </c>
      <c r="I1307" s="21" t="s">
        <v>70</v>
      </c>
      <c r="J1307" s="22" t="s">
        <v>5358</v>
      </c>
      <c r="K1307" s="23">
        <v>55.0</v>
      </c>
      <c r="L1307" s="24">
        <v>21.0</v>
      </c>
      <c r="M1307" s="24" t="str">
        <f>IFERROR(VLOOKUP(D1307,'Chủ đề bài nguồn'!$A$2:$C$735,3,0),"Khác")</f>
        <v>Thuế</v>
      </c>
      <c r="N1307" s="24"/>
    </row>
    <row r="1308">
      <c r="A1308" s="15">
        <v>1306.0</v>
      </c>
      <c r="B1308" s="16" t="s">
        <v>1100</v>
      </c>
      <c r="C1308" s="18" t="s">
        <v>3938</v>
      </c>
      <c r="D1308" s="16" t="s">
        <v>2162</v>
      </c>
      <c r="E1308" s="16" t="s">
        <v>5112</v>
      </c>
      <c r="F1308" s="16" t="s">
        <v>5373</v>
      </c>
      <c r="G1308" s="16" t="s">
        <v>5374</v>
      </c>
      <c r="H1308" s="20" t="s">
        <v>155</v>
      </c>
      <c r="I1308" s="21" t="s">
        <v>70</v>
      </c>
      <c r="J1308" s="22" t="s">
        <v>71</v>
      </c>
      <c r="K1308" s="23">
        <v>55.0</v>
      </c>
      <c r="L1308" s="24">
        <v>21.0</v>
      </c>
      <c r="M1308" s="24" t="str">
        <f>IFERROR(VLOOKUP(D1308,'Chủ đề bài nguồn'!$A$2:$C$735,3,0),"Khác")</f>
        <v>Hộ kinh doanh &amp; bán hàng</v>
      </c>
      <c r="N1308" s="24"/>
    </row>
    <row r="1309">
      <c r="A1309" s="15">
        <v>1307.0</v>
      </c>
      <c r="B1309" s="16" t="s">
        <v>1100</v>
      </c>
      <c r="C1309" s="18" t="s">
        <v>3938</v>
      </c>
      <c r="D1309" s="16" t="s">
        <v>3333</v>
      </c>
      <c r="E1309" s="16" t="s">
        <v>5375</v>
      </c>
      <c r="F1309" s="16" t="s">
        <v>5376</v>
      </c>
      <c r="G1309" s="16" t="s">
        <v>5377</v>
      </c>
      <c r="H1309" s="20" t="s">
        <v>155</v>
      </c>
      <c r="I1309" s="21" t="s">
        <v>70</v>
      </c>
      <c r="J1309" s="22" t="s">
        <v>71</v>
      </c>
      <c r="K1309" s="23">
        <v>55.0</v>
      </c>
      <c r="L1309" s="24">
        <v>21.0</v>
      </c>
      <c r="M1309" s="24" t="str">
        <f>IFERROR(VLOOKUP(D1309,'Chủ đề bài nguồn'!$A$2:$C$735,3,0),"Khác")</f>
        <v>Hộ kinh doanh &amp; bán hàng</v>
      </c>
      <c r="N1309" s="24"/>
    </row>
    <row r="1310">
      <c r="A1310" s="15">
        <v>1308.0</v>
      </c>
      <c r="B1310" s="16" t="s">
        <v>1100</v>
      </c>
      <c r="C1310" s="18" t="s">
        <v>3938</v>
      </c>
      <c r="D1310" s="16" t="s">
        <v>2373</v>
      </c>
      <c r="E1310" s="16" t="s">
        <v>5139</v>
      </c>
      <c r="F1310" s="16" t="s">
        <v>5378</v>
      </c>
      <c r="G1310" s="16" t="s">
        <v>5379</v>
      </c>
      <c r="H1310" s="20" t="s">
        <v>155</v>
      </c>
      <c r="I1310" s="21" t="s">
        <v>70</v>
      </c>
      <c r="J1310" s="22" t="s">
        <v>71</v>
      </c>
      <c r="K1310" s="23">
        <v>55.0</v>
      </c>
      <c r="L1310" s="24">
        <v>21.0</v>
      </c>
      <c r="M1310" s="24" t="str">
        <f>IFERROR(VLOOKUP(D1310,'Chủ đề bài nguồn'!$A$2:$C$735,3,0),"Khác")</f>
        <v>Thuế</v>
      </c>
      <c r="N1310" s="24"/>
    </row>
    <row r="1311">
      <c r="A1311" s="15">
        <v>1309.0</v>
      </c>
      <c r="B1311" s="16" t="s">
        <v>1100</v>
      </c>
      <c r="C1311" s="18" t="s">
        <v>3938</v>
      </c>
      <c r="D1311" s="16" t="s">
        <v>2947</v>
      </c>
      <c r="E1311" s="16" t="s">
        <v>5380</v>
      </c>
      <c r="F1311" s="16" t="s">
        <v>5381</v>
      </c>
      <c r="G1311" s="16" t="s">
        <v>5382</v>
      </c>
      <c r="H1311" s="20" t="s">
        <v>229</v>
      </c>
      <c r="I1311" s="21" t="s">
        <v>70</v>
      </c>
      <c r="J1311" s="22" t="s">
        <v>71</v>
      </c>
      <c r="K1311" s="23">
        <v>55.0</v>
      </c>
      <c r="L1311" s="24">
        <v>31.0</v>
      </c>
      <c r="M1311" s="24" t="str">
        <f>IFERROR(VLOOKUP(D1311,'Chủ đề bài nguồn'!$A$2:$C$735,3,0),"Khác")</f>
        <v>Hộ kinh doanh &amp; bán hàng</v>
      </c>
      <c r="N1311" s="24"/>
    </row>
    <row r="1312">
      <c r="A1312" s="15">
        <v>1310.0</v>
      </c>
      <c r="B1312" s="16" t="s">
        <v>1100</v>
      </c>
      <c r="C1312" s="18" t="s">
        <v>3938</v>
      </c>
      <c r="D1312" s="16" t="s">
        <v>3156</v>
      </c>
      <c r="E1312" s="16" t="s">
        <v>5383</v>
      </c>
      <c r="F1312" s="16" t="s">
        <v>5384</v>
      </c>
      <c r="G1312" s="16" t="s">
        <v>5385</v>
      </c>
      <c r="H1312" s="20" t="s">
        <v>229</v>
      </c>
      <c r="I1312" s="21" t="s">
        <v>70</v>
      </c>
      <c r="J1312" s="22" t="s">
        <v>5386</v>
      </c>
      <c r="K1312" s="23">
        <v>55.0</v>
      </c>
      <c r="L1312" s="24">
        <v>31.0</v>
      </c>
      <c r="M1312" s="24" t="str">
        <f>IFERROR(VLOOKUP(D1312,'Chủ đề bài nguồn'!$A$2:$C$735,3,0),"Khác")</f>
        <v>Hộ kinh doanh &amp; bán hàng</v>
      </c>
      <c r="N1312" s="24"/>
    </row>
    <row r="1313">
      <c r="A1313" s="15">
        <v>1311.0</v>
      </c>
      <c r="B1313" s="16" t="s">
        <v>1100</v>
      </c>
      <c r="C1313" s="18" t="s">
        <v>3938</v>
      </c>
      <c r="D1313" s="16" t="s">
        <v>2807</v>
      </c>
      <c r="E1313" s="16" t="s">
        <v>5387</v>
      </c>
      <c r="F1313" s="16" t="s">
        <v>5388</v>
      </c>
      <c r="G1313" s="16" t="s">
        <v>5389</v>
      </c>
      <c r="H1313" s="20" t="s">
        <v>229</v>
      </c>
      <c r="I1313" s="21" t="s">
        <v>70</v>
      </c>
      <c r="J1313" s="22" t="s">
        <v>5390</v>
      </c>
      <c r="K1313" s="23">
        <v>55.0</v>
      </c>
      <c r="L1313" s="24">
        <v>31.0</v>
      </c>
      <c r="M1313" s="24" t="str">
        <f>IFERROR(VLOOKUP(D1313,'Chủ đề bài nguồn'!$A$2:$C$735,3,0),"Khác")</f>
        <v>Hộ kinh doanh &amp; bán hàng</v>
      </c>
      <c r="N1313" s="24"/>
    </row>
    <row r="1314">
      <c r="A1314" s="15">
        <v>1312.0</v>
      </c>
      <c r="B1314" s="16" t="s">
        <v>1105</v>
      </c>
      <c r="C1314" s="18" t="s">
        <v>3965</v>
      </c>
      <c r="D1314" s="16" t="s">
        <v>2373</v>
      </c>
      <c r="E1314" s="16" t="s">
        <v>710</v>
      </c>
      <c r="F1314" s="16" t="s">
        <v>5391</v>
      </c>
      <c r="G1314" s="16" t="s">
        <v>5392</v>
      </c>
      <c r="H1314" s="20" t="s">
        <v>69</v>
      </c>
      <c r="I1314" s="21" t="s">
        <v>70</v>
      </c>
      <c r="J1314" s="22" t="s">
        <v>71</v>
      </c>
      <c r="K1314" s="23">
        <v>56.0</v>
      </c>
      <c r="L1314" s="24">
        <v>11.0</v>
      </c>
      <c r="M1314" s="24" t="str">
        <f>IFERROR(VLOOKUP(D1314,'Chủ đề bài nguồn'!$A$2:$C$735,3,0),"Khác")</f>
        <v>Thuế</v>
      </c>
      <c r="N1314" s="24"/>
    </row>
    <row r="1315">
      <c r="A1315" s="15">
        <v>1313.0</v>
      </c>
      <c r="B1315" s="16" t="s">
        <v>1105</v>
      </c>
      <c r="C1315" s="18" t="s">
        <v>3965</v>
      </c>
      <c r="D1315" s="16" t="s">
        <v>1666</v>
      </c>
      <c r="E1315" s="16" t="s">
        <v>5393</v>
      </c>
      <c r="F1315" s="16" t="s">
        <v>5394</v>
      </c>
      <c r="G1315" s="16" t="s">
        <v>5395</v>
      </c>
      <c r="H1315" s="20" t="s">
        <v>69</v>
      </c>
      <c r="I1315" s="21" t="s">
        <v>70</v>
      </c>
      <c r="J1315" s="22" t="s">
        <v>71</v>
      </c>
      <c r="K1315" s="23">
        <v>56.0</v>
      </c>
      <c r="L1315" s="24">
        <v>11.0</v>
      </c>
      <c r="M1315" s="24" t="str">
        <f>IFERROR(VLOOKUP(D1315,'Chủ đề bài nguồn'!$A$2:$C$735,3,0),"Khác")</f>
        <v>Thuế</v>
      </c>
      <c r="N1315" s="24"/>
    </row>
    <row r="1316">
      <c r="A1316" s="15">
        <v>1314.0</v>
      </c>
      <c r="B1316" s="16" t="s">
        <v>1105</v>
      </c>
      <c r="C1316" s="18" t="s">
        <v>3965</v>
      </c>
      <c r="D1316" s="16" t="s">
        <v>631</v>
      </c>
      <c r="E1316" s="16" t="s">
        <v>5086</v>
      </c>
      <c r="F1316" s="16" t="s">
        <v>5396</v>
      </c>
      <c r="G1316" s="16" t="s">
        <v>5397</v>
      </c>
      <c r="H1316" s="20" t="s">
        <v>155</v>
      </c>
      <c r="I1316" s="21" t="s">
        <v>70</v>
      </c>
      <c r="J1316" s="22" t="s">
        <v>71</v>
      </c>
      <c r="K1316" s="23">
        <v>56.0</v>
      </c>
      <c r="L1316" s="24">
        <v>21.0</v>
      </c>
      <c r="M1316" s="24" t="str">
        <f>IFERROR(VLOOKUP(D1316,'Chủ đề bài nguồn'!$A$2:$C$735,3,0),"Khác")</f>
        <v>Thuế</v>
      </c>
      <c r="N1316" s="24"/>
    </row>
    <row r="1317">
      <c r="A1317" s="15">
        <v>1315.0</v>
      </c>
      <c r="B1317" s="16" t="s">
        <v>1105</v>
      </c>
      <c r="C1317" s="18" t="s">
        <v>3965</v>
      </c>
      <c r="D1317" s="16" t="s">
        <v>584</v>
      </c>
      <c r="E1317" s="16" t="s">
        <v>585</v>
      </c>
      <c r="F1317" s="16" t="s">
        <v>5398</v>
      </c>
      <c r="G1317" s="16" t="s">
        <v>5399</v>
      </c>
      <c r="H1317" s="20" t="s">
        <v>155</v>
      </c>
      <c r="I1317" s="21" t="s">
        <v>70</v>
      </c>
      <c r="J1317" s="22" t="s">
        <v>71</v>
      </c>
      <c r="K1317" s="23">
        <v>56.0</v>
      </c>
      <c r="L1317" s="24">
        <v>21.0</v>
      </c>
      <c r="M1317" s="24" t="str">
        <f>IFERROR(VLOOKUP(D1317,'Chủ đề bài nguồn'!$A$2:$C$735,3,0),"Khác")</f>
        <v>Hộ kinh doanh &amp; bán hàng</v>
      </c>
      <c r="N1317" s="24"/>
    </row>
    <row r="1318">
      <c r="A1318" s="15">
        <v>1316.0</v>
      </c>
      <c r="B1318" s="16" t="s">
        <v>1105</v>
      </c>
      <c r="C1318" s="18" t="s">
        <v>3965</v>
      </c>
      <c r="D1318" s="16" t="s">
        <v>901</v>
      </c>
      <c r="E1318" s="16" t="s">
        <v>5091</v>
      </c>
      <c r="F1318" s="16" t="s">
        <v>5400</v>
      </c>
      <c r="G1318" s="16" t="s">
        <v>5401</v>
      </c>
      <c r="H1318" s="20" t="s">
        <v>155</v>
      </c>
      <c r="I1318" s="21" t="s">
        <v>70</v>
      </c>
      <c r="J1318" s="22" t="s">
        <v>71</v>
      </c>
      <c r="K1318" s="23">
        <v>56.0</v>
      </c>
      <c r="L1318" s="24">
        <v>21.0</v>
      </c>
      <c r="M1318" s="24" t="str">
        <f>IFERROR(VLOOKUP(D1318,'Chủ đề bài nguồn'!$A$2:$C$735,3,0),"Khác")</f>
        <v>Thuế</v>
      </c>
      <c r="N1318" s="24"/>
    </row>
    <row r="1319">
      <c r="A1319" s="15">
        <v>1317.0</v>
      </c>
      <c r="B1319" s="16" t="s">
        <v>1105</v>
      </c>
      <c r="C1319" s="18" t="s">
        <v>3965</v>
      </c>
      <c r="D1319" s="16" t="s">
        <v>915</v>
      </c>
      <c r="E1319" s="16" t="s">
        <v>5402</v>
      </c>
      <c r="F1319" s="16" t="s">
        <v>593</v>
      </c>
      <c r="G1319" s="16" t="s">
        <v>5403</v>
      </c>
      <c r="H1319" s="20" t="s">
        <v>155</v>
      </c>
      <c r="I1319" s="21" t="s">
        <v>70</v>
      </c>
      <c r="J1319" s="22" t="s">
        <v>71</v>
      </c>
      <c r="K1319" s="23">
        <v>56.0</v>
      </c>
      <c r="L1319" s="24">
        <v>21.0</v>
      </c>
      <c r="M1319" s="24" t="str">
        <f>IFERROR(VLOOKUP(D1319,'Chủ đề bài nguồn'!$A$2:$C$735,3,0),"Khác")</f>
        <v>Hộ kinh doanh &amp; bán hàng</v>
      </c>
      <c r="N1319" s="24"/>
    </row>
    <row r="1320">
      <c r="A1320" s="15">
        <v>1318.0</v>
      </c>
      <c r="B1320" s="16" t="s">
        <v>1105</v>
      </c>
      <c r="C1320" s="18" t="s">
        <v>3965</v>
      </c>
      <c r="D1320" s="16" t="s">
        <v>627</v>
      </c>
      <c r="E1320" s="16" t="s">
        <v>5340</v>
      </c>
      <c r="F1320" s="16" t="s">
        <v>5404</v>
      </c>
      <c r="G1320" s="16" t="s">
        <v>5405</v>
      </c>
      <c r="H1320" s="20" t="s">
        <v>155</v>
      </c>
      <c r="I1320" s="21" t="s">
        <v>70</v>
      </c>
      <c r="J1320" s="22" t="s">
        <v>71</v>
      </c>
      <c r="K1320" s="23">
        <v>56.0</v>
      </c>
      <c r="L1320" s="24">
        <v>21.0</v>
      </c>
      <c r="M1320" s="24" t="str">
        <f>IFERROR(VLOOKUP(D1320,'Chủ đề bài nguồn'!$A$2:$C$735,3,0),"Khác")</f>
        <v>Thuế</v>
      </c>
      <c r="N1320" s="24"/>
    </row>
    <row r="1321">
      <c r="A1321" s="15">
        <v>1319.0</v>
      </c>
      <c r="B1321" s="16" t="s">
        <v>1105</v>
      </c>
      <c r="C1321" s="18" t="s">
        <v>3965</v>
      </c>
      <c r="D1321" s="16" t="s">
        <v>3143</v>
      </c>
      <c r="E1321" s="16" t="s">
        <v>5406</v>
      </c>
      <c r="F1321" s="16" t="s">
        <v>5407</v>
      </c>
      <c r="G1321" s="16" t="s">
        <v>5408</v>
      </c>
      <c r="H1321" s="20" t="s">
        <v>155</v>
      </c>
      <c r="I1321" s="21" t="s">
        <v>70</v>
      </c>
      <c r="J1321" s="22" t="s">
        <v>5409</v>
      </c>
      <c r="K1321" s="23">
        <v>56.0</v>
      </c>
      <c r="L1321" s="24">
        <v>21.0</v>
      </c>
      <c r="M1321" s="24" t="str">
        <f>IFERROR(VLOOKUP(D1321,'Chủ đề bài nguồn'!$A$2:$C$735,3,0),"Khác")</f>
        <v>Hộ kinh doanh &amp; bán hàng</v>
      </c>
      <c r="N1321" s="24"/>
    </row>
    <row r="1322">
      <c r="A1322" s="15">
        <v>1320.0</v>
      </c>
      <c r="B1322" s="16" t="s">
        <v>1105</v>
      </c>
      <c r="C1322" s="18" t="s">
        <v>3965</v>
      </c>
      <c r="D1322" s="16" t="s">
        <v>795</v>
      </c>
      <c r="E1322" s="16" t="s">
        <v>796</v>
      </c>
      <c r="F1322" s="16" t="s">
        <v>5410</v>
      </c>
      <c r="G1322" s="16" t="s">
        <v>5411</v>
      </c>
      <c r="H1322" s="20" t="s">
        <v>155</v>
      </c>
      <c r="I1322" s="21" t="s">
        <v>70</v>
      </c>
      <c r="J1322" s="22" t="s">
        <v>71</v>
      </c>
      <c r="K1322" s="23">
        <v>56.0</v>
      </c>
      <c r="L1322" s="24">
        <v>21.0</v>
      </c>
      <c r="M1322" s="24" t="str">
        <f>IFERROR(VLOOKUP(D1322,'Chủ đề bài nguồn'!$A$2:$C$735,3,0),"Khác")</f>
        <v>Hộ kinh doanh &amp; bán hàng</v>
      </c>
      <c r="N1322" s="24"/>
    </row>
    <row r="1323">
      <c r="A1323" s="15">
        <v>1321.0</v>
      </c>
      <c r="B1323" s="16" t="s">
        <v>1105</v>
      </c>
      <c r="C1323" s="18" t="s">
        <v>3965</v>
      </c>
      <c r="D1323" s="16" t="s">
        <v>3156</v>
      </c>
      <c r="E1323" s="16" t="s">
        <v>5383</v>
      </c>
      <c r="F1323" s="16" t="s">
        <v>5412</v>
      </c>
      <c r="G1323" s="16" t="s">
        <v>5413</v>
      </c>
      <c r="H1323" s="20" t="s">
        <v>155</v>
      </c>
      <c r="I1323" s="21" t="s">
        <v>70</v>
      </c>
      <c r="J1323" s="22" t="s">
        <v>71</v>
      </c>
      <c r="K1323" s="23">
        <v>56.0</v>
      </c>
      <c r="L1323" s="24">
        <v>21.0</v>
      </c>
      <c r="M1323" s="24" t="str">
        <f>IFERROR(VLOOKUP(D1323,'Chủ đề bài nguồn'!$A$2:$C$735,3,0),"Khác")</f>
        <v>Hộ kinh doanh &amp; bán hàng</v>
      </c>
      <c r="N1323" s="24"/>
    </row>
    <row r="1324">
      <c r="A1324" s="15">
        <v>1322.0</v>
      </c>
      <c r="B1324" s="16" t="s">
        <v>1105</v>
      </c>
      <c r="C1324" s="18" t="s">
        <v>3965</v>
      </c>
      <c r="D1324" s="16" t="s">
        <v>1060</v>
      </c>
      <c r="E1324" s="16" t="s">
        <v>5355</v>
      </c>
      <c r="F1324" s="16" t="s">
        <v>5414</v>
      </c>
      <c r="G1324" s="16" t="s">
        <v>5415</v>
      </c>
      <c r="H1324" s="20" t="s">
        <v>155</v>
      </c>
      <c r="I1324" s="21" t="s">
        <v>70</v>
      </c>
      <c r="J1324" s="22" t="s">
        <v>71</v>
      </c>
      <c r="K1324" s="23">
        <v>56.0</v>
      </c>
      <c r="L1324" s="24">
        <v>21.0</v>
      </c>
      <c r="M1324" s="24" t="str">
        <f>IFERROR(VLOOKUP(D1324,'Chủ đề bài nguồn'!$A$2:$C$735,3,0),"Khác")</f>
        <v>Thuế</v>
      </c>
      <c r="N1324" s="24"/>
    </row>
    <row r="1325">
      <c r="A1325" s="15">
        <v>1323.0</v>
      </c>
      <c r="B1325" s="16" t="s">
        <v>1105</v>
      </c>
      <c r="C1325" s="18" t="s">
        <v>3965</v>
      </c>
      <c r="D1325" s="16" t="s">
        <v>548</v>
      </c>
      <c r="E1325" s="16" t="s">
        <v>5131</v>
      </c>
      <c r="F1325" s="16" t="s">
        <v>5416</v>
      </c>
      <c r="G1325" s="16" t="s">
        <v>5417</v>
      </c>
      <c r="H1325" s="20" t="s">
        <v>155</v>
      </c>
      <c r="I1325" s="21" t="s">
        <v>70</v>
      </c>
      <c r="J1325" s="22" t="s">
        <v>71</v>
      </c>
      <c r="K1325" s="23">
        <v>56.0</v>
      </c>
      <c r="L1325" s="24">
        <v>21.0</v>
      </c>
      <c r="M1325" s="24" t="str">
        <f>IFERROR(VLOOKUP(D1325,'Chủ đề bài nguồn'!$A$2:$C$735,3,0),"Khác")</f>
        <v>Thuế</v>
      </c>
      <c r="N1325" s="24"/>
    </row>
    <row r="1326">
      <c r="A1326" s="15">
        <v>1324.0</v>
      </c>
      <c r="B1326" s="16" t="s">
        <v>1105</v>
      </c>
      <c r="C1326" s="18" t="s">
        <v>3965</v>
      </c>
      <c r="D1326" s="16" t="s">
        <v>604</v>
      </c>
      <c r="E1326" s="16" t="s">
        <v>996</v>
      </c>
      <c r="F1326" s="16" t="s">
        <v>5418</v>
      </c>
      <c r="G1326" s="16" t="s">
        <v>5419</v>
      </c>
      <c r="H1326" s="20" t="s">
        <v>155</v>
      </c>
      <c r="I1326" s="21" t="s">
        <v>70</v>
      </c>
      <c r="J1326" s="22" t="s">
        <v>5420</v>
      </c>
      <c r="K1326" s="23">
        <v>56.0</v>
      </c>
      <c r="L1326" s="24">
        <v>21.0</v>
      </c>
      <c r="M1326" s="24" t="str">
        <f>IFERROR(VLOOKUP(D1326,'Chủ đề bài nguồn'!$A$2:$C$735,3,0),"Khác")</f>
        <v>Thuế</v>
      </c>
      <c r="N1326" s="24"/>
    </row>
    <row r="1327">
      <c r="A1327" s="15">
        <v>1325.0</v>
      </c>
      <c r="B1327" s="16" t="s">
        <v>1105</v>
      </c>
      <c r="C1327" s="18" t="s">
        <v>3965</v>
      </c>
      <c r="D1327" s="16" t="s">
        <v>642</v>
      </c>
      <c r="E1327" s="16" t="s">
        <v>5421</v>
      </c>
      <c r="F1327" s="16" t="s">
        <v>5422</v>
      </c>
      <c r="G1327" s="16" t="s">
        <v>5423</v>
      </c>
      <c r="H1327" s="20" t="s">
        <v>155</v>
      </c>
      <c r="I1327" s="21" t="s">
        <v>70</v>
      </c>
      <c r="J1327" s="22" t="s">
        <v>71</v>
      </c>
      <c r="K1327" s="23">
        <v>56.0</v>
      </c>
      <c r="L1327" s="24">
        <v>21.0</v>
      </c>
      <c r="M1327" s="24" t="str">
        <f>IFERROR(VLOOKUP(D1327,'Chủ đề bài nguồn'!$A$2:$C$735,3,0),"Khác")</f>
        <v>Thuế</v>
      </c>
      <c r="N1327" s="24"/>
    </row>
    <row r="1328">
      <c r="A1328" s="15">
        <v>1326.0</v>
      </c>
      <c r="B1328" s="16" t="s">
        <v>1105</v>
      </c>
      <c r="C1328" s="18" t="s">
        <v>3965</v>
      </c>
      <c r="D1328" s="16" t="s">
        <v>2807</v>
      </c>
      <c r="E1328" s="16" t="s">
        <v>5145</v>
      </c>
      <c r="F1328" s="16" t="s">
        <v>5424</v>
      </c>
      <c r="G1328" s="16" t="s">
        <v>5425</v>
      </c>
      <c r="H1328" s="20" t="s">
        <v>155</v>
      </c>
      <c r="I1328" s="21" t="s">
        <v>70</v>
      </c>
      <c r="J1328" s="22" t="s">
        <v>71</v>
      </c>
      <c r="K1328" s="23">
        <v>56.0</v>
      </c>
      <c r="L1328" s="24">
        <v>21.0</v>
      </c>
      <c r="M1328" s="24" t="str">
        <f>IFERROR(VLOOKUP(D1328,'Chủ đề bài nguồn'!$A$2:$C$735,3,0),"Khác")</f>
        <v>Hộ kinh doanh &amp; bán hàng</v>
      </c>
      <c r="N1328" s="24"/>
    </row>
    <row r="1329">
      <c r="A1329" s="15">
        <v>1327.0</v>
      </c>
      <c r="B1329" s="16" t="s">
        <v>1105</v>
      </c>
      <c r="C1329" s="18" t="s">
        <v>3965</v>
      </c>
      <c r="D1329" s="16" t="s">
        <v>811</v>
      </c>
      <c r="E1329" s="16" t="s">
        <v>812</v>
      </c>
      <c r="F1329" s="16" t="s">
        <v>5426</v>
      </c>
      <c r="G1329" s="16" t="s">
        <v>5427</v>
      </c>
      <c r="H1329" s="20" t="s">
        <v>155</v>
      </c>
      <c r="I1329" s="21" t="s">
        <v>70</v>
      </c>
      <c r="J1329" s="22" t="s">
        <v>71</v>
      </c>
      <c r="K1329" s="23">
        <v>56.0</v>
      </c>
      <c r="L1329" s="24">
        <v>21.0</v>
      </c>
      <c r="M1329" s="24" t="str">
        <f>IFERROR(VLOOKUP(D1329,'Chủ đề bài nguồn'!$A$2:$C$735,3,0),"Khác")</f>
        <v>Hộ kinh doanh &amp; bán hàng</v>
      </c>
      <c r="N1329" s="24"/>
    </row>
    <row r="1330">
      <c r="A1330" s="15">
        <v>1328.0</v>
      </c>
      <c r="B1330" s="16" t="s">
        <v>1105</v>
      </c>
      <c r="C1330" s="18" t="s">
        <v>3965</v>
      </c>
      <c r="D1330" s="16" t="s">
        <v>1480</v>
      </c>
      <c r="E1330" s="16" t="s">
        <v>5347</v>
      </c>
      <c r="F1330" s="16" t="s">
        <v>5428</v>
      </c>
      <c r="G1330" s="16" t="s">
        <v>5429</v>
      </c>
      <c r="H1330" s="20" t="s">
        <v>155</v>
      </c>
      <c r="I1330" s="21" t="s">
        <v>70</v>
      </c>
      <c r="J1330" s="22" t="s">
        <v>3999</v>
      </c>
      <c r="K1330" s="23">
        <v>56.0</v>
      </c>
      <c r="L1330" s="24">
        <v>21.0</v>
      </c>
      <c r="M1330" s="24" t="str">
        <f>IFERROR(VLOOKUP(D1330,'Chủ đề bài nguồn'!$A$2:$C$735,3,0),"Khác")</f>
        <v>Hộ kinh doanh &amp; bán hàng</v>
      </c>
      <c r="N1330" s="24"/>
    </row>
    <row r="1331">
      <c r="A1331" s="15">
        <v>1329.0</v>
      </c>
      <c r="B1331" s="39" t="s">
        <v>1105</v>
      </c>
      <c r="C1331" s="18" t="s">
        <v>3965</v>
      </c>
      <c r="D1331" s="39" t="s">
        <v>427</v>
      </c>
      <c r="E1331" s="16" t="s">
        <v>429</v>
      </c>
      <c r="F1331" s="16" t="s">
        <v>5430</v>
      </c>
      <c r="G1331" s="16" t="s">
        <v>5431</v>
      </c>
      <c r="H1331" s="20" t="s">
        <v>155</v>
      </c>
      <c r="I1331" s="21" t="s">
        <v>70</v>
      </c>
      <c r="J1331" s="22" t="s">
        <v>71</v>
      </c>
      <c r="K1331" s="23">
        <v>56.0</v>
      </c>
      <c r="L1331" s="24">
        <v>21.0</v>
      </c>
      <c r="M1331" s="24" t="str">
        <f>IFERROR(VLOOKUP(D1331,'Chủ đề bài nguồn'!$A$2:$C$735,3,0),"Khác")</f>
        <v>Thuế</v>
      </c>
      <c r="N1331" s="24"/>
    </row>
    <row r="1332">
      <c r="A1332" s="15">
        <v>1330.0</v>
      </c>
      <c r="B1332" s="39" t="s">
        <v>1105</v>
      </c>
      <c r="C1332" s="18" t="s">
        <v>3965</v>
      </c>
      <c r="D1332" s="39" t="s">
        <v>753</v>
      </c>
      <c r="E1332" s="16" t="s">
        <v>5432</v>
      </c>
      <c r="F1332" s="16" t="s">
        <v>5433</v>
      </c>
      <c r="G1332" s="16" t="s">
        <v>5434</v>
      </c>
      <c r="H1332" s="20" t="s">
        <v>155</v>
      </c>
      <c r="I1332" s="21" t="s">
        <v>70</v>
      </c>
      <c r="J1332" s="22" t="s">
        <v>71</v>
      </c>
      <c r="K1332" s="23">
        <v>56.0</v>
      </c>
      <c r="L1332" s="24">
        <v>21.0</v>
      </c>
      <c r="M1332" s="24" t="str">
        <f>IFERROR(VLOOKUP(D1332,'Chủ đề bài nguồn'!$A$2:$C$735,3,0),"Khác")</f>
        <v>Thuế</v>
      </c>
      <c r="N1332" s="24"/>
    </row>
    <row r="1333">
      <c r="A1333" s="15">
        <v>1331.0</v>
      </c>
      <c r="B1333" s="16" t="s">
        <v>1105</v>
      </c>
      <c r="C1333" s="18" t="s">
        <v>3965</v>
      </c>
      <c r="D1333" s="16" t="s">
        <v>568</v>
      </c>
      <c r="E1333" s="16" t="s">
        <v>5336</v>
      </c>
      <c r="F1333" s="16" t="s">
        <v>5435</v>
      </c>
      <c r="G1333" s="16" t="s">
        <v>5436</v>
      </c>
      <c r="H1333" s="20" t="s">
        <v>229</v>
      </c>
      <c r="I1333" s="21" t="s">
        <v>70</v>
      </c>
      <c r="J1333" s="22" t="s">
        <v>5437</v>
      </c>
      <c r="K1333" s="23">
        <v>56.0</v>
      </c>
      <c r="L1333" s="24">
        <v>31.0</v>
      </c>
      <c r="M1333" s="24" t="str">
        <f>IFERROR(VLOOKUP(D1333,'Chủ đề bài nguồn'!$A$2:$C$735,3,0),"Khác")</f>
        <v>Thuế</v>
      </c>
      <c r="N1333" s="24"/>
    </row>
    <row r="1334">
      <c r="A1334" s="15">
        <v>1332.0</v>
      </c>
      <c r="B1334" s="16" t="s">
        <v>1105</v>
      </c>
      <c r="C1334" s="18" t="s">
        <v>3965</v>
      </c>
      <c r="D1334" s="16" t="s">
        <v>2580</v>
      </c>
      <c r="E1334" s="16" t="s">
        <v>5176</v>
      </c>
      <c r="F1334" s="16" t="s">
        <v>5438</v>
      </c>
      <c r="G1334" s="16" t="s">
        <v>5439</v>
      </c>
      <c r="H1334" s="20" t="s">
        <v>229</v>
      </c>
      <c r="I1334" s="21" t="s">
        <v>70</v>
      </c>
      <c r="J1334" s="22" t="s">
        <v>71</v>
      </c>
      <c r="K1334" s="23">
        <v>56.0</v>
      </c>
      <c r="L1334" s="24">
        <v>31.0</v>
      </c>
      <c r="M1334" s="24" t="str">
        <f>IFERROR(VLOOKUP(D1334,'Chủ đề bài nguồn'!$A$2:$C$735,3,0),"Khác")</f>
        <v>Hộ kinh doanh &amp; bán hàng</v>
      </c>
      <c r="N1334" s="24"/>
    </row>
    <row r="1335">
      <c r="A1335" s="15">
        <v>1333.0</v>
      </c>
      <c r="B1335" s="16" t="s">
        <v>1105</v>
      </c>
      <c r="C1335" s="18" t="s">
        <v>2071</v>
      </c>
      <c r="D1335" s="16" t="s">
        <v>591</v>
      </c>
      <c r="E1335" s="16" t="s">
        <v>5346</v>
      </c>
      <c r="F1335" s="16" t="s">
        <v>5440</v>
      </c>
      <c r="G1335" s="16" t="s">
        <v>5441</v>
      </c>
      <c r="H1335" s="20" t="s">
        <v>229</v>
      </c>
      <c r="I1335" s="21" t="s">
        <v>70</v>
      </c>
      <c r="J1335" s="22" t="s">
        <v>5442</v>
      </c>
      <c r="K1335" s="23">
        <v>56.0</v>
      </c>
      <c r="L1335" s="24">
        <v>31.0</v>
      </c>
      <c r="M1335" s="24" t="str">
        <f>IFERROR(VLOOKUP(D1335,'Chủ đề bài nguồn'!$A$2:$C$735,3,0),"Khác")</f>
        <v>Thuế</v>
      </c>
      <c r="N1335" s="24"/>
    </row>
    <row r="1336">
      <c r="A1336" s="15">
        <v>1334.0</v>
      </c>
      <c r="B1336" s="16" t="s">
        <v>723</v>
      </c>
      <c r="C1336" s="18" t="s">
        <v>1940</v>
      </c>
      <c r="D1336" s="16" t="s">
        <v>3082</v>
      </c>
      <c r="E1336" s="16" t="s">
        <v>5443</v>
      </c>
      <c r="F1336" s="16" t="s">
        <v>5444</v>
      </c>
      <c r="G1336" s="16" t="s">
        <v>5445</v>
      </c>
      <c r="H1336" s="20" t="s">
        <v>69</v>
      </c>
      <c r="I1336" s="21" t="s">
        <v>70</v>
      </c>
      <c r="J1336" s="22" t="s">
        <v>4334</v>
      </c>
      <c r="K1336" s="23">
        <v>57.0</v>
      </c>
      <c r="L1336" s="24">
        <v>10.0</v>
      </c>
      <c r="M1336" s="24" t="str">
        <f>IFERROR(VLOOKUP(D1336,'Chủ đề bài nguồn'!$A$2:$C$735,3,0),"Khác")</f>
        <v>Vay thế chấp &amp; mua nhà/xe</v>
      </c>
      <c r="N1336" s="24"/>
    </row>
    <row r="1337">
      <c r="A1337" s="15">
        <v>1335.0</v>
      </c>
      <c r="B1337" s="16" t="s">
        <v>723</v>
      </c>
      <c r="C1337" s="18" t="s">
        <v>1940</v>
      </c>
      <c r="D1337" s="16" t="s">
        <v>3276</v>
      </c>
      <c r="E1337" s="16" t="s">
        <v>5446</v>
      </c>
      <c r="F1337" s="16" t="s">
        <v>5447</v>
      </c>
      <c r="G1337" s="16" t="s">
        <v>5445</v>
      </c>
      <c r="H1337" s="20" t="s">
        <v>69</v>
      </c>
      <c r="I1337" s="21" t="s">
        <v>70</v>
      </c>
      <c r="J1337" s="22" t="s">
        <v>5448</v>
      </c>
      <c r="K1337" s="23">
        <v>57.0</v>
      </c>
      <c r="L1337" s="24">
        <v>10.0</v>
      </c>
      <c r="M1337" s="24" t="str">
        <f>IFERROR(VLOOKUP(D1337,'Chủ đề bài nguồn'!$A$2:$C$735,3,0),"Khác")</f>
        <v>Thẻ tín dụng</v>
      </c>
      <c r="N1337" s="24"/>
    </row>
    <row r="1338">
      <c r="A1338" s="15">
        <v>1336.0</v>
      </c>
      <c r="B1338" s="16" t="s">
        <v>723</v>
      </c>
      <c r="C1338" s="18" t="s">
        <v>1940</v>
      </c>
      <c r="D1338" s="16" t="s">
        <v>3303</v>
      </c>
      <c r="E1338" s="16" t="s">
        <v>5449</v>
      </c>
      <c r="F1338" s="16" t="s">
        <v>5450</v>
      </c>
      <c r="G1338" s="16" t="s">
        <v>5445</v>
      </c>
      <c r="H1338" s="20" t="s">
        <v>69</v>
      </c>
      <c r="I1338" s="21" t="s">
        <v>70</v>
      </c>
      <c r="J1338" s="22" t="s">
        <v>71</v>
      </c>
      <c r="K1338" s="23">
        <v>57.0</v>
      </c>
      <c r="L1338" s="24">
        <v>10.0</v>
      </c>
      <c r="M1338" s="24" t="str">
        <f>IFERROR(VLOOKUP(D1338,'Chủ đề bài nguồn'!$A$2:$C$735,3,0),"Khác")</f>
        <v>Vay thế chấp &amp; mua nhà/xe</v>
      </c>
      <c r="N1338" s="24"/>
    </row>
    <row r="1339">
      <c r="A1339" s="15">
        <v>1337.0</v>
      </c>
      <c r="B1339" s="16" t="s">
        <v>723</v>
      </c>
      <c r="C1339" s="18" t="s">
        <v>1936</v>
      </c>
      <c r="D1339" s="16" t="s">
        <v>1056</v>
      </c>
      <c r="E1339" s="16" t="s">
        <v>5451</v>
      </c>
      <c r="F1339" s="16" t="s">
        <v>5452</v>
      </c>
      <c r="G1339" s="16" t="s">
        <v>5453</v>
      </c>
      <c r="H1339" s="20" t="s">
        <v>69</v>
      </c>
      <c r="I1339" s="21" t="s">
        <v>70</v>
      </c>
      <c r="J1339" s="22" t="s">
        <v>71</v>
      </c>
      <c r="K1339" s="23">
        <v>57.0</v>
      </c>
      <c r="L1339" s="24">
        <v>10.0</v>
      </c>
      <c r="M1339" s="24" t="str">
        <f>IFERROR(VLOOKUP(D1339,'Chủ đề bài nguồn'!$A$2:$C$735,3,0),"Khác")</f>
        <v>Vay tiêu dùng &amp; tín chấp</v>
      </c>
      <c r="N1339" s="24"/>
    </row>
    <row r="1340">
      <c r="A1340" s="15">
        <v>1338.0</v>
      </c>
      <c r="B1340" s="16" t="s">
        <v>723</v>
      </c>
      <c r="C1340" s="18" t="s">
        <v>1940</v>
      </c>
      <c r="D1340" s="16" t="s">
        <v>2846</v>
      </c>
      <c r="E1340" s="16" t="s">
        <v>5454</v>
      </c>
      <c r="F1340" s="16" t="s">
        <v>5455</v>
      </c>
      <c r="G1340" s="16" t="s">
        <v>5456</v>
      </c>
      <c r="H1340" s="20" t="s">
        <v>69</v>
      </c>
      <c r="I1340" s="21" t="s">
        <v>70</v>
      </c>
      <c r="J1340" s="22" t="s">
        <v>71</v>
      </c>
      <c r="K1340" s="23">
        <v>57.0</v>
      </c>
      <c r="L1340" s="24">
        <v>11.0</v>
      </c>
      <c r="M1340" s="24" t="str">
        <f>IFERROR(VLOOKUP(D1340,'Chủ đề bài nguồn'!$A$2:$C$735,3,0),"Khác")</f>
        <v>Nợ xấu &amp; CIC</v>
      </c>
      <c r="N1340" s="24"/>
    </row>
    <row r="1341">
      <c r="A1341" s="15">
        <v>1339.0</v>
      </c>
      <c r="B1341" s="16" t="s">
        <v>723</v>
      </c>
      <c r="C1341" s="18" t="s">
        <v>1940</v>
      </c>
      <c r="D1341" s="16" t="s">
        <v>3344</v>
      </c>
      <c r="E1341" s="16" t="s">
        <v>5457</v>
      </c>
      <c r="F1341" s="16" t="s">
        <v>5458</v>
      </c>
      <c r="G1341" s="16" t="s">
        <v>5459</v>
      </c>
      <c r="H1341" s="20" t="s">
        <v>69</v>
      </c>
      <c r="I1341" s="21" t="s">
        <v>70</v>
      </c>
      <c r="J1341" s="22" t="s">
        <v>71</v>
      </c>
      <c r="K1341" s="23">
        <v>57.0</v>
      </c>
      <c r="L1341" s="24">
        <v>11.0</v>
      </c>
      <c r="M1341" s="24" t="str">
        <f>IFERROR(VLOOKUP(D1341,'Chủ đề bài nguồn'!$A$2:$C$735,3,0),"Khác")</f>
        <v>Vay tiêu dùng &amp; tín chấp</v>
      </c>
      <c r="N1341" s="24"/>
    </row>
    <row r="1342">
      <c r="A1342" s="15">
        <v>1340.0</v>
      </c>
      <c r="B1342" s="16" t="s">
        <v>723</v>
      </c>
      <c r="C1342" s="18" t="s">
        <v>1940</v>
      </c>
      <c r="D1342" s="16" t="s">
        <v>3290</v>
      </c>
      <c r="E1342" s="16" t="s">
        <v>5460</v>
      </c>
      <c r="F1342" s="16" t="s">
        <v>5461</v>
      </c>
      <c r="G1342" s="16" t="s">
        <v>5462</v>
      </c>
      <c r="H1342" s="20" t="s">
        <v>69</v>
      </c>
      <c r="I1342" s="21" t="s">
        <v>70</v>
      </c>
      <c r="J1342" s="22" t="s">
        <v>71</v>
      </c>
      <c r="K1342" s="23">
        <v>57.0</v>
      </c>
      <c r="L1342" s="24">
        <v>11.0</v>
      </c>
      <c r="M1342" s="24" t="str">
        <f>IFERROR(VLOOKUP(D1342,'Chủ đề bài nguồn'!$A$2:$C$735,3,0),"Khác")</f>
        <v>Vay tiêu dùng &amp; tín chấp</v>
      </c>
      <c r="N1342" s="24"/>
    </row>
    <row r="1343">
      <c r="A1343" s="15">
        <v>1341.0</v>
      </c>
      <c r="B1343" s="16" t="s">
        <v>723</v>
      </c>
      <c r="C1343" s="18" t="s">
        <v>1940</v>
      </c>
      <c r="D1343" s="16" t="s">
        <v>3304</v>
      </c>
      <c r="E1343" s="16" t="s">
        <v>5463</v>
      </c>
      <c r="F1343" s="16" t="s">
        <v>5464</v>
      </c>
      <c r="G1343" s="16" t="s">
        <v>5465</v>
      </c>
      <c r="H1343" s="20" t="s">
        <v>69</v>
      </c>
      <c r="I1343" s="21" t="s">
        <v>70</v>
      </c>
      <c r="J1343" s="22" t="s">
        <v>71</v>
      </c>
      <c r="K1343" s="23">
        <v>57.0</v>
      </c>
      <c r="L1343" s="24">
        <v>11.0</v>
      </c>
      <c r="M1343" s="24" t="str">
        <f>IFERROR(VLOOKUP(D1343,'Chủ đề bài nguồn'!$A$2:$C$735,3,0),"Khác")</f>
        <v>Vay thế chấp &amp; mua nhà/xe</v>
      </c>
      <c r="N1343" s="24"/>
    </row>
    <row r="1344">
      <c r="A1344" s="15">
        <v>1342.0</v>
      </c>
      <c r="B1344" s="16" t="s">
        <v>723</v>
      </c>
      <c r="C1344" s="18" t="s">
        <v>1940</v>
      </c>
      <c r="D1344" s="16" t="s">
        <v>3291</v>
      </c>
      <c r="E1344" s="16" t="s">
        <v>5466</v>
      </c>
      <c r="F1344" s="16" t="s">
        <v>5467</v>
      </c>
      <c r="G1344" s="16" t="s">
        <v>5468</v>
      </c>
      <c r="H1344" s="20" t="s">
        <v>69</v>
      </c>
      <c r="I1344" s="21" t="s">
        <v>70</v>
      </c>
      <c r="J1344" s="22" t="s">
        <v>2136</v>
      </c>
      <c r="K1344" s="23">
        <v>57.0</v>
      </c>
      <c r="L1344" s="24">
        <v>11.0</v>
      </c>
      <c r="M1344" s="24" t="str">
        <f>IFERROR(VLOOKUP(D1344,'Chủ đề bài nguồn'!$A$2:$C$735,3,0),"Khác")</f>
        <v>Vay tiêu dùng &amp; tín chấp</v>
      </c>
      <c r="N1344" s="24"/>
    </row>
    <row r="1345">
      <c r="A1345" s="15">
        <v>1343.0</v>
      </c>
      <c r="B1345" s="16" t="s">
        <v>723</v>
      </c>
      <c r="C1345" s="18" t="s">
        <v>1940</v>
      </c>
      <c r="D1345" s="16" t="s">
        <v>3284</v>
      </c>
      <c r="E1345" s="16" t="s">
        <v>5469</v>
      </c>
      <c r="F1345" s="16" t="s">
        <v>5470</v>
      </c>
      <c r="G1345" s="16" t="s">
        <v>5468</v>
      </c>
      <c r="H1345" s="20" t="s">
        <v>69</v>
      </c>
      <c r="I1345" s="21" t="s">
        <v>70</v>
      </c>
      <c r="J1345" s="22" t="s">
        <v>71</v>
      </c>
      <c r="K1345" s="23">
        <v>57.0</v>
      </c>
      <c r="L1345" s="24">
        <v>11.0</v>
      </c>
      <c r="M1345" s="24" t="str">
        <f>IFERROR(VLOOKUP(D1345,'Chủ đề bài nguồn'!$A$2:$C$735,3,0),"Khác")</f>
        <v>Vay tiêu dùng &amp; tín chấp</v>
      </c>
      <c r="N1345" s="24"/>
    </row>
    <row r="1346">
      <c r="A1346" s="15">
        <v>1344.0</v>
      </c>
      <c r="B1346" s="16" t="s">
        <v>723</v>
      </c>
      <c r="C1346" s="18" t="s">
        <v>1940</v>
      </c>
      <c r="D1346" s="16" t="s">
        <v>1953</v>
      </c>
      <c r="E1346" s="16" t="s">
        <v>5471</v>
      </c>
      <c r="F1346" s="16" t="s">
        <v>5472</v>
      </c>
      <c r="G1346" s="16" t="s">
        <v>5473</v>
      </c>
      <c r="H1346" s="20" t="s">
        <v>69</v>
      </c>
      <c r="I1346" s="21" t="s">
        <v>70</v>
      </c>
      <c r="J1346" s="22" t="s">
        <v>71</v>
      </c>
      <c r="K1346" s="23">
        <v>57.0</v>
      </c>
      <c r="L1346" s="24">
        <v>11.0</v>
      </c>
      <c r="M1346" s="24" t="str">
        <f>IFERROR(VLOOKUP(D1346,'Chủ đề bài nguồn'!$A$2:$C$735,3,0),"Khác")</f>
        <v>Hộ kinh doanh &amp; bán hàng</v>
      </c>
      <c r="N1346" s="24"/>
    </row>
    <row r="1347">
      <c r="A1347" s="15">
        <v>1345.0</v>
      </c>
      <c r="B1347" s="16" t="s">
        <v>723</v>
      </c>
      <c r="C1347" s="18" t="s">
        <v>1940</v>
      </c>
      <c r="D1347" s="16" t="s">
        <v>3286</v>
      </c>
      <c r="E1347" s="16" t="s">
        <v>5460</v>
      </c>
      <c r="F1347" s="16" t="s">
        <v>5474</v>
      </c>
      <c r="G1347" s="16" t="s">
        <v>5462</v>
      </c>
      <c r="H1347" s="20" t="s">
        <v>69</v>
      </c>
      <c r="I1347" s="21" t="s">
        <v>70</v>
      </c>
      <c r="J1347" s="22" t="s">
        <v>71</v>
      </c>
      <c r="K1347" s="23">
        <v>57.0</v>
      </c>
      <c r="L1347" s="24">
        <v>11.0</v>
      </c>
      <c r="M1347" s="24" t="str">
        <f>IFERROR(VLOOKUP(D1347,'Chủ đề bài nguồn'!$A$2:$C$735,3,0),"Khác")</f>
        <v>Vay tiêu dùng &amp; tín chấp</v>
      </c>
      <c r="N1347" s="24"/>
    </row>
    <row r="1348">
      <c r="A1348" s="15">
        <v>1346.0</v>
      </c>
      <c r="B1348" s="16" t="s">
        <v>723</v>
      </c>
      <c r="C1348" s="18" t="s">
        <v>1936</v>
      </c>
      <c r="D1348" s="16" t="s">
        <v>2800</v>
      </c>
      <c r="E1348" s="16" t="s">
        <v>5475</v>
      </c>
      <c r="F1348" s="16" t="s">
        <v>5476</v>
      </c>
      <c r="G1348" s="16" t="s">
        <v>5477</v>
      </c>
      <c r="H1348" s="20" t="s">
        <v>69</v>
      </c>
      <c r="I1348" s="21" t="s">
        <v>70</v>
      </c>
      <c r="J1348" s="22" t="s">
        <v>71</v>
      </c>
      <c r="K1348" s="23">
        <v>57.0</v>
      </c>
      <c r="L1348" s="24">
        <v>11.0</v>
      </c>
      <c r="M1348" s="24" t="str">
        <f>IFERROR(VLOOKUP(D1348,'Chủ đề bài nguồn'!$A$2:$C$735,3,0),"Khác")</f>
        <v>Tiết kiệm &amp; lãi suất tiền gửi</v>
      </c>
      <c r="N1348" s="24"/>
    </row>
    <row r="1349">
      <c r="A1349" s="15">
        <v>1347.0</v>
      </c>
      <c r="B1349" s="16" t="s">
        <v>723</v>
      </c>
      <c r="C1349" s="18" t="s">
        <v>1936</v>
      </c>
      <c r="D1349" s="16" t="s">
        <v>3104</v>
      </c>
      <c r="E1349" s="16" t="s">
        <v>5478</v>
      </c>
      <c r="F1349" s="16" t="s">
        <v>5479</v>
      </c>
      <c r="G1349" s="16" t="s">
        <v>5480</v>
      </c>
      <c r="H1349" s="20" t="s">
        <v>69</v>
      </c>
      <c r="I1349" s="21" t="s">
        <v>70</v>
      </c>
      <c r="J1349" s="22" t="s">
        <v>71</v>
      </c>
      <c r="K1349" s="23">
        <v>57.0</v>
      </c>
      <c r="L1349" s="24">
        <v>11.0</v>
      </c>
      <c r="M1349" s="24" t="str">
        <f>IFERROR(VLOOKUP(D1349,'Chủ đề bài nguồn'!$A$2:$C$735,3,0),"Khác")</f>
        <v>Vay thế chấp &amp; mua nhà/xe</v>
      </c>
      <c r="N1349" s="24"/>
    </row>
    <row r="1350">
      <c r="A1350" s="15">
        <v>1348.0</v>
      </c>
      <c r="B1350" s="16" t="s">
        <v>723</v>
      </c>
      <c r="C1350" s="18" t="s">
        <v>1936</v>
      </c>
      <c r="D1350" s="16" t="s">
        <v>2950</v>
      </c>
      <c r="E1350" s="16" t="s">
        <v>710</v>
      </c>
      <c r="F1350" s="16" t="s">
        <v>5481</v>
      </c>
      <c r="G1350" s="16" t="s">
        <v>5482</v>
      </c>
      <c r="H1350" s="20" t="s">
        <v>69</v>
      </c>
      <c r="I1350" s="21" t="s">
        <v>70</v>
      </c>
      <c r="J1350" s="22" t="s">
        <v>71</v>
      </c>
      <c r="K1350" s="23">
        <v>57.0</v>
      </c>
      <c r="L1350" s="24">
        <v>11.0</v>
      </c>
      <c r="M1350" s="24" t="str">
        <f>IFERROR(VLOOKUP(D1350,'Chủ đề bài nguồn'!$A$2:$C$735,3,0),"Khác")</f>
        <v>Vay thế chấp &amp; mua nhà/xe</v>
      </c>
      <c r="N1350" s="24"/>
    </row>
    <row r="1351">
      <c r="A1351" s="15">
        <v>1349.0</v>
      </c>
      <c r="B1351" s="16" t="s">
        <v>723</v>
      </c>
      <c r="C1351" s="18" t="s">
        <v>1936</v>
      </c>
      <c r="D1351" s="16" t="s">
        <v>236</v>
      </c>
      <c r="E1351" s="16" t="s">
        <v>5483</v>
      </c>
      <c r="F1351" s="16" t="s">
        <v>5484</v>
      </c>
      <c r="G1351" s="16" t="s">
        <v>5485</v>
      </c>
      <c r="H1351" s="20" t="s">
        <v>69</v>
      </c>
      <c r="I1351" s="21" t="s">
        <v>70</v>
      </c>
      <c r="J1351" s="22" t="s">
        <v>71</v>
      </c>
      <c r="K1351" s="23">
        <v>57.0</v>
      </c>
      <c r="L1351" s="24">
        <v>11.0</v>
      </c>
      <c r="M1351" s="24" t="str">
        <f>IFERROR(VLOOKUP(D1351,'Chủ đề bài nguồn'!$A$2:$C$735,3,0),"Khác")</f>
        <v>Vay thế chấp &amp; mua nhà/xe</v>
      </c>
      <c r="N1351" s="24"/>
    </row>
    <row r="1352">
      <c r="A1352" s="15">
        <v>1350.0</v>
      </c>
      <c r="B1352" s="16" t="s">
        <v>723</v>
      </c>
      <c r="C1352" s="18" t="s">
        <v>1940</v>
      </c>
      <c r="D1352" s="16" t="s">
        <v>2944</v>
      </c>
      <c r="E1352" s="16" t="s">
        <v>5486</v>
      </c>
      <c r="F1352" s="16" t="s">
        <v>5487</v>
      </c>
      <c r="G1352" s="16" t="s">
        <v>5488</v>
      </c>
      <c r="H1352" s="20" t="s">
        <v>155</v>
      </c>
      <c r="I1352" s="21" t="s">
        <v>70</v>
      </c>
      <c r="J1352" s="22" t="s">
        <v>71</v>
      </c>
      <c r="K1352" s="23">
        <v>57.0</v>
      </c>
      <c r="L1352" s="24">
        <v>21.0</v>
      </c>
      <c r="M1352" s="24" t="str">
        <f>IFERROR(VLOOKUP(D1352,'Chủ đề bài nguồn'!$A$2:$C$735,3,0),"Khác")</f>
        <v>Tiết kiệm &amp; lãi suất tiền gửi</v>
      </c>
      <c r="N1352" s="24"/>
    </row>
    <row r="1353">
      <c r="A1353" s="15">
        <v>1351.0</v>
      </c>
      <c r="B1353" s="16" t="s">
        <v>723</v>
      </c>
      <c r="C1353" s="18" t="s">
        <v>1940</v>
      </c>
      <c r="D1353" s="16" t="s">
        <v>624</v>
      </c>
      <c r="E1353" s="16" t="s">
        <v>5489</v>
      </c>
      <c r="F1353" s="16" t="s">
        <v>5490</v>
      </c>
      <c r="G1353" s="16" t="s">
        <v>5491</v>
      </c>
      <c r="H1353" s="20" t="s">
        <v>155</v>
      </c>
      <c r="I1353" s="21" t="s">
        <v>70</v>
      </c>
      <c r="J1353" s="22" t="s">
        <v>5492</v>
      </c>
      <c r="K1353" s="23">
        <v>57.0</v>
      </c>
      <c r="L1353" s="24">
        <v>21.0</v>
      </c>
      <c r="M1353" s="24" t="str">
        <f>IFERROR(VLOOKUP(D1353,'Chủ đề bài nguồn'!$A$2:$C$735,3,0),"Khác")</f>
        <v>Vay tiêu dùng &amp; tín chấp</v>
      </c>
      <c r="N1353" s="24"/>
    </row>
    <row r="1354">
      <c r="A1354" s="15">
        <v>1352.0</v>
      </c>
      <c r="B1354" s="16" t="s">
        <v>723</v>
      </c>
      <c r="C1354" s="18" t="s">
        <v>1940</v>
      </c>
      <c r="D1354" s="16" t="s">
        <v>1539</v>
      </c>
      <c r="E1354" s="16" t="s">
        <v>5493</v>
      </c>
      <c r="F1354" s="16" t="s">
        <v>5494</v>
      </c>
      <c r="G1354" s="16" t="s">
        <v>5495</v>
      </c>
      <c r="H1354" s="20" t="s">
        <v>155</v>
      </c>
      <c r="I1354" s="21" t="s">
        <v>70</v>
      </c>
      <c r="J1354" s="22" t="s">
        <v>71</v>
      </c>
      <c r="K1354" s="23">
        <v>57.0</v>
      </c>
      <c r="L1354" s="24">
        <v>21.0</v>
      </c>
      <c r="M1354" s="24" t="str">
        <f>IFERROR(VLOOKUP(D1354,'Chủ đề bài nguồn'!$A$2:$C$735,3,0),"Khác")</f>
        <v>Doanh nghiệp (tài khoản, vay, tài chính)</v>
      </c>
      <c r="N1354" s="24"/>
    </row>
    <row r="1355">
      <c r="A1355" s="15">
        <v>1353.0</v>
      </c>
      <c r="B1355" s="16" t="s">
        <v>723</v>
      </c>
      <c r="C1355" s="18" t="s">
        <v>1940</v>
      </c>
      <c r="D1355" s="16" t="s">
        <v>2949</v>
      </c>
      <c r="E1355" s="16" t="s">
        <v>5496</v>
      </c>
      <c r="F1355" s="16" t="s">
        <v>5497</v>
      </c>
      <c r="G1355" s="16" t="s">
        <v>5498</v>
      </c>
      <c r="H1355" s="20" t="s">
        <v>155</v>
      </c>
      <c r="I1355" s="21" t="s">
        <v>70</v>
      </c>
      <c r="J1355" s="22" t="s">
        <v>5492</v>
      </c>
      <c r="K1355" s="23">
        <v>57.0</v>
      </c>
      <c r="L1355" s="24">
        <v>21.0</v>
      </c>
      <c r="M1355" s="24" t="str">
        <f>IFERROR(VLOOKUP(D1355,'Chủ đề bài nguồn'!$A$2:$C$735,3,0),"Khác")</f>
        <v>Vay tiêu dùng &amp; tín chấp</v>
      </c>
      <c r="N1355" s="24"/>
    </row>
    <row r="1356">
      <c r="A1356" s="15">
        <v>1354.0</v>
      </c>
      <c r="B1356" s="16" t="s">
        <v>723</v>
      </c>
      <c r="C1356" s="18" t="s">
        <v>1940</v>
      </c>
      <c r="D1356" s="16" t="s">
        <v>3283</v>
      </c>
      <c r="E1356" s="16" t="s">
        <v>5499</v>
      </c>
      <c r="F1356" s="16" t="s">
        <v>5500</v>
      </c>
      <c r="G1356" s="16" t="s">
        <v>5501</v>
      </c>
      <c r="H1356" s="20" t="s">
        <v>155</v>
      </c>
      <c r="I1356" s="21" t="s">
        <v>70</v>
      </c>
      <c r="J1356" s="22" t="s">
        <v>1255</v>
      </c>
      <c r="K1356" s="23">
        <v>57.0</v>
      </c>
      <c r="L1356" s="24">
        <v>21.0</v>
      </c>
      <c r="M1356" s="24" t="str">
        <f>IFERROR(VLOOKUP(D1356,'Chủ đề bài nguồn'!$A$2:$C$735,3,0),"Khác")</f>
        <v>Vay tiêu dùng &amp; tín chấp</v>
      </c>
      <c r="N1356" s="24"/>
    </row>
    <row r="1357">
      <c r="A1357" s="15">
        <v>1355.0</v>
      </c>
      <c r="B1357" s="16" t="s">
        <v>723</v>
      </c>
      <c r="C1357" s="18" t="s">
        <v>1940</v>
      </c>
      <c r="D1357" s="16" t="s">
        <v>3258</v>
      </c>
      <c r="E1357" s="16" t="s">
        <v>5502</v>
      </c>
      <c r="F1357" s="16" t="s">
        <v>5503</v>
      </c>
      <c r="G1357" s="16" t="s">
        <v>5468</v>
      </c>
      <c r="H1357" s="20" t="s">
        <v>155</v>
      </c>
      <c r="I1357" s="21" t="s">
        <v>70</v>
      </c>
      <c r="J1357" s="22" t="s">
        <v>2136</v>
      </c>
      <c r="K1357" s="23">
        <v>57.0</v>
      </c>
      <c r="L1357" s="24">
        <v>21.0</v>
      </c>
      <c r="M1357" s="24" t="str">
        <f>IFERROR(VLOOKUP(D1357,'Chủ đề bài nguồn'!$A$2:$C$735,3,0),"Khác")</f>
        <v>Vay tiêu dùng &amp; tín chấp</v>
      </c>
      <c r="N1357" s="24"/>
    </row>
    <row r="1358">
      <c r="A1358" s="15">
        <v>1356.0</v>
      </c>
      <c r="B1358" s="16" t="s">
        <v>723</v>
      </c>
      <c r="C1358" s="18" t="s">
        <v>1940</v>
      </c>
      <c r="D1358" s="16" t="s">
        <v>2939</v>
      </c>
      <c r="E1358" s="16" t="s">
        <v>5504</v>
      </c>
      <c r="F1358" s="16" t="s">
        <v>5505</v>
      </c>
      <c r="G1358" s="16" t="s">
        <v>5506</v>
      </c>
      <c r="H1358" s="20" t="s">
        <v>155</v>
      </c>
      <c r="I1358" s="21" t="s">
        <v>70</v>
      </c>
      <c r="J1358" s="22" t="s">
        <v>71</v>
      </c>
      <c r="K1358" s="23">
        <v>57.0</v>
      </c>
      <c r="L1358" s="24">
        <v>21.0</v>
      </c>
      <c r="M1358" s="24" t="str">
        <f>IFERROR(VLOOKUP(D1358,'Chủ đề bài nguồn'!$A$2:$C$735,3,0),"Khác")</f>
        <v>Tiết kiệm &amp; lãi suất tiền gửi</v>
      </c>
      <c r="N1358" s="24"/>
    </row>
    <row r="1359">
      <c r="A1359" s="15">
        <v>1357.0</v>
      </c>
      <c r="B1359" s="16" t="s">
        <v>723</v>
      </c>
      <c r="C1359" s="18" t="s">
        <v>1940</v>
      </c>
      <c r="D1359" s="16" t="s">
        <v>3288</v>
      </c>
      <c r="E1359" s="16" t="s">
        <v>5507</v>
      </c>
      <c r="F1359" s="16" t="s">
        <v>5508</v>
      </c>
      <c r="G1359" s="16" t="s">
        <v>5468</v>
      </c>
      <c r="H1359" s="20" t="s">
        <v>155</v>
      </c>
      <c r="I1359" s="21" t="s">
        <v>70</v>
      </c>
      <c r="J1359" s="22" t="s">
        <v>2136</v>
      </c>
      <c r="K1359" s="23">
        <v>57.0</v>
      </c>
      <c r="L1359" s="24">
        <v>21.0</v>
      </c>
      <c r="M1359" s="24" t="str">
        <f>IFERROR(VLOOKUP(D1359,'Chủ đề bài nguồn'!$A$2:$C$735,3,0),"Khác")</f>
        <v>Vay tiêu dùng &amp; tín chấp</v>
      </c>
      <c r="N1359" s="24"/>
    </row>
    <row r="1360">
      <c r="A1360" s="15">
        <v>1358.0</v>
      </c>
      <c r="B1360" s="16" t="s">
        <v>723</v>
      </c>
      <c r="C1360" s="18" t="s">
        <v>1940</v>
      </c>
      <c r="D1360" s="16" t="s">
        <v>2940</v>
      </c>
      <c r="E1360" s="16" t="s">
        <v>5509</v>
      </c>
      <c r="F1360" s="16" t="s">
        <v>5510</v>
      </c>
      <c r="G1360" s="16" t="s">
        <v>5501</v>
      </c>
      <c r="H1360" s="20" t="s">
        <v>155</v>
      </c>
      <c r="I1360" s="21" t="s">
        <v>70</v>
      </c>
      <c r="J1360" s="22" t="s">
        <v>5511</v>
      </c>
      <c r="K1360" s="23">
        <v>57.0</v>
      </c>
      <c r="L1360" s="24">
        <v>21.0</v>
      </c>
      <c r="M1360" s="24" t="str">
        <f>IFERROR(VLOOKUP(D1360,'Chủ đề bài nguồn'!$A$2:$C$735,3,0),"Khác")</f>
        <v>Vay tiêu dùng &amp; tín chấp</v>
      </c>
      <c r="N1360" s="24"/>
    </row>
    <row r="1361">
      <c r="A1361" s="15">
        <v>1359.0</v>
      </c>
      <c r="B1361" s="16" t="s">
        <v>723</v>
      </c>
      <c r="C1361" s="18" t="s">
        <v>1940</v>
      </c>
      <c r="D1361" s="16" t="s">
        <v>2956</v>
      </c>
      <c r="E1361" s="16" t="s">
        <v>5512</v>
      </c>
      <c r="F1361" s="16" t="s">
        <v>5513</v>
      </c>
      <c r="G1361" s="16" t="s">
        <v>5514</v>
      </c>
      <c r="H1361" s="20" t="s">
        <v>155</v>
      </c>
      <c r="I1361" s="21" t="s">
        <v>70</v>
      </c>
      <c r="J1361" s="22" t="s">
        <v>71</v>
      </c>
      <c r="K1361" s="23">
        <v>57.0</v>
      </c>
      <c r="L1361" s="24">
        <v>21.0</v>
      </c>
      <c r="M1361" s="24" t="str">
        <f>IFERROR(VLOOKUP(D1361,'Chủ đề bài nguồn'!$A$2:$C$735,3,0),"Khác")</f>
        <v>Vay tiêu dùng &amp; tín chấp</v>
      </c>
      <c r="N1361" s="24"/>
    </row>
    <row r="1362">
      <c r="A1362" s="15">
        <v>1360.0</v>
      </c>
      <c r="B1362" s="39" t="s">
        <v>723</v>
      </c>
      <c r="C1362" s="18" t="s">
        <v>1940</v>
      </c>
      <c r="D1362" s="39" t="s">
        <v>3247</v>
      </c>
      <c r="E1362" s="16" t="s">
        <v>5515</v>
      </c>
      <c r="F1362" s="16" t="s">
        <v>5516</v>
      </c>
      <c r="G1362" s="16" t="s">
        <v>5517</v>
      </c>
      <c r="H1362" s="20" t="s">
        <v>155</v>
      </c>
      <c r="I1362" s="21" t="s">
        <v>70</v>
      </c>
      <c r="J1362" s="22" t="s">
        <v>71</v>
      </c>
      <c r="K1362" s="23">
        <v>57.0</v>
      </c>
      <c r="L1362" s="24">
        <v>21.0</v>
      </c>
      <c r="M1362" s="24" t="str">
        <f>IFERROR(VLOOKUP(D1362,'Chủ đề bài nguồn'!$A$2:$C$735,3,0),"Khác")</f>
        <v>Vay tiêu dùng &amp; tín chấp</v>
      </c>
      <c r="N1362" s="24"/>
    </row>
    <row r="1363">
      <c r="A1363" s="15">
        <v>1361.0</v>
      </c>
      <c r="B1363" s="39" t="s">
        <v>723</v>
      </c>
      <c r="C1363" s="18" t="s">
        <v>1940</v>
      </c>
      <c r="D1363" s="39" t="s">
        <v>3311</v>
      </c>
      <c r="E1363" s="16" t="s">
        <v>5518</v>
      </c>
      <c r="F1363" s="16" t="s">
        <v>5467</v>
      </c>
      <c r="G1363" s="16" t="s">
        <v>5468</v>
      </c>
      <c r="H1363" s="20" t="s">
        <v>155</v>
      </c>
      <c r="I1363" s="21" t="s">
        <v>70</v>
      </c>
      <c r="J1363" s="22" t="s">
        <v>5519</v>
      </c>
      <c r="K1363" s="23">
        <v>57.0</v>
      </c>
      <c r="L1363" s="24">
        <v>21.0</v>
      </c>
      <c r="M1363" s="24" t="str">
        <f>IFERROR(VLOOKUP(D1363,'Chủ đề bài nguồn'!$A$2:$C$735,3,0),"Khác")</f>
        <v>Vay tiêu dùng &amp; tín chấp</v>
      </c>
      <c r="N1363" s="24"/>
    </row>
    <row r="1364">
      <c r="A1364" s="15">
        <v>1362.0</v>
      </c>
      <c r="B1364" s="39" t="s">
        <v>723</v>
      </c>
      <c r="C1364" s="18" t="s">
        <v>1940</v>
      </c>
      <c r="D1364" s="39" t="s">
        <v>1608</v>
      </c>
      <c r="E1364" s="16" t="s">
        <v>5520</v>
      </c>
      <c r="F1364" s="16" t="s">
        <v>5467</v>
      </c>
      <c r="G1364" s="16" t="s">
        <v>5468</v>
      </c>
      <c r="H1364" s="20" t="s">
        <v>155</v>
      </c>
      <c r="I1364" s="21" t="s">
        <v>70</v>
      </c>
      <c r="J1364" s="22" t="s">
        <v>5519</v>
      </c>
      <c r="K1364" s="23">
        <v>57.0</v>
      </c>
      <c r="L1364" s="24">
        <v>21.0</v>
      </c>
      <c r="M1364" s="24" t="str">
        <f>IFERROR(VLOOKUP(D1364,'Chủ đề bài nguồn'!$A$2:$C$735,3,0),"Khác")</f>
        <v>Vay tiêu dùng &amp; tín chấp</v>
      </c>
      <c r="N1364" s="24"/>
    </row>
    <row r="1365">
      <c r="A1365" s="15">
        <v>1363.0</v>
      </c>
      <c r="B1365" s="16" t="s">
        <v>723</v>
      </c>
      <c r="C1365" s="18" t="s">
        <v>1936</v>
      </c>
      <c r="D1365" s="16" t="s">
        <v>1102</v>
      </c>
      <c r="E1365" s="16" t="s">
        <v>5521</v>
      </c>
      <c r="F1365" s="16" t="s">
        <v>5522</v>
      </c>
      <c r="G1365" s="16" t="s">
        <v>5523</v>
      </c>
      <c r="H1365" s="20" t="s">
        <v>155</v>
      </c>
      <c r="I1365" s="21" t="s">
        <v>70</v>
      </c>
      <c r="J1365" s="22" t="s">
        <v>71</v>
      </c>
      <c r="K1365" s="23">
        <v>57.0</v>
      </c>
      <c r="L1365" s="24">
        <v>21.0</v>
      </c>
      <c r="M1365" s="24" t="str">
        <f>IFERROR(VLOOKUP(D1365,'Chủ đề bài nguồn'!$A$2:$C$735,3,0),"Khác")</f>
        <v>Vay tiêu dùng &amp; tín chấp</v>
      </c>
      <c r="N1365" s="24"/>
    </row>
    <row r="1366">
      <c r="A1366" s="15">
        <v>1364.0</v>
      </c>
      <c r="B1366" s="16" t="s">
        <v>723</v>
      </c>
      <c r="C1366" s="18" t="s">
        <v>1936</v>
      </c>
      <c r="D1366" s="16" t="s">
        <v>2239</v>
      </c>
      <c r="E1366" s="16" t="s">
        <v>5524</v>
      </c>
      <c r="F1366" s="16" t="s">
        <v>5525</v>
      </c>
      <c r="G1366" s="16" t="s">
        <v>5526</v>
      </c>
      <c r="H1366" s="20" t="s">
        <v>155</v>
      </c>
      <c r="I1366" s="21" t="s">
        <v>70</v>
      </c>
      <c r="J1366" s="22" t="s">
        <v>71</v>
      </c>
      <c r="K1366" s="23">
        <v>57.0</v>
      </c>
      <c r="L1366" s="24">
        <v>21.0</v>
      </c>
      <c r="M1366" s="24" t="str">
        <f>IFERROR(VLOOKUP(D1366,'Chủ đề bài nguồn'!$A$2:$C$735,3,0),"Khác")</f>
        <v>Vay thế chấp &amp; mua nhà/xe</v>
      </c>
      <c r="N1366" s="24"/>
    </row>
    <row r="1367">
      <c r="A1367" s="15">
        <v>1365.0</v>
      </c>
      <c r="B1367" s="16" t="s">
        <v>723</v>
      </c>
      <c r="C1367" s="18" t="s">
        <v>1936</v>
      </c>
      <c r="D1367" s="16" t="s">
        <v>2955</v>
      </c>
      <c r="E1367" s="16" t="s">
        <v>5527</v>
      </c>
      <c r="F1367" s="16" t="s">
        <v>5528</v>
      </c>
      <c r="G1367" s="16" t="s">
        <v>5491</v>
      </c>
      <c r="H1367" s="20" t="s">
        <v>155</v>
      </c>
      <c r="I1367" s="21" t="s">
        <v>70</v>
      </c>
      <c r="J1367" s="22" t="s">
        <v>5492</v>
      </c>
      <c r="K1367" s="23">
        <v>57.0</v>
      </c>
      <c r="L1367" s="24">
        <v>21.0</v>
      </c>
      <c r="M1367" s="24" t="str">
        <f>IFERROR(VLOOKUP(D1367,'Chủ đề bài nguồn'!$A$2:$C$735,3,0),"Khác")</f>
        <v>Vay tiêu dùng &amp; tín chấp</v>
      </c>
      <c r="N1367" s="24"/>
    </row>
    <row r="1368">
      <c r="A1368" s="15">
        <v>1366.0</v>
      </c>
      <c r="B1368" s="16" t="s">
        <v>723</v>
      </c>
      <c r="C1368" s="18" t="s">
        <v>1936</v>
      </c>
      <c r="D1368" s="16" t="s">
        <v>2930</v>
      </c>
      <c r="E1368" s="16" t="s">
        <v>5529</v>
      </c>
      <c r="F1368" s="16" t="s">
        <v>5530</v>
      </c>
      <c r="G1368" s="16" t="s">
        <v>5531</v>
      </c>
      <c r="H1368" s="20" t="s">
        <v>155</v>
      </c>
      <c r="I1368" s="21" t="s">
        <v>70</v>
      </c>
      <c r="J1368" s="22" t="s">
        <v>619</v>
      </c>
      <c r="K1368" s="23">
        <v>57.0</v>
      </c>
      <c r="L1368" s="24">
        <v>21.0</v>
      </c>
      <c r="M1368" s="24" t="str">
        <f>IFERROR(VLOOKUP(D1368,'Chủ đề bài nguồn'!$A$2:$C$735,3,0),"Khác")</f>
        <v>Vay thế chấp &amp; mua nhà/xe</v>
      </c>
      <c r="N1368" s="24"/>
    </row>
    <row r="1369">
      <c r="A1369" s="15">
        <v>1367.0</v>
      </c>
      <c r="B1369" s="39" t="s">
        <v>723</v>
      </c>
      <c r="C1369" s="18" t="s">
        <v>1936</v>
      </c>
      <c r="D1369" s="39" t="s">
        <v>925</v>
      </c>
      <c r="E1369" s="16" t="s">
        <v>3393</v>
      </c>
      <c r="F1369" s="16" t="s">
        <v>5532</v>
      </c>
      <c r="G1369" s="16" t="s">
        <v>5533</v>
      </c>
      <c r="H1369" s="20" t="s">
        <v>155</v>
      </c>
      <c r="I1369" s="21" t="s">
        <v>70</v>
      </c>
      <c r="J1369" s="22" t="s">
        <v>71</v>
      </c>
      <c r="K1369" s="23">
        <v>57.0</v>
      </c>
      <c r="L1369" s="24">
        <v>21.0</v>
      </c>
      <c r="M1369" s="24" t="str">
        <f>IFERROR(VLOOKUP(D1369,'Chủ đề bài nguồn'!$A$2:$C$735,3,0),"Khác")</f>
        <v>Thẻ tín dụng</v>
      </c>
      <c r="N1369" s="24"/>
    </row>
    <row r="1370">
      <c r="A1370" s="15">
        <v>1368.0</v>
      </c>
      <c r="B1370" s="16" t="s">
        <v>723</v>
      </c>
      <c r="C1370" s="18" t="s">
        <v>1940</v>
      </c>
      <c r="D1370" s="16" t="s">
        <v>3039</v>
      </c>
      <c r="E1370" s="16" t="s">
        <v>5534</v>
      </c>
      <c r="F1370" s="16" t="s">
        <v>5535</v>
      </c>
      <c r="G1370" s="16" t="s">
        <v>5445</v>
      </c>
      <c r="H1370" s="20" t="s">
        <v>229</v>
      </c>
      <c r="I1370" s="21" t="s">
        <v>70</v>
      </c>
      <c r="J1370" s="22" t="s">
        <v>5536</v>
      </c>
      <c r="K1370" s="23">
        <v>57.0</v>
      </c>
      <c r="L1370" s="24">
        <v>30.0</v>
      </c>
      <c r="M1370" s="24" t="str">
        <f>IFERROR(VLOOKUP(D1370,'Chủ đề bài nguồn'!$A$2:$C$735,3,0),"Khác")</f>
        <v>Tiết kiệm &amp; lãi suất tiền gửi</v>
      </c>
      <c r="N1370" s="24"/>
    </row>
    <row r="1371">
      <c r="A1371" s="15">
        <v>1369.0</v>
      </c>
      <c r="B1371" s="39" t="s">
        <v>723</v>
      </c>
      <c r="C1371" s="18" t="s">
        <v>1940</v>
      </c>
      <c r="D1371" s="39" t="s">
        <v>2976</v>
      </c>
      <c r="E1371" s="16" t="s">
        <v>5537</v>
      </c>
      <c r="F1371" s="16" t="s">
        <v>5538</v>
      </c>
      <c r="G1371" s="16" t="s">
        <v>5539</v>
      </c>
      <c r="H1371" s="20" t="s">
        <v>229</v>
      </c>
      <c r="I1371" s="21" t="s">
        <v>70</v>
      </c>
      <c r="J1371" s="22" t="s">
        <v>71</v>
      </c>
      <c r="K1371" s="23">
        <v>57.0</v>
      </c>
      <c r="L1371" s="24">
        <v>31.0</v>
      </c>
      <c r="M1371" s="24" t="str">
        <f>IFERROR(VLOOKUP(D1371,'Chủ đề bài nguồn'!$A$2:$C$735,3,0),"Khác")</f>
        <v>Doanh nghiệp (tài khoản, vay, tài chính)</v>
      </c>
      <c r="N1371" s="24"/>
    </row>
    <row r="1372">
      <c r="A1372" s="15">
        <v>1370.0</v>
      </c>
      <c r="B1372" s="16" t="s">
        <v>723</v>
      </c>
      <c r="C1372" s="18" t="s">
        <v>1936</v>
      </c>
      <c r="D1372" s="16" t="s">
        <v>3194</v>
      </c>
      <c r="E1372" s="16" t="s">
        <v>5540</v>
      </c>
      <c r="F1372" s="16" t="s">
        <v>5541</v>
      </c>
      <c r="G1372" s="16" t="s">
        <v>5542</v>
      </c>
      <c r="H1372" s="20" t="s">
        <v>229</v>
      </c>
      <c r="I1372" s="21" t="s">
        <v>70</v>
      </c>
      <c r="J1372" s="22" t="s">
        <v>71</v>
      </c>
      <c r="K1372" s="23">
        <v>57.0</v>
      </c>
      <c r="L1372" s="24">
        <v>31.0</v>
      </c>
      <c r="M1372" s="24" t="str">
        <f>IFERROR(VLOOKUP(D1372,'Chủ đề bài nguồn'!$A$2:$C$735,3,0),"Khác")</f>
        <v>Thẻ tín dụng</v>
      </c>
      <c r="N1372" s="24"/>
    </row>
    <row r="1373">
      <c r="A1373" s="15">
        <v>1371.0</v>
      </c>
      <c r="B1373" s="16" t="s">
        <v>723</v>
      </c>
      <c r="C1373" s="18" t="s">
        <v>1936</v>
      </c>
      <c r="D1373" s="16" t="s">
        <v>2394</v>
      </c>
      <c r="E1373" s="16" t="s">
        <v>5543</v>
      </c>
      <c r="F1373" s="16" t="s">
        <v>5544</v>
      </c>
      <c r="G1373" s="16" t="s">
        <v>5545</v>
      </c>
      <c r="H1373" s="20" t="s">
        <v>229</v>
      </c>
      <c r="I1373" s="21" t="s">
        <v>70</v>
      </c>
      <c r="J1373" s="22" t="s">
        <v>5546</v>
      </c>
      <c r="K1373" s="23">
        <v>57.0</v>
      </c>
      <c r="L1373" s="24">
        <v>31.0</v>
      </c>
      <c r="M1373" s="24" t="str">
        <f>IFERROR(VLOOKUP(D1373,'Chủ đề bài nguồn'!$A$2:$C$735,3,0),"Khác")</f>
        <v>Thẻ tín dụng</v>
      </c>
      <c r="N1373" s="24"/>
    </row>
    <row r="1374">
      <c r="A1374" s="15">
        <v>1372.0</v>
      </c>
      <c r="B1374" s="16" t="s">
        <v>723</v>
      </c>
      <c r="C1374" s="18" t="s">
        <v>1936</v>
      </c>
      <c r="D1374" s="16" t="s">
        <v>3217</v>
      </c>
      <c r="E1374" s="16" t="s">
        <v>710</v>
      </c>
      <c r="F1374" s="16" t="s">
        <v>5547</v>
      </c>
      <c r="G1374" s="16" t="s">
        <v>5548</v>
      </c>
      <c r="H1374" s="20" t="s">
        <v>229</v>
      </c>
      <c r="I1374" s="21" t="s">
        <v>70</v>
      </c>
      <c r="J1374" s="22" t="s">
        <v>5549</v>
      </c>
      <c r="K1374" s="23">
        <v>57.0</v>
      </c>
      <c r="L1374" s="24">
        <v>31.0</v>
      </c>
      <c r="M1374" s="24" t="str">
        <f>IFERROR(VLOOKUP(D1374,'Chủ đề bài nguồn'!$A$2:$C$735,3,0),"Khác")</f>
        <v>Vay thế chấp &amp; mua nhà/xe</v>
      </c>
      <c r="N1374" s="24"/>
    </row>
    <row r="1375">
      <c r="A1375" s="15">
        <v>1373.0</v>
      </c>
      <c r="B1375" s="16" t="s">
        <v>723</v>
      </c>
      <c r="C1375" s="18" t="s">
        <v>1936</v>
      </c>
      <c r="D1375" s="16" t="s">
        <v>3260</v>
      </c>
      <c r="E1375" s="16" t="s">
        <v>5550</v>
      </c>
      <c r="F1375" s="16" t="s">
        <v>5551</v>
      </c>
      <c r="G1375" s="16" t="s">
        <v>5495</v>
      </c>
      <c r="H1375" s="20" t="s">
        <v>229</v>
      </c>
      <c r="I1375" s="21" t="s">
        <v>70</v>
      </c>
      <c r="J1375" s="22" t="s">
        <v>4865</v>
      </c>
      <c r="K1375" s="23">
        <v>57.0</v>
      </c>
      <c r="L1375" s="24">
        <v>31.0</v>
      </c>
      <c r="M1375" s="24" t="str">
        <f>IFERROR(VLOOKUP(D1375,'Chủ đề bài nguồn'!$A$2:$C$735,3,0),"Khác")</f>
        <v>Vay tiêu dùng &amp; tín chấp</v>
      </c>
      <c r="N1375" s="24"/>
    </row>
    <row r="1376">
      <c r="A1376" s="15">
        <v>1374.0</v>
      </c>
      <c r="B1376" s="16" t="s">
        <v>236</v>
      </c>
      <c r="C1376" s="18" t="s">
        <v>4018</v>
      </c>
      <c r="D1376" s="16" t="s">
        <v>2887</v>
      </c>
      <c r="E1376" s="16" t="s">
        <v>5552</v>
      </c>
      <c r="F1376" s="16" t="s">
        <v>5553</v>
      </c>
      <c r="G1376" s="16" t="s">
        <v>5554</v>
      </c>
      <c r="H1376" s="20" t="s">
        <v>69</v>
      </c>
      <c r="I1376" s="21" t="s">
        <v>70</v>
      </c>
      <c r="J1376" s="22" t="s">
        <v>71</v>
      </c>
      <c r="K1376" s="23">
        <v>58.0</v>
      </c>
      <c r="L1376" s="24">
        <v>10.0</v>
      </c>
      <c r="M1376" s="24" t="str">
        <f>IFERROR(VLOOKUP(D1376,'Chủ đề bài nguồn'!$A$2:$C$735,3,0),"Khác")</f>
        <v>Vay thế chấp &amp; mua nhà/xe</v>
      </c>
      <c r="N1376" s="24"/>
    </row>
    <row r="1377">
      <c r="A1377" s="15">
        <v>1375.0</v>
      </c>
      <c r="B1377" s="16" t="s">
        <v>236</v>
      </c>
      <c r="C1377" s="18" t="s">
        <v>4018</v>
      </c>
      <c r="D1377" s="16" t="s">
        <v>1625</v>
      </c>
      <c r="E1377" s="16" t="s">
        <v>2181</v>
      </c>
      <c r="F1377" s="16" t="s">
        <v>5555</v>
      </c>
      <c r="G1377" s="16" t="s">
        <v>5554</v>
      </c>
      <c r="H1377" s="20" t="s">
        <v>69</v>
      </c>
      <c r="I1377" s="21" t="s">
        <v>70</v>
      </c>
      <c r="J1377" s="22" t="s">
        <v>71</v>
      </c>
      <c r="K1377" s="23">
        <v>58.0</v>
      </c>
      <c r="L1377" s="24">
        <v>10.0</v>
      </c>
      <c r="M1377" s="24" t="str">
        <f>IFERROR(VLOOKUP(D1377,'Chủ đề bài nguồn'!$A$2:$C$735,3,0),"Khác")</f>
        <v>Tài khoản &amp; ngân hàng số</v>
      </c>
      <c r="N1377" s="24"/>
    </row>
    <row r="1378">
      <c r="A1378" s="15">
        <v>1376.0</v>
      </c>
      <c r="B1378" s="16" t="s">
        <v>236</v>
      </c>
      <c r="C1378" s="18" t="s">
        <v>4018</v>
      </c>
      <c r="D1378" s="16" t="s">
        <v>3324</v>
      </c>
      <c r="E1378" s="16" t="s">
        <v>5556</v>
      </c>
      <c r="F1378" s="16" t="s">
        <v>5557</v>
      </c>
      <c r="G1378" s="16" t="s">
        <v>5554</v>
      </c>
      <c r="H1378" s="20" t="s">
        <v>69</v>
      </c>
      <c r="I1378" s="21" t="s">
        <v>70</v>
      </c>
      <c r="J1378" s="22" t="s">
        <v>71</v>
      </c>
      <c r="K1378" s="23">
        <v>58.0</v>
      </c>
      <c r="L1378" s="24">
        <v>10.0</v>
      </c>
      <c r="M1378" s="24" t="str">
        <f>IFERROR(VLOOKUP(D1378,'Chủ đề bài nguồn'!$A$2:$C$735,3,0),"Khác")</f>
        <v>Vay thế chấp &amp; mua nhà/xe</v>
      </c>
      <c r="N1378" s="24"/>
    </row>
    <row r="1379">
      <c r="A1379" s="15">
        <v>1377.0</v>
      </c>
      <c r="B1379" s="16" t="s">
        <v>236</v>
      </c>
      <c r="C1379" s="18" t="s">
        <v>4028</v>
      </c>
      <c r="D1379" s="16" t="s">
        <v>1898</v>
      </c>
      <c r="E1379" s="16" t="s">
        <v>5558</v>
      </c>
      <c r="F1379" s="16" t="s">
        <v>5559</v>
      </c>
      <c r="G1379" s="16" t="s">
        <v>5560</v>
      </c>
      <c r="H1379" s="20" t="s">
        <v>69</v>
      </c>
      <c r="I1379" s="21" t="s">
        <v>70</v>
      </c>
      <c r="J1379" s="22" t="s">
        <v>71</v>
      </c>
      <c r="K1379" s="23">
        <v>58.0</v>
      </c>
      <c r="L1379" s="24">
        <v>11.0</v>
      </c>
      <c r="M1379" s="24" t="str">
        <f>IFERROR(VLOOKUP(D1379,'Chủ đề bài nguồn'!$A$2:$C$735,3,0),"Khác")</f>
        <v>Vay thế chấp &amp; mua nhà/xe</v>
      </c>
      <c r="N1379" s="24"/>
    </row>
    <row r="1380">
      <c r="A1380" s="15">
        <v>1378.0</v>
      </c>
      <c r="B1380" s="16" t="s">
        <v>236</v>
      </c>
      <c r="C1380" s="18" t="s">
        <v>4028</v>
      </c>
      <c r="D1380" s="16" t="s">
        <v>3320</v>
      </c>
      <c r="E1380" s="16" t="s">
        <v>5561</v>
      </c>
      <c r="F1380" s="16" t="s">
        <v>5562</v>
      </c>
      <c r="G1380" s="16" t="s">
        <v>5563</v>
      </c>
      <c r="H1380" s="20" t="s">
        <v>69</v>
      </c>
      <c r="I1380" s="21" t="s">
        <v>70</v>
      </c>
      <c r="J1380" s="22" t="s">
        <v>71</v>
      </c>
      <c r="K1380" s="23">
        <v>58.0</v>
      </c>
      <c r="L1380" s="24">
        <v>11.0</v>
      </c>
      <c r="M1380" s="24" t="str">
        <f>IFERROR(VLOOKUP(D1380,'Chủ đề bài nguồn'!$A$2:$C$735,3,0),"Khác")</f>
        <v>Vay thế chấp &amp; mua nhà/xe</v>
      </c>
      <c r="N1380" s="24"/>
    </row>
    <row r="1381">
      <c r="A1381" s="15">
        <v>1379.0</v>
      </c>
      <c r="B1381" s="16" t="s">
        <v>236</v>
      </c>
      <c r="C1381" s="18" t="s">
        <v>2117</v>
      </c>
      <c r="D1381" s="16" t="s">
        <v>2928</v>
      </c>
      <c r="E1381" s="16" t="s">
        <v>5564</v>
      </c>
      <c r="F1381" s="16" t="s">
        <v>5565</v>
      </c>
      <c r="G1381" s="16" t="s">
        <v>5566</v>
      </c>
      <c r="H1381" s="20" t="s">
        <v>155</v>
      </c>
      <c r="I1381" s="21" t="s">
        <v>70</v>
      </c>
      <c r="J1381" s="22" t="s">
        <v>71</v>
      </c>
      <c r="K1381" s="23">
        <v>58.0</v>
      </c>
      <c r="L1381" s="24">
        <v>21.0</v>
      </c>
      <c r="M1381" s="24" t="str">
        <f>IFERROR(VLOOKUP(D1381,'Chủ đề bài nguồn'!$A$2:$C$735,3,0),"Khác")</f>
        <v>Vay thế chấp &amp; mua nhà/xe</v>
      </c>
      <c r="N1381" s="24"/>
    </row>
    <row r="1382">
      <c r="A1382" s="15">
        <v>1380.0</v>
      </c>
      <c r="B1382" s="16" t="s">
        <v>236</v>
      </c>
      <c r="C1382" s="18" t="s">
        <v>2117</v>
      </c>
      <c r="D1382" s="16" t="s">
        <v>3082</v>
      </c>
      <c r="E1382" s="16" t="s">
        <v>5443</v>
      </c>
      <c r="F1382" s="16" t="s">
        <v>5567</v>
      </c>
      <c r="G1382" s="16" t="s">
        <v>5568</v>
      </c>
      <c r="H1382" s="20" t="s">
        <v>155</v>
      </c>
      <c r="I1382" s="21" t="s">
        <v>70</v>
      </c>
      <c r="J1382" s="22" t="s">
        <v>71</v>
      </c>
      <c r="K1382" s="23">
        <v>58.0</v>
      </c>
      <c r="L1382" s="24">
        <v>21.0</v>
      </c>
      <c r="M1382" s="24" t="str">
        <f>IFERROR(VLOOKUP(D1382,'Chủ đề bài nguồn'!$A$2:$C$735,3,0),"Khác")</f>
        <v>Vay thế chấp &amp; mua nhà/xe</v>
      </c>
      <c r="N1382" s="24"/>
    </row>
    <row r="1383">
      <c r="A1383" s="15">
        <v>1381.0</v>
      </c>
      <c r="B1383" s="16" t="s">
        <v>236</v>
      </c>
      <c r="C1383" s="18" t="s">
        <v>2117</v>
      </c>
      <c r="D1383" s="16" t="s">
        <v>2838</v>
      </c>
      <c r="E1383" s="16" t="s">
        <v>5569</v>
      </c>
      <c r="F1383" s="16" t="s">
        <v>5570</v>
      </c>
      <c r="G1383" s="16" t="s">
        <v>5571</v>
      </c>
      <c r="H1383" s="20" t="s">
        <v>155</v>
      </c>
      <c r="I1383" s="21" t="s">
        <v>70</v>
      </c>
      <c r="J1383" s="22" t="s">
        <v>71</v>
      </c>
      <c r="K1383" s="23">
        <v>58.0</v>
      </c>
      <c r="L1383" s="24">
        <v>21.0</v>
      </c>
      <c r="M1383" s="24" t="str">
        <f>IFERROR(VLOOKUP(D1383,'Chủ đề bài nguồn'!$A$2:$C$735,3,0),"Khác")</f>
        <v>Vay thế chấp &amp; mua nhà/xe</v>
      </c>
      <c r="N1383" s="24"/>
    </row>
    <row r="1384">
      <c r="A1384" s="15">
        <v>1382.0</v>
      </c>
      <c r="B1384" s="16" t="s">
        <v>236</v>
      </c>
      <c r="C1384" s="18" t="s">
        <v>4020</v>
      </c>
      <c r="D1384" s="16" t="s">
        <v>3325</v>
      </c>
      <c r="E1384" s="16" t="s">
        <v>5572</v>
      </c>
      <c r="F1384" s="16" t="s">
        <v>5573</v>
      </c>
      <c r="G1384" s="16" t="s">
        <v>5574</v>
      </c>
      <c r="H1384" s="20" t="s">
        <v>155</v>
      </c>
      <c r="I1384" s="21" t="s">
        <v>70</v>
      </c>
      <c r="J1384" s="22" t="s">
        <v>5575</v>
      </c>
      <c r="K1384" s="23">
        <v>58.0</v>
      </c>
      <c r="L1384" s="24">
        <v>21.0</v>
      </c>
      <c r="M1384" s="24" t="str">
        <f>IFERROR(VLOOKUP(D1384,'Chủ đề bài nguồn'!$A$2:$C$735,3,0),"Khác")</f>
        <v>Vay thế chấp &amp; mua nhà/xe</v>
      </c>
      <c r="N1384" s="24"/>
    </row>
    <row r="1385">
      <c r="A1385" s="15">
        <v>1383.0</v>
      </c>
      <c r="B1385" s="16" t="s">
        <v>236</v>
      </c>
      <c r="C1385" s="18" t="s">
        <v>4018</v>
      </c>
      <c r="D1385" s="16" t="s">
        <v>3104</v>
      </c>
      <c r="E1385" s="16" t="s">
        <v>5576</v>
      </c>
      <c r="F1385" s="16" t="s">
        <v>5577</v>
      </c>
      <c r="G1385" s="16" t="s">
        <v>5578</v>
      </c>
      <c r="H1385" s="20" t="s">
        <v>155</v>
      </c>
      <c r="I1385" s="21" t="s">
        <v>70</v>
      </c>
      <c r="J1385" s="22" t="s">
        <v>5579</v>
      </c>
      <c r="K1385" s="23">
        <v>58.0</v>
      </c>
      <c r="L1385" s="24">
        <v>21.0</v>
      </c>
      <c r="M1385" s="24" t="str">
        <f>IFERROR(VLOOKUP(D1385,'Chủ đề bài nguồn'!$A$2:$C$735,3,0),"Khác")</f>
        <v>Vay thế chấp &amp; mua nhà/xe</v>
      </c>
      <c r="N1385" s="24"/>
    </row>
    <row r="1386">
      <c r="A1386" s="15">
        <v>1384.0</v>
      </c>
      <c r="B1386" s="16" t="s">
        <v>236</v>
      </c>
      <c r="C1386" s="18" t="s">
        <v>4018</v>
      </c>
      <c r="D1386" s="16" t="s">
        <v>3326</v>
      </c>
      <c r="E1386" s="16" t="s">
        <v>5580</v>
      </c>
      <c r="F1386" s="16" t="s">
        <v>5581</v>
      </c>
      <c r="G1386" s="16" t="s">
        <v>5582</v>
      </c>
      <c r="H1386" s="20" t="s">
        <v>155</v>
      </c>
      <c r="I1386" s="21" t="s">
        <v>70</v>
      </c>
      <c r="J1386" s="22" t="s">
        <v>71</v>
      </c>
      <c r="K1386" s="23">
        <v>58.0</v>
      </c>
      <c r="L1386" s="24">
        <v>21.0</v>
      </c>
      <c r="M1386" s="24" t="str">
        <f>IFERROR(VLOOKUP(D1386,'Chủ đề bài nguồn'!$A$2:$C$735,3,0),"Khác")</f>
        <v>Vay thế chấp &amp; mua nhà/xe</v>
      </c>
      <c r="N1386" s="24"/>
    </row>
    <row r="1387">
      <c r="A1387" s="15">
        <v>1385.0</v>
      </c>
      <c r="B1387" s="39" t="s">
        <v>236</v>
      </c>
      <c r="C1387" s="18" t="s">
        <v>4018</v>
      </c>
      <c r="D1387" s="39" t="s">
        <v>3144</v>
      </c>
      <c r="E1387" s="16" t="s">
        <v>5583</v>
      </c>
      <c r="F1387" s="16" t="s">
        <v>5584</v>
      </c>
      <c r="G1387" s="16" t="s">
        <v>5585</v>
      </c>
      <c r="H1387" s="20" t="s">
        <v>155</v>
      </c>
      <c r="I1387" s="21" t="s">
        <v>70</v>
      </c>
      <c r="J1387" s="22" t="s">
        <v>71</v>
      </c>
      <c r="K1387" s="23">
        <v>58.0</v>
      </c>
      <c r="L1387" s="24">
        <v>21.0</v>
      </c>
      <c r="M1387" s="24" t="str">
        <f>IFERROR(VLOOKUP(D1387,'Chủ đề bài nguồn'!$A$2:$C$735,3,0),"Khác")</f>
        <v>Đầu tư, CCTG, trái phiếu, vàng</v>
      </c>
      <c r="N1387" s="24"/>
    </row>
    <row r="1388">
      <c r="A1388" s="15">
        <v>1386.0</v>
      </c>
      <c r="B1388" s="16" t="s">
        <v>236</v>
      </c>
      <c r="C1388" s="18" t="s">
        <v>4028</v>
      </c>
      <c r="D1388" s="16" t="s">
        <v>3310</v>
      </c>
      <c r="E1388" s="16" t="s">
        <v>5586</v>
      </c>
      <c r="F1388" s="16" t="s">
        <v>5587</v>
      </c>
      <c r="G1388" s="16" t="s">
        <v>5588</v>
      </c>
      <c r="H1388" s="20" t="s">
        <v>155</v>
      </c>
      <c r="I1388" s="21" t="s">
        <v>70</v>
      </c>
      <c r="J1388" s="22" t="s">
        <v>71</v>
      </c>
      <c r="K1388" s="23">
        <v>58.0</v>
      </c>
      <c r="L1388" s="24">
        <v>21.0</v>
      </c>
      <c r="M1388" s="24" t="str">
        <f>IFERROR(VLOOKUP(D1388,'Chủ đề bài nguồn'!$A$2:$C$735,3,0),"Khác")</f>
        <v>Hộ kinh doanh &amp; bán hàng</v>
      </c>
      <c r="N1388" s="24"/>
    </row>
    <row r="1389">
      <c r="A1389" s="15">
        <v>1387.0</v>
      </c>
      <c r="B1389" s="16" t="s">
        <v>236</v>
      </c>
      <c r="C1389" s="18" t="s">
        <v>4028</v>
      </c>
      <c r="D1389" s="16" t="s">
        <v>3317</v>
      </c>
      <c r="E1389" s="16" t="s">
        <v>5589</v>
      </c>
      <c r="F1389" s="16" t="s">
        <v>5590</v>
      </c>
      <c r="G1389" s="16" t="s">
        <v>5591</v>
      </c>
      <c r="H1389" s="20" t="s">
        <v>155</v>
      </c>
      <c r="I1389" s="21" t="s">
        <v>70</v>
      </c>
      <c r="J1389" s="22" t="s">
        <v>71</v>
      </c>
      <c r="K1389" s="23">
        <v>58.0</v>
      </c>
      <c r="L1389" s="24">
        <v>21.0</v>
      </c>
      <c r="M1389" s="24" t="str">
        <f>IFERROR(VLOOKUP(D1389,'Chủ đề bài nguồn'!$A$2:$C$735,3,0),"Khác")</f>
        <v>Vay thế chấp &amp; mua nhà/xe</v>
      </c>
      <c r="N1389" s="24"/>
    </row>
    <row r="1390">
      <c r="A1390" s="15">
        <v>1388.0</v>
      </c>
      <c r="B1390" s="16" t="s">
        <v>236</v>
      </c>
      <c r="C1390" s="18" t="s">
        <v>2117</v>
      </c>
      <c r="D1390" s="16" t="s">
        <v>3345</v>
      </c>
      <c r="E1390" s="16" t="s">
        <v>5592</v>
      </c>
      <c r="F1390" s="16" t="s">
        <v>5593</v>
      </c>
      <c r="G1390" s="16" t="s">
        <v>5594</v>
      </c>
      <c r="H1390" s="20" t="s">
        <v>229</v>
      </c>
      <c r="I1390" s="21" t="s">
        <v>70</v>
      </c>
      <c r="J1390" s="22" t="s">
        <v>5595</v>
      </c>
      <c r="K1390" s="23">
        <v>58.0</v>
      </c>
      <c r="L1390" s="24">
        <v>31.0</v>
      </c>
      <c r="M1390" s="24" t="str">
        <f>IFERROR(VLOOKUP(D1390,'Chủ đề bài nguồn'!$A$2:$C$735,3,0),"Khác")</f>
        <v>Vay thế chấp &amp; mua nhà/xe</v>
      </c>
      <c r="N1390" s="24"/>
    </row>
    <row r="1391">
      <c r="A1391" s="15">
        <v>1389.0</v>
      </c>
      <c r="B1391" s="16" t="s">
        <v>236</v>
      </c>
      <c r="C1391" s="18" t="s">
        <v>2117</v>
      </c>
      <c r="D1391" s="16" t="s">
        <v>3172</v>
      </c>
      <c r="E1391" s="16" t="s">
        <v>3592</v>
      </c>
      <c r="F1391" s="16" t="s">
        <v>5596</v>
      </c>
      <c r="G1391" s="16" t="s">
        <v>5597</v>
      </c>
      <c r="H1391" s="20" t="s">
        <v>229</v>
      </c>
      <c r="I1391" s="21" t="s">
        <v>70</v>
      </c>
      <c r="J1391" s="22" t="s">
        <v>5598</v>
      </c>
      <c r="K1391" s="23">
        <v>58.0</v>
      </c>
      <c r="L1391" s="24">
        <v>31.0</v>
      </c>
      <c r="M1391" s="24" t="str">
        <f>IFERROR(VLOOKUP(D1391,'Chủ đề bài nguồn'!$A$2:$C$735,3,0),"Khác")</f>
        <v>Vay thế chấp &amp; mua nhà/xe</v>
      </c>
      <c r="N1391" s="24"/>
    </row>
    <row r="1392">
      <c r="A1392" s="15">
        <v>1390.0</v>
      </c>
      <c r="B1392" s="16" t="s">
        <v>236</v>
      </c>
      <c r="C1392" s="18" t="s">
        <v>4018</v>
      </c>
      <c r="D1392" s="16" t="s">
        <v>1116</v>
      </c>
      <c r="E1392" s="16" t="s">
        <v>710</v>
      </c>
      <c r="F1392" s="16" t="s">
        <v>5599</v>
      </c>
      <c r="G1392" s="16" t="s">
        <v>5600</v>
      </c>
      <c r="H1392" s="20" t="s">
        <v>229</v>
      </c>
      <c r="I1392" s="21" t="s">
        <v>70</v>
      </c>
      <c r="J1392" s="22" t="s">
        <v>71</v>
      </c>
      <c r="K1392" s="23">
        <v>58.0</v>
      </c>
      <c r="L1392" s="24">
        <v>31.0</v>
      </c>
      <c r="M1392" s="24" t="str">
        <f>IFERROR(VLOOKUP(D1392,'Chủ đề bài nguồn'!$A$2:$C$735,3,0),"Khác")</f>
        <v>Vay thế chấp &amp; mua nhà/xe</v>
      </c>
      <c r="N1392" s="24"/>
    </row>
    <row r="1393">
      <c r="A1393" s="15">
        <v>1391.0</v>
      </c>
      <c r="B1393" s="16" t="s">
        <v>236</v>
      </c>
      <c r="C1393" s="18" t="s">
        <v>4028</v>
      </c>
      <c r="D1393" s="16" t="s">
        <v>2365</v>
      </c>
      <c r="E1393" s="16" t="s">
        <v>2366</v>
      </c>
      <c r="F1393" s="16" t="s">
        <v>5601</v>
      </c>
      <c r="G1393" s="16" t="s">
        <v>5602</v>
      </c>
      <c r="H1393" s="20" t="s">
        <v>229</v>
      </c>
      <c r="I1393" s="21" t="s">
        <v>70</v>
      </c>
      <c r="J1393" s="22" t="s">
        <v>71</v>
      </c>
      <c r="K1393" s="23">
        <v>58.0</v>
      </c>
      <c r="L1393" s="24">
        <v>31.0</v>
      </c>
      <c r="M1393" s="24" t="str">
        <f>IFERROR(VLOOKUP(D1393,'Chủ đề bài nguồn'!$A$2:$C$735,3,0),"Khác")</f>
        <v>Vay thế chấp &amp; mua nhà/xe</v>
      </c>
      <c r="N1393" s="24"/>
    </row>
    <row r="1394">
      <c r="A1394" s="15">
        <v>1392.0</v>
      </c>
      <c r="B1394" s="16" t="s">
        <v>236</v>
      </c>
      <c r="C1394" s="18" t="s">
        <v>4028</v>
      </c>
      <c r="D1394" s="16" t="s">
        <v>2857</v>
      </c>
      <c r="E1394" s="16" t="s">
        <v>5603</v>
      </c>
      <c r="F1394" s="16" t="s">
        <v>5604</v>
      </c>
      <c r="G1394" s="16" t="s">
        <v>5605</v>
      </c>
      <c r="H1394" s="20" t="s">
        <v>229</v>
      </c>
      <c r="I1394" s="21" t="s">
        <v>70</v>
      </c>
      <c r="J1394" s="22" t="s">
        <v>5606</v>
      </c>
      <c r="K1394" s="23">
        <v>58.0</v>
      </c>
      <c r="L1394" s="24">
        <v>31.0</v>
      </c>
      <c r="M1394" s="24" t="str">
        <f>IFERROR(VLOOKUP(D1394,'Chủ đề bài nguồn'!$A$2:$C$735,3,0),"Khác")</f>
        <v>Vay thế chấp &amp; mua nhà/xe</v>
      </c>
      <c r="N1394" s="24"/>
    </row>
    <row r="1395">
      <c r="A1395" s="15">
        <v>1393.0</v>
      </c>
      <c r="B1395" s="16" t="s">
        <v>1116</v>
      </c>
      <c r="C1395" s="18" t="s">
        <v>2135</v>
      </c>
      <c r="D1395" s="16" t="s">
        <v>3100</v>
      </c>
      <c r="E1395" s="16" t="s">
        <v>5607</v>
      </c>
      <c r="F1395" s="16" t="s">
        <v>5608</v>
      </c>
      <c r="G1395" s="16" t="s">
        <v>5609</v>
      </c>
      <c r="H1395" s="20" t="s">
        <v>69</v>
      </c>
      <c r="I1395" s="21" t="s">
        <v>70</v>
      </c>
      <c r="J1395" s="22" t="s">
        <v>71</v>
      </c>
      <c r="K1395" s="23">
        <v>59.0</v>
      </c>
      <c r="L1395" s="24">
        <v>11.0</v>
      </c>
      <c r="M1395" s="24" t="str">
        <f>IFERROR(VLOOKUP(D1395,'Chủ đề bài nguồn'!$A$2:$C$735,3,0),"Khác")</f>
        <v>Vay thế chấp &amp; mua nhà/xe</v>
      </c>
      <c r="N1395" s="24"/>
    </row>
    <row r="1396">
      <c r="A1396" s="15">
        <v>1394.0</v>
      </c>
      <c r="B1396" s="16" t="s">
        <v>1116</v>
      </c>
      <c r="C1396" s="18" t="s">
        <v>4046</v>
      </c>
      <c r="D1396" s="16" t="s">
        <v>3135</v>
      </c>
      <c r="E1396" s="16" t="s">
        <v>5610</v>
      </c>
      <c r="F1396" s="16" t="s">
        <v>5611</v>
      </c>
      <c r="G1396" s="16" t="s">
        <v>5612</v>
      </c>
      <c r="H1396" s="20" t="s">
        <v>155</v>
      </c>
      <c r="I1396" s="21" t="s">
        <v>70</v>
      </c>
      <c r="J1396" s="22" t="s">
        <v>71</v>
      </c>
      <c r="K1396" s="23">
        <v>59.0</v>
      </c>
      <c r="L1396" s="24">
        <v>21.0</v>
      </c>
      <c r="M1396" s="24" t="str">
        <f>IFERROR(VLOOKUP(D1396,'Chủ đề bài nguồn'!$A$2:$C$735,3,0),"Khác")</f>
        <v>Vay tiêu dùng &amp; tín chấp</v>
      </c>
      <c r="N1396" s="24"/>
    </row>
    <row r="1397">
      <c r="A1397" s="15">
        <v>1395.0</v>
      </c>
      <c r="B1397" s="16" t="s">
        <v>1116</v>
      </c>
      <c r="C1397" s="18" t="s">
        <v>4046</v>
      </c>
      <c r="D1397" s="16" t="s">
        <v>1534</v>
      </c>
      <c r="E1397" s="16" t="s">
        <v>5613</v>
      </c>
      <c r="F1397" s="16" t="s">
        <v>5614</v>
      </c>
      <c r="G1397" s="16" t="s">
        <v>5615</v>
      </c>
      <c r="H1397" s="20" t="s">
        <v>155</v>
      </c>
      <c r="I1397" s="21" t="s">
        <v>70</v>
      </c>
      <c r="J1397" s="22" t="s">
        <v>1732</v>
      </c>
      <c r="K1397" s="23">
        <v>59.0</v>
      </c>
      <c r="L1397" s="24">
        <v>21.0</v>
      </c>
      <c r="M1397" s="24" t="str">
        <f>IFERROR(VLOOKUP(D1397,'Chủ đề bài nguồn'!$A$2:$C$735,3,0),"Khác")</f>
        <v>Vay tiêu dùng &amp; tín chấp</v>
      </c>
      <c r="N1397" s="24"/>
    </row>
    <row r="1398">
      <c r="A1398" s="15">
        <v>1396.0</v>
      </c>
      <c r="B1398" s="16" t="s">
        <v>1116</v>
      </c>
      <c r="C1398" s="18" t="s">
        <v>2135</v>
      </c>
      <c r="D1398" s="16" t="s">
        <v>3172</v>
      </c>
      <c r="E1398" s="16" t="s">
        <v>3592</v>
      </c>
      <c r="F1398" s="16" t="s">
        <v>5616</v>
      </c>
      <c r="G1398" s="16" t="s">
        <v>5617</v>
      </c>
      <c r="H1398" s="20" t="s">
        <v>155</v>
      </c>
      <c r="I1398" s="21" t="s">
        <v>70</v>
      </c>
      <c r="J1398" s="22" t="s">
        <v>71</v>
      </c>
      <c r="K1398" s="23">
        <v>59.0</v>
      </c>
      <c r="L1398" s="24">
        <v>21.0</v>
      </c>
      <c r="M1398" s="24" t="str">
        <f>IFERROR(VLOOKUP(D1398,'Chủ đề bài nguồn'!$A$2:$C$735,3,0),"Khác")</f>
        <v>Vay thế chấp &amp; mua nhà/xe</v>
      </c>
      <c r="N1398" s="24"/>
    </row>
    <row r="1399">
      <c r="A1399" s="15">
        <v>1397.0</v>
      </c>
      <c r="B1399" s="16" t="s">
        <v>1116</v>
      </c>
      <c r="C1399" s="18" t="s">
        <v>4052</v>
      </c>
      <c r="D1399" s="16" t="s">
        <v>3324</v>
      </c>
      <c r="E1399" s="16" t="s">
        <v>5618</v>
      </c>
      <c r="F1399" s="16" t="s">
        <v>5619</v>
      </c>
      <c r="G1399" s="16" t="s">
        <v>5620</v>
      </c>
      <c r="H1399" s="20" t="s">
        <v>155</v>
      </c>
      <c r="I1399" s="21" t="s">
        <v>70</v>
      </c>
      <c r="J1399" s="22" t="s">
        <v>71</v>
      </c>
      <c r="K1399" s="23">
        <v>59.0</v>
      </c>
      <c r="L1399" s="24">
        <v>21.0</v>
      </c>
      <c r="M1399" s="24" t="str">
        <f>IFERROR(VLOOKUP(D1399,'Chủ đề bài nguồn'!$A$2:$C$735,3,0),"Khác")</f>
        <v>Vay thế chấp &amp; mua nhà/xe</v>
      </c>
      <c r="N1399" s="24"/>
    </row>
    <row r="1400">
      <c r="A1400" s="15">
        <v>1398.0</v>
      </c>
      <c r="B1400" s="16" t="s">
        <v>1116</v>
      </c>
      <c r="C1400" s="18" t="s">
        <v>4052</v>
      </c>
      <c r="D1400" s="16" t="s">
        <v>2887</v>
      </c>
      <c r="E1400" s="16" t="s">
        <v>5556</v>
      </c>
      <c r="F1400" s="16" t="s">
        <v>5621</v>
      </c>
      <c r="G1400" s="16" t="s">
        <v>5622</v>
      </c>
      <c r="H1400" s="20" t="s">
        <v>155</v>
      </c>
      <c r="I1400" s="21" t="s">
        <v>70</v>
      </c>
      <c r="J1400" s="22" t="s">
        <v>71</v>
      </c>
      <c r="K1400" s="23">
        <v>59.0</v>
      </c>
      <c r="L1400" s="24">
        <v>21.0</v>
      </c>
      <c r="M1400" s="24" t="str">
        <f>IFERROR(VLOOKUP(D1400,'Chủ đề bài nguồn'!$A$2:$C$735,3,0),"Khác")</f>
        <v>Vay thế chấp &amp; mua nhà/xe</v>
      </c>
      <c r="N1400" s="24"/>
    </row>
    <row r="1401">
      <c r="A1401" s="15">
        <v>1399.0</v>
      </c>
      <c r="B1401" s="16" t="s">
        <v>1116</v>
      </c>
      <c r="C1401" s="18" t="s">
        <v>4046</v>
      </c>
      <c r="D1401" s="16" t="s">
        <v>2857</v>
      </c>
      <c r="E1401" s="16" t="s">
        <v>710</v>
      </c>
      <c r="F1401" s="16" t="s">
        <v>5623</v>
      </c>
      <c r="G1401" s="16" t="s">
        <v>5624</v>
      </c>
      <c r="H1401" s="20" t="s">
        <v>229</v>
      </c>
      <c r="I1401" s="21" t="s">
        <v>70</v>
      </c>
      <c r="J1401" s="22" t="s">
        <v>1956</v>
      </c>
      <c r="K1401" s="23">
        <v>59.0</v>
      </c>
      <c r="L1401" s="24">
        <v>31.0</v>
      </c>
      <c r="M1401" s="24" t="str">
        <f>IFERROR(VLOOKUP(D1401,'Chủ đề bài nguồn'!$A$2:$C$735,3,0),"Khác")</f>
        <v>Vay thế chấp &amp; mua nhà/xe</v>
      </c>
      <c r="N1401" s="24"/>
    </row>
    <row r="1402">
      <c r="A1402" s="15">
        <v>1400.0</v>
      </c>
      <c r="B1402" s="16" t="s">
        <v>1116</v>
      </c>
      <c r="C1402" s="18" t="s">
        <v>4046</v>
      </c>
      <c r="D1402" s="16" t="s">
        <v>3327</v>
      </c>
      <c r="E1402" s="16" t="s">
        <v>5625</v>
      </c>
      <c r="F1402" s="16" t="s">
        <v>5626</v>
      </c>
      <c r="G1402" s="16" t="s">
        <v>5615</v>
      </c>
      <c r="H1402" s="20" t="s">
        <v>229</v>
      </c>
      <c r="I1402" s="21" t="s">
        <v>70</v>
      </c>
      <c r="J1402" s="22" t="s">
        <v>5627</v>
      </c>
      <c r="K1402" s="23">
        <v>59.0</v>
      </c>
      <c r="L1402" s="24">
        <v>31.0</v>
      </c>
      <c r="M1402" s="24" t="str">
        <f>IFERROR(VLOOKUP(D1402,'Chủ đề bài nguồn'!$A$2:$C$735,3,0),"Khác")</f>
        <v>Vay tiêu dùng &amp; tín chấp</v>
      </c>
      <c r="N1402" s="24"/>
    </row>
    <row r="1403">
      <c r="A1403" s="15">
        <v>1401.0</v>
      </c>
      <c r="B1403" s="16" t="s">
        <v>1116</v>
      </c>
      <c r="C1403" s="18" t="s">
        <v>4046</v>
      </c>
      <c r="D1403" s="16" t="s">
        <v>173</v>
      </c>
      <c r="E1403" s="16" t="s">
        <v>5628</v>
      </c>
      <c r="F1403" s="16" t="s">
        <v>5629</v>
      </c>
      <c r="G1403" s="16" t="s">
        <v>5630</v>
      </c>
      <c r="H1403" s="20" t="s">
        <v>229</v>
      </c>
      <c r="I1403" s="21" t="s">
        <v>70</v>
      </c>
      <c r="J1403" s="22" t="s">
        <v>5631</v>
      </c>
      <c r="K1403" s="23">
        <v>59.0</v>
      </c>
      <c r="L1403" s="24">
        <v>31.0</v>
      </c>
      <c r="M1403" s="24" t="str">
        <f>IFERROR(VLOOKUP(D1403,'Chủ đề bài nguồn'!$A$2:$C$735,3,0),"Khác")</f>
        <v>Vay thế chấp &amp; mua nhà/xe</v>
      </c>
      <c r="N1403" s="24"/>
    </row>
    <row r="1404">
      <c r="A1404" s="15">
        <v>1402.0</v>
      </c>
      <c r="B1404" s="16" t="s">
        <v>1116</v>
      </c>
      <c r="C1404" s="18" t="s">
        <v>4046</v>
      </c>
      <c r="D1404" s="16" t="s">
        <v>3310</v>
      </c>
      <c r="E1404" s="16" t="s">
        <v>5632</v>
      </c>
      <c r="F1404" s="16" t="s">
        <v>5633</v>
      </c>
      <c r="G1404" s="16" t="s">
        <v>5634</v>
      </c>
      <c r="H1404" s="20" t="s">
        <v>229</v>
      </c>
      <c r="I1404" s="21" t="s">
        <v>70</v>
      </c>
      <c r="J1404" s="22" t="s">
        <v>71</v>
      </c>
      <c r="K1404" s="23">
        <v>59.0</v>
      </c>
      <c r="L1404" s="24">
        <v>31.0</v>
      </c>
      <c r="M1404" s="24" t="str">
        <f>IFERROR(VLOOKUP(D1404,'Chủ đề bài nguồn'!$A$2:$C$735,3,0),"Khác")</f>
        <v>Hộ kinh doanh &amp; bán hàng</v>
      </c>
      <c r="N1404" s="24"/>
    </row>
    <row r="1405">
      <c r="A1405" s="15">
        <v>1403.0</v>
      </c>
      <c r="B1405" s="16" t="s">
        <v>1116</v>
      </c>
      <c r="C1405" s="18" t="s">
        <v>4046</v>
      </c>
      <c r="D1405" s="16" t="s">
        <v>3320</v>
      </c>
      <c r="E1405" s="16" t="s">
        <v>5635</v>
      </c>
      <c r="F1405" s="16" t="s">
        <v>5636</v>
      </c>
      <c r="G1405" s="16" t="s">
        <v>5637</v>
      </c>
      <c r="H1405" s="20" t="s">
        <v>229</v>
      </c>
      <c r="I1405" s="21" t="s">
        <v>70</v>
      </c>
      <c r="J1405" s="22" t="s">
        <v>5627</v>
      </c>
      <c r="K1405" s="23">
        <v>59.0</v>
      </c>
      <c r="L1405" s="24">
        <v>31.0</v>
      </c>
      <c r="M1405" s="24" t="str">
        <f>IFERROR(VLOOKUP(D1405,'Chủ đề bài nguồn'!$A$2:$C$735,3,0),"Khác")</f>
        <v>Vay thế chấp &amp; mua nhà/xe</v>
      </c>
      <c r="N1405" s="24"/>
    </row>
    <row r="1406">
      <c r="A1406" s="15">
        <v>1404.0</v>
      </c>
      <c r="B1406" s="16" t="s">
        <v>1116</v>
      </c>
      <c r="C1406" s="18" t="s">
        <v>2135</v>
      </c>
      <c r="D1406" s="16" t="s">
        <v>3007</v>
      </c>
      <c r="E1406" s="16" t="s">
        <v>5638</v>
      </c>
      <c r="F1406" s="16" t="s">
        <v>5639</v>
      </c>
      <c r="G1406" s="16" t="s">
        <v>5640</v>
      </c>
      <c r="H1406" s="20" t="s">
        <v>229</v>
      </c>
      <c r="I1406" s="21" t="s">
        <v>70</v>
      </c>
      <c r="J1406" s="22" t="s">
        <v>1073</v>
      </c>
      <c r="K1406" s="23">
        <v>59.0</v>
      </c>
      <c r="L1406" s="24">
        <v>31.0</v>
      </c>
      <c r="M1406" s="24" t="str">
        <f>IFERROR(VLOOKUP(D1406,'Chủ đề bài nguồn'!$A$2:$C$735,3,0),"Khác")</f>
        <v>Hộ kinh doanh &amp; bán hàng</v>
      </c>
      <c r="N1406" s="24"/>
    </row>
    <row r="1407">
      <c r="A1407" s="15">
        <v>1405.0</v>
      </c>
      <c r="B1407" s="16" t="s">
        <v>1116</v>
      </c>
      <c r="C1407" s="18" t="s">
        <v>4052</v>
      </c>
      <c r="D1407" s="16" t="s">
        <v>3326</v>
      </c>
      <c r="E1407" s="16" t="s">
        <v>5641</v>
      </c>
      <c r="F1407" s="16" t="s">
        <v>5642</v>
      </c>
      <c r="G1407" s="16" t="s">
        <v>5643</v>
      </c>
      <c r="H1407" s="20" t="s">
        <v>229</v>
      </c>
      <c r="I1407" s="21" t="s">
        <v>70</v>
      </c>
      <c r="J1407" s="22" t="s">
        <v>5644</v>
      </c>
      <c r="K1407" s="23">
        <v>59.0</v>
      </c>
      <c r="L1407" s="24">
        <v>31.0</v>
      </c>
      <c r="M1407" s="24" t="str">
        <f>IFERROR(VLOOKUP(D1407,'Chủ đề bài nguồn'!$A$2:$C$735,3,0),"Khác")</f>
        <v>Vay thế chấp &amp; mua nhà/xe</v>
      </c>
      <c r="N1407" s="24"/>
    </row>
    <row r="1408">
      <c r="A1408" s="15">
        <v>1406.0</v>
      </c>
      <c r="B1408" s="16" t="s">
        <v>231</v>
      </c>
      <c r="C1408" s="18" t="s">
        <v>1707</v>
      </c>
      <c r="D1408" s="16" t="s">
        <v>2358</v>
      </c>
      <c r="E1408" s="16" t="s">
        <v>4562</v>
      </c>
      <c r="F1408" s="16" t="s">
        <v>5645</v>
      </c>
      <c r="G1408" s="16" t="s">
        <v>5646</v>
      </c>
      <c r="H1408" s="20" t="s">
        <v>69</v>
      </c>
      <c r="I1408" s="21" t="s">
        <v>70</v>
      </c>
      <c r="J1408" s="22" t="s">
        <v>5647</v>
      </c>
      <c r="K1408" s="23">
        <v>60.0</v>
      </c>
      <c r="L1408" s="24">
        <v>10.0</v>
      </c>
      <c r="M1408" s="24" t="str">
        <f>IFERROR(VLOOKUP(D1408,'Chủ đề bài nguồn'!$A$2:$C$735,3,0),"Khác")</f>
        <v>Thị trường &amp; giá cả</v>
      </c>
      <c r="N1408" s="24"/>
    </row>
    <row r="1409">
      <c r="A1409" s="15">
        <v>1407.0</v>
      </c>
      <c r="B1409" s="16" t="s">
        <v>231</v>
      </c>
      <c r="C1409" s="18" t="s">
        <v>1741</v>
      </c>
      <c r="D1409" s="16" t="s">
        <v>1521</v>
      </c>
      <c r="E1409" s="16" t="s">
        <v>4434</v>
      </c>
      <c r="F1409" s="16" t="s">
        <v>5648</v>
      </c>
      <c r="G1409" s="16" t="s">
        <v>5649</v>
      </c>
      <c r="H1409" s="20" t="s">
        <v>69</v>
      </c>
      <c r="I1409" s="21" t="s">
        <v>70</v>
      </c>
      <c r="J1409" s="22" t="s">
        <v>71</v>
      </c>
      <c r="K1409" s="23">
        <v>60.0</v>
      </c>
      <c r="L1409" s="24">
        <v>10.0</v>
      </c>
      <c r="M1409" s="24" t="str">
        <f>IFERROR(VLOOKUP(D1409,'Chủ đề bài nguồn'!$A$2:$C$735,3,0),"Khác")</f>
        <v>Đầu tư, CCTG, trái phiếu, vàng</v>
      </c>
      <c r="N1409" s="24"/>
    </row>
    <row r="1410">
      <c r="A1410" s="15">
        <v>1408.0</v>
      </c>
      <c r="B1410" s="16" t="s">
        <v>231</v>
      </c>
      <c r="C1410" s="18" t="s">
        <v>1747</v>
      </c>
      <c r="D1410" s="16" t="s">
        <v>1128</v>
      </c>
      <c r="E1410" s="16" t="s">
        <v>5650</v>
      </c>
      <c r="F1410" s="16" t="s">
        <v>5651</v>
      </c>
      <c r="G1410" s="16" t="s">
        <v>5652</v>
      </c>
      <c r="H1410" s="20" t="s">
        <v>69</v>
      </c>
      <c r="I1410" s="21" t="s">
        <v>70</v>
      </c>
      <c r="J1410" s="22" t="s">
        <v>71</v>
      </c>
      <c r="K1410" s="23">
        <v>60.0</v>
      </c>
      <c r="L1410" s="24">
        <v>11.0</v>
      </c>
      <c r="M1410" s="24" t="str">
        <f>IFERROR(VLOOKUP(D1410,'Chủ đề bài nguồn'!$A$2:$C$735,3,0),"Khác")</f>
        <v>Tiết kiệm &amp; lãi suất tiền gửi</v>
      </c>
      <c r="N1410" s="24"/>
    </row>
    <row r="1411">
      <c r="A1411" s="15">
        <v>1409.0</v>
      </c>
      <c r="B1411" s="16" t="s">
        <v>231</v>
      </c>
      <c r="C1411" s="18" t="s">
        <v>1747</v>
      </c>
      <c r="D1411" s="16" t="s">
        <v>1686</v>
      </c>
      <c r="E1411" s="16" t="s">
        <v>5653</v>
      </c>
      <c r="F1411" s="16" t="s">
        <v>5654</v>
      </c>
      <c r="G1411" s="16" t="s">
        <v>5655</v>
      </c>
      <c r="H1411" s="20" t="s">
        <v>69</v>
      </c>
      <c r="I1411" s="21" t="s">
        <v>70</v>
      </c>
      <c r="J1411" s="22" t="s">
        <v>71</v>
      </c>
      <c r="K1411" s="23">
        <v>60.0</v>
      </c>
      <c r="L1411" s="24">
        <v>11.0</v>
      </c>
      <c r="M1411" s="24" t="str">
        <f>IFERROR(VLOOKUP(D1411,'Chủ đề bài nguồn'!$A$2:$C$735,3,0),"Khác")</f>
        <v>Đầu tư, CCTG, trái phiếu, vàng</v>
      </c>
      <c r="N1411" s="24"/>
    </row>
    <row r="1412">
      <c r="A1412" s="15">
        <v>1410.0</v>
      </c>
      <c r="B1412" s="16" t="s">
        <v>231</v>
      </c>
      <c r="C1412" s="18" t="s">
        <v>1747</v>
      </c>
      <c r="D1412" s="16" t="s">
        <v>2379</v>
      </c>
      <c r="E1412" s="16" t="s">
        <v>2380</v>
      </c>
      <c r="F1412" s="16" t="s">
        <v>5656</v>
      </c>
      <c r="G1412" s="16" t="s">
        <v>5657</v>
      </c>
      <c r="H1412" s="20" t="s">
        <v>69</v>
      </c>
      <c r="I1412" s="21" t="s">
        <v>70</v>
      </c>
      <c r="J1412" s="22" t="s">
        <v>71</v>
      </c>
      <c r="K1412" s="23">
        <v>60.0</v>
      </c>
      <c r="L1412" s="24">
        <v>11.0</v>
      </c>
      <c r="M1412" s="24" t="str">
        <f>IFERROR(VLOOKUP(D1412,'Chủ đề bài nguồn'!$A$2:$C$735,3,0),"Khác")</f>
        <v>Tiết kiệm &amp; lãi suất tiền gửi</v>
      </c>
      <c r="N1412" s="24"/>
    </row>
    <row r="1413">
      <c r="A1413" s="15">
        <v>1411.0</v>
      </c>
      <c r="B1413" s="16" t="s">
        <v>231</v>
      </c>
      <c r="C1413" s="18" t="s">
        <v>1747</v>
      </c>
      <c r="D1413" s="16" t="s">
        <v>963</v>
      </c>
      <c r="E1413" s="16" t="s">
        <v>5658</v>
      </c>
      <c r="F1413" s="16" t="s">
        <v>5659</v>
      </c>
      <c r="G1413" s="16" t="s">
        <v>5660</v>
      </c>
      <c r="H1413" s="20" t="s">
        <v>69</v>
      </c>
      <c r="I1413" s="21" t="s">
        <v>70</v>
      </c>
      <c r="J1413" s="22" t="s">
        <v>71</v>
      </c>
      <c r="K1413" s="23">
        <v>60.0</v>
      </c>
      <c r="L1413" s="24">
        <v>11.0</v>
      </c>
      <c r="M1413" s="24" t="str">
        <f>IFERROR(VLOOKUP(D1413,'Chủ đề bài nguồn'!$A$2:$C$735,3,0),"Khác")</f>
        <v>Đầu tư, CCTG, trái phiếu, vàng</v>
      </c>
      <c r="N1413" s="24"/>
    </row>
    <row r="1414">
      <c r="A1414" s="15">
        <v>1412.0</v>
      </c>
      <c r="B1414" s="16" t="s">
        <v>231</v>
      </c>
      <c r="C1414" s="18" t="s">
        <v>1707</v>
      </c>
      <c r="D1414" s="16" t="s">
        <v>2927</v>
      </c>
      <c r="E1414" s="16" t="s">
        <v>5661</v>
      </c>
      <c r="F1414" s="16" t="s">
        <v>5662</v>
      </c>
      <c r="G1414" s="16" t="s">
        <v>5663</v>
      </c>
      <c r="H1414" s="20" t="s">
        <v>69</v>
      </c>
      <c r="I1414" s="21" t="s">
        <v>70</v>
      </c>
      <c r="J1414" s="22" t="s">
        <v>71</v>
      </c>
      <c r="K1414" s="23">
        <v>60.0</v>
      </c>
      <c r="L1414" s="24">
        <v>11.0</v>
      </c>
      <c r="M1414" s="24" t="str">
        <f>IFERROR(VLOOKUP(D1414,'Chủ đề bài nguồn'!$A$2:$C$735,3,0),"Khác")</f>
        <v>Đầu tư, CCTG, trái phiếu, vàng</v>
      </c>
      <c r="N1414" s="24"/>
    </row>
    <row r="1415">
      <c r="A1415" s="15">
        <v>1413.0</v>
      </c>
      <c r="B1415" s="16" t="s">
        <v>231</v>
      </c>
      <c r="C1415" s="18" t="s">
        <v>1720</v>
      </c>
      <c r="D1415" s="16" t="s">
        <v>2875</v>
      </c>
      <c r="E1415" s="16" t="s">
        <v>5664</v>
      </c>
      <c r="F1415" s="16" t="s">
        <v>5665</v>
      </c>
      <c r="G1415" s="16" t="s">
        <v>5666</v>
      </c>
      <c r="H1415" s="20" t="s">
        <v>69</v>
      </c>
      <c r="I1415" s="21" t="s">
        <v>70</v>
      </c>
      <c r="J1415" s="22" t="s">
        <v>71</v>
      </c>
      <c r="K1415" s="23">
        <v>60.0</v>
      </c>
      <c r="L1415" s="24">
        <v>11.0</v>
      </c>
      <c r="M1415" s="24" t="str">
        <f>IFERROR(VLOOKUP(D1415,'Chủ đề bài nguồn'!$A$2:$C$735,3,0),"Khác")</f>
        <v>Tiết kiệm &amp; lãi suất tiền gửi</v>
      </c>
      <c r="N1415" s="24"/>
    </row>
    <row r="1416">
      <c r="A1416" s="15">
        <v>1414.0</v>
      </c>
      <c r="B1416" s="16" t="s">
        <v>231</v>
      </c>
      <c r="C1416" s="18" t="s">
        <v>1720</v>
      </c>
      <c r="D1416" s="16" t="s">
        <v>1504</v>
      </c>
      <c r="E1416" s="16" t="s">
        <v>5667</v>
      </c>
      <c r="F1416" s="16" t="s">
        <v>5668</v>
      </c>
      <c r="G1416" s="16" t="s">
        <v>5669</v>
      </c>
      <c r="H1416" s="20" t="s">
        <v>69</v>
      </c>
      <c r="I1416" s="21" t="s">
        <v>70</v>
      </c>
      <c r="J1416" s="22" t="s">
        <v>71</v>
      </c>
      <c r="K1416" s="23">
        <v>60.0</v>
      </c>
      <c r="L1416" s="24">
        <v>11.0</v>
      </c>
      <c r="M1416" s="24" t="str">
        <f>IFERROR(VLOOKUP(D1416,'Chủ đề bài nguồn'!$A$2:$C$735,3,0),"Khác")</f>
        <v>Vay thế chấp &amp; mua nhà/xe</v>
      </c>
      <c r="N1416" s="24"/>
    </row>
    <row r="1417">
      <c r="A1417" s="15">
        <v>1415.0</v>
      </c>
      <c r="B1417" s="16" t="s">
        <v>231</v>
      </c>
      <c r="C1417" s="18" t="s">
        <v>1741</v>
      </c>
      <c r="D1417" s="16" t="s">
        <v>2864</v>
      </c>
      <c r="E1417" s="16" t="s">
        <v>5670</v>
      </c>
      <c r="F1417" s="16" t="s">
        <v>5671</v>
      </c>
      <c r="G1417" s="16" t="s">
        <v>5672</v>
      </c>
      <c r="H1417" s="20" t="s">
        <v>69</v>
      </c>
      <c r="I1417" s="21" t="s">
        <v>70</v>
      </c>
      <c r="J1417" s="22" t="s">
        <v>71</v>
      </c>
      <c r="K1417" s="23">
        <v>60.0</v>
      </c>
      <c r="L1417" s="24">
        <v>11.0</v>
      </c>
      <c r="M1417" s="24" t="str">
        <f>IFERROR(VLOOKUP(D1417,'Chủ đề bài nguồn'!$A$2:$C$735,3,0),"Khác")</f>
        <v>Tiết kiệm &amp; lãi suất tiền gửi</v>
      </c>
      <c r="N1417" s="24"/>
    </row>
    <row r="1418">
      <c r="A1418" s="15">
        <v>1416.0</v>
      </c>
      <c r="B1418" s="16" t="s">
        <v>231</v>
      </c>
      <c r="C1418" s="18" t="s">
        <v>1741</v>
      </c>
      <c r="D1418" s="16" t="s">
        <v>1212</v>
      </c>
      <c r="E1418" s="16" t="s">
        <v>5673</v>
      </c>
      <c r="F1418" s="16" t="s">
        <v>5674</v>
      </c>
      <c r="G1418" s="16" t="s">
        <v>5675</v>
      </c>
      <c r="H1418" s="20" t="s">
        <v>69</v>
      </c>
      <c r="I1418" s="21" t="s">
        <v>70</v>
      </c>
      <c r="J1418" s="22" t="s">
        <v>5676</v>
      </c>
      <c r="K1418" s="23">
        <v>60.0</v>
      </c>
      <c r="L1418" s="24">
        <v>11.0</v>
      </c>
      <c r="M1418" s="24" t="str">
        <f>IFERROR(VLOOKUP(D1418,'Chủ đề bài nguồn'!$A$2:$C$735,3,0),"Khác")</f>
        <v>Tiết kiệm &amp; lãi suất tiền gửi</v>
      </c>
      <c r="N1418" s="24"/>
    </row>
    <row r="1419">
      <c r="A1419" s="15">
        <v>1417.0</v>
      </c>
      <c r="B1419" s="16" t="s">
        <v>231</v>
      </c>
      <c r="C1419" s="18" t="s">
        <v>1741</v>
      </c>
      <c r="D1419" s="16" t="s">
        <v>1231</v>
      </c>
      <c r="E1419" s="16" t="s">
        <v>5677</v>
      </c>
      <c r="F1419" s="16" t="s">
        <v>5678</v>
      </c>
      <c r="G1419" s="16" t="s">
        <v>5679</v>
      </c>
      <c r="H1419" s="20" t="s">
        <v>69</v>
      </c>
      <c r="I1419" s="21" t="s">
        <v>70</v>
      </c>
      <c r="J1419" s="22" t="s">
        <v>71</v>
      </c>
      <c r="K1419" s="23">
        <v>60.0</v>
      </c>
      <c r="L1419" s="24">
        <v>11.0</v>
      </c>
      <c r="M1419" s="24" t="str">
        <f>IFERROR(VLOOKUP(D1419,'Chủ đề bài nguồn'!$A$2:$C$735,3,0),"Khác")</f>
        <v>Tài khoản &amp; ngân hàng số</v>
      </c>
      <c r="N1419" s="24"/>
    </row>
    <row r="1420">
      <c r="A1420" s="15">
        <v>1418.0</v>
      </c>
      <c r="B1420" s="16" t="s">
        <v>231</v>
      </c>
      <c r="C1420" s="18" t="s">
        <v>1741</v>
      </c>
      <c r="D1420" s="16" t="s">
        <v>2987</v>
      </c>
      <c r="E1420" s="16" t="s">
        <v>5680</v>
      </c>
      <c r="F1420" s="16" t="s">
        <v>5681</v>
      </c>
      <c r="G1420" s="16" t="s">
        <v>5682</v>
      </c>
      <c r="H1420" s="20" t="s">
        <v>69</v>
      </c>
      <c r="I1420" s="21" t="s">
        <v>70</v>
      </c>
      <c r="J1420" s="22" t="s">
        <v>71</v>
      </c>
      <c r="K1420" s="23">
        <v>60.0</v>
      </c>
      <c r="L1420" s="24">
        <v>11.0</v>
      </c>
      <c r="M1420" s="24" t="str">
        <f>IFERROR(VLOOKUP(D1420,'Chủ đề bài nguồn'!$A$2:$C$735,3,0),"Khác")</f>
        <v>Tài khoản &amp; ngân hàng số</v>
      </c>
      <c r="N1420" s="24"/>
    </row>
    <row r="1421">
      <c r="A1421" s="15">
        <v>1419.0</v>
      </c>
      <c r="B1421" s="16" t="s">
        <v>231</v>
      </c>
      <c r="C1421" s="18" t="s">
        <v>1707</v>
      </c>
      <c r="D1421" s="16" t="s">
        <v>2800</v>
      </c>
      <c r="E1421" s="16" t="s">
        <v>5683</v>
      </c>
      <c r="F1421" s="16" t="s">
        <v>5684</v>
      </c>
      <c r="G1421" s="16" t="s">
        <v>5646</v>
      </c>
      <c r="H1421" s="20" t="s">
        <v>155</v>
      </c>
      <c r="I1421" s="21" t="s">
        <v>70</v>
      </c>
      <c r="J1421" s="22" t="s">
        <v>71</v>
      </c>
      <c r="K1421" s="23">
        <v>60.0</v>
      </c>
      <c r="L1421" s="24">
        <v>20.0</v>
      </c>
      <c r="M1421" s="24" t="str">
        <f>IFERROR(VLOOKUP(D1421,'Chủ đề bài nguồn'!$A$2:$C$735,3,0),"Khác")</f>
        <v>Tiết kiệm &amp; lãi suất tiền gửi</v>
      </c>
      <c r="N1421" s="24"/>
    </row>
    <row r="1422">
      <c r="A1422" s="15">
        <v>1420.0</v>
      </c>
      <c r="B1422" s="16" t="s">
        <v>231</v>
      </c>
      <c r="C1422" s="18" t="s">
        <v>1747</v>
      </c>
      <c r="D1422" s="16" t="s">
        <v>3118</v>
      </c>
      <c r="E1422" s="16" t="s">
        <v>5685</v>
      </c>
      <c r="F1422" s="16" t="s">
        <v>5686</v>
      </c>
      <c r="G1422" s="16" t="s">
        <v>5687</v>
      </c>
      <c r="H1422" s="20" t="s">
        <v>155</v>
      </c>
      <c r="I1422" s="21" t="s">
        <v>70</v>
      </c>
      <c r="J1422" s="22" t="s">
        <v>71</v>
      </c>
      <c r="K1422" s="23">
        <v>60.0</v>
      </c>
      <c r="L1422" s="24">
        <v>21.0</v>
      </c>
      <c r="M1422" s="24" t="str">
        <f>IFERROR(VLOOKUP(D1422,'Chủ đề bài nguồn'!$A$2:$C$735,3,0),"Khác")</f>
        <v>Tiết kiệm &amp; lãi suất tiền gửi</v>
      </c>
      <c r="N1422" s="24"/>
    </row>
    <row r="1423">
      <c r="A1423" s="15">
        <v>1421.0</v>
      </c>
      <c r="B1423" s="16" t="s">
        <v>231</v>
      </c>
      <c r="C1423" s="18" t="s">
        <v>1747</v>
      </c>
      <c r="D1423" s="16" t="s">
        <v>2874</v>
      </c>
      <c r="E1423" s="16" t="s">
        <v>5688</v>
      </c>
      <c r="F1423" s="16" t="s">
        <v>5689</v>
      </c>
      <c r="G1423" s="16" t="s">
        <v>5690</v>
      </c>
      <c r="H1423" s="20" t="s">
        <v>155</v>
      </c>
      <c r="I1423" s="21" t="s">
        <v>70</v>
      </c>
      <c r="J1423" s="22" t="s">
        <v>71</v>
      </c>
      <c r="K1423" s="23">
        <v>60.0</v>
      </c>
      <c r="L1423" s="24">
        <v>21.0</v>
      </c>
      <c r="M1423" s="24" t="str">
        <f>IFERROR(VLOOKUP(D1423,'Chủ đề bài nguồn'!$A$2:$C$735,3,0),"Khác")</f>
        <v>Tiết kiệm &amp; lãi suất tiền gửi</v>
      </c>
      <c r="N1423" s="24"/>
    </row>
    <row r="1424">
      <c r="A1424" s="15">
        <v>1422.0</v>
      </c>
      <c r="B1424" s="16" t="s">
        <v>231</v>
      </c>
      <c r="C1424" s="18" t="s">
        <v>1747</v>
      </c>
      <c r="D1424" s="16" t="s">
        <v>3038</v>
      </c>
      <c r="E1424" s="16" t="s">
        <v>5691</v>
      </c>
      <c r="F1424" s="16" t="s">
        <v>5692</v>
      </c>
      <c r="G1424" s="16" t="s">
        <v>5693</v>
      </c>
      <c r="H1424" s="20" t="s">
        <v>155</v>
      </c>
      <c r="I1424" s="21" t="s">
        <v>70</v>
      </c>
      <c r="J1424" s="22" t="s">
        <v>71</v>
      </c>
      <c r="K1424" s="23">
        <v>60.0</v>
      </c>
      <c r="L1424" s="24">
        <v>21.0</v>
      </c>
      <c r="M1424" s="24" t="str">
        <f>IFERROR(VLOOKUP(D1424,'Chủ đề bài nguồn'!$A$2:$C$735,3,0),"Khác")</f>
        <v>Tiết kiệm &amp; lãi suất tiền gửi</v>
      </c>
      <c r="N1424" s="24"/>
    </row>
    <row r="1425">
      <c r="A1425" s="15">
        <v>1423.0</v>
      </c>
      <c r="B1425" s="16" t="s">
        <v>231</v>
      </c>
      <c r="C1425" s="18" t="s">
        <v>1747</v>
      </c>
      <c r="D1425" s="16" t="s">
        <v>3364</v>
      </c>
      <c r="E1425" s="16" t="s">
        <v>710</v>
      </c>
      <c r="F1425" s="16" t="s">
        <v>5694</v>
      </c>
      <c r="G1425" s="16" t="s">
        <v>5695</v>
      </c>
      <c r="H1425" s="20" t="s">
        <v>155</v>
      </c>
      <c r="I1425" s="21" t="s">
        <v>70</v>
      </c>
      <c r="J1425" s="22" t="s">
        <v>71</v>
      </c>
      <c r="K1425" s="23">
        <v>60.0</v>
      </c>
      <c r="L1425" s="24">
        <v>21.0</v>
      </c>
      <c r="M1425" s="24" t="str">
        <f>IFERROR(VLOOKUP(D1425,'Chủ đề bài nguồn'!$A$2:$C$735,3,0),"Khác")</f>
        <v>Đầu tư, CCTG, trái phiếu, vàng</v>
      </c>
      <c r="N1425" s="24"/>
    </row>
    <row r="1426">
      <c r="A1426" s="15">
        <v>1424.0</v>
      </c>
      <c r="B1426" s="16" t="s">
        <v>231</v>
      </c>
      <c r="C1426" s="18" t="s">
        <v>1747</v>
      </c>
      <c r="D1426" s="16" t="s">
        <v>3222</v>
      </c>
      <c r="E1426" s="16" t="s">
        <v>5696</v>
      </c>
      <c r="F1426" s="16" t="s">
        <v>5697</v>
      </c>
      <c r="G1426" s="16" t="s">
        <v>5698</v>
      </c>
      <c r="H1426" s="20" t="s">
        <v>155</v>
      </c>
      <c r="I1426" s="21" t="s">
        <v>70</v>
      </c>
      <c r="J1426" s="22" t="s">
        <v>71</v>
      </c>
      <c r="K1426" s="23">
        <v>60.0</v>
      </c>
      <c r="L1426" s="24">
        <v>21.0</v>
      </c>
      <c r="M1426" s="24" t="str">
        <f>IFERROR(VLOOKUP(D1426,'Chủ đề bài nguồn'!$A$2:$C$735,3,0),"Khác")</f>
        <v>Ngân hàng xanh &amp; thương hiệu</v>
      </c>
      <c r="N1426" s="24"/>
    </row>
    <row r="1427">
      <c r="A1427" s="15">
        <v>1425.0</v>
      </c>
      <c r="B1427" s="16" t="s">
        <v>231</v>
      </c>
      <c r="C1427" s="18" t="s">
        <v>1747</v>
      </c>
      <c r="D1427" s="16" t="s">
        <v>1122</v>
      </c>
      <c r="E1427" s="16" t="s">
        <v>4461</v>
      </c>
      <c r="F1427" s="16" t="s">
        <v>4462</v>
      </c>
      <c r="G1427" s="16" t="s">
        <v>5699</v>
      </c>
      <c r="H1427" s="20" t="s">
        <v>155</v>
      </c>
      <c r="I1427" s="21" t="s">
        <v>70</v>
      </c>
      <c r="J1427" s="22" t="s">
        <v>5700</v>
      </c>
      <c r="K1427" s="23">
        <v>60.0</v>
      </c>
      <c r="L1427" s="24">
        <v>21.0</v>
      </c>
      <c r="M1427" s="24" t="str">
        <f>IFERROR(VLOOKUP(D1427,'Chủ đề bài nguồn'!$A$2:$C$735,3,0),"Khác")</f>
        <v>Tiết kiệm &amp; lãi suất tiền gửi</v>
      </c>
      <c r="N1427" s="24"/>
    </row>
    <row r="1428">
      <c r="A1428" s="15">
        <v>1426.0</v>
      </c>
      <c r="B1428" s="16" t="s">
        <v>231</v>
      </c>
      <c r="C1428" s="18" t="s">
        <v>1747</v>
      </c>
      <c r="D1428" s="16" t="s">
        <v>2763</v>
      </c>
      <c r="E1428" s="16" t="s">
        <v>5701</v>
      </c>
      <c r="F1428" s="16" t="s">
        <v>5702</v>
      </c>
      <c r="G1428" s="16" t="s">
        <v>5703</v>
      </c>
      <c r="H1428" s="20" t="s">
        <v>155</v>
      </c>
      <c r="I1428" s="21" t="s">
        <v>70</v>
      </c>
      <c r="J1428" s="22" t="s">
        <v>71</v>
      </c>
      <c r="K1428" s="23">
        <v>60.0</v>
      </c>
      <c r="L1428" s="24">
        <v>21.0</v>
      </c>
      <c r="M1428" s="24" t="str">
        <f>IFERROR(VLOOKUP(D1428,'Chủ đề bài nguồn'!$A$2:$C$735,3,0),"Khác")</f>
        <v>Đầu tư, CCTG, trái phiếu, vàng</v>
      </c>
      <c r="N1428" s="24"/>
    </row>
    <row r="1429">
      <c r="A1429" s="15">
        <v>1427.0</v>
      </c>
      <c r="B1429" s="16" t="s">
        <v>231</v>
      </c>
      <c r="C1429" s="18" t="s">
        <v>1747</v>
      </c>
      <c r="D1429" s="16" t="s">
        <v>1397</v>
      </c>
      <c r="E1429" s="16" t="s">
        <v>5704</v>
      </c>
      <c r="F1429" s="16" t="s">
        <v>5705</v>
      </c>
      <c r="G1429" s="16" t="s">
        <v>5706</v>
      </c>
      <c r="H1429" s="20" t="s">
        <v>155</v>
      </c>
      <c r="I1429" s="21" t="s">
        <v>70</v>
      </c>
      <c r="J1429" s="22" t="s">
        <v>71</v>
      </c>
      <c r="K1429" s="23">
        <v>60.0</v>
      </c>
      <c r="L1429" s="24">
        <v>21.0</v>
      </c>
      <c r="M1429" s="24" t="str">
        <f>IFERROR(VLOOKUP(D1429,'Chủ đề bài nguồn'!$A$2:$C$735,3,0),"Khác")</f>
        <v>Tiết kiệm &amp; lãi suất tiền gửi</v>
      </c>
      <c r="N1429" s="24"/>
    </row>
    <row r="1430">
      <c r="A1430" s="15">
        <v>1428.0</v>
      </c>
      <c r="B1430" s="16" t="s">
        <v>231</v>
      </c>
      <c r="C1430" s="18" t="s">
        <v>1747</v>
      </c>
      <c r="D1430" s="16" t="s">
        <v>3179</v>
      </c>
      <c r="E1430" s="16" t="s">
        <v>5707</v>
      </c>
      <c r="F1430" s="16" t="s">
        <v>5708</v>
      </c>
      <c r="G1430" s="16" t="s">
        <v>5709</v>
      </c>
      <c r="H1430" s="20" t="s">
        <v>155</v>
      </c>
      <c r="I1430" s="21" t="s">
        <v>70</v>
      </c>
      <c r="J1430" s="22" t="s">
        <v>71</v>
      </c>
      <c r="K1430" s="23">
        <v>60.0</v>
      </c>
      <c r="L1430" s="24">
        <v>21.0</v>
      </c>
      <c r="M1430" s="24" t="str">
        <f>IFERROR(VLOOKUP(D1430,'Chủ đề bài nguồn'!$A$2:$C$735,3,0),"Khác")</f>
        <v>Tiết kiệm &amp; lãi suất tiền gửi</v>
      </c>
      <c r="N1430" s="24"/>
    </row>
    <row r="1431">
      <c r="A1431" s="15">
        <v>1429.0</v>
      </c>
      <c r="B1431" s="16" t="s">
        <v>231</v>
      </c>
      <c r="C1431" s="18" t="s">
        <v>1747</v>
      </c>
      <c r="D1431" s="16" t="s">
        <v>2862</v>
      </c>
      <c r="E1431" s="16" t="s">
        <v>4461</v>
      </c>
      <c r="F1431" s="16" t="s">
        <v>5710</v>
      </c>
      <c r="G1431" s="16" t="s">
        <v>5711</v>
      </c>
      <c r="H1431" s="20" t="s">
        <v>155</v>
      </c>
      <c r="I1431" s="21" t="s">
        <v>70</v>
      </c>
      <c r="J1431" s="22" t="s">
        <v>71</v>
      </c>
      <c r="K1431" s="23">
        <v>60.0</v>
      </c>
      <c r="L1431" s="24">
        <v>21.0</v>
      </c>
      <c r="M1431" s="24" t="str">
        <f>IFERROR(VLOOKUP(D1431,'Chủ đề bài nguồn'!$A$2:$C$735,3,0),"Khác")</f>
        <v>Tiết kiệm &amp; lãi suất tiền gửi</v>
      </c>
      <c r="N1431" s="24"/>
    </row>
    <row r="1432">
      <c r="A1432" s="15">
        <v>1430.0</v>
      </c>
      <c r="B1432" s="16" t="s">
        <v>231</v>
      </c>
      <c r="C1432" s="18" t="s">
        <v>1747</v>
      </c>
      <c r="D1432" s="16" t="s">
        <v>985</v>
      </c>
      <c r="E1432" s="16" t="s">
        <v>5712</v>
      </c>
      <c r="F1432" s="16" t="s">
        <v>5713</v>
      </c>
      <c r="G1432" s="16" t="s">
        <v>5714</v>
      </c>
      <c r="H1432" s="20" t="s">
        <v>155</v>
      </c>
      <c r="I1432" s="21" t="s">
        <v>70</v>
      </c>
      <c r="J1432" s="22" t="s">
        <v>5715</v>
      </c>
      <c r="K1432" s="23">
        <v>60.0</v>
      </c>
      <c r="L1432" s="24">
        <v>21.0</v>
      </c>
      <c r="M1432" s="24" t="str">
        <f>IFERROR(VLOOKUP(D1432,'Chủ đề bài nguồn'!$A$2:$C$735,3,0),"Khác")</f>
        <v>Quản lý tài chính cá nhân</v>
      </c>
      <c r="N1432" s="24"/>
    </row>
    <row r="1433">
      <c r="A1433" s="15">
        <v>1431.0</v>
      </c>
      <c r="B1433" s="16" t="s">
        <v>231</v>
      </c>
      <c r="C1433" s="18" t="s">
        <v>1707</v>
      </c>
      <c r="D1433" s="16" t="s">
        <v>2833</v>
      </c>
      <c r="E1433" s="16" t="s">
        <v>710</v>
      </c>
      <c r="F1433" s="16" t="s">
        <v>5716</v>
      </c>
      <c r="G1433" s="16" t="s">
        <v>5717</v>
      </c>
      <c r="H1433" s="20" t="s">
        <v>155</v>
      </c>
      <c r="I1433" s="21" t="s">
        <v>70</v>
      </c>
      <c r="J1433" s="22" t="s">
        <v>1956</v>
      </c>
      <c r="K1433" s="23">
        <v>60.0</v>
      </c>
      <c r="L1433" s="24">
        <v>21.0</v>
      </c>
      <c r="M1433" s="24" t="str">
        <f>IFERROR(VLOOKUP(D1433,'Chủ đề bài nguồn'!$A$2:$C$735,3,0),"Khác")</f>
        <v>Doanh nghiệp (tài khoản, vay, tài chính)</v>
      </c>
      <c r="N1433" s="24"/>
    </row>
    <row r="1434">
      <c r="A1434" s="15">
        <v>1432.0</v>
      </c>
      <c r="B1434" s="16" t="s">
        <v>231</v>
      </c>
      <c r="C1434" s="18" t="s">
        <v>1707</v>
      </c>
      <c r="D1434" s="16" t="s">
        <v>2039</v>
      </c>
      <c r="E1434" s="16" t="s">
        <v>5718</v>
      </c>
      <c r="F1434" s="16" t="s">
        <v>5719</v>
      </c>
      <c r="G1434" s="16" t="s">
        <v>5720</v>
      </c>
      <c r="H1434" s="20" t="s">
        <v>155</v>
      </c>
      <c r="I1434" s="21" t="s">
        <v>70</v>
      </c>
      <c r="J1434" s="22" t="s">
        <v>953</v>
      </c>
      <c r="K1434" s="23">
        <v>60.0</v>
      </c>
      <c r="L1434" s="24">
        <v>21.0</v>
      </c>
      <c r="M1434" s="24" t="str">
        <f>IFERROR(VLOOKUP(D1434,'Chủ đề bài nguồn'!$A$2:$C$735,3,0),"Khác")</f>
        <v>Ưu đãi, du lịch &amp; đời sống</v>
      </c>
      <c r="N1434" s="24"/>
    </row>
    <row r="1435">
      <c r="A1435" s="15">
        <v>1433.0</v>
      </c>
      <c r="B1435" s="16" t="s">
        <v>231</v>
      </c>
      <c r="C1435" s="18" t="s">
        <v>1707</v>
      </c>
      <c r="D1435" s="16" t="s">
        <v>2227</v>
      </c>
      <c r="E1435" s="16" t="s">
        <v>4461</v>
      </c>
      <c r="F1435" s="16" t="s">
        <v>5710</v>
      </c>
      <c r="G1435" s="16" t="s">
        <v>5721</v>
      </c>
      <c r="H1435" s="20" t="s">
        <v>155</v>
      </c>
      <c r="I1435" s="21" t="s">
        <v>70</v>
      </c>
      <c r="J1435" s="22" t="s">
        <v>71</v>
      </c>
      <c r="K1435" s="23">
        <v>60.0</v>
      </c>
      <c r="L1435" s="24">
        <v>21.0</v>
      </c>
      <c r="M1435" s="24" t="str">
        <f>IFERROR(VLOOKUP(D1435,'Chủ đề bài nguồn'!$A$2:$C$735,3,0),"Khác")</f>
        <v>Tiết kiệm &amp; lãi suất tiền gửi</v>
      </c>
      <c r="N1435" s="24"/>
    </row>
    <row r="1436">
      <c r="A1436" s="15">
        <v>1434.0</v>
      </c>
      <c r="B1436" s="16" t="s">
        <v>231</v>
      </c>
      <c r="C1436" s="18" t="s">
        <v>1707</v>
      </c>
      <c r="D1436" s="16" t="s">
        <v>349</v>
      </c>
      <c r="E1436" s="16" t="s">
        <v>5722</v>
      </c>
      <c r="F1436" s="16" t="s">
        <v>5723</v>
      </c>
      <c r="G1436" s="16" t="s">
        <v>5724</v>
      </c>
      <c r="H1436" s="20" t="s">
        <v>155</v>
      </c>
      <c r="I1436" s="21" t="s">
        <v>70</v>
      </c>
      <c r="J1436" s="22" t="s">
        <v>71</v>
      </c>
      <c r="K1436" s="23">
        <v>60.0</v>
      </c>
      <c r="L1436" s="24">
        <v>21.0</v>
      </c>
      <c r="M1436" s="24" t="str">
        <f>IFERROR(VLOOKUP(D1436,'Chủ đề bài nguồn'!$A$2:$C$735,3,0),"Khác")</f>
        <v>Tài khoản &amp; ngân hàng số</v>
      </c>
      <c r="N1436" s="24"/>
    </row>
    <row r="1437">
      <c r="A1437" s="15">
        <v>1435.0</v>
      </c>
      <c r="B1437" s="16" t="s">
        <v>231</v>
      </c>
      <c r="C1437" s="18" t="s">
        <v>1707</v>
      </c>
      <c r="D1437" s="16" t="s">
        <v>2829</v>
      </c>
      <c r="E1437" s="16" t="s">
        <v>5725</v>
      </c>
      <c r="F1437" s="16" t="s">
        <v>5726</v>
      </c>
      <c r="G1437" s="16" t="s">
        <v>5727</v>
      </c>
      <c r="H1437" s="20" t="s">
        <v>155</v>
      </c>
      <c r="I1437" s="21" t="s">
        <v>70</v>
      </c>
      <c r="J1437" s="22" t="s">
        <v>71</v>
      </c>
      <c r="K1437" s="23">
        <v>60.0</v>
      </c>
      <c r="L1437" s="24">
        <v>21.0</v>
      </c>
      <c r="M1437" s="24" t="str">
        <f>IFERROR(VLOOKUP(D1437,'Chủ đề bài nguồn'!$A$2:$C$735,3,0),"Khác")</f>
        <v>Đầu tư, CCTG, trái phiếu, vàng</v>
      </c>
      <c r="N1437" s="24"/>
    </row>
    <row r="1438">
      <c r="A1438" s="15">
        <v>1436.0</v>
      </c>
      <c r="B1438" s="16" t="s">
        <v>231</v>
      </c>
      <c r="C1438" s="18" t="s">
        <v>1707</v>
      </c>
      <c r="D1438" s="16" t="s">
        <v>1454</v>
      </c>
      <c r="E1438" s="16" t="s">
        <v>1455</v>
      </c>
      <c r="F1438" s="16" t="s">
        <v>5728</v>
      </c>
      <c r="G1438" s="16" t="s">
        <v>5729</v>
      </c>
      <c r="H1438" s="20" t="s">
        <v>155</v>
      </c>
      <c r="I1438" s="21" t="s">
        <v>70</v>
      </c>
      <c r="J1438" s="22" t="s">
        <v>71</v>
      </c>
      <c r="K1438" s="23">
        <v>60.0</v>
      </c>
      <c r="L1438" s="24">
        <v>21.0</v>
      </c>
      <c r="M1438" s="24" t="str">
        <f>IFERROR(VLOOKUP(D1438,'Chủ đề bài nguồn'!$A$2:$C$735,3,0),"Khác")</f>
        <v>Quản lý tài chính cá nhân</v>
      </c>
      <c r="N1438" s="24"/>
    </row>
    <row r="1439">
      <c r="A1439" s="15">
        <v>1437.0</v>
      </c>
      <c r="B1439" s="16" t="s">
        <v>231</v>
      </c>
      <c r="C1439" s="18" t="s">
        <v>1707</v>
      </c>
      <c r="D1439" s="16" t="s">
        <v>1659</v>
      </c>
      <c r="E1439" s="16" t="s">
        <v>5730</v>
      </c>
      <c r="F1439" s="16" t="s">
        <v>5731</v>
      </c>
      <c r="G1439" s="16" t="s">
        <v>5732</v>
      </c>
      <c r="H1439" s="20" t="s">
        <v>155</v>
      </c>
      <c r="I1439" s="21" t="s">
        <v>70</v>
      </c>
      <c r="J1439" s="22" t="s">
        <v>71</v>
      </c>
      <c r="K1439" s="23">
        <v>60.0</v>
      </c>
      <c r="L1439" s="24">
        <v>21.0</v>
      </c>
      <c r="M1439" s="24" t="str">
        <f>IFERROR(VLOOKUP(D1439,'Chủ đề bài nguồn'!$A$2:$C$735,3,0),"Khác")</f>
        <v>Tài khoản &amp; ngân hàng số</v>
      </c>
      <c r="N1439" s="24"/>
    </row>
    <row r="1440">
      <c r="A1440" s="15">
        <v>1438.0</v>
      </c>
      <c r="B1440" s="39" t="s">
        <v>231</v>
      </c>
      <c r="C1440" s="18" t="s">
        <v>1707</v>
      </c>
      <c r="D1440" s="39" t="s">
        <v>2967</v>
      </c>
      <c r="E1440" s="16" t="s">
        <v>3827</v>
      </c>
      <c r="F1440" s="16" t="s">
        <v>5733</v>
      </c>
      <c r="G1440" s="16" t="s">
        <v>5734</v>
      </c>
      <c r="H1440" s="20" t="s">
        <v>155</v>
      </c>
      <c r="I1440" s="21" t="s">
        <v>70</v>
      </c>
      <c r="J1440" s="22" t="s">
        <v>71</v>
      </c>
      <c r="K1440" s="23">
        <v>60.0</v>
      </c>
      <c r="L1440" s="24">
        <v>21.0</v>
      </c>
      <c r="M1440" s="24" t="str">
        <f>IFERROR(VLOOKUP(D1440,'Chủ đề bài nguồn'!$A$2:$C$735,3,0),"Khác")</f>
        <v>Thẻ tín dụng</v>
      </c>
      <c r="N1440" s="24"/>
    </row>
    <row r="1441">
      <c r="A1441" s="15">
        <v>1439.0</v>
      </c>
      <c r="B1441" s="16" t="s">
        <v>231</v>
      </c>
      <c r="C1441" s="18" t="s">
        <v>1720</v>
      </c>
      <c r="D1441" s="16" t="s">
        <v>3131</v>
      </c>
      <c r="E1441" s="16" t="s">
        <v>4361</v>
      </c>
      <c r="F1441" s="16" t="s">
        <v>5735</v>
      </c>
      <c r="G1441" s="16" t="s">
        <v>5736</v>
      </c>
      <c r="H1441" s="20" t="s">
        <v>155</v>
      </c>
      <c r="I1441" s="21" t="s">
        <v>70</v>
      </c>
      <c r="J1441" s="22" t="s">
        <v>71</v>
      </c>
      <c r="K1441" s="23">
        <v>60.0</v>
      </c>
      <c r="L1441" s="24">
        <v>21.0</v>
      </c>
      <c r="M1441" s="24" t="str">
        <f>IFERROR(VLOOKUP(D1441,'Chủ đề bài nguồn'!$A$2:$C$735,3,0),"Khác")</f>
        <v>Tiết kiệm &amp; lãi suất tiền gửi</v>
      </c>
      <c r="N1441" s="24"/>
    </row>
    <row r="1442">
      <c r="A1442" s="15">
        <v>1440.0</v>
      </c>
      <c r="B1442" s="16" t="s">
        <v>231</v>
      </c>
      <c r="C1442" s="18" t="s">
        <v>1720</v>
      </c>
      <c r="D1442" s="16" t="s">
        <v>2938</v>
      </c>
      <c r="E1442" s="16" t="s">
        <v>4571</v>
      </c>
      <c r="F1442" s="16" t="s">
        <v>5737</v>
      </c>
      <c r="G1442" s="16" t="s">
        <v>5738</v>
      </c>
      <c r="H1442" s="20" t="s">
        <v>155</v>
      </c>
      <c r="I1442" s="21" t="s">
        <v>70</v>
      </c>
      <c r="J1442" s="22" t="s">
        <v>71</v>
      </c>
      <c r="K1442" s="23">
        <v>60.0</v>
      </c>
      <c r="L1442" s="24">
        <v>21.0</v>
      </c>
      <c r="M1442" s="24" t="str">
        <f>IFERROR(VLOOKUP(D1442,'Chủ đề bài nguồn'!$A$2:$C$735,3,0),"Khác")</f>
        <v>Tiết kiệm &amp; lãi suất tiền gửi</v>
      </c>
      <c r="N1442" s="24"/>
    </row>
    <row r="1443">
      <c r="A1443" s="15">
        <v>1441.0</v>
      </c>
      <c r="B1443" s="16" t="s">
        <v>231</v>
      </c>
      <c r="C1443" s="18" t="s">
        <v>1720</v>
      </c>
      <c r="D1443" s="16" t="s">
        <v>3048</v>
      </c>
      <c r="E1443" s="16" t="s">
        <v>5739</v>
      </c>
      <c r="F1443" s="16" t="s">
        <v>5740</v>
      </c>
      <c r="G1443" s="16" t="s">
        <v>5741</v>
      </c>
      <c r="H1443" s="20" t="s">
        <v>155</v>
      </c>
      <c r="I1443" s="21" t="s">
        <v>70</v>
      </c>
      <c r="J1443" s="22" t="s">
        <v>5742</v>
      </c>
      <c r="K1443" s="23">
        <v>60.0</v>
      </c>
      <c r="L1443" s="24">
        <v>21.0</v>
      </c>
      <c r="M1443" s="24" t="str">
        <f>IFERROR(VLOOKUP(D1443,'Chủ đề bài nguồn'!$A$2:$C$735,3,0),"Khác")</f>
        <v>Đầu tư, CCTG, trái phiếu, vàng</v>
      </c>
      <c r="N1443" s="24"/>
    </row>
    <row r="1444">
      <c r="A1444" s="15">
        <v>1442.0</v>
      </c>
      <c r="B1444" s="16" t="s">
        <v>231</v>
      </c>
      <c r="C1444" s="18" t="s">
        <v>1720</v>
      </c>
      <c r="D1444" s="16" t="s">
        <v>3206</v>
      </c>
      <c r="E1444" s="16" t="s">
        <v>4469</v>
      </c>
      <c r="F1444" s="16" t="s">
        <v>5743</v>
      </c>
      <c r="G1444" s="16" t="s">
        <v>5744</v>
      </c>
      <c r="H1444" s="20" t="s">
        <v>155</v>
      </c>
      <c r="I1444" s="21" t="s">
        <v>70</v>
      </c>
      <c r="J1444" s="22" t="s">
        <v>71</v>
      </c>
      <c r="K1444" s="23">
        <v>60.0</v>
      </c>
      <c r="L1444" s="24">
        <v>21.0</v>
      </c>
      <c r="M1444" s="24" t="str">
        <f>IFERROR(VLOOKUP(D1444,'Chủ đề bài nguồn'!$A$2:$C$735,3,0),"Khác")</f>
        <v>Đầu tư, CCTG, trái phiếu, vàng</v>
      </c>
      <c r="N1444" s="24"/>
    </row>
    <row r="1445">
      <c r="A1445" s="15">
        <v>1443.0</v>
      </c>
      <c r="B1445" s="16" t="s">
        <v>231</v>
      </c>
      <c r="C1445" s="18" t="s">
        <v>1752</v>
      </c>
      <c r="D1445" s="16" t="s">
        <v>1145</v>
      </c>
      <c r="E1445" s="16" t="s">
        <v>5745</v>
      </c>
      <c r="F1445" s="16" t="s">
        <v>5746</v>
      </c>
      <c r="G1445" s="16" t="s">
        <v>5747</v>
      </c>
      <c r="H1445" s="20" t="s">
        <v>155</v>
      </c>
      <c r="I1445" s="21" t="s">
        <v>70</v>
      </c>
      <c r="J1445" s="22" t="s">
        <v>5644</v>
      </c>
      <c r="K1445" s="23">
        <v>60.0</v>
      </c>
      <c r="L1445" s="24">
        <v>21.0</v>
      </c>
      <c r="M1445" s="24" t="str">
        <f>IFERROR(VLOOKUP(D1445,'Chủ đề bài nguồn'!$A$2:$C$735,3,0),"Khác")</f>
        <v>Tiết kiệm &amp; lãi suất tiền gửi</v>
      </c>
      <c r="N1445" s="24"/>
    </row>
    <row r="1446">
      <c r="A1446" s="15">
        <v>1444.0</v>
      </c>
      <c r="B1446" s="16" t="s">
        <v>231</v>
      </c>
      <c r="C1446" s="18" t="s">
        <v>1752</v>
      </c>
      <c r="D1446" s="16" t="s">
        <v>1889</v>
      </c>
      <c r="E1446" s="16" t="s">
        <v>5748</v>
      </c>
      <c r="F1446" s="16" t="s">
        <v>5749</v>
      </c>
      <c r="G1446" s="16" t="s">
        <v>5750</v>
      </c>
      <c r="H1446" s="20" t="s">
        <v>155</v>
      </c>
      <c r="I1446" s="21" t="s">
        <v>70</v>
      </c>
      <c r="J1446" s="22" t="s">
        <v>71</v>
      </c>
      <c r="K1446" s="23">
        <v>60.0</v>
      </c>
      <c r="L1446" s="24">
        <v>21.0</v>
      </c>
      <c r="M1446" s="24" t="str">
        <f>IFERROR(VLOOKUP(D1446,'Chủ đề bài nguồn'!$A$2:$C$735,3,0),"Khác")</f>
        <v>Tiết kiệm &amp; lãi suất tiền gửi</v>
      </c>
      <c r="N1446" s="24"/>
    </row>
    <row r="1447">
      <c r="A1447" s="15">
        <v>1445.0</v>
      </c>
      <c r="B1447" s="16" t="s">
        <v>231</v>
      </c>
      <c r="C1447" s="18" t="s">
        <v>1752</v>
      </c>
      <c r="D1447" s="16" t="s">
        <v>961</v>
      </c>
      <c r="E1447" s="16" t="s">
        <v>710</v>
      </c>
      <c r="F1447" s="16" t="s">
        <v>5751</v>
      </c>
      <c r="G1447" s="16" t="s">
        <v>5752</v>
      </c>
      <c r="H1447" s="20" t="s">
        <v>155</v>
      </c>
      <c r="I1447" s="21" t="s">
        <v>70</v>
      </c>
      <c r="J1447" s="22" t="s">
        <v>71</v>
      </c>
      <c r="K1447" s="23">
        <v>60.0</v>
      </c>
      <c r="L1447" s="24">
        <v>21.0</v>
      </c>
      <c r="M1447" s="24" t="str">
        <f>IFERROR(VLOOKUP(D1447,'Chủ đề bài nguồn'!$A$2:$C$735,3,0),"Khác")</f>
        <v>Đầu tư, CCTG, trái phiếu, vàng</v>
      </c>
      <c r="N1447" s="24"/>
    </row>
    <row r="1448">
      <c r="A1448" s="15">
        <v>1446.0</v>
      </c>
      <c r="B1448" s="16" t="s">
        <v>231</v>
      </c>
      <c r="C1448" s="18" t="s">
        <v>1752</v>
      </c>
      <c r="D1448" s="16" t="s">
        <v>3235</v>
      </c>
      <c r="E1448" s="16" t="s">
        <v>5753</v>
      </c>
      <c r="F1448" s="16" t="s">
        <v>5754</v>
      </c>
      <c r="G1448" s="16" t="s">
        <v>5755</v>
      </c>
      <c r="H1448" s="20" t="s">
        <v>155</v>
      </c>
      <c r="I1448" s="21" t="s">
        <v>70</v>
      </c>
      <c r="J1448" s="22" t="s">
        <v>3999</v>
      </c>
      <c r="K1448" s="23">
        <v>60.0</v>
      </c>
      <c r="L1448" s="24">
        <v>21.0</v>
      </c>
      <c r="M1448" s="24" t="str">
        <f>IFERROR(VLOOKUP(D1448,'Chủ đề bài nguồn'!$A$2:$C$735,3,0),"Khác")</f>
        <v>Tiết kiệm &amp; lãi suất tiền gửi</v>
      </c>
      <c r="N1448" s="24"/>
    </row>
    <row r="1449">
      <c r="A1449" s="15">
        <v>1447.0</v>
      </c>
      <c r="B1449" s="16" t="s">
        <v>231</v>
      </c>
      <c r="C1449" s="18" t="s">
        <v>1752</v>
      </c>
      <c r="D1449" s="16" t="s">
        <v>3241</v>
      </c>
      <c r="E1449" s="16" t="s">
        <v>4461</v>
      </c>
      <c r="F1449" s="16" t="s">
        <v>4462</v>
      </c>
      <c r="G1449" s="16" t="s">
        <v>5756</v>
      </c>
      <c r="H1449" s="20" t="s">
        <v>155</v>
      </c>
      <c r="I1449" s="21" t="s">
        <v>70</v>
      </c>
      <c r="J1449" s="22" t="s">
        <v>71</v>
      </c>
      <c r="K1449" s="23">
        <v>60.0</v>
      </c>
      <c r="L1449" s="24">
        <v>21.0</v>
      </c>
      <c r="M1449" s="24" t="str">
        <f>IFERROR(VLOOKUP(D1449,'Chủ đề bài nguồn'!$A$2:$C$735,3,0),"Khác")</f>
        <v>Tiết kiệm &amp; lãi suất tiền gửi</v>
      </c>
      <c r="N1449" s="24"/>
    </row>
    <row r="1450">
      <c r="A1450" s="15">
        <v>1448.0</v>
      </c>
      <c r="B1450" s="16" t="s">
        <v>231</v>
      </c>
      <c r="C1450" s="18" t="s">
        <v>1752</v>
      </c>
      <c r="D1450" s="16" t="s">
        <v>2899</v>
      </c>
      <c r="E1450" s="16" t="s">
        <v>5757</v>
      </c>
      <c r="F1450" s="16" t="s">
        <v>5758</v>
      </c>
      <c r="G1450" s="16" t="s">
        <v>5759</v>
      </c>
      <c r="H1450" s="20" t="s">
        <v>155</v>
      </c>
      <c r="I1450" s="21" t="s">
        <v>70</v>
      </c>
      <c r="J1450" s="22" t="s">
        <v>71</v>
      </c>
      <c r="K1450" s="23">
        <v>60.0</v>
      </c>
      <c r="L1450" s="24">
        <v>21.0</v>
      </c>
      <c r="M1450" s="24" t="str">
        <f>IFERROR(VLOOKUP(D1450,'Chủ đề bài nguồn'!$A$2:$C$735,3,0),"Khác")</f>
        <v>Tiết kiệm &amp; lãi suất tiền gửi</v>
      </c>
      <c r="N1450" s="24"/>
    </row>
    <row r="1451">
      <c r="A1451" s="15">
        <v>1449.0</v>
      </c>
      <c r="B1451" s="16" t="s">
        <v>231</v>
      </c>
      <c r="C1451" s="18" t="s">
        <v>1752</v>
      </c>
      <c r="D1451" s="16" t="s">
        <v>1650</v>
      </c>
      <c r="E1451" s="16" t="s">
        <v>5760</v>
      </c>
      <c r="F1451" s="16" t="s">
        <v>5761</v>
      </c>
      <c r="G1451" s="16" t="s">
        <v>5762</v>
      </c>
      <c r="H1451" s="20" t="s">
        <v>155</v>
      </c>
      <c r="I1451" s="21" t="s">
        <v>70</v>
      </c>
      <c r="J1451" s="22" t="s">
        <v>71</v>
      </c>
      <c r="K1451" s="23">
        <v>60.0</v>
      </c>
      <c r="L1451" s="24">
        <v>21.0</v>
      </c>
      <c r="M1451" s="24" t="str">
        <f>IFERROR(VLOOKUP(D1451,'Chủ đề bài nguồn'!$A$2:$C$735,3,0),"Khác")</f>
        <v>Tài khoản &amp; ngân hàng số</v>
      </c>
      <c r="N1451" s="24"/>
    </row>
    <row r="1452">
      <c r="A1452" s="15">
        <v>1450.0</v>
      </c>
      <c r="B1452" s="16" t="s">
        <v>231</v>
      </c>
      <c r="C1452" s="18" t="s">
        <v>1741</v>
      </c>
      <c r="D1452" s="16" t="s">
        <v>3227</v>
      </c>
      <c r="E1452" s="16" t="s">
        <v>5763</v>
      </c>
      <c r="F1452" s="16" t="s">
        <v>5764</v>
      </c>
      <c r="G1452" s="16" t="s">
        <v>5765</v>
      </c>
      <c r="H1452" s="20" t="s">
        <v>155</v>
      </c>
      <c r="I1452" s="21" t="s">
        <v>70</v>
      </c>
      <c r="J1452" s="22" t="s">
        <v>953</v>
      </c>
      <c r="K1452" s="23">
        <v>60.0</v>
      </c>
      <c r="L1452" s="24">
        <v>21.0</v>
      </c>
      <c r="M1452" s="24" t="str">
        <f>IFERROR(VLOOKUP(D1452,'Chủ đề bài nguồn'!$A$2:$C$735,3,0),"Khác")</f>
        <v>Tiết kiệm &amp; lãi suất tiền gửi</v>
      </c>
      <c r="N1452" s="24"/>
    </row>
    <row r="1453">
      <c r="A1453" s="15">
        <v>1451.0</v>
      </c>
      <c r="B1453" s="16" t="s">
        <v>231</v>
      </c>
      <c r="C1453" s="18" t="s">
        <v>1741</v>
      </c>
      <c r="D1453" s="16" t="s">
        <v>1723</v>
      </c>
      <c r="E1453" s="16" t="s">
        <v>5766</v>
      </c>
      <c r="F1453" s="16" t="s">
        <v>5767</v>
      </c>
      <c r="G1453" s="16" t="s">
        <v>5768</v>
      </c>
      <c r="H1453" s="20" t="s">
        <v>155</v>
      </c>
      <c r="I1453" s="21" t="s">
        <v>70</v>
      </c>
      <c r="J1453" s="22" t="s">
        <v>71</v>
      </c>
      <c r="K1453" s="23">
        <v>60.0</v>
      </c>
      <c r="L1453" s="24">
        <v>21.0</v>
      </c>
      <c r="M1453" s="24" t="str">
        <f>IFERROR(VLOOKUP(D1453,'Chủ đề bài nguồn'!$A$2:$C$735,3,0),"Khác")</f>
        <v>Tiết kiệm &amp; lãi suất tiền gửi</v>
      </c>
      <c r="N1453" s="24"/>
    </row>
    <row r="1454">
      <c r="A1454" s="15">
        <v>1452.0</v>
      </c>
      <c r="B1454" s="16" t="s">
        <v>231</v>
      </c>
      <c r="C1454" s="18" t="s">
        <v>1741</v>
      </c>
      <c r="D1454" s="16" t="s">
        <v>2865</v>
      </c>
      <c r="E1454" s="16" t="s">
        <v>710</v>
      </c>
      <c r="F1454" s="16" t="s">
        <v>5769</v>
      </c>
      <c r="G1454" s="16" t="s">
        <v>5770</v>
      </c>
      <c r="H1454" s="20" t="s">
        <v>155</v>
      </c>
      <c r="I1454" s="21" t="s">
        <v>70</v>
      </c>
      <c r="J1454" s="22" t="s">
        <v>1956</v>
      </c>
      <c r="K1454" s="23">
        <v>60.0</v>
      </c>
      <c r="L1454" s="24">
        <v>21.0</v>
      </c>
      <c r="M1454" s="24" t="str">
        <f>IFERROR(VLOOKUP(D1454,'Chủ đề bài nguồn'!$A$2:$C$735,3,0),"Khác")</f>
        <v>Tiết kiệm &amp; lãi suất tiền gửi</v>
      </c>
      <c r="N1454" s="24"/>
    </row>
    <row r="1455">
      <c r="A1455" s="15">
        <v>1453.0</v>
      </c>
      <c r="B1455" s="16" t="s">
        <v>231</v>
      </c>
      <c r="C1455" s="18" t="s">
        <v>1741</v>
      </c>
      <c r="D1455" s="16" t="s">
        <v>2754</v>
      </c>
      <c r="E1455" s="16" t="s">
        <v>5771</v>
      </c>
      <c r="F1455" s="16" t="s">
        <v>5772</v>
      </c>
      <c r="G1455" s="16" t="s">
        <v>5773</v>
      </c>
      <c r="H1455" s="20" t="s">
        <v>155</v>
      </c>
      <c r="I1455" s="21" t="s">
        <v>70</v>
      </c>
      <c r="J1455" s="22" t="s">
        <v>134</v>
      </c>
      <c r="K1455" s="23">
        <v>60.0</v>
      </c>
      <c r="L1455" s="24">
        <v>21.0</v>
      </c>
      <c r="M1455" s="24" t="str">
        <f>IFERROR(VLOOKUP(D1455,'Chủ đề bài nguồn'!$A$2:$C$735,3,0),"Khác")</f>
        <v>Đầu tư, CCTG, trái phiếu, vàng</v>
      </c>
      <c r="N1455" s="24"/>
    </row>
    <row r="1456">
      <c r="A1456" s="15">
        <v>1454.0</v>
      </c>
      <c r="B1456" s="16" t="s">
        <v>231</v>
      </c>
      <c r="C1456" s="18" t="s">
        <v>1741</v>
      </c>
      <c r="D1456" s="16" t="s">
        <v>2871</v>
      </c>
      <c r="E1456" s="16" t="s">
        <v>5774</v>
      </c>
      <c r="F1456" s="16" t="s">
        <v>5775</v>
      </c>
      <c r="G1456" s="16" t="s">
        <v>5776</v>
      </c>
      <c r="H1456" s="20" t="s">
        <v>155</v>
      </c>
      <c r="I1456" s="21" t="s">
        <v>70</v>
      </c>
      <c r="J1456" s="22" t="s">
        <v>71</v>
      </c>
      <c r="K1456" s="23">
        <v>60.0</v>
      </c>
      <c r="L1456" s="24">
        <v>21.0</v>
      </c>
      <c r="M1456" s="24" t="str">
        <f>IFERROR(VLOOKUP(D1456,'Chủ đề bài nguồn'!$A$2:$C$735,3,0),"Khác")</f>
        <v>Tiết kiệm &amp; lãi suất tiền gửi</v>
      </c>
      <c r="N1456" s="24"/>
    </row>
    <row r="1457">
      <c r="A1457" s="15">
        <v>1455.0</v>
      </c>
      <c r="B1457" s="16" t="s">
        <v>231</v>
      </c>
      <c r="C1457" s="18" t="s">
        <v>1741</v>
      </c>
      <c r="D1457" s="16" t="s">
        <v>2939</v>
      </c>
      <c r="E1457" s="16" t="s">
        <v>5777</v>
      </c>
      <c r="F1457" s="16" t="s">
        <v>5778</v>
      </c>
      <c r="G1457" s="16" t="s">
        <v>5779</v>
      </c>
      <c r="H1457" s="20" t="s">
        <v>155</v>
      </c>
      <c r="I1457" s="21" t="s">
        <v>70</v>
      </c>
      <c r="J1457" s="22" t="s">
        <v>71</v>
      </c>
      <c r="K1457" s="23">
        <v>60.0</v>
      </c>
      <c r="L1457" s="24">
        <v>21.0</v>
      </c>
      <c r="M1457" s="24" t="str">
        <f>IFERROR(VLOOKUP(D1457,'Chủ đề bài nguồn'!$A$2:$C$735,3,0),"Khác")</f>
        <v>Tiết kiệm &amp; lãi suất tiền gửi</v>
      </c>
      <c r="N1457" s="24"/>
    </row>
    <row r="1458">
      <c r="A1458" s="15">
        <v>1456.0</v>
      </c>
      <c r="B1458" s="16" t="s">
        <v>231</v>
      </c>
      <c r="C1458" s="18" t="s">
        <v>1741</v>
      </c>
      <c r="D1458" s="16" t="s">
        <v>3129</v>
      </c>
      <c r="E1458" s="16" t="s">
        <v>5780</v>
      </c>
      <c r="F1458" s="16" t="s">
        <v>5781</v>
      </c>
      <c r="G1458" s="16" t="s">
        <v>5782</v>
      </c>
      <c r="H1458" s="20" t="s">
        <v>155</v>
      </c>
      <c r="I1458" s="21" t="s">
        <v>70</v>
      </c>
      <c r="J1458" s="22" t="s">
        <v>71</v>
      </c>
      <c r="K1458" s="23">
        <v>60.0</v>
      </c>
      <c r="L1458" s="24">
        <v>21.0</v>
      </c>
      <c r="M1458" s="24" t="str">
        <f>IFERROR(VLOOKUP(D1458,'Chủ đề bài nguồn'!$A$2:$C$735,3,0),"Khác")</f>
        <v>Tiết kiệm &amp; lãi suất tiền gửi</v>
      </c>
      <c r="N1458" s="24"/>
    </row>
    <row r="1459">
      <c r="A1459" s="15">
        <v>1457.0</v>
      </c>
      <c r="B1459" s="16" t="s">
        <v>231</v>
      </c>
      <c r="C1459" s="18" t="s">
        <v>1741</v>
      </c>
      <c r="D1459" s="16" t="s">
        <v>2384</v>
      </c>
      <c r="E1459" s="16" t="s">
        <v>2385</v>
      </c>
      <c r="F1459" s="16" t="s">
        <v>5728</v>
      </c>
      <c r="G1459" s="16" t="s">
        <v>5783</v>
      </c>
      <c r="H1459" s="20" t="s">
        <v>155</v>
      </c>
      <c r="I1459" s="21" t="s">
        <v>70</v>
      </c>
      <c r="J1459" s="22" t="s">
        <v>664</v>
      </c>
      <c r="K1459" s="23">
        <v>60.0</v>
      </c>
      <c r="L1459" s="24">
        <v>21.0</v>
      </c>
      <c r="M1459" s="24" t="str">
        <f>IFERROR(VLOOKUP(D1459,'Chủ đề bài nguồn'!$A$2:$C$735,3,0),"Khác")</f>
        <v>Quản lý tài chính cá nhân</v>
      </c>
      <c r="N1459" s="24"/>
    </row>
    <row r="1460">
      <c r="A1460" s="15">
        <v>1458.0</v>
      </c>
      <c r="B1460" s="16" t="s">
        <v>231</v>
      </c>
      <c r="C1460" s="18" t="s">
        <v>1741</v>
      </c>
      <c r="D1460" s="16" t="s">
        <v>1748</v>
      </c>
      <c r="E1460" s="16" t="s">
        <v>5784</v>
      </c>
      <c r="F1460" s="16" t="s">
        <v>5785</v>
      </c>
      <c r="G1460" s="16" t="s">
        <v>5786</v>
      </c>
      <c r="H1460" s="20" t="s">
        <v>155</v>
      </c>
      <c r="I1460" s="21" t="s">
        <v>70</v>
      </c>
      <c r="J1460" s="22" t="s">
        <v>71</v>
      </c>
      <c r="K1460" s="23">
        <v>60.0</v>
      </c>
      <c r="L1460" s="24">
        <v>21.0</v>
      </c>
      <c r="M1460" s="24" t="str">
        <f>IFERROR(VLOOKUP(D1460,'Chủ đề bài nguồn'!$A$2:$C$735,3,0),"Khác")</f>
        <v>Tài khoản &amp; ngân hàng số</v>
      </c>
      <c r="N1460" s="24"/>
    </row>
    <row r="1461">
      <c r="A1461" s="15">
        <v>1459.0</v>
      </c>
      <c r="B1461" s="16" t="s">
        <v>231</v>
      </c>
      <c r="C1461" s="18" t="s">
        <v>1741</v>
      </c>
      <c r="D1461" s="16" t="s">
        <v>3051</v>
      </c>
      <c r="E1461" s="16" t="s">
        <v>5787</v>
      </c>
      <c r="F1461" s="16" t="s">
        <v>5788</v>
      </c>
      <c r="G1461" s="16" t="s">
        <v>5675</v>
      </c>
      <c r="H1461" s="20" t="s">
        <v>155</v>
      </c>
      <c r="I1461" s="21" t="s">
        <v>70</v>
      </c>
      <c r="J1461" s="22" t="s">
        <v>2506</v>
      </c>
      <c r="K1461" s="23">
        <v>60.0</v>
      </c>
      <c r="L1461" s="24">
        <v>21.0</v>
      </c>
      <c r="M1461" s="24" t="str">
        <f>IFERROR(VLOOKUP(D1461,'Chủ đề bài nguồn'!$A$2:$C$735,3,0),"Khác")</f>
        <v>Ngoại tệ &amp; chuyển tiền quốc tế</v>
      </c>
      <c r="N1461" s="24"/>
    </row>
    <row r="1462">
      <c r="A1462" s="15">
        <v>1460.0</v>
      </c>
      <c r="B1462" s="16" t="s">
        <v>231</v>
      </c>
      <c r="C1462" s="18" t="s">
        <v>1741</v>
      </c>
      <c r="D1462" s="16" t="s">
        <v>2425</v>
      </c>
      <c r="E1462" s="16" t="s">
        <v>5789</v>
      </c>
      <c r="F1462" s="16" t="s">
        <v>5790</v>
      </c>
      <c r="G1462" s="16" t="s">
        <v>5791</v>
      </c>
      <c r="H1462" s="20" t="s">
        <v>155</v>
      </c>
      <c r="I1462" s="21" t="s">
        <v>70</v>
      </c>
      <c r="J1462" s="22" t="s">
        <v>71</v>
      </c>
      <c r="K1462" s="23">
        <v>60.0</v>
      </c>
      <c r="L1462" s="24">
        <v>21.0</v>
      </c>
      <c r="M1462" s="24" t="str">
        <f>IFERROR(VLOOKUP(D1462,'Chủ đề bài nguồn'!$A$2:$C$735,3,0),"Khác")</f>
        <v>Doanh nghiệp (tài khoản, vay, tài chính)</v>
      </c>
      <c r="N1462" s="24"/>
    </row>
    <row r="1463">
      <c r="A1463" s="15">
        <v>1461.0</v>
      </c>
      <c r="B1463" s="16" t="s">
        <v>231</v>
      </c>
      <c r="C1463" s="18" t="s">
        <v>1707</v>
      </c>
      <c r="D1463" s="16" t="s">
        <v>3315</v>
      </c>
      <c r="E1463" s="16" t="s">
        <v>5792</v>
      </c>
      <c r="F1463" s="16" t="s">
        <v>5793</v>
      </c>
      <c r="G1463" s="16" t="s">
        <v>5646</v>
      </c>
      <c r="H1463" s="20" t="s">
        <v>229</v>
      </c>
      <c r="I1463" s="21" t="s">
        <v>70</v>
      </c>
      <c r="J1463" s="22" t="s">
        <v>5794</v>
      </c>
      <c r="K1463" s="23">
        <v>60.0</v>
      </c>
      <c r="L1463" s="24">
        <v>30.0</v>
      </c>
      <c r="M1463" s="24" t="str">
        <f>IFERROR(VLOOKUP(D1463,'Chủ đề bài nguồn'!$A$2:$C$735,3,0),"Khác")</f>
        <v>Vay thế chấp &amp; mua nhà/xe</v>
      </c>
      <c r="N1463" s="24"/>
    </row>
    <row r="1464">
      <c r="A1464" s="15">
        <v>1462.0</v>
      </c>
      <c r="B1464" s="16" t="s">
        <v>231</v>
      </c>
      <c r="C1464" s="18" t="s">
        <v>1747</v>
      </c>
      <c r="D1464" s="16" t="s">
        <v>3040</v>
      </c>
      <c r="E1464" s="16" t="s">
        <v>4461</v>
      </c>
      <c r="F1464" s="16" t="s">
        <v>5795</v>
      </c>
      <c r="G1464" s="16" t="s">
        <v>5796</v>
      </c>
      <c r="H1464" s="20" t="s">
        <v>229</v>
      </c>
      <c r="I1464" s="21" t="s">
        <v>70</v>
      </c>
      <c r="J1464" s="22" t="s">
        <v>5797</v>
      </c>
      <c r="K1464" s="23">
        <v>60.0</v>
      </c>
      <c r="L1464" s="24">
        <v>31.0</v>
      </c>
      <c r="M1464" s="24" t="str">
        <f>IFERROR(VLOOKUP(D1464,'Chủ đề bài nguồn'!$A$2:$C$735,3,0),"Khác")</f>
        <v>Tiết kiệm &amp; lãi suất tiền gửi</v>
      </c>
      <c r="N1464" s="24"/>
    </row>
    <row r="1465">
      <c r="A1465" s="15">
        <v>1463.0</v>
      </c>
      <c r="B1465" s="16" t="s">
        <v>231</v>
      </c>
      <c r="C1465" s="18" t="s">
        <v>1747</v>
      </c>
      <c r="D1465" s="16" t="s">
        <v>2870</v>
      </c>
      <c r="E1465" s="16" t="s">
        <v>4461</v>
      </c>
      <c r="F1465" s="16" t="s">
        <v>5798</v>
      </c>
      <c r="G1465" s="16" t="s">
        <v>5711</v>
      </c>
      <c r="H1465" s="20" t="s">
        <v>229</v>
      </c>
      <c r="I1465" s="21" t="s">
        <v>70</v>
      </c>
      <c r="J1465" s="22" t="s">
        <v>71</v>
      </c>
      <c r="K1465" s="23">
        <v>60.0</v>
      </c>
      <c r="L1465" s="24">
        <v>31.0</v>
      </c>
      <c r="M1465" s="24" t="str">
        <f>IFERROR(VLOOKUP(D1465,'Chủ đề bài nguồn'!$A$2:$C$735,3,0),"Khác")</f>
        <v>Tiết kiệm &amp; lãi suất tiền gửi</v>
      </c>
      <c r="N1465" s="24"/>
    </row>
    <row r="1466">
      <c r="A1466" s="15">
        <v>1464.0</v>
      </c>
      <c r="B1466" s="16" t="s">
        <v>231</v>
      </c>
      <c r="C1466" s="18" t="s">
        <v>1747</v>
      </c>
      <c r="D1466" s="16" t="s">
        <v>2719</v>
      </c>
      <c r="E1466" s="16" t="s">
        <v>4461</v>
      </c>
      <c r="F1466" s="16" t="s">
        <v>5795</v>
      </c>
      <c r="G1466" s="16" t="s">
        <v>5796</v>
      </c>
      <c r="H1466" s="20" t="s">
        <v>229</v>
      </c>
      <c r="I1466" s="21" t="s">
        <v>70</v>
      </c>
      <c r="J1466" s="22" t="s">
        <v>5797</v>
      </c>
      <c r="K1466" s="23">
        <v>60.0</v>
      </c>
      <c r="L1466" s="24">
        <v>31.0</v>
      </c>
      <c r="M1466" s="24" t="str">
        <f>IFERROR(VLOOKUP(D1466,'Chủ đề bài nguồn'!$A$2:$C$735,3,0),"Khác")</f>
        <v>Tiết kiệm &amp; lãi suất tiền gửi</v>
      </c>
      <c r="N1466" s="24"/>
    </row>
    <row r="1467">
      <c r="A1467" s="15">
        <v>1465.0</v>
      </c>
      <c r="B1467" s="16" t="s">
        <v>231</v>
      </c>
      <c r="C1467" s="18" t="s">
        <v>1747</v>
      </c>
      <c r="D1467" s="16" t="s">
        <v>1458</v>
      </c>
      <c r="E1467" s="16" t="s">
        <v>1459</v>
      </c>
      <c r="F1467" s="16" t="s">
        <v>5799</v>
      </c>
      <c r="G1467" s="16" t="s">
        <v>5714</v>
      </c>
      <c r="H1467" s="20" t="s">
        <v>229</v>
      </c>
      <c r="I1467" s="21" t="s">
        <v>70</v>
      </c>
      <c r="J1467" s="22" t="s">
        <v>2506</v>
      </c>
      <c r="K1467" s="23">
        <v>60.0</v>
      </c>
      <c r="L1467" s="24">
        <v>31.0</v>
      </c>
      <c r="M1467" s="24" t="str">
        <f>IFERROR(VLOOKUP(D1467,'Chủ đề bài nguồn'!$A$2:$C$735,3,0),"Khác")</f>
        <v>Tài khoản &amp; ngân hàng số</v>
      </c>
      <c r="N1467" s="24"/>
    </row>
    <row r="1468">
      <c r="A1468" s="15">
        <v>1466.0</v>
      </c>
      <c r="B1468" s="16" t="s">
        <v>231</v>
      </c>
      <c r="C1468" s="18" t="s">
        <v>1747</v>
      </c>
      <c r="D1468" s="16" t="s">
        <v>3056</v>
      </c>
      <c r="E1468" s="16" t="s">
        <v>4461</v>
      </c>
      <c r="F1468" s="16" t="s">
        <v>5795</v>
      </c>
      <c r="G1468" s="16" t="s">
        <v>5796</v>
      </c>
      <c r="H1468" s="20" t="s">
        <v>229</v>
      </c>
      <c r="I1468" s="21" t="s">
        <v>70</v>
      </c>
      <c r="J1468" s="22" t="s">
        <v>5797</v>
      </c>
      <c r="K1468" s="23">
        <v>60.0</v>
      </c>
      <c r="L1468" s="24">
        <v>31.0</v>
      </c>
      <c r="M1468" s="24" t="str">
        <f>IFERROR(VLOOKUP(D1468,'Chủ đề bài nguồn'!$A$2:$C$735,3,0),"Khác")</f>
        <v>Tiết kiệm &amp; lãi suất tiền gửi</v>
      </c>
      <c r="N1468" s="24"/>
    </row>
    <row r="1469">
      <c r="A1469" s="15">
        <v>1467.0</v>
      </c>
      <c r="B1469" s="16" t="s">
        <v>231</v>
      </c>
      <c r="C1469" s="18" t="s">
        <v>1747</v>
      </c>
      <c r="D1469" s="16" t="s">
        <v>2104</v>
      </c>
      <c r="E1469" s="16" t="s">
        <v>5800</v>
      </c>
      <c r="F1469" s="16" t="s">
        <v>5801</v>
      </c>
      <c r="G1469" s="16" t="s">
        <v>5699</v>
      </c>
      <c r="H1469" s="20" t="s">
        <v>229</v>
      </c>
      <c r="I1469" s="21" t="s">
        <v>70</v>
      </c>
      <c r="J1469" s="22" t="s">
        <v>664</v>
      </c>
      <c r="K1469" s="23">
        <v>60.0</v>
      </c>
      <c r="L1469" s="24">
        <v>31.0</v>
      </c>
      <c r="M1469" s="24" t="str">
        <f>IFERROR(VLOOKUP(D1469,'Chủ đề bài nguồn'!$A$2:$C$735,3,0),"Khác")</f>
        <v>Hộ kinh doanh &amp; bán hàng</v>
      </c>
      <c r="N1469" s="24"/>
    </row>
    <row r="1470">
      <c r="A1470" s="15">
        <v>1468.0</v>
      </c>
      <c r="B1470" s="16" t="s">
        <v>231</v>
      </c>
      <c r="C1470" s="18" t="s">
        <v>1747</v>
      </c>
      <c r="D1470" s="16" t="s">
        <v>2335</v>
      </c>
      <c r="E1470" s="16" t="s">
        <v>4461</v>
      </c>
      <c r="F1470" s="16" t="s">
        <v>4462</v>
      </c>
      <c r="G1470" s="16" t="s">
        <v>5802</v>
      </c>
      <c r="H1470" s="20" t="s">
        <v>229</v>
      </c>
      <c r="I1470" s="21" t="s">
        <v>70</v>
      </c>
      <c r="J1470" s="22" t="s">
        <v>5803</v>
      </c>
      <c r="K1470" s="23">
        <v>60.0</v>
      </c>
      <c r="L1470" s="24">
        <v>31.0</v>
      </c>
      <c r="M1470" s="24" t="str">
        <f>IFERROR(VLOOKUP(D1470,'Chủ đề bài nguồn'!$A$2:$C$735,3,0),"Khác")</f>
        <v>Tiết kiệm &amp; lãi suất tiền gửi</v>
      </c>
      <c r="N1470" s="24"/>
    </row>
    <row r="1471">
      <c r="A1471" s="15">
        <v>1469.0</v>
      </c>
      <c r="B1471" s="16" t="s">
        <v>231</v>
      </c>
      <c r="C1471" s="18" t="s">
        <v>1747</v>
      </c>
      <c r="D1471" s="16" t="s">
        <v>2597</v>
      </c>
      <c r="E1471" s="16" t="s">
        <v>5804</v>
      </c>
      <c r="F1471" s="16" t="s">
        <v>5805</v>
      </c>
      <c r="G1471" s="16" t="s">
        <v>5806</v>
      </c>
      <c r="H1471" s="20" t="s">
        <v>229</v>
      </c>
      <c r="I1471" s="21" t="s">
        <v>70</v>
      </c>
      <c r="J1471" s="22" t="s">
        <v>71</v>
      </c>
      <c r="K1471" s="23">
        <v>60.0</v>
      </c>
      <c r="L1471" s="24">
        <v>31.0</v>
      </c>
      <c r="M1471" s="24" t="str">
        <f>IFERROR(VLOOKUP(D1471,'Chủ đề bài nguồn'!$A$2:$C$735,3,0),"Khác")</f>
        <v>Tài khoản &amp; ngân hàng số</v>
      </c>
      <c r="N1471" s="24"/>
    </row>
    <row r="1472">
      <c r="A1472" s="15">
        <v>1470.0</v>
      </c>
      <c r="B1472" s="16" t="s">
        <v>231</v>
      </c>
      <c r="C1472" s="18" t="s">
        <v>1747</v>
      </c>
      <c r="D1472" s="16" t="s">
        <v>2292</v>
      </c>
      <c r="E1472" s="16" t="s">
        <v>4461</v>
      </c>
      <c r="F1472" s="16" t="s">
        <v>4462</v>
      </c>
      <c r="G1472" s="16" t="s">
        <v>5802</v>
      </c>
      <c r="H1472" s="20" t="s">
        <v>229</v>
      </c>
      <c r="I1472" s="21" t="s">
        <v>70</v>
      </c>
      <c r="J1472" s="22" t="s">
        <v>5803</v>
      </c>
      <c r="K1472" s="23">
        <v>60.0</v>
      </c>
      <c r="L1472" s="24">
        <v>31.0</v>
      </c>
      <c r="M1472" s="24" t="str">
        <f>IFERROR(VLOOKUP(D1472,'Chủ đề bài nguồn'!$A$2:$C$735,3,0),"Khác")</f>
        <v>Tiết kiệm &amp; lãi suất tiền gửi</v>
      </c>
      <c r="N1472" s="24"/>
    </row>
    <row r="1473">
      <c r="A1473" s="15">
        <v>1471.0</v>
      </c>
      <c r="B1473" s="16" t="s">
        <v>231</v>
      </c>
      <c r="C1473" s="18" t="s">
        <v>1747</v>
      </c>
      <c r="D1473" s="16" t="s">
        <v>2920</v>
      </c>
      <c r="E1473" s="16" t="s">
        <v>5807</v>
      </c>
      <c r="F1473" s="16" t="s">
        <v>5808</v>
      </c>
      <c r="G1473" s="16" t="s">
        <v>5809</v>
      </c>
      <c r="H1473" s="20" t="s">
        <v>229</v>
      </c>
      <c r="I1473" s="21" t="s">
        <v>70</v>
      </c>
      <c r="J1473" s="22" t="s">
        <v>71</v>
      </c>
      <c r="K1473" s="23">
        <v>60.0</v>
      </c>
      <c r="L1473" s="24">
        <v>31.0</v>
      </c>
      <c r="M1473" s="24" t="str">
        <f>IFERROR(VLOOKUP(D1473,'Chủ đề bài nguồn'!$A$2:$C$735,3,0),"Khác")</f>
        <v>Đầu tư, CCTG, trái phiếu, vàng</v>
      </c>
      <c r="N1473" s="24"/>
    </row>
    <row r="1474">
      <c r="A1474" s="15">
        <v>1472.0</v>
      </c>
      <c r="B1474" s="16" t="s">
        <v>231</v>
      </c>
      <c r="C1474" s="18" t="s">
        <v>1747</v>
      </c>
      <c r="D1474" s="16" t="s">
        <v>3130</v>
      </c>
      <c r="E1474" s="16" t="s">
        <v>5810</v>
      </c>
      <c r="F1474" s="16" t="s">
        <v>5811</v>
      </c>
      <c r="G1474" s="16" t="s">
        <v>5812</v>
      </c>
      <c r="H1474" s="20" t="s">
        <v>229</v>
      </c>
      <c r="I1474" s="21" t="s">
        <v>70</v>
      </c>
      <c r="J1474" s="22" t="s">
        <v>71</v>
      </c>
      <c r="K1474" s="23">
        <v>60.0</v>
      </c>
      <c r="L1474" s="24">
        <v>31.0</v>
      </c>
      <c r="M1474" s="24" t="str">
        <f>IFERROR(VLOOKUP(D1474,'Chủ đề bài nguồn'!$A$2:$C$735,3,0),"Khác")</f>
        <v>Đầu tư, CCTG, trái phiếu, vàng</v>
      </c>
      <c r="N1474" s="24"/>
    </row>
    <row r="1475">
      <c r="A1475" s="15">
        <v>1473.0</v>
      </c>
      <c r="B1475" s="16" t="s">
        <v>231</v>
      </c>
      <c r="C1475" s="18" t="s">
        <v>1747</v>
      </c>
      <c r="D1475" s="16" t="s">
        <v>2058</v>
      </c>
      <c r="E1475" s="16" t="s">
        <v>5813</v>
      </c>
      <c r="F1475" s="16" t="s">
        <v>5814</v>
      </c>
      <c r="G1475" s="16" t="s">
        <v>5806</v>
      </c>
      <c r="H1475" s="20" t="s">
        <v>229</v>
      </c>
      <c r="I1475" s="21" t="s">
        <v>70</v>
      </c>
      <c r="J1475" s="22" t="s">
        <v>71</v>
      </c>
      <c r="K1475" s="23">
        <v>60.0</v>
      </c>
      <c r="L1475" s="24">
        <v>31.0</v>
      </c>
      <c r="M1475" s="24" t="str">
        <f>IFERROR(VLOOKUP(D1475,'Chủ đề bài nguồn'!$A$2:$C$735,3,0),"Khác")</f>
        <v>Đầu tư, CCTG, trái phiếu, vàng</v>
      </c>
      <c r="N1475" s="24"/>
    </row>
    <row r="1476">
      <c r="A1476" s="15">
        <v>1474.0</v>
      </c>
      <c r="B1476" s="16" t="s">
        <v>231</v>
      </c>
      <c r="C1476" s="18" t="s">
        <v>1707</v>
      </c>
      <c r="D1476" s="16" t="s">
        <v>3304</v>
      </c>
      <c r="E1476" s="16" t="s">
        <v>5815</v>
      </c>
      <c r="F1476" s="16" t="s">
        <v>5816</v>
      </c>
      <c r="G1476" s="16" t="s">
        <v>5817</v>
      </c>
      <c r="H1476" s="20" t="s">
        <v>229</v>
      </c>
      <c r="I1476" s="21" t="s">
        <v>70</v>
      </c>
      <c r="J1476" s="22" t="s">
        <v>5818</v>
      </c>
      <c r="K1476" s="23">
        <v>60.0</v>
      </c>
      <c r="L1476" s="24">
        <v>31.0</v>
      </c>
      <c r="M1476" s="24" t="str">
        <f>IFERROR(VLOOKUP(D1476,'Chủ đề bài nguồn'!$A$2:$C$735,3,0),"Khác")</f>
        <v>Vay thế chấp &amp; mua nhà/xe</v>
      </c>
      <c r="N1476" s="24"/>
    </row>
    <row r="1477">
      <c r="A1477" s="15">
        <v>1475.0</v>
      </c>
      <c r="B1477" s="16" t="s">
        <v>231</v>
      </c>
      <c r="C1477" s="18" t="s">
        <v>1707</v>
      </c>
      <c r="D1477" s="16" t="s">
        <v>1852</v>
      </c>
      <c r="E1477" s="16" t="s">
        <v>4461</v>
      </c>
      <c r="F1477" s="16" t="s">
        <v>5710</v>
      </c>
      <c r="G1477" s="16" t="s">
        <v>5819</v>
      </c>
      <c r="H1477" s="20" t="s">
        <v>229</v>
      </c>
      <c r="I1477" s="21" t="s">
        <v>70</v>
      </c>
      <c r="J1477" s="22" t="s">
        <v>5700</v>
      </c>
      <c r="K1477" s="23">
        <v>60.0</v>
      </c>
      <c r="L1477" s="24">
        <v>31.0</v>
      </c>
      <c r="M1477" s="24" t="str">
        <f>IFERROR(VLOOKUP(D1477,'Chủ đề bài nguồn'!$A$2:$C$735,3,0),"Khác")</f>
        <v>Tiết kiệm &amp; lãi suất tiền gửi</v>
      </c>
      <c r="N1477" s="24"/>
    </row>
    <row r="1478">
      <c r="A1478" s="15">
        <v>1476.0</v>
      </c>
      <c r="B1478" s="16" t="s">
        <v>231</v>
      </c>
      <c r="C1478" s="18" t="s">
        <v>1707</v>
      </c>
      <c r="D1478" s="16" t="s">
        <v>3046</v>
      </c>
      <c r="E1478" s="16" t="s">
        <v>5820</v>
      </c>
      <c r="F1478" s="16" t="s">
        <v>5728</v>
      </c>
      <c r="G1478" s="16" t="s">
        <v>5821</v>
      </c>
      <c r="H1478" s="20" t="s">
        <v>229</v>
      </c>
      <c r="I1478" s="21" t="s">
        <v>70</v>
      </c>
      <c r="J1478" s="22" t="s">
        <v>2506</v>
      </c>
      <c r="K1478" s="23">
        <v>60.0</v>
      </c>
      <c r="L1478" s="24">
        <v>31.0</v>
      </c>
      <c r="M1478" s="24" t="str">
        <f>IFERROR(VLOOKUP(D1478,'Chủ đề bài nguồn'!$A$2:$C$735,3,0),"Khác")</f>
        <v>Tài khoản &amp; ngân hàng số</v>
      </c>
      <c r="N1478" s="24"/>
    </row>
    <row r="1479">
      <c r="A1479" s="15">
        <v>1477.0</v>
      </c>
      <c r="B1479" s="16" t="s">
        <v>231</v>
      </c>
      <c r="C1479" s="18" t="s">
        <v>1707</v>
      </c>
      <c r="D1479" s="16" t="s">
        <v>452</v>
      </c>
      <c r="E1479" s="16" t="s">
        <v>5822</v>
      </c>
      <c r="F1479" s="16" t="s">
        <v>5823</v>
      </c>
      <c r="G1479" s="16" t="s">
        <v>5824</v>
      </c>
      <c r="H1479" s="20" t="s">
        <v>229</v>
      </c>
      <c r="I1479" s="21" t="s">
        <v>70</v>
      </c>
      <c r="J1479" s="22" t="s">
        <v>4465</v>
      </c>
      <c r="K1479" s="23">
        <v>60.0</v>
      </c>
      <c r="L1479" s="24">
        <v>31.0</v>
      </c>
      <c r="M1479" s="24" t="str">
        <f>IFERROR(VLOOKUP(D1479,'Chủ đề bài nguồn'!$A$2:$C$735,3,0),"Khác")</f>
        <v>Vay thế chấp &amp; mua nhà/xe</v>
      </c>
      <c r="N1479" s="24"/>
    </row>
    <row r="1480">
      <c r="A1480" s="15">
        <v>1478.0</v>
      </c>
      <c r="B1480" s="16" t="s">
        <v>231</v>
      </c>
      <c r="C1480" s="18" t="s">
        <v>1707</v>
      </c>
      <c r="D1480" s="16" t="s">
        <v>3350</v>
      </c>
      <c r="E1480" s="16" t="s">
        <v>5825</v>
      </c>
      <c r="F1480" s="16" t="s">
        <v>5826</v>
      </c>
      <c r="G1480" s="16" t="s">
        <v>5827</v>
      </c>
      <c r="H1480" s="20" t="s">
        <v>229</v>
      </c>
      <c r="I1480" s="21" t="s">
        <v>70</v>
      </c>
      <c r="J1480" s="22" t="s">
        <v>71</v>
      </c>
      <c r="K1480" s="23">
        <v>60.0</v>
      </c>
      <c r="L1480" s="24">
        <v>31.0</v>
      </c>
      <c r="M1480" s="24" t="str">
        <f>IFERROR(VLOOKUP(D1480,'Chủ đề bài nguồn'!$A$2:$C$735,3,0),"Khác")</f>
        <v>Đầu tư, CCTG, trái phiếu, vàng</v>
      </c>
      <c r="N1480" s="24"/>
    </row>
    <row r="1481">
      <c r="A1481" s="15">
        <v>1479.0</v>
      </c>
      <c r="B1481" s="16" t="s">
        <v>231</v>
      </c>
      <c r="C1481" s="18" t="s">
        <v>1707</v>
      </c>
      <c r="D1481" s="16" t="s">
        <v>3308</v>
      </c>
      <c r="E1481" s="16" t="s">
        <v>5204</v>
      </c>
      <c r="F1481" s="16" t="s">
        <v>5828</v>
      </c>
      <c r="G1481" s="16" t="s">
        <v>5829</v>
      </c>
      <c r="H1481" s="20" t="s">
        <v>229</v>
      </c>
      <c r="I1481" s="21" t="s">
        <v>70</v>
      </c>
      <c r="J1481" s="22" t="s">
        <v>5818</v>
      </c>
      <c r="K1481" s="23">
        <v>60.0</v>
      </c>
      <c r="L1481" s="24">
        <v>31.0</v>
      </c>
      <c r="M1481" s="24" t="str">
        <f>IFERROR(VLOOKUP(D1481,'Chủ đề bài nguồn'!$A$2:$C$735,3,0),"Khác")</f>
        <v>Vay thế chấp &amp; mua nhà/xe</v>
      </c>
      <c r="N1481" s="24"/>
    </row>
    <row r="1482">
      <c r="A1482" s="15">
        <v>1480.0</v>
      </c>
      <c r="B1482" s="16" t="s">
        <v>231</v>
      </c>
      <c r="C1482" s="18" t="s">
        <v>1707</v>
      </c>
      <c r="D1482" s="16" t="s">
        <v>3094</v>
      </c>
      <c r="E1482" s="16" t="s">
        <v>5830</v>
      </c>
      <c r="F1482" s="16" t="s">
        <v>5831</v>
      </c>
      <c r="G1482" s="16" t="s">
        <v>5832</v>
      </c>
      <c r="H1482" s="20" t="s">
        <v>229</v>
      </c>
      <c r="I1482" s="21" t="s">
        <v>70</v>
      </c>
      <c r="J1482" s="22" t="s">
        <v>4010</v>
      </c>
      <c r="K1482" s="23">
        <v>60.0</v>
      </c>
      <c r="L1482" s="24">
        <v>31.0</v>
      </c>
      <c r="M1482" s="24" t="str">
        <f>IFERROR(VLOOKUP(D1482,'Chủ đề bài nguồn'!$A$2:$C$735,3,0),"Khác")</f>
        <v>Tiết kiệm &amp; lãi suất tiền gửi</v>
      </c>
      <c r="N1482" s="24"/>
    </row>
    <row r="1483">
      <c r="A1483" s="15">
        <v>1481.0</v>
      </c>
      <c r="B1483" s="16" t="s">
        <v>231</v>
      </c>
      <c r="C1483" s="18" t="s">
        <v>1707</v>
      </c>
      <c r="D1483" s="16" t="s">
        <v>3066</v>
      </c>
      <c r="E1483" s="16" t="s">
        <v>5833</v>
      </c>
      <c r="F1483" s="16" t="s">
        <v>5834</v>
      </c>
      <c r="G1483" s="16" t="s">
        <v>5835</v>
      </c>
      <c r="H1483" s="20" t="s">
        <v>229</v>
      </c>
      <c r="I1483" s="21" t="s">
        <v>70</v>
      </c>
      <c r="J1483" s="22" t="s">
        <v>5836</v>
      </c>
      <c r="K1483" s="23">
        <v>60.0</v>
      </c>
      <c r="L1483" s="24">
        <v>31.0</v>
      </c>
      <c r="M1483" s="24" t="str">
        <f>IFERROR(VLOOKUP(D1483,'Chủ đề bài nguồn'!$A$2:$C$735,3,0),"Khác")</f>
        <v>Nợ xấu &amp; CIC</v>
      </c>
      <c r="N1483" s="24"/>
    </row>
    <row r="1484">
      <c r="A1484" s="15">
        <v>1482.0</v>
      </c>
      <c r="B1484" s="16" t="s">
        <v>231</v>
      </c>
      <c r="C1484" s="18" t="s">
        <v>1707</v>
      </c>
      <c r="D1484" s="16" t="s">
        <v>840</v>
      </c>
      <c r="E1484" s="16" t="s">
        <v>5837</v>
      </c>
      <c r="F1484" s="16" t="s">
        <v>5838</v>
      </c>
      <c r="G1484" s="16" t="s">
        <v>5821</v>
      </c>
      <c r="H1484" s="20" t="s">
        <v>229</v>
      </c>
      <c r="I1484" s="21" t="s">
        <v>70</v>
      </c>
      <c r="J1484" s="22" t="s">
        <v>953</v>
      </c>
      <c r="K1484" s="23">
        <v>60.0</v>
      </c>
      <c r="L1484" s="24">
        <v>31.0</v>
      </c>
      <c r="M1484" s="24" t="str">
        <f>IFERROR(VLOOKUP(D1484,'Chủ đề bài nguồn'!$A$2:$C$735,3,0),"Khác")</f>
        <v>Tài khoản &amp; ngân hàng số</v>
      </c>
      <c r="N1484" s="24"/>
    </row>
    <row r="1485">
      <c r="A1485" s="15">
        <v>1483.0</v>
      </c>
      <c r="B1485" s="16" t="s">
        <v>231</v>
      </c>
      <c r="C1485" s="18" t="s">
        <v>1707</v>
      </c>
      <c r="D1485" s="16" t="s">
        <v>2603</v>
      </c>
      <c r="E1485" s="16" t="s">
        <v>5839</v>
      </c>
      <c r="F1485" s="16" t="s">
        <v>5731</v>
      </c>
      <c r="G1485" s="16" t="s">
        <v>5840</v>
      </c>
      <c r="H1485" s="20" t="s">
        <v>229</v>
      </c>
      <c r="I1485" s="21" t="s">
        <v>70</v>
      </c>
      <c r="J1485" s="22" t="s">
        <v>71</v>
      </c>
      <c r="K1485" s="23">
        <v>60.0</v>
      </c>
      <c r="L1485" s="24">
        <v>31.0</v>
      </c>
      <c r="M1485" s="24" t="str">
        <f>IFERROR(VLOOKUP(D1485,'Chủ đề bài nguồn'!$A$2:$C$735,3,0),"Khác")</f>
        <v>Tài khoản &amp; ngân hàng số</v>
      </c>
      <c r="N1485" s="24"/>
    </row>
    <row r="1486">
      <c r="A1486" s="15">
        <v>1484.0</v>
      </c>
      <c r="B1486" s="16" t="s">
        <v>231</v>
      </c>
      <c r="C1486" s="18" t="s">
        <v>1707</v>
      </c>
      <c r="D1486" s="16" t="s">
        <v>3137</v>
      </c>
      <c r="E1486" s="16" t="s">
        <v>5841</v>
      </c>
      <c r="F1486" s="16" t="s">
        <v>5842</v>
      </c>
      <c r="G1486" s="16" t="s">
        <v>5843</v>
      </c>
      <c r="H1486" s="20" t="s">
        <v>229</v>
      </c>
      <c r="I1486" s="21" t="s">
        <v>70</v>
      </c>
      <c r="J1486" s="22" t="s">
        <v>71</v>
      </c>
      <c r="K1486" s="23">
        <v>60.0</v>
      </c>
      <c r="L1486" s="24">
        <v>31.0</v>
      </c>
      <c r="M1486" s="24" t="str">
        <f>IFERROR(VLOOKUP(D1486,'Chủ đề bài nguồn'!$A$2:$C$735,3,0),"Khác")</f>
        <v>Đầu tư, CCTG, trái phiếu, vàng</v>
      </c>
      <c r="N1486" s="24"/>
    </row>
    <row r="1487">
      <c r="A1487" s="15">
        <v>1485.0</v>
      </c>
      <c r="B1487" s="16" t="s">
        <v>231</v>
      </c>
      <c r="C1487" s="18" t="s">
        <v>1707</v>
      </c>
      <c r="D1487" s="16" t="s">
        <v>3135</v>
      </c>
      <c r="E1487" s="16" t="s">
        <v>5844</v>
      </c>
      <c r="F1487" s="16" t="s">
        <v>5845</v>
      </c>
      <c r="G1487" s="16" t="s">
        <v>5846</v>
      </c>
      <c r="H1487" s="20" t="s">
        <v>229</v>
      </c>
      <c r="I1487" s="21" t="s">
        <v>70</v>
      </c>
      <c r="J1487" s="22" t="s">
        <v>71</v>
      </c>
      <c r="K1487" s="23">
        <v>60.0</v>
      </c>
      <c r="L1487" s="24">
        <v>31.0</v>
      </c>
      <c r="M1487" s="24" t="str">
        <f>IFERROR(VLOOKUP(D1487,'Chủ đề bài nguồn'!$A$2:$C$735,3,0),"Khác")</f>
        <v>Vay tiêu dùng &amp; tín chấp</v>
      </c>
      <c r="N1487" s="24"/>
    </row>
    <row r="1488">
      <c r="A1488" s="15">
        <v>1486.0</v>
      </c>
      <c r="B1488" s="16" t="s">
        <v>231</v>
      </c>
      <c r="C1488" s="18" t="s">
        <v>1707</v>
      </c>
      <c r="D1488" s="16" t="s">
        <v>2770</v>
      </c>
      <c r="E1488" s="16" t="s">
        <v>5847</v>
      </c>
      <c r="F1488" s="16" t="s">
        <v>5848</v>
      </c>
      <c r="G1488" s="16" t="s">
        <v>5832</v>
      </c>
      <c r="H1488" s="20" t="s">
        <v>229</v>
      </c>
      <c r="I1488" s="21" t="s">
        <v>70</v>
      </c>
      <c r="J1488" s="22" t="s">
        <v>5849</v>
      </c>
      <c r="K1488" s="23">
        <v>60.0</v>
      </c>
      <c r="L1488" s="24">
        <v>31.0</v>
      </c>
      <c r="M1488" s="24" t="str">
        <f>IFERROR(VLOOKUP(D1488,'Chủ đề bài nguồn'!$A$2:$C$735,3,0),"Khác")</f>
        <v>Đầu tư, CCTG, trái phiếu, vàng</v>
      </c>
      <c r="N1488" s="24"/>
    </row>
    <row r="1489">
      <c r="A1489" s="15">
        <v>1487.0</v>
      </c>
      <c r="B1489" s="16" t="s">
        <v>231</v>
      </c>
      <c r="C1489" s="18" t="s">
        <v>1707</v>
      </c>
      <c r="D1489" s="16" t="s">
        <v>3105</v>
      </c>
      <c r="E1489" s="16" t="s">
        <v>5850</v>
      </c>
      <c r="F1489" s="16" t="s">
        <v>5851</v>
      </c>
      <c r="G1489" s="16" t="s">
        <v>5852</v>
      </c>
      <c r="H1489" s="20" t="s">
        <v>229</v>
      </c>
      <c r="I1489" s="21" t="s">
        <v>70</v>
      </c>
      <c r="J1489" s="22" t="s">
        <v>71</v>
      </c>
      <c r="K1489" s="23">
        <v>60.0</v>
      </c>
      <c r="L1489" s="24">
        <v>31.0</v>
      </c>
      <c r="M1489" s="24" t="str">
        <f>IFERROR(VLOOKUP(D1489,'Chủ đề bài nguồn'!$A$2:$C$735,3,0),"Khác")</f>
        <v>Thẻ ATM &amp; thẻ ghi nợ</v>
      </c>
      <c r="N1489" s="24"/>
    </row>
    <row r="1490">
      <c r="A1490" s="15">
        <v>1488.0</v>
      </c>
      <c r="B1490" s="16" t="s">
        <v>231</v>
      </c>
      <c r="C1490" s="18" t="s">
        <v>1707</v>
      </c>
      <c r="D1490" s="16" t="s">
        <v>1411</v>
      </c>
      <c r="E1490" s="16" t="s">
        <v>5853</v>
      </c>
      <c r="F1490" s="16" t="s">
        <v>5854</v>
      </c>
      <c r="G1490" s="16" t="s">
        <v>5855</v>
      </c>
      <c r="H1490" s="20" t="s">
        <v>229</v>
      </c>
      <c r="I1490" s="21" t="s">
        <v>70</v>
      </c>
      <c r="J1490" s="22" t="s">
        <v>1073</v>
      </c>
      <c r="K1490" s="23">
        <v>60.0</v>
      </c>
      <c r="L1490" s="24">
        <v>31.0</v>
      </c>
      <c r="M1490" s="24" t="str">
        <f>IFERROR(VLOOKUP(D1490,'Chủ đề bài nguồn'!$A$2:$C$735,3,0),"Khác")</f>
        <v>Đầu tư, CCTG, trái phiếu, vàng</v>
      </c>
      <c r="N1490" s="24"/>
    </row>
    <row r="1491">
      <c r="A1491" s="15">
        <v>1489.0</v>
      </c>
      <c r="B1491" s="39" t="s">
        <v>231</v>
      </c>
      <c r="C1491" s="18" t="s">
        <v>1707</v>
      </c>
      <c r="D1491" s="39" t="s">
        <v>1516</v>
      </c>
      <c r="E1491" s="16" t="s">
        <v>4357</v>
      </c>
      <c r="F1491" s="16" t="s">
        <v>5856</v>
      </c>
      <c r="G1491" s="16" t="s">
        <v>5857</v>
      </c>
      <c r="H1491" s="20" t="s">
        <v>229</v>
      </c>
      <c r="I1491" s="21" t="s">
        <v>70</v>
      </c>
      <c r="J1491" s="22" t="s">
        <v>71</v>
      </c>
      <c r="K1491" s="23">
        <v>60.0</v>
      </c>
      <c r="L1491" s="24">
        <v>31.0</v>
      </c>
      <c r="M1491" s="24" t="str">
        <f>IFERROR(VLOOKUP(D1491,'Chủ đề bài nguồn'!$A$2:$C$735,3,0),"Khác")</f>
        <v>Tài khoản &amp; ngân hàng số</v>
      </c>
      <c r="N1491" s="24"/>
    </row>
    <row r="1492">
      <c r="A1492" s="15">
        <v>1490.0</v>
      </c>
      <c r="B1492" s="39" t="s">
        <v>231</v>
      </c>
      <c r="C1492" s="18" t="s">
        <v>1707</v>
      </c>
      <c r="D1492" s="39" t="s">
        <v>1431</v>
      </c>
      <c r="E1492" s="16" t="s">
        <v>5858</v>
      </c>
      <c r="F1492" s="16" t="s">
        <v>5859</v>
      </c>
      <c r="G1492" s="16" t="s">
        <v>5860</v>
      </c>
      <c r="H1492" s="20" t="s">
        <v>229</v>
      </c>
      <c r="I1492" s="21" t="s">
        <v>70</v>
      </c>
      <c r="J1492" s="22" t="s">
        <v>71</v>
      </c>
      <c r="K1492" s="23">
        <v>60.0</v>
      </c>
      <c r="L1492" s="24">
        <v>31.0</v>
      </c>
      <c r="M1492" s="24" t="str">
        <f>IFERROR(VLOOKUP(D1492,'Chủ đề bài nguồn'!$A$2:$C$735,3,0),"Khác")</f>
        <v>Đầu tư, CCTG, trái phiếu, vàng</v>
      </c>
      <c r="N1492" s="24"/>
    </row>
    <row r="1493">
      <c r="A1493" s="15">
        <v>1491.0</v>
      </c>
      <c r="B1493" s="39" t="s">
        <v>231</v>
      </c>
      <c r="C1493" s="18" t="s">
        <v>1707</v>
      </c>
      <c r="D1493" s="39" t="s">
        <v>2804</v>
      </c>
      <c r="E1493" s="16" t="s">
        <v>5861</v>
      </c>
      <c r="F1493" s="16" t="s">
        <v>5862</v>
      </c>
      <c r="G1493" s="16" t="s">
        <v>5832</v>
      </c>
      <c r="H1493" s="20" t="s">
        <v>229</v>
      </c>
      <c r="I1493" s="21" t="s">
        <v>70</v>
      </c>
      <c r="J1493" s="22" t="s">
        <v>1425</v>
      </c>
      <c r="K1493" s="23">
        <v>60.0</v>
      </c>
      <c r="L1493" s="24">
        <v>31.0</v>
      </c>
      <c r="M1493" s="24" t="str">
        <f>IFERROR(VLOOKUP(D1493,'Chủ đề bài nguồn'!$A$2:$C$735,3,0),"Khác")</f>
        <v>Ưu đãi, du lịch &amp; đời sống</v>
      </c>
      <c r="N1493" s="24"/>
    </row>
    <row r="1494">
      <c r="A1494" s="15">
        <v>1492.0</v>
      </c>
      <c r="B1494" s="39" t="s">
        <v>231</v>
      </c>
      <c r="C1494" s="18" t="s">
        <v>1707</v>
      </c>
      <c r="D1494" s="39" t="s">
        <v>2856</v>
      </c>
      <c r="E1494" s="16" t="s">
        <v>5863</v>
      </c>
      <c r="F1494" s="16" t="s">
        <v>5864</v>
      </c>
      <c r="G1494" s="16" t="s">
        <v>5865</v>
      </c>
      <c r="H1494" s="20" t="s">
        <v>229</v>
      </c>
      <c r="I1494" s="21" t="s">
        <v>70</v>
      </c>
      <c r="J1494" s="22" t="s">
        <v>4861</v>
      </c>
      <c r="K1494" s="23">
        <v>60.0</v>
      </c>
      <c r="L1494" s="24">
        <v>31.0</v>
      </c>
      <c r="M1494" s="24" t="str">
        <f>IFERROR(VLOOKUP(D1494,'Chủ đề bài nguồn'!$A$2:$C$735,3,0),"Khác")</f>
        <v>Đầu tư, CCTG, trái phiếu, vàng</v>
      </c>
      <c r="N1494" s="24"/>
    </row>
    <row r="1495">
      <c r="A1495" s="15">
        <v>1493.0</v>
      </c>
      <c r="B1495" s="39" t="s">
        <v>231</v>
      </c>
      <c r="C1495" s="18" t="s">
        <v>1707</v>
      </c>
      <c r="D1495" s="39" t="s">
        <v>1382</v>
      </c>
      <c r="E1495" s="16" t="s">
        <v>5866</v>
      </c>
      <c r="F1495" s="16" t="s">
        <v>5867</v>
      </c>
      <c r="G1495" s="16" t="s">
        <v>5868</v>
      </c>
      <c r="H1495" s="20" t="s">
        <v>229</v>
      </c>
      <c r="I1495" s="21" t="s">
        <v>70</v>
      </c>
      <c r="J1495" s="22" t="s">
        <v>71</v>
      </c>
      <c r="K1495" s="23">
        <v>60.0</v>
      </c>
      <c r="L1495" s="24">
        <v>31.0</v>
      </c>
      <c r="M1495" s="24" t="str">
        <f>IFERROR(VLOOKUP(D1495,'Chủ đề bài nguồn'!$A$2:$C$735,3,0),"Khác")</f>
        <v>Tài khoản &amp; ngân hàng số</v>
      </c>
      <c r="N1495" s="24"/>
    </row>
    <row r="1496">
      <c r="A1496" s="15">
        <v>1494.0</v>
      </c>
      <c r="B1496" s="39" t="s">
        <v>231</v>
      </c>
      <c r="C1496" s="18" t="s">
        <v>1707</v>
      </c>
      <c r="D1496" s="39" t="s">
        <v>3160</v>
      </c>
      <c r="E1496" s="16" t="s">
        <v>5869</v>
      </c>
      <c r="F1496" s="16" t="s">
        <v>5870</v>
      </c>
      <c r="G1496" s="16" t="s">
        <v>5871</v>
      </c>
      <c r="H1496" s="20" t="s">
        <v>229</v>
      </c>
      <c r="I1496" s="21" t="s">
        <v>70</v>
      </c>
      <c r="J1496" s="22" t="s">
        <v>71</v>
      </c>
      <c r="K1496" s="23">
        <v>60.0</v>
      </c>
      <c r="L1496" s="24">
        <v>31.0</v>
      </c>
      <c r="M1496" s="24" t="str">
        <f>IFERROR(VLOOKUP(D1496,'Chủ đề bài nguồn'!$A$2:$C$735,3,0),"Khác")</f>
        <v>Thẻ tín dụng</v>
      </c>
      <c r="N1496" s="24"/>
    </row>
    <row r="1497">
      <c r="A1497" s="15">
        <v>1495.0</v>
      </c>
      <c r="B1497" s="16" t="s">
        <v>231</v>
      </c>
      <c r="C1497" s="18" t="s">
        <v>1720</v>
      </c>
      <c r="D1497" s="16" t="s">
        <v>2936</v>
      </c>
      <c r="E1497" s="16" t="s">
        <v>5872</v>
      </c>
      <c r="F1497" s="16" t="s">
        <v>5873</v>
      </c>
      <c r="G1497" s="16" t="s">
        <v>5874</v>
      </c>
      <c r="H1497" s="20" t="s">
        <v>229</v>
      </c>
      <c r="I1497" s="21" t="s">
        <v>70</v>
      </c>
      <c r="J1497" s="22" t="s">
        <v>5875</v>
      </c>
      <c r="K1497" s="23">
        <v>60.0</v>
      </c>
      <c r="L1497" s="24">
        <v>31.0</v>
      </c>
      <c r="M1497" s="24" t="str">
        <f>IFERROR(VLOOKUP(D1497,'Chủ đề bài nguồn'!$A$2:$C$735,3,0),"Khác")</f>
        <v>Doanh nghiệp (tài khoản, vay, tài chính)</v>
      </c>
      <c r="N1497" s="24"/>
    </row>
    <row r="1498">
      <c r="A1498" s="15">
        <v>1496.0</v>
      </c>
      <c r="B1498" s="16" t="s">
        <v>231</v>
      </c>
      <c r="C1498" s="18" t="s">
        <v>1720</v>
      </c>
      <c r="D1498" s="16" t="s">
        <v>2928</v>
      </c>
      <c r="E1498" s="16" t="s">
        <v>5876</v>
      </c>
      <c r="F1498" s="16" t="s">
        <v>5877</v>
      </c>
      <c r="G1498" s="16" t="s">
        <v>5878</v>
      </c>
      <c r="H1498" s="20" t="s">
        <v>229</v>
      </c>
      <c r="I1498" s="21" t="s">
        <v>70</v>
      </c>
      <c r="J1498" s="22" t="s">
        <v>5879</v>
      </c>
      <c r="K1498" s="23">
        <v>60.0</v>
      </c>
      <c r="L1498" s="24">
        <v>31.0</v>
      </c>
      <c r="M1498" s="24" t="str">
        <f>IFERROR(VLOOKUP(D1498,'Chủ đề bài nguồn'!$A$2:$C$735,3,0),"Khác")</f>
        <v>Vay thế chấp &amp; mua nhà/xe</v>
      </c>
      <c r="N1498" s="24"/>
    </row>
    <row r="1499">
      <c r="A1499" s="15">
        <v>1497.0</v>
      </c>
      <c r="B1499" s="16" t="s">
        <v>231</v>
      </c>
      <c r="C1499" s="18" t="s">
        <v>1720</v>
      </c>
      <c r="D1499" s="16" t="s">
        <v>3303</v>
      </c>
      <c r="E1499" s="16" t="s">
        <v>5880</v>
      </c>
      <c r="F1499" s="16" t="s">
        <v>5881</v>
      </c>
      <c r="G1499" s="16" t="s">
        <v>5882</v>
      </c>
      <c r="H1499" s="20" t="s">
        <v>229</v>
      </c>
      <c r="I1499" s="21" t="s">
        <v>70</v>
      </c>
      <c r="J1499" s="22" t="s">
        <v>5818</v>
      </c>
      <c r="K1499" s="23">
        <v>60.0</v>
      </c>
      <c r="L1499" s="24">
        <v>31.0</v>
      </c>
      <c r="M1499" s="24" t="str">
        <f>IFERROR(VLOOKUP(D1499,'Chủ đề bài nguồn'!$A$2:$C$735,3,0),"Khác")</f>
        <v>Vay thế chấp &amp; mua nhà/xe</v>
      </c>
      <c r="N1499" s="24"/>
    </row>
    <row r="1500">
      <c r="A1500" s="15">
        <v>1498.0</v>
      </c>
      <c r="B1500" s="16" t="s">
        <v>231</v>
      </c>
      <c r="C1500" s="18" t="s">
        <v>1711</v>
      </c>
      <c r="D1500" s="16" t="s">
        <v>2888</v>
      </c>
      <c r="E1500" s="16" t="s">
        <v>5883</v>
      </c>
      <c r="F1500" s="16" t="s">
        <v>5884</v>
      </c>
      <c r="G1500" s="16" t="s">
        <v>5885</v>
      </c>
      <c r="H1500" s="20" t="s">
        <v>229</v>
      </c>
      <c r="I1500" s="21" t="s">
        <v>70</v>
      </c>
      <c r="J1500" s="22" t="s">
        <v>5886</v>
      </c>
      <c r="K1500" s="23">
        <v>60.0</v>
      </c>
      <c r="L1500" s="24">
        <v>31.0</v>
      </c>
      <c r="M1500" s="24" t="str">
        <f>IFERROR(VLOOKUP(D1500,'Chủ đề bài nguồn'!$A$2:$C$735,3,0),"Khác")</f>
        <v>Hộ kinh doanh &amp; bán hàng</v>
      </c>
      <c r="N1500" s="24"/>
    </row>
    <row r="1501">
      <c r="A1501" s="15">
        <v>1499.0</v>
      </c>
      <c r="B1501" s="16" t="s">
        <v>231</v>
      </c>
      <c r="C1501" s="18" t="s">
        <v>1711</v>
      </c>
      <c r="D1501" s="16" t="s">
        <v>2759</v>
      </c>
      <c r="E1501" s="16" t="s">
        <v>710</v>
      </c>
      <c r="F1501" s="16" t="s">
        <v>5887</v>
      </c>
      <c r="G1501" s="16" t="s">
        <v>5888</v>
      </c>
      <c r="H1501" s="20" t="s">
        <v>229</v>
      </c>
      <c r="I1501" s="21" t="s">
        <v>70</v>
      </c>
      <c r="J1501" s="22" t="s">
        <v>71</v>
      </c>
      <c r="K1501" s="23">
        <v>60.0</v>
      </c>
      <c r="L1501" s="24">
        <v>31.0</v>
      </c>
      <c r="M1501" s="24" t="str">
        <f>IFERROR(VLOOKUP(D1501,'Chủ đề bài nguồn'!$A$2:$C$735,3,0),"Khác")</f>
        <v>Đầu tư, CCTG, trái phiếu, vàng</v>
      </c>
      <c r="N1501" s="24"/>
    </row>
    <row r="1502">
      <c r="A1502" s="15">
        <v>1500.0</v>
      </c>
      <c r="B1502" s="16" t="s">
        <v>231</v>
      </c>
      <c r="C1502" s="18" t="s">
        <v>1715</v>
      </c>
      <c r="D1502" s="16" t="s">
        <v>1814</v>
      </c>
      <c r="E1502" s="16" t="s">
        <v>5889</v>
      </c>
      <c r="F1502" s="16" t="s">
        <v>5890</v>
      </c>
      <c r="G1502" s="16" t="s">
        <v>5891</v>
      </c>
      <c r="H1502" s="20" t="s">
        <v>229</v>
      </c>
      <c r="I1502" s="21" t="s">
        <v>70</v>
      </c>
      <c r="J1502" s="22" t="s">
        <v>71</v>
      </c>
      <c r="K1502" s="23">
        <v>60.0</v>
      </c>
      <c r="L1502" s="24">
        <v>31.0</v>
      </c>
      <c r="M1502" s="24" t="str">
        <f>IFERROR(VLOOKUP(D1502,'Chủ đề bài nguồn'!$A$2:$C$735,3,0),"Khác")</f>
        <v>Tiết kiệm &amp; lãi suất tiền gửi</v>
      </c>
      <c r="N1502" s="24"/>
    </row>
    <row r="1503">
      <c r="A1503" s="15">
        <v>1501.0</v>
      </c>
      <c r="B1503" s="16" t="s">
        <v>231</v>
      </c>
      <c r="C1503" s="18" t="s">
        <v>1715</v>
      </c>
      <c r="D1503" s="16" t="s">
        <v>1121</v>
      </c>
      <c r="E1503" s="16" t="s">
        <v>5892</v>
      </c>
      <c r="F1503" s="16" t="s">
        <v>5893</v>
      </c>
      <c r="G1503" s="16" t="s">
        <v>5894</v>
      </c>
      <c r="H1503" s="20" t="s">
        <v>229</v>
      </c>
      <c r="I1503" s="21" t="s">
        <v>70</v>
      </c>
      <c r="J1503" s="22" t="s">
        <v>5895</v>
      </c>
      <c r="K1503" s="23">
        <v>60.0</v>
      </c>
      <c r="L1503" s="24">
        <v>31.0</v>
      </c>
      <c r="M1503" s="24" t="str">
        <f>IFERROR(VLOOKUP(D1503,'Chủ đề bài nguồn'!$A$2:$C$735,3,0),"Khác")</f>
        <v>Doanh nghiệp (tài khoản, vay, tài chính)</v>
      </c>
      <c r="N1503" s="24"/>
    </row>
    <row r="1504">
      <c r="A1504" s="15">
        <v>1502.0</v>
      </c>
      <c r="B1504" s="16" t="s">
        <v>231</v>
      </c>
      <c r="C1504" s="18" t="s">
        <v>1752</v>
      </c>
      <c r="D1504" s="16" t="s">
        <v>2877</v>
      </c>
      <c r="E1504" s="16" t="s">
        <v>4373</v>
      </c>
      <c r="F1504" s="16" t="s">
        <v>5896</v>
      </c>
      <c r="G1504" s="16" t="s">
        <v>5897</v>
      </c>
      <c r="H1504" s="20" t="s">
        <v>229</v>
      </c>
      <c r="I1504" s="21" t="s">
        <v>70</v>
      </c>
      <c r="J1504" s="22" t="s">
        <v>5898</v>
      </c>
      <c r="K1504" s="23">
        <v>60.0</v>
      </c>
      <c r="L1504" s="24">
        <v>31.0</v>
      </c>
      <c r="M1504" s="24" t="str">
        <f>IFERROR(VLOOKUP(D1504,'Chủ đề bài nguồn'!$A$2:$C$735,3,0),"Khác")</f>
        <v>Đầu tư, CCTG, trái phiếu, vàng</v>
      </c>
      <c r="N1504" s="24"/>
    </row>
    <row r="1505">
      <c r="A1505" s="15">
        <v>1503.0</v>
      </c>
      <c r="B1505" s="16" t="s">
        <v>231</v>
      </c>
      <c r="C1505" s="18" t="s">
        <v>1752</v>
      </c>
      <c r="D1505" s="16" t="s">
        <v>2867</v>
      </c>
      <c r="E1505" s="16" t="s">
        <v>710</v>
      </c>
      <c r="F1505" s="16" t="s">
        <v>5899</v>
      </c>
      <c r="G1505" s="16" t="s">
        <v>5900</v>
      </c>
      <c r="H1505" s="20" t="s">
        <v>229</v>
      </c>
      <c r="I1505" s="21" t="s">
        <v>70</v>
      </c>
      <c r="J1505" s="22" t="s">
        <v>5901</v>
      </c>
      <c r="K1505" s="23">
        <v>60.0</v>
      </c>
      <c r="L1505" s="24">
        <v>31.0</v>
      </c>
      <c r="M1505" s="24" t="str">
        <f>IFERROR(VLOOKUP(D1505,'Chủ đề bài nguồn'!$A$2:$C$735,3,0),"Khác")</f>
        <v>Tiết kiệm &amp; lãi suất tiền gửi</v>
      </c>
      <c r="N1505" s="24"/>
    </row>
    <row r="1506">
      <c r="A1506" s="15">
        <v>1504.0</v>
      </c>
      <c r="B1506" s="16" t="s">
        <v>231</v>
      </c>
      <c r="C1506" s="18" t="s">
        <v>1752</v>
      </c>
      <c r="D1506" s="16" t="s">
        <v>1847</v>
      </c>
      <c r="E1506" s="16" t="s">
        <v>4461</v>
      </c>
      <c r="F1506" s="16" t="s">
        <v>5710</v>
      </c>
      <c r="G1506" s="16" t="s">
        <v>5902</v>
      </c>
      <c r="H1506" s="20" t="s">
        <v>229</v>
      </c>
      <c r="I1506" s="21" t="s">
        <v>70</v>
      </c>
      <c r="J1506" s="22" t="s">
        <v>5898</v>
      </c>
      <c r="K1506" s="23">
        <v>60.0</v>
      </c>
      <c r="L1506" s="24">
        <v>31.0</v>
      </c>
      <c r="M1506" s="24" t="str">
        <f>IFERROR(VLOOKUP(D1506,'Chủ đề bài nguồn'!$A$2:$C$735,3,0),"Khác")</f>
        <v>Tài khoản &amp; ngân hàng số</v>
      </c>
      <c r="N1506" s="24"/>
    </row>
    <row r="1507">
      <c r="A1507" s="15">
        <v>1505.0</v>
      </c>
      <c r="B1507" s="16" t="s">
        <v>231</v>
      </c>
      <c r="C1507" s="18" t="s">
        <v>1752</v>
      </c>
      <c r="D1507" s="16" t="s">
        <v>1910</v>
      </c>
      <c r="E1507" s="16" t="s">
        <v>4461</v>
      </c>
      <c r="F1507" s="16" t="s">
        <v>5710</v>
      </c>
      <c r="G1507" s="16" t="s">
        <v>5903</v>
      </c>
      <c r="H1507" s="20" t="s">
        <v>229</v>
      </c>
      <c r="I1507" s="21" t="s">
        <v>70</v>
      </c>
      <c r="J1507" s="22" t="s">
        <v>5898</v>
      </c>
      <c r="K1507" s="23">
        <v>60.0</v>
      </c>
      <c r="L1507" s="24">
        <v>31.0</v>
      </c>
      <c r="M1507" s="24" t="str">
        <f>IFERROR(VLOOKUP(D1507,'Chủ đề bài nguồn'!$A$2:$C$735,3,0),"Khác")</f>
        <v>Tiết kiệm &amp; lãi suất tiền gửi</v>
      </c>
      <c r="N1507" s="24"/>
    </row>
    <row r="1508">
      <c r="A1508" s="15">
        <v>1506.0</v>
      </c>
      <c r="B1508" s="16" t="s">
        <v>231</v>
      </c>
      <c r="C1508" s="18" t="s">
        <v>1752</v>
      </c>
      <c r="D1508" s="16" t="s">
        <v>2768</v>
      </c>
      <c r="E1508" s="16" t="s">
        <v>4406</v>
      </c>
      <c r="F1508" s="16" t="s">
        <v>5904</v>
      </c>
      <c r="G1508" s="16" t="s">
        <v>5905</v>
      </c>
      <c r="H1508" s="20" t="s">
        <v>229</v>
      </c>
      <c r="I1508" s="21" t="s">
        <v>70</v>
      </c>
      <c r="J1508" s="22" t="s">
        <v>5898</v>
      </c>
      <c r="K1508" s="23">
        <v>60.0</v>
      </c>
      <c r="L1508" s="24">
        <v>31.0</v>
      </c>
      <c r="M1508" s="24" t="str">
        <f>IFERROR(VLOOKUP(D1508,'Chủ đề bài nguồn'!$A$2:$C$735,3,0),"Khác")</f>
        <v>Đầu tư, CCTG, trái phiếu, vàng</v>
      </c>
      <c r="N1508" s="24"/>
    </row>
    <row r="1509">
      <c r="A1509" s="15">
        <v>1507.0</v>
      </c>
      <c r="B1509" s="16" t="s">
        <v>231</v>
      </c>
      <c r="C1509" s="18" t="s">
        <v>1752</v>
      </c>
      <c r="D1509" s="16" t="s">
        <v>3138</v>
      </c>
      <c r="E1509" s="16" t="s">
        <v>5906</v>
      </c>
      <c r="F1509" s="16" t="s">
        <v>5907</v>
      </c>
      <c r="G1509" s="16" t="s">
        <v>5908</v>
      </c>
      <c r="H1509" s="20" t="s">
        <v>229</v>
      </c>
      <c r="I1509" s="21" t="s">
        <v>70</v>
      </c>
      <c r="J1509" s="22" t="s">
        <v>71</v>
      </c>
      <c r="K1509" s="23">
        <v>60.0</v>
      </c>
      <c r="L1509" s="24">
        <v>31.0</v>
      </c>
      <c r="M1509" s="24" t="str">
        <f>IFERROR(VLOOKUP(D1509,'Chủ đề bài nguồn'!$A$2:$C$735,3,0),"Khác")</f>
        <v>Tiết kiệm &amp; lãi suất tiền gửi</v>
      </c>
      <c r="N1509" s="24"/>
    </row>
    <row r="1510">
      <c r="A1510" s="15">
        <v>1508.0</v>
      </c>
      <c r="B1510" s="16" t="s">
        <v>231</v>
      </c>
      <c r="C1510" s="18" t="s">
        <v>1752</v>
      </c>
      <c r="D1510" s="16" t="s">
        <v>1878</v>
      </c>
      <c r="E1510" s="16" t="s">
        <v>4461</v>
      </c>
      <c r="F1510" s="16" t="s">
        <v>5710</v>
      </c>
      <c r="G1510" s="16" t="s">
        <v>5747</v>
      </c>
      <c r="H1510" s="20" t="s">
        <v>229</v>
      </c>
      <c r="I1510" s="21" t="s">
        <v>70</v>
      </c>
      <c r="J1510" s="22" t="s">
        <v>5700</v>
      </c>
      <c r="K1510" s="23">
        <v>60.0</v>
      </c>
      <c r="L1510" s="24">
        <v>31.0</v>
      </c>
      <c r="M1510" s="24" t="str">
        <f>IFERROR(VLOOKUP(D1510,'Chủ đề bài nguồn'!$A$2:$C$735,3,0),"Khác")</f>
        <v>Đầu tư, CCTG, trái phiếu, vàng</v>
      </c>
      <c r="N1510" s="24"/>
    </row>
    <row r="1511">
      <c r="A1511" s="15">
        <v>1509.0</v>
      </c>
      <c r="B1511" s="16" t="s">
        <v>231</v>
      </c>
      <c r="C1511" s="18" t="s">
        <v>1752</v>
      </c>
      <c r="D1511" s="16" t="s">
        <v>2268</v>
      </c>
      <c r="E1511" s="16" t="s">
        <v>4461</v>
      </c>
      <c r="F1511" s="16" t="s">
        <v>4462</v>
      </c>
      <c r="G1511" s="16" t="s">
        <v>5909</v>
      </c>
      <c r="H1511" s="20" t="s">
        <v>229</v>
      </c>
      <c r="I1511" s="21" t="s">
        <v>70</v>
      </c>
      <c r="J1511" s="22" t="s">
        <v>5803</v>
      </c>
      <c r="K1511" s="23">
        <v>60.0</v>
      </c>
      <c r="L1511" s="24">
        <v>31.0</v>
      </c>
      <c r="M1511" s="24" t="str">
        <f>IFERROR(VLOOKUP(D1511,'Chủ đề bài nguồn'!$A$2:$C$735,3,0),"Khác")</f>
        <v>Tiết kiệm &amp; lãi suất tiền gửi</v>
      </c>
      <c r="N1511" s="24"/>
    </row>
    <row r="1512">
      <c r="A1512" s="15">
        <v>1510.0</v>
      </c>
      <c r="B1512" s="16" t="s">
        <v>231</v>
      </c>
      <c r="C1512" s="18" t="s">
        <v>1752</v>
      </c>
      <c r="D1512" s="16" t="s">
        <v>3002</v>
      </c>
      <c r="E1512" s="16" t="s">
        <v>4461</v>
      </c>
      <c r="F1512" s="16" t="s">
        <v>5710</v>
      </c>
      <c r="G1512" s="16" t="s">
        <v>5910</v>
      </c>
      <c r="H1512" s="20" t="s">
        <v>229</v>
      </c>
      <c r="I1512" s="21" t="s">
        <v>70</v>
      </c>
      <c r="J1512" s="22" t="s">
        <v>5911</v>
      </c>
      <c r="K1512" s="23">
        <v>60.0</v>
      </c>
      <c r="L1512" s="24">
        <v>31.0</v>
      </c>
      <c r="M1512" s="24" t="str">
        <f>IFERROR(VLOOKUP(D1512,'Chủ đề bài nguồn'!$A$2:$C$735,3,0),"Khác")</f>
        <v>Tiết kiệm &amp; lãi suất tiền gửi</v>
      </c>
      <c r="N1512" s="24"/>
    </row>
    <row r="1513">
      <c r="A1513" s="15">
        <v>1511.0</v>
      </c>
      <c r="B1513" s="16" t="s">
        <v>231</v>
      </c>
      <c r="C1513" s="18" t="s">
        <v>1752</v>
      </c>
      <c r="D1513" s="16" t="s">
        <v>2764</v>
      </c>
      <c r="E1513" s="16" t="s">
        <v>5912</v>
      </c>
      <c r="F1513" s="16" t="s">
        <v>5913</v>
      </c>
      <c r="G1513" s="16" t="s">
        <v>5914</v>
      </c>
      <c r="H1513" s="20" t="s">
        <v>229</v>
      </c>
      <c r="I1513" s="21" t="s">
        <v>70</v>
      </c>
      <c r="J1513" s="22" t="s">
        <v>5898</v>
      </c>
      <c r="K1513" s="23">
        <v>60.0</v>
      </c>
      <c r="L1513" s="24">
        <v>31.0</v>
      </c>
      <c r="M1513" s="24" t="str">
        <f>IFERROR(VLOOKUP(D1513,'Chủ đề bài nguồn'!$A$2:$C$735,3,0),"Khác")</f>
        <v>Đầu tư, CCTG, trái phiếu, vàng</v>
      </c>
      <c r="N1513" s="24"/>
    </row>
    <row r="1514">
      <c r="A1514" s="15">
        <v>1512.0</v>
      </c>
      <c r="B1514" s="16" t="s">
        <v>231</v>
      </c>
      <c r="C1514" s="18" t="s">
        <v>1752</v>
      </c>
      <c r="D1514" s="16" t="s">
        <v>2756</v>
      </c>
      <c r="E1514" s="16" t="s">
        <v>5915</v>
      </c>
      <c r="F1514" s="16" t="s">
        <v>5916</v>
      </c>
      <c r="G1514" s="16" t="s">
        <v>5917</v>
      </c>
      <c r="H1514" s="20" t="s">
        <v>229</v>
      </c>
      <c r="I1514" s="21" t="s">
        <v>70</v>
      </c>
      <c r="J1514" s="22" t="s">
        <v>5898</v>
      </c>
      <c r="K1514" s="23">
        <v>60.0</v>
      </c>
      <c r="L1514" s="24">
        <v>31.0</v>
      </c>
      <c r="M1514" s="24" t="str">
        <f>IFERROR(VLOOKUP(D1514,'Chủ đề bài nguồn'!$A$2:$C$735,3,0),"Khác")</f>
        <v>Đầu tư, CCTG, trái phiếu, vàng</v>
      </c>
      <c r="N1514" s="24"/>
    </row>
    <row r="1515">
      <c r="A1515" s="15">
        <v>1513.0</v>
      </c>
      <c r="B1515" s="16" t="s">
        <v>231</v>
      </c>
      <c r="C1515" s="18" t="s">
        <v>1741</v>
      </c>
      <c r="D1515" s="16" t="s">
        <v>2501</v>
      </c>
      <c r="E1515" s="16" t="s">
        <v>5918</v>
      </c>
      <c r="F1515" s="16" t="s">
        <v>5919</v>
      </c>
      <c r="G1515" s="16" t="s">
        <v>5920</v>
      </c>
      <c r="H1515" s="20" t="s">
        <v>229</v>
      </c>
      <c r="I1515" s="21" t="s">
        <v>70</v>
      </c>
      <c r="J1515" s="22" t="s">
        <v>387</v>
      </c>
      <c r="K1515" s="23">
        <v>60.0</v>
      </c>
      <c r="L1515" s="24">
        <v>31.0</v>
      </c>
      <c r="M1515" s="24" t="str">
        <f>IFERROR(VLOOKUP(D1515,'Chủ đề bài nguồn'!$A$2:$C$735,3,0),"Khác")</f>
        <v>Ngoại tệ &amp; chuyển tiền quốc tế</v>
      </c>
      <c r="N1515" s="24"/>
    </row>
    <row r="1516">
      <c r="A1516" s="15">
        <v>1514.0</v>
      </c>
      <c r="B1516" s="16" t="s">
        <v>231</v>
      </c>
      <c r="C1516" s="18" t="s">
        <v>1741</v>
      </c>
      <c r="D1516" s="16" t="s">
        <v>949</v>
      </c>
      <c r="E1516" s="16" t="s">
        <v>5921</v>
      </c>
      <c r="F1516" s="16" t="s">
        <v>5922</v>
      </c>
      <c r="G1516" s="16" t="s">
        <v>5783</v>
      </c>
      <c r="H1516" s="20" t="s">
        <v>229</v>
      </c>
      <c r="I1516" s="21" t="s">
        <v>70</v>
      </c>
      <c r="J1516" s="22" t="s">
        <v>5849</v>
      </c>
      <c r="K1516" s="23">
        <v>60.0</v>
      </c>
      <c r="L1516" s="24">
        <v>31.0</v>
      </c>
      <c r="M1516" s="24" t="str">
        <f>IFERROR(VLOOKUP(D1516,'Chủ đề bài nguồn'!$A$2:$C$735,3,0),"Khác")</f>
        <v>Đầu tư, CCTG, trái phiếu, vàng</v>
      </c>
      <c r="N1516" s="24"/>
    </row>
    <row r="1517">
      <c r="A1517" s="15">
        <v>1515.0</v>
      </c>
      <c r="B1517" s="16" t="s">
        <v>231</v>
      </c>
      <c r="C1517" s="18" t="s">
        <v>1741</v>
      </c>
      <c r="D1517" s="16" t="s">
        <v>3050</v>
      </c>
      <c r="E1517" s="16" t="s">
        <v>5923</v>
      </c>
      <c r="F1517" s="16" t="s">
        <v>5924</v>
      </c>
      <c r="G1517" s="16" t="s">
        <v>5925</v>
      </c>
      <c r="H1517" s="20" t="s">
        <v>229</v>
      </c>
      <c r="I1517" s="21" t="s">
        <v>70</v>
      </c>
      <c r="J1517" s="22" t="s">
        <v>71</v>
      </c>
      <c r="K1517" s="23">
        <v>60.0</v>
      </c>
      <c r="L1517" s="24">
        <v>31.0</v>
      </c>
      <c r="M1517" s="24" t="str">
        <f>IFERROR(VLOOKUP(D1517,'Chủ đề bài nguồn'!$A$2:$C$735,3,0),"Khác")</f>
        <v>Ngoại tệ &amp; chuyển tiền quốc tế</v>
      </c>
      <c r="N1517" s="24"/>
    </row>
    <row r="1518">
      <c r="A1518" s="15">
        <v>1516.0</v>
      </c>
      <c r="B1518" s="16" t="s">
        <v>231</v>
      </c>
      <c r="C1518" s="18" t="s">
        <v>1741</v>
      </c>
      <c r="D1518" s="16" t="s">
        <v>2796</v>
      </c>
      <c r="E1518" s="16" t="s">
        <v>4424</v>
      </c>
      <c r="F1518" s="16" t="s">
        <v>5926</v>
      </c>
      <c r="G1518" s="16" t="s">
        <v>5927</v>
      </c>
      <c r="H1518" s="20" t="s">
        <v>229</v>
      </c>
      <c r="I1518" s="21" t="s">
        <v>70</v>
      </c>
      <c r="J1518" s="22" t="s">
        <v>71</v>
      </c>
      <c r="K1518" s="23">
        <v>60.0</v>
      </c>
      <c r="L1518" s="24">
        <v>31.0</v>
      </c>
      <c r="M1518" s="24" t="str">
        <f>IFERROR(VLOOKUP(D1518,'Chủ đề bài nguồn'!$A$2:$C$735,3,0),"Khác")</f>
        <v>Đầu tư, CCTG, trái phiếu, vàng</v>
      </c>
      <c r="N1518" s="24"/>
    </row>
    <row r="1519">
      <c r="A1519" s="15">
        <v>1517.0</v>
      </c>
      <c r="B1519" s="16" t="s">
        <v>231</v>
      </c>
      <c r="C1519" s="18" t="s">
        <v>1741</v>
      </c>
      <c r="D1519" s="16" t="s">
        <v>1525</v>
      </c>
      <c r="E1519" s="16" t="s">
        <v>710</v>
      </c>
      <c r="F1519" s="16" t="s">
        <v>5928</v>
      </c>
      <c r="G1519" s="16" t="s">
        <v>5929</v>
      </c>
      <c r="H1519" s="20" t="s">
        <v>229</v>
      </c>
      <c r="I1519" s="21" t="s">
        <v>70</v>
      </c>
      <c r="J1519" s="22" t="s">
        <v>71</v>
      </c>
      <c r="K1519" s="23">
        <v>60.0</v>
      </c>
      <c r="L1519" s="24">
        <v>31.0</v>
      </c>
      <c r="M1519" s="24" t="str">
        <f>IFERROR(VLOOKUP(D1519,'Chủ đề bài nguồn'!$A$2:$C$735,3,0),"Khác")</f>
        <v>Đầu tư, CCTG, trái phiếu, vàng</v>
      </c>
      <c r="N1519" s="24"/>
    </row>
    <row r="1520">
      <c r="A1520" s="15">
        <v>1518.0</v>
      </c>
      <c r="B1520" s="16" t="s">
        <v>464</v>
      </c>
      <c r="C1520" s="18" t="s">
        <v>1831</v>
      </c>
      <c r="D1520" s="16" t="s">
        <v>3227</v>
      </c>
      <c r="E1520" s="16" t="s">
        <v>5930</v>
      </c>
      <c r="F1520" s="16" t="s">
        <v>5931</v>
      </c>
      <c r="G1520" s="16" t="s">
        <v>5932</v>
      </c>
      <c r="H1520" s="20" t="s">
        <v>69</v>
      </c>
      <c r="I1520" s="21" t="s">
        <v>70</v>
      </c>
      <c r="J1520" s="22" t="s">
        <v>5933</v>
      </c>
      <c r="K1520" s="23">
        <v>61.0</v>
      </c>
      <c r="L1520" s="24">
        <v>11.0</v>
      </c>
      <c r="M1520" s="24" t="str">
        <f>IFERROR(VLOOKUP(D1520,'Chủ đề bài nguồn'!$A$2:$C$735,3,0),"Khác")</f>
        <v>Tiết kiệm &amp; lãi suất tiền gửi</v>
      </c>
      <c r="N1520" s="24"/>
    </row>
    <row r="1521">
      <c r="A1521" s="15">
        <v>1519.0</v>
      </c>
      <c r="B1521" s="16" t="s">
        <v>464</v>
      </c>
      <c r="C1521" s="18" t="s">
        <v>1835</v>
      </c>
      <c r="D1521" s="16" t="s">
        <v>3128</v>
      </c>
      <c r="E1521" s="16" t="s">
        <v>5934</v>
      </c>
      <c r="F1521" s="16" t="s">
        <v>5935</v>
      </c>
      <c r="G1521" s="16" t="s">
        <v>5936</v>
      </c>
      <c r="H1521" s="20" t="s">
        <v>155</v>
      </c>
      <c r="I1521" s="21" t="s">
        <v>70</v>
      </c>
      <c r="J1521" s="22" t="s">
        <v>5937</v>
      </c>
      <c r="K1521" s="23">
        <v>61.0</v>
      </c>
      <c r="L1521" s="24">
        <v>20.0</v>
      </c>
      <c r="M1521" s="24" t="str">
        <f>IFERROR(VLOOKUP(D1521,'Chủ đề bài nguồn'!$A$2:$C$735,3,0),"Khác")</f>
        <v>Tài khoản &amp; ngân hàng số</v>
      </c>
      <c r="N1521" s="24"/>
    </row>
    <row r="1522">
      <c r="A1522" s="15">
        <v>1520.0</v>
      </c>
      <c r="B1522" s="16" t="s">
        <v>464</v>
      </c>
      <c r="C1522" s="18" t="s">
        <v>1835</v>
      </c>
      <c r="D1522" s="16" t="s">
        <v>1416</v>
      </c>
      <c r="E1522" s="16" t="s">
        <v>1418</v>
      </c>
      <c r="F1522" s="16" t="s">
        <v>5938</v>
      </c>
      <c r="G1522" s="16" t="s">
        <v>5936</v>
      </c>
      <c r="H1522" s="20" t="s">
        <v>155</v>
      </c>
      <c r="I1522" s="21" t="s">
        <v>70</v>
      </c>
      <c r="J1522" s="22" t="s">
        <v>5939</v>
      </c>
      <c r="K1522" s="23">
        <v>61.0</v>
      </c>
      <c r="L1522" s="24">
        <v>20.0</v>
      </c>
      <c r="M1522" s="24" t="str">
        <f>IFERROR(VLOOKUP(D1522,'Chủ đề bài nguồn'!$A$2:$C$735,3,0),"Khác")</f>
        <v>Thẻ tín dụng</v>
      </c>
      <c r="N1522" s="24"/>
    </row>
    <row r="1523">
      <c r="A1523" s="15">
        <v>1521.0</v>
      </c>
      <c r="B1523" s="16" t="s">
        <v>464</v>
      </c>
      <c r="C1523" s="18" t="s">
        <v>1835</v>
      </c>
      <c r="D1523" s="16" t="s">
        <v>2702</v>
      </c>
      <c r="E1523" s="16" t="s">
        <v>5940</v>
      </c>
      <c r="F1523" s="16" t="s">
        <v>5941</v>
      </c>
      <c r="G1523" s="16" t="s">
        <v>5936</v>
      </c>
      <c r="H1523" s="20" t="s">
        <v>155</v>
      </c>
      <c r="I1523" s="21" t="s">
        <v>70</v>
      </c>
      <c r="J1523" s="22" t="s">
        <v>5939</v>
      </c>
      <c r="K1523" s="23">
        <v>61.0</v>
      </c>
      <c r="L1523" s="24">
        <v>20.0</v>
      </c>
      <c r="M1523" s="24" t="str">
        <f>IFERROR(VLOOKUP(D1523,'Chủ đề bài nguồn'!$A$2:$C$735,3,0),"Khác")</f>
        <v>Thanh toán, chuyển khoản &amp; QR</v>
      </c>
      <c r="N1523" s="24"/>
    </row>
    <row r="1524">
      <c r="A1524" s="15">
        <v>1522.0</v>
      </c>
      <c r="B1524" s="16" t="s">
        <v>464</v>
      </c>
      <c r="C1524" s="18" t="s">
        <v>1826</v>
      </c>
      <c r="D1524" s="16" t="s">
        <v>2864</v>
      </c>
      <c r="E1524" s="16" t="s">
        <v>5670</v>
      </c>
      <c r="F1524" s="16" t="s">
        <v>5942</v>
      </c>
      <c r="G1524" s="16" t="s">
        <v>5943</v>
      </c>
      <c r="H1524" s="20" t="s">
        <v>155</v>
      </c>
      <c r="I1524" s="21" t="s">
        <v>70</v>
      </c>
      <c r="J1524" s="22" t="s">
        <v>71</v>
      </c>
      <c r="K1524" s="23">
        <v>61.0</v>
      </c>
      <c r="L1524" s="24">
        <v>21.0</v>
      </c>
      <c r="M1524" s="24" t="str">
        <f>IFERROR(VLOOKUP(D1524,'Chủ đề bài nguồn'!$A$2:$C$735,3,0),"Khác")</f>
        <v>Tiết kiệm &amp; lãi suất tiền gửi</v>
      </c>
      <c r="N1524" s="24"/>
    </row>
    <row r="1525">
      <c r="A1525" s="15">
        <v>1523.0</v>
      </c>
      <c r="B1525" s="16" t="s">
        <v>464</v>
      </c>
      <c r="C1525" s="18" t="s">
        <v>1826</v>
      </c>
      <c r="D1525" s="16" t="s">
        <v>2800</v>
      </c>
      <c r="E1525" s="16" t="s">
        <v>5944</v>
      </c>
      <c r="F1525" s="16" t="s">
        <v>5945</v>
      </c>
      <c r="G1525" s="16" t="s">
        <v>5946</v>
      </c>
      <c r="H1525" s="20" t="s">
        <v>155</v>
      </c>
      <c r="I1525" s="21" t="s">
        <v>70</v>
      </c>
      <c r="J1525" s="22" t="s">
        <v>71</v>
      </c>
      <c r="K1525" s="23">
        <v>61.0</v>
      </c>
      <c r="L1525" s="24">
        <v>21.0</v>
      </c>
      <c r="M1525" s="24" t="str">
        <f>IFERROR(VLOOKUP(D1525,'Chủ đề bài nguồn'!$A$2:$C$735,3,0),"Khác")</f>
        <v>Tiết kiệm &amp; lãi suất tiền gửi</v>
      </c>
      <c r="N1525" s="24"/>
    </row>
    <row r="1526">
      <c r="A1526" s="15">
        <v>1524.0</v>
      </c>
      <c r="B1526" s="16" t="s">
        <v>464</v>
      </c>
      <c r="C1526" s="18" t="s">
        <v>1826</v>
      </c>
      <c r="D1526" s="16" t="s">
        <v>1878</v>
      </c>
      <c r="E1526" s="16" t="s">
        <v>1880</v>
      </c>
      <c r="F1526" s="16" t="s">
        <v>5947</v>
      </c>
      <c r="G1526" s="16" t="s">
        <v>5948</v>
      </c>
      <c r="H1526" s="20" t="s">
        <v>155</v>
      </c>
      <c r="I1526" s="21" t="s">
        <v>70</v>
      </c>
      <c r="J1526" s="22" t="s">
        <v>71</v>
      </c>
      <c r="K1526" s="23">
        <v>61.0</v>
      </c>
      <c r="L1526" s="24">
        <v>21.0</v>
      </c>
      <c r="M1526" s="24" t="str">
        <f>IFERROR(VLOOKUP(D1526,'Chủ đề bài nguồn'!$A$2:$C$735,3,0),"Khác")</f>
        <v>Đầu tư, CCTG, trái phiếu, vàng</v>
      </c>
      <c r="N1526" s="24"/>
    </row>
    <row r="1527">
      <c r="A1527" s="15">
        <v>1525.0</v>
      </c>
      <c r="B1527" s="16" t="s">
        <v>464</v>
      </c>
      <c r="C1527" s="18" t="s">
        <v>1821</v>
      </c>
      <c r="D1527" s="16" t="s">
        <v>3039</v>
      </c>
      <c r="E1527" s="16" t="s">
        <v>5949</v>
      </c>
      <c r="F1527" s="16" t="s">
        <v>5950</v>
      </c>
      <c r="G1527" s="16" t="s">
        <v>5951</v>
      </c>
      <c r="H1527" s="20" t="s">
        <v>155</v>
      </c>
      <c r="I1527" s="21" t="s">
        <v>70</v>
      </c>
      <c r="J1527" s="22" t="s">
        <v>71</v>
      </c>
      <c r="K1527" s="23">
        <v>61.0</v>
      </c>
      <c r="L1527" s="24">
        <v>21.0</v>
      </c>
      <c r="M1527" s="24" t="str">
        <f>IFERROR(VLOOKUP(D1527,'Chủ đề bài nguồn'!$A$2:$C$735,3,0),"Khác")</f>
        <v>Tiết kiệm &amp; lãi suất tiền gửi</v>
      </c>
      <c r="N1527" s="24"/>
    </row>
    <row r="1528">
      <c r="A1528" s="15">
        <v>1526.0</v>
      </c>
      <c r="B1528" s="16" t="s">
        <v>464</v>
      </c>
      <c r="C1528" s="18" t="s">
        <v>1821</v>
      </c>
      <c r="D1528" s="16" t="s">
        <v>2268</v>
      </c>
      <c r="E1528" s="16" t="s">
        <v>3738</v>
      </c>
      <c r="F1528" s="16" t="s">
        <v>5952</v>
      </c>
      <c r="G1528" s="16" t="s">
        <v>5953</v>
      </c>
      <c r="H1528" s="20" t="s">
        <v>155</v>
      </c>
      <c r="I1528" s="21" t="s">
        <v>70</v>
      </c>
      <c r="J1528" s="22" t="s">
        <v>71</v>
      </c>
      <c r="K1528" s="23">
        <v>61.0</v>
      </c>
      <c r="L1528" s="24">
        <v>21.0</v>
      </c>
      <c r="M1528" s="24" t="str">
        <f>IFERROR(VLOOKUP(D1528,'Chủ đề bài nguồn'!$A$2:$C$735,3,0),"Khác")</f>
        <v>Tiết kiệm &amp; lãi suất tiền gửi</v>
      </c>
      <c r="N1528" s="24"/>
    </row>
    <row r="1529">
      <c r="A1529" s="15">
        <v>1527.0</v>
      </c>
      <c r="B1529" s="16" t="s">
        <v>464</v>
      </c>
      <c r="C1529" s="18" t="s">
        <v>1821</v>
      </c>
      <c r="D1529" s="16" t="s">
        <v>2384</v>
      </c>
      <c r="E1529" s="16" t="s">
        <v>2385</v>
      </c>
      <c r="F1529" s="16" t="s">
        <v>5954</v>
      </c>
      <c r="G1529" s="16" t="s">
        <v>5955</v>
      </c>
      <c r="H1529" s="20" t="s">
        <v>155</v>
      </c>
      <c r="I1529" s="21" t="s">
        <v>70</v>
      </c>
      <c r="J1529" s="22" t="s">
        <v>71</v>
      </c>
      <c r="K1529" s="23">
        <v>61.0</v>
      </c>
      <c r="L1529" s="24">
        <v>21.0</v>
      </c>
      <c r="M1529" s="24" t="str">
        <f>IFERROR(VLOOKUP(D1529,'Chủ đề bài nguồn'!$A$2:$C$735,3,0),"Khác")</f>
        <v>Quản lý tài chính cá nhân</v>
      </c>
      <c r="N1529" s="24"/>
    </row>
    <row r="1530">
      <c r="A1530" s="15">
        <v>1528.0</v>
      </c>
      <c r="B1530" s="16" t="s">
        <v>464</v>
      </c>
      <c r="C1530" s="18" t="s">
        <v>1831</v>
      </c>
      <c r="D1530" s="16" t="s">
        <v>2816</v>
      </c>
      <c r="E1530" s="16" t="s">
        <v>5956</v>
      </c>
      <c r="F1530" s="16" t="s">
        <v>5957</v>
      </c>
      <c r="G1530" s="16" t="s">
        <v>5958</v>
      </c>
      <c r="H1530" s="20" t="s">
        <v>155</v>
      </c>
      <c r="I1530" s="21" t="s">
        <v>70</v>
      </c>
      <c r="J1530" s="22" t="s">
        <v>71</v>
      </c>
      <c r="K1530" s="23">
        <v>61.0</v>
      </c>
      <c r="L1530" s="24">
        <v>21.0</v>
      </c>
      <c r="M1530" s="24" t="str">
        <f>IFERROR(VLOOKUP(D1530,'Chủ đề bài nguồn'!$A$2:$C$735,3,0),"Khác")</f>
        <v>Vay tiêu dùng &amp; tín chấp</v>
      </c>
      <c r="N1530" s="24"/>
    </row>
    <row r="1531">
      <c r="A1531" s="15">
        <v>1529.0</v>
      </c>
      <c r="B1531" s="16" t="s">
        <v>464</v>
      </c>
      <c r="C1531" s="18" t="s">
        <v>1831</v>
      </c>
      <c r="D1531" s="16" t="s">
        <v>3099</v>
      </c>
      <c r="E1531" s="16" t="s">
        <v>4461</v>
      </c>
      <c r="F1531" s="16" t="s">
        <v>4462</v>
      </c>
      <c r="G1531" s="16" t="s">
        <v>5959</v>
      </c>
      <c r="H1531" s="20" t="s">
        <v>155</v>
      </c>
      <c r="I1531" s="21" t="s">
        <v>70</v>
      </c>
      <c r="J1531" s="22" t="s">
        <v>71</v>
      </c>
      <c r="K1531" s="23">
        <v>61.0</v>
      </c>
      <c r="L1531" s="24">
        <v>21.0</v>
      </c>
      <c r="M1531" s="24" t="str">
        <f>IFERROR(VLOOKUP(D1531,'Chủ đề bài nguồn'!$A$2:$C$735,3,0),"Khác")</f>
        <v>Tiết kiệm &amp; lãi suất tiền gửi</v>
      </c>
      <c r="N1531" s="24"/>
    </row>
    <row r="1532">
      <c r="A1532" s="15">
        <v>1530.0</v>
      </c>
      <c r="B1532" s="16" t="s">
        <v>464</v>
      </c>
      <c r="C1532" s="18" t="s">
        <v>1831</v>
      </c>
      <c r="D1532" s="16" t="s">
        <v>2874</v>
      </c>
      <c r="E1532" s="16" t="s">
        <v>5688</v>
      </c>
      <c r="F1532" s="16" t="s">
        <v>5960</v>
      </c>
      <c r="G1532" s="16" t="s">
        <v>5961</v>
      </c>
      <c r="H1532" s="20" t="s">
        <v>155</v>
      </c>
      <c r="I1532" s="21" t="s">
        <v>70</v>
      </c>
      <c r="J1532" s="22" t="s">
        <v>71</v>
      </c>
      <c r="K1532" s="23">
        <v>61.0</v>
      </c>
      <c r="L1532" s="24">
        <v>21.0</v>
      </c>
      <c r="M1532" s="24" t="str">
        <f>IFERROR(VLOOKUP(D1532,'Chủ đề bài nguồn'!$A$2:$C$735,3,0),"Khác")</f>
        <v>Tiết kiệm &amp; lãi suất tiền gửi</v>
      </c>
      <c r="N1532" s="24"/>
    </row>
    <row r="1533">
      <c r="A1533" s="15">
        <v>1531.0</v>
      </c>
      <c r="B1533" s="16" t="s">
        <v>464</v>
      </c>
      <c r="C1533" s="18" t="s">
        <v>1831</v>
      </c>
      <c r="D1533" s="16" t="s">
        <v>2877</v>
      </c>
      <c r="E1533" s="16" t="s">
        <v>5962</v>
      </c>
      <c r="F1533" s="16" t="s">
        <v>5963</v>
      </c>
      <c r="G1533" s="16" t="s">
        <v>5964</v>
      </c>
      <c r="H1533" s="20" t="s">
        <v>155</v>
      </c>
      <c r="I1533" s="21" t="s">
        <v>70</v>
      </c>
      <c r="J1533" s="22" t="s">
        <v>71</v>
      </c>
      <c r="K1533" s="23">
        <v>61.0</v>
      </c>
      <c r="L1533" s="24">
        <v>21.0</v>
      </c>
      <c r="M1533" s="24" t="str">
        <f>IFERROR(VLOOKUP(D1533,'Chủ đề bài nguồn'!$A$2:$C$735,3,0),"Khác")</f>
        <v>Đầu tư, CCTG, trái phiếu, vàng</v>
      </c>
      <c r="N1533" s="24"/>
    </row>
    <row r="1534">
      <c r="A1534" s="15">
        <v>1532.0</v>
      </c>
      <c r="B1534" s="16" t="s">
        <v>464</v>
      </c>
      <c r="C1534" s="18" t="s">
        <v>1831</v>
      </c>
      <c r="D1534" s="16" t="s">
        <v>3131</v>
      </c>
      <c r="E1534" s="16" t="s">
        <v>4361</v>
      </c>
      <c r="F1534" s="16" t="s">
        <v>5965</v>
      </c>
      <c r="G1534" s="16" t="s">
        <v>5966</v>
      </c>
      <c r="H1534" s="20" t="s">
        <v>155</v>
      </c>
      <c r="I1534" s="21" t="s">
        <v>70</v>
      </c>
      <c r="J1534" s="22" t="s">
        <v>71</v>
      </c>
      <c r="K1534" s="23">
        <v>61.0</v>
      </c>
      <c r="L1534" s="24">
        <v>21.0</v>
      </c>
      <c r="M1534" s="24" t="str">
        <f>IFERROR(VLOOKUP(D1534,'Chủ đề bài nguồn'!$A$2:$C$735,3,0),"Khác")</f>
        <v>Tiết kiệm &amp; lãi suất tiền gửi</v>
      </c>
      <c r="N1534" s="24"/>
    </row>
    <row r="1535">
      <c r="A1535" s="15">
        <v>1533.0</v>
      </c>
      <c r="B1535" s="16" t="s">
        <v>464</v>
      </c>
      <c r="C1535" s="18" t="s">
        <v>1831</v>
      </c>
      <c r="D1535" s="16" t="s">
        <v>1892</v>
      </c>
      <c r="E1535" s="16" t="s">
        <v>1893</v>
      </c>
      <c r="F1535" s="16" t="s">
        <v>5967</v>
      </c>
      <c r="G1535" s="16" t="s">
        <v>5968</v>
      </c>
      <c r="H1535" s="20" t="s">
        <v>155</v>
      </c>
      <c r="I1535" s="21" t="s">
        <v>70</v>
      </c>
      <c r="J1535" s="22" t="s">
        <v>71</v>
      </c>
      <c r="K1535" s="23">
        <v>61.0</v>
      </c>
      <c r="L1535" s="24">
        <v>21.0</v>
      </c>
      <c r="M1535" s="24" t="str">
        <f>IFERROR(VLOOKUP(D1535,'Chủ đề bài nguồn'!$A$2:$C$735,3,0),"Khác")</f>
        <v>Tiết kiệm &amp; lãi suất tiền gửi</v>
      </c>
      <c r="N1535" s="24"/>
    </row>
    <row r="1536">
      <c r="A1536" s="15">
        <v>1534.0</v>
      </c>
      <c r="B1536" s="16" t="s">
        <v>464</v>
      </c>
      <c r="C1536" s="18" t="s">
        <v>1831</v>
      </c>
      <c r="D1536" s="16" t="s">
        <v>2797</v>
      </c>
      <c r="E1536" s="16" t="s">
        <v>5969</v>
      </c>
      <c r="F1536" s="16" t="s">
        <v>5970</v>
      </c>
      <c r="G1536" s="16" t="s">
        <v>5971</v>
      </c>
      <c r="H1536" s="20" t="s">
        <v>155</v>
      </c>
      <c r="I1536" s="21" t="s">
        <v>70</v>
      </c>
      <c r="J1536" s="22" t="s">
        <v>134</v>
      </c>
      <c r="K1536" s="23">
        <v>61.0</v>
      </c>
      <c r="L1536" s="24">
        <v>21.0</v>
      </c>
      <c r="M1536" s="24" t="str">
        <f>IFERROR(VLOOKUP(D1536,'Chủ đề bài nguồn'!$A$2:$C$735,3,0),"Khác")</f>
        <v>Tiết kiệm &amp; lãi suất tiền gửi</v>
      </c>
      <c r="N1536" s="24"/>
    </row>
    <row r="1537">
      <c r="A1537" s="15">
        <v>1535.0</v>
      </c>
      <c r="B1537" s="16" t="s">
        <v>464</v>
      </c>
      <c r="C1537" s="18" t="s">
        <v>1831</v>
      </c>
      <c r="D1537" s="16" t="s">
        <v>1723</v>
      </c>
      <c r="E1537" s="16" t="s">
        <v>5972</v>
      </c>
      <c r="F1537" s="16" t="s">
        <v>5973</v>
      </c>
      <c r="G1537" s="16" t="s">
        <v>5964</v>
      </c>
      <c r="H1537" s="20" t="s">
        <v>155</v>
      </c>
      <c r="I1537" s="21" t="s">
        <v>70</v>
      </c>
      <c r="J1537" s="22" t="s">
        <v>71</v>
      </c>
      <c r="K1537" s="23">
        <v>61.0</v>
      </c>
      <c r="L1537" s="24">
        <v>21.0</v>
      </c>
      <c r="M1537" s="24" t="str">
        <f>IFERROR(VLOOKUP(D1537,'Chủ đề bài nguồn'!$A$2:$C$735,3,0),"Khác")</f>
        <v>Tiết kiệm &amp; lãi suất tiền gửi</v>
      </c>
      <c r="N1537" s="24"/>
    </row>
    <row r="1538">
      <c r="A1538" s="15">
        <v>1536.0</v>
      </c>
      <c r="B1538" s="16" t="s">
        <v>464</v>
      </c>
      <c r="C1538" s="18" t="s">
        <v>1831</v>
      </c>
      <c r="D1538" s="16" t="s">
        <v>2227</v>
      </c>
      <c r="E1538" s="16" t="s">
        <v>5974</v>
      </c>
      <c r="F1538" s="16" t="s">
        <v>5975</v>
      </c>
      <c r="G1538" s="16" t="s">
        <v>5976</v>
      </c>
      <c r="H1538" s="20" t="s">
        <v>155</v>
      </c>
      <c r="I1538" s="21" t="s">
        <v>70</v>
      </c>
      <c r="J1538" s="22" t="s">
        <v>71</v>
      </c>
      <c r="K1538" s="23">
        <v>61.0</v>
      </c>
      <c r="L1538" s="24">
        <v>21.0</v>
      </c>
      <c r="M1538" s="24" t="str">
        <f>IFERROR(VLOOKUP(D1538,'Chủ đề bài nguồn'!$A$2:$C$735,3,0),"Khác")</f>
        <v>Tiết kiệm &amp; lãi suất tiền gửi</v>
      </c>
      <c r="N1538" s="24"/>
    </row>
    <row r="1539">
      <c r="A1539" s="15">
        <v>1537.0</v>
      </c>
      <c r="B1539" s="16" t="s">
        <v>464</v>
      </c>
      <c r="C1539" s="18" t="s">
        <v>1831</v>
      </c>
      <c r="D1539" s="16" t="s">
        <v>1889</v>
      </c>
      <c r="E1539" s="16" t="s">
        <v>5977</v>
      </c>
      <c r="F1539" s="16" t="s">
        <v>5978</v>
      </c>
      <c r="G1539" s="16" t="s">
        <v>5979</v>
      </c>
      <c r="H1539" s="20" t="s">
        <v>155</v>
      </c>
      <c r="I1539" s="21" t="s">
        <v>70</v>
      </c>
      <c r="J1539" s="22" t="s">
        <v>71</v>
      </c>
      <c r="K1539" s="23">
        <v>61.0</v>
      </c>
      <c r="L1539" s="24">
        <v>21.0</v>
      </c>
      <c r="M1539" s="24" t="str">
        <f>IFERROR(VLOOKUP(D1539,'Chủ đề bài nguồn'!$A$2:$C$735,3,0),"Khác")</f>
        <v>Tiết kiệm &amp; lãi suất tiền gửi</v>
      </c>
      <c r="N1539" s="24"/>
    </row>
    <row r="1540">
      <c r="A1540" s="15">
        <v>1538.0</v>
      </c>
      <c r="B1540" s="16" t="s">
        <v>464</v>
      </c>
      <c r="C1540" s="18" t="s">
        <v>1831</v>
      </c>
      <c r="D1540" s="16" t="s">
        <v>2871</v>
      </c>
      <c r="E1540" s="16" t="s">
        <v>5980</v>
      </c>
      <c r="F1540" s="16" t="s">
        <v>5981</v>
      </c>
      <c r="G1540" s="16" t="s">
        <v>5982</v>
      </c>
      <c r="H1540" s="20" t="s">
        <v>155</v>
      </c>
      <c r="I1540" s="21" t="s">
        <v>70</v>
      </c>
      <c r="J1540" s="22" t="s">
        <v>71</v>
      </c>
      <c r="K1540" s="23">
        <v>61.0</v>
      </c>
      <c r="L1540" s="24">
        <v>21.0</v>
      </c>
      <c r="M1540" s="24" t="str">
        <f>IFERROR(VLOOKUP(D1540,'Chủ đề bài nguồn'!$A$2:$C$735,3,0),"Khác")</f>
        <v>Tiết kiệm &amp; lãi suất tiền gửi</v>
      </c>
      <c r="N1540" s="24"/>
    </row>
    <row r="1541">
      <c r="A1541" s="15">
        <v>1539.0</v>
      </c>
      <c r="B1541" s="16" t="s">
        <v>464</v>
      </c>
      <c r="C1541" s="18" t="s">
        <v>1831</v>
      </c>
      <c r="D1541" s="16" t="s">
        <v>3118</v>
      </c>
      <c r="E1541" s="16" t="s">
        <v>5685</v>
      </c>
      <c r="F1541" s="16" t="s">
        <v>5983</v>
      </c>
      <c r="G1541" s="16" t="s">
        <v>5984</v>
      </c>
      <c r="H1541" s="20" t="s">
        <v>155</v>
      </c>
      <c r="I1541" s="21" t="s">
        <v>70</v>
      </c>
      <c r="J1541" s="22" t="s">
        <v>71</v>
      </c>
      <c r="K1541" s="23">
        <v>61.0</v>
      </c>
      <c r="L1541" s="24">
        <v>21.0</v>
      </c>
      <c r="M1541" s="24" t="str">
        <f>IFERROR(VLOOKUP(D1541,'Chủ đề bài nguồn'!$A$2:$C$735,3,0),"Khác")</f>
        <v>Tiết kiệm &amp; lãi suất tiền gửi</v>
      </c>
      <c r="N1541" s="24"/>
    </row>
    <row r="1542">
      <c r="A1542" s="15">
        <v>1540.0</v>
      </c>
      <c r="B1542" s="16" t="s">
        <v>464</v>
      </c>
      <c r="C1542" s="18" t="s">
        <v>1831</v>
      </c>
      <c r="D1542" s="16" t="s">
        <v>2792</v>
      </c>
      <c r="E1542" s="16" t="s">
        <v>5985</v>
      </c>
      <c r="F1542" s="16" t="s">
        <v>5986</v>
      </c>
      <c r="G1542" s="16" t="s">
        <v>5987</v>
      </c>
      <c r="H1542" s="20" t="s">
        <v>155</v>
      </c>
      <c r="I1542" s="21" t="s">
        <v>70</v>
      </c>
      <c r="J1542" s="22" t="s">
        <v>71</v>
      </c>
      <c r="K1542" s="23">
        <v>61.0</v>
      </c>
      <c r="L1542" s="24">
        <v>21.0</v>
      </c>
      <c r="M1542" s="24" t="str">
        <f>IFERROR(VLOOKUP(D1542,'Chủ đề bài nguồn'!$A$2:$C$735,3,0),"Khác")</f>
        <v>Đầu tư, CCTG, trái phiếu, vàng</v>
      </c>
      <c r="N1542" s="24"/>
    </row>
    <row r="1543">
      <c r="A1543" s="15">
        <v>1541.0</v>
      </c>
      <c r="B1543" s="16" t="s">
        <v>464</v>
      </c>
      <c r="C1543" s="18" t="s">
        <v>1831</v>
      </c>
      <c r="D1543" s="16" t="s">
        <v>3226</v>
      </c>
      <c r="E1543" s="16" t="s">
        <v>5988</v>
      </c>
      <c r="F1543" s="16" t="s">
        <v>5989</v>
      </c>
      <c r="G1543" s="16" t="s">
        <v>5990</v>
      </c>
      <c r="H1543" s="20" t="s">
        <v>155</v>
      </c>
      <c r="I1543" s="21" t="s">
        <v>70</v>
      </c>
      <c r="J1543" s="22" t="s">
        <v>71</v>
      </c>
      <c r="K1543" s="23">
        <v>61.0</v>
      </c>
      <c r="L1543" s="24">
        <v>21.0</v>
      </c>
      <c r="M1543" s="24" t="str">
        <f>IFERROR(VLOOKUP(D1543,'Chủ đề bài nguồn'!$A$2:$C$735,3,0),"Khác")</f>
        <v>Tiết kiệm &amp; lãi suất tiền gửi</v>
      </c>
      <c r="N1543" s="24"/>
    </row>
    <row r="1544">
      <c r="A1544" s="15">
        <v>1542.0</v>
      </c>
      <c r="B1544" s="16" t="s">
        <v>464</v>
      </c>
      <c r="C1544" s="18" t="s">
        <v>1831</v>
      </c>
      <c r="D1544" s="16" t="s">
        <v>949</v>
      </c>
      <c r="E1544" s="16" t="s">
        <v>5921</v>
      </c>
      <c r="F1544" s="16" t="s">
        <v>5991</v>
      </c>
      <c r="G1544" s="16" t="s">
        <v>5992</v>
      </c>
      <c r="H1544" s="20" t="s">
        <v>155</v>
      </c>
      <c r="I1544" s="21" t="s">
        <v>70</v>
      </c>
      <c r="J1544" s="22" t="s">
        <v>71</v>
      </c>
      <c r="K1544" s="23">
        <v>61.0</v>
      </c>
      <c r="L1544" s="24">
        <v>21.0</v>
      </c>
      <c r="M1544" s="24" t="str">
        <f>IFERROR(VLOOKUP(D1544,'Chủ đề bài nguồn'!$A$2:$C$735,3,0),"Khác")</f>
        <v>Đầu tư, CCTG, trái phiếu, vàng</v>
      </c>
      <c r="N1544" s="24"/>
    </row>
    <row r="1545">
      <c r="A1545" s="15">
        <v>1543.0</v>
      </c>
      <c r="B1545" s="16" t="s">
        <v>464</v>
      </c>
      <c r="C1545" s="18" t="s">
        <v>1831</v>
      </c>
      <c r="D1545" s="16" t="s">
        <v>3013</v>
      </c>
      <c r="E1545" s="16" t="s">
        <v>5993</v>
      </c>
      <c r="F1545" s="16" t="s">
        <v>5994</v>
      </c>
      <c r="G1545" s="16" t="s">
        <v>5995</v>
      </c>
      <c r="H1545" s="20" t="s">
        <v>155</v>
      </c>
      <c r="I1545" s="21" t="s">
        <v>70</v>
      </c>
      <c r="J1545" s="22" t="s">
        <v>71</v>
      </c>
      <c r="K1545" s="23">
        <v>61.0</v>
      </c>
      <c r="L1545" s="24">
        <v>21.0</v>
      </c>
      <c r="M1545" s="24" t="str">
        <f>IFERROR(VLOOKUP(D1545,'Chủ đề bài nguồn'!$A$2:$C$735,3,0),"Khác")</f>
        <v>Tiết kiệm &amp; lãi suất tiền gửi</v>
      </c>
      <c r="N1545" s="24"/>
    </row>
    <row r="1546">
      <c r="A1546" s="15">
        <v>1544.0</v>
      </c>
      <c r="B1546" s="16" t="s">
        <v>464</v>
      </c>
      <c r="C1546" s="18" t="s">
        <v>1831</v>
      </c>
      <c r="D1546" s="16" t="s">
        <v>2939</v>
      </c>
      <c r="E1546" s="16" t="s">
        <v>5996</v>
      </c>
      <c r="F1546" s="16" t="s">
        <v>5997</v>
      </c>
      <c r="G1546" s="16" t="s">
        <v>5998</v>
      </c>
      <c r="H1546" s="20" t="s">
        <v>155</v>
      </c>
      <c r="I1546" s="21" t="s">
        <v>70</v>
      </c>
      <c r="J1546" s="22" t="s">
        <v>71</v>
      </c>
      <c r="K1546" s="23">
        <v>61.0</v>
      </c>
      <c r="L1546" s="24">
        <v>21.0</v>
      </c>
      <c r="M1546" s="24" t="str">
        <f>IFERROR(VLOOKUP(D1546,'Chủ đề bài nguồn'!$A$2:$C$735,3,0),"Khác")</f>
        <v>Tiết kiệm &amp; lãi suất tiền gửi</v>
      </c>
      <c r="N1546" s="24"/>
    </row>
    <row r="1547">
      <c r="A1547" s="15">
        <v>1545.0</v>
      </c>
      <c r="B1547" s="16" t="s">
        <v>464</v>
      </c>
      <c r="C1547" s="18" t="s">
        <v>1831</v>
      </c>
      <c r="D1547" s="16" t="s">
        <v>3235</v>
      </c>
      <c r="E1547" s="16" t="s">
        <v>5999</v>
      </c>
      <c r="F1547" s="16" t="s">
        <v>6000</v>
      </c>
      <c r="G1547" s="16" t="s">
        <v>6001</v>
      </c>
      <c r="H1547" s="20" t="s">
        <v>155</v>
      </c>
      <c r="I1547" s="21" t="s">
        <v>70</v>
      </c>
      <c r="J1547" s="22" t="s">
        <v>6002</v>
      </c>
      <c r="K1547" s="23">
        <v>61.0</v>
      </c>
      <c r="L1547" s="24">
        <v>21.0</v>
      </c>
      <c r="M1547" s="24" t="str">
        <f>IFERROR(VLOOKUP(D1547,'Chủ đề bài nguồn'!$A$2:$C$735,3,0),"Khác")</f>
        <v>Tiết kiệm &amp; lãi suất tiền gửi</v>
      </c>
      <c r="N1547" s="24"/>
    </row>
    <row r="1548">
      <c r="A1548" s="15">
        <v>1546.0</v>
      </c>
      <c r="B1548" s="16" t="s">
        <v>464</v>
      </c>
      <c r="C1548" s="18" t="s">
        <v>1831</v>
      </c>
      <c r="D1548" s="16" t="s">
        <v>1137</v>
      </c>
      <c r="E1548" s="16" t="s">
        <v>4461</v>
      </c>
      <c r="F1548" s="16" t="s">
        <v>4462</v>
      </c>
      <c r="G1548" s="16" t="s">
        <v>6003</v>
      </c>
      <c r="H1548" s="20" t="s">
        <v>155</v>
      </c>
      <c r="I1548" s="21" t="s">
        <v>70</v>
      </c>
      <c r="J1548" s="22" t="s">
        <v>71</v>
      </c>
      <c r="K1548" s="23">
        <v>61.0</v>
      </c>
      <c r="L1548" s="24">
        <v>21.0</v>
      </c>
      <c r="M1548" s="24" t="str">
        <f>IFERROR(VLOOKUP(D1548,'Chủ đề bài nguồn'!$A$2:$C$735,3,0),"Khác")</f>
        <v>Tiết kiệm &amp; lãi suất tiền gửi</v>
      </c>
      <c r="N1548" s="24"/>
    </row>
    <row r="1549">
      <c r="A1549" s="15">
        <v>1547.0</v>
      </c>
      <c r="B1549" s="16" t="s">
        <v>464</v>
      </c>
      <c r="C1549" s="18" t="s">
        <v>1831</v>
      </c>
      <c r="D1549" s="16" t="s">
        <v>1650</v>
      </c>
      <c r="E1549" s="16" t="s">
        <v>5760</v>
      </c>
      <c r="F1549" s="16" t="s">
        <v>6004</v>
      </c>
      <c r="G1549" s="16" t="s">
        <v>5932</v>
      </c>
      <c r="H1549" s="20" t="s">
        <v>155</v>
      </c>
      <c r="I1549" s="21" t="s">
        <v>70</v>
      </c>
      <c r="J1549" s="22" t="s">
        <v>6005</v>
      </c>
      <c r="K1549" s="23">
        <v>61.0</v>
      </c>
      <c r="L1549" s="24">
        <v>21.0</v>
      </c>
      <c r="M1549" s="24" t="str">
        <f>IFERROR(VLOOKUP(D1549,'Chủ đề bài nguồn'!$A$2:$C$735,3,0),"Khác")</f>
        <v>Tài khoản &amp; ngân hàng số</v>
      </c>
      <c r="N1549" s="24"/>
    </row>
    <row r="1550">
      <c r="A1550" s="15">
        <v>1548.0</v>
      </c>
      <c r="B1550" s="16" t="s">
        <v>464</v>
      </c>
      <c r="C1550" s="18" t="s">
        <v>1831</v>
      </c>
      <c r="D1550" s="16" t="s">
        <v>1659</v>
      </c>
      <c r="E1550" s="16" t="s">
        <v>5730</v>
      </c>
      <c r="F1550" s="16" t="s">
        <v>6006</v>
      </c>
      <c r="G1550" s="16" t="s">
        <v>6007</v>
      </c>
      <c r="H1550" s="20" t="s">
        <v>155</v>
      </c>
      <c r="I1550" s="21" t="s">
        <v>70</v>
      </c>
      <c r="J1550" s="22" t="s">
        <v>71</v>
      </c>
      <c r="K1550" s="23">
        <v>61.0</v>
      </c>
      <c r="L1550" s="24">
        <v>21.0</v>
      </c>
      <c r="M1550" s="24" t="str">
        <f>IFERROR(VLOOKUP(D1550,'Chủ đề bài nguồn'!$A$2:$C$735,3,0),"Khác")</f>
        <v>Tài khoản &amp; ngân hàng số</v>
      </c>
      <c r="N1550" s="24"/>
    </row>
    <row r="1551">
      <c r="A1551" s="15">
        <v>1549.0</v>
      </c>
      <c r="B1551" s="16" t="s">
        <v>464</v>
      </c>
      <c r="C1551" s="18" t="s">
        <v>1831</v>
      </c>
      <c r="D1551" s="16" t="s">
        <v>2768</v>
      </c>
      <c r="E1551" s="16" t="s">
        <v>6008</v>
      </c>
      <c r="F1551" s="16" t="s">
        <v>6009</v>
      </c>
      <c r="G1551" s="16" t="s">
        <v>6010</v>
      </c>
      <c r="H1551" s="20" t="s">
        <v>155</v>
      </c>
      <c r="I1551" s="21" t="s">
        <v>70</v>
      </c>
      <c r="J1551" s="22" t="s">
        <v>71</v>
      </c>
      <c r="K1551" s="23">
        <v>61.0</v>
      </c>
      <c r="L1551" s="24">
        <v>21.0</v>
      </c>
      <c r="M1551" s="24" t="str">
        <f>IFERROR(VLOOKUP(D1551,'Chủ đề bài nguồn'!$A$2:$C$735,3,0),"Khác")</f>
        <v>Đầu tư, CCTG, trái phiếu, vàng</v>
      </c>
      <c r="N1551" s="24"/>
    </row>
    <row r="1552">
      <c r="A1552" s="15">
        <v>1550.0</v>
      </c>
      <c r="B1552" s="39" t="s">
        <v>464</v>
      </c>
      <c r="C1552" s="18" t="s">
        <v>1831</v>
      </c>
      <c r="D1552" s="39" t="s">
        <v>1382</v>
      </c>
      <c r="E1552" s="16" t="s">
        <v>5866</v>
      </c>
      <c r="F1552" s="16" t="s">
        <v>6011</v>
      </c>
      <c r="G1552" s="16" t="s">
        <v>5932</v>
      </c>
      <c r="H1552" s="20" t="s">
        <v>155</v>
      </c>
      <c r="I1552" s="21" t="s">
        <v>70</v>
      </c>
      <c r="J1552" s="22" t="s">
        <v>6005</v>
      </c>
      <c r="K1552" s="23">
        <v>61.0</v>
      </c>
      <c r="L1552" s="24">
        <v>21.0</v>
      </c>
      <c r="M1552" s="24" t="str">
        <f>IFERROR(VLOOKUP(D1552,'Chủ đề bài nguồn'!$A$2:$C$735,3,0),"Khác")</f>
        <v>Tài khoản &amp; ngân hàng số</v>
      </c>
      <c r="N1552" s="24"/>
    </row>
    <row r="1553">
      <c r="A1553" s="15">
        <v>1551.0</v>
      </c>
      <c r="B1553" s="39" t="s">
        <v>464</v>
      </c>
      <c r="C1553" s="18" t="s">
        <v>1831</v>
      </c>
      <c r="D1553" s="39" t="s">
        <v>2425</v>
      </c>
      <c r="E1553" s="16" t="s">
        <v>5789</v>
      </c>
      <c r="F1553" s="16" t="s">
        <v>6012</v>
      </c>
      <c r="G1553" s="16" t="s">
        <v>6013</v>
      </c>
      <c r="H1553" s="20" t="s">
        <v>155</v>
      </c>
      <c r="I1553" s="21" t="s">
        <v>70</v>
      </c>
      <c r="J1553" s="22" t="s">
        <v>71</v>
      </c>
      <c r="K1553" s="23">
        <v>61.0</v>
      </c>
      <c r="L1553" s="24">
        <v>21.0</v>
      </c>
      <c r="M1553" s="24" t="str">
        <f>IFERROR(VLOOKUP(D1553,'Chủ đề bài nguồn'!$A$2:$C$735,3,0),"Khác")</f>
        <v>Doanh nghiệp (tài khoản, vay, tài chính)</v>
      </c>
      <c r="N1553" s="24"/>
    </row>
    <row r="1554">
      <c r="A1554" s="15">
        <v>1552.0</v>
      </c>
      <c r="B1554" s="39" t="s">
        <v>464</v>
      </c>
      <c r="C1554" s="18" t="s">
        <v>1831</v>
      </c>
      <c r="D1554" s="39" t="s">
        <v>2826</v>
      </c>
      <c r="E1554" s="16" t="s">
        <v>6014</v>
      </c>
      <c r="F1554" s="16" t="s">
        <v>6015</v>
      </c>
      <c r="G1554" s="16" t="s">
        <v>6016</v>
      </c>
      <c r="H1554" s="20" t="s">
        <v>155</v>
      </c>
      <c r="I1554" s="21" t="s">
        <v>70</v>
      </c>
      <c r="J1554" s="22" t="s">
        <v>71</v>
      </c>
      <c r="K1554" s="23">
        <v>61.0</v>
      </c>
      <c r="L1554" s="24">
        <v>21.0</v>
      </c>
      <c r="M1554" s="24" t="str">
        <f>IFERROR(VLOOKUP(D1554,'Chủ đề bài nguồn'!$A$2:$C$735,3,0),"Khác")</f>
        <v>Đầu tư, CCTG, trái phiếu, vàng</v>
      </c>
      <c r="N1554" s="24"/>
    </row>
    <row r="1555">
      <c r="A1555" s="15">
        <v>1553.0</v>
      </c>
      <c r="B1555" s="16" t="s">
        <v>464</v>
      </c>
      <c r="C1555" s="18" t="s">
        <v>1835</v>
      </c>
      <c r="D1555" s="16" t="s">
        <v>231</v>
      </c>
      <c r="E1555" s="16" t="s">
        <v>6017</v>
      </c>
      <c r="F1555" s="16" t="s">
        <v>6018</v>
      </c>
      <c r="G1555" s="16" t="s">
        <v>6019</v>
      </c>
      <c r="H1555" s="20" t="s">
        <v>155</v>
      </c>
      <c r="I1555" s="21" t="s">
        <v>70</v>
      </c>
      <c r="J1555" s="22" t="s">
        <v>71</v>
      </c>
      <c r="K1555" s="23">
        <v>61.0</v>
      </c>
      <c r="L1555" s="24">
        <v>21.0</v>
      </c>
      <c r="M1555" s="24" t="str">
        <f>IFERROR(VLOOKUP(D1555,'Chủ đề bài nguồn'!$A$2:$C$735,3,0),"Khác")</f>
        <v>Tiết kiệm &amp; lãi suất tiền gửi</v>
      </c>
      <c r="N1555" s="24"/>
    </row>
    <row r="1556">
      <c r="A1556" s="15">
        <v>1554.0</v>
      </c>
      <c r="B1556" s="16" t="s">
        <v>464</v>
      </c>
      <c r="C1556" s="18" t="s">
        <v>1835</v>
      </c>
      <c r="D1556" s="16" t="s">
        <v>1847</v>
      </c>
      <c r="E1556" s="16" t="s">
        <v>4461</v>
      </c>
      <c r="F1556" s="16" t="s">
        <v>4462</v>
      </c>
      <c r="G1556" s="16" t="s">
        <v>6020</v>
      </c>
      <c r="H1556" s="20" t="s">
        <v>155</v>
      </c>
      <c r="I1556" s="21" t="s">
        <v>70</v>
      </c>
      <c r="J1556" s="22" t="s">
        <v>71</v>
      </c>
      <c r="K1556" s="23">
        <v>61.0</v>
      </c>
      <c r="L1556" s="24">
        <v>21.0</v>
      </c>
      <c r="M1556" s="24" t="str">
        <f>IFERROR(VLOOKUP(D1556,'Chủ đề bài nguồn'!$A$2:$C$735,3,0),"Khác")</f>
        <v>Tài khoản &amp; ngân hàng số</v>
      </c>
      <c r="N1556" s="24"/>
    </row>
    <row r="1557">
      <c r="A1557" s="15">
        <v>1555.0</v>
      </c>
      <c r="B1557" s="16" t="s">
        <v>464</v>
      </c>
      <c r="C1557" s="18" t="s">
        <v>1835</v>
      </c>
      <c r="D1557" s="16" t="s">
        <v>1145</v>
      </c>
      <c r="E1557" s="16" t="s">
        <v>6021</v>
      </c>
      <c r="F1557" s="16" t="s">
        <v>6022</v>
      </c>
      <c r="G1557" s="16" t="s">
        <v>6023</v>
      </c>
      <c r="H1557" s="20" t="s">
        <v>155</v>
      </c>
      <c r="I1557" s="21" t="s">
        <v>70</v>
      </c>
      <c r="J1557" s="22" t="s">
        <v>71</v>
      </c>
      <c r="K1557" s="23">
        <v>61.0</v>
      </c>
      <c r="L1557" s="24">
        <v>21.0</v>
      </c>
      <c r="M1557" s="24" t="str">
        <f>IFERROR(VLOOKUP(D1557,'Chủ đề bài nguồn'!$A$2:$C$735,3,0),"Khác")</f>
        <v>Tiết kiệm &amp; lãi suất tiền gửi</v>
      </c>
      <c r="N1557" s="24"/>
    </row>
    <row r="1558">
      <c r="A1558" s="15">
        <v>1556.0</v>
      </c>
      <c r="B1558" s="16" t="s">
        <v>464</v>
      </c>
      <c r="C1558" s="18" t="s">
        <v>1835</v>
      </c>
      <c r="D1558" s="16" t="s">
        <v>1852</v>
      </c>
      <c r="E1558" s="16" t="s">
        <v>4461</v>
      </c>
      <c r="F1558" s="16" t="s">
        <v>4462</v>
      </c>
      <c r="G1558" s="16" t="s">
        <v>6024</v>
      </c>
      <c r="H1558" s="20" t="s">
        <v>155</v>
      </c>
      <c r="I1558" s="21" t="s">
        <v>70</v>
      </c>
      <c r="J1558" s="22" t="s">
        <v>71</v>
      </c>
      <c r="K1558" s="23">
        <v>61.0</v>
      </c>
      <c r="L1558" s="24">
        <v>21.0</v>
      </c>
      <c r="M1558" s="24" t="str">
        <f>IFERROR(VLOOKUP(D1558,'Chủ đề bài nguồn'!$A$2:$C$735,3,0),"Khác")</f>
        <v>Tiết kiệm &amp; lãi suất tiền gửi</v>
      </c>
      <c r="N1558" s="24"/>
    </row>
    <row r="1559">
      <c r="A1559" s="15">
        <v>1557.0</v>
      </c>
      <c r="B1559" s="16" t="s">
        <v>464</v>
      </c>
      <c r="C1559" s="18" t="s">
        <v>1835</v>
      </c>
      <c r="D1559" s="16" t="s">
        <v>2870</v>
      </c>
      <c r="E1559" s="16" t="s">
        <v>4461</v>
      </c>
      <c r="F1559" s="16" t="s">
        <v>5710</v>
      </c>
      <c r="G1559" s="16" t="s">
        <v>6025</v>
      </c>
      <c r="H1559" s="20" t="s">
        <v>155</v>
      </c>
      <c r="I1559" s="21" t="s">
        <v>70</v>
      </c>
      <c r="J1559" s="22" t="s">
        <v>71</v>
      </c>
      <c r="K1559" s="23">
        <v>61.0</v>
      </c>
      <c r="L1559" s="24">
        <v>21.0</v>
      </c>
      <c r="M1559" s="24" t="str">
        <f>IFERROR(VLOOKUP(D1559,'Chủ đề bài nguồn'!$A$2:$C$735,3,0),"Khác")</f>
        <v>Tiết kiệm &amp; lãi suất tiền gửi</v>
      </c>
      <c r="N1559" s="24"/>
    </row>
    <row r="1560">
      <c r="A1560" s="15">
        <v>1558.0</v>
      </c>
      <c r="B1560" s="16" t="s">
        <v>464</v>
      </c>
      <c r="C1560" s="18" t="s">
        <v>1835</v>
      </c>
      <c r="D1560" s="16" t="s">
        <v>2771</v>
      </c>
      <c r="E1560" s="16" t="s">
        <v>6026</v>
      </c>
      <c r="F1560" s="16" t="s">
        <v>6027</v>
      </c>
      <c r="G1560" s="16" t="s">
        <v>6028</v>
      </c>
      <c r="H1560" s="20" t="s">
        <v>155</v>
      </c>
      <c r="I1560" s="21" t="s">
        <v>70</v>
      </c>
      <c r="J1560" s="22" t="s">
        <v>71</v>
      </c>
      <c r="K1560" s="23">
        <v>61.0</v>
      </c>
      <c r="L1560" s="24">
        <v>21.0</v>
      </c>
      <c r="M1560" s="24" t="str">
        <f>IFERROR(VLOOKUP(D1560,'Chủ đề bài nguồn'!$A$2:$C$735,3,0),"Khác")</f>
        <v>Đầu tư, CCTG, trái phiếu, vàng</v>
      </c>
      <c r="N1560" s="24"/>
    </row>
    <row r="1561">
      <c r="A1561" s="15">
        <v>1559.0</v>
      </c>
      <c r="B1561" s="16" t="s">
        <v>464</v>
      </c>
      <c r="C1561" s="18" t="s">
        <v>1835</v>
      </c>
      <c r="D1561" s="16" t="s">
        <v>2875</v>
      </c>
      <c r="E1561" s="16" t="s">
        <v>4461</v>
      </c>
      <c r="F1561" s="16" t="s">
        <v>4462</v>
      </c>
      <c r="G1561" s="16" t="s">
        <v>6020</v>
      </c>
      <c r="H1561" s="20" t="s">
        <v>155</v>
      </c>
      <c r="I1561" s="21" t="s">
        <v>70</v>
      </c>
      <c r="J1561" s="22" t="s">
        <v>71</v>
      </c>
      <c r="K1561" s="23">
        <v>61.0</v>
      </c>
      <c r="L1561" s="24">
        <v>21.0</v>
      </c>
      <c r="M1561" s="24" t="str">
        <f>IFERROR(VLOOKUP(D1561,'Chủ đề bài nguồn'!$A$2:$C$735,3,0),"Khác")</f>
        <v>Tiết kiệm &amp; lãi suất tiền gửi</v>
      </c>
      <c r="N1561" s="24"/>
    </row>
    <row r="1562">
      <c r="A1562" s="15">
        <v>1560.0</v>
      </c>
      <c r="B1562" s="16" t="s">
        <v>464</v>
      </c>
      <c r="C1562" s="18" t="s">
        <v>1835</v>
      </c>
      <c r="D1562" s="16" t="s">
        <v>1212</v>
      </c>
      <c r="E1562" s="16" t="s">
        <v>6029</v>
      </c>
      <c r="F1562" s="16" t="s">
        <v>6030</v>
      </c>
      <c r="G1562" s="16" t="s">
        <v>6031</v>
      </c>
      <c r="H1562" s="20" t="s">
        <v>155</v>
      </c>
      <c r="I1562" s="21" t="s">
        <v>70</v>
      </c>
      <c r="J1562" s="22" t="s">
        <v>71</v>
      </c>
      <c r="K1562" s="23">
        <v>61.0</v>
      </c>
      <c r="L1562" s="24">
        <v>21.0</v>
      </c>
      <c r="M1562" s="24" t="str">
        <f>IFERROR(VLOOKUP(D1562,'Chủ đề bài nguồn'!$A$2:$C$735,3,0),"Khác")</f>
        <v>Tiết kiệm &amp; lãi suất tiền gửi</v>
      </c>
      <c r="N1562" s="24"/>
    </row>
    <row r="1563">
      <c r="A1563" s="15">
        <v>1561.0</v>
      </c>
      <c r="B1563" s="16" t="s">
        <v>464</v>
      </c>
      <c r="C1563" s="18" t="s">
        <v>1835</v>
      </c>
      <c r="D1563" s="16" t="s">
        <v>3138</v>
      </c>
      <c r="E1563" s="16" t="s">
        <v>6032</v>
      </c>
      <c r="F1563" s="16" t="s">
        <v>6033</v>
      </c>
      <c r="G1563" s="16" t="s">
        <v>6034</v>
      </c>
      <c r="H1563" s="20" t="s">
        <v>155</v>
      </c>
      <c r="I1563" s="21" t="s">
        <v>70</v>
      </c>
      <c r="J1563" s="22" t="s">
        <v>71</v>
      </c>
      <c r="K1563" s="23">
        <v>61.0</v>
      </c>
      <c r="L1563" s="24">
        <v>21.0</v>
      </c>
      <c r="M1563" s="24" t="str">
        <f>IFERROR(VLOOKUP(D1563,'Chủ đề bài nguồn'!$A$2:$C$735,3,0),"Khác")</f>
        <v>Tiết kiệm &amp; lãi suất tiền gửi</v>
      </c>
      <c r="N1563" s="24"/>
    </row>
    <row r="1564">
      <c r="A1564" s="15">
        <v>1562.0</v>
      </c>
      <c r="B1564" s="16" t="s">
        <v>464</v>
      </c>
      <c r="C1564" s="18" t="s">
        <v>1835</v>
      </c>
      <c r="D1564" s="16" t="s">
        <v>2914</v>
      </c>
      <c r="E1564" s="16" t="s">
        <v>6035</v>
      </c>
      <c r="F1564" s="16" t="s">
        <v>6036</v>
      </c>
      <c r="G1564" s="16" t="s">
        <v>6037</v>
      </c>
      <c r="H1564" s="20" t="s">
        <v>155</v>
      </c>
      <c r="I1564" s="21" t="s">
        <v>70</v>
      </c>
      <c r="J1564" s="22" t="s">
        <v>619</v>
      </c>
      <c r="K1564" s="23">
        <v>61.0</v>
      </c>
      <c r="L1564" s="24">
        <v>21.0</v>
      </c>
      <c r="M1564" s="24" t="str">
        <f>IFERROR(VLOOKUP(D1564,'Chủ đề bài nguồn'!$A$2:$C$735,3,0),"Khác")</f>
        <v>Ngoại tệ &amp; chuyển tiền quốc tế</v>
      </c>
      <c r="N1564" s="24"/>
    </row>
    <row r="1565">
      <c r="A1565" s="15">
        <v>1563.0</v>
      </c>
      <c r="B1565" s="16" t="s">
        <v>464</v>
      </c>
      <c r="C1565" s="18" t="s">
        <v>1835</v>
      </c>
      <c r="D1565" s="16" t="s">
        <v>1521</v>
      </c>
      <c r="E1565" s="16" t="s">
        <v>6038</v>
      </c>
      <c r="F1565" s="16" t="s">
        <v>6039</v>
      </c>
      <c r="G1565" s="16" t="s">
        <v>6040</v>
      </c>
      <c r="H1565" s="20" t="s">
        <v>155</v>
      </c>
      <c r="I1565" s="21" t="s">
        <v>70</v>
      </c>
      <c r="J1565" s="22" t="s">
        <v>71</v>
      </c>
      <c r="K1565" s="23">
        <v>61.0</v>
      </c>
      <c r="L1565" s="24">
        <v>21.0</v>
      </c>
      <c r="M1565" s="24" t="str">
        <f>IFERROR(VLOOKUP(D1565,'Chủ đề bài nguồn'!$A$2:$C$735,3,0),"Khác")</f>
        <v>Đầu tư, CCTG, trái phiếu, vàng</v>
      </c>
      <c r="N1565" s="24"/>
    </row>
    <row r="1566">
      <c r="A1566" s="15">
        <v>1564.0</v>
      </c>
      <c r="B1566" s="16" t="s">
        <v>464</v>
      </c>
      <c r="C1566" s="18" t="s">
        <v>1835</v>
      </c>
      <c r="D1566" s="16" t="s">
        <v>2719</v>
      </c>
      <c r="E1566" s="16" t="s">
        <v>6041</v>
      </c>
      <c r="F1566" s="16" t="s">
        <v>6042</v>
      </c>
      <c r="G1566" s="16" t="s">
        <v>6043</v>
      </c>
      <c r="H1566" s="20" t="s">
        <v>155</v>
      </c>
      <c r="I1566" s="21" t="s">
        <v>70</v>
      </c>
      <c r="J1566" s="22" t="s">
        <v>71</v>
      </c>
      <c r="K1566" s="23">
        <v>61.0</v>
      </c>
      <c r="L1566" s="24">
        <v>21.0</v>
      </c>
      <c r="M1566" s="24" t="str">
        <f>IFERROR(VLOOKUP(D1566,'Chủ đề bài nguồn'!$A$2:$C$735,3,0),"Khác")</f>
        <v>Tiết kiệm &amp; lãi suất tiền gửi</v>
      </c>
      <c r="N1566" s="24"/>
    </row>
    <row r="1567">
      <c r="A1567" s="15">
        <v>1565.0</v>
      </c>
      <c r="B1567" s="16" t="s">
        <v>464</v>
      </c>
      <c r="C1567" s="18" t="s">
        <v>1835</v>
      </c>
      <c r="D1567" s="16" t="s">
        <v>1122</v>
      </c>
      <c r="E1567" s="16" t="s">
        <v>6044</v>
      </c>
      <c r="F1567" s="16" t="s">
        <v>6045</v>
      </c>
      <c r="G1567" s="16" t="s">
        <v>6046</v>
      </c>
      <c r="H1567" s="20" t="s">
        <v>155</v>
      </c>
      <c r="I1567" s="21" t="s">
        <v>70</v>
      </c>
      <c r="J1567" s="22" t="s">
        <v>4865</v>
      </c>
      <c r="K1567" s="23">
        <v>61.0</v>
      </c>
      <c r="L1567" s="24">
        <v>21.0</v>
      </c>
      <c r="M1567" s="24" t="str">
        <f>IFERROR(VLOOKUP(D1567,'Chủ đề bài nguồn'!$A$2:$C$735,3,0),"Khác")</f>
        <v>Tiết kiệm &amp; lãi suất tiền gửi</v>
      </c>
      <c r="N1567" s="24"/>
    </row>
    <row r="1568">
      <c r="A1568" s="15">
        <v>1566.0</v>
      </c>
      <c r="B1568" s="16" t="s">
        <v>464</v>
      </c>
      <c r="C1568" s="18" t="s">
        <v>1835</v>
      </c>
      <c r="D1568" s="16" t="s">
        <v>1686</v>
      </c>
      <c r="E1568" s="16" t="s">
        <v>6047</v>
      </c>
      <c r="F1568" s="16" t="s">
        <v>6048</v>
      </c>
      <c r="G1568" s="16" t="s">
        <v>6049</v>
      </c>
      <c r="H1568" s="20" t="s">
        <v>155</v>
      </c>
      <c r="I1568" s="21" t="s">
        <v>70</v>
      </c>
      <c r="J1568" s="22" t="s">
        <v>71</v>
      </c>
      <c r="K1568" s="23">
        <v>61.0</v>
      </c>
      <c r="L1568" s="24">
        <v>21.0</v>
      </c>
      <c r="M1568" s="24" t="str">
        <f>IFERROR(VLOOKUP(D1568,'Chủ đề bài nguồn'!$A$2:$C$735,3,0),"Khác")</f>
        <v>Đầu tư, CCTG, trái phiếu, vàng</v>
      </c>
      <c r="N1568" s="24"/>
    </row>
    <row r="1569">
      <c r="A1569" s="15">
        <v>1567.0</v>
      </c>
      <c r="B1569" s="16" t="s">
        <v>464</v>
      </c>
      <c r="C1569" s="18" t="s">
        <v>1835</v>
      </c>
      <c r="D1569" s="16" t="s">
        <v>3056</v>
      </c>
      <c r="E1569" s="16" t="s">
        <v>6050</v>
      </c>
      <c r="F1569" s="16" t="s">
        <v>6051</v>
      </c>
      <c r="G1569" s="16" t="s">
        <v>6052</v>
      </c>
      <c r="H1569" s="20" t="s">
        <v>155</v>
      </c>
      <c r="I1569" s="21" t="s">
        <v>70</v>
      </c>
      <c r="J1569" s="22" t="s">
        <v>71</v>
      </c>
      <c r="K1569" s="23">
        <v>61.0</v>
      </c>
      <c r="L1569" s="24">
        <v>21.0</v>
      </c>
      <c r="M1569" s="24" t="str">
        <f>IFERROR(VLOOKUP(D1569,'Chủ đề bài nguồn'!$A$2:$C$735,3,0),"Khác")</f>
        <v>Tiết kiệm &amp; lãi suất tiền gửi</v>
      </c>
      <c r="N1569" s="24"/>
    </row>
    <row r="1570">
      <c r="A1570" s="15">
        <v>1568.0</v>
      </c>
      <c r="B1570" s="16" t="s">
        <v>464</v>
      </c>
      <c r="C1570" s="18" t="s">
        <v>1835</v>
      </c>
      <c r="D1570" s="16" t="s">
        <v>1435</v>
      </c>
      <c r="E1570" s="16" t="s">
        <v>6053</v>
      </c>
      <c r="F1570" s="16" t="s">
        <v>6054</v>
      </c>
      <c r="G1570" s="16" t="s">
        <v>6020</v>
      </c>
      <c r="H1570" s="20" t="s">
        <v>155</v>
      </c>
      <c r="I1570" s="21" t="s">
        <v>70</v>
      </c>
      <c r="J1570" s="22" t="s">
        <v>71</v>
      </c>
      <c r="K1570" s="23">
        <v>61.0</v>
      </c>
      <c r="L1570" s="24">
        <v>21.0</v>
      </c>
      <c r="M1570" s="24" t="str">
        <f>IFERROR(VLOOKUP(D1570,'Chủ đề bài nguồn'!$A$2:$C$735,3,0),"Khác")</f>
        <v>Đầu tư, CCTG, trái phiếu, vàng</v>
      </c>
      <c r="N1570" s="24"/>
    </row>
    <row r="1571">
      <c r="A1571" s="15">
        <v>1569.0</v>
      </c>
      <c r="B1571" s="16" t="s">
        <v>464</v>
      </c>
      <c r="C1571" s="18" t="s">
        <v>1835</v>
      </c>
      <c r="D1571" s="16" t="s">
        <v>2104</v>
      </c>
      <c r="E1571" s="16" t="s">
        <v>5800</v>
      </c>
      <c r="F1571" s="16" t="s">
        <v>6055</v>
      </c>
      <c r="G1571" s="16" t="s">
        <v>6046</v>
      </c>
      <c r="H1571" s="20" t="s">
        <v>155</v>
      </c>
      <c r="I1571" s="21" t="s">
        <v>70</v>
      </c>
      <c r="J1571" s="22" t="s">
        <v>664</v>
      </c>
      <c r="K1571" s="23">
        <v>61.0</v>
      </c>
      <c r="L1571" s="24">
        <v>21.0</v>
      </c>
      <c r="M1571" s="24" t="str">
        <f>IFERROR(VLOOKUP(D1571,'Chủ đề bài nguồn'!$A$2:$C$735,3,0),"Khác")</f>
        <v>Hộ kinh doanh &amp; bán hàng</v>
      </c>
      <c r="N1571" s="24"/>
    </row>
    <row r="1572">
      <c r="A1572" s="15">
        <v>1570.0</v>
      </c>
      <c r="B1572" s="16" t="s">
        <v>464</v>
      </c>
      <c r="C1572" s="18" t="s">
        <v>1835</v>
      </c>
      <c r="D1572" s="16" t="s">
        <v>2335</v>
      </c>
      <c r="E1572" s="16" t="s">
        <v>6056</v>
      </c>
      <c r="F1572" s="16" t="s">
        <v>6057</v>
      </c>
      <c r="G1572" s="16" t="s">
        <v>6058</v>
      </c>
      <c r="H1572" s="20" t="s">
        <v>155</v>
      </c>
      <c r="I1572" s="21" t="s">
        <v>70</v>
      </c>
      <c r="J1572" s="22" t="s">
        <v>71</v>
      </c>
      <c r="K1572" s="23">
        <v>61.0</v>
      </c>
      <c r="L1572" s="24">
        <v>21.0</v>
      </c>
      <c r="M1572" s="24" t="str">
        <f>IFERROR(VLOOKUP(D1572,'Chủ đề bài nguồn'!$A$2:$C$735,3,0),"Khác")</f>
        <v>Tiết kiệm &amp; lãi suất tiền gửi</v>
      </c>
      <c r="N1572" s="24"/>
    </row>
    <row r="1573">
      <c r="A1573" s="15">
        <v>1571.0</v>
      </c>
      <c r="B1573" s="16" t="s">
        <v>464</v>
      </c>
      <c r="C1573" s="18" t="s">
        <v>1835</v>
      </c>
      <c r="D1573" s="16" t="s">
        <v>3241</v>
      </c>
      <c r="E1573" s="16" t="s">
        <v>6059</v>
      </c>
      <c r="F1573" s="16" t="s">
        <v>6060</v>
      </c>
      <c r="G1573" s="16" t="s">
        <v>6061</v>
      </c>
      <c r="H1573" s="20" t="s">
        <v>155</v>
      </c>
      <c r="I1573" s="21" t="s">
        <v>70</v>
      </c>
      <c r="J1573" s="22" t="s">
        <v>71</v>
      </c>
      <c r="K1573" s="23">
        <v>61.0</v>
      </c>
      <c r="L1573" s="24">
        <v>21.0</v>
      </c>
      <c r="M1573" s="24" t="str">
        <f>IFERROR(VLOOKUP(D1573,'Chủ đề bài nguồn'!$A$2:$C$735,3,0),"Khác")</f>
        <v>Tiết kiệm &amp; lãi suất tiền gửi</v>
      </c>
      <c r="N1573" s="24"/>
    </row>
    <row r="1574">
      <c r="A1574" s="15">
        <v>1572.0</v>
      </c>
      <c r="B1574" s="16" t="s">
        <v>464</v>
      </c>
      <c r="C1574" s="18" t="s">
        <v>1835</v>
      </c>
      <c r="D1574" s="16" t="s">
        <v>1397</v>
      </c>
      <c r="E1574" s="16" t="s">
        <v>6062</v>
      </c>
      <c r="F1574" s="16" t="s">
        <v>6063</v>
      </c>
      <c r="G1574" s="16" t="s">
        <v>6064</v>
      </c>
      <c r="H1574" s="20" t="s">
        <v>155</v>
      </c>
      <c r="I1574" s="21" t="s">
        <v>70</v>
      </c>
      <c r="J1574" s="22" t="s">
        <v>71</v>
      </c>
      <c r="K1574" s="23">
        <v>61.0</v>
      </c>
      <c r="L1574" s="24">
        <v>21.0</v>
      </c>
      <c r="M1574" s="24" t="str">
        <f>IFERROR(VLOOKUP(D1574,'Chủ đề bài nguồn'!$A$2:$C$735,3,0),"Khác")</f>
        <v>Tiết kiệm &amp; lãi suất tiền gửi</v>
      </c>
      <c r="N1574" s="24"/>
    </row>
    <row r="1575">
      <c r="A1575" s="15">
        <v>1573.0</v>
      </c>
      <c r="B1575" s="16" t="s">
        <v>464</v>
      </c>
      <c r="C1575" s="18" t="s">
        <v>1835</v>
      </c>
      <c r="D1575" s="16" t="s">
        <v>3129</v>
      </c>
      <c r="E1575" s="16" t="s">
        <v>6065</v>
      </c>
      <c r="F1575" s="16" t="s">
        <v>6066</v>
      </c>
      <c r="G1575" s="16" t="s">
        <v>6067</v>
      </c>
      <c r="H1575" s="20" t="s">
        <v>155</v>
      </c>
      <c r="I1575" s="21" t="s">
        <v>70</v>
      </c>
      <c r="J1575" s="22" t="s">
        <v>71</v>
      </c>
      <c r="K1575" s="23">
        <v>61.0</v>
      </c>
      <c r="L1575" s="24">
        <v>21.0</v>
      </c>
      <c r="M1575" s="24" t="str">
        <f>IFERROR(VLOOKUP(D1575,'Chủ đề bài nguồn'!$A$2:$C$735,3,0),"Khác")</f>
        <v>Tiết kiệm &amp; lãi suất tiền gửi</v>
      </c>
      <c r="N1575" s="24"/>
    </row>
    <row r="1576">
      <c r="A1576" s="15">
        <v>1574.0</v>
      </c>
      <c r="B1576" s="16" t="s">
        <v>464</v>
      </c>
      <c r="C1576" s="18" t="s">
        <v>1835</v>
      </c>
      <c r="D1576" s="16" t="s">
        <v>3179</v>
      </c>
      <c r="E1576" s="16" t="s">
        <v>5707</v>
      </c>
      <c r="F1576" s="16" t="s">
        <v>6068</v>
      </c>
      <c r="G1576" s="16" t="s">
        <v>6069</v>
      </c>
      <c r="H1576" s="20" t="s">
        <v>155</v>
      </c>
      <c r="I1576" s="21" t="s">
        <v>70</v>
      </c>
      <c r="J1576" s="22" t="s">
        <v>71</v>
      </c>
      <c r="K1576" s="23">
        <v>61.0</v>
      </c>
      <c r="L1576" s="24">
        <v>21.0</v>
      </c>
      <c r="M1576" s="24" t="str">
        <f>IFERROR(VLOOKUP(D1576,'Chủ đề bài nguồn'!$A$2:$C$735,3,0),"Khác")</f>
        <v>Tiết kiệm &amp; lãi suất tiền gửi</v>
      </c>
      <c r="N1576" s="24"/>
    </row>
    <row r="1577">
      <c r="A1577" s="15">
        <v>1575.0</v>
      </c>
      <c r="B1577" s="16" t="s">
        <v>464</v>
      </c>
      <c r="C1577" s="18" t="s">
        <v>1835</v>
      </c>
      <c r="D1577" s="16" t="s">
        <v>2862</v>
      </c>
      <c r="E1577" s="16" t="s">
        <v>4461</v>
      </c>
      <c r="F1577" s="16" t="s">
        <v>4462</v>
      </c>
      <c r="G1577" s="16" t="s">
        <v>6020</v>
      </c>
      <c r="H1577" s="20" t="s">
        <v>155</v>
      </c>
      <c r="I1577" s="21" t="s">
        <v>70</v>
      </c>
      <c r="J1577" s="22" t="s">
        <v>71</v>
      </c>
      <c r="K1577" s="23">
        <v>61.0</v>
      </c>
      <c r="L1577" s="24">
        <v>21.0</v>
      </c>
      <c r="M1577" s="24" t="str">
        <f>IFERROR(VLOOKUP(D1577,'Chủ đề bài nguồn'!$A$2:$C$735,3,0),"Khác")</f>
        <v>Tiết kiệm &amp; lãi suất tiền gửi</v>
      </c>
      <c r="N1577" s="24"/>
    </row>
    <row r="1578">
      <c r="A1578" s="15">
        <v>1576.0</v>
      </c>
      <c r="B1578" s="39" t="s">
        <v>464</v>
      </c>
      <c r="C1578" s="18" t="s">
        <v>1835</v>
      </c>
      <c r="D1578" s="39" t="s">
        <v>963</v>
      </c>
      <c r="E1578" s="16" t="s">
        <v>5658</v>
      </c>
      <c r="F1578" s="16" t="s">
        <v>6070</v>
      </c>
      <c r="G1578" s="16" t="s">
        <v>6071</v>
      </c>
      <c r="H1578" s="20" t="s">
        <v>155</v>
      </c>
      <c r="I1578" s="21" t="s">
        <v>70</v>
      </c>
      <c r="J1578" s="22" t="s">
        <v>71</v>
      </c>
      <c r="K1578" s="23">
        <v>61.0</v>
      </c>
      <c r="L1578" s="24">
        <v>21.0</v>
      </c>
      <c r="M1578" s="24" t="str">
        <f>IFERROR(VLOOKUP(D1578,'Chủ đề bài nguồn'!$A$2:$C$735,3,0),"Khác")</f>
        <v>Đầu tư, CCTG, trái phiếu, vàng</v>
      </c>
      <c r="N1578" s="24"/>
    </row>
    <row r="1579">
      <c r="A1579" s="15">
        <v>1577.0</v>
      </c>
      <c r="B1579" s="39" t="s">
        <v>464</v>
      </c>
      <c r="C1579" s="18" t="s">
        <v>1835</v>
      </c>
      <c r="D1579" s="39" t="s">
        <v>2755</v>
      </c>
      <c r="E1579" s="16" t="s">
        <v>6072</v>
      </c>
      <c r="F1579" s="16" t="s">
        <v>6073</v>
      </c>
      <c r="G1579" s="16" t="s">
        <v>6074</v>
      </c>
      <c r="H1579" s="20" t="s">
        <v>155</v>
      </c>
      <c r="I1579" s="21" t="s">
        <v>70</v>
      </c>
      <c r="J1579" s="22" t="s">
        <v>71</v>
      </c>
      <c r="K1579" s="23">
        <v>61.0</v>
      </c>
      <c r="L1579" s="24">
        <v>21.0</v>
      </c>
      <c r="M1579" s="24" t="str">
        <f>IFERROR(VLOOKUP(D1579,'Chủ đề bài nguồn'!$A$2:$C$735,3,0),"Khác")</f>
        <v>Đầu tư, CCTG, trái phiếu, vàng</v>
      </c>
      <c r="N1579" s="24"/>
    </row>
    <row r="1580">
      <c r="A1580" s="15">
        <v>1578.0</v>
      </c>
      <c r="B1580" s="39" t="s">
        <v>464</v>
      </c>
      <c r="C1580" s="18" t="s">
        <v>1835</v>
      </c>
      <c r="D1580" s="39" t="s">
        <v>2959</v>
      </c>
      <c r="E1580" s="16" t="s">
        <v>6075</v>
      </c>
      <c r="F1580" s="16" t="s">
        <v>6076</v>
      </c>
      <c r="G1580" s="16" t="s">
        <v>6077</v>
      </c>
      <c r="H1580" s="20" t="s">
        <v>155</v>
      </c>
      <c r="I1580" s="21" t="s">
        <v>70</v>
      </c>
      <c r="J1580" s="22" t="s">
        <v>71</v>
      </c>
      <c r="K1580" s="23">
        <v>61.0</v>
      </c>
      <c r="L1580" s="24">
        <v>21.0</v>
      </c>
      <c r="M1580" s="24" t="str">
        <f>IFERROR(VLOOKUP(D1580,'Chủ đề bài nguồn'!$A$2:$C$735,3,0),"Khác")</f>
        <v>Đầu tư, CCTG, trái phiếu, vàng</v>
      </c>
      <c r="N1580" s="24"/>
    </row>
    <row r="1581">
      <c r="A1581" s="15">
        <v>1579.0</v>
      </c>
      <c r="B1581" s="39" t="s">
        <v>464</v>
      </c>
      <c r="C1581" s="18" t="s">
        <v>1835</v>
      </c>
      <c r="D1581" s="39" t="s">
        <v>1799</v>
      </c>
      <c r="E1581" s="16" t="s">
        <v>1800</v>
      </c>
      <c r="F1581" s="16" t="s">
        <v>6078</v>
      </c>
      <c r="G1581" s="16" t="s">
        <v>6058</v>
      </c>
      <c r="H1581" s="20" t="s">
        <v>155</v>
      </c>
      <c r="I1581" s="21" t="s">
        <v>70</v>
      </c>
      <c r="J1581" s="22" t="s">
        <v>71</v>
      </c>
      <c r="K1581" s="23">
        <v>61.0</v>
      </c>
      <c r="L1581" s="24">
        <v>21.0</v>
      </c>
      <c r="M1581" s="24" t="str">
        <f>IFERROR(VLOOKUP(D1581,'Chủ đề bài nguồn'!$A$2:$C$735,3,0),"Khác")</f>
        <v>Tài khoản &amp; ngân hàng số</v>
      </c>
      <c r="N1581" s="24"/>
    </row>
    <row r="1582">
      <c r="A1582" s="15">
        <v>1580.0</v>
      </c>
      <c r="B1582" s="16" t="s">
        <v>464</v>
      </c>
      <c r="C1582" s="18" t="s">
        <v>1826</v>
      </c>
      <c r="D1582" s="16" t="s">
        <v>723</v>
      </c>
      <c r="E1582" s="16" t="s">
        <v>6079</v>
      </c>
      <c r="F1582" s="16" t="s">
        <v>6080</v>
      </c>
      <c r="G1582" s="16" t="s">
        <v>6081</v>
      </c>
      <c r="H1582" s="20" t="s">
        <v>229</v>
      </c>
      <c r="I1582" s="21" t="s">
        <v>70</v>
      </c>
      <c r="J1582" s="22" t="s">
        <v>6082</v>
      </c>
      <c r="K1582" s="23">
        <v>61.0</v>
      </c>
      <c r="L1582" s="24">
        <v>31.0</v>
      </c>
      <c r="M1582" s="24" t="str">
        <f>IFERROR(VLOOKUP(D1582,'Chủ đề bài nguồn'!$A$2:$C$735,3,0),"Khác")</f>
        <v>Vay tiêu dùng &amp; tín chấp</v>
      </c>
      <c r="N1582" s="24"/>
    </row>
    <row r="1583">
      <c r="A1583" s="15">
        <v>1581.0</v>
      </c>
      <c r="B1583" s="16" t="s">
        <v>464</v>
      </c>
      <c r="C1583" s="18" t="s">
        <v>1826</v>
      </c>
      <c r="D1583" s="16" t="s">
        <v>2928</v>
      </c>
      <c r="E1583" s="16" t="s">
        <v>5876</v>
      </c>
      <c r="F1583" s="16" t="s">
        <v>6083</v>
      </c>
      <c r="G1583" s="16" t="s">
        <v>6084</v>
      </c>
      <c r="H1583" s="20" t="s">
        <v>229</v>
      </c>
      <c r="I1583" s="21" t="s">
        <v>70</v>
      </c>
      <c r="J1583" s="22" t="s">
        <v>5879</v>
      </c>
      <c r="K1583" s="23">
        <v>61.0</v>
      </c>
      <c r="L1583" s="24">
        <v>31.0</v>
      </c>
      <c r="M1583" s="24" t="str">
        <f>IFERROR(VLOOKUP(D1583,'Chủ đề bài nguồn'!$A$2:$C$735,3,0),"Khác")</f>
        <v>Vay thế chấp &amp; mua nhà/xe</v>
      </c>
      <c r="N1583" s="24"/>
    </row>
    <row r="1584">
      <c r="A1584" s="15">
        <v>1582.0</v>
      </c>
      <c r="B1584" s="16" t="s">
        <v>464</v>
      </c>
      <c r="C1584" s="18" t="s">
        <v>1826</v>
      </c>
      <c r="D1584" s="16" t="s">
        <v>1458</v>
      </c>
      <c r="E1584" s="16" t="s">
        <v>1459</v>
      </c>
      <c r="F1584" s="16" t="s">
        <v>5728</v>
      </c>
      <c r="G1584" s="16" t="s">
        <v>6001</v>
      </c>
      <c r="H1584" s="20" t="s">
        <v>229</v>
      </c>
      <c r="I1584" s="21" t="s">
        <v>70</v>
      </c>
      <c r="J1584" s="22" t="s">
        <v>2506</v>
      </c>
      <c r="K1584" s="23">
        <v>61.0</v>
      </c>
      <c r="L1584" s="24">
        <v>31.0</v>
      </c>
      <c r="M1584" s="24" t="str">
        <f>IFERROR(VLOOKUP(D1584,'Chủ đề bài nguồn'!$A$2:$C$735,3,0),"Khác")</f>
        <v>Tài khoản &amp; ngân hàng số</v>
      </c>
      <c r="N1584" s="24"/>
    </row>
    <row r="1585">
      <c r="A1585" s="15">
        <v>1583.0</v>
      </c>
      <c r="B1585" s="39" t="s">
        <v>464</v>
      </c>
      <c r="C1585" s="18" t="s">
        <v>1826</v>
      </c>
      <c r="D1585" s="39" t="s">
        <v>2804</v>
      </c>
      <c r="E1585" s="16" t="s">
        <v>6085</v>
      </c>
      <c r="F1585" s="16" t="s">
        <v>6086</v>
      </c>
      <c r="G1585" s="16" t="s">
        <v>6087</v>
      </c>
      <c r="H1585" s="20" t="s">
        <v>229</v>
      </c>
      <c r="I1585" s="21" t="s">
        <v>70</v>
      </c>
      <c r="J1585" s="22" t="s">
        <v>71</v>
      </c>
      <c r="K1585" s="23">
        <v>61.0</v>
      </c>
      <c r="L1585" s="24">
        <v>31.0</v>
      </c>
      <c r="M1585" s="24" t="str">
        <f>IFERROR(VLOOKUP(D1585,'Chủ đề bài nguồn'!$A$2:$C$735,3,0),"Khác")</f>
        <v>Ưu đãi, du lịch &amp; đời sống</v>
      </c>
      <c r="N1585" s="24"/>
    </row>
    <row r="1586">
      <c r="A1586" s="15">
        <v>1584.0</v>
      </c>
      <c r="B1586" s="16" t="s">
        <v>464</v>
      </c>
      <c r="C1586" s="18" t="s">
        <v>1831</v>
      </c>
      <c r="D1586" s="16" t="s">
        <v>3038</v>
      </c>
      <c r="E1586" s="16" t="s">
        <v>6088</v>
      </c>
      <c r="F1586" s="16" t="s">
        <v>5731</v>
      </c>
      <c r="G1586" s="16" t="s">
        <v>6089</v>
      </c>
      <c r="H1586" s="20" t="s">
        <v>229</v>
      </c>
      <c r="I1586" s="21" t="s">
        <v>70</v>
      </c>
      <c r="J1586" s="22" t="s">
        <v>71</v>
      </c>
      <c r="K1586" s="23">
        <v>61.0</v>
      </c>
      <c r="L1586" s="24">
        <v>31.0</v>
      </c>
      <c r="M1586" s="24" t="str">
        <f>IFERROR(VLOOKUP(D1586,'Chủ đề bài nguồn'!$A$2:$C$735,3,0),"Khác")</f>
        <v>Tiết kiệm &amp; lãi suất tiền gửi</v>
      </c>
      <c r="N1586" s="24"/>
    </row>
    <row r="1587">
      <c r="A1587" s="15">
        <v>1585.0</v>
      </c>
      <c r="B1587" s="16" t="s">
        <v>464</v>
      </c>
      <c r="C1587" s="18" t="s">
        <v>1831</v>
      </c>
      <c r="D1587" s="16" t="s">
        <v>2867</v>
      </c>
      <c r="E1587" s="16" t="s">
        <v>4391</v>
      </c>
      <c r="F1587" s="16" t="s">
        <v>6090</v>
      </c>
      <c r="G1587" s="16" t="s">
        <v>5959</v>
      </c>
      <c r="H1587" s="20" t="s">
        <v>229</v>
      </c>
      <c r="I1587" s="21" t="s">
        <v>70</v>
      </c>
      <c r="J1587" s="22" t="s">
        <v>71</v>
      </c>
      <c r="K1587" s="23">
        <v>61.0</v>
      </c>
      <c r="L1587" s="24">
        <v>31.0</v>
      </c>
      <c r="M1587" s="24" t="str">
        <f>IFERROR(VLOOKUP(D1587,'Chủ đề bài nguồn'!$A$2:$C$735,3,0),"Khác")</f>
        <v>Tiết kiệm &amp; lãi suất tiền gửi</v>
      </c>
      <c r="N1587" s="24"/>
    </row>
    <row r="1588">
      <c r="A1588" s="15">
        <v>1586.0</v>
      </c>
      <c r="B1588" s="16" t="s">
        <v>464</v>
      </c>
      <c r="C1588" s="18" t="s">
        <v>1831</v>
      </c>
      <c r="D1588" s="16" t="s">
        <v>2309</v>
      </c>
      <c r="E1588" s="16" t="s">
        <v>6091</v>
      </c>
      <c r="F1588" s="16" t="s">
        <v>6092</v>
      </c>
      <c r="G1588" s="16" t="s">
        <v>6093</v>
      </c>
      <c r="H1588" s="20" t="s">
        <v>229</v>
      </c>
      <c r="I1588" s="21" t="s">
        <v>70</v>
      </c>
      <c r="J1588" s="22" t="s">
        <v>6094</v>
      </c>
      <c r="K1588" s="23">
        <v>61.0</v>
      </c>
      <c r="L1588" s="24">
        <v>31.0</v>
      </c>
      <c r="M1588" s="24" t="str">
        <f>IFERROR(VLOOKUP(D1588,'Chủ đề bài nguồn'!$A$2:$C$735,3,0),"Khác")</f>
        <v>Tiết kiệm &amp; lãi suất tiền gửi</v>
      </c>
      <c r="N1588" s="24"/>
    </row>
    <row r="1589">
      <c r="A1589" s="15">
        <v>1587.0</v>
      </c>
      <c r="B1589" s="16" t="s">
        <v>464</v>
      </c>
      <c r="C1589" s="18" t="s">
        <v>1831</v>
      </c>
      <c r="D1589" s="16" t="s">
        <v>961</v>
      </c>
      <c r="E1589" s="16" t="s">
        <v>6095</v>
      </c>
      <c r="F1589" s="16" t="s">
        <v>6096</v>
      </c>
      <c r="G1589" s="16" t="s">
        <v>6001</v>
      </c>
      <c r="H1589" s="20" t="s">
        <v>229</v>
      </c>
      <c r="I1589" s="21" t="s">
        <v>70</v>
      </c>
      <c r="J1589" s="22" t="s">
        <v>6097</v>
      </c>
      <c r="K1589" s="23">
        <v>61.0</v>
      </c>
      <c r="L1589" s="24">
        <v>31.0</v>
      </c>
      <c r="M1589" s="24" t="str">
        <f>IFERROR(VLOOKUP(D1589,'Chủ đề bài nguồn'!$A$2:$C$735,3,0),"Khác")</f>
        <v>Đầu tư, CCTG, trái phiếu, vàng</v>
      </c>
      <c r="N1589" s="24"/>
    </row>
    <row r="1590">
      <c r="A1590" s="15">
        <v>1588.0</v>
      </c>
      <c r="B1590" s="16" t="s">
        <v>464</v>
      </c>
      <c r="C1590" s="18" t="s">
        <v>1831</v>
      </c>
      <c r="D1590" s="16" t="s">
        <v>3046</v>
      </c>
      <c r="E1590" s="16" t="s">
        <v>5820</v>
      </c>
      <c r="F1590" s="16" t="s">
        <v>5731</v>
      </c>
      <c r="G1590" s="16" t="s">
        <v>6098</v>
      </c>
      <c r="H1590" s="20" t="s">
        <v>229</v>
      </c>
      <c r="I1590" s="21" t="s">
        <v>70</v>
      </c>
      <c r="J1590" s="22" t="s">
        <v>71</v>
      </c>
      <c r="K1590" s="23">
        <v>61.0</v>
      </c>
      <c r="L1590" s="24">
        <v>31.0</v>
      </c>
      <c r="M1590" s="24" t="str">
        <f>IFERROR(VLOOKUP(D1590,'Chủ đề bài nguồn'!$A$2:$C$735,3,0),"Khác")</f>
        <v>Tài khoản &amp; ngân hàng số</v>
      </c>
      <c r="N1590" s="24"/>
    </row>
    <row r="1591">
      <c r="A1591" s="15">
        <v>1589.0</v>
      </c>
      <c r="B1591" s="16" t="s">
        <v>464</v>
      </c>
      <c r="C1591" s="18" t="s">
        <v>1831</v>
      </c>
      <c r="D1591" s="16" t="s">
        <v>1814</v>
      </c>
      <c r="E1591" s="16" t="s">
        <v>5889</v>
      </c>
      <c r="F1591" s="16" t="s">
        <v>6099</v>
      </c>
      <c r="G1591" s="16" t="s">
        <v>6100</v>
      </c>
      <c r="H1591" s="20" t="s">
        <v>229</v>
      </c>
      <c r="I1591" s="21" t="s">
        <v>70</v>
      </c>
      <c r="J1591" s="22" t="s">
        <v>71</v>
      </c>
      <c r="K1591" s="23">
        <v>61.0</v>
      </c>
      <c r="L1591" s="24">
        <v>31.0</v>
      </c>
      <c r="M1591" s="24" t="str">
        <f>IFERROR(VLOOKUP(D1591,'Chủ đề bài nguồn'!$A$2:$C$735,3,0),"Khác")</f>
        <v>Tiết kiệm &amp; lãi suất tiền gửi</v>
      </c>
      <c r="N1591" s="24"/>
    </row>
    <row r="1592">
      <c r="A1592" s="15">
        <v>1590.0</v>
      </c>
      <c r="B1592" s="16" t="s">
        <v>464</v>
      </c>
      <c r="C1592" s="18" t="s">
        <v>1831</v>
      </c>
      <c r="D1592" s="16" t="s">
        <v>3041</v>
      </c>
      <c r="E1592" s="16" t="s">
        <v>4941</v>
      </c>
      <c r="F1592" s="16" t="s">
        <v>6101</v>
      </c>
      <c r="G1592" s="16" t="s">
        <v>6102</v>
      </c>
      <c r="H1592" s="20" t="s">
        <v>229</v>
      </c>
      <c r="I1592" s="21" t="s">
        <v>70</v>
      </c>
      <c r="J1592" s="22" t="s">
        <v>71</v>
      </c>
      <c r="K1592" s="23">
        <v>61.0</v>
      </c>
      <c r="L1592" s="24">
        <v>31.0</v>
      </c>
      <c r="M1592" s="24" t="str">
        <f>IFERROR(VLOOKUP(D1592,'Chủ đề bài nguồn'!$A$2:$C$735,3,0),"Khác")</f>
        <v>Thẻ tín dụng</v>
      </c>
      <c r="N1592" s="24"/>
    </row>
    <row r="1593">
      <c r="A1593" s="15">
        <v>1591.0</v>
      </c>
      <c r="B1593" s="16" t="s">
        <v>464</v>
      </c>
      <c r="C1593" s="18" t="s">
        <v>1831</v>
      </c>
      <c r="D1593" s="16" t="s">
        <v>840</v>
      </c>
      <c r="E1593" s="16" t="s">
        <v>5837</v>
      </c>
      <c r="F1593" s="16" t="s">
        <v>6103</v>
      </c>
      <c r="G1593" s="16" t="s">
        <v>6104</v>
      </c>
      <c r="H1593" s="20" t="s">
        <v>229</v>
      </c>
      <c r="I1593" s="21" t="s">
        <v>70</v>
      </c>
      <c r="J1593" s="22" t="s">
        <v>71</v>
      </c>
      <c r="K1593" s="23">
        <v>61.0</v>
      </c>
      <c r="L1593" s="24">
        <v>31.0</v>
      </c>
      <c r="M1593" s="24" t="str">
        <f>IFERROR(VLOOKUP(D1593,'Chủ đề bài nguồn'!$A$2:$C$735,3,0),"Khác")</f>
        <v>Tài khoản &amp; ngân hàng số</v>
      </c>
      <c r="N1593" s="24"/>
    </row>
    <row r="1594">
      <c r="A1594" s="15">
        <v>1592.0</v>
      </c>
      <c r="B1594" s="16" t="s">
        <v>464</v>
      </c>
      <c r="C1594" s="18" t="s">
        <v>1831</v>
      </c>
      <c r="D1594" s="16" t="s">
        <v>2603</v>
      </c>
      <c r="E1594" s="16" t="s">
        <v>6105</v>
      </c>
      <c r="F1594" s="16" t="s">
        <v>5728</v>
      </c>
      <c r="G1594" s="16" t="s">
        <v>6001</v>
      </c>
      <c r="H1594" s="20" t="s">
        <v>229</v>
      </c>
      <c r="I1594" s="21" t="s">
        <v>70</v>
      </c>
      <c r="J1594" s="22" t="s">
        <v>2506</v>
      </c>
      <c r="K1594" s="23">
        <v>61.0</v>
      </c>
      <c r="L1594" s="24">
        <v>31.0</v>
      </c>
      <c r="M1594" s="24" t="str">
        <f>IFERROR(VLOOKUP(D1594,'Chủ đề bài nguồn'!$A$2:$C$735,3,0),"Khác")</f>
        <v>Tài khoản &amp; ngân hàng số</v>
      </c>
      <c r="N1594" s="24"/>
    </row>
    <row r="1595">
      <c r="A1595" s="15">
        <v>1593.0</v>
      </c>
      <c r="B1595" s="16" t="s">
        <v>464</v>
      </c>
      <c r="C1595" s="18" t="s">
        <v>1831</v>
      </c>
      <c r="D1595" s="16" t="s">
        <v>2838</v>
      </c>
      <c r="E1595" s="16" t="s">
        <v>5569</v>
      </c>
      <c r="F1595" s="16" t="s">
        <v>6106</v>
      </c>
      <c r="G1595" s="16" t="s">
        <v>6107</v>
      </c>
      <c r="H1595" s="20" t="s">
        <v>229</v>
      </c>
      <c r="I1595" s="21" t="s">
        <v>70</v>
      </c>
      <c r="J1595" s="22" t="s">
        <v>71</v>
      </c>
      <c r="K1595" s="23">
        <v>61.0</v>
      </c>
      <c r="L1595" s="24">
        <v>31.0</v>
      </c>
      <c r="M1595" s="24" t="str">
        <f>IFERROR(VLOOKUP(D1595,'Chủ đề bài nguồn'!$A$2:$C$735,3,0),"Khác")</f>
        <v>Vay thế chấp &amp; mua nhà/xe</v>
      </c>
      <c r="N1595" s="24"/>
    </row>
    <row r="1596">
      <c r="A1596" s="15">
        <v>1594.0</v>
      </c>
      <c r="B1596" s="39" t="s">
        <v>464</v>
      </c>
      <c r="C1596" s="18" t="s">
        <v>1831</v>
      </c>
      <c r="D1596" s="39" t="s">
        <v>2358</v>
      </c>
      <c r="E1596" s="16" t="s">
        <v>710</v>
      </c>
      <c r="F1596" s="16" t="s">
        <v>6108</v>
      </c>
      <c r="G1596" s="16" t="s">
        <v>6109</v>
      </c>
      <c r="H1596" s="20" t="s">
        <v>229</v>
      </c>
      <c r="I1596" s="21" t="s">
        <v>70</v>
      </c>
      <c r="J1596" s="22" t="s">
        <v>387</v>
      </c>
      <c r="K1596" s="23">
        <v>61.0</v>
      </c>
      <c r="L1596" s="24">
        <v>31.0</v>
      </c>
      <c r="M1596" s="24" t="str">
        <f>IFERROR(VLOOKUP(D1596,'Chủ đề bài nguồn'!$A$2:$C$735,3,0),"Khác")</f>
        <v>Thị trường &amp; giá cả</v>
      </c>
      <c r="N1596" s="24"/>
    </row>
    <row r="1597">
      <c r="A1597" s="15">
        <v>1595.0</v>
      </c>
      <c r="B1597" s="39" t="s">
        <v>464</v>
      </c>
      <c r="C1597" s="18" t="s">
        <v>1831</v>
      </c>
      <c r="D1597" s="39" t="s">
        <v>2039</v>
      </c>
      <c r="E1597" s="16" t="s">
        <v>5718</v>
      </c>
      <c r="F1597" s="16" t="s">
        <v>6110</v>
      </c>
      <c r="G1597" s="16" t="s">
        <v>6111</v>
      </c>
      <c r="H1597" s="20" t="s">
        <v>229</v>
      </c>
      <c r="I1597" s="21" t="s">
        <v>70</v>
      </c>
      <c r="J1597" s="22" t="s">
        <v>71</v>
      </c>
      <c r="K1597" s="23">
        <v>61.0</v>
      </c>
      <c r="L1597" s="24">
        <v>31.0</v>
      </c>
      <c r="M1597" s="24" t="str">
        <f>IFERROR(VLOOKUP(D1597,'Chủ đề bài nguồn'!$A$2:$C$735,3,0),"Khác")</f>
        <v>Ưu đãi, du lịch &amp; đời sống</v>
      </c>
      <c r="N1597" s="24"/>
    </row>
    <row r="1598">
      <c r="A1598" s="15">
        <v>1596.0</v>
      </c>
      <c r="B1598" s="39" t="s">
        <v>464</v>
      </c>
      <c r="C1598" s="18" t="s">
        <v>1831</v>
      </c>
      <c r="D1598" s="39" t="s">
        <v>2856</v>
      </c>
      <c r="E1598" s="16" t="s">
        <v>5863</v>
      </c>
      <c r="F1598" s="16" t="s">
        <v>6112</v>
      </c>
      <c r="G1598" s="16" t="s">
        <v>6113</v>
      </c>
      <c r="H1598" s="20" t="s">
        <v>229</v>
      </c>
      <c r="I1598" s="21" t="s">
        <v>70</v>
      </c>
      <c r="J1598" s="22" t="s">
        <v>4861</v>
      </c>
      <c r="K1598" s="23">
        <v>61.0</v>
      </c>
      <c r="L1598" s="24">
        <v>31.0</v>
      </c>
      <c r="M1598" s="24" t="str">
        <f>IFERROR(VLOOKUP(D1598,'Chủ đề bài nguồn'!$A$2:$C$735,3,0),"Khác")</f>
        <v>Đầu tư, CCTG, trái phiếu, vàng</v>
      </c>
      <c r="N1598" s="24"/>
    </row>
    <row r="1599">
      <c r="A1599" s="15">
        <v>1597.0</v>
      </c>
      <c r="B1599" s="39" t="s">
        <v>464</v>
      </c>
      <c r="C1599" s="18" t="s">
        <v>1831</v>
      </c>
      <c r="D1599" s="39" t="s">
        <v>2927</v>
      </c>
      <c r="E1599" s="16" t="s">
        <v>6114</v>
      </c>
      <c r="F1599" s="16" t="s">
        <v>6115</v>
      </c>
      <c r="G1599" s="16" t="s">
        <v>6116</v>
      </c>
      <c r="H1599" s="20" t="s">
        <v>229</v>
      </c>
      <c r="I1599" s="21" t="s">
        <v>70</v>
      </c>
      <c r="J1599" s="22" t="s">
        <v>619</v>
      </c>
      <c r="K1599" s="23">
        <v>61.0</v>
      </c>
      <c r="L1599" s="24">
        <v>31.0</v>
      </c>
      <c r="M1599" s="24" t="str">
        <f>IFERROR(VLOOKUP(D1599,'Chủ đề bài nguồn'!$A$2:$C$735,3,0),"Khác")</f>
        <v>Đầu tư, CCTG, trái phiếu, vàng</v>
      </c>
      <c r="N1599" s="24"/>
    </row>
    <row r="1600">
      <c r="A1600" s="15">
        <v>1598.0</v>
      </c>
      <c r="B1600" s="39" t="s">
        <v>464</v>
      </c>
      <c r="C1600" s="18" t="s">
        <v>1831</v>
      </c>
      <c r="D1600" s="39" t="s">
        <v>2987</v>
      </c>
      <c r="E1600" s="16" t="s">
        <v>6117</v>
      </c>
      <c r="F1600" s="16" t="s">
        <v>6118</v>
      </c>
      <c r="G1600" s="16" t="s">
        <v>6119</v>
      </c>
      <c r="H1600" s="20" t="s">
        <v>229</v>
      </c>
      <c r="I1600" s="21" t="s">
        <v>70</v>
      </c>
      <c r="J1600" s="22" t="s">
        <v>71</v>
      </c>
      <c r="K1600" s="23">
        <v>61.0</v>
      </c>
      <c r="L1600" s="24">
        <v>31.0</v>
      </c>
      <c r="M1600" s="24" t="str">
        <f>IFERROR(VLOOKUP(D1600,'Chủ đề bài nguồn'!$A$2:$C$735,3,0),"Khác")</f>
        <v>Tài khoản &amp; ngân hàng số</v>
      </c>
      <c r="N1600" s="24"/>
    </row>
    <row r="1601">
      <c r="A1601" s="15">
        <v>1599.0</v>
      </c>
      <c r="B1601" s="39" t="s">
        <v>464</v>
      </c>
      <c r="C1601" s="18" t="s">
        <v>1831</v>
      </c>
      <c r="D1601" s="39" t="s">
        <v>3112</v>
      </c>
      <c r="E1601" s="16" t="s">
        <v>6120</v>
      </c>
      <c r="F1601" s="16" t="s">
        <v>6121</v>
      </c>
      <c r="G1601" s="16" t="s">
        <v>5932</v>
      </c>
      <c r="H1601" s="20" t="s">
        <v>229</v>
      </c>
      <c r="I1601" s="21" t="s">
        <v>70</v>
      </c>
      <c r="J1601" s="22" t="s">
        <v>6122</v>
      </c>
      <c r="K1601" s="23">
        <v>61.0</v>
      </c>
      <c r="L1601" s="24">
        <v>31.0</v>
      </c>
      <c r="M1601" s="24" t="str">
        <f>IFERROR(VLOOKUP(D1601,'Chủ đề bài nguồn'!$A$2:$C$735,3,0),"Khác")</f>
        <v>Tiết kiệm &amp; lãi suất tiền gửi</v>
      </c>
      <c r="N1601" s="24"/>
    </row>
    <row r="1602">
      <c r="A1602" s="15">
        <v>1600.0</v>
      </c>
      <c r="B1602" s="16" t="s">
        <v>464</v>
      </c>
      <c r="C1602" s="18" t="s">
        <v>1835</v>
      </c>
      <c r="D1602" s="16" t="s">
        <v>2597</v>
      </c>
      <c r="E1602" s="16" t="s">
        <v>6123</v>
      </c>
      <c r="F1602" s="16" t="s">
        <v>6124</v>
      </c>
      <c r="G1602" s="16" t="s">
        <v>6125</v>
      </c>
      <c r="H1602" s="20" t="s">
        <v>229</v>
      </c>
      <c r="I1602" s="21" t="s">
        <v>70</v>
      </c>
      <c r="J1602" s="22" t="s">
        <v>6126</v>
      </c>
      <c r="K1602" s="23">
        <v>61.0</v>
      </c>
      <c r="L1602" s="24">
        <v>31.0</v>
      </c>
      <c r="M1602" s="24" t="str">
        <f>IFERROR(VLOOKUP(D1602,'Chủ đề bài nguồn'!$A$2:$C$735,3,0),"Khác")</f>
        <v>Tài khoản &amp; ngân hàng số</v>
      </c>
      <c r="N1602" s="24"/>
    </row>
    <row r="1603">
      <c r="A1603" s="15">
        <v>1601.0</v>
      </c>
      <c r="B1603" s="16" t="s">
        <v>464</v>
      </c>
      <c r="C1603" s="18" t="s">
        <v>1835</v>
      </c>
      <c r="D1603" s="16" t="s">
        <v>3040</v>
      </c>
      <c r="E1603" s="16" t="s">
        <v>4387</v>
      </c>
      <c r="F1603" s="16" t="s">
        <v>6127</v>
      </c>
      <c r="G1603" s="16" t="s">
        <v>6128</v>
      </c>
      <c r="H1603" s="20" t="s">
        <v>229</v>
      </c>
      <c r="I1603" s="21" t="s">
        <v>70</v>
      </c>
      <c r="J1603" s="22" t="s">
        <v>1255</v>
      </c>
      <c r="K1603" s="23">
        <v>61.0</v>
      </c>
      <c r="L1603" s="24">
        <v>31.0</v>
      </c>
      <c r="M1603" s="24" t="str">
        <f>IFERROR(VLOOKUP(D1603,'Chủ đề bài nguồn'!$A$2:$C$735,3,0),"Khác")</f>
        <v>Tiết kiệm &amp; lãi suất tiền gửi</v>
      </c>
      <c r="N1603" s="24"/>
    </row>
    <row r="1604">
      <c r="A1604" s="15">
        <v>1602.0</v>
      </c>
      <c r="B1604" s="16" t="s">
        <v>464</v>
      </c>
      <c r="C1604" s="18" t="s">
        <v>1835</v>
      </c>
      <c r="D1604" s="16" t="s">
        <v>2833</v>
      </c>
      <c r="E1604" s="16" t="s">
        <v>710</v>
      </c>
      <c r="F1604" s="16" t="s">
        <v>6129</v>
      </c>
      <c r="G1604" s="16" t="s">
        <v>6130</v>
      </c>
      <c r="H1604" s="20" t="s">
        <v>229</v>
      </c>
      <c r="I1604" s="21" t="s">
        <v>70</v>
      </c>
      <c r="J1604" s="22" t="s">
        <v>71</v>
      </c>
      <c r="K1604" s="23">
        <v>61.0</v>
      </c>
      <c r="L1604" s="24">
        <v>31.0</v>
      </c>
      <c r="M1604" s="24" t="str">
        <f>IFERROR(VLOOKUP(D1604,'Chủ đề bài nguồn'!$A$2:$C$735,3,0),"Khác")</f>
        <v>Doanh nghiệp (tài khoản, vay, tài chính)</v>
      </c>
      <c r="N1604" s="24"/>
    </row>
    <row r="1605">
      <c r="A1605" s="15">
        <v>1603.0</v>
      </c>
      <c r="B1605" s="16" t="s">
        <v>464</v>
      </c>
      <c r="C1605" s="18" t="s">
        <v>1835</v>
      </c>
      <c r="D1605" s="16" t="s">
        <v>2938</v>
      </c>
      <c r="E1605" s="16" t="s">
        <v>4461</v>
      </c>
      <c r="F1605" s="16" t="s">
        <v>4462</v>
      </c>
      <c r="G1605" s="16" t="s">
        <v>6131</v>
      </c>
      <c r="H1605" s="20" t="s">
        <v>229</v>
      </c>
      <c r="I1605" s="21" t="s">
        <v>70</v>
      </c>
      <c r="J1605" s="22" t="s">
        <v>4465</v>
      </c>
      <c r="K1605" s="23">
        <v>61.0</v>
      </c>
      <c r="L1605" s="24">
        <v>31.0</v>
      </c>
      <c r="M1605" s="24" t="str">
        <f>IFERROR(VLOOKUP(D1605,'Chủ đề bài nguồn'!$A$2:$C$735,3,0),"Khác")</f>
        <v>Tiết kiệm &amp; lãi suất tiền gửi</v>
      </c>
      <c r="N1605" s="24"/>
    </row>
    <row r="1606">
      <c r="A1606" s="15">
        <v>1604.0</v>
      </c>
      <c r="B1606" s="16" t="s">
        <v>464</v>
      </c>
      <c r="C1606" s="18" t="s">
        <v>1835</v>
      </c>
      <c r="D1606" s="16" t="s">
        <v>1128</v>
      </c>
      <c r="E1606" s="16" t="s">
        <v>4461</v>
      </c>
      <c r="F1606" s="16" t="s">
        <v>4462</v>
      </c>
      <c r="G1606" s="16" t="s">
        <v>6132</v>
      </c>
      <c r="H1606" s="20" t="s">
        <v>229</v>
      </c>
      <c r="I1606" s="21" t="s">
        <v>70</v>
      </c>
      <c r="J1606" s="22" t="s">
        <v>6133</v>
      </c>
      <c r="K1606" s="23">
        <v>61.0</v>
      </c>
      <c r="L1606" s="24">
        <v>31.0</v>
      </c>
      <c r="M1606" s="24" t="str">
        <f>IFERROR(VLOOKUP(D1606,'Chủ đề bài nguồn'!$A$2:$C$735,3,0),"Khác")</f>
        <v>Tiết kiệm &amp; lãi suất tiền gửi</v>
      </c>
      <c r="N1606" s="24"/>
    </row>
    <row r="1607">
      <c r="A1607" s="15">
        <v>1605.0</v>
      </c>
      <c r="B1607" s="16" t="s">
        <v>464</v>
      </c>
      <c r="C1607" s="18" t="s">
        <v>1835</v>
      </c>
      <c r="D1607" s="16" t="s">
        <v>3206</v>
      </c>
      <c r="E1607" s="16" t="s">
        <v>4187</v>
      </c>
      <c r="F1607" s="16" t="s">
        <v>6134</v>
      </c>
      <c r="G1607" s="16" t="s">
        <v>6135</v>
      </c>
      <c r="H1607" s="20" t="s">
        <v>229</v>
      </c>
      <c r="I1607" s="21" t="s">
        <v>70</v>
      </c>
      <c r="J1607" s="22" t="s">
        <v>71</v>
      </c>
      <c r="K1607" s="23">
        <v>61.0</v>
      </c>
      <c r="L1607" s="24">
        <v>31.0</v>
      </c>
      <c r="M1607" s="24" t="str">
        <f>IFERROR(VLOOKUP(D1607,'Chủ đề bài nguồn'!$A$2:$C$735,3,0),"Khác")</f>
        <v>Đầu tư, CCTG, trái phiếu, vàng</v>
      </c>
      <c r="N1607" s="24"/>
    </row>
    <row r="1608">
      <c r="A1608" s="15">
        <v>1606.0</v>
      </c>
      <c r="B1608" s="16" t="s">
        <v>464</v>
      </c>
      <c r="C1608" s="18" t="s">
        <v>1835</v>
      </c>
      <c r="D1608" s="16" t="s">
        <v>2763</v>
      </c>
      <c r="E1608" s="16" t="s">
        <v>5701</v>
      </c>
      <c r="F1608" s="16" t="s">
        <v>6136</v>
      </c>
      <c r="G1608" s="16" t="s">
        <v>6137</v>
      </c>
      <c r="H1608" s="20" t="s">
        <v>229</v>
      </c>
      <c r="I1608" s="21" t="s">
        <v>70</v>
      </c>
      <c r="J1608" s="22" t="s">
        <v>71</v>
      </c>
      <c r="K1608" s="23">
        <v>61.0</v>
      </c>
      <c r="L1608" s="24">
        <v>31.0</v>
      </c>
      <c r="M1608" s="24" t="str">
        <f>IFERROR(VLOOKUP(D1608,'Chủ đề bài nguồn'!$A$2:$C$735,3,0),"Khác")</f>
        <v>Đầu tư, CCTG, trái phiếu, vàng</v>
      </c>
      <c r="N1608" s="24"/>
    </row>
    <row r="1609">
      <c r="A1609" s="15">
        <v>1607.0</v>
      </c>
      <c r="B1609" s="16" t="s">
        <v>464</v>
      </c>
      <c r="C1609" s="18" t="s">
        <v>1835</v>
      </c>
      <c r="D1609" s="16" t="s">
        <v>3094</v>
      </c>
      <c r="E1609" s="16" t="s">
        <v>710</v>
      </c>
      <c r="F1609" s="16" t="s">
        <v>6138</v>
      </c>
      <c r="G1609" s="16" t="s">
        <v>6139</v>
      </c>
      <c r="H1609" s="20" t="s">
        <v>229</v>
      </c>
      <c r="I1609" s="21" t="s">
        <v>70</v>
      </c>
      <c r="J1609" s="22" t="s">
        <v>71</v>
      </c>
      <c r="K1609" s="23">
        <v>61.0</v>
      </c>
      <c r="L1609" s="24">
        <v>31.0</v>
      </c>
      <c r="M1609" s="24" t="str">
        <f>IFERROR(VLOOKUP(D1609,'Chủ đề bài nguồn'!$A$2:$C$735,3,0),"Khác")</f>
        <v>Tiết kiệm &amp; lãi suất tiền gửi</v>
      </c>
      <c r="N1609" s="24"/>
    </row>
    <row r="1610">
      <c r="A1610" s="15">
        <v>1608.0</v>
      </c>
      <c r="B1610" s="16" t="s">
        <v>464</v>
      </c>
      <c r="C1610" s="18" t="s">
        <v>1835</v>
      </c>
      <c r="D1610" s="16" t="s">
        <v>2829</v>
      </c>
      <c r="E1610" s="16" t="s">
        <v>710</v>
      </c>
      <c r="F1610" s="16" t="s">
        <v>6140</v>
      </c>
      <c r="G1610" s="16" t="s">
        <v>6141</v>
      </c>
      <c r="H1610" s="20" t="s">
        <v>229</v>
      </c>
      <c r="I1610" s="21" t="s">
        <v>70</v>
      </c>
      <c r="J1610" s="22" t="s">
        <v>6142</v>
      </c>
      <c r="K1610" s="23">
        <v>61.0</v>
      </c>
      <c r="L1610" s="24">
        <v>31.0</v>
      </c>
      <c r="M1610" s="24" t="str">
        <f>IFERROR(VLOOKUP(D1610,'Chủ đề bài nguồn'!$A$2:$C$735,3,0),"Khác")</f>
        <v>Đầu tư, CCTG, trái phiếu, vàng</v>
      </c>
      <c r="N1610" s="24"/>
    </row>
    <row r="1611">
      <c r="A1611" s="15">
        <v>1609.0</v>
      </c>
      <c r="B1611" s="16" t="s">
        <v>464</v>
      </c>
      <c r="C1611" s="18" t="s">
        <v>1835</v>
      </c>
      <c r="D1611" s="16" t="s">
        <v>2379</v>
      </c>
      <c r="E1611" s="16" t="s">
        <v>4461</v>
      </c>
      <c r="F1611" s="16" t="s">
        <v>5710</v>
      </c>
      <c r="G1611" s="16" t="s">
        <v>6143</v>
      </c>
      <c r="H1611" s="20" t="s">
        <v>229</v>
      </c>
      <c r="I1611" s="21" t="s">
        <v>70</v>
      </c>
      <c r="J1611" s="22" t="s">
        <v>5911</v>
      </c>
      <c r="K1611" s="23">
        <v>61.0</v>
      </c>
      <c r="L1611" s="24">
        <v>31.0</v>
      </c>
      <c r="M1611" s="24" t="str">
        <f>IFERROR(VLOOKUP(D1611,'Chủ đề bài nguồn'!$A$2:$C$735,3,0),"Khác")</f>
        <v>Tiết kiệm &amp; lãi suất tiền gửi</v>
      </c>
      <c r="N1611" s="24"/>
    </row>
    <row r="1612">
      <c r="A1612" s="15">
        <v>1610.0</v>
      </c>
      <c r="B1612" s="16" t="s">
        <v>464</v>
      </c>
      <c r="C1612" s="18" t="s">
        <v>1835</v>
      </c>
      <c r="D1612" s="16" t="s">
        <v>3002</v>
      </c>
      <c r="E1612" s="16" t="s">
        <v>6144</v>
      </c>
      <c r="F1612" s="16" t="s">
        <v>6145</v>
      </c>
      <c r="G1612" s="16" t="s">
        <v>6146</v>
      </c>
      <c r="H1612" s="20" t="s">
        <v>229</v>
      </c>
      <c r="I1612" s="21" t="s">
        <v>70</v>
      </c>
      <c r="J1612" s="22" t="s">
        <v>664</v>
      </c>
      <c r="K1612" s="23">
        <v>61.0</v>
      </c>
      <c r="L1612" s="24">
        <v>31.0</v>
      </c>
      <c r="M1612" s="24" t="str">
        <f>IFERROR(VLOOKUP(D1612,'Chủ đề bài nguồn'!$A$2:$C$735,3,0),"Khác")</f>
        <v>Tiết kiệm &amp; lãi suất tiền gửi</v>
      </c>
      <c r="N1612" s="24"/>
    </row>
    <row r="1613">
      <c r="A1613" s="15">
        <v>1611.0</v>
      </c>
      <c r="B1613" s="16" t="s">
        <v>464</v>
      </c>
      <c r="C1613" s="18" t="s">
        <v>1835</v>
      </c>
      <c r="D1613" s="16" t="s">
        <v>1529</v>
      </c>
      <c r="E1613" s="16" t="s">
        <v>6147</v>
      </c>
      <c r="F1613" s="16" t="s">
        <v>6148</v>
      </c>
      <c r="G1613" s="16" t="s">
        <v>6131</v>
      </c>
      <c r="H1613" s="20" t="s">
        <v>229</v>
      </c>
      <c r="I1613" s="21" t="s">
        <v>70</v>
      </c>
      <c r="J1613" s="22" t="s">
        <v>1073</v>
      </c>
      <c r="K1613" s="23">
        <v>61.0</v>
      </c>
      <c r="L1613" s="24">
        <v>31.0</v>
      </c>
      <c r="M1613" s="24" t="str">
        <f>IFERROR(VLOOKUP(D1613,'Chủ đề bài nguồn'!$A$2:$C$735,3,0),"Khác")</f>
        <v>Đầu tư, CCTG, trái phiếu, vàng</v>
      </c>
      <c r="N1613" s="24"/>
    </row>
    <row r="1614">
      <c r="A1614" s="15">
        <v>1612.0</v>
      </c>
      <c r="B1614" s="39" t="s">
        <v>464</v>
      </c>
      <c r="C1614" s="18" t="s">
        <v>1835</v>
      </c>
      <c r="D1614" s="39" t="s">
        <v>2047</v>
      </c>
      <c r="E1614" s="16" t="s">
        <v>6149</v>
      </c>
      <c r="F1614" s="16" t="s">
        <v>6150</v>
      </c>
      <c r="G1614" s="16" t="s">
        <v>6151</v>
      </c>
      <c r="H1614" s="20" t="s">
        <v>229</v>
      </c>
      <c r="I1614" s="21" t="s">
        <v>70</v>
      </c>
      <c r="J1614" s="22" t="s">
        <v>71</v>
      </c>
      <c r="K1614" s="23">
        <v>61.0</v>
      </c>
      <c r="L1614" s="24">
        <v>31.0</v>
      </c>
      <c r="M1614" s="24" t="str">
        <f>IFERROR(VLOOKUP(D1614,'Chủ đề bài nguồn'!$A$2:$C$735,3,0),"Khác")</f>
        <v>Ngoại tệ &amp; chuyển tiền quốc tế</v>
      </c>
      <c r="N1614" s="24"/>
    </row>
    <row r="1615">
      <c r="A1615" s="15">
        <v>1613.0</v>
      </c>
      <c r="B1615" s="39" t="s">
        <v>464</v>
      </c>
      <c r="C1615" s="18" t="s">
        <v>1835</v>
      </c>
      <c r="D1615" s="39" t="s">
        <v>2982</v>
      </c>
      <c r="E1615" s="16" t="s">
        <v>3919</v>
      </c>
      <c r="F1615" s="16" t="s">
        <v>6152</v>
      </c>
      <c r="G1615" s="16" t="s">
        <v>6146</v>
      </c>
      <c r="H1615" s="20" t="s">
        <v>229</v>
      </c>
      <c r="I1615" s="21" t="s">
        <v>70</v>
      </c>
      <c r="J1615" s="22" t="s">
        <v>619</v>
      </c>
      <c r="K1615" s="23">
        <v>61.0</v>
      </c>
      <c r="L1615" s="24">
        <v>31.0</v>
      </c>
      <c r="M1615" s="24" t="str">
        <f>IFERROR(VLOOKUP(D1615,'Chủ đề bài nguồn'!$A$2:$C$735,3,0),"Khác")</f>
        <v>Ưu đãi, du lịch &amp; đời sống</v>
      </c>
      <c r="N1615" s="24"/>
    </row>
    <row r="1616">
      <c r="A1616" s="15">
        <v>1614.0</v>
      </c>
      <c r="B1616" s="39" t="s">
        <v>464</v>
      </c>
      <c r="C1616" s="18" t="s">
        <v>1835</v>
      </c>
      <c r="D1616" s="39" t="s">
        <v>3025</v>
      </c>
      <c r="E1616" s="16" t="s">
        <v>6153</v>
      </c>
      <c r="F1616" s="16" t="s">
        <v>6154</v>
      </c>
      <c r="G1616" s="16" t="s">
        <v>6131</v>
      </c>
      <c r="H1616" s="20" t="s">
        <v>229</v>
      </c>
      <c r="I1616" s="21" t="s">
        <v>70</v>
      </c>
      <c r="J1616" s="22" t="s">
        <v>4010</v>
      </c>
      <c r="K1616" s="23">
        <v>61.0</v>
      </c>
      <c r="L1616" s="24">
        <v>31.0</v>
      </c>
      <c r="M1616" s="24" t="str">
        <f>IFERROR(VLOOKUP(D1616,'Chủ đề bài nguồn'!$A$2:$C$735,3,0),"Khác")</f>
        <v>Doanh nghiệp (tài khoản, vay, tài chính)</v>
      </c>
      <c r="N1616" s="24"/>
    </row>
    <row r="1617">
      <c r="A1617" s="15">
        <v>1615.0</v>
      </c>
      <c r="B1617" s="39" t="s">
        <v>464</v>
      </c>
      <c r="C1617" s="18" t="s">
        <v>1835</v>
      </c>
      <c r="D1617" s="39" t="s">
        <v>3051</v>
      </c>
      <c r="E1617" s="16" t="s">
        <v>6155</v>
      </c>
      <c r="F1617" s="16" t="s">
        <v>6156</v>
      </c>
      <c r="G1617" s="16" t="s">
        <v>6131</v>
      </c>
      <c r="H1617" s="20" t="s">
        <v>229</v>
      </c>
      <c r="I1617" s="21" t="s">
        <v>70</v>
      </c>
      <c r="J1617" s="22" t="s">
        <v>71</v>
      </c>
      <c r="K1617" s="23">
        <v>61.0</v>
      </c>
      <c r="L1617" s="24">
        <v>31.0</v>
      </c>
      <c r="M1617" s="24" t="str">
        <f>IFERROR(VLOOKUP(D1617,'Chủ đề bài nguồn'!$A$2:$C$735,3,0),"Khác")</f>
        <v>Ngoại tệ &amp; chuyển tiền quốc tế</v>
      </c>
      <c r="N1617" s="24"/>
    </row>
    <row r="1618">
      <c r="A1618" s="15">
        <v>1616.0</v>
      </c>
      <c r="B1618" s="39" t="s">
        <v>464</v>
      </c>
      <c r="C1618" s="18" t="s">
        <v>1835</v>
      </c>
      <c r="D1618" s="39" t="s">
        <v>2156</v>
      </c>
      <c r="E1618" s="16" t="s">
        <v>6157</v>
      </c>
      <c r="F1618" s="16" t="s">
        <v>6158</v>
      </c>
      <c r="G1618" s="16" t="s">
        <v>6046</v>
      </c>
      <c r="H1618" s="20" t="s">
        <v>229</v>
      </c>
      <c r="I1618" s="21" t="s">
        <v>70</v>
      </c>
      <c r="J1618" s="22" t="s">
        <v>5492</v>
      </c>
      <c r="K1618" s="23">
        <v>61.0</v>
      </c>
      <c r="L1618" s="24">
        <v>31.0</v>
      </c>
      <c r="M1618" s="24" t="str">
        <f>IFERROR(VLOOKUP(D1618,'Chủ đề bài nguồn'!$A$2:$C$735,3,0),"Khác")</f>
        <v>Đầu tư, CCTG, trái phiếu, vàng</v>
      </c>
      <c r="N1618" s="24"/>
    </row>
    <row r="1619">
      <c r="A1619" s="15">
        <v>1617.0</v>
      </c>
      <c r="B1619" s="39" t="s">
        <v>464</v>
      </c>
      <c r="C1619" s="18" t="s">
        <v>1835</v>
      </c>
      <c r="D1619" s="39" t="s">
        <v>3130</v>
      </c>
      <c r="E1619" s="16" t="s">
        <v>4461</v>
      </c>
      <c r="F1619" s="16" t="s">
        <v>4462</v>
      </c>
      <c r="G1619" s="16" t="s">
        <v>6159</v>
      </c>
      <c r="H1619" s="20" t="s">
        <v>229</v>
      </c>
      <c r="I1619" s="21" t="s">
        <v>70</v>
      </c>
      <c r="J1619" s="22" t="s">
        <v>6133</v>
      </c>
      <c r="K1619" s="23">
        <v>61.0</v>
      </c>
      <c r="L1619" s="24">
        <v>31.0</v>
      </c>
      <c r="M1619" s="24" t="str">
        <f>IFERROR(VLOOKUP(D1619,'Chủ đề bài nguồn'!$A$2:$C$735,3,0),"Khác")</f>
        <v>Đầu tư, CCTG, trái phiếu, vàng</v>
      </c>
      <c r="N1619" s="24"/>
    </row>
    <row r="1620">
      <c r="A1620" s="15">
        <v>1618.0</v>
      </c>
      <c r="B1620" s="16" t="s">
        <v>1122</v>
      </c>
      <c r="C1620" s="18" t="s">
        <v>2190</v>
      </c>
      <c r="D1620" s="16" t="s">
        <v>3226</v>
      </c>
      <c r="E1620" s="16" t="s">
        <v>6160</v>
      </c>
      <c r="F1620" s="16" t="s">
        <v>6161</v>
      </c>
      <c r="G1620" s="16" t="s">
        <v>6162</v>
      </c>
      <c r="H1620" s="20" t="s">
        <v>69</v>
      </c>
      <c r="I1620" s="21" t="s">
        <v>70</v>
      </c>
      <c r="J1620" s="22" t="s">
        <v>71</v>
      </c>
      <c r="K1620" s="23">
        <v>62.0</v>
      </c>
      <c r="L1620" s="24">
        <v>11.0</v>
      </c>
      <c r="M1620" s="24" t="str">
        <f>IFERROR(VLOOKUP(D1620,'Chủ đề bài nguồn'!$A$2:$C$735,3,0),"Khác")</f>
        <v>Tiết kiệm &amp; lãi suất tiền gửi</v>
      </c>
      <c r="N1620" s="24"/>
    </row>
    <row r="1621">
      <c r="A1621" s="15">
        <v>1619.0</v>
      </c>
      <c r="B1621" s="16" t="s">
        <v>1122</v>
      </c>
      <c r="C1621" s="18" t="s">
        <v>2190</v>
      </c>
      <c r="D1621" s="16" t="s">
        <v>1212</v>
      </c>
      <c r="E1621" s="16" t="s">
        <v>5673</v>
      </c>
      <c r="F1621" s="16" t="s">
        <v>6163</v>
      </c>
      <c r="G1621" s="16" t="s">
        <v>6164</v>
      </c>
      <c r="H1621" s="20" t="s">
        <v>69</v>
      </c>
      <c r="I1621" s="21" t="s">
        <v>70</v>
      </c>
      <c r="J1621" s="22" t="s">
        <v>71</v>
      </c>
      <c r="K1621" s="23">
        <v>62.0</v>
      </c>
      <c r="L1621" s="24">
        <v>11.0</v>
      </c>
      <c r="M1621" s="24" t="str">
        <f>IFERROR(VLOOKUP(D1621,'Chủ đề bài nguồn'!$A$2:$C$735,3,0),"Khác")</f>
        <v>Tiết kiệm &amp; lãi suất tiền gửi</v>
      </c>
      <c r="N1621" s="24"/>
    </row>
    <row r="1622">
      <c r="A1622" s="15">
        <v>1620.0</v>
      </c>
      <c r="B1622" s="16" t="s">
        <v>1122</v>
      </c>
      <c r="C1622" s="18" t="s">
        <v>4126</v>
      </c>
      <c r="D1622" s="16" t="s">
        <v>2127</v>
      </c>
      <c r="E1622" s="16" t="s">
        <v>6165</v>
      </c>
      <c r="F1622" s="16" t="s">
        <v>6166</v>
      </c>
      <c r="G1622" s="16" t="s">
        <v>6167</v>
      </c>
      <c r="H1622" s="20" t="s">
        <v>69</v>
      </c>
      <c r="I1622" s="21" t="s">
        <v>70</v>
      </c>
      <c r="J1622" s="22" t="s">
        <v>71</v>
      </c>
      <c r="K1622" s="23">
        <v>62.0</v>
      </c>
      <c r="L1622" s="24">
        <v>11.0</v>
      </c>
      <c r="M1622" s="24" t="str">
        <f>IFERROR(VLOOKUP(D1622,'Chủ đề bài nguồn'!$A$2:$C$735,3,0),"Khác")</f>
        <v>Vay tiêu dùng &amp; tín chấp</v>
      </c>
      <c r="N1622" s="24"/>
    </row>
    <row r="1623">
      <c r="A1623" s="15">
        <v>1621.0</v>
      </c>
      <c r="B1623" s="16" t="s">
        <v>1122</v>
      </c>
      <c r="C1623" s="18" t="s">
        <v>4126</v>
      </c>
      <c r="D1623" s="16" t="s">
        <v>2932</v>
      </c>
      <c r="E1623" s="16" t="s">
        <v>6168</v>
      </c>
      <c r="F1623" s="16" t="s">
        <v>6169</v>
      </c>
      <c r="G1623" s="16" t="s">
        <v>6170</v>
      </c>
      <c r="H1623" s="20" t="s">
        <v>69</v>
      </c>
      <c r="I1623" s="21" t="s">
        <v>70</v>
      </c>
      <c r="J1623" s="22" t="s">
        <v>6171</v>
      </c>
      <c r="K1623" s="23">
        <v>62.0</v>
      </c>
      <c r="L1623" s="24">
        <v>11.0</v>
      </c>
      <c r="M1623" s="24" t="str">
        <f>IFERROR(VLOOKUP(D1623,'Chủ đề bài nguồn'!$A$2:$C$735,3,0),"Khác")</f>
        <v>Tiết kiệm &amp; lãi suất tiền gửi</v>
      </c>
      <c r="N1623" s="24"/>
    </row>
    <row r="1624">
      <c r="A1624" s="15">
        <v>1622.0</v>
      </c>
      <c r="B1624" s="16" t="s">
        <v>1122</v>
      </c>
      <c r="C1624" s="18" t="s">
        <v>4126</v>
      </c>
      <c r="D1624" s="16" t="s">
        <v>2862</v>
      </c>
      <c r="E1624" s="16" t="s">
        <v>6172</v>
      </c>
      <c r="F1624" s="16" t="s">
        <v>6173</v>
      </c>
      <c r="G1624" s="16" t="s">
        <v>6174</v>
      </c>
      <c r="H1624" s="20" t="s">
        <v>69</v>
      </c>
      <c r="I1624" s="21" t="s">
        <v>70</v>
      </c>
      <c r="J1624" s="22" t="s">
        <v>71</v>
      </c>
      <c r="K1624" s="23">
        <v>62.0</v>
      </c>
      <c r="L1624" s="24">
        <v>11.0</v>
      </c>
      <c r="M1624" s="24" t="str">
        <f>IFERROR(VLOOKUP(D1624,'Chủ đề bài nguồn'!$A$2:$C$735,3,0),"Khác")</f>
        <v>Tiết kiệm &amp; lãi suất tiền gửi</v>
      </c>
      <c r="N1624" s="24"/>
    </row>
    <row r="1625">
      <c r="A1625" s="15">
        <v>1623.0</v>
      </c>
      <c r="B1625" s="16" t="s">
        <v>1122</v>
      </c>
      <c r="C1625" s="18" t="s">
        <v>4126</v>
      </c>
      <c r="D1625" s="16" t="s">
        <v>2771</v>
      </c>
      <c r="E1625" s="16" t="s">
        <v>4305</v>
      </c>
      <c r="F1625" s="16" t="s">
        <v>6175</v>
      </c>
      <c r="G1625" s="16" t="s">
        <v>6176</v>
      </c>
      <c r="H1625" s="20" t="s">
        <v>69</v>
      </c>
      <c r="I1625" s="21" t="s">
        <v>70</v>
      </c>
      <c r="J1625" s="22" t="s">
        <v>71</v>
      </c>
      <c r="K1625" s="23">
        <v>62.0</v>
      </c>
      <c r="L1625" s="24">
        <v>11.0</v>
      </c>
      <c r="M1625" s="24" t="str">
        <f>IFERROR(VLOOKUP(D1625,'Chủ đề bài nguồn'!$A$2:$C$735,3,0),"Khác")</f>
        <v>Đầu tư, CCTG, trái phiếu, vàng</v>
      </c>
      <c r="N1625" s="24"/>
    </row>
    <row r="1626">
      <c r="A1626" s="15">
        <v>1624.0</v>
      </c>
      <c r="B1626" s="16" t="s">
        <v>1122</v>
      </c>
      <c r="C1626" s="18" t="s">
        <v>4126</v>
      </c>
      <c r="D1626" s="16" t="s">
        <v>3039</v>
      </c>
      <c r="E1626" s="16" t="s">
        <v>6177</v>
      </c>
      <c r="F1626" s="16" t="s">
        <v>6178</v>
      </c>
      <c r="G1626" s="16" t="s">
        <v>6179</v>
      </c>
      <c r="H1626" s="20" t="s">
        <v>69</v>
      </c>
      <c r="I1626" s="21" t="s">
        <v>70</v>
      </c>
      <c r="J1626" s="22" t="s">
        <v>71</v>
      </c>
      <c r="K1626" s="23">
        <v>62.0</v>
      </c>
      <c r="L1626" s="24">
        <v>11.0</v>
      </c>
      <c r="M1626" s="24" t="str">
        <f>IFERROR(VLOOKUP(D1626,'Chủ đề bài nguồn'!$A$2:$C$735,3,0),"Khác")</f>
        <v>Tiết kiệm &amp; lãi suất tiền gửi</v>
      </c>
      <c r="N1626" s="24"/>
    </row>
    <row r="1627">
      <c r="A1627" s="15">
        <v>1625.0</v>
      </c>
      <c r="B1627" s="16" t="s">
        <v>1122</v>
      </c>
      <c r="C1627" s="18" t="s">
        <v>4126</v>
      </c>
      <c r="D1627" s="16" t="s">
        <v>2309</v>
      </c>
      <c r="E1627" s="16" t="s">
        <v>6180</v>
      </c>
      <c r="F1627" s="16" t="s">
        <v>6181</v>
      </c>
      <c r="G1627" s="16" t="s">
        <v>6176</v>
      </c>
      <c r="H1627" s="20" t="s">
        <v>69</v>
      </c>
      <c r="I1627" s="21" t="s">
        <v>70</v>
      </c>
      <c r="J1627" s="22" t="s">
        <v>71</v>
      </c>
      <c r="K1627" s="23">
        <v>62.0</v>
      </c>
      <c r="L1627" s="24">
        <v>11.0</v>
      </c>
      <c r="M1627" s="24" t="str">
        <f>IFERROR(VLOOKUP(D1627,'Chủ đề bài nguồn'!$A$2:$C$735,3,0),"Khác")</f>
        <v>Tiết kiệm &amp; lãi suất tiền gửi</v>
      </c>
      <c r="N1627" s="24"/>
    </row>
    <row r="1628">
      <c r="A1628" s="15">
        <v>1626.0</v>
      </c>
      <c r="B1628" s="39" t="s">
        <v>1122</v>
      </c>
      <c r="C1628" s="18" t="s">
        <v>4126</v>
      </c>
      <c r="D1628" s="39" t="s">
        <v>1686</v>
      </c>
      <c r="E1628" s="16" t="s">
        <v>5653</v>
      </c>
      <c r="F1628" s="16" t="s">
        <v>6182</v>
      </c>
      <c r="G1628" s="16" t="s">
        <v>6183</v>
      </c>
      <c r="H1628" s="20" t="s">
        <v>69</v>
      </c>
      <c r="I1628" s="21" t="s">
        <v>70</v>
      </c>
      <c r="J1628" s="22" t="s">
        <v>71</v>
      </c>
      <c r="K1628" s="23">
        <v>62.0</v>
      </c>
      <c r="L1628" s="24">
        <v>11.0</v>
      </c>
      <c r="M1628" s="24" t="str">
        <f>IFERROR(VLOOKUP(D1628,'Chủ đề bài nguồn'!$A$2:$C$735,3,0),"Khác")</f>
        <v>Đầu tư, CCTG, trái phiếu, vàng</v>
      </c>
      <c r="N1628" s="24"/>
    </row>
    <row r="1629">
      <c r="A1629" s="15">
        <v>1627.0</v>
      </c>
      <c r="B1629" s="39" t="s">
        <v>1122</v>
      </c>
      <c r="C1629" s="18" t="s">
        <v>4126</v>
      </c>
      <c r="D1629" s="39" t="s">
        <v>1799</v>
      </c>
      <c r="E1629" s="16" t="s">
        <v>6184</v>
      </c>
      <c r="F1629" s="16" t="s">
        <v>6185</v>
      </c>
      <c r="G1629" s="16" t="s">
        <v>6186</v>
      </c>
      <c r="H1629" s="20" t="s">
        <v>69</v>
      </c>
      <c r="I1629" s="21" t="s">
        <v>70</v>
      </c>
      <c r="J1629" s="22" t="s">
        <v>71</v>
      </c>
      <c r="K1629" s="23">
        <v>62.0</v>
      </c>
      <c r="L1629" s="24">
        <v>11.0</v>
      </c>
      <c r="M1629" s="24" t="str">
        <f>IFERROR(VLOOKUP(D1629,'Chủ đề bài nguồn'!$A$2:$C$735,3,0),"Khác")</f>
        <v>Tài khoản &amp; ngân hàng số</v>
      </c>
      <c r="N1629" s="24"/>
    </row>
    <row r="1630">
      <c r="A1630" s="15">
        <v>1628.0</v>
      </c>
      <c r="B1630" s="16" t="s">
        <v>1122</v>
      </c>
      <c r="C1630" s="18" t="s">
        <v>2190</v>
      </c>
      <c r="D1630" s="16" t="s">
        <v>2874</v>
      </c>
      <c r="E1630" s="16" t="s">
        <v>5688</v>
      </c>
      <c r="F1630" s="16" t="s">
        <v>6187</v>
      </c>
      <c r="G1630" s="16" t="s">
        <v>6188</v>
      </c>
      <c r="H1630" s="20" t="s">
        <v>155</v>
      </c>
      <c r="I1630" s="21" t="s">
        <v>70</v>
      </c>
      <c r="J1630" s="22" t="s">
        <v>71</v>
      </c>
      <c r="K1630" s="23">
        <v>62.0</v>
      </c>
      <c r="L1630" s="24">
        <v>21.0</v>
      </c>
      <c r="M1630" s="24" t="str">
        <f>IFERROR(VLOOKUP(D1630,'Chủ đề bài nguồn'!$A$2:$C$735,3,0),"Khác")</f>
        <v>Tiết kiệm &amp; lãi suất tiền gửi</v>
      </c>
      <c r="N1630" s="24"/>
    </row>
    <row r="1631">
      <c r="A1631" s="15">
        <v>1629.0</v>
      </c>
      <c r="B1631" s="16" t="s">
        <v>1122</v>
      </c>
      <c r="C1631" s="18" t="s">
        <v>4126</v>
      </c>
      <c r="D1631" s="16" t="s">
        <v>3002</v>
      </c>
      <c r="E1631" s="16" t="s">
        <v>6189</v>
      </c>
      <c r="F1631" s="16" t="s">
        <v>6190</v>
      </c>
      <c r="G1631" s="16" t="s">
        <v>6191</v>
      </c>
      <c r="H1631" s="20" t="s">
        <v>155</v>
      </c>
      <c r="I1631" s="21" t="s">
        <v>70</v>
      </c>
      <c r="J1631" s="22" t="s">
        <v>71</v>
      </c>
      <c r="K1631" s="23">
        <v>62.0</v>
      </c>
      <c r="L1631" s="24">
        <v>21.0</v>
      </c>
      <c r="M1631" s="24" t="str">
        <f>IFERROR(VLOOKUP(D1631,'Chủ đề bài nguồn'!$A$2:$C$735,3,0),"Khác")</f>
        <v>Tiết kiệm &amp; lãi suất tiền gửi</v>
      </c>
      <c r="N1631" s="24"/>
    </row>
    <row r="1632">
      <c r="A1632" s="15">
        <v>1630.0</v>
      </c>
      <c r="B1632" s="16" t="s">
        <v>1122</v>
      </c>
      <c r="C1632" s="18" t="s">
        <v>4126</v>
      </c>
      <c r="D1632" s="16" t="s">
        <v>1128</v>
      </c>
      <c r="E1632" s="16" t="s">
        <v>5650</v>
      </c>
      <c r="F1632" s="16" t="s">
        <v>6192</v>
      </c>
      <c r="G1632" s="16" t="s">
        <v>6193</v>
      </c>
      <c r="H1632" s="20" t="s">
        <v>155</v>
      </c>
      <c r="I1632" s="21" t="s">
        <v>70</v>
      </c>
      <c r="J1632" s="22" t="s">
        <v>71</v>
      </c>
      <c r="K1632" s="23">
        <v>62.0</v>
      </c>
      <c r="L1632" s="24">
        <v>21.0</v>
      </c>
      <c r="M1632" s="24" t="str">
        <f>IFERROR(VLOOKUP(D1632,'Chủ đề bài nguồn'!$A$2:$C$735,3,0),"Khác")</f>
        <v>Tiết kiệm &amp; lãi suất tiền gửi</v>
      </c>
      <c r="N1632" s="24"/>
    </row>
    <row r="1633">
      <c r="A1633" s="15">
        <v>1631.0</v>
      </c>
      <c r="B1633" s="16" t="s">
        <v>1122</v>
      </c>
      <c r="C1633" s="18" t="s">
        <v>4126</v>
      </c>
      <c r="D1633" s="16" t="s">
        <v>3142</v>
      </c>
      <c r="E1633" s="16" t="s">
        <v>6194</v>
      </c>
      <c r="F1633" s="16" t="s">
        <v>6195</v>
      </c>
      <c r="G1633" s="16" t="s">
        <v>6196</v>
      </c>
      <c r="H1633" s="20" t="s">
        <v>155</v>
      </c>
      <c r="I1633" s="21" t="s">
        <v>70</v>
      </c>
      <c r="J1633" s="22" t="s">
        <v>71</v>
      </c>
      <c r="K1633" s="23">
        <v>62.0</v>
      </c>
      <c r="L1633" s="24">
        <v>21.0</v>
      </c>
      <c r="M1633" s="24" t="str">
        <f>IFERROR(VLOOKUP(D1633,'Chủ đề bài nguồn'!$A$2:$C$735,3,0),"Khác")</f>
        <v>Đầu tư, CCTG, trái phiếu, vàng</v>
      </c>
      <c r="N1633" s="24"/>
    </row>
    <row r="1634">
      <c r="A1634" s="15">
        <v>1632.0</v>
      </c>
      <c r="B1634" s="16" t="s">
        <v>1122</v>
      </c>
      <c r="C1634" s="18" t="s">
        <v>4126</v>
      </c>
      <c r="D1634" s="16" t="s">
        <v>2829</v>
      </c>
      <c r="E1634" s="16" t="s">
        <v>2001</v>
      </c>
      <c r="F1634" s="16" t="s">
        <v>6197</v>
      </c>
      <c r="G1634" s="16" t="s">
        <v>6198</v>
      </c>
      <c r="H1634" s="20" t="s">
        <v>155</v>
      </c>
      <c r="I1634" s="21" t="s">
        <v>70</v>
      </c>
      <c r="J1634" s="22" t="s">
        <v>71</v>
      </c>
      <c r="K1634" s="23">
        <v>62.0</v>
      </c>
      <c r="L1634" s="24">
        <v>21.0</v>
      </c>
      <c r="M1634" s="24" t="str">
        <f>IFERROR(VLOOKUP(D1634,'Chủ đề bài nguồn'!$A$2:$C$735,3,0),"Khác")</f>
        <v>Đầu tư, CCTG, trái phiếu, vàng</v>
      </c>
      <c r="N1634" s="24"/>
    </row>
    <row r="1635">
      <c r="A1635" s="15">
        <v>1633.0</v>
      </c>
      <c r="B1635" s="16" t="s">
        <v>1122</v>
      </c>
      <c r="C1635" s="18" t="s">
        <v>4126</v>
      </c>
      <c r="D1635" s="16" t="s">
        <v>3105</v>
      </c>
      <c r="E1635" s="16" t="s">
        <v>6199</v>
      </c>
      <c r="F1635" s="16" t="s">
        <v>6200</v>
      </c>
      <c r="G1635" s="16" t="s">
        <v>6201</v>
      </c>
      <c r="H1635" s="20" t="s">
        <v>155</v>
      </c>
      <c r="I1635" s="21" t="s">
        <v>70</v>
      </c>
      <c r="J1635" s="22" t="s">
        <v>71</v>
      </c>
      <c r="K1635" s="23">
        <v>62.0</v>
      </c>
      <c r="L1635" s="24">
        <v>21.0</v>
      </c>
      <c r="M1635" s="24" t="str">
        <f>IFERROR(VLOOKUP(D1635,'Chủ đề bài nguồn'!$A$2:$C$735,3,0),"Khác")</f>
        <v>Thẻ ATM &amp; thẻ ghi nợ</v>
      </c>
      <c r="N1635" s="24"/>
    </row>
    <row r="1636">
      <c r="A1636" s="15">
        <v>1634.0</v>
      </c>
      <c r="B1636" s="16" t="s">
        <v>1122</v>
      </c>
      <c r="C1636" s="18" t="s">
        <v>4126</v>
      </c>
      <c r="D1636" s="16" t="s">
        <v>2768</v>
      </c>
      <c r="E1636" s="16" t="s">
        <v>6202</v>
      </c>
      <c r="F1636" s="16" t="s">
        <v>6203</v>
      </c>
      <c r="G1636" s="16" t="s">
        <v>6204</v>
      </c>
      <c r="H1636" s="20" t="s">
        <v>155</v>
      </c>
      <c r="I1636" s="21" t="s">
        <v>70</v>
      </c>
      <c r="J1636" s="22" t="s">
        <v>71</v>
      </c>
      <c r="K1636" s="23">
        <v>62.0</v>
      </c>
      <c r="L1636" s="24">
        <v>21.0</v>
      </c>
      <c r="M1636" s="24" t="str">
        <f>IFERROR(VLOOKUP(D1636,'Chủ đề bài nguồn'!$A$2:$C$735,3,0),"Khác")</f>
        <v>Đầu tư, CCTG, trái phiếu, vàng</v>
      </c>
      <c r="N1636" s="24"/>
    </row>
    <row r="1637">
      <c r="A1637" s="15">
        <v>1635.0</v>
      </c>
      <c r="B1637" s="16" t="s">
        <v>1122</v>
      </c>
      <c r="C1637" s="18" t="s">
        <v>4126</v>
      </c>
      <c r="D1637" s="16" t="s">
        <v>2873</v>
      </c>
      <c r="E1637" s="16" t="s">
        <v>6205</v>
      </c>
      <c r="F1637" s="16" t="s">
        <v>6206</v>
      </c>
      <c r="G1637" s="16" t="s">
        <v>6207</v>
      </c>
      <c r="H1637" s="20" t="s">
        <v>155</v>
      </c>
      <c r="I1637" s="21" t="s">
        <v>70</v>
      </c>
      <c r="J1637" s="22" t="s">
        <v>71</v>
      </c>
      <c r="K1637" s="23">
        <v>62.0</v>
      </c>
      <c r="L1637" s="24">
        <v>21.0</v>
      </c>
      <c r="M1637" s="24" t="str">
        <f>IFERROR(VLOOKUP(D1637,'Chủ đề bài nguồn'!$A$2:$C$735,3,0),"Khác")</f>
        <v>Tiết kiệm &amp; lãi suất tiền gửi</v>
      </c>
      <c r="N1637" s="24"/>
    </row>
    <row r="1638">
      <c r="A1638" s="15">
        <v>1636.0</v>
      </c>
      <c r="B1638" s="16" t="s">
        <v>1122</v>
      </c>
      <c r="C1638" s="18" t="s">
        <v>4126</v>
      </c>
      <c r="D1638" s="16" t="s">
        <v>3118</v>
      </c>
      <c r="E1638" s="16" t="s">
        <v>6208</v>
      </c>
      <c r="F1638" s="16" t="s">
        <v>6209</v>
      </c>
      <c r="G1638" s="16" t="s">
        <v>6210</v>
      </c>
      <c r="H1638" s="20" t="s">
        <v>155</v>
      </c>
      <c r="I1638" s="21" t="s">
        <v>70</v>
      </c>
      <c r="J1638" s="22" t="s">
        <v>71</v>
      </c>
      <c r="K1638" s="23">
        <v>62.0</v>
      </c>
      <c r="L1638" s="24">
        <v>21.0</v>
      </c>
      <c r="M1638" s="24" t="str">
        <f>IFERROR(VLOOKUP(D1638,'Chủ đề bài nguồn'!$A$2:$C$735,3,0),"Khác")</f>
        <v>Tiết kiệm &amp; lãi suất tiền gửi</v>
      </c>
      <c r="N1638" s="24"/>
    </row>
    <row r="1639">
      <c r="A1639" s="15">
        <v>1637.0</v>
      </c>
      <c r="B1639" s="39" t="s">
        <v>1122</v>
      </c>
      <c r="C1639" s="18" t="s">
        <v>4126</v>
      </c>
      <c r="D1639" s="39" t="s">
        <v>1137</v>
      </c>
      <c r="E1639" s="16" t="s">
        <v>6211</v>
      </c>
      <c r="F1639" s="16" t="s">
        <v>6212</v>
      </c>
      <c r="G1639" s="16" t="s">
        <v>6213</v>
      </c>
      <c r="H1639" s="20" t="s">
        <v>155</v>
      </c>
      <c r="I1639" s="21" t="s">
        <v>70</v>
      </c>
      <c r="J1639" s="22" t="s">
        <v>71</v>
      </c>
      <c r="K1639" s="23">
        <v>62.0</v>
      </c>
      <c r="L1639" s="24">
        <v>21.0</v>
      </c>
      <c r="M1639" s="24" t="str">
        <f>IFERROR(VLOOKUP(D1639,'Chủ đề bài nguồn'!$A$2:$C$735,3,0),"Khác")</f>
        <v>Tiết kiệm &amp; lãi suất tiền gửi</v>
      </c>
      <c r="N1639" s="24"/>
    </row>
    <row r="1640">
      <c r="A1640" s="15">
        <v>1638.0</v>
      </c>
      <c r="B1640" s="39" t="s">
        <v>1122</v>
      </c>
      <c r="C1640" s="18" t="s">
        <v>4126</v>
      </c>
      <c r="D1640" s="39" t="s">
        <v>2970</v>
      </c>
      <c r="E1640" s="16" t="s">
        <v>6214</v>
      </c>
      <c r="F1640" s="16" t="s">
        <v>6215</v>
      </c>
      <c r="G1640" s="16" t="s">
        <v>6216</v>
      </c>
      <c r="H1640" s="20" t="s">
        <v>155</v>
      </c>
      <c r="I1640" s="21" t="s">
        <v>70</v>
      </c>
      <c r="J1640" s="22" t="s">
        <v>619</v>
      </c>
      <c r="K1640" s="23">
        <v>62.0</v>
      </c>
      <c r="L1640" s="24">
        <v>21.0</v>
      </c>
      <c r="M1640" s="24" t="str">
        <f>IFERROR(VLOOKUP(D1640,'Chủ đề bài nguồn'!$A$2:$C$735,3,0),"Khác")</f>
        <v>Quản lý tài chính cá nhân</v>
      </c>
      <c r="N1640" s="24"/>
    </row>
    <row r="1641">
      <c r="A1641" s="15">
        <v>1639.0</v>
      </c>
      <c r="B1641" s="39" t="s">
        <v>1122</v>
      </c>
      <c r="C1641" s="18" t="s">
        <v>2190</v>
      </c>
      <c r="D1641" s="39" t="s">
        <v>3203</v>
      </c>
      <c r="E1641" s="16" t="s">
        <v>6217</v>
      </c>
      <c r="F1641" s="16" t="s">
        <v>6218</v>
      </c>
      <c r="G1641" s="16" t="s">
        <v>6219</v>
      </c>
      <c r="H1641" s="20" t="s">
        <v>229</v>
      </c>
      <c r="I1641" s="21" t="s">
        <v>70</v>
      </c>
      <c r="J1641" s="22" t="s">
        <v>6220</v>
      </c>
      <c r="K1641" s="23">
        <v>62.0</v>
      </c>
      <c r="L1641" s="24">
        <v>31.0</v>
      </c>
      <c r="M1641" s="24" t="str">
        <f>IFERROR(VLOOKUP(D1641,'Chủ đề bài nguồn'!$A$2:$C$735,3,0),"Khác")</f>
        <v>Thẻ tín dụng</v>
      </c>
      <c r="N1641" s="24"/>
    </row>
    <row r="1642">
      <c r="A1642" s="15">
        <v>1640.0</v>
      </c>
      <c r="B1642" s="16" t="s">
        <v>1122</v>
      </c>
      <c r="C1642" s="18" t="s">
        <v>4126</v>
      </c>
      <c r="D1642" s="16" t="s">
        <v>3131</v>
      </c>
      <c r="E1642" s="16" t="s">
        <v>6221</v>
      </c>
      <c r="F1642" s="16" t="s">
        <v>6222</v>
      </c>
      <c r="G1642" s="16" t="s">
        <v>6223</v>
      </c>
      <c r="H1642" s="20" t="s">
        <v>229</v>
      </c>
      <c r="I1642" s="21" t="s">
        <v>70</v>
      </c>
      <c r="J1642" s="22" t="s">
        <v>71</v>
      </c>
      <c r="K1642" s="23">
        <v>62.0</v>
      </c>
      <c r="L1642" s="24">
        <v>31.0</v>
      </c>
      <c r="M1642" s="24" t="str">
        <f>IFERROR(VLOOKUP(D1642,'Chủ đề bài nguồn'!$A$2:$C$735,3,0),"Khác")</f>
        <v>Tiết kiệm &amp; lãi suất tiền gửi</v>
      </c>
      <c r="N1642" s="24"/>
    </row>
    <row r="1643">
      <c r="A1643" s="15">
        <v>1641.0</v>
      </c>
      <c r="B1643" s="16" t="s">
        <v>1122</v>
      </c>
      <c r="C1643" s="18" t="s">
        <v>4126</v>
      </c>
      <c r="D1643" s="16" t="s">
        <v>3020</v>
      </c>
      <c r="E1643" s="16" t="s">
        <v>6224</v>
      </c>
      <c r="F1643" s="16" t="s">
        <v>6225</v>
      </c>
      <c r="G1643" s="16" t="s">
        <v>6226</v>
      </c>
      <c r="H1643" s="20" t="s">
        <v>229</v>
      </c>
      <c r="I1643" s="21" t="s">
        <v>70</v>
      </c>
      <c r="J1643" s="22" t="s">
        <v>71</v>
      </c>
      <c r="K1643" s="23">
        <v>62.0</v>
      </c>
      <c r="L1643" s="24">
        <v>31.0</v>
      </c>
      <c r="M1643" s="24" t="str">
        <f>IFERROR(VLOOKUP(D1643,'Chủ đề bài nguồn'!$A$2:$C$735,3,0),"Khác")</f>
        <v>Thẻ tín dụng</v>
      </c>
      <c r="N1643" s="24"/>
    </row>
    <row r="1644">
      <c r="A1644" s="15">
        <v>1642.0</v>
      </c>
      <c r="B1644" s="16" t="s">
        <v>1122</v>
      </c>
      <c r="C1644" s="18" t="s">
        <v>4126</v>
      </c>
      <c r="D1644" s="16" t="s">
        <v>961</v>
      </c>
      <c r="E1644" s="16" t="s">
        <v>1937</v>
      </c>
      <c r="F1644" s="16" t="s">
        <v>6227</v>
      </c>
      <c r="G1644" s="16" t="s">
        <v>6228</v>
      </c>
      <c r="H1644" s="20" t="s">
        <v>229</v>
      </c>
      <c r="I1644" s="21" t="s">
        <v>70</v>
      </c>
      <c r="J1644" s="22" t="s">
        <v>1073</v>
      </c>
      <c r="K1644" s="23">
        <v>62.0</v>
      </c>
      <c r="L1644" s="24">
        <v>31.0</v>
      </c>
      <c r="M1644" s="24" t="str">
        <f>IFERROR(VLOOKUP(D1644,'Chủ đề bài nguồn'!$A$2:$C$735,3,0),"Khác")</f>
        <v>Đầu tư, CCTG, trái phiếu, vàng</v>
      </c>
      <c r="N1644" s="24"/>
    </row>
    <row r="1645">
      <c r="A1645" s="15">
        <v>1643.0</v>
      </c>
      <c r="B1645" s="16" t="s">
        <v>1122</v>
      </c>
      <c r="C1645" s="18" t="s">
        <v>4126</v>
      </c>
      <c r="D1645" s="16" t="s">
        <v>3180</v>
      </c>
      <c r="E1645" s="16" t="s">
        <v>6229</v>
      </c>
      <c r="F1645" s="16" t="s">
        <v>6230</v>
      </c>
      <c r="G1645" s="16" t="s">
        <v>6231</v>
      </c>
      <c r="H1645" s="20" t="s">
        <v>229</v>
      </c>
      <c r="I1645" s="21" t="s">
        <v>70</v>
      </c>
      <c r="J1645" s="22" t="s">
        <v>71</v>
      </c>
      <c r="K1645" s="23">
        <v>62.0</v>
      </c>
      <c r="L1645" s="24">
        <v>31.0</v>
      </c>
      <c r="M1645" s="24" t="str">
        <f>IFERROR(VLOOKUP(D1645,'Chủ đề bài nguồn'!$A$2:$C$735,3,0),"Khác")</f>
        <v>Thẻ ATM &amp; thẻ ghi nợ</v>
      </c>
      <c r="N1645" s="24"/>
    </row>
    <row r="1646">
      <c r="A1646" s="15">
        <v>1644.0</v>
      </c>
      <c r="B1646" s="16" t="s">
        <v>1128</v>
      </c>
      <c r="C1646" s="18" t="s">
        <v>4161</v>
      </c>
      <c r="D1646" s="16" t="s">
        <v>3013</v>
      </c>
      <c r="E1646" s="16" t="s">
        <v>710</v>
      </c>
      <c r="F1646" s="16" t="s">
        <v>6232</v>
      </c>
      <c r="G1646" s="16" t="s">
        <v>6233</v>
      </c>
      <c r="H1646" s="20" t="s">
        <v>69</v>
      </c>
      <c r="I1646" s="21" t="s">
        <v>70</v>
      </c>
      <c r="J1646" s="22" t="s">
        <v>71</v>
      </c>
      <c r="K1646" s="23">
        <v>63.0</v>
      </c>
      <c r="L1646" s="24">
        <v>10.0</v>
      </c>
      <c r="M1646" s="24" t="str">
        <f>IFERROR(VLOOKUP(D1646,'Chủ đề bài nguồn'!$A$2:$C$735,3,0),"Khác")</f>
        <v>Tiết kiệm &amp; lãi suất tiền gửi</v>
      </c>
      <c r="N1646" s="24"/>
    </row>
    <row r="1647">
      <c r="A1647" s="15">
        <v>1645.0</v>
      </c>
      <c r="B1647" s="16" t="s">
        <v>1128</v>
      </c>
      <c r="C1647" s="18" t="s">
        <v>4161</v>
      </c>
      <c r="D1647" s="16" t="s">
        <v>2862</v>
      </c>
      <c r="E1647" s="16" t="s">
        <v>6172</v>
      </c>
      <c r="F1647" s="16" t="s">
        <v>6234</v>
      </c>
      <c r="G1647" s="16" t="s">
        <v>6233</v>
      </c>
      <c r="H1647" s="20" t="s">
        <v>69</v>
      </c>
      <c r="I1647" s="21" t="s">
        <v>70</v>
      </c>
      <c r="J1647" s="22" t="s">
        <v>71</v>
      </c>
      <c r="K1647" s="23">
        <v>63.0</v>
      </c>
      <c r="L1647" s="24">
        <v>10.0</v>
      </c>
      <c r="M1647" s="24" t="str">
        <f>IFERROR(VLOOKUP(D1647,'Chủ đề bài nguồn'!$A$2:$C$735,3,0),"Khác")</f>
        <v>Tiết kiệm &amp; lãi suất tiền gửi</v>
      </c>
      <c r="N1647" s="24"/>
    </row>
    <row r="1648">
      <c r="A1648" s="15">
        <v>1646.0</v>
      </c>
      <c r="B1648" s="16" t="s">
        <v>1128</v>
      </c>
      <c r="C1648" s="18" t="s">
        <v>4161</v>
      </c>
      <c r="D1648" s="16" t="s">
        <v>2127</v>
      </c>
      <c r="E1648" s="16" t="s">
        <v>6235</v>
      </c>
      <c r="F1648" s="16" t="s">
        <v>6236</v>
      </c>
      <c r="G1648" s="16" t="s">
        <v>6233</v>
      </c>
      <c r="H1648" s="20" t="s">
        <v>69</v>
      </c>
      <c r="I1648" s="21" t="s">
        <v>70</v>
      </c>
      <c r="J1648" s="22" t="s">
        <v>6237</v>
      </c>
      <c r="K1648" s="23">
        <v>63.0</v>
      </c>
      <c r="L1648" s="24">
        <v>10.0</v>
      </c>
      <c r="M1648" s="24" t="str">
        <f>IFERROR(VLOOKUP(D1648,'Chủ đề bài nguồn'!$A$2:$C$735,3,0),"Khác")</f>
        <v>Vay tiêu dùng &amp; tín chấp</v>
      </c>
      <c r="N1648" s="24"/>
    </row>
    <row r="1649">
      <c r="A1649" s="15">
        <v>1647.0</v>
      </c>
      <c r="B1649" s="16" t="s">
        <v>1128</v>
      </c>
      <c r="C1649" s="18" t="s">
        <v>4161</v>
      </c>
      <c r="D1649" s="16" t="s">
        <v>3099</v>
      </c>
      <c r="E1649" s="16" t="s">
        <v>6238</v>
      </c>
      <c r="F1649" s="16" t="s">
        <v>6239</v>
      </c>
      <c r="G1649" s="16" t="s">
        <v>6233</v>
      </c>
      <c r="H1649" s="20" t="s">
        <v>69</v>
      </c>
      <c r="I1649" s="21" t="s">
        <v>70</v>
      </c>
      <c r="J1649" s="22" t="s">
        <v>71</v>
      </c>
      <c r="K1649" s="23">
        <v>63.0</v>
      </c>
      <c r="L1649" s="24">
        <v>10.0</v>
      </c>
      <c r="M1649" s="24" t="str">
        <f>IFERROR(VLOOKUP(D1649,'Chủ đề bài nguồn'!$A$2:$C$735,3,0),"Khác")</f>
        <v>Tiết kiệm &amp; lãi suất tiền gửi</v>
      </c>
      <c r="N1649" s="24"/>
    </row>
    <row r="1650">
      <c r="A1650" s="15">
        <v>1648.0</v>
      </c>
      <c r="B1650" s="16" t="s">
        <v>1128</v>
      </c>
      <c r="C1650" s="18" t="s">
        <v>4161</v>
      </c>
      <c r="D1650" s="16" t="s">
        <v>3020</v>
      </c>
      <c r="E1650" s="16" t="s">
        <v>6224</v>
      </c>
      <c r="F1650" s="16" t="s">
        <v>6240</v>
      </c>
      <c r="G1650" s="16" t="s">
        <v>6233</v>
      </c>
      <c r="H1650" s="20" t="s">
        <v>69</v>
      </c>
      <c r="I1650" s="21" t="s">
        <v>70</v>
      </c>
      <c r="J1650" s="22" t="s">
        <v>71</v>
      </c>
      <c r="K1650" s="23">
        <v>63.0</v>
      </c>
      <c r="L1650" s="24">
        <v>10.0</v>
      </c>
      <c r="M1650" s="24" t="str">
        <f>IFERROR(VLOOKUP(D1650,'Chủ đề bài nguồn'!$A$2:$C$735,3,0),"Khác")</f>
        <v>Thẻ tín dụng</v>
      </c>
      <c r="N1650" s="24"/>
    </row>
    <row r="1651">
      <c r="A1651" s="15">
        <v>1649.0</v>
      </c>
      <c r="B1651" s="16" t="s">
        <v>1128</v>
      </c>
      <c r="C1651" s="18" t="s">
        <v>4161</v>
      </c>
      <c r="D1651" s="16" t="s">
        <v>1122</v>
      </c>
      <c r="E1651" s="16" t="s">
        <v>6241</v>
      </c>
      <c r="F1651" s="16" t="s">
        <v>6242</v>
      </c>
      <c r="G1651" s="16" t="s">
        <v>6233</v>
      </c>
      <c r="H1651" s="20" t="s">
        <v>69</v>
      </c>
      <c r="I1651" s="21" t="s">
        <v>70</v>
      </c>
      <c r="J1651" s="22" t="s">
        <v>71</v>
      </c>
      <c r="K1651" s="23">
        <v>63.0</v>
      </c>
      <c r="L1651" s="24">
        <v>10.0</v>
      </c>
      <c r="M1651" s="24" t="str">
        <f>IFERROR(VLOOKUP(D1651,'Chủ đề bài nguồn'!$A$2:$C$735,3,0),"Khác")</f>
        <v>Tiết kiệm &amp; lãi suất tiền gửi</v>
      </c>
      <c r="N1651" s="24"/>
    </row>
    <row r="1652">
      <c r="A1652" s="15">
        <v>1650.0</v>
      </c>
      <c r="B1652" s="39" t="s">
        <v>1128</v>
      </c>
      <c r="C1652" s="18" t="s">
        <v>4161</v>
      </c>
      <c r="D1652" s="39" t="s">
        <v>3019</v>
      </c>
      <c r="E1652" s="16" t="s">
        <v>6243</v>
      </c>
      <c r="F1652" s="16" t="s">
        <v>6244</v>
      </c>
      <c r="G1652" s="16" t="s">
        <v>6233</v>
      </c>
      <c r="H1652" s="20" t="s">
        <v>69</v>
      </c>
      <c r="I1652" s="21" t="s">
        <v>70</v>
      </c>
      <c r="J1652" s="22" t="s">
        <v>71</v>
      </c>
      <c r="K1652" s="23">
        <v>63.0</v>
      </c>
      <c r="L1652" s="24">
        <v>10.0</v>
      </c>
      <c r="M1652" s="24" t="str">
        <f>IFERROR(VLOOKUP(D1652,'Chủ đề bài nguồn'!$A$2:$C$735,3,0),"Khác")</f>
        <v>Thẻ tín dụng</v>
      </c>
      <c r="N1652" s="24"/>
    </row>
    <row r="1653">
      <c r="A1653" s="15">
        <v>1651.0</v>
      </c>
      <c r="B1653" s="39" t="s">
        <v>1128</v>
      </c>
      <c r="C1653" s="18" t="s">
        <v>4161</v>
      </c>
      <c r="D1653" s="39" t="s">
        <v>1679</v>
      </c>
      <c r="E1653" s="16" t="s">
        <v>6245</v>
      </c>
      <c r="F1653" s="16" t="s">
        <v>6246</v>
      </c>
      <c r="G1653" s="16" t="s">
        <v>6233</v>
      </c>
      <c r="H1653" s="20" t="s">
        <v>69</v>
      </c>
      <c r="I1653" s="21" t="s">
        <v>70</v>
      </c>
      <c r="J1653" s="22" t="s">
        <v>71</v>
      </c>
      <c r="K1653" s="23">
        <v>63.0</v>
      </c>
      <c r="L1653" s="24">
        <v>10.0</v>
      </c>
      <c r="M1653" s="24" t="str">
        <f>IFERROR(VLOOKUP(D1653,'Chủ đề bài nguồn'!$A$2:$C$735,3,0),"Khác")</f>
        <v>Thẻ tín dụng</v>
      </c>
      <c r="N1653" s="24"/>
    </row>
    <row r="1654">
      <c r="A1654" s="15">
        <v>1652.0</v>
      </c>
      <c r="B1654" s="39" t="s">
        <v>1128</v>
      </c>
      <c r="C1654" s="18" t="s">
        <v>4161</v>
      </c>
      <c r="D1654" s="39" t="s">
        <v>850</v>
      </c>
      <c r="E1654" s="16" t="s">
        <v>6247</v>
      </c>
      <c r="F1654" s="16" t="s">
        <v>6248</v>
      </c>
      <c r="G1654" s="16" t="s">
        <v>6233</v>
      </c>
      <c r="H1654" s="20" t="s">
        <v>69</v>
      </c>
      <c r="I1654" s="21" t="s">
        <v>70</v>
      </c>
      <c r="J1654" s="22" t="s">
        <v>71</v>
      </c>
      <c r="K1654" s="23">
        <v>63.0</v>
      </c>
      <c r="L1654" s="24">
        <v>10.0</v>
      </c>
      <c r="M1654" s="24" t="str">
        <f>IFERROR(VLOOKUP(D1654,'Chủ đề bài nguồn'!$A$2:$C$735,3,0),"Khác")</f>
        <v>Tài khoản &amp; ngân hàng số</v>
      </c>
      <c r="N1654" s="24"/>
    </row>
    <row r="1655">
      <c r="A1655" s="15">
        <v>1653.0</v>
      </c>
      <c r="B1655" s="39" t="s">
        <v>1128</v>
      </c>
      <c r="C1655" s="18" t="s">
        <v>4161</v>
      </c>
      <c r="D1655" s="39" t="s">
        <v>1397</v>
      </c>
      <c r="E1655" s="16" t="s">
        <v>6249</v>
      </c>
      <c r="F1655" s="16" t="s">
        <v>6250</v>
      </c>
      <c r="G1655" s="16" t="s">
        <v>6233</v>
      </c>
      <c r="H1655" s="20" t="s">
        <v>69</v>
      </c>
      <c r="I1655" s="21" t="s">
        <v>70</v>
      </c>
      <c r="J1655" s="22" t="s">
        <v>71</v>
      </c>
      <c r="K1655" s="23">
        <v>63.0</v>
      </c>
      <c r="L1655" s="24">
        <v>10.0</v>
      </c>
      <c r="M1655" s="24" t="str">
        <f>IFERROR(VLOOKUP(D1655,'Chủ đề bài nguồn'!$A$2:$C$735,3,0),"Khác")</f>
        <v>Tiết kiệm &amp; lãi suất tiền gửi</v>
      </c>
      <c r="N1655" s="24"/>
    </row>
    <row r="1656">
      <c r="A1656" s="15">
        <v>1654.0</v>
      </c>
      <c r="B1656" s="16" t="s">
        <v>1128</v>
      </c>
      <c r="C1656" s="18" t="s">
        <v>4161</v>
      </c>
      <c r="D1656" s="16" t="s">
        <v>3040</v>
      </c>
      <c r="E1656" s="16" t="s">
        <v>4387</v>
      </c>
      <c r="F1656" s="16" t="s">
        <v>6251</v>
      </c>
      <c r="G1656" s="16" t="s">
        <v>6252</v>
      </c>
      <c r="H1656" s="20" t="s">
        <v>69</v>
      </c>
      <c r="I1656" s="21" t="s">
        <v>70</v>
      </c>
      <c r="J1656" s="22" t="s">
        <v>71</v>
      </c>
      <c r="K1656" s="23">
        <v>63.0</v>
      </c>
      <c r="L1656" s="24">
        <v>10.0</v>
      </c>
      <c r="M1656" s="24" t="str">
        <f>IFERROR(VLOOKUP(D1656,'Chủ đề bài nguồn'!$A$2:$C$735,3,0),"Khác")</f>
        <v>Tiết kiệm &amp; lãi suất tiền gửi</v>
      </c>
      <c r="N1656" s="24"/>
    </row>
    <row r="1657">
      <c r="A1657" s="15">
        <v>1655.0</v>
      </c>
      <c r="B1657" s="16" t="s">
        <v>1128</v>
      </c>
      <c r="C1657" s="18" t="s">
        <v>4161</v>
      </c>
      <c r="D1657" s="16" t="s">
        <v>3135</v>
      </c>
      <c r="E1657" s="16" t="s">
        <v>6253</v>
      </c>
      <c r="F1657" s="16" t="s">
        <v>6254</v>
      </c>
      <c r="G1657" s="16" t="s">
        <v>6233</v>
      </c>
      <c r="H1657" s="20" t="s">
        <v>69</v>
      </c>
      <c r="I1657" s="21" t="s">
        <v>70</v>
      </c>
      <c r="J1657" s="22" t="s">
        <v>71</v>
      </c>
      <c r="K1657" s="23">
        <v>63.0</v>
      </c>
      <c r="L1657" s="24">
        <v>10.0</v>
      </c>
      <c r="M1657" s="24" t="str">
        <f>IFERROR(VLOOKUP(D1657,'Chủ đề bài nguồn'!$A$2:$C$735,3,0),"Khác")</f>
        <v>Vay tiêu dùng &amp; tín chấp</v>
      </c>
      <c r="N1657" s="24"/>
    </row>
    <row r="1658">
      <c r="A1658" s="15">
        <v>1656.0</v>
      </c>
      <c r="B1658" s="16" t="s">
        <v>1128</v>
      </c>
      <c r="C1658" s="18" t="s">
        <v>4161</v>
      </c>
      <c r="D1658" s="16" t="s">
        <v>2816</v>
      </c>
      <c r="E1658" s="16" t="s">
        <v>5956</v>
      </c>
      <c r="F1658" s="16" t="s">
        <v>6255</v>
      </c>
      <c r="G1658" s="16" t="s">
        <v>6233</v>
      </c>
      <c r="H1658" s="20" t="s">
        <v>69</v>
      </c>
      <c r="I1658" s="21" t="s">
        <v>70</v>
      </c>
      <c r="J1658" s="22" t="s">
        <v>71</v>
      </c>
      <c r="K1658" s="23">
        <v>63.0</v>
      </c>
      <c r="L1658" s="24">
        <v>10.0</v>
      </c>
      <c r="M1658" s="24" t="str">
        <f>IFERROR(VLOOKUP(D1658,'Chủ đề bài nguồn'!$A$2:$C$735,3,0),"Khác")</f>
        <v>Vay tiêu dùng &amp; tín chấp</v>
      </c>
      <c r="N1658" s="24"/>
    </row>
    <row r="1659">
      <c r="A1659" s="15">
        <v>1657.0</v>
      </c>
      <c r="B1659" s="16" t="s">
        <v>1128</v>
      </c>
      <c r="C1659" s="18" t="s">
        <v>4161</v>
      </c>
      <c r="D1659" s="16" t="s">
        <v>2797</v>
      </c>
      <c r="E1659" s="16" t="s">
        <v>5969</v>
      </c>
      <c r="F1659" s="16" t="s">
        <v>6256</v>
      </c>
      <c r="G1659" s="16" t="s">
        <v>6233</v>
      </c>
      <c r="H1659" s="20" t="s">
        <v>69</v>
      </c>
      <c r="I1659" s="21" t="s">
        <v>70</v>
      </c>
      <c r="J1659" s="22" t="s">
        <v>71</v>
      </c>
      <c r="K1659" s="23">
        <v>63.0</v>
      </c>
      <c r="L1659" s="24">
        <v>10.0</v>
      </c>
      <c r="M1659" s="24" t="str">
        <f>IFERROR(VLOOKUP(D1659,'Chủ đề bài nguồn'!$A$2:$C$735,3,0),"Khác")</f>
        <v>Tiết kiệm &amp; lãi suất tiền gửi</v>
      </c>
      <c r="N1659" s="24"/>
    </row>
    <row r="1660">
      <c r="A1660" s="15">
        <v>1658.0</v>
      </c>
      <c r="B1660" s="16" t="s">
        <v>1128</v>
      </c>
      <c r="C1660" s="18" t="s">
        <v>4161</v>
      </c>
      <c r="D1660" s="16" t="s">
        <v>1145</v>
      </c>
      <c r="E1660" s="16" t="s">
        <v>6257</v>
      </c>
      <c r="F1660" s="16" t="s">
        <v>6258</v>
      </c>
      <c r="G1660" s="16" t="s">
        <v>6259</v>
      </c>
      <c r="H1660" s="20" t="s">
        <v>69</v>
      </c>
      <c r="I1660" s="21" t="s">
        <v>70</v>
      </c>
      <c r="J1660" s="22" t="s">
        <v>6260</v>
      </c>
      <c r="K1660" s="23">
        <v>63.0</v>
      </c>
      <c r="L1660" s="24">
        <v>11.0</v>
      </c>
      <c r="M1660" s="24" t="str">
        <f>IFERROR(VLOOKUP(D1660,'Chủ đề bài nguồn'!$A$2:$C$735,3,0),"Khác")</f>
        <v>Tiết kiệm &amp; lãi suất tiền gửi</v>
      </c>
      <c r="N1660" s="24"/>
    </row>
    <row r="1661">
      <c r="A1661" s="15">
        <v>1659.0</v>
      </c>
      <c r="B1661" s="16" t="s">
        <v>1128</v>
      </c>
      <c r="C1661" s="18" t="s">
        <v>4161</v>
      </c>
      <c r="D1661" s="16" t="s">
        <v>3002</v>
      </c>
      <c r="E1661" s="16" t="s">
        <v>6261</v>
      </c>
      <c r="F1661" s="16" t="s">
        <v>6262</v>
      </c>
      <c r="G1661" s="16" t="s">
        <v>6233</v>
      </c>
      <c r="H1661" s="20" t="s">
        <v>155</v>
      </c>
      <c r="I1661" s="21" t="s">
        <v>70</v>
      </c>
      <c r="J1661" s="22" t="s">
        <v>71</v>
      </c>
      <c r="K1661" s="23">
        <v>63.0</v>
      </c>
      <c r="L1661" s="24">
        <v>20.0</v>
      </c>
      <c r="M1661" s="24" t="str">
        <f>IFERROR(VLOOKUP(D1661,'Chủ đề bài nguồn'!$A$2:$C$735,3,0),"Khác")</f>
        <v>Tiết kiệm &amp; lãi suất tiền gửi</v>
      </c>
      <c r="N1661" s="24"/>
    </row>
    <row r="1662">
      <c r="A1662" s="15">
        <v>1660.0</v>
      </c>
      <c r="B1662" s="16" t="s">
        <v>1128</v>
      </c>
      <c r="C1662" s="18" t="s">
        <v>4161</v>
      </c>
      <c r="D1662" s="16" t="s">
        <v>735</v>
      </c>
      <c r="E1662" s="16" t="s">
        <v>6263</v>
      </c>
      <c r="F1662" s="16" t="s">
        <v>6264</v>
      </c>
      <c r="G1662" s="16" t="s">
        <v>6233</v>
      </c>
      <c r="H1662" s="20" t="s">
        <v>155</v>
      </c>
      <c r="I1662" s="21" t="s">
        <v>70</v>
      </c>
      <c r="J1662" s="22" t="s">
        <v>71</v>
      </c>
      <c r="K1662" s="23">
        <v>63.0</v>
      </c>
      <c r="L1662" s="24">
        <v>20.0</v>
      </c>
      <c r="M1662" s="24" t="str">
        <f>IFERROR(VLOOKUP(D1662,'Chủ đề bài nguồn'!$A$2:$C$735,3,0),"Khác")</f>
        <v>Vay tiêu dùng &amp; tín chấp</v>
      </c>
      <c r="N1662" s="24"/>
    </row>
    <row r="1663">
      <c r="A1663" s="15">
        <v>1661.0</v>
      </c>
      <c r="B1663" s="16" t="s">
        <v>1128</v>
      </c>
      <c r="C1663" s="18" t="s">
        <v>4161</v>
      </c>
      <c r="D1663" s="16" t="s">
        <v>3138</v>
      </c>
      <c r="E1663" s="16" t="s">
        <v>6265</v>
      </c>
      <c r="F1663" s="16" t="s">
        <v>6266</v>
      </c>
      <c r="G1663" s="16" t="s">
        <v>6233</v>
      </c>
      <c r="H1663" s="20" t="s">
        <v>155</v>
      </c>
      <c r="I1663" s="21" t="s">
        <v>70</v>
      </c>
      <c r="J1663" s="22" t="s">
        <v>71</v>
      </c>
      <c r="K1663" s="23">
        <v>63.0</v>
      </c>
      <c r="L1663" s="24">
        <v>20.0</v>
      </c>
      <c r="M1663" s="24" t="str">
        <f>IFERROR(VLOOKUP(D1663,'Chủ đề bài nguồn'!$A$2:$C$735,3,0),"Khác")</f>
        <v>Tiết kiệm &amp; lãi suất tiền gửi</v>
      </c>
      <c r="N1663" s="24"/>
    </row>
    <row r="1664">
      <c r="A1664" s="15">
        <v>1662.0</v>
      </c>
      <c r="B1664" s="39" t="s">
        <v>1128</v>
      </c>
      <c r="C1664" s="18" t="s">
        <v>4161</v>
      </c>
      <c r="D1664" s="39" t="s">
        <v>949</v>
      </c>
      <c r="E1664" s="16" t="s">
        <v>5921</v>
      </c>
      <c r="F1664" s="16" t="s">
        <v>6267</v>
      </c>
      <c r="G1664" s="16" t="s">
        <v>6268</v>
      </c>
      <c r="H1664" s="20" t="s">
        <v>155</v>
      </c>
      <c r="I1664" s="21" t="s">
        <v>70</v>
      </c>
      <c r="J1664" s="22" t="s">
        <v>71</v>
      </c>
      <c r="K1664" s="23">
        <v>63.0</v>
      </c>
      <c r="L1664" s="24">
        <v>21.0</v>
      </c>
      <c r="M1664" s="24" t="str">
        <f>IFERROR(VLOOKUP(D1664,'Chủ đề bài nguồn'!$A$2:$C$735,3,0),"Khác")</f>
        <v>Đầu tư, CCTG, trái phiếu, vàng</v>
      </c>
      <c r="N1664" s="24"/>
    </row>
    <row r="1665">
      <c r="A1665" s="15">
        <v>1663.0</v>
      </c>
      <c r="B1665" s="16" t="s">
        <v>1128</v>
      </c>
      <c r="C1665" s="18" t="s">
        <v>4161</v>
      </c>
      <c r="D1665" s="16" t="s">
        <v>1892</v>
      </c>
      <c r="E1665" s="16" t="s">
        <v>6269</v>
      </c>
      <c r="F1665" s="16" t="s">
        <v>6270</v>
      </c>
      <c r="G1665" s="16" t="s">
        <v>6271</v>
      </c>
      <c r="H1665" s="20" t="s">
        <v>155</v>
      </c>
      <c r="I1665" s="21" t="s">
        <v>70</v>
      </c>
      <c r="J1665" s="22" t="s">
        <v>71</v>
      </c>
      <c r="K1665" s="23">
        <v>63.0</v>
      </c>
      <c r="L1665" s="24">
        <v>21.0</v>
      </c>
      <c r="M1665" s="24" t="str">
        <f>IFERROR(VLOOKUP(D1665,'Chủ đề bài nguồn'!$A$2:$C$735,3,0),"Khác")</f>
        <v>Tiết kiệm &amp; lãi suất tiền gửi</v>
      </c>
      <c r="N1665" s="24"/>
    </row>
    <row r="1666">
      <c r="A1666" s="15">
        <v>1664.0</v>
      </c>
      <c r="B1666" s="16" t="s">
        <v>1128</v>
      </c>
      <c r="C1666" s="18" t="s">
        <v>4161</v>
      </c>
      <c r="D1666" s="16" t="s">
        <v>1910</v>
      </c>
      <c r="E1666" s="16" t="s">
        <v>1911</v>
      </c>
      <c r="F1666" s="16" t="s">
        <v>6272</v>
      </c>
      <c r="G1666" s="16" t="s">
        <v>6273</v>
      </c>
      <c r="H1666" s="20" t="s">
        <v>155</v>
      </c>
      <c r="I1666" s="21" t="s">
        <v>70</v>
      </c>
      <c r="J1666" s="22" t="s">
        <v>71</v>
      </c>
      <c r="K1666" s="23">
        <v>63.0</v>
      </c>
      <c r="L1666" s="24">
        <v>21.0</v>
      </c>
      <c r="M1666" s="24" t="str">
        <f>IFERROR(VLOOKUP(D1666,'Chủ đề bài nguồn'!$A$2:$C$735,3,0),"Khác")</f>
        <v>Tiết kiệm &amp; lãi suất tiền gửi</v>
      </c>
      <c r="N1666" s="24"/>
    </row>
    <row r="1667">
      <c r="A1667" s="15">
        <v>1665.0</v>
      </c>
      <c r="B1667" s="16" t="s">
        <v>1128</v>
      </c>
      <c r="C1667" s="18" t="s">
        <v>4161</v>
      </c>
      <c r="D1667" s="16" t="s">
        <v>3039</v>
      </c>
      <c r="E1667" s="16" t="s">
        <v>6177</v>
      </c>
      <c r="F1667" s="16" t="s">
        <v>6274</v>
      </c>
      <c r="G1667" s="16" t="s">
        <v>6275</v>
      </c>
      <c r="H1667" s="20" t="s">
        <v>155</v>
      </c>
      <c r="I1667" s="21" t="s">
        <v>70</v>
      </c>
      <c r="J1667" s="22" t="s">
        <v>71</v>
      </c>
      <c r="K1667" s="23">
        <v>63.0</v>
      </c>
      <c r="L1667" s="24">
        <v>21.0</v>
      </c>
      <c r="M1667" s="24" t="str">
        <f>IFERROR(VLOOKUP(D1667,'Chủ đề bài nguồn'!$A$2:$C$735,3,0),"Khác")</f>
        <v>Tiết kiệm &amp; lãi suất tiền gửi</v>
      </c>
      <c r="N1667" s="24"/>
    </row>
    <row r="1668">
      <c r="A1668" s="15">
        <v>1666.0</v>
      </c>
      <c r="B1668" s="16" t="s">
        <v>1128</v>
      </c>
      <c r="C1668" s="18" t="s">
        <v>4161</v>
      </c>
      <c r="D1668" s="16" t="s">
        <v>2719</v>
      </c>
      <c r="E1668" s="16" t="s">
        <v>6276</v>
      </c>
      <c r="F1668" s="16" t="s">
        <v>6277</v>
      </c>
      <c r="G1668" s="16" t="s">
        <v>6278</v>
      </c>
      <c r="H1668" s="20" t="s">
        <v>155</v>
      </c>
      <c r="I1668" s="21" t="s">
        <v>70</v>
      </c>
      <c r="J1668" s="22" t="s">
        <v>71</v>
      </c>
      <c r="K1668" s="23">
        <v>63.0</v>
      </c>
      <c r="L1668" s="24">
        <v>21.0</v>
      </c>
      <c r="M1668" s="24" t="str">
        <f>IFERROR(VLOOKUP(D1668,'Chủ đề bài nguồn'!$A$2:$C$735,3,0),"Khác")</f>
        <v>Tiết kiệm &amp; lãi suất tiền gửi</v>
      </c>
      <c r="N1668" s="24"/>
    </row>
    <row r="1669">
      <c r="A1669" s="15">
        <v>1667.0</v>
      </c>
      <c r="B1669" s="16" t="s">
        <v>1128</v>
      </c>
      <c r="C1669" s="18" t="s">
        <v>2206</v>
      </c>
      <c r="D1669" s="16" t="s">
        <v>2870</v>
      </c>
      <c r="E1669" s="16" t="s">
        <v>6279</v>
      </c>
      <c r="F1669" s="16" t="s">
        <v>6280</v>
      </c>
      <c r="G1669" s="16" t="s">
        <v>6281</v>
      </c>
      <c r="H1669" s="20" t="s">
        <v>155</v>
      </c>
      <c r="I1669" s="21" t="s">
        <v>70</v>
      </c>
      <c r="J1669" s="22" t="s">
        <v>71</v>
      </c>
      <c r="K1669" s="23">
        <v>63.0</v>
      </c>
      <c r="L1669" s="24">
        <v>21.0</v>
      </c>
      <c r="M1669" s="24" t="str">
        <f>IFERROR(VLOOKUP(D1669,'Chủ đề bài nguồn'!$A$2:$C$735,3,0),"Khác")</f>
        <v>Tiết kiệm &amp; lãi suất tiền gửi</v>
      </c>
      <c r="N1669" s="24"/>
    </row>
    <row r="1670">
      <c r="A1670" s="15">
        <v>1668.0</v>
      </c>
      <c r="B1670" s="39" t="s">
        <v>1128</v>
      </c>
      <c r="C1670" s="18" t="s">
        <v>4161</v>
      </c>
      <c r="D1670" s="39" t="s">
        <v>1415</v>
      </c>
      <c r="E1670" s="16" t="s">
        <v>6282</v>
      </c>
      <c r="F1670" s="16" t="s">
        <v>6283</v>
      </c>
      <c r="G1670" s="16" t="s">
        <v>6233</v>
      </c>
      <c r="H1670" s="20" t="s">
        <v>229</v>
      </c>
      <c r="I1670" s="21" t="s">
        <v>70</v>
      </c>
      <c r="J1670" s="22" t="s">
        <v>6284</v>
      </c>
      <c r="K1670" s="23">
        <v>63.0</v>
      </c>
      <c r="L1670" s="24">
        <v>30.0</v>
      </c>
      <c r="M1670" s="24" t="str">
        <f>IFERROR(VLOOKUP(D1670,'Chủ đề bài nguồn'!$A$2:$C$735,3,0),"Khác")</f>
        <v>Bảo hiểm</v>
      </c>
      <c r="N1670" s="24"/>
    </row>
    <row r="1671">
      <c r="A1671" s="15">
        <v>1669.0</v>
      </c>
      <c r="B1671" s="39" t="s">
        <v>1128</v>
      </c>
      <c r="C1671" s="18" t="s">
        <v>4161</v>
      </c>
      <c r="D1671" s="39" t="s">
        <v>1373</v>
      </c>
      <c r="E1671" s="16" t="s">
        <v>2261</v>
      </c>
      <c r="F1671" s="16" t="s">
        <v>6285</v>
      </c>
      <c r="G1671" s="16" t="s">
        <v>6233</v>
      </c>
      <c r="H1671" s="20" t="s">
        <v>229</v>
      </c>
      <c r="I1671" s="21" t="s">
        <v>70</v>
      </c>
      <c r="J1671" s="22" t="s">
        <v>6286</v>
      </c>
      <c r="K1671" s="23">
        <v>63.0</v>
      </c>
      <c r="L1671" s="24">
        <v>30.0</v>
      </c>
      <c r="M1671" s="24" t="str">
        <f>IFERROR(VLOOKUP(D1671,'Chủ đề bài nguồn'!$A$2:$C$735,3,0),"Khác")</f>
        <v>Tài khoản &amp; ngân hàng số</v>
      </c>
      <c r="N1671" s="24"/>
    </row>
    <row r="1672">
      <c r="A1672" s="15">
        <v>1670.0</v>
      </c>
      <c r="B1672" s="39" t="s">
        <v>1128</v>
      </c>
      <c r="C1672" s="18" t="s">
        <v>4161</v>
      </c>
      <c r="D1672" s="39" t="s">
        <v>2764</v>
      </c>
      <c r="E1672" s="16" t="s">
        <v>4346</v>
      </c>
      <c r="F1672" s="16" t="s">
        <v>6287</v>
      </c>
      <c r="G1672" s="16" t="s">
        <v>6233</v>
      </c>
      <c r="H1672" s="20" t="s">
        <v>229</v>
      </c>
      <c r="I1672" s="21" t="s">
        <v>70</v>
      </c>
      <c r="J1672" s="22" t="s">
        <v>6288</v>
      </c>
      <c r="K1672" s="23">
        <v>63.0</v>
      </c>
      <c r="L1672" s="24">
        <v>30.0</v>
      </c>
      <c r="M1672" s="24" t="str">
        <f>IFERROR(VLOOKUP(D1672,'Chủ đề bài nguồn'!$A$2:$C$735,3,0),"Khác")</f>
        <v>Đầu tư, CCTG, trái phiếu, vàng</v>
      </c>
      <c r="N1672" s="24"/>
    </row>
    <row r="1673">
      <c r="A1673" s="15">
        <v>1671.0</v>
      </c>
      <c r="B1673" s="16" t="s">
        <v>1128</v>
      </c>
      <c r="C1673" s="18" t="s">
        <v>2206</v>
      </c>
      <c r="D1673" s="16" t="s">
        <v>2597</v>
      </c>
      <c r="E1673" s="16" t="s">
        <v>6289</v>
      </c>
      <c r="F1673" s="16" t="s">
        <v>6290</v>
      </c>
      <c r="G1673" s="16" t="s">
        <v>6291</v>
      </c>
      <c r="H1673" s="20" t="s">
        <v>229</v>
      </c>
      <c r="I1673" s="21" t="s">
        <v>70</v>
      </c>
      <c r="J1673" s="22" t="s">
        <v>71</v>
      </c>
      <c r="K1673" s="23">
        <v>63.0</v>
      </c>
      <c r="L1673" s="24">
        <v>31.0</v>
      </c>
      <c r="M1673" s="24" t="str">
        <f>IFERROR(VLOOKUP(D1673,'Chủ đề bài nguồn'!$A$2:$C$735,3,0),"Khác")</f>
        <v>Tài khoản &amp; ngân hàng số</v>
      </c>
      <c r="N1673" s="24"/>
    </row>
    <row r="1674">
      <c r="A1674" s="15">
        <v>1672.0</v>
      </c>
      <c r="B1674" s="16" t="s">
        <v>1128</v>
      </c>
      <c r="C1674" s="18" t="s">
        <v>2206</v>
      </c>
      <c r="D1674" s="16" t="s">
        <v>3131</v>
      </c>
      <c r="E1674" s="16" t="s">
        <v>4361</v>
      </c>
      <c r="F1674" s="16" t="s">
        <v>6292</v>
      </c>
      <c r="G1674" s="16" t="s">
        <v>6293</v>
      </c>
      <c r="H1674" s="20" t="s">
        <v>229</v>
      </c>
      <c r="I1674" s="21" t="s">
        <v>70</v>
      </c>
      <c r="J1674" s="22" t="s">
        <v>71</v>
      </c>
      <c r="K1674" s="23">
        <v>63.0</v>
      </c>
      <c r="L1674" s="24">
        <v>31.0</v>
      </c>
      <c r="M1674" s="24" t="str">
        <f>IFERROR(VLOOKUP(D1674,'Chủ đề bài nguồn'!$A$2:$C$735,3,0),"Khác")</f>
        <v>Tiết kiệm &amp; lãi suất tiền gửi</v>
      </c>
      <c r="N1674" s="24"/>
    </row>
    <row r="1675">
      <c r="A1675" s="15">
        <v>1673.0</v>
      </c>
      <c r="B1675" s="16" t="s">
        <v>1128</v>
      </c>
      <c r="C1675" s="18" t="s">
        <v>2206</v>
      </c>
      <c r="D1675" s="16" t="s">
        <v>2227</v>
      </c>
      <c r="E1675" s="16" t="s">
        <v>2228</v>
      </c>
      <c r="F1675" s="16" t="s">
        <v>6294</v>
      </c>
      <c r="G1675" s="16" t="s">
        <v>6295</v>
      </c>
      <c r="H1675" s="20" t="s">
        <v>229</v>
      </c>
      <c r="I1675" s="21" t="s">
        <v>70</v>
      </c>
      <c r="J1675" s="22" t="s">
        <v>71</v>
      </c>
      <c r="K1675" s="23">
        <v>63.0</v>
      </c>
      <c r="L1675" s="24">
        <v>31.0</v>
      </c>
      <c r="M1675" s="24" t="str">
        <f>IFERROR(VLOOKUP(D1675,'Chủ đề bài nguồn'!$A$2:$C$735,3,0),"Khác")</f>
        <v>Tiết kiệm &amp; lãi suất tiền gửi</v>
      </c>
      <c r="N1675" s="24"/>
    </row>
    <row r="1676">
      <c r="A1676" s="15">
        <v>1674.0</v>
      </c>
      <c r="B1676" s="16" t="s">
        <v>1137</v>
      </c>
      <c r="C1676" s="18" t="s">
        <v>2240</v>
      </c>
      <c r="D1676" s="16" t="s">
        <v>3241</v>
      </c>
      <c r="E1676" s="16" t="s">
        <v>710</v>
      </c>
      <c r="F1676" s="16" t="s">
        <v>6296</v>
      </c>
      <c r="G1676" s="16" t="s">
        <v>6297</v>
      </c>
      <c r="H1676" s="20" t="s">
        <v>69</v>
      </c>
      <c r="I1676" s="21" t="s">
        <v>70</v>
      </c>
      <c r="J1676" s="22" t="s">
        <v>71</v>
      </c>
      <c r="K1676" s="23">
        <v>64.0</v>
      </c>
      <c r="L1676" s="24">
        <v>10.0</v>
      </c>
      <c r="M1676" s="24" t="str">
        <f>IFERROR(VLOOKUP(D1676,'Chủ đề bài nguồn'!$A$2:$C$735,3,0),"Khác")</f>
        <v>Tiết kiệm &amp; lãi suất tiền gửi</v>
      </c>
      <c r="N1676" s="24"/>
    </row>
    <row r="1677">
      <c r="A1677" s="15">
        <v>1675.0</v>
      </c>
      <c r="B1677" s="16" t="s">
        <v>1137</v>
      </c>
      <c r="C1677" s="18" t="s">
        <v>2240</v>
      </c>
      <c r="D1677" s="16" t="s">
        <v>2899</v>
      </c>
      <c r="E1677" s="16" t="s">
        <v>710</v>
      </c>
      <c r="F1677" s="16" t="s">
        <v>6298</v>
      </c>
      <c r="G1677" s="16" t="s">
        <v>6297</v>
      </c>
      <c r="H1677" s="20" t="s">
        <v>69</v>
      </c>
      <c r="I1677" s="21" t="s">
        <v>70</v>
      </c>
      <c r="J1677" s="22" t="s">
        <v>71</v>
      </c>
      <c r="K1677" s="23">
        <v>64.0</v>
      </c>
      <c r="L1677" s="24">
        <v>10.0</v>
      </c>
      <c r="M1677" s="24" t="str">
        <f>IFERROR(VLOOKUP(D1677,'Chủ đề bài nguồn'!$A$2:$C$735,3,0),"Khác")</f>
        <v>Tiết kiệm &amp; lãi suất tiền gửi</v>
      </c>
      <c r="N1677" s="24"/>
    </row>
    <row r="1678">
      <c r="A1678" s="15">
        <v>1676.0</v>
      </c>
      <c r="B1678" s="16" t="s">
        <v>1137</v>
      </c>
      <c r="C1678" s="18" t="s">
        <v>2240</v>
      </c>
      <c r="D1678" s="16" t="s">
        <v>2379</v>
      </c>
      <c r="E1678" s="16" t="s">
        <v>2380</v>
      </c>
      <c r="F1678" s="16" t="s">
        <v>6299</v>
      </c>
      <c r="G1678" s="16" t="s">
        <v>6297</v>
      </c>
      <c r="H1678" s="20" t="s">
        <v>69</v>
      </c>
      <c r="I1678" s="21" t="s">
        <v>70</v>
      </c>
      <c r="J1678" s="22" t="s">
        <v>71</v>
      </c>
      <c r="K1678" s="23">
        <v>64.0</v>
      </c>
      <c r="L1678" s="24">
        <v>10.0</v>
      </c>
      <c r="M1678" s="24" t="str">
        <f>IFERROR(VLOOKUP(D1678,'Chủ đề bài nguồn'!$A$2:$C$735,3,0),"Khác")</f>
        <v>Tiết kiệm &amp; lãi suất tiền gửi</v>
      </c>
      <c r="N1678" s="24"/>
    </row>
    <row r="1679">
      <c r="A1679" s="15">
        <v>1677.0</v>
      </c>
      <c r="B1679" s="16" t="s">
        <v>1137</v>
      </c>
      <c r="C1679" s="18" t="s">
        <v>2240</v>
      </c>
      <c r="D1679" s="16" t="s">
        <v>1692</v>
      </c>
      <c r="E1679" s="16" t="s">
        <v>6300</v>
      </c>
      <c r="F1679" s="16" t="s">
        <v>6301</v>
      </c>
      <c r="G1679" s="16" t="s">
        <v>6297</v>
      </c>
      <c r="H1679" s="20" t="s">
        <v>69</v>
      </c>
      <c r="I1679" s="21" t="s">
        <v>70</v>
      </c>
      <c r="J1679" s="22" t="s">
        <v>71</v>
      </c>
      <c r="K1679" s="23">
        <v>64.0</v>
      </c>
      <c r="L1679" s="24">
        <v>10.0</v>
      </c>
      <c r="M1679" s="24" t="str">
        <f>IFERROR(VLOOKUP(D1679,'Chủ đề bài nguồn'!$A$2:$C$735,3,0),"Khác")</f>
        <v>Ưu đãi, du lịch &amp; đời sống</v>
      </c>
      <c r="N1679" s="24"/>
    </row>
    <row r="1680">
      <c r="A1680" s="15">
        <v>1678.0</v>
      </c>
      <c r="B1680" s="16" t="s">
        <v>1137</v>
      </c>
      <c r="C1680" s="18" t="s">
        <v>2240</v>
      </c>
      <c r="D1680" s="16" t="s">
        <v>2374</v>
      </c>
      <c r="E1680" s="16" t="s">
        <v>6302</v>
      </c>
      <c r="F1680" s="16" t="s">
        <v>6303</v>
      </c>
      <c r="G1680" s="16" t="s">
        <v>6304</v>
      </c>
      <c r="H1680" s="20" t="s">
        <v>69</v>
      </c>
      <c r="I1680" s="21" t="s">
        <v>70</v>
      </c>
      <c r="J1680" s="22" t="s">
        <v>71</v>
      </c>
      <c r="K1680" s="23">
        <v>64.0</v>
      </c>
      <c r="L1680" s="24">
        <v>11.0</v>
      </c>
      <c r="M1680" s="24" t="str">
        <f>IFERROR(VLOOKUP(D1680,'Chủ đề bài nguồn'!$A$2:$C$735,3,0),"Khác")</f>
        <v>Quản lý tài chính cá nhân</v>
      </c>
      <c r="N1680" s="24"/>
    </row>
    <row r="1681">
      <c r="A1681" s="15">
        <v>1679.0</v>
      </c>
      <c r="B1681" s="16" t="s">
        <v>1137</v>
      </c>
      <c r="C1681" s="18" t="s">
        <v>2240</v>
      </c>
      <c r="D1681" s="16" t="s">
        <v>2309</v>
      </c>
      <c r="E1681" s="16" t="s">
        <v>710</v>
      </c>
      <c r="F1681" s="16" t="s">
        <v>6305</v>
      </c>
      <c r="G1681" s="16" t="s">
        <v>6297</v>
      </c>
      <c r="H1681" s="20" t="s">
        <v>155</v>
      </c>
      <c r="I1681" s="21" t="s">
        <v>70</v>
      </c>
      <c r="J1681" s="22" t="s">
        <v>71</v>
      </c>
      <c r="K1681" s="23">
        <v>64.0</v>
      </c>
      <c r="L1681" s="24">
        <v>20.0</v>
      </c>
      <c r="M1681" s="24" t="str">
        <f>IFERROR(VLOOKUP(D1681,'Chủ đề bài nguồn'!$A$2:$C$735,3,0),"Khác")</f>
        <v>Tiết kiệm &amp; lãi suất tiền gửi</v>
      </c>
      <c r="N1681" s="24"/>
    </row>
    <row r="1682">
      <c r="A1682" s="15">
        <v>1680.0</v>
      </c>
      <c r="B1682" s="16" t="s">
        <v>1137</v>
      </c>
      <c r="C1682" s="18" t="s">
        <v>2240</v>
      </c>
      <c r="D1682" s="16" t="s">
        <v>2268</v>
      </c>
      <c r="E1682" s="16" t="s">
        <v>3738</v>
      </c>
      <c r="F1682" s="16" t="s">
        <v>6306</v>
      </c>
      <c r="G1682" s="16" t="s">
        <v>6297</v>
      </c>
      <c r="H1682" s="20" t="s">
        <v>155</v>
      </c>
      <c r="I1682" s="21" t="s">
        <v>70</v>
      </c>
      <c r="J1682" s="22" t="s">
        <v>71</v>
      </c>
      <c r="K1682" s="23">
        <v>64.0</v>
      </c>
      <c r="L1682" s="24">
        <v>20.0</v>
      </c>
      <c r="M1682" s="24" t="str">
        <f>IFERROR(VLOOKUP(D1682,'Chủ đề bài nguồn'!$A$2:$C$735,3,0),"Khác")</f>
        <v>Tiết kiệm &amp; lãi suất tiền gửi</v>
      </c>
      <c r="N1682" s="24"/>
    </row>
    <row r="1683">
      <c r="A1683" s="15">
        <v>1681.0</v>
      </c>
      <c r="B1683" s="16" t="s">
        <v>1137</v>
      </c>
      <c r="C1683" s="18" t="s">
        <v>4183</v>
      </c>
      <c r="D1683" s="16" t="s">
        <v>2292</v>
      </c>
      <c r="E1683" s="16" t="s">
        <v>2349</v>
      </c>
      <c r="F1683" s="16" t="s">
        <v>6307</v>
      </c>
      <c r="G1683" s="16" t="s">
        <v>6308</v>
      </c>
      <c r="H1683" s="20" t="s">
        <v>155</v>
      </c>
      <c r="I1683" s="21" t="s">
        <v>70</v>
      </c>
      <c r="J1683" s="22" t="s">
        <v>71</v>
      </c>
      <c r="K1683" s="23">
        <v>64.0</v>
      </c>
      <c r="L1683" s="24">
        <v>20.0</v>
      </c>
      <c r="M1683" s="24" t="str">
        <f>IFERROR(VLOOKUP(D1683,'Chủ đề bài nguồn'!$A$2:$C$735,3,0),"Khác")</f>
        <v>Tiết kiệm &amp; lãi suất tiền gửi</v>
      </c>
      <c r="N1683" s="24"/>
    </row>
    <row r="1684">
      <c r="A1684" s="15">
        <v>1682.0</v>
      </c>
      <c r="B1684" s="16" t="s">
        <v>1137</v>
      </c>
      <c r="C1684" s="18" t="s">
        <v>2240</v>
      </c>
      <c r="D1684" s="16" t="s">
        <v>3179</v>
      </c>
      <c r="E1684" s="16" t="s">
        <v>6309</v>
      </c>
      <c r="F1684" s="16" t="s">
        <v>6310</v>
      </c>
      <c r="G1684" s="16" t="s">
        <v>6311</v>
      </c>
      <c r="H1684" s="20" t="s">
        <v>155</v>
      </c>
      <c r="I1684" s="21" t="s">
        <v>70</v>
      </c>
      <c r="J1684" s="22" t="s">
        <v>71</v>
      </c>
      <c r="K1684" s="23">
        <v>64.0</v>
      </c>
      <c r="L1684" s="24">
        <v>21.0</v>
      </c>
      <c r="M1684" s="24" t="str">
        <f>IFERROR(VLOOKUP(D1684,'Chủ đề bài nguồn'!$A$2:$C$735,3,0),"Khác")</f>
        <v>Tiết kiệm &amp; lãi suất tiền gửi</v>
      </c>
      <c r="N1684" s="24"/>
    </row>
    <row r="1685">
      <c r="A1685" s="15">
        <v>1683.0</v>
      </c>
      <c r="B1685" s="16" t="s">
        <v>1137</v>
      </c>
      <c r="C1685" s="18" t="s">
        <v>2240</v>
      </c>
      <c r="D1685" s="16" t="s">
        <v>967</v>
      </c>
      <c r="E1685" s="16" t="s">
        <v>6312</v>
      </c>
      <c r="F1685" s="16" t="s">
        <v>6313</v>
      </c>
      <c r="G1685" s="16" t="s">
        <v>6314</v>
      </c>
      <c r="H1685" s="20" t="s">
        <v>155</v>
      </c>
      <c r="I1685" s="21" t="s">
        <v>70</v>
      </c>
      <c r="J1685" s="22" t="s">
        <v>71</v>
      </c>
      <c r="K1685" s="23">
        <v>64.0</v>
      </c>
      <c r="L1685" s="24">
        <v>21.0</v>
      </c>
      <c r="M1685" s="24" t="str">
        <f>IFERROR(VLOOKUP(D1685,'Chủ đề bài nguồn'!$A$2:$C$735,3,0),"Khác")</f>
        <v>Tài khoản &amp; ngân hàng số</v>
      </c>
      <c r="N1685" s="24"/>
    </row>
    <row r="1686">
      <c r="A1686" s="15">
        <v>1684.0</v>
      </c>
      <c r="B1686" s="16" t="s">
        <v>1137</v>
      </c>
      <c r="C1686" s="18" t="s">
        <v>2240</v>
      </c>
      <c r="D1686" s="16" t="s">
        <v>2914</v>
      </c>
      <c r="E1686" s="16" t="s">
        <v>6315</v>
      </c>
      <c r="F1686" s="16" t="s">
        <v>6316</v>
      </c>
      <c r="G1686" s="16" t="s">
        <v>6317</v>
      </c>
      <c r="H1686" s="20" t="s">
        <v>155</v>
      </c>
      <c r="I1686" s="21" t="s">
        <v>70</v>
      </c>
      <c r="J1686" s="22" t="s">
        <v>71</v>
      </c>
      <c r="K1686" s="23">
        <v>64.0</v>
      </c>
      <c r="L1686" s="24">
        <v>21.0</v>
      </c>
      <c r="M1686" s="24" t="str">
        <f>IFERROR(VLOOKUP(D1686,'Chủ đề bài nguồn'!$A$2:$C$735,3,0),"Khác")</f>
        <v>Ngoại tệ &amp; chuyển tiền quốc tế</v>
      </c>
      <c r="N1686" s="24"/>
    </row>
    <row r="1687">
      <c r="A1687" s="15">
        <v>1685.0</v>
      </c>
      <c r="B1687" s="16" t="s">
        <v>1137</v>
      </c>
      <c r="C1687" s="18" t="s">
        <v>2240</v>
      </c>
      <c r="D1687" s="16" t="s">
        <v>3089</v>
      </c>
      <c r="E1687" s="16" t="s">
        <v>6318</v>
      </c>
      <c r="F1687" s="16" t="s">
        <v>6319</v>
      </c>
      <c r="G1687" s="16" t="s">
        <v>6320</v>
      </c>
      <c r="H1687" s="20" t="s">
        <v>155</v>
      </c>
      <c r="I1687" s="21" t="s">
        <v>70</v>
      </c>
      <c r="J1687" s="22" t="s">
        <v>71</v>
      </c>
      <c r="K1687" s="23">
        <v>64.0</v>
      </c>
      <c r="L1687" s="24">
        <v>21.0</v>
      </c>
      <c r="M1687" s="24" t="str">
        <f>IFERROR(VLOOKUP(D1687,'Chủ đề bài nguồn'!$A$2:$C$735,3,0),"Khác")</f>
        <v>Thẻ tín dụng</v>
      </c>
      <c r="N1687" s="24"/>
    </row>
    <row r="1688">
      <c r="A1688" s="15">
        <v>1686.0</v>
      </c>
      <c r="B1688" s="16" t="s">
        <v>1137</v>
      </c>
      <c r="C1688" s="18" t="s">
        <v>2240</v>
      </c>
      <c r="D1688" s="16" t="s">
        <v>1592</v>
      </c>
      <c r="E1688" s="16" t="s">
        <v>1593</v>
      </c>
      <c r="F1688" s="16" t="s">
        <v>6321</v>
      </c>
      <c r="G1688" s="16" t="s">
        <v>6322</v>
      </c>
      <c r="H1688" s="20" t="s">
        <v>155</v>
      </c>
      <c r="I1688" s="21" t="s">
        <v>70</v>
      </c>
      <c r="J1688" s="22" t="s">
        <v>71</v>
      </c>
      <c r="K1688" s="23">
        <v>64.0</v>
      </c>
      <c r="L1688" s="24">
        <v>21.0</v>
      </c>
      <c r="M1688" s="24" t="str">
        <f>IFERROR(VLOOKUP(D1688,'Chủ đề bài nguồn'!$A$2:$C$735,3,0),"Khác")</f>
        <v>Quản lý tài chính cá nhân</v>
      </c>
      <c r="N1688" s="24"/>
    </row>
    <row r="1689">
      <c r="A1689" s="15">
        <v>1687.0</v>
      </c>
      <c r="B1689" s="16" t="s">
        <v>1137</v>
      </c>
      <c r="C1689" s="18" t="s">
        <v>2240</v>
      </c>
      <c r="D1689" s="16" t="s">
        <v>3130</v>
      </c>
      <c r="E1689" s="16" t="s">
        <v>5810</v>
      </c>
      <c r="F1689" s="16" t="s">
        <v>6323</v>
      </c>
      <c r="G1689" s="16" t="s">
        <v>6324</v>
      </c>
      <c r="H1689" s="20" t="s">
        <v>155</v>
      </c>
      <c r="I1689" s="21" t="s">
        <v>70</v>
      </c>
      <c r="J1689" s="22" t="s">
        <v>71</v>
      </c>
      <c r="K1689" s="23">
        <v>64.0</v>
      </c>
      <c r="L1689" s="24">
        <v>21.0</v>
      </c>
      <c r="M1689" s="24" t="str">
        <f>IFERROR(VLOOKUP(D1689,'Chủ đề bài nguồn'!$A$2:$C$735,3,0),"Khác")</f>
        <v>Đầu tư, CCTG, trái phiếu, vàng</v>
      </c>
      <c r="N1689" s="24"/>
    </row>
    <row r="1690">
      <c r="A1690" s="15">
        <v>1688.0</v>
      </c>
      <c r="B1690" s="16" t="s">
        <v>1137</v>
      </c>
      <c r="C1690" s="18" t="s">
        <v>2240</v>
      </c>
      <c r="D1690" s="16" t="s">
        <v>2865</v>
      </c>
      <c r="E1690" s="16" t="s">
        <v>6325</v>
      </c>
      <c r="F1690" s="16" t="s">
        <v>6326</v>
      </c>
      <c r="G1690" s="16" t="s">
        <v>6327</v>
      </c>
      <c r="H1690" s="20" t="s">
        <v>155</v>
      </c>
      <c r="I1690" s="21" t="s">
        <v>70</v>
      </c>
      <c r="J1690" s="22" t="s">
        <v>71</v>
      </c>
      <c r="K1690" s="23">
        <v>64.0</v>
      </c>
      <c r="L1690" s="24">
        <v>21.0</v>
      </c>
      <c r="M1690" s="24" t="str">
        <f>IFERROR(VLOOKUP(D1690,'Chủ đề bài nguồn'!$A$2:$C$735,3,0),"Khác")</f>
        <v>Tiết kiệm &amp; lãi suất tiền gửi</v>
      </c>
      <c r="N1690" s="24"/>
    </row>
    <row r="1691">
      <c r="A1691" s="15">
        <v>1689.0</v>
      </c>
      <c r="B1691" s="16" t="s">
        <v>1137</v>
      </c>
      <c r="C1691" s="18" t="s">
        <v>2240</v>
      </c>
      <c r="D1691" s="16" t="s">
        <v>1231</v>
      </c>
      <c r="E1691" s="16" t="s">
        <v>5677</v>
      </c>
      <c r="F1691" s="16" t="s">
        <v>6328</v>
      </c>
      <c r="G1691" s="16" t="s">
        <v>6329</v>
      </c>
      <c r="H1691" s="20" t="s">
        <v>155</v>
      </c>
      <c r="I1691" s="21" t="s">
        <v>70</v>
      </c>
      <c r="J1691" s="22" t="s">
        <v>71</v>
      </c>
      <c r="K1691" s="23">
        <v>64.0</v>
      </c>
      <c r="L1691" s="24">
        <v>21.0</v>
      </c>
      <c r="M1691" s="24" t="str">
        <f>IFERROR(VLOOKUP(D1691,'Chủ đề bài nguồn'!$A$2:$C$735,3,0),"Khác")</f>
        <v>Tài khoản &amp; ngân hàng số</v>
      </c>
      <c r="N1691" s="24"/>
    </row>
    <row r="1692">
      <c r="A1692" s="15">
        <v>1690.0</v>
      </c>
      <c r="B1692" s="39" t="s">
        <v>1137</v>
      </c>
      <c r="C1692" s="18" t="s">
        <v>2240</v>
      </c>
      <c r="D1692" s="39" t="s">
        <v>1323</v>
      </c>
      <c r="E1692" s="16" t="s">
        <v>6330</v>
      </c>
      <c r="F1692" s="16" t="s">
        <v>6331</v>
      </c>
      <c r="G1692" s="16" t="s">
        <v>6332</v>
      </c>
      <c r="H1692" s="20" t="s">
        <v>155</v>
      </c>
      <c r="I1692" s="21" t="s">
        <v>70</v>
      </c>
      <c r="J1692" s="22" t="s">
        <v>71</v>
      </c>
      <c r="K1692" s="23">
        <v>64.0</v>
      </c>
      <c r="L1692" s="24">
        <v>21.0</v>
      </c>
      <c r="M1692" s="24" t="str">
        <f>IFERROR(VLOOKUP(D1692,'Chủ đề bài nguồn'!$A$2:$C$735,3,0),"Khác")</f>
        <v>Thanh toán, chuyển khoản &amp; QR</v>
      </c>
      <c r="N1692" s="24"/>
    </row>
    <row r="1693">
      <c r="A1693" s="15">
        <v>1691.0</v>
      </c>
      <c r="B1693" s="39" t="s">
        <v>1137</v>
      </c>
      <c r="C1693" s="18" t="s">
        <v>2240</v>
      </c>
      <c r="D1693" s="39" t="s">
        <v>1318</v>
      </c>
      <c r="E1693" s="16" t="s">
        <v>6333</v>
      </c>
      <c r="F1693" s="16" t="s">
        <v>6334</v>
      </c>
      <c r="G1693" s="16" t="s">
        <v>6335</v>
      </c>
      <c r="H1693" s="20" t="s">
        <v>155</v>
      </c>
      <c r="I1693" s="21" t="s">
        <v>70</v>
      </c>
      <c r="J1693" s="22" t="s">
        <v>71</v>
      </c>
      <c r="K1693" s="23">
        <v>64.0</v>
      </c>
      <c r="L1693" s="24">
        <v>21.0</v>
      </c>
      <c r="M1693" s="24" t="str">
        <f>IFERROR(VLOOKUP(D1693,'Chủ đề bài nguồn'!$A$2:$C$735,3,0),"Khác")</f>
        <v>Thanh toán, chuyển khoản &amp; QR</v>
      </c>
      <c r="N1693" s="24"/>
    </row>
    <row r="1694">
      <c r="A1694" s="15">
        <v>1692.0</v>
      </c>
      <c r="B1694" s="16" t="s">
        <v>1137</v>
      </c>
      <c r="C1694" s="18" t="s">
        <v>4183</v>
      </c>
      <c r="D1694" s="16" t="s">
        <v>2335</v>
      </c>
      <c r="E1694" s="16" t="s">
        <v>6336</v>
      </c>
      <c r="F1694" s="16" t="s">
        <v>6337</v>
      </c>
      <c r="G1694" s="16" t="s">
        <v>6338</v>
      </c>
      <c r="H1694" s="20" t="s">
        <v>155</v>
      </c>
      <c r="I1694" s="21" t="s">
        <v>70</v>
      </c>
      <c r="J1694" s="22" t="s">
        <v>71</v>
      </c>
      <c r="K1694" s="23">
        <v>64.0</v>
      </c>
      <c r="L1694" s="24">
        <v>21.0</v>
      </c>
      <c r="M1694" s="24" t="str">
        <f>IFERROR(VLOOKUP(D1694,'Chủ đề bài nguồn'!$A$2:$C$735,3,0),"Khác")</f>
        <v>Tiết kiệm &amp; lãi suất tiền gửi</v>
      </c>
      <c r="N1694" s="24"/>
    </row>
    <row r="1695">
      <c r="A1695" s="15">
        <v>1693.0</v>
      </c>
      <c r="B1695" s="16" t="s">
        <v>1137</v>
      </c>
      <c r="C1695" s="18" t="s">
        <v>4183</v>
      </c>
      <c r="D1695" s="16" t="s">
        <v>3094</v>
      </c>
      <c r="E1695" s="16" t="s">
        <v>6339</v>
      </c>
      <c r="F1695" s="16" t="s">
        <v>6340</v>
      </c>
      <c r="G1695" s="16" t="s">
        <v>6341</v>
      </c>
      <c r="H1695" s="20" t="s">
        <v>155</v>
      </c>
      <c r="I1695" s="21" t="s">
        <v>70</v>
      </c>
      <c r="J1695" s="22" t="s">
        <v>71</v>
      </c>
      <c r="K1695" s="23">
        <v>64.0</v>
      </c>
      <c r="L1695" s="24">
        <v>21.0</v>
      </c>
      <c r="M1695" s="24" t="str">
        <f>IFERROR(VLOOKUP(D1695,'Chủ đề bài nguồn'!$A$2:$C$735,3,0),"Khác")</f>
        <v>Tiết kiệm &amp; lãi suất tiền gửi</v>
      </c>
      <c r="N1695" s="24"/>
    </row>
    <row r="1696">
      <c r="A1696" s="15">
        <v>1694.0</v>
      </c>
      <c r="B1696" s="16" t="s">
        <v>1137</v>
      </c>
      <c r="C1696" s="18" t="s">
        <v>2240</v>
      </c>
      <c r="D1696" s="16" t="s">
        <v>3080</v>
      </c>
      <c r="E1696" s="16" t="s">
        <v>6342</v>
      </c>
      <c r="F1696" s="16" t="s">
        <v>6343</v>
      </c>
      <c r="G1696" s="16" t="s">
        <v>6344</v>
      </c>
      <c r="H1696" s="20" t="s">
        <v>229</v>
      </c>
      <c r="I1696" s="21" t="s">
        <v>70</v>
      </c>
      <c r="J1696" s="40" t="s">
        <v>6345</v>
      </c>
      <c r="K1696" s="23">
        <v>64.0</v>
      </c>
      <c r="L1696" s="24">
        <v>31.0</v>
      </c>
      <c r="M1696" s="24" t="str">
        <f>IFERROR(VLOOKUP(D1696,'Chủ đề bài nguồn'!$A$2:$C$735,3,0),"Khác")</f>
        <v>Thẻ tín dụng</v>
      </c>
      <c r="N1696" s="24"/>
    </row>
    <row r="1697">
      <c r="A1697" s="15">
        <v>1695.0</v>
      </c>
      <c r="B1697" s="16" t="s">
        <v>1137</v>
      </c>
      <c r="C1697" s="18" t="s">
        <v>2240</v>
      </c>
      <c r="D1697" s="16" t="s">
        <v>2207</v>
      </c>
      <c r="E1697" s="16" t="s">
        <v>6346</v>
      </c>
      <c r="F1697" s="16" t="s">
        <v>6347</v>
      </c>
      <c r="G1697" s="16" t="s">
        <v>6348</v>
      </c>
      <c r="H1697" s="20" t="s">
        <v>229</v>
      </c>
      <c r="I1697" s="21" t="s">
        <v>70</v>
      </c>
      <c r="J1697" s="22" t="s">
        <v>71</v>
      </c>
      <c r="K1697" s="23">
        <v>64.0</v>
      </c>
      <c r="L1697" s="24">
        <v>31.0</v>
      </c>
      <c r="M1697" s="24" t="str">
        <f>IFERROR(VLOOKUP(D1697,'Chủ đề bài nguồn'!$A$2:$C$735,3,0),"Khác")</f>
        <v>Thẻ tín dụng</v>
      </c>
      <c r="N1697" s="24"/>
    </row>
    <row r="1698">
      <c r="A1698" s="15">
        <v>1696.0</v>
      </c>
      <c r="B1698" s="16" t="s">
        <v>1137</v>
      </c>
      <c r="C1698" s="18" t="s">
        <v>2240</v>
      </c>
      <c r="D1698" s="16" t="s">
        <v>3248</v>
      </c>
      <c r="E1698" s="16" t="s">
        <v>6349</v>
      </c>
      <c r="F1698" s="16" t="s">
        <v>6350</v>
      </c>
      <c r="G1698" s="16" t="s">
        <v>6351</v>
      </c>
      <c r="H1698" s="20" t="s">
        <v>229</v>
      </c>
      <c r="I1698" s="21" t="s">
        <v>70</v>
      </c>
      <c r="J1698" s="22" t="s">
        <v>71</v>
      </c>
      <c r="K1698" s="23">
        <v>64.0</v>
      </c>
      <c r="L1698" s="24">
        <v>31.0</v>
      </c>
      <c r="M1698" s="24" t="str">
        <f>IFERROR(VLOOKUP(D1698,'Chủ đề bài nguồn'!$A$2:$C$735,3,0),"Khác")</f>
        <v>Đầu tư, CCTG, trái phiếu, vàng</v>
      </c>
      <c r="N1698" s="24"/>
    </row>
    <row r="1699">
      <c r="A1699" s="15">
        <v>1697.0</v>
      </c>
      <c r="B1699" s="16" t="s">
        <v>1137</v>
      </c>
      <c r="C1699" s="18" t="s">
        <v>2240</v>
      </c>
      <c r="D1699" s="16" t="s">
        <v>464</v>
      </c>
      <c r="E1699" s="16" t="s">
        <v>4461</v>
      </c>
      <c r="F1699" s="16" t="s">
        <v>5710</v>
      </c>
      <c r="G1699" s="16" t="s">
        <v>6352</v>
      </c>
      <c r="H1699" s="20" t="s">
        <v>229</v>
      </c>
      <c r="I1699" s="21" t="s">
        <v>70</v>
      </c>
      <c r="J1699" s="22" t="s">
        <v>5803</v>
      </c>
      <c r="K1699" s="23">
        <v>64.0</v>
      </c>
      <c r="L1699" s="24">
        <v>31.0</v>
      </c>
      <c r="M1699" s="24" t="str">
        <f>IFERROR(VLOOKUP(D1699,'Chủ đề bài nguồn'!$A$2:$C$735,3,0),"Khác")</f>
        <v>Tiết kiệm &amp; lãi suất tiền gửi</v>
      </c>
      <c r="N1699" s="24"/>
    </row>
    <row r="1700">
      <c r="A1700" s="15">
        <v>1698.0</v>
      </c>
      <c r="B1700" s="16" t="s">
        <v>1137</v>
      </c>
      <c r="C1700" s="18" t="s">
        <v>2240</v>
      </c>
      <c r="D1700" s="16" t="s">
        <v>349</v>
      </c>
      <c r="E1700" s="16" t="s">
        <v>5722</v>
      </c>
      <c r="F1700" s="16" t="s">
        <v>6353</v>
      </c>
      <c r="G1700" s="16" t="s">
        <v>6354</v>
      </c>
      <c r="H1700" s="20" t="s">
        <v>229</v>
      </c>
      <c r="I1700" s="21" t="s">
        <v>70</v>
      </c>
      <c r="J1700" s="22" t="s">
        <v>71</v>
      </c>
      <c r="K1700" s="23">
        <v>64.0</v>
      </c>
      <c r="L1700" s="24">
        <v>31.0</v>
      </c>
      <c r="M1700" s="24" t="str">
        <f>IFERROR(VLOOKUP(D1700,'Chủ đề bài nguồn'!$A$2:$C$735,3,0),"Khác")</f>
        <v>Tài khoản &amp; ngân hàng số</v>
      </c>
      <c r="N1700" s="24"/>
    </row>
    <row r="1701">
      <c r="A1701" s="15">
        <v>1699.0</v>
      </c>
      <c r="B1701" s="39" t="s">
        <v>1137</v>
      </c>
      <c r="C1701" s="18" t="s">
        <v>2240</v>
      </c>
      <c r="D1701" s="39" t="s">
        <v>1390</v>
      </c>
      <c r="E1701" s="16" t="s">
        <v>6355</v>
      </c>
      <c r="F1701" s="16" t="s">
        <v>6356</v>
      </c>
      <c r="G1701" s="16" t="s">
        <v>6357</v>
      </c>
      <c r="H1701" s="20" t="s">
        <v>229</v>
      </c>
      <c r="I1701" s="21" t="s">
        <v>70</v>
      </c>
      <c r="J1701" s="22" t="s">
        <v>1073</v>
      </c>
      <c r="K1701" s="23">
        <v>64.0</v>
      </c>
      <c r="L1701" s="24">
        <v>31.0</v>
      </c>
      <c r="M1701" s="24" t="str">
        <f>IFERROR(VLOOKUP(D1701,'Chủ đề bài nguồn'!$A$2:$C$735,3,0),"Khác")</f>
        <v>Bảo hiểm</v>
      </c>
      <c r="N1701" s="24"/>
    </row>
    <row r="1702">
      <c r="A1702" s="15">
        <v>1700.0</v>
      </c>
      <c r="B1702" s="16" t="s">
        <v>1145</v>
      </c>
      <c r="C1702" s="18" t="s">
        <v>2258</v>
      </c>
      <c r="D1702" s="16" t="s">
        <v>3118</v>
      </c>
      <c r="E1702" s="16" t="s">
        <v>6358</v>
      </c>
      <c r="F1702" s="16" t="s">
        <v>6359</v>
      </c>
      <c r="G1702" s="16" t="s">
        <v>6360</v>
      </c>
      <c r="H1702" s="20" t="s">
        <v>69</v>
      </c>
      <c r="I1702" s="21" t="s">
        <v>70</v>
      </c>
      <c r="J1702" s="22" t="s">
        <v>71</v>
      </c>
      <c r="K1702" s="23">
        <v>65.0</v>
      </c>
      <c r="L1702" s="24">
        <v>10.0</v>
      </c>
      <c r="M1702" s="24" t="str">
        <f>IFERROR(VLOOKUP(D1702,'Chủ đề bài nguồn'!$A$2:$C$735,3,0),"Khác")</f>
        <v>Tiết kiệm &amp; lãi suất tiền gửi</v>
      </c>
      <c r="N1702" s="24"/>
    </row>
    <row r="1703">
      <c r="A1703" s="15">
        <v>1701.0</v>
      </c>
      <c r="B1703" s="16" t="s">
        <v>1145</v>
      </c>
      <c r="C1703" s="18" t="s">
        <v>4203</v>
      </c>
      <c r="D1703" s="16" t="s">
        <v>2797</v>
      </c>
      <c r="E1703" s="16" t="s">
        <v>6361</v>
      </c>
      <c r="F1703" s="16" t="s">
        <v>6362</v>
      </c>
      <c r="G1703" s="16" t="s">
        <v>6363</v>
      </c>
      <c r="H1703" s="20" t="s">
        <v>69</v>
      </c>
      <c r="I1703" s="21" t="s">
        <v>70</v>
      </c>
      <c r="J1703" s="22" t="s">
        <v>71</v>
      </c>
      <c r="K1703" s="23">
        <v>65.0</v>
      </c>
      <c r="L1703" s="24">
        <v>11.0</v>
      </c>
      <c r="M1703" s="24" t="str">
        <f>IFERROR(VLOOKUP(D1703,'Chủ đề bài nguồn'!$A$2:$C$735,3,0),"Khác")</f>
        <v>Tiết kiệm &amp; lãi suất tiền gửi</v>
      </c>
      <c r="N1703" s="24"/>
    </row>
    <row r="1704">
      <c r="A1704" s="15">
        <v>1702.0</v>
      </c>
      <c r="B1704" s="16" t="s">
        <v>1145</v>
      </c>
      <c r="C1704" s="18" t="s">
        <v>4203</v>
      </c>
      <c r="D1704" s="16" t="s">
        <v>1723</v>
      </c>
      <c r="E1704" s="16" t="s">
        <v>5972</v>
      </c>
      <c r="F1704" s="16" t="s">
        <v>6364</v>
      </c>
      <c r="G1704" s="16" t="s">
        <v>6365</v>
      </c>
      <c r="H1704" s="20" t="s">
        <v>69</v>
      </c>
      <c r="I1704" s="21" t="s">
        <v>70</v>
      </c>
      <c r="J1704" s="22" t="s">
        <v>71</v>
      </c>
      <c r="K1704" s="23">
        <v>65.0</v>
      </c>
      <c r="L1704" s="24">
        <v>11.0</v>
      </c>
      <c r="M1704" s="24" t="str">
        <f>IFERROR(VLOOKUP(D1704,'Chủ đề bài nguồn'!$A$2:$C$735,3,0),"Khác")</f>
        <v>Tiết kiệm &amp; lãi suất tiền gửi</v>
      </c>
      <c r="N1704" s="24"/>
    </row>
    <row r="1705">
      <c r="A1705" s="15">
        <v>1703.0</v>
      </c>
      <c r="B1705" s="16" t="s">
        <v>1145</v>
      </c>
      <c r="C1705" s="18" t="s">
        <v>4203</v>
      </c>
      <c r="D1705" s="16" t="s">
        <v>2309</v>
      </c>
      <c r="E1705" s="16" t="s">
        <v>6366</v>
      </c>
      <c r="F1705" s="16" t="s">
        <v>6367</v>
      </c>
      <c r="G1705" s="16" t="s">
        <v>6368</v>
      </c>
      <c r="H1705" s="20" t="s">
        <v>69</v>
      </c>
      <c r="I1705" s="21" t="s">
        <v>70</v>
      </c>
      <c r="J1705" s="22" t="s">
        <v>71</v>
      </c>
      <c r="K1705" s="23">
        <v>65.0</v>
      </c>
      <c r="L1705" s="24">
        <v>11.0</v>
      </c>
      <c r="M1705" s="24" t="str">
        <f>IFERROR(VLOOKUP(D1705,'Chủ đề bài nguồn'!$A$2:$C$735,3,0),"Khác")</f>
        <v>Tiết kiệm &amp; lãi suất tiền gửi</v>
      </c>
      <c r="N1705" s="24"/>
    </row>
    <row r="1706">
      <c r="A1706" s="15">
        <v>1704.0</v>
      </c>
      <c r="B1706" s="16" t="s">
        <v>1145</v>
      </c>
      <c r="C1706" s="18" t="s">
        <v>4203</v>
      </c>
      <c r="D1706" s="16" t="s">
        <v>3002</v>
      </c>
      <c r="E1706" s="16" t="s">
        <v>6369</v>
      </c>
      <c r="F1706" s="16" t="s">
        <v>6370</v>
      </c>
      <c r="G1706" s="16" t="s">
        <v>6371</v>
      </c>
      <c r="H1706" s="20" t="s">
        <v>69</v>
      </c>
      <c r="I1706" s="21" t="s">
        <v>70</v>
      </c>
      <c r="J1706" s="22" t="s">
        <v>71</v>
      </c>
      <c r="K1706" s="23">
        <v>65.0</v>
      </c>
      <c r="L1706" s="24">
        <v>11.0</v>
      </c>
      <c r="M1706" s="24" t="str">
        <f>IFERROR(VLOOKUP(D1706,'Chủ đề bài nguồn'!$A$2:$C$735,3,0),"Khác")</f>
        <v>Tiết kiệm &amp; lãi suất tiền gửi</v>
      </c>
      <c r="N1706" s="24"/>
    </row>
    <row r="1707">
      <c r="A1707" s="15">
        <v>1705.0</v>
      </c>
      <c r="B1707" s="16" t="s">
        <v>1145</v>
      </c>
      <c r="C1707" s="18" t="s">
        <v>4203</v>
      </c>
      <c r="D1707" s="16" t="s">
        <v>3038</v>
      </c>
      <c r="E1707" s="16" t="s">
        <v>5691</v>
      </c>
      <c r="F1707" s="16" t="s">
        <v>6372</v>
      </c>
      <c r="G1707" s="16" t="s">
        <v>6373</v>
      </c>
      <c r="H1707" s="20" t="s">
        <v>69</v>
      </c>
      <c r="I1707" s="21" t="s">
        <v>70</v>
      </c>
      <c r="J1707" s="22" t="s">
        <v>71</v>
      </c>
      <c r="K1707" s="23">
        <v>65.0</v>
      </c>
      <c r="L1707" s="24">
        <v>11.0</v>
      </c>
      <c r="M1707" s="24" t="str">
        <f>IFERROR(VLOOKUP(D1707,'Chủ đề bài nguồn'!$A$2:$C$735,3,0),"Khác")</f>
        <v>Tiết kiệm &amp; lãi suất tiền gửi</v>
      </c>
      <c r="N1707" s="24"/>
    </row>
    <row r="1708">
      <c r="A1708" s="15">
        <v>1706.0</v>
      </c>
      <c r="B1708" s="16" t="s">
        <v>1145</v>
      </c>
      <c r="C1708" s="18" t="s">
        <v>4203</v>
      </c>
      <c r="D1708" s="16" t="s">
        <v>1889</v>
      </c>
      <c r="E1708" s="16" t="s">
        <v>710</v>
      </c>
      <c r="F1708" s="16" t="s">
        <v>6374</v>
      </c>
      <c r="G1708" s="16" t="s">
        <v>6375</v>
      </c>
      <c r="H1708" s="20" t="s">
        <v>155</v>
      </c>
      <c r="I1708" s="21" t="s">
        <v>70</v>
      </c>
      <c r="J1708" s="22" t="s">
        <v>71</v>
      </c>
      <c r="K1708" s="23">
        <v>65.0</v>
      </c>
      <c r="L1708" s="24">
        <v>21.0</v>
      </c>
      <c r="M1708" s="24" t="str">
        <f>IFERROR(VLOOKUP(D1708,'Chủ đề bài nguồn'!$A$2:$C$735,3,0),"Khác")</f>
        <v>Tiết kiệm &amp; lãi suất tiền gửi</v>
      </c>
      <c r="N1708" s="24"/>
    </row>
    <row r="1709">
      <c r="A1709" s="15">
        <v>1707.0</v>
      </c>
      <c r="B1709" s="16" t="s">
        <v>1145</v>
      </c>
      <c r="C1709" s="18" t="s">
        <v>4203</v>
      </c>
      <c r="D1709" s="16" t="s">
        <v>2865</v>
      </c>
      <c r="E1709" s="16" t="s">
        <v>6376</v>
      </c>
      <c r="F1709" s="16" t="s">
        <v>6377</v>
      </c>
      <c r="G1709" s="16" t="s">
        <v>6378</v>
      </c>
      <c r="H1709" s="20" t="s">
        <v>155</v>
      </c>
      <c r="I1709" s="21" t="s">
        <v>70</v>
      </c>
      <c r="J1709" s="22" t="s">
        <v>5606</v>
      </c>
      <c r="K1709" s="23">
        <v>65.0</v>
      </c>
      <c r="L1709" s="24">
        <v>21.0</v>
      </c>
      <c r="M1709" s="24" t="str">
        <f>IFERROR(VLOOKUP(D1709,'Chủ đề bài nguồn'!$A$2:$C$735,3,0),"Khác")</f>
        <v>Tiết kiệm &amp; lãi suất tiền gửi</v>
      </c>
      <c r="N1709" s="24"/>
    </row>
    <row r="1710">
      <c r="A1710" s="15">
        <v>1708.0</v>
      </c>
      <c r="B1710" s="16" t="s">
        <v>1145</v>
      </c>
      <c r="C1710" s="18" t="s">
        <v>4203</v>
      </c>
      <c r="D1710" s="16" t="s">
        <v>2864</v>
      </c>
      <c r="E1710" s="16" t="s">
        <v>4339</v>
      </c>
      <c r="F1710" s="16" t="s">
        <v>6379</v>
      </c>
      <c r="G1710" s="16" t="s">
        <v>6380</v>
      </c>
      <c r="H1710" s="20" t="s">
        <v>155</v>
      </c>
      <c r="I1710" s="21" t="s">
        <v>70</v>
      </c>
      <c r="J1710" s="22" t="s">
        <v>5606</v>
      </c>
      <c r="K1710" s="23">
        <v>65.0</v>
      </c>
      <c r="L1710" s="24">
        <v>21.0</v>
      </c>
      <c r="M1710" s="24" t="str">
        <f>IFERROR(VLOOKUP(D1710,'Chủ đề bài nguồn'!$A$2:$C$735,3,0),"Khác")</f>
        <v>Tiết kiệm &amp; lãi suất tiền gửi</v>
      </c>
      <c r="N1710" s="24"/>
    </row>
    <row r="1711">
      <c r="A1711" s="15">
        <v>1709.0</v>
      </c>
      <c r="B1711" s="16" t="s">
        <v>1145</v>
      </c>
      <c r="C1711" s="18" t="s">
        <v>4203</v>
      </c>
      <c r="D1711" s="16" t="s">
        <v>2867</v>
      </c>
      <c r="E1711" s="16" t="s">
        <v>6381</v>
      </c>
      <c r="F1711" s="16" t="s">
        <v>6382</v>
      </c>
      <c r="G1711" s="16" t="s">
        <v>6383</v>
      </c>
      <c r="H1711" s="20" t="s">
        <v>155</v>
      </c>
      <c r="I1711" s="21" t="s">
        <v>70</v>
      </c>
      <c r="J1711" s="22" t="s">
        <v>71</v>
      </c>
      <c r="K1711" s="23">
        <v>65.0</v>
      </c>
      <c r="L1711" s="24">
        <v>21.0</v>
      </c>
      <c r="M1711" s="24" t="str">
        <f>IFERROR(VLOOKUP(D1711,'Chủ đề bài nguồn'!$A$2:$C$735,3,0),"Khác")</f>
        <v>Tiết kiệm &amp; lãi suất tiền gửi</v>
      </c>
      <c r="N1711" s="24"/>
    </row>
    <row r="1712">
      <c r="A1712" s="15">
        <v>1710.0</v>
      </c>
      <c r="B1712" s="16" t="s">
        <v>1145</v>
      </c>
      <c r="C1712" s="18" t="s">
        <v>4203</v>
      </c>
      <c r="D1712" s="16" t="s">
        <v>3099</v>
      </c>
      <c r="E1712" s="16" t="s">
        <v>6238</v>
      </c>
      <c r="F1712" s="16" t="s">
        <v>6384</v>
      </c>
      <c r="G1712" s="16" t="s">
        <v>6385</v>
      </c>
      <c r="H1712" s="20" t="s">
        <v>155</v>
      </c>
      <c r="I1712" s="21" t="s">
        <v>70</v>
      </c>
      <c r="J1712" s="22" t="s">
        <v>71</v>
      </c>
      <c r="K1712" s="23">
        <v>65.0</v>
      </c>
      <c r="L1712" s="24">
        <v>21.0</v>
      </c>
      <c r="M1712" s="24" t="str">
        <f>IFERROR(VLOOKUP(D1712,'Chủ đề bài nguồn'!$A$2:$C$735,3,0),"Khác")</f>
        <v>Tiết kiệm &amp; lãi suất tiền gửi</v>
      </c>
      <c r="N1712" s="24"/>
    </row>
    <row r="1713">
      <c r="A1713" s="15">
        <v>1711.0</v>
      </c>
      <c r="B1713" s="16" t="s">
        <v>1145</v>
      </c>
      <c r="C1713" s="18" t="s">
        <v>4203</v>
      </c>
      <c r="D1713" s="16" t="s">
        <v>231</v>
      </c>
      <c r="E1713" s="16" t="s">
        <v>6386</v>
      </c>
      <c r="F1713" s="16" t="s">
        <v>6387</v>
      </c>
      <c r="G1713" s="16" t="s">
        <v>6388</v>
      </c>
      <c r="H1713" s="20" t="s">
        <v>155</v>
      </c>
      <c r="I1713" s="21" t="s">
        <v>70</v>
      </c>
      <c r="J1713" s="22" t="s">
        <v>71</v>
      </c>
      <c r="K1713" s="23">
        <v>65.0</v>
      </c>
      <c r="L1713" s="24">
        <v>21.0</v>
      </c>
      <c r="M1713" s="24" t="str">
        <f>IFERROR(VLOOKUP(D1713,'Chủ đề bài nguồn'!$A$2:$C$735,3,0),"Khác")</f>
        <v>Tiết kiệm &amp; lãi suất tiền gửi</v>
      </c>
      <c r="N1713" s="24"/>
    </row>
    <row r="1714">
      <c r="A1714" s="15">
        <v>1712.0</v>
      </c>
      <c r="B1714" s="16" t="s">
        <v>1145</v>
      </c>
      <c r="C1714" s="18" t="s">
        <v>4203</v>
      </c>
      <c r="D1714" s="16" t="s">
        <v>1878</v>
      </c>
      <c r="E1714" s="16" t="s">
        <v>1880</v>
      </c>
      <c r="F1714" s="16" t="s">
        <v>6389</v>
      </c>
      <c r="G1714" s="16" t="s">
        <v>6385</v>
      </c>
      <c r="H1714" s="20" t="s">
        <v>155</v>
      </c>
      <c r="I1714" s="21" t="s">
        <v>70</v>
      </c>
      <c r="J1714" s="22" t="s">
        <v>71</v>
      </c>
      <c r="K1714" s="23">
        <v>65.0</v>
      </c>
      <c r="L1714" s="24">
        <v>21.0</v>
      </c>
      <c r="M1714" s="24" t="str">
        <f>IFERROR(VLOOKUP(D1714,'Chủ đề bài nguồn'!$A$2:$C$735,3,0),"Khác")</f>
        <v>Đầu tư, CCTG, trái phiếu, vàng</v>
      </c>
      <c r="N1714" s="24"/>
    </row>
    <row r="1715">
      <c r="A1715" s="15">
        <v>1713.0</v>
      </c>
      <c r="B1715" s="16" t="s">
        <v>1145</v>
      </c>
      <c r="C1715" s="18" t="s">
        <v>4203</v>
      </c>
      <c r="D1715" s="16" t="s">
        <v>963</v>
      </c>
      <c r="E1715" s="16" t="s">
        <v>5658</v>
      </c>
      <c r="F1715" s="16" t="s">
        <v>6390</v>
      </c>
      <c r="G1715" s="16" t="s">
        <v>6391</v>
      </c>
      <c r="H1715" s="20" t="s">
        <v>155</v>
      </c>
      <c r="I1715" s="21" t="s">
        <v>70</v>
      </c>
      <c r="J1715" s="22" t="s">
        <v>71</v>
      </c>
      <c r="K1715" s="23">
        <v>65.0</v>
      </c>
      <c r="L1715" s="24">
        <v>21.0</v>
      </c>
      <c r="M1715" s="24" t="str">
        <f>IFERROR(VLOOKUP(D1715,'Chủ đề bài nguồn'!$A$2:$C$735,3,0),"Khác")</f>
        <v>Đầu tư, CCTG, trái phiếu, vàng</v>
      </c>
      <c r="N1715" s="24"/>
    </row>
    <row r="1716">
      <c r="A1716" s="15">
        <v>1714.0</v>
      </c>
      <c r="B1716" s="16" t="s">
        <v>1145</v>
      </c>
      <c r="C1716" s="18" t="s">
        <v>4203</v>
      </c>
      <c r="D1716" s="16" t="s">
        <v>2877</v>
      </c>
      <c r="E1716" s="16" t="s">
        <v>5962</v>
      </c>
      <c r="F1716" s="16" t="s">
        <v>6392</v>
      </c>
      <c r="G1716" s="16" t="s">
        <v>6393</v>
      </c>
      <c r="H1716" s="20" t="s">
        <v>155</v>
      </c>
      <c r="I1716" s="21" t="s">
        <v>70</v>
      </c>
      <c r="J1716" s="22" t="s">
        <v>71</v>
      </c>
      <c r="K1716" s="23">
        <v>65.0</v>
      </c>
      <c r="L1716" s="24">
        <v>21.0</v>
      </c>
      <c r="M1716" s="24" t="str">
        <f>IFERROR(VLOOKUP(D1716,'Chủ đề bài nguồn'!$A$2:$C$735,3,0),"Khác")</f>
        <v>Đầu tư, CCTG, trái phiếu, vàng</v>
      </c>
      <c r="N1716" s="24"/>
    </row>
    <row r="1717">
      <c r="A1717" s="15">
        <v>1715.0</v>
      </c>
      <c r="B1717" s="16" t="s">
        <v>1145</v>
      </c>
      <c r="C1717" s="18" t="s">
        <v>4203</v>
      </c>
      <c r="D1717" s="16" t="s">
        <v>2619</v>
      </c>
      <c r="E1717" s="16" t="s">
        <v>6394</v>
      </c>
      <c r="F1717" s="16" t="s">
        <v>6395</v>
      </c>
      <c r="G1717" s="16" t="s">
        <v>6396</v>
      </c>
      <c r="H1717" s="20" t="s">
        <v>155</v>
      </c>
      <c r="I1717" s="21" t="s">
        <v>70</v>
      </c>
      <c r="J1717" s="22" t="s">
        <v>71</v>
      </c>
      <c r="K1717" s="23">
        <v>65.0</v>
      </c>
      <c r="L1717" s="24">
        <v>21.0</v>
      </c>
      <c r="M1717" s="24" t="str">
        <f>IFERROR(VLOOKUP(D1717,'Chủ đề bài nguồn'!$A$2:$C$735,3,0),"Khác")</f>
        <v>Tài khoản &amp; ngân hàng số</v>
      </c>
      <c r="N1717" s="24"/>
    </row>
    <row r="1718">
      <c r="A1718" s="15">
        <v>1716.0</v>
      </c>
      <c r="B1718" s="16" t="s">
        <v>1145</v>
      </c>
      <c r="C1718" s="18" t="s">
        <v>4203</v>
      </c>
      <c r="D1718" s="16" t="s">
        <v>2764</v>
      </c>
      <c r="E1718" s="16" t="s">
        <v>5912</v>
      </c>
      <c r="F1718" s="16" t="s">
        <v>6397</v>
      </c>
      <c r="G1718" s="16" t="s">
        <v>6398</v>
      </c>
      <c r="H1718" s="20" t="s">
        <v>155</v>
      </c>
      <c r="I1718" s="21" t="s">
        <v>70</v>
      </c>
      <c r="J1718" s="22" t="s">
        <v>71</v>
      </c>
      <c r="K1718" s="23">
        <v>65.0</v>
      </c>
      <c r="L1718" s="24">
        <v>21.0</v>
      </c>
      <c r="M1718" s="24" t="str">
        <f>IFERROR(VLOOKUP(D1718,'Chủ đề bài nguồn'!$A$2:$C$735,3,0),"Khác")</f>
        <v>Đầu tư, CCTG, trái phiếu, vàng</v>
      </c>
      <c r="N1718" s="24"/>
    </row>
    <row r="1719">
      <c r="A1719" s="15">
        <v>1717.0</v>
      </c>
      <c r="B1719" s="16" t="s">
        <v>1145</v>
      </c>
      <c r="C1719" s="18" t="s">
        <v>4203</v>
      </c>
      <c r="D1719" s="16" t="s">
        <v>2770</v>
      </c>
      <c r="E1719" s="16" t="s">
        <v>5847</v>
      </c>
      <c r="F1719" s="16" t="s">
        <v>6399</v>
      </c>
      <c r="G1719" s="16" t="s">
        <v>6400</v>
      </c>
      <c r="H1719" s="20" t="s">
        <v>155</v>
      </c>
      <c r="I1719" s="21" t="s">
        <v>70</v>
      </c>
      <c r="J1719" s="22" t="s">
        <v>71</v>
      </c>
      <c r="K1719" s="23">
        <v>65.0</v>
      </c>
      <c r="L1719" s="24">
        <v>21.0</v>
      </c>
      <c r="M1719" s="24" t="str">
        <f>IFERROR(VLOOKUP(D1719,'Chủ đề bài nguồn'!$A$2:$C$735,3,0),"Khác")</f>
        <v>Đầu tư, CCTG, trái phiếu, vàng</v>
      </c>
      <c r="N1719" s="24"/>
    </row>
    <row r="1720">
      <c r="A1720" s="15">
        <v>1718.0</v>
      </c>
      <c r="B1720" s="16" t="s">
        <v>1145</v>
      </c>
      <c r="C1720" s="18" t="s">
        <v>2258</v>
      </c>
      <c r="D1720" s="16" t="s">
        <v>1852</v>
      </c>
      <c r="E1720" s="16" t="s">
        <v>6401</v>
      </c>
      <c r="F1720" s="16" t="s">
        <v>6402</v>
      </c>
      <c r="G1720" s="16" t="s">
        <v>6403</v>
      </c>
      <c r="H1720" s="20" t="s">
        <v>155</v>
      </c>
      <c r="I1720" s="21" t="s">
        <v>70</v>
      </c>
      <c r="J1720" s="22" t="s">
        <v>71</v>
      </c>
      <c r="K1720" s="23">
        <v>65.0</v>
      </c>
      <c r="L1720" s="24">
        <v>21.0</v>
      </c>
      <c r="M1720" s="24" t="str">
        <f>IFERROR(VLOOKUP(D1720,'Chủ đề bài nguồn'!$A$2:$C$735,3,0),"Khác")</f>
        <v>Tiết kiệm &amp; lãi suất tiền gửi</v>
      </c>
      <c r="N1720" s="24"/>
    </row>
    <row r="1721">
      <c r="A1721" s="15">
        <v>1719.0</v>
      </c>
      <c r="B1721" s="16" t="s">
        <v>1145</v>
      </c>
      <c r="C1721" s="18" t="s">
        <v>2258</v>
      </c>
      <c r="D1721" s="16" t="s">
        <v>2902</v>
      </c>
      <c r="E1721" s="16" t="s">
        <v>6404</v>
      </c>
      <c r="F1721" s="16" t="s">
        <v>6405</v>
      </c>
      <c r="G1721" s="16" t="s">
        <v>6406</v>
      </c>
      <c r="H1721" s="20" t="s">
        <v>155</v>
      </c>
      <c r="I1721" s="21" t="s">
        <v>70</v>
      </c>
      <c r="J1721" s="22" t="s">
        <v>619</v>
      </c>
      <c r="K1721" s="23">
        <v>65.0</v>
      </c>
      <c r="L1721" s="24">
        <v>21.0</v>
      </c>
      <c r="M1721" s="24" t="str">
        <f>IFERROR(VLOOKUP(D1721,'Chủ đề bài nguồn'!$A$2:$C$735,3,0),"Khác")</f>
        <v>Đầu tư, CCTG, trái phiếu, vàng</v>
      </c>
      <c r="N1721" s="24"/>
    </row>
    <row r="1722">
      <c r="A1722" s="15">
        <v>1720.0</v>
      </c>
      <c r="B1722" s="39" t="s">
        <v>1145</v>
      </c>
      <c r="C1722" s="18" t="s">
        <v>2258</v>
      </c>
      <c r="D1722" s="39" t="s">
        <v>2792</v>
      </c>
      <c r="E1722" s="16" t="s">
        <v>6407</v>
      </c>
      <c r="F1722" s="16" t="s">
        <v>6408</v>
      </c>
      <c r="G1722" s="16" t="s">
        <v>6409</v>
      </c>
      <c r="H1722" s="20" t="s">
        <v>155</v>
      </c>
      <c r="I1722" s="21" t="s">
        <v>70</v>
      </c>
      <c r="J1722" s="22" t="s">
        <v>6410</v>
      </c>
      <c r="K1722" s="23">
        <v>65.0</v>
      </c>
      <c r="L1722" s="24">
        <v>21.0</v>
      </c>
      <c r="M1722" s="24" t="str">
        <f>IFERROR(VLOOKUP(D1722,'Chủ đề bài nguồn'!$A$2:$C$735,3,0),"Khác")</f>
        <v>Đầu tư, CCTG, trái phiếu, vàng</v>
      </c>
      <c r="N1722" s="24"/>
    </row>
    <row r="1723">
      <c r="A1723" s="15">
        <v>1721.0</v>
      </c>
      <c r="B1723" s="16" t="s">
        <v>1145</v>
      </c>
      <c r="C1723" s="18" t="s">
        <v>4203</v>
      </c>
      <c r="D1723" s="16" t="s">
        <v>3205</v>
      </c>
      <c r="E1723" s="16" t="s">
        <v>6411</v>
      </c>
      <c r="F1723" s="16" t="s">
        <v>6412</v>
      </c>
      <c r="G1723" s="16" t="s">
        <v>6413</v>
      </c>
      <c r="H1723" s="20" t="s">
        <v>229</v>
      </c>
      <c r="I1723" s="21" t="s">
        <v>70</v>
      </c>
      <c r="J1723" s="22" t="s">
        <v>6414</v>
      </c>
      <c r="K1723" s="23">
        <v>65.0</v>
      </c>
      <c r="L1723" s="24">
        <v>31.0</v>
      </c>
      <c r="M1723" s="24" t="str">
        <f>IFERROR(VLOOKUP(D1723,'Chủ đề bài nguồn'!$A$2:$C$735,3,0),"Khác")</f>
        <v>Thẻ tín dụng</v>
      </c>
      <c r="N1723" s="24"/>
    </row>
    <row r="1724">
      <c r="A1724" s="15">
        <v>1722.0</v>
      </c>
      <c r="B1724" s="16" t="s">
        <v>1145</v>
      </c>
      <c r="C1724" s="18" t="s">
        <v>2258</v>
      </c>
      <c r="D1724" s="16" t="s">
        <v>3100</v>
      </c>
      <c r="E1724" s="16" t="s">
        <v>5607</v>
      </c>
      <c r="F1724" s="16" t="s">
        <v>6415</v>
      </c>
      <c r="G1724" s="16" t="s">
        <v>6416</v>
      </c>
      <c r="H1724" s="20" t="s">
        <v>229</v>
      </c>
      <c r="I1724" s="21" t="s">
        <v>70</v>
      </c>
      <c r="J1724" s="22" t="s">
        <v>71</v>
      </c>
      <c r="K1724" s="23">
        <v>65.0</v>
      </c>
      <c r="L1724" s="24">
        <v>31.0</v>
      </c>
      <c r="M1724" s="24" t="str">
        <f>IFERROR(VLOOKUP(D1724,'Chủ đề bài nguồn'!$A$2:$C$735,3,0),"Khác")</f>
        <v>Vay thế chấp &amp; mua nhà/xe</v>
      </c>
      <c r="N1724" s="24"/>
    </row>
    <row r="1725">
      <c r="A1725" s="15">
        <v>1723.0</v>
      </c>
      <c r="B1725" s="16" t="s">
        <v>1145</v>
      </c>
      <c r="C1725" s="18" t="s">
        <v>2258</v>
      </c>
      <c r="D1725" s="16" t="s">
        <v>1179</v>
      </c>
      <c r="E1725" s="16" t="s">
        <v>6417</v>
      </c>
      <c r="F1725" s="16" t="s">
        <v>6418</v>
      </c>
      <c r="G1725" s="16" t="s">
        <v>6416</v>
      </c>
      <c r="H1725" s="20" t="s">
        <v>229</v>
      </c>
      <c r="I1725" s="21" t="s">
        <v>70</v>
      </c>
      <c r="J1725" s="22" t="s">
        <v>71</v>
      </c>
      <c r="K1725" s="23">
        <v>65.0</v>
      </c>
      <c r="L1725" s="24">
        <v>31.0</v>
      </c>
      <c r="M1725" s="24" t="str">
        <f>IFERROR(VLOOKUP(D1725,'Chủ đề bài nguồn'!$A$2:$C$735,3,0),"Khác")</f>
        <v>Đầu tư, CCTG, trái phiếu, vàng</v>
      </c>
      <c r="N1725" s="24"/>
    </row>
    <row r="1726">
      <c r="A1726" s="15">
        <v>1724.0</v>
      </c>
      <c r="B1726" s="16" t="s">
        <v>1145</v>
      </c>
      <c r="C1726" s="18" t="s">
        <v>2258</v>
      </c>
      <c r="D1726" s="16" t="s">
        <v>1529</v>
      </c>
      <c r="E1726" s="16" t="s">
        <v>6419</v>
      </c>
      <c r="F1726" s="16" t="s">
        <v>6420</v>
      </c>
      <c r="G1726" s="16" t="s">
        <v>6421</v>
      </c>
      <c r="H1726" s="20" t="s">
        <v>229</v>
      </c>
      <c r="I1726" s="21" t="s">
        <v>70</v>
      </c>
      <c r="J1726" s="22" t="s">
        <v>1425</v>
      </c>
      <c r="K1726" s="23">
        <v>65.0</v>
      </c>
      <c r="L1726" s="24">
        <v>31.0</v>
      </c>
      <c r="M1726" s="24" t="str">
        <f>IFERROR(VLOOKUP(D1726,'Chủ đề bài nguồn'!$A$2:$C$735,3,0),"Khác")</f>
        <v>Đầu tư, CCTG, trái phiếu, vàng</v>
      </c>
      <c r="N1726" s="24"/>
    </row>
    <row r="1727">
      <c r="A1727" s="15">
        <v>1725.0</v>
      </c>
      <c r="B1727" s="39" t="s">
        <v>1145</v>
      </c>
      <c r="C1727" s="18" t="s">
        <v>2258</v>
      </c>
      <c r="D1727" s="39" t="s">
        <v>1411</v>
      </c>
      <c r="E1727" s="16" t="s">
        <v>6422</v>
      </c>
      <c r="F1727" s="16" t="s">
        <v>6423</v>
      </c>
      <c r="G1727" s="16" t="s">
        <v>6421</v>
      </c>
      <c r="H1727" s="20" t="s">
        <v>229</v>
      </c>
      <c r="I1727" s="21" t="s">
        <v>70</v>
      </c>
      <c r="J1727" s="22" t="s">
        <v>1073</v>
      </c>
      <c r="K1727" s="23">
        <v>65.0</v>
      </c>
      <c r="L1727" s="24">
        <v>31.0</v>
      </c>
      <c r="M1727" s="24" t="str">
        <f>IFERROR(VLOOKUP(D1727,'Chủ đề bài nguồn'!$A$2:$C$735,3,0),"Khác")</f>
        <v>Đầu tư, CCTG, trái phiếu, vàng</v>
      </c>
      <c r="N1727" s="24"/>
    </row>
    <row r="1728">
      <c r="A1728" s="15">
        <v>1726.0</v>
      </c>
      <c r="B1728" s="39" t="s">
        <v>1145</v>
      </c>
      <c r="C1728" s="18" t="s">
        <v>2258</v>
      </c>
      <c r="D1728" s="39" t="s">
        <v>2724</v>
      </c>
      <c r="E1728" s="16" t="s">
        <v>6424</v>
      </c>
      <c r="F1728" s="16" t="s">
        <v>6425</v>
      </c>
      <c r="G1728" s="16" t="s">
        <v>6426</v>
      </c>
      <c r="H1728" s="20" t="s">
        <v>229</v>
      </c>
      <c r="I1728" s="21" t="s">
        <v>70</v>
      </c>
      <c r="J1728" s="22" t="s">
        <v>71</v>
      </c>
      <c r="K1728" s="23">
        <v>65.0</v>
      </c>
      <c r="L1728" s="24">
        <v>31.0</v>
      </c>
      <c r="M1728" s="24" t="str">
        <f>IFERROR(VLOOKUP(D1728,'Chủ đề bài nguồn'!$A$2:$C$735,3,0),"Khác")</f>
        <v>Đầu tư, CCTG, trái phiếu, vàng</v>
      </c>
      <c r="N1728" s="24"/>
    </row>
    <row r="1729">
      <c r="A1729" s="15">
        <v>1727.0</v>
      </c>
      <c r="B1729" s="39" t="s">
        <v>1145</v>
      </c>
      <c r="C1729" s="18" t="s">
        <v>2258</v>
      </c>
      <c r="D1729" s="39" t="s">
        <v>2913</v>
      </c>
      <c r="E1729" s="16" t="s">
        <v>6427</v>
      </c>
      <c r="F1729" s="16" t="s">
        <v>6428</v>
      </c>
      <c r="G1729" s="16" t="s">
        <v>6406</v>
      </c>
      <c r="H1729" s="20" t="s">
        <v>229</v>
      </c>
      <c r="I1729" s="21" t="s">
        <v>70</v>
      </c>
      <c r="J1729" s="22" t="s">
        <v>619</v>
      </c>
      <c r="K1729" s="23">
        <v>65.0</v>
      </c>
      <c r="L1729" s="24">
        <v>31.0</v>
      </c>
      <c r="M1729" s="24" t="str">
        <f>IFERROR(VLOOKUP(D1729,'Chủ đề bài nguồn'!$A$2:$C$735,3,0),"Khác")</f>
        <v>Quản lý tài chính cá nhân</v>
      </c>
      <c r="N1729" s="24"/>
    </row>
    <row r="1730">
      <c r="A1730" s="15">
        <v>1728.0</v>
      </c>
      <c r="B1730" s="16" t="s">
        <v>551</v>
      </c>
      <c r="C1730" s="18" t="s">
        <v>1855</v>
      </c>
      <c r="D1730" s="16" t="s">
        <v>3283</v>
      </c>
      <c r="E1730" s="16" t="s">
        <v>5499</v>
      </c>
      <c r="F1730" s="16" t="s">
        <v>6429</v>
      </c>
      <c r="G1730" s="16" t="s">
        <v>6430</v>
      </c>
      <c r="H1730" s="20" t="s">
        <v>69</v>
      </c>
      <c r="I1730" s="21" t="s">
        <v>70</v>
      </c>
      <c r="J1730" s="22" t="s">
        <v>71</v>
      </c>
      <c r="K1730" s="23">
        <v>66.0</v>
      </c>
      <c r="L1730" s="24">
        <v>11.0</v>
      </c>
      <c r="M1730" s="24" t="str">
        <f>IFERROR(VLOOKUP(D1730,'Chủ đề bài nguồn'!$A$2:$C$735,3,0),"Khác")</f>
        <v>Vay tiêu dùng &amp; tín chấp</v>
      </c>
      <c r="N1730" s="24"/>
    </row>
    <row r="1731">
      <c r="A1731" s="15">
        <v>1729.0</v>
      </c>
      <c r="B1731" s="16" t="s">
        <v>551</v>
      </c>
      <c r="C1731" s="18" t="s">
        <v>1855</v>
      </c>
      <c r="D1731" s="16" t="s">
        <v>2239</v>
      </c>
      <c r="E1731" s="16" t="s">
        <v>5524</v>
      </c>
      <c r="F1731" s="16" t="s">
        <v>6431</v>
      </c>
      <c r="G1731" s="16" t="s">
        <v>6432</v>
      </c>
      <c r="H1731" s="20" t="s">
        <v>69</v>
      </c>
      <c r="I1731" s="21" t="s">
        <v>70</v>
      </c>
      <c r="J1731" s="22" t="s">
        <v>71</v>
      </c>
      <c r="K1731" s="23">
        <v>66.0</v>
      </c>
      <c r="L1731" s="24">
        <v>11.0</v>
      </c>
      <c r="M1731" s="24" t="str">
        <f>IFERROR(VLOOKUP(D1731,'Chủ đề bài nguồn'!$A$2:$C$735,3,0),"Khác")</f>
        <v>Vay thế chấp &amp; mua nhà/xe</v>
      </c>
      <c r="N1731" s="24"/>
    </row>
    <row r="1732">
      <c r="A1732" s="15">
        <v>1730.0</v>
      </c>
      <c r="B1732" s="16" t="s">
        <v>551</v>
      </c>
      <c r="C1732" s="18" t="s">
        <v>1855</v>
      </c>
      <c r="D1732" s="16" t="s">
        <v>1102</v>
      </c>
      <c r="E1732" s="16" t="s">
        <v>5521</v>
      </c>
      <c r="F1732" s="16" t="s">
        <v>6433</v>
      </c>
      <c r="G1732" s="16" t="s">
        <v>6434</v>
      </c>
      <c r="H1732" s="20" t="s">
        <v>69</v>
      </c>
      <c r="I1732" s="21" t="s">
        <v>70</v>
      </c>
      <c r="J1732" s="22" t="s">
        <v>5644</v>
      </c>
      <c r="K1732" s="23">
        <v>66.0</v>
      </c>
      <c r="L1732" s="24">
        <v>11.0</v>
      </c>
      <c r="M1732" s="24" t="str">
        <f>IFERROR(VLOOKUP(D1732,'Chủ đề bài nguồn'!$A$2:$C$735,3,0),"Khác")</f>
        <v>Vay tiêu dùng &amp; tín chấp</v>
      </c>
      <c r="N1732" s="24"/>
    </row>
    <row r="1733">
      <c r="A1733" s="15">
        <v>1731.0</v>
      </c>
      <c r="B1733" s="16" t="s">
        <v>551</v>
      </c>
      <c r="C1733" s="18" t="s">
        <v>1855</v>
      </c>
      <c r="D1733" s="16" t="s">
        <v>3291</v>
      </c>
      <c r="E1733" s="16" t="s">
        <v>4987</v>
      </c>
      <c r="F1733" s="16" t="s">
        <v>6435</v>
      </c>
      <c r="G1733" s="16" t="s">
        <v>6436</v>
      </c>
      <c r="H1733" s="20" t="s">
        <v>69</v>
      </c>
      <c r="I1733" s="21" t="s">
        <v>70</v>
      </c>
      <c r="J1733" s="22" t="s">
        <v>71</v>
      </c>
      <c r="K1733" s="23">
        <v>66.0</v>
      </c>
      <c r="L1733" s="24">
        <v>11.0</v>
      </c>
      <c r="M1733" s="24" t="str">
        <f>IFERROR(VLOOKUP(D1733,'Chủ đề bài nguồn'!$A$2:$C$735,3,0),"Khác")</f>
        <v>Vay tiêu dùng &amp; tín chấp</v>
      </c>
      <c r="N1733" s="24"/>
    </row>
    <row r="1734">
      <c r="A1734" s="15">
        <v>1732.0</v>
      </c>
      <c r="B1734" s="16" t="s">
        <v>551</v>
      </c>
      <c r="C1734" s="18" t="s">
        <v>1855</v>
      </c>
      <c r="D1734" s="16" t="s">
        <v>62</v>
      </c>
      <c r="E1734" s="16" t="s">
        <v>6437</v>
      </c>
      <c r="F1734" s="16" t="s">
        <v>6438</v>
      </c>
      <c r="G1734" s="16" t="s">
        <v>6439</v>
      </c>
      <c r="H1734" s="20" t="s">
        <v>69</v>
      </c>
      <c r="I1734" s="21" t="s">
        <v>70</v>
      </c>
      <c r="J1734" s="22" t="s">
        <v>71</v>
      </c>
      <c r="K1734" s="23">
        <v>66.0</v>
      </c>
      <c r="L1734" s="24">
        <v>11.0</v>
      </c>
      <c r="M1734" s="24" t="str">
        <f>IFERROR(VLOOKUP(D1734,'Chủ đề bài nguồn'!$A$2:$C$735,3,0),"Khác")</f>
        <v>Vay thế chấp &amp; mua nhà/xe</v>
      </c>
      <c r="N1734" s="24"/>
    </row>
    <row r="1735">
      <c r="A1735" s="15">
        <v>1733.0</v>
      </c>
      <c r="B1735" s="16" t="s">
        <v>551</v>
      </c>
      <c r="C1735" s="18" t="s">
        <v>1855</v>
      </c>
      <c r="D1735" s="16" t="s">
        <v>3029</v>
      </c>
      <c r="E1735" s="16" t="s">
        <v>6440</v>
      </c>
      <c r="F1735" s="16" t="s">
        <v>6441</v>
      </c>
      <c r="G1735" s="16" t="s">
        <v>6442</v>
      </c>
      <c r="H1735" s="20" t="s">
        <v>69</v>
      </c>
      <c r="I1735" s="21" t="s">
        <v>70</v>
      </c>
      <c r="J1735" s="22" t="s">
        <v>71</v>
      </c>
      <c r="K1735" s="23">
        <v>66.0</v>
      </c>
      <c r="L1735" s="24">
        <v>11.0</v>
      </c>
      <c r="M1735" s="24" t="str">
        <f>IFERROR(VLOOKUP(D1735,'Chủ đề bài nguồn'!$A$2:$C$735,3,0),"Khác")</f>
        <v>Vay thế chấp &amp; mua nhà/xe</v>
      </c>
      <c r="N1735" s="24"/>
    </row>
    <row r="1736">
      <c r="A1736" s="15">
        <v>1734.0</v>
      </c>
      <c r="B1736" s="16" t="s">
        <v>551</v>
      </c>
      <c r="C1736" s="18" t="s">
        <v>1855</v>
      </c>
      <c r="D1736" s="16" t="s">
        <v>149</v>
      </c>
      <c r="E1736" s="16" t="s">
        <v>6443</v>
      </c>
      <c r="F1736" s="16" t="s">
        <v>6444</v>
      </c>
      <c r="G1736" s="16" t="s">
        <v>6445</v>
      </c>
      <c r="H1736" s="20" t="s">
        <v>69</v>
      </c>
      <c r="I1736" s="21" t="s">
        <v>70</v>
      </c>
      <c r="J1736" s="22" t="s">
        <v>71</v>
      </c>
      <c r="K1736" s="23">
        <v>66.0</v>
      </c>
      <c r="L1736" s="24">
        <v>11.0</v>
      </c>
      <c r="M1736" s="24" t="str">
        <f>IFERROR(VLOOKUP(D1736,'Chủ đề bài nguồn'!$A$2:$C$735,3,0),"Khác")</f>
        <v>Vay thế chấp &amp; mua nhà/xe</v>
      </c>
      <c r="N1736" s="24"/>
    </row>
    <row r="1737">
      <c r="A1737" s="15">
        <v>1735.0</v>
      </c>
      <c r="B1737" s="16" t="s">
        <v>551</v>
      </c>
      <c r="C1737" s="18" t="s">
        <v>1855</v>
      </c>
      <c r="D1737" s="16" t="s">
        <v>3302</v>
      </c>
      <c r="E1737" s="16" t="s">
        <v>6446</v>
      </c>
      <c r="F1737" s="16" t="s">
        <v>6447</v>
      </c>
      <c r="G1737" s="16" t="s">
        <v>6434</v>
      </c>
      <c r="H1737" s="20" t="s">
        <v>69</v>
      </c>
      <c r="I1737" s="21" t="s">
        <v>70</v>
      </c>
      <c r="J1737" s="22" t="s">
        <v>71</v>
      </c>
      <c r="K1737" s="23">
        <v>66.0</v>
      </c>
      <c r="L1737" s="24">
        <v>11.0</v>
      </c>
      <c r="M1737" s="24" t="str">
        <f>IFERROR(VLOOKUP(D1737,'Chủ đề bài nguồn'!$A$2:$C$735,3,0),"Khác")</f>
        <v>Vay tiêu dùng &amp; tín chấp</v>
      </c>
      <c r="N1737" s="24"/>
    </row>
    <row r="1738">
      <c r="A1738" s="15">
        <v>1736.0</v>
      </c>
      <c r="B1738" s="16" t="s">
        <v>551</v>
      </c>
      <c r="C1738" s="18" t="s">
        <v>1855</v>
      </c>
      <c r="D1738" s="16" t="s">
        <v>2749</v>
      </c>
      <c r="E1738" s="16" t="s">
        <v>6448</v>
      </c>
      <c r="F1738" s="16" t="s">
        <v>6449</v>
      </c>
      <c r="G1738" s="16" t="s">
        <v>6450</v>
      </c>
      <c r="H1738" s="20" t="s">
        <v>69</v>
      </c>
      <c r="I1738" s="21" t="s">
        <v>70</v>
      </c>
      <c r="J1738" s="22" t="s">
        <v>71</v>
      </c>
      <c r="K1738" s="23">
        <v>66.0</v>
      </c>
      <c r="L1738" s="24">
        <v>11.0</v>
      </c>
      <c r="M1738" s="24" t="str">
        <f>IFERROR(VLOOKUP(D1738,'Chủ đề bài nguồn'!$A$2:$C$735,3,0),"Khác")</f>
        <v>Hộ kinh doanh &amp; bán hàng</v>
      </c>
      <c r="N1738" s="24"/>
    </row>
    <row r="1739">
      <c r="A1739" s="15">
        <v>1737.0</v>
      </c>
      <c r="B1739" s="16" t="s">
        <v>551</v>
      </c>
      <c r="C1739" s="18" t="s">
        <v>1855</v>
      </c>
      <c r="D1739" s="16" t="s">
        <v>2799</v>
      </c>
      <c r="E1739" s="16" t="s">
        <v>6451</v>
      </c>
      <c r="F1739" s="16" t="s">
        <v>6452</v>
      </c>
      <c r="G1739" s="16" t="s">
        <v>6453</v>
      </c>
      <c r="H1739" s="20" t="s">
        <v>69</v>
      </c>
      <c r="I1739" s="21" t="s">
        <v>70</v>
      </c>
      <c r="J1739" s="22" t="s">
        <v>6454</v>
      </c>
      <c r="K1739" s="23">
        <v>66.0</v>
      </c>
      <c r="L1739" s="24">
        <v>11.0</v>
      </c>
      <c r="M1739" s="24" t="str">
        <f>IFERROR(VLOOKUP(D1739,'Chủ đề bài nguồn'!$A$2:$C$735,3,0),"Khác")</f>
        <v>Vay thế chấp &amp; mua nhà/xe</v>
      </c>
      <c r="N1739" s="24"/>
    </row>
    <row r="1740">
      <c r="A1740" s="15">
        <v>1738.0</v>
      </c>
      <c r="B1740" s="16" t="s">
        <v>551</v>
      </c>
      <c r="C1740" s="18" t="s">
        <v>1855</v>
      </c>
      <c r="D1740" s="16" t="s">
        <v>3320</v>
      </c>
      <c r="E1740" s="16" t="s">
        <v>6455</v>
      </c>
      <c r="F1740" s="16" t="s">
        <v>6456</v>
      </c>
      <c r="G1740" s="16" t="s">
        <v>6457</v>
      </c>
      <c r="H1740" s="20" t="s">
        <v>69</v>
      </c>
      <c r="I1740" s="21" t="s">
        <v>70</v>
      </c>
      <c r="J1740" s="22" t="s">
        <v>71</v>
      </c>
      <c r="K1740" s="23">
        <v>66.0</v>
      </c>
      <c r="L1740" s="24">
        <v>11.0</v>
      </c>
      <c r="M1740" s="24" t="str">
        <f>IFERROR(VLOOKUP(D1740,'Chủ đề bài nguồn'!$A$2:$C$735,3,0),"Khác")</f>
        <v>Vay thế chấp &amp; mua nhà/xe</v>
      </c>
      <c r="N1740" s="24"/>
    </row>
    <row r="1741">
      <c r="A1741" s="15">
        <v>1739.0</v>
      </c>
      <c r="B1741" s="16" t="s">
        <v>551</v>
      </c>
      <c r="C1741" s="18" t="s">
        <v>1855</v>
      </c>
      <c r="D1741" s="16" t="s">
        <v>3246</v>
      </c>
      <c r="E1741" s="16" t="s">
        <v>3614</v>
      </c>
      <c r="F1741" s="16" t="s">
        <v>6458</v>
      </c>
      <c r="G1741" s="16" t="s">
        <v>6459</v>
      </c>
      <c r="H1741" s="20" t="s">
        <v>69</v>
      </c>
      <c r="I1741" s="21" t="s">
        <v>70</v>
      </c>
      <c r="J1741" s="22" t="s">
        <v>71</v>
      </c>
      <c r="K1741" s="23">
        <v>66.0</v>
      </c>
      <c r="L1741" s="24">
        <v>11.0</v>
      </c>
      <c r="M1741" s="24" t="str">
        <f>IFERROR(VLOOKUP(D1741,'Chủ đề bài nguồn'!$A$2:$C$735,3,0),"Khác")</f>
        <v>Vay tiêu dùng &amp; tín chấp</v>
      </c>
      <c r="N1741" s="24"/>
    </row>
    <row r="1742">
      <c r="A1742" s="15">
        <v>1740.0</v>
      </c>
      <c r="B1742" s="16" t="s">
        <v>551</v>
      </c>
      <c r="C1742" s="18" t="s">
        <v>1855</v>
      </c>
      <c r="D1742" s="16" t="s">
        <v>3292</v>
      </c>
      <c r="E1742" s="16" t="s">
        <v>6460</v>
      </c>
      <c r="F1742" s="16" t="s">
        <v>6461</v>
      </c>
      <c r="G1742" s="16" t="s">
        <v>6462</v>
      </c>
      <c r="H1742" s="20" t="s">
        <v>69</v>
      </c>
      <c r="I1742" s="21" t="s">
        <v>70</v>
      </c>
      <c r="J1742" s="22" t="s">
        <v>71</v>
      </c>
      <c r="K1742" s="23">
        <v>66.0</v>
      </c>
      <c r="L1742" s="24">
        <v>11.0</v>
      </c>
      <c r="M1742" s="24" t="str">
        <f>IFERROR(VLOOKUP(D1742,'Chủ đề bài nguồn'!$A$2:$C$735,3,0),"Khác")</f>
        <v>Vay tiêu dùng &amp; tín chấp</v>
      </c>
      <c r="N1742" s="24"/>
    </row>
    <row r="1743">
      <c r="A1743" s="15">
        <v>1741.0</v>
      </c>
      <c r="B1743" s="16" t="s">
        <v>551</v>
      </c>
      <c r="C1743" s="18" t="s">
        <v>1855</v>
      </c>
      <c r="D1743" s="16" t="s">
        <v>2750</v>
      </c>
      <c r="E1743" s="16" t="s">
        <v>6463</v>
      </c>
      <c r="F1743" s="16" t="s">
        <v>6464</v>
      </c>
      <c r="G1743" s="16" t="s">
        <v>6465</v>
      </c>
      <c r="H1743" s="20" t="s">
        <v>69</v>
      </c>
      <c r="I1743" s="21" t="s">
        <v>70</v>
      </c>
      <c r="J1743" s="22" t="s">
        <v>71</v>
      </c>
      <c r="K1743" s="23">
        <v>66.0</v>
      </c>
      <c r="L1743" s="24">
        <v>11.0</v>
      </c>
      <c r="M1743" s="24" t="str">
        <f>IFERROR(VLOOKUP(D1743,'Chủ đề bài nguồn'!$A$2:$C$735,3,0),"Khác")</f>
        <v>Vay tiêu dùng &amp; tín chấp</v>
      </c>
      <c r="N1743" s="24"/>
    </row>
    <row r="1744">
      <c r="A1744" s="15">
        <v>1742.0</v>
      </c>
      <c r="B1744" s="16" t="s">
        <v>551</v>
      </c>
      <c r="C1744" s="18" t="s">
        <v>1855</v>
      </c>
      <c r="D1744" s="16" t="s">
        <v>3214</v>
      </c>
      <c r="E1744" s="16" t="s">
        <v>6466</v>
      </c>
      <c r="F1744" s="16" t="s">
        <v>6467</v>
      </c>
      <c r="G1744" s="16" t="s">
        <v>6468</v>
      </c>
      <c r="H1744" s="20" t="s">
        <v>69</v>
      </c>
      <c r="I1744" s="21" t="s">
        <v>70</v>
      </c>
      <c r="J1744" s="22" t="s">
        <v>71</v>
      </c>
      <c r="K1744" s="23">
        <v>66.0</v>
      </c>
      <c r="L1744" s="24">
        <v>11.0</v>
      </c>
      <c r="M1744" s="24" t="str">
        <f>IFERROR(VLOOKUP(D1744,'Chủ đề bài nguồn'!$A$2:$C$735,3,0),"Khác")</f>
        <v>Doanh nghiệp (tài khoản, vay, tài chính)</v>
      </c>
      <c r="N1744" s="24"/>
    </row>
    <row r="1745">
      <c r="A1745" s="15">
        <v>1743.0</v>
      </c>
      <c r="B1745" s="16" t="s">
        <v>551</v>
      </c>
      <c r="C1745" s="18" t="s">
        <v>1855</v>
      </c>
      <c r="D1745" s="16" t="s">
        <v>3247</v>
      </c>
      <c r="E1745" s="16" t="s">
        <v>6469</v>
      </c>
      <c r="F1745" s="16" t="s">
        <v>6470</v>
      </c>
      <c r="G1745" s="16" t="s">
        <v>6450</v>
      </c>
      <c r="H1745" s="20" t="s">
        <v>69</v>
      </c>
      <c r="I1745" s="21" t="s">
        <v>70</v>
      </c>
      <c r="J1745" s="22" t="s">
        <v>71</v>
      </c>
      <c r="K1745" s="23">
        <v>66.0</v>
      </c>
      <c r="L1745" s="24">
        <v>11.0</v>
      </c>
      <c r="M1745" s="24" t="str">
        <f>IFERROR(VLOOKUP(D1745,'Chủ đề bài nguồn'!$A$2:$C$735,3,0),"Khác")</f>
        <v>Vay tiêu dùng &amp; tín chấp</v>
      </c>
      <c r="N1745" s="24"/>
    </row>
    <row r="1746">
      <c r="A1746" s="15">
        <v>1744.0</v>
      </c>
      <c r="B1746" s="16" t="s">
        <v>551</v>
      </c>
      <c r="C1746" s="18" t="s">
        <v>1855</v>
      </c>
      <c r="D1746" s="16" t="s">
        <v>2776</v>
      </c>
      <c r="E1746" s="16" t="s">
        <v>6471</v>
      </c>
      <c r="F1746" s="16" t="s">
        <v>6472</v>
      </c>
      <c r="G1746" s="16" t="s">
        <v>6473</v>
      </c>
      <c r="H1746" s="20" t="s">
        <v>69</v>
      </c>
      <c r="I1746" s="21" t="s">
        <v>70</v>
      </c>
      <c r="J1746" s="22" t="s">
        <v>71</v>
      </c>
      <c r="K1746" s="23">
        <v>66.0</v>
      </c>
      <c r="L1746" s="24">
        <v>11.0</v>
      </c>
      <c r="M1746" s="24" t="str">
        <f>IFERROR(VLOOKUP(D1746,'Chủ đề bài nguồn'!$A$2:$C$735,3,0),"Khác")</f>
        <v>Ngân hàng xanh &amp; thương hiệu</v>
      </c>
      <c r="N1746" s="24"/>
    </row>
    <row r="1747">
      <c r="A1747" s="15">
        <v>1745.0</v>
      </c>
      <c r="B1747" s="16" t="s">
        <v>551</v>
      </c>
      <c r="C1747" s="18" t="s">
        <v>1859</v>
      </c>
      <c r="D1747" s="16" t="s">
        <v>3304</v>
      </c>
      <c r="E1747" s="16" t="s">
        <v>5463</v>
      </c>
      <c r="F1747" s="16" t="s">
        <v>6474</v>
      </c>
      <c r="G1747" s="16" t="s">
        <v>6475</v>
      </c>
      <c r="H1747" s="20" t="s">
        <v>69</v>
      </c>
      <c r="I1747" s="21" t="s">
        <v>70</v>
      </c>
      <c r="J1747" s="22" t="s">
        <v>71</v>
      </c>
      <c r="K1747" s="23">
        <v>66.0</v>
      </c>
      <c r="L1747" s="24">
        <v>11.0</v>
      </c>
      <c r="M1747" s="24" t="str">
        <f>IFERROR(VLOOKUP(D1747,'Chủ đề bài nguồn'!$A$2:$C$735,3,0),"Khác")</f>
        <v>Vay thế chấp &amp; mua nhà/xe</v>
      </c>
      <c r="N1747" s="24"/>
    </row>
    <row r="1748">
      <c r="A1748" s="15">
        <v>1746.0</v>
      </c>
      <c r="B1748" s="16" t="s">
        <v>551</v>
      </c>
      <c r="C1748" s="18" t="s">
        <v>1859</v>
      </c>
      <c r="D1748" s="16" t="s">
        <v>2955</v>
      </c>
      <c r="E1748" s="16" t="s">
        <v>710</v>
      </c>
      <c r="F1748" s="16" t="s">
        <v>6476</v>
      </c>
      <c r="G1748" s="16" t="s">
        <v>6477</v>
      </c>
      <c r="H1748" s="20" t="s">
        <v>69</v>
      </c>
      <c r="I1748" s="21" t="s">
        <v>70</v>
      </c>
      <c r="J1748" s="22" t="s">
        <v>71</v>
      </c>
      <c r="K1748" s="23">
        <v>66.0</v>
      </c>
      <c r="L1748" s="24">
        <v>11.0</v>
      </c>
      <c r="M1748" s="24" t="str">
        <f>IFERROR(VLOOKUP(D1748,'Chủ đề bài nguồn'!$A$2:$C$735,3,0),"Khác")</f>
        <v>Vay tiêu dùng &amp; tín chấp</v>
      </c>
      <c r="N1748" s="24"/>
    </row>
    <row r="1749">
      <c r="A1749" s="15">
        <v>1747.0</v>
      </c>
      <c r="B1749" s="16" t="s">
        <v>551</v>
      </c>
      <c r="C1749" s="18" t="s">
        <v>1859</v>
      </c>
      <c r="D1749" s="16" t="s">
        <v>3285</v>
      </c>
      <c r="E1749" s="16" t="s">
        <v>4982</v>
      </c>
      <c r="F1749" s="16" t="s">
        <v>6435</v>
      </c>
      <c r="G1749" s="16" t="s">
        <v>6478</v>
      </c>
      <c r="H1749" s="20" t="s">
        <v>69</v>
      </c>
      <c r="I1749" s="21" t="s">
        <v>70</v>
      </c>
      <c r="J1749" s="22" t="s">
        <v>71</v>
      </c>
      <c r="K1749" s="23">
        <v>66.0</v>
      </c>
      <c r="L1749" s="24">
        <v>11.0</v>
      </c>
      <c r="M1749" s="24" t="str">
        <f>IFERROR(VLOOKUP(D1749,'Chủ đề bài nguồn'!$A$2:$C$735,3,0),"Khác")</f>
        <v>Vay tiêu dùng &amp; tín chấp</v>
      </c>
      <c r="N1749" s="24"/>
    </row>
    <row r="1750">
      <c r="A1750" s="15">
        <v>1748.0</v>
      </c>
      <c r="B1750" s="16" t="s">
        <v>551</v>
      </c>
      <c r="C1750" s="18" t="s">
        <v>1859</v>
      </c>
      <c r="D1750" s="16" t="s">
        <v>2940</v>
      </c>
      <c r="E1750" s="16" t="s">
        <v>5509</v>
      </c>
      <c r="F1750" s="16" t="s">
        <v>6479</v>
      </c>
      <c r="G1750" s="16" t="s">
        <v>6480</v>
      </c>
      <c r="H1750" s="20" t="s">
        <v>69</v>
      </c>
      <c r="I1750" s="21" t="s">
        <v>70</v>
      </c>
      <c r="J1750" s="22" t="s">
        <v>71</v>
      </c>
      <c r="K1750" s="23">
        <v>66.0</v>
      </c>
      <c r="L1750" s="24">
        <v>11.0</v>
      </c>
      <c r="M1750" s="24" t="str">
        <f>IFERROR(VLOOKUP(D1750,'Chủ đề bài nguồn'!$A$2:$C$735,3,0),"Khác")</f>
        <v>Vay tiêu dùng &amp; tín chấp</v>
      </c>
      <c r="N1750" s="24"/>
    </row>
    <row r="1751">
      <c r="A1751" s="15">
        <v>1749.0</v>
      </c>
      <c r="B1751" s="16" t="s">
        <v>551</v>
      </c>
      <c r="C1751" s="18" t="s">
        <v>1859</v>
      </c>
      <c r="D1751" s="16" t="s">
        <v>1171</v>
      </c>
      <c r="E1751" s="16" t="s">
        <v>6481</v>
      </c>
      <c r="F1751" s="16" t="s">
        <v>6482</v>
      </c>
      <c r="G1751" s="16" t="s">
        <v>6483</v>
      </c>
      <c r="H1751" s="20" t="s">
        <v>69</v>
      </c>
      <c r="I1751" s="21" t="s">
        <v>70</v>
      </c>
      <c r="J1751" s="22" t="s">
        <v>71</v>
      </c>
      <c r="K1751" s="23">
        <v>66.0</v>
      </c>
      <c r="L1751" s="24">
        <v>11.0</v>
      </c>
      <c r="M1751" s="24" t="str">
        <f>IFERROR(VLOOKUP(D1751,'Chủ đề bài nguồn'!$A$2:$C$735,3,0),"Khác")</f>
        <v>Vay tiêu dùng &amp; tín chấp</v>
      </c>
      <c r="N1751" s="24"/>
    </row>
    <row r="1752">
      <c r="A1752" s="15">
        <v>1750.0</v>
      </c>
      <c r="B1752" s="16" t="s">
        <v>551</v>
      </c>
      <c r="C1752" s="18" t="s">
        <v>1859</v>
      </c>
      <c r="D1752" s="16" t="s">
        <v>3213</v>
      </c>
      <c r="E1752" s="16" t="s">
        <v>6484</v>
      </c>
      <c r="F1752" s="16" t="s">
        <v>6485</v>
      </c>
      <c r="G1752" s="16" t="s">
        <v>6486</v>
      </c>
      <c r="H1752" s="20" t="s">
        <v>69</v>
      </c>
      <c r="I1752" s="21" t="s">
        <v>70</v>
      </c>
      <c r="J1752" s="22" t="s">
        <v>71</v>
      </c>
      <c r="K1752" s="23">
        <v>66.0</v>
      </c>
      <c r="L1752" s="24">
        <v>11.0</v>
      </c>
      <c r="M1752" s="24" t="str">
        <f>IFERROR(VLOOKUP(D1752,'Chủ đề bài nguồn'!$A$2:$C$735,3,0),"Khác")</f>
        <v>Vay thế chấp &amp; mua nhà/xe</v>
      </c>
      <c r="N1752" s="24"/>
    </row>
    <row r="1753">
      <c r="A1753" s="15">
        <v>1751.0</v>
      </c>
      <c r="B1753" s="16" t="s">
        <v>551</v>
      </c>
      <c r="C1753" s="18" t="s">
        <v>1859</v>
      </c>
      <c r="D1753" s="16" t="s">
        <v>3301</v>
      </c>
      <c r="E1753" s="16" t="s">
        <v>6487</v>
      </c>
      <c r="F1753" s="16" t="s">
        <v>6488</v>
      </c>
      <c r="G1753" s="16" t="s">
        <v>6489</v>
      </c>
      <c r="H1753" s="20" t="s">
        <v>69</v>
      </c>
      <c r="I1753" s="21" t="s">
        <v>70</v>
      </c>
      <c r="J1753" s="22" t="s">
        <v>71</v>
      </c>
      <c r="K1753" s="23">
        <v>66.0</v>
      </c>
      <c r="L1753" s="24">
        <v>11.0</v>
      </c>
      <c r="M1753" s="24" t="str">
        <f>IFERROR(VLOOKUP(D1753,'Chủ đề bài nguồn'!$A$2:$C$735,3,0),"Khác")</f>
        <v>Vay thế chấp &amp; mua nhà/xe</v>
      </c>
      <c r="N1753" s="24"/>
    </row>
    <row r="1754">
      <c r="A1754" s="15">
        <v>1752.0</v>
      </c>
      <c r="B1754" s="16" t="s">
        <v>551</v>
      </c>
      <c r="C1754" s="18" t="s">
        <v>1859</v>
      </c>
      <c r="D1754" s="16" t="s">
        <v>341</v>
      </c>
      <c r="E1754" s="16" t="s">
        <v>343</v>
      </c>
      <c r="F1754" s="16" t="s">
        <v>6490</v>
      </c>
      <c r="G1754" s="16" t="s">
        <v>6491</v>
      </c>
      <c r="H1754" s="20" t="s">
        <v>69</v>
      </c>
      <c r="I1754" s="21" t="s">
        <v>70</v>
      </c>
      <c r="J1754" s="22" t="s">
        <v>71</v>
      </c>
      <c r="K1754" s="23">
        <v>66.0</v>
      </c>
      <c r="L1754" s="24">
        <v>11.0</v>
      </c>
      <c r="M1754" s="24" t="str">
        <f>IFERROR(VLOOKUP(D1754,'Chủ đề bài nguồn'!$A$2:$C$735,3,0),"Khác")</f>
        <v>Doanh nghiệp (tài khoản, vay, tài chính)</v>
      </c>
      <c r="N1754" s="24"/>
    </row>
    <row r="1755">
      <c r="A1755" s="15">
        <v>1753.0</v>
      </c>
      <c r="B1755" s="16" t="s">
        <v>551</v>
      </c>
      <c r="C1755" s="18" t="s">
        <v>1859</v>
      </c>
      <c r="D1755" s="16" t="s">
        <v>2340</v>
      </c>
      <c r="E1755" s="16" t="s">
        <v>6492</v>
      </c>
      <c r="F1755" s="16" t="s">
        <v>6493</v>
      </c>
      <c r="G1755" s="16" t="s">
        <v>6494</v>
      </c>
      <c r="H1755" s="20" t="s">
        <v>69</v>
      </c>
      <c r="I1755" s="21" t="s">
        <v>70</v>
      </c>
      <c r="J1755" s="22" t="s">
        <v>71</v>
      </c>
      <c r="K1755" s="23">
        <v>66.0</v>
      </c>
      <c r="L1755" s="24">
        <v>11.0</v>
      </c>
      <c r="M1755" s="24" t="str">
        <f>IFERROR(VLOOKUP(D1755,'Chủ đề bài nguồn'!$A$2:$C$735,3,0),"Khác")</f>
        <v>Vay tiêu dùng &amp; tín chấp</v>
      </c>
      <c r="N1755" s="24"/>
    </row>
    <row r="1756">
      <c r="A1756" s="15">
        <v>1754.0</v>
      </c>
      <c r="B1756" s="16" t="s">
        <v>551</v>
      </c>
      <c r="C1756" s="18" t="s">
        <v>1859</v>
      </c>
      <c r="D1756" s="16" t="s">
        <v>2777</v>
      </c>
      <c r="E1756" s="16" t="s">
        <v>710</v>
      </c>
      <c r="F1756" s="16" t="s">
        <v>6495</v>
      </c>
      <c r="G1756" s="16" t="s">
        <v>6496</v>
      </c>
      <c r="H1756" s="20" t="s">
        <v>69</v>
      </c>
      <c r="I1756" s="21" t="s">
        <v>70</v>
      </c>
      <c r="J1756" s="22" t="s">
        <v>71</v>
      </c>
      <c r="K1756" s="23">
        <v>66.0</v>
      </c>
      <c r="L1756" s="24">
        <v>11.0</v>
      </c>
      <c r="M1756" s="24" t="str">
        <f>IFERROR(VLOOKUP(D1756,'Chủ đề bài nguồn'!$A$2:$C$735,3,0),"Khác")</f>
        <v>Vay thế chấp &amp; mua nhà/xe</v>
      </c>
      <c r="N1756" s="24"/>
    </row>
    <row r="1757">
      <c r="A1757" s="15">
        <v>1755.0</v>
      </c>
      <c r="B1757" s="16" t="s">
        <v>551</v>
      </c>
      <c r="C1757" s="18" t="s">
        <v>1860</v>
      </c>
      <c r="D1757" s="16" t="s">
        <v>2800</v>
      </c>
      <c r="E1757" s="16" t="s">
        <v>6497</v>
      </c>
      <c r="F1757" s="16" t="s">
        <v>6498</v>
      </c>
      <c r="G1757" s="16" t="s">
        <v>6499</v>
      </c>
      <c r="H1757" s="20" t="s">
        <v>155</v>
      </c>
      <c r="I1757" s="21" t="s">
        <v>70</v>
      </c>
      <c r="J1757" s="22" t="s">
        <v>71</v>
      </c>
      <c r="K1757" s="23">
        <v>66.0</v>
      </c>
      <c r="L1757" s="24">
        <v>21.0</v>
      </c>
      <c r="M1757" s="24" t="str">
        <f>IFERROR(VLOOKUP(D1757,'Chủ đề bài nguồn'!$A$2:$C$735,3,0),"Khác")</f>
        <v>Tiết kiệm &amp; lãi suất tiền gửi</v>
      </c>
      <c r="N1757" s="24"/>
    </row>
    <row r="1758">
      <c r="A1758" s="15">
        <v>1756.0</v>
      </c>
      <c r="B1758" s="16" t="s">
        <v>551</v>
      </c>
      <c r="C1758" s="18" t="s">
        <v>1855</v>
      </c>
      <c r="D1758" s="16" t="s">
        <v>3344</v>
      </c>
      <c r="E1758" s="16" t="s">
        <v>5457</v>
      </c>
      <c r="F1758" s="16" t="s">
        <v>6500</v>
      </c>
      <c r="G1758" s="16" t="s">
        <v>6501</v>
      </c>
      <c r="H1758" s="20" t="s">
        <v>155</v>
      </c>
      <c r="I1758" s="21" t="s">
        <v>70</v>
      </c>
      <c r="J1758" s="22" t="s">
        <v>5644</v>
      </c>
      <c r="K1758" s="23">
        <v>66.0</v>
      </c>
      <c r="L1758" s="24">
        <v>21.0</v>
      </c>
      <c r="M1758" s="24" t="str">
        <f>IFERROR(VLOOKUP(D1758,'Chủ đề bài nguồn'!$A$2:$C$735,3,0),"Khác")</f>
        <v>Vay tiêu dùng &amp; tín chấp</v>
      </c>
      <c r="N1758" s="24"/>
    </row>
    <row r="1759">
      <c r="A1759" s="15">
        <v>1757.0</v>
      </c>
      <c r="B1759" s="16" t="s">
        <v>551</v>
      </c>
      <c r="C1759" s="18" t="s">
        <v>1855</v>
      </c>
      <c r="D1759" s="16" t="s">
        <v>1923</v>
      </c>
      <c r="E1759" s="16" t="s">
        <v>1924</v>
      </c>
      <c r="F1759" s="16" t="s">
        <v>6502</v>
      </c>
      <c r="G1759" s="16" t="s">
        <v>6503</v>
      </c>
      <c r="H1759" s="20" t="s">
        <v>155</v>
      </c>
      <c r="I1759" s="21" t="s">
        <v>70</v>
      </c>
      <c r="J1759" s="22" t="s">
        <v>71</v>
      </c>
      <c r="K1759" s="23">
        <v>66.0</v>
      </c>
      <c r="L1759" s="24">
        <v>21.0</v>
      </c>
      <c r="M1759" s="24" t="str">
        <f>IFERROR(VLOOKUP(D1759,'Chủ đề bài nguồn'!$A$2:$C$735,3,0),"Khác")</f>
        <v>Vay thế chấp &amp; mua nhà/xe</v>
      </c>
      <c r="N1759" s="24"/>
    </row>
    <row r="1760">
      <c r="A1760" s="15">
        <v>1758.0</v>
      </c>
      <c r="B1760" s="16" t="s">
        <v>551</v>
      </c>
      <c r="C1760" s="18" t="s">
        <v>1855</v>
      </c>
      <c r="D1760" s="16" t="s">
        <v>3217</v>
      </c>
      <c r="E1760" s="16" t="s">
        <v>6504</v>
      </c>
      <c r="F1760" s="16" t="s">
        <v>6505</v>
      </c>
      <c r="G1760" s="16" t="s">
        <v>6450</v>
      </c>
      <c r="H1760" s="20" t="s">
        <v>155</v>
      </c>
      <c r="I1760" s="21" t="s">
        <v>70</v>
      </c>
      <c r="J1760" s="22" t="s">
        <v>71</v>
      </c>
      <c r="K1760" s="23">
        <v>66.0</v>
      </c>
      <c r="L1760" s="24">
        <v>21.0</v>
      </c>
      <c r="M1760" s="24" t="str">
        <f>IFERROR(VLOOKUP(D1760,'Chủ đề bài nguồn'!$A$2:$C$735,3,0),"Khác")</f>
        <v>Vay thế chấp &amp; mua nhà/xe</v>
      </c>
      <c r="N1760" s="24"/>
    </row>
    <row r="1761">
      <c r="A1761" s="15">
        <v>1759.0</v>
      </c>
      <c r="B1761" s="16" t="s">
        <v>551</v>
      </c>
      <c r="C1761" s="18" t="s">
        <v>1855</v>
      </c>
      <c r="D1761" s="16" t="s">
        <v>452</v>
      </c>
      <c r="E1761" s="16" t="s">
        <v>6506</v>
      </c>
      <c r="F1761" s="16" t="s">
        <v>6507</v>
      </c>
      <c r="G1761" s="16" t="s">
        <v>6508</v>
      </c>
      <c r="H1761" s="20" t="s">
        <v>155</v>
      </c>
      <c r="I1761" s="21" t="s">
        <v>70</v>
      </c>
      <c r="J1761" s="22" t="s">
        <v>71</v>
      </c>
      <c r="K1761" s="23">
        <v>66.0</v>
      </c>
      <c r="L1761" s="24">
        <v>21.0</v>
      </c>
      <c r="M1761" s="24" t="str">
        <f>IFERROR(VLOOKUP(D1761,'Chủ đề bài nguồn'!$A$2:$C$735,3,0),"Khác")</f>
        <v>Vay thế chấp &amp; mua nhà/xe</v>
      </c>
      <c r="N1761" s="24"/>
    </row>
    <row r="1762">
      <c r="A1762" s="15">
        <v>1760.0</v>
      </c>
      <c r="B1762" s="16" t="s">
        <v>551</v>
      </c>
      <c r="C1762" s="18" t="s">
        <v>1855</v>
      </c>
      <c r="D1762" s="16" t="s">
        <v>3098</v>
      </c>
      <c r="E1762" s="16" t="s">
        <v>6509</v>
      </c>
      <c r="F1762" s="16" t="s">
        <v>6510</v>
      </c>
      <c r="G1762" s="16" t="s">
        <v>6511</v>
      </c>
      <c r="H1762" s="20" t="s">
        <v>155</v>
      </c>
      <c r="I1762" s="21" t="s">
        <v>70</v>
      </c>
      <c r="J1762" s="22" t="s">
        <v>664</v>
      </c>
      <c r="K1762" s="23">
        <v>66.0</v>
      </c>
      <c r="L1762" s="24">
        <v>21.0</v>
      </c>
      <c r="M1762" s="24" t="str">
        <f>IFERROR(VLOOKUP(D1762,'Chủ đề bài nguồn'!$A$2:$C$735,3,0),"Khác")</f>
        <v>Vay tiêu dùng &amp; tín chấp</v>
      </c>
      <c r="N1762" s="24"/>
    </row>
    <row r="1763">
      <c r="A1763" s="15">
        <v>1761.0</v>
      </c>
      <c r="B1763" s="16" t="s">
        <v>551</v>
      </c>
      <c r="C1763" s="18" t="s">
        <v>1855</v>
      </c>
      <c r="D1763" s="16" t="s">
        <v>2936</v>
      </c>
      <c r="E1763" s="16" t="s">
        <v>6512</v>
      </c>
      <c r="F1763" s="16" t="s">
        <v>6513</v>
      </c>
      <c r="G1763" s="16" t="s">
        <v>6514</v>
      </c>
      <c r="H1763" s="20" t="s">
        <v>155</v>
      </c>
      <c r="I1763" s="21" t="s">
        <v>70</v>
      </c>
      <c r="J1763" s="22" t="s">
        <v>71</v>
      </c>
      <c r="K1763" s="23">
        <v>66.0</v>
      </c>
      <c r="L1763" s="24">
        <v>21.0</v>
      </c>
      <c r="M1763" s="24" t="str">
        <f>IFERROR(VLOOKUP(D1763,'Chủ đề bài nguồn'!$A$2:$C$735,3,0),"Khác")</f>
        <v>Doanh nghiệp (tài khoản, vay, tài chính)</v>
      </c>
      <c r="N1763" s="24"/>
    </row>
    <row r="1764">
      <c r="A1764" s="15">
        <v>1762.0</v>
      </c>
      <c r="B1764" s="16" t="s">
        <v>551</v>
      </c>
      <c r="C1764" s="18" t="s">
        <v>1855</v>
      </c>
      <c r="D1764" s="16" t="s">
        <v>72</v>
      </c>
      <c r="E1764" s="16" t="s">
        <v>73</v>
      </c>
      <c r="F1764" s="16" t="s">
        <v>6515</v>
      </c>
      <c r="G1764" s="16" t="s">
        <v>6516</v>
      </c>
      <c r="H1764" s="20" t="s">
        <v>155</v>
      </c>
      <c r="I1764" s="21" t="s">
        <v>70</v>
      </c>
      <c r="J1764" s="22" t="s">
        <v>71</v>
      </c>
      <c r="K1764" s="23">
        <v>66.0</v>
      </c>
      <c r="L1764" s="24">
        <v>21.0</v>
      </c>
      <c r="M1764" s="24" t="str">
        <f>IFERROR(VLOOKUP(D1764,'Chủ đề bài nguồn'!$A$2:$C$735,3,0),"Khác")</f>
        <v>Vay thế chấp &amp; mua nhà/xe</v>
      </c>
      <c r="N1764" s="24"/>
    </row>
    <row r="1765">
      <c r="A1765" s="15">
        <v>1763.0</v>
      </c>
      <c r="B1765" s="16" t="s">
        <v>551</v>
      </c>
      <c r="C1765" s="18" t="s">
        <v>1855</v>
      </c>
      <c r="D1765" s="16" t="s">
        <v>3319</v>
      </c>
      <c r="E1765" s="16" t="s">
        <v>6517</v>
      </c>
      <c r="F1765" s="16" t="s">
        <v>6518</v>
      </c>
      <c r="G1765" s="16" t="s">
        <v>6434</v>
      </c>
      <c r="H1765" s="20" t="s">
        <v>155</v>
      </c>
      <c r="I1765" s="21" t="s">
        <v>70</v>
      </c>
      <c r="J1765" s="22" t="s">
        <v>4010</v>
      </c>
      <c r="K1765" s="23">
        <v>66.0</v>
      </c>
      <c r="L1765" s="24">
        <v>21.0</v>
      </c>
      <c r="M1765" s="24" t="str">
        <f>IFERROR(VLOOKUP(D1765,'Chủ đề bài nguồn'!$A$2:$C$735,3,0),"Khác")</f>
        <v>Hộ kinh doanh &amp; bán hàng</v>
      </c>
      <c r="N1765" s="24"/>
    </row>
    <row r="1766">
      <c r="A1766" s="15">
        <v>1764.0</v>
      </c>
      <c r="B1766" s="16" t="s">
        <v>551</v>
      </c>
      <c r="C1766" s="18" t="s">
        <v>1855</v>
      </c>
      <c r="D1766" s="16" t="s">
        <v>3346</v>
      </c>
      <c r="E1766" s="16" t="s">
        <v>6519</v>
      </c>
      <c r="F1766" s="16" t="s">
        <v>6520</v>
      </c>
      <c r="G1766" s="16" t="s">
        <v>6521</v>
      </c>
      <c r="H1766" s="20" t="s">
        <v>155</v>
      </c>
      <c r="I1766" s="21" t="s">
        <v>70</v>
      </c>
      <c r="J1766" s="22" t="s">
        <v>71</v>
      </c>
      <c r="K1766" s="23">
        <v>66.0</v>
      </c>
      <c r="L1766" s="24">
        <v>21.0</v>
      </c>
      <c r="M1766" s="24" t="str">
        <f>IFERROR(VLOOKUP(D1766,'Chủ đề bài nguồn'!$A$2:$C$735,3,0),"Khác")</f>
        <v>Doanh nghiệp (tài khoản, vay, tài chính)</v>
      </c>
      <c r="N1766" s="24"/>
    </row>
    <row r="1767">
      <c r="A1767" s="15">
        <v>1765.0</v>
      </c>
      <c r="B1767" s="16" t="s">
        <v>551</v>
      </c>
      <c r="C1767" s="18" t="s">
        <v>1855</v>
      </c>
      <c r="D1767" s="16" t="s">
        <v>3216</v>
      </c>
      <c r="E1767" s="16" t="s">
        <v>6522</v>
      </c>
      <c r="F1767" s="16" t="s">
        <v>6523</v>
      </c>
      <c r="G1767" s="16" t="s">
        <v>6524</v>
      </c>
      <c r="H1767" s="20" t="s">
        <v>155</v>
      </c>
      <c r="I1767" s="21" t="s">
        <v>70</v>
      </c>
      <c r="J1767" s="22" t="s">
        <v>71</v>
      </c>
      <c r="K1767" s="23">
        <v>66.0</v>
      </c>
      <c r="L1767" s="24">
        <v>21.0</v>
      </c>
      <c r="M1767" s="24" t="str">
        <f>IFERROR(VLOOKUP(D1767,'Chủ đề bài nguồn'!$A$2:$C$735,3,0),"Khác")</f>
        <v>Hộ kinh doanh &amp; bán hàng</v>
      </c>
      <c r="N1767" s="24"/>
    </row>
    <row r="1768">
      <c r="A1768" s="15">
        <v>1766.0</v>
      </c>
      <c r="B1768" s="16" t="s">
        <v>551</v>
      </c>
      <c r="C1768" s="18" t="s">
        <v>1855</v>
      </c>
      <c r="D1768" s="16" t="s">
        <v>3300</v>
      </c>
      <c r="E1768" s="16" t="s">
        <v>6525</v>
      </c>
      <c r="F1768" s="16" t="s">
        <v>6526</v>
      </c>
      <c r="G1768" s="16" t="s">
        <v>6527</v>
      </c>
      <c r="H1768" s="20" t="s">
        <v>155</v>
      </c>
      <c r="I1768" s="21" t="s">
        <v>70</v>
      </c>
      <c r="J1768" s="22" t="s">
        <v>71</v>
      </c>
      <c r="K1768" s="23">
        <v>66.0</v>
      </c>
      <c r="L1768" s="24">
        <v>21.0</v>
      </c>
      <c r="M1768" s="24" t="str">
        <f>IFERROR(VLOOKUP(D1768,'Chủ đề bài nguồn'!$A$2:$C$735,3,0),"Khác")</f>
        <v>Hộ kinh doanh &amp; bán hàng</v>
      </c>
      <c r="N1768" s="24"/>
    </row>
    <row r="1769">
      <c r="A1769" s="15">
        <v>1767.0</v>
      </c>
      <c r="B1769" s="16" t="s">
        <v>551</v>
      </c>
      <c r="C1769" s="18" t="s">
        <v>1855</v>
      </c>
      <c r="D1769" s="16" t="s">
        <v>2892</v>
      </c>
      <c r="E1769" s="16" t="s">
        <v>6528</v>
      </c>
      <c r="F1769" s="16" t="s">
        <v>6529</v>
      </c>
      <c r="G1769" s="16" t="s">
        <v>6450</v>
      </c>
      <c r="H1769" s="20" t="s">
        <v>155</v>
      </c>
      <c r="I1769" s="21" t="s">
        <v>70</v>
      </c>
      <c r="J1769" s="22" t="s">
        <v>71</v>
      </c>
      <c r="K1769" s="23">
        <v>66.0</v>
      </c>
      <c r="L1769" s="24">
        <v>21.0</v>
      </c>
      <c r="M1769" s="24" t="str">
        <f>IFERROR(VLOOKUP(D1769,'Chủ đề bài nguồn'!$A$2:$C$735,3,0),"Khác")</f>
        <v>Vay tiêu dùng &amp; tín chấp</v>
      </c>
      <c r="N1769" s="24"/>
    </row>
    <row r="1770">
      <c r="A1770" s="15">
        <v>1768.0</v>
      </c>
      <c r="B1770" s="16" t="s">
        <v>551</v>
      </c>
      <c r="C1770" s="18" t="s">
        <v>1855</v>
      </c>
      <c r="D1770" s="16" t="s">
        <v>3293</v>
      </c>
      <c r="E1770" s="16" t="s">
        <v>6530</v>
      </c>
      <c r="F1770" s="16" t="s">
        <v>6531</v>
      </c>
      <c r="G1770" s="16" t="s">
        <v>6532</v>
      </c>
      <c r="H1770" s="20" t="s">
        <v>155</v>
      </c>
      <c r="I1770" s="21" t="s">
        <v>70</v>
      </c>
      <c r="J1770" s="22" t="s">
        <v>71</v>
      </c>
      <c r="K1770" s="23">
        <v>66.0</v>
      </c>
      <c r="L1770" s="24">
        <v>21.0</v>
      </c>
      <c r="M1770" s="24" t="str">
        <f>IFERROR(VLOOKUP(D1770,'Chủ đề bài nguồn'!$A$2:$C$735,3,0),"Khác")</f>
        <v>Doanh nghiệp (tài khoản, vay, tài chính)</v>
      </c>
      <c r="N1770" s="24"/>
    </row>
    <row r="1771">
      <c r="A1771" s="15">
        <v>1769.0</v>
      </c>
      <c r="B1771" s="16" t="s">
        <v>551</v>
      </c>
      <c r="C1771" s="18" t="s">
        <v>1855</v>
      </c>
      <c r="D1771" s="16" t="s">
        <v>1898</v>
      </c>
      <c r="E1771" s="16" t="s">
        <v>6533</v>
      </c>
      <c r="F1771" s="16" t="s">
        <v>6534</v>
      </c>
      <c r="G1771" s="16" t="s">
        <v>6535</v>
      </c>
      <c r="H1771" s="20" t="s">
        <v>155</v>
      </c>
      <c r="I1771" s="21" t="s">
        <v>70</v>
      </c>
      <c r="J1771" s="22" t="s">
        <v>71</v>
      </c>
      <c r="K1771" s="23">
        <v>66.0</v>
      </c>
      <c r="L1771" s="24">
        <v>21.0</v>
      </c>
      <c r="M1771" s="24" t="str">
        <f>IFERROR(VLOOKUP(D1771,'Chủ đề bài nguồn'!$A$2:$C$735,3,0),"Khác")</f>
        <v>Vay thế chấp &amp; mua nhà/xe</v>
      </c>
      <c r="N1771" s="24"/>
    </row>
    <row r="1772">
      <c r="A1772" s="15">
        <v>1770.0</v>
      </c>
      <c r="B1772" s="16" t="s">
        <v>551</v>
      </c>
      <c r="C1772" s="18" t="s">
        <v>1855</v>
      </c>
      <c r="D1772" s="16" t="s">
        <v>126</v>
      </c>
      <c r="E1772" s="16" t="s">
        <v>127</v>
      </c>
      <c r="F1772" s="16" t="s">
        <v>6536</v>
      </c>
      <c r="G1772" s="16" t="s">
        <v>6537</v>
      </c>
      <c r="H1772" s="20" t="s">
        <v>155</v>
      </c>
      <c r="I1772" s="21" t="s">
        <v>70</v>
      </c>
      <c r="J1772" s="22" t="s">
        <v>71</v>
      </c>
      <c r="K1772" s="23">
        <v>66.0</v>
      </c>
      <c r="L1772" s="24">
        <v>21.0</v>
      </c>
      <c r="M1772" s="24" t="str">
        <f>IFERROR(VLOOKUP(D1772,'Chủ đề bài nguồn'!$A$2:$C$735,3,0),"Khác")</f>
        <v>Vay tiêu dùng &amp; tín chấp</v>
      </c>
      <c r="N1772" s="24"/>
    </row>
    <row r="1773">
      <c r="A1773" s="15">
        <v>1771.0</v>
      </c>
      <c r="B1773" s="16" t="s">
        <v>551</v>
      </c>
      <c r="C1773" s="18" t="s">
        <v>1855</v>
      </c>
      <c r="D1773" s="16" t="s">
        <v>3055</v>
      </c>
      <c r="E1773" s="16" t="s">
        <v>710</v>
      </c>
      <c r="F1773" s="16" t="s">
        <v>6538</v>
      </c>
      <c r="G1773" s="16" t="s">
        <v>6539</v>
      </c>
      <c r="H1773" s="20" t="s">
        <v>155</v>
      </c>
      <c r="I1773" s="21" t="s">
        <v>70</v>
      </c>
      <c r="J1773" s="22" t="s">
        <v>71</v>
      </c>
      <c r="K1773" s="23">
        <v>66.0</v>
      </c>
      <c r="L1773" s="24">
        <v>21.0</v>
      </c>
      <c r="M1773" s="24" t="str">
        <f>IFERROR(VLOOKUP(D1773,'Chủ đề bài nguồn'!$A$2:$C$735,3,0),"Khác")</f>
        <v>Vay tiêu dùng &amp; tín chấp</v>
      </c>
      <c r="N1773" s="24"/>
    </row>
    <row r="1774">
      <c r="A1774" s="15">
        <v>1772.0</v>
      </c>
      <c r="B1774" s="16" t="s">
        <v>551</v>
      </c>
      <c r="C1774" s="18" t="s">
        <v>1855</v>
      </c>
      <c r="D1774" s="16" t="s">
        <v>3295</v>
      </c>
      <c r="E1774" s="16" t="s">
        <v>4621</v>
      </c>
      <c r="F1774" s="16" t="s">
        <v>6540</v>
      </c>
      <c r="G1774" s="16" t="s">
        <v>6434</v>
      </c>
      <c r="H1774" s="20" t="s">
        <v>155</v>
      </c>
      <c r="I1774" s="21" t="s">
        <v>70</v>
      </c>
      <c r="J1774" s="22" t="s">
        <v>2136</v>
      </c>
      <c r="K1774" s="23">
        <v>66.0</v>
      </c>
      <c r="L1774" s="24">
        <v>21.0</v>
      </c>
      <c r="M1774" s="24" t="str">
        <f>IFERROR(VLOOKUP(D1774,'Chủ đề bài nguồn'!$A$2:$C$735,3,0),"Khác")</f>
        <v>Vay tiêu dùng &amp; tín chấp</v>
      </c>
      <c r="N1774" s="24"/>
    </row>
    <row r="1775">
      <c r="A1775" s="15">
        <v>1773.0</v>
      </c>
      <c r="B1775" s="16" t="s">
        <v>551</v>
      </c>
      <c r="C1775" s="18" t="s">
        <v>1855</v>
      </c>
      <c r="D1775" s="16" t="s">
        <v>2039</v>
      </c>
      <c r="E1775" s="16" t="s">
        <v>6541</v>
      </c>
      <c r="F1775" s="16" t="s">
        <v>6542</v>
      </c>
      <c r="G1775" s="16" t="s">
        <v>6543</v>
      </c>
      <c r="H1775" s="20" t="s">
        <v>155</v>
      </c>
      <c r="I1775" s="21" t="s">
        <v>70</v>
      </c>
      <c r="J1775" s="22" t="s">
        <v>71</v>
      </c>
      <c r="K1775" s="23">
        <v>66.0</v>
      </c>
      <c r="L1775" s="24">
        <v>21.0</v>
      </c>
      <c r="M1775" s="24" t="str">
        <f>IFERROR(VLOOKUP(D1775,'Chủ đề bài nguồn'!$A$2:$C$735,3,0),"Khác")</f>
        <v>Ưu đãi, du lịch &amp; đời sống</v>
      </c>
      <c r="N1775" s="24"/>
    </row>
    <row r="1776">
      <c r="A1776" s="15">
        <v>1774.0</v>
      </c>
      <c r="B1776" s="16" t="s">
        <v>551</v>
      </c>
      <c r="C1776" s="18" t="s">
        <v>1855</v>
      </c>
      <c r="D1776" s="16" t="s">
        <v>2867</v>
      </c>
      <c r="E1776" s="16" t="s">
        <v>6381</v>
      </c>
      <c r="F1776" s="16" t="s">
        <v>6544</v>
      </c>
      <c r="G1776" s="16" t="s">
        <v>6545</v>
      </c>
      <c r="H1776" s="20" t="s">
        <v>155</v>
      </c>
      <c r="I1776" s="21" t="s">
        <v>70</v>
      </c>
      <c r="J1776" s="22" t="s">
        <v>71</v>
      </c>
      <c r="K1776" s="23">
        <v>66.0</v>
      </c>
      <c r="L1776" s="24">
        <v>21.0</v>
      </c>
      <c r="M1776" s="24" t="str">
        <f>IFERROR(VLOOKUP(D1776,'Chủ đề bài nguồn'!$A$2:$C$735,3,0),"Khác")</f>
        <v>Tiết kiệm &amp; lãi suất tiền gửi</v>
      </c>
      <c r="N1776" s="24"/>
    </row>
    <row r="1777">
      <c r="A1777" s="15">
        <v>1775.0</v>
      </c>
      <c r="B1777" s="39" t="s">
        <v>551</v>
      </c>
      <c r="C1777" s="18" t="s">
        <v>1855</v>
      </c>
      <c r="D1777" s="39" t="s">
        <v>1454</v>
      </c>
      <c r="E1777" s="16" t="s">
        <v>6546</v>
      </c>
      <c r="F1777" s="16" t="s">
        <v>6547</v>
      </c>
      <c r="G1777" s="16" t="s">
        <v>6548</v>
      </c>
      <c r="H1777" s="20" t="s">
        <v>155</v>
      </c>
      <c r="I1777" s="21" t="s">
        <v>70</v>
      </c>
      <c r="J1777" s="22" t="s">
        <v>71</v>
      </c>
      <c r="K1777" s="23">
        <v>66.0</v>
      </c>
      <c r="L1777" s="24">
        <v>21.0</v>
      </c>
      <c r="M1777" s="24" t="str">
        <f>IFERROR(VLOOKUP(D1777,'Chủ đề bài nguồn'!$A$2:$C$735,3,0),"Khác")</f>
        <v>Quản lý tài chính cá nhân</v>
      </c>
      <c r="N1777" s="24"/>
    </row>
    <row r="1778">
      <c r="A1778" s="15">
        <v>1776.0</v>
      </c>
      <c r="B1778" s="39" t="s">
        <v>551</v>
      </c>
      <c r="C1778" s="18" t="s">
        <v>1855</v>
      </c>
      <c r="D1778" s="39" t="s">
        <v>3144</v>
      </c>
      <c r="E1778" s="16" t="s">
        <v>6549</v>
      </c>
      <c r="F1778" s="16" t="s">
        <v>6550</v>
      </c>
      <c r="G1778" s="16" t="s">
        <v>6551</v>
      </c>
      <c r="H1778" s="20" t="s">
        <v>155</v>
      </c>
      <c r="I1778" s="21" t="s">
        <v>70</v>
      </c>
      <c r="J1778" s="22" t="s">
        <v>71</v>
      </c>
      <c r="K1778" s="23">
        <v>66.0</v>
      </c>
      <c r="L1778" s="24">
        <v>21.0</v>
      </c>
      <c r="M1778" s="24" t="str">
        <f>IFERROR(VLOOKUP(D1778,'Chủ đề bài nguồn'!$A$2:$C$735,3,0),"Khác")</f>
        <v>Đầu tư, CCTG, trái phiếu, vàng</v>
      </c>
      <c r="N1778" s="24"/>
    </row>
    <row r="1779">
      <c r="A1779" s="15">
        <v>1777.0</v>
      </c>
      <c r="B1779" s="16" t="s">
        <v>551</v>
      </c>
      <c r="C1779" s="18" t="s">
        <v>1859</v>
      </c>
      <c r="D1779" s="16" t="s">
        <v>2810</v>
      </c>
      <c r="E1779" s="16" t="s">
        <v>4992</v>
      </c>
      <c r="F1779" s="16" t="s">
        <v>6552</v>
      </c>
      <c r="G1779" s="16" t="s">
        <v>6553</v>
      </c>
      <c r="H1779" s="20" t="s">
        <v>155</v>
      </c>
      <c r="I1779" s="21" t="s">
        <v>70</v>
      </c>
      <c r="J1779" s="22" t="s">
        <v>71</v>
      </c>
      <c r="K1779" s="23">
        <v>66.0</v>
      </c>
      <c r="L1779" s="24">
        <v>21.0</v>
      </c>
      <c r="M1779" s="24" t="str">
        <f>IFERROR(VLOOKUP(D1779,'Chủ đề bài nguồn'!$A$2:$C$735,3,0),"Khác")</f>
        <v>Vay tiêu dùng &amp; tín chấp</v>
      </c>
      <c r="N1779" s="24"/>
    </row>
    <row r="1780">
      <c r="A1780" s="15">
        <v>1778.0</v>
      </c>
      <c r="B1780" s="16" t="s">
        <v>551</v>
      </c>
      <c r="C1780" s="18" t="s">
        <v>1859</v>
      </c>
      <c r="D1780" s="16" t="s">
        <v>1539</v>
      </c>
      <c r="E1780" s="16" t="s">
        <v>5493</v>
      </c>
      <c r="F1780" s="16" t="s">
        <v>6554</v>
      </c>
      <c r="G1780" s="16" t="s">
        <v>6555</v>
      </c>
      <c r="H1780" s="20" t="s">
        <v>155</v>
      </c>
      <c r="I1780" s="21" t="s">
        <v>70</v>
      </c>
      <c r="J1780" s="22" t="s">
        <v>71</v>
      </c>
      <c r="K1780" s="23">
        <v>66.0</v>
      </c>
      <c r="L1780" s="24">
        <v>21.0</v>
      </c>
      <c r="M1780" s="24" t="str">
        <f>IFERROR(VLOOKUP(D1780,'Chủ đề bài nguồn'!$A$2:$C$735,3,0),"Khác")</f>
        <v>Doanh nghiệp (tài khoản, vay, tài chính)</v>
      </c>
      <c r="N1780" s="24"/>
    </row>
    <row r="1781">
      <c r="A1781" s="15">
        <v>1779.0</v>
      </c>
      <c r="B1781" s="16" t="s">
        <v>551</v>
      </c>
      <c r="C1781" s="18" t="s">
        <v>1859</v>
      </c>
      <c r="D1781" s="16" t="s">
        <v>3155</v>
      </c>
      <c r="E1781" s="16" t="s">
        <v>6556</v>
      </c>
      <c r="F1781" s="16" t="s">
        <v>6557</v>
      </c>
      <c r="G1781" s="16" t="s">
        <v>6558</v>
      </c>
      <c r="H1781" s="20" t="s">
        <v>155</v>
      </c>
      <c r="I1781" s="21" t="s">
        <v>70</v>
      </c>
      <c r="J1781" s="22" t="s">
        <v>71</v>
      </c>
      <c r="K1781" s="23">
        <v>66.0</v>
      </c>
      <c r="L1781" s="24">
        <v>21.0</v>
      </c>
      <c r="M1781" s="24" t="str">
        <f>IFERROR(VLOOKUP(D1781,'Chủ đề bài nguồn'!$A$2:$C$735,3,0),"Khác")</f>
        <v>Vay tiêu dùng &amp; tín chấp</v>
      </c>
      <c r="N1781" s="24"/>
    </row>
    <row r="1782">
      <c r="A1782" s="15">
        <v>1780.0</v>
      </c>
      <c r="B1782" s="16" t="s">
        <v>551</v>
      </c>
      <c r="C1782" s="18" t="s">
        <v>1859</v>
      </c>
      <c r="D1782" s="16" t="s">
        <v>2930</v>
      </c>
      <c r="E1782" s="16" t="s">
        <v>6559</v>
      </c>
      <c r="F1782" s="16" t="s">
        <v>6560</v>
      </c>
      <c r="G1782" s="16" t="s">
        <v>6561</v>
      </c>
      <c r="H1782" s="20" t="s">
        <v>155</v>
      </c>
      <c r="I1782" s="21" t="s">
        <v>70</v>
      </c>
      <c r="J1782" s="22" t="s">
        <v>619</v>
      </c>
      <c r="K1782" s="23">
        <v>66.0</v>
      </c>
      <c r="L1782" s="24">
        <v>21.0</v>
      </c>
      <c r="M1782" s="24" t="str">
        <f>IFERROR(VLOOKUP(D1782,'Chủ đề bài nguồn'!$A$2:$C$735,3,0),"Khác")</f>
        <v>Vay thế chấp &amp; mua nhà/xe</v>
      </c>
      <c r="N1782" s="24"/>
    </row>
    <row r="1783">
      <c r="A1783" s="15">
        <v>1781.0</v>
      </c>
      <c r="B1783" s="16" t="s">
        <v>551</v>
      </c>
      <c r="C1783" s="18" t="s">
        <v>1859</v>
      </c>
      <c r="D1783" s="16" t="s">
        <v>624</v>
      </c>
      <c r="E1783" s="16" t="s">
        <v>6562</v>
      </c>
      <c r="F1783" s="16" t="s">
        <v>6563</v>
      </c>
      <c r="G1783" s="16" t="s">
        <v>6564</v>
      </c>
      <c r="H1783" s="20" t="s">
        <v>155</v>
      </c>
      <c r="I1783" s="21" t="s">
        <v>70</v>
      </c>
      <c r="J1783" s="22" t="s">
        <v>71</v>
      </c>
      <c r="K1783" s="23">
        <v>66.0</v>
      </c>
      <c r="L1783" s="24">
        <v>21.0</v>
      </c>
      <c r="M1783" s="24" t="str">
        <f>IFERROR(VLOOKUP(D1783,'Chủ đề bài nguồn'!$A$2:$C$735,3,0),"Khác")</f>
        <v>Vay tiêu dùng &amp; tín chấp</v>
      </c>
      <c r="N1783" s="24"/>
    </row>
    <row r="1784">
      <c r="A1784" s="15">
        <v>1782.0</v>
      </c>
      <c r="B1784" s="16" t="s">
        <v>551</v>
      </c>
      <c r="C1784" s="18" t="s">
        <v>1859</v>
      </c>
      <c r="D1784" s="16" t="s">
        <v>2847</v>
      </c>
      <c r="E1784" s="16" t="s">
        <v>6565</v>
      </c>
      <c r="F1784" s="16" t="s">
        <v>6566</v>
      </c>
      <c r="G1784" s="16" t="s">
        <v>6567</v>
      </c>
      <c r="H1784" s="20" t="s">
        <v>155</v>
      </c>
      <c r="I1784" s="21" t="s">
        <v>70</v>
      </c>
      <c r="J1784" s="22" t="s">
        <v>71</v>
      </c>
      <c r="K1784" s="23">
        <v>66.0</v>
      </c>
      <c r="L1784" s="24">
        <v>21.0</v>
      </c>
      <c r="M1784" s="24" t="str">
        <f>IFERROR(VLOOKUP(D1784,'Chủ đề bài nguồn'!$A$2:$C$735,3,0),"Khác")</f>
        <v>Nợ xấu &amp; CIC</v>
      </c>
      <c r="N1784" s="24"/>
    </row>
    <row r="1785">
      <c r="A1785" s="15">
        <v>1783.0</v>
      </c>
      <c r="B1785" s="16" t="s">
        <v>551</v>
      </c>
      <c r="C1785" s="18" t="s">
        <v>1859</v>
      </c>
      <c r="D1785" s="16" t="s">
        <v>3298</v>
      </c>
      <c r="E1785" s="16" t="s">
        <v>6568</v>
      </c>
      <c r="F1785" s="16" t="s">
        <v>6569</v>
      </c>
      <c r="G1785" s="16" t="s">
        <v>6570</v>
      </c>
      <c r="H1785" s="20" t="s">
        <v>155</v>
      </c>
      <c r="I1785" s="21" t="s">
        <v>70</v>
      </c>
      <c r="J1785" s="22" t="s">
        <v>71</v>
      </c>
      <c r="K1785" s="23">
        <v>66.0</v>
      </c>
      <c r="L1785" s="24">
        <v>21.0</v>
      </c>
      <c r="M1785" s="24" t="str">
        <f>IFERROR(VLOOKUP(D1785,'Chủ đề bài nguồn'!$A$2:$C$735,3,0),"Khác")</f>
        <v>Vay tiêu dùng &amp; tín chấp</v>
      </c>
      <c r="N1785" s="24"/>
    </row>
    <row r="1786">
      <c r="A1786" s="15">
        <v>1784.0</v>
      </c>
      <c r="B1786" s="16" t="s">
        <v>551</v>
      </c>
      <c r="C1786" s="18" t="s">
        <v>1859</v>
      </c>
      <c r="D1786" s="16" t="s">
        <v>53</v>
      </c>
      <c r="E1786" s="16" t="s">
        <v>6571</v>
      </c>
      <c r="F1786" s="16" t="s">
        <v>6572</v>
      </c>
      <c r="G1786" s="16" t="s">
        <v>6573</v>
      </c>
      <c r="H1786" s="20" t="s">
        <v>155</v>
      </c>
      <c r="I1786" s="21" t="s">
        <v>70</v>
      </c>
      <c r="J1786" s="22" t="s">
        <v>71</v>
      </c>
      <c r="K1786" s="23">
        <v>66.0</v>
      </c>
      <c r="L1786" s="24">
        <v>21.0</v>
      </c>
      <c r="M1786" s="24" t="str">
        <f>IFERROR(VLOOKUP(D1786,'Chủ đề bài nguồn'!$A$2:$C$735,3,0),"Khác")</f>
        <v>Vay thế chấp &amp; mua nhà/xe</v>
      </c>
      <c r="N1786" s="24"/>
    </row>
    <row r="1787">
      <c r="A1787" s="15">
        <v>1785.0</v>
      </c>
      <c r="B1787" s="16" t="s">
        <v>551</v>
      </c>
      <c r="C1787" s="18" t="s">
        <v>1859</v>
      </c>
      <c r="D1787" s="16" t="s">
        <v>2944</v>
      </c>
      <c r="E1787" s="16" t="s">
        <v>6574</v>
      </c>
      <c r="F1787" s="16" t="s">
        <v>6575</v>
      </c>
      <c r="G1787" s="16" t="s">
        <v>6555</v>
      </c>
      <c r="H1787" s="20" t="s">
        <v>155</v>
      </c>
      <c r="I1787" s="21" t="s">
        <v>70</v>
      </c>
      <c r="J1787" s="22" t="s">
        <v>5511</v>
      </c>
      <c r="K1787" s="23">
        <v>66.0</v>
      </c>
      <c r="L1787" s="24">
        <v>21.0</v>
      </c>
      <c r="M1787" s="24" t="str">
        <f>IFERROR(VLOOKUP(D1787,'Chủ đề bài nguồn'!$A$2:$C$735,3,0),"Khác")</f>
        <v>Tiết kiệm &amp; lãi suất tiền gửi</v>
      </c>
      <c r="N1787" s="24"/>
    </row>
    <row r="1788">
      <c r="A1788" s="15">
        <v>1786.0</v>
      </c>
      <c r="B1788" s="16" t="s">
        <v>551</v>
      </c>
      <c r="C1788" s="18" t="s">
        <v>1859</v>
      </c>
      <c r="D1788" s="16" t="s">
        <v>2857</v>
      </c>
      <c r="E1788" s="16" t="s">
        <v>6576</v>
      </c>
      <c r="F1788" s="16" t="s">
        <v>6577</v>
      </c>
      <c r="G1788" s="16" t="s">
        <v>6578</v>
      </c>
      <c r="H1788" s="20" t="s">
        <v>155</v>
      </c>
      <c r="I1788" s="21" t="s">
        <v>70</v>
      </c>
      <c r="J1788" s="22" t="s">
        <v>71</v>
      </c>
      <c r="K1788" s="23">
        <v>66.0</v>
      </c>
      <c r="L1788" s="24">
        <v>21.0</v>
      </c>
      <c r="M1788" s="24" t="str">
        <f>IFERROR(VLOOKUP(D1788,'Chủ đề bài nguồn'!$A$2:$C$735,3,0),"Khác")</f>
        <v>Vay thế chấp &amp; mua nhà/xe</v>
      </c>
      <c r="N1788" s="24"/>
    </row>
    <row r="1789">
      <c r="A1789" s="15">
        <v>1787.0</v>
      </c>
      <c r="B1789" s="16" t="s">
        <v>551</v>
      </c>
      <c r="C1789" s="18" t="s">
        <v>1859</v>
      </c>
      <c r="D1789" s="16" t="s">
        <v>2887</v>
      </c>
      <c r="E1789" s="16" t="s">
        <v>6579</v>
      </c>
      <c r="F1789" s="16" t="s">
        <v>6580</v>
      </c>
      <c r="G1789" s="16" t="s">
        <v>6581</v>
      </c>
      <c r="H1789" s="20" t="s">
        <v>155</v>
      </c>
      <c r="I1789" s="21" t="s">
        <v>70</v>
      </c>
      <c r="J1789" s="22" t="s">
        <v>71</v>
      </c>
      <c r="K1789" s="23">
        <v>66.0</v>
      </c>
      <c r="L1789" s="24">
        <v>21.0</v>
      </c>
      <c r="M1789" s="24" t="str">
        <f>IFERROR(VLOOKUP(D1789,'Chủ đề bài nguồn'!$A$2:$C$735,3,0),"Khác")</f>
        <v>Vay thế chấp &amp; mua nhà/xe</v>
      </c>
      <c r="N1789" s="24"/>
    </row>
    <row r="1790">
      <c r="A1790" s="15">
        <v>1788.0</v>
      </c>
      <c r="B1790" s="16" t="s">
        <v>551</v>
      </c>
      <c r="C1790" s="18" t="s">
        <v>1859</v>
      </c>
      <c r="D1790" s="16" t="s">
        <v>1949</v>
      </c>
      <c r="E1790" s="16" t="s">
        <v>1950</v>
      </c>
      <c r="F1790" s="16" t="s">
        <v>5467</v>
      </c>
      <c r="G1790" s="16" t="s">
        <v>6555</v>
      </c>
      <c r="H1790" s="20" t="s">
        <v>155</v>
      </c>
      <c r="I1790" s="21" t="s">
        <v>70</v>
      </c>
      <c r="J1790" s="22" t="s">
        <v>5519</v>
      </c>
      <c r="K1790" s="23">
        <v>66.0</v>
      </c>
      <c r="L1790" s="24">
        <v>21.0</v>
      </c>
      <c r="M1790" s="24" t="str">
        <f>IFERROR(VLOOKUP(D1790,'Chủ đề bài nguồn'!$A$2:$C$735,3,0),"Khác")</f>
        <v>Vay tiêu dùng &amp; tín chấp</v>
      </c>
      <c r="N1790" s="24"/>
    </row>
    <row r="1791">
      <c r="A1791" s="15">
        <v>1789.0</v>
      </c>
      <c r="B1791" s="16" t="s">
        <v>551</v>
      </c>
      <c r="C1791" s="18" t="s">
        <v>1859</v>
      </c>
      <c r="D1791" s="16" t="s">
        <v>735</v>
      </c>
      <c r="E1791" s="16" t="s">
        <v>6582</v>
      </c>
      <c r="F1791" s="16" t="s">
        <v>6583</v>
      </c>
      <c r="G1791" s="16" t="s">
        <v>6584</v>
      </c>
      <c r="H1791" s="20" t="s">
        <v>155</v>
      </c>
      <c r="I1791" s="21" t="s">
        <v>70</v>
      </c>
      <c r="J1791" s="22" t="s">
        <v>71</v>
      </c>
      <c r="K1791" s="23">
        <v>66.0</v>
      </c>
      <c r="L1791" s="24">
        <v>21.0</v>
      </c>
      <c r="M1791" s="24" t="str">
        <f>IFERROR(VLOOKUP(D1791,'Chủ đề bài nguồn'!$A$2:$C$735,3,0),"Khác")</f>
        <v>Vay tiêu dùng &amp; tín chấp</v>
      </c>
      <c r="N1791" s="24"/>
    </row>
    <row r="1792">
      <c r="A1792" s="15">
        <v>1790.0</v>
      </c>
      <c r="B1792" s="16" t="s">
        <v>551</v>
      </c>
      <c r="C1792" s="18" t="s">
        <v>1859</v>
      </c>
      <c r="D1792" s="16" t="s">
        <v>3208</v>
      </c>
      <c r="E1792" s="16" t="s">
        <v>6585</v>
      </c>
      <c r="F1792" s="16" t="s">
        <v>6586</v>
      </c>
      <c r="G1792" s="16" t="s">
        <v>6587</v>
      </c>
      <c r="H1792" s="20" t="s">
        <v>155</v>
      </c>
      <c r="I1792" s="21" t="s">
        <v>70</v>
      </c>
      <c r="J1792" s="22" t="s">
        <v>71</v>
      </c>
      <c r="K1792" s="23">
        <v>66.0</v>
      </c>
      <c r="L1792" s="24">
        <v>21.0</v>
      </c>
      <c r="M1792" s="24" t="str">
        <f>IFERROR(VLOOKUP(D1792,'Chủ đề bài nguồn'!$A$2:$C$735,3,0),"Khác")</f>
        <v>Vay tiêu dùng &amp; tín chấp</v>
      </c>
      <c r="N1792" s="24"/>
    </row>
    <row r="1793">
      <c r="A1793" s="15">
        <v>1791.0</v>
      </c>
      <c r="B1793" s="16" t="s">
        <v>551</v>
      </c>
      <c r="C1793" s="18" t="s">
        <v>1859</v>
      </c>
      <c r="D1793" s="16" t="s">
        <v>3324</v>
      </c>
      <c r="E1793" s="16" t="s">
        <v>6588</v>
      </c>
      <c r="F1793" s="16" t="s">
        <v>6580</v>
      </c>
      <c r="G1793" s="16" t="s">
        <v>6589</v>
      </c>
      <c r="H1793" s="20" t="s">
        <v>155</v>
      </c>
      <c r="I1793" s="21" t="s">
        <v>70</v>
      </c>
      <c r="J1793" s="22" t="s">
        <v>71</v>
      </c>
      <c r="K1793" s="23">
        <v>66.0</v>
      </c>
      <c r="L1793" s="24">
        <v>21.0</v>
      </c>
      <c r="M1793" s="24" t="str">
        <f>IFERROR(VLOOKUP(D1793,'Chủ đề bài nguồn'!$A$2:$C$735,3,0),"Khác")</f>
        <v>Vay thế chấp &amp; mua nhà/xe</v>
      </c>
      <c r="N1793" s="24"/>
    </row>
    <row r="1794">
      <c r="A1794" s="15">
        <v>1792.0</v>
      </c>
      <c r="B1794" s="16" t="s">
        <v>551</v>
      </c>
      <c r="C1794" s="18" t="s">
        <v>1859</v>
      </c>
      <c r="D1794" s="16" t="s">
        <v>374</v>
      </c>
      <c r="E1794" s="16" t="s">
        <v>6590</v>
      </c>
      <c r="F1794" s="16" t="s">
        <v>6591</v>
      </c>
      <c r="G1794" s="16" t="s">
        <v>6555</v>
      </c>
      <c r="H1794" s="20" t="s">
        <v>155</v>
      </c>
      <c r="I1794" s="21" t="s">
        <v>70</v>
      </c>
      <c r="J1794" s="22" t="s">
        <v>5676</v>
      </c>
      <c r="K1794" s="23">
        <v>66.0</v>
      </c>
      <c r="L1794" s="24">
        <v>21.0</v>
      </c>
      <c r="M1794" s="24" t="str">
        <f>IFERROR(VLOOKUP(D1794,'Chủ đề bài nguồn'!$A$2:$C$735,3,0),"Khác")</f>
        <v>Vay tiêu dùng &amp; tín chấp</v>
      </c>
      <c r="N1794" s="24"/>
    </row>
    <row r="1795">
      <c r="A1795" s="15">
        <v>1793.0</v>
      </c>
      <c r="B1795" s="16" t="s">
        <v>551</v>
      </c>
      <c r="C1795" s="18" t="s">
        <v>1859</v>
      </c>
      <c r="D1795" s="16" t="s">
        <v>2365</v>
      </c>
      <c r="E1795" s="16" t="s">
        <v>2366</v>
      </c>
      <c r="F1795" s="16" t="s">
        <v>6592</v>
      </c>
      <c r="G1795" s="16" t="s">
        <v>6593</v>
      </c>
      <c r="H1795" s="20" t="s">
        <v>155</v>
      </c>
      <c r="I1795" s="21" t="s">
        <v>70</v>
      </c>
      <c r="J1795" s="22" t="s">
        <v>71</v>
      </c>
      <c r="K1795" s="23">
        <v>66.0</v>
      </c>
      <c r="L1795" s="24">
        <v>21.0</v>
      </c>
      <c r="M1795" s="24" t="str">
        <f>IFERROR(VLOOKUP(D1795,'Chủ đề bài nguồn'!$A$2:$C$735,3,0),"Khác")</f>
        <v>Vay thế chấp &amp; mua nhà/xe</v>
      </c>
      <c r="N1795" s="24"/>
    </row>
    <row r="1796">
      <c r="A1796" s="15">
        <v>1794.0</v>
      </c>
      <c r="B1796" s="16" t="s">
        <v>551</v>
      </c>
      <c r="C1796" s="18" t="s">
        <v>1859</v>
      </c>
      <c r="D1796" s="16" t="s">
        <v>2894</v>
      </c>
      <c r="E1796" s="16" t="s">
        <v>6594</v>
      </c>
      <c r="F1796" s="16" t="s">
        <v>6595</v>
      </c>
      <c r="G1796" s="16" t="s">
        <v>6596</v>
      </c>
      <c r="H1796" s="20" t="s">
        <v>155</v>
      </c>
      <c r="I1796" s="21" t="s">
        <v>70</v>
      </c>
      <c r="J1796" s="22" t="s">
        <v>71</v>
      </c>
      <c r="K1796" s="23">
        <v>66.0</v>
      </c>
      <c r="L1796" s="24">
        <v>21.0</v>
      </c>
      <c r="M1796" s="24" t="str">
        <f>IFERROR(VLOOKUP(D1796,'Chủ đề bài nguồn'!$A$2:$C$735,3,0),"Khác")</f>
        <v>Doanh nghiệp (tài khoản, vay, tài chính)</v>
      </c>
      <c r="N1796" s="24"/>
    </row>
    <row r="1797">
      <c r="A1797" s="15">
        <v>1795.0</v>
      </c>
      <c r="B1797" s="16" t="s">
        <v>551</v>
      </c>
      <c r="C1797" s="18" t="s">
        <v>1859</v>
      </c>
      <c r="D1797" s="16" t="s">
        <v>2748</v>
      </c>
      <c r="E1797" s="16" t="s">
        <v>6597</v>
      </c>
      <c r="F1797" s="16" t="s">
        <v>6598</v>
      </c>
      <c r="G1797" s="16" t="s">
        <v>6599</v>
      </c>
      <c r="H1797" s="20" t="s">
        <v>155</v>
      </c>
      <c r="I1797" s="21" t="s">
        <v>70</v>
      </c>
      <c r="J1797" s="22" t="s">
        <v>71</v>
      </c>
      <c r="K1797" s="23">
        <v>66.0</v>
      </c>
      <c r="L1797" s="24">
        <v>21.0</v>
      </c>
      <c r="M1797" s="24" t="str">
        <f>IFERROR(VLOOKUP(D1797,'Chủ đề bài nguồn'!$A$2:$C$735,3,0),"Khác")</f>
        <v>Vay tiêu dùng &amp; tín chấp</v>
      </c>
      <c r="N1797" s="24"/>
    </row>
    <row r="1798">
      <c r="A1798" s="15">
        <v>1796.0</v>
      </c>
      <c r="B1798" s="16" t="s">
        <v>551</v>
      </c>
      <c r="C1798" s="18" t="s">
        <v>1859</v>
      </c>
      <c r="D1798" s="16" t="s">
        <v>3353</v>
      </c>
      <c r="E1798" s="16" t="s">
        <v>6600</v>
      </c>
      <c r="F1798" s="16" t="s">
        <v>6601</v>
      </c>
      <c r="G1798" s="16" t="s">
        <v>6602</v>
      </c>
      <c r="H1798" s="20" t="s">
        <v>155</v>
      </c>
      <c r="I1798" s="21" t="s">
        <v>70</v>
      </c>
      <c r="J1798" s="22" t="s">
        <v>71</v>
      </c>
      <c r="K1798" s="23">
        <v>66.0</v>
      </c>
      <c r="L1798" s="24">
        <v>21.0</v>
      </c>
      <c r="M1798" s="24" t="str">
        <f>IFERROR(VLOOKUP(D1798,'Chủ đề bài nguồn'!$A$2:$C$735,3,0),"Khác")</f>
        <v>Doanh nghiệp (tài khoản, vay, tài chính)</v>
      </c>
      <c r="N1798" s="24"/>
    </row>
    <row r="1799">
      <c r="A1799" s="15">
        <v>1797.0</v>
      </c>
      <c r="B1799" s="16" t="s">
        <v>551</v>
      </c>
      <c r="C1799" s="18" t="s">
        <v>1859</v>
      </c>
      <c r="D1799" s="16" t="s">
        <v>3311</v>
      </c>
      <c r="E1799" s="16" t="s">
        <v>5518</v>
      </c>
      <c r="F1799" s="16" t="s">
        <v>6603</v>
      </c>
      <c r="G1799" s="16" t="s">
        <v>6604</v>
      </c>
      <c r="H1799" s="20" t="s">
        <v>155</v>
      </c>
      <c r="I1799" s="21" t="s">
        <v>70</v>
      </c>
      <c r="J1799" s="22" t="s">
        <v>71</v>
      </c>
      <c r="K1799" s="23">
        <v>66.0</v>
      </c>
      <c r="L1799" s="24">
        <v>21.0</v>
      </c>
      <c r="M1799" s="24" t="str">
        <f>IFERROR(VLOOKUP(D1799,'Chủ đề bài nguồn'!$A$2:$C$735,3,0),"Khác")</f>
        <v>Vay tiêu dùng &amp; tín chấp</v>
      </c>
      <c r="N1799" s="24"/>
    </row>
    <row r="1800">
      <c r="A1800" s="15">
        <v>1798.0</v>
      </c>
      <c r="B1800" s="16" t="s">
        <v>551</v>
      </c>
      <c r="C1800" s="18" t="s">
        <v>1859</v>
      </c>
      <c r="D1800" s="16" t="s">
        <v>1608</v>
      </c>
      <c r="E1800" s="16" t="s">
        <v>5520</v>
      </c>
      <c r="F1800" s="16" t="s">
        <v>6605</v>
      </c>
      <c r="G1800" s="16" t="s">
        <v>6606</v>
      </c>
      <c r="H1800" s="20" t="s">
        <v>155</v>
      </c>
      <c r="I1800" s="21" t="s">
        <v>70</v>
      </c>
      <c r="J1800" s="22" t="s">
        <v>71</v>
      </c>
      <c r="K1800" s="23">
        <v>66.0</v>
      </c>
      <c r="L1800" s="24">
        <v>21.0</v>
      </c>
      <c r="M1800" s="24" t="str">
        <f>IFERROR(VLOOKUP(D1800,'Chủ đề bài nguồn'!$A$2:$C$735,3,0),"Khác")</f>
        <v>Vay tiêu dùng &amp; tín chấp</v>
      </c>
      <c r="N1800" s="24"/>
    </row>
    <row r="1801">
      <c r="A1801" s="15">
        <v>1799.0</v>
      </c>
      <c r="B1801" s="39" t="s">
        <v>551</v>
      </c>
      <c r="C1801" s="18" t="s">
        <v>1859</v>
      </c>
      <c r="D1801" s="39" t="s">
        <v>2854</v>
      </c>
      <c r="E1801" s="16" t="s">
        <v>6607</v>
      </c>
      <c r="F1801" s="16" t="s">
        <v>6608</v>
      </c>
      <c r="G1801" s="16" t="s">
        <v>6609</v>
      </c>
      <c r="H1801" s="20" t="s">
        <v>155</v>
      </c>
      <c r="I1801" s="21" t="s">
        <v>70</v>
      </c>
      <c r="J1801" s="22" t="s">
        <v>71</v>
      </c>
      <c r="K1801" s="23">
        <v>66.0</v>
      </c>
      <c r="L1801" s="24">
        <v>21.0</v>
      </c>
      <c r="M1801" s="24" t="str">
        <f>IFERROR(VLOOKUP(D1801,'Chủ đề bài nguồn'!$A$2:$C$735,3,0),"Khác")</f>
        <v>Đầu tư, CCTG, trái phiếu, vàng</v>
      </c>
      <c r="N1801" s="24"/>
    </row>
    <row r="1802">
      <c r="A1802" s="15">
        <v>1800.0</v>
      </c>
      <c r="B1802" s="16" t="s">
        <v>551</v>
      </c>
      <c r="C1802" s="18" t="s">
        <v>1860</v>
      </c>
      <c r="D1802" s="16" t="s">
        <v>464</v>
      </c>
      <c r="E1802" s="16" t="s">
        <v>6610</v>
      </c>
      <c r="F1802" s="16" t="s">
        <v>6611</v>
      </c>
      <c r="G1802" s="16" t="s">
        <v>6612</v>
      </c>
      <c r="H1802" s="20" t="s">
        <v>229</v>
      </c>
      <c r="I1802" s="21" t="s">
        <v>70</v>
      </c>
      <c r="J1802" s="22" t="s">
        <v>71</v>
      </c>
      <c r="K1802" s="23">
        <v>66.0</v>
      </c>
      <c r="L1802" s="24">
        <v>31.0</v>
      </c>
      <c r="M1802" s="24" t="str">
        <f>IFERROR(VLOOKUP(D1802,'Chủ đề bài nguồn'!$A$2:$C$735,3,0),"Khác")</f>
        <v>Tiết kiệm &amp; lãi suất tiền gửi</v>
      </c>
      <c r="N1802" s="24"/>
    </row>
    <row r="1803">
      <c r="A1803" s="15">
        <v>1801.0</v>
      </c>
      <c r="B1803" s="16" t="s">
        <v>551</v>
      </c>
      <c r="C1803" s="18" t="s">
        <v>1855</v>
      </c>
      <c r="D1803" s="16" t="s">
        <v>3341</v>
      </c>
      <c r="E1803" s="16" t="s">
        <v>6613</v>
      </c>
      <c r="F1803" s="16" t="s">
        <v>6586</v>
      </c>
      <c r="G1803" s="16" t="s">
        <v>6434</v>
      </c>
      <c r="H1803" s="20" t="s">
        <v>229</v>
      </c>
      <c r="I1803" s="21" t="s">
        <v>70</v>
      </c>
      <c r="J1803" s="22" t="s">
        <v>4433</v>
      </c>
      <c r="K1803" s="23">
        <v>66.0</v>
      </c>
      <c r="L1803" s="24">
        <v>31.0</v>
      </c>
      <c r="M1803" s="24" t="str">
        <f>IFERROR(VLOOKUP(D1803,'Chủ đề bài nguồn'!$A$2:$C$735,3,0),"Khác")</f>
        <v>Vay thế chấp &amp; mua nhà/xe</v>
      </c>
      <c r="N1803" s="24"/>
    </row>
    <row r="1804">
      <c r="A1804" s="15">
        <v>1802.0</v>
      </c>
      <c r="B1804" s="16" t="s">
        <v>551</v>
      </c>
      <c r="C1804" s="18" t="s">
        <v>1855</v>
      </c>
      <c r="D1804" s="16" t="s">
        <v>2949</v>
      </c>
      <c r="E1804" s="16" t="s">
        <v>710</v>
      </c>
      <c r="F1804" s="16" t="s">
        <v>6614</v>
      </c>
      <c r="G1804" s="16" t="s">
        <v>6615</v>
      </c>
      <c r="H1804" s="20" t="s">
        <v>229</v>
      </c>
      <c r="I1804" s="21" t="s">
        <v>70</v>
      </c>
      <c r="J1804" s="22" t="s">
        <v>71</v>
      </c>
      <c r="K1804" s="23">
        <v>66.0</v>
      </c>
      <c r="L1804" s="24">
        <v>31.0</v>
      </c>
      <c r="M1804" s="24" t="str">
        <f>IFERROR(VLOOKUP(D1804,'Chủ đề bài nguồn'!$A$2:$C$735,3,0),"Khác")</f>
        <v>Vay tiêu dùng &amp; tín chấp</v>
      </c>
      <c r="N1804" s="24"/>
    </row>
    <row r="1805">
      <c r="A1805" s="15">
        <v>1803.0</v>
      </c>
      <c r="B1805" s="16" t="s">
        <v>551</v>
      </c>
      <c r="C1805" s="18" t="s">
        <v>1855</v>
      </c>
      <c r="D1805" s="16" t="s">
        <v>3259</v>
      </c>
      <c r="E1805" s="16" t="s">
        <v>6616</v>
      </c>
      <c r="F1805" s="16" t="s">
        <v>6617</v>
      </c>
      <c r="G1805" s="16" t="s">
        <v>6618</v>
      </c>
      <c r="H1805" s="20" t="s">
        <v>229</v>
      </c>
      <c r="I1805" s="21" t="s">
        <v>70</v>
      </c>
      <c r="J1805" s="22" t="s">
        <v>71</v>
      </c>
      <c r="K1805" s="23">
        <v>66.0</v>
      </c>
      <c r="L1805" s="24">
        <v>31.0</v>
      </c>
      <c r="M1805" s="24" t="str">
        <f>IFERROR(VLOOKUP(D1805,'Chủ đề bài nguồn'!$A$2:$C$735,3,0),"Khác")</f>
        <v>Vay tiêu dùng &amp; tín chấp</v>
      </c>
      <c r="N1805" s="24"/>
    </row>
    <row r="1806">
      <c r="A1806" s="15">
        <v>1804.0</v>
      </c>
      <c r="B1806" s="16" t="s">
        <v>551</v>
      </c>
      <c r="C1806" s="18" t="s">
        <v>1855</v>
      </c>
      <c r="D1806" s="16" t="s">
        <v>773</v>
      </c>
      <c r="E1806" s="16" t="s">
        <v>1152</v>
      </c>
      <c r="F1806" s="16" t="s">
        <v>6619</v>
      </c>
      <c r="G1806" s="16" t="s">
        <v>6511</v>
      </c>
      <c r="H1806" s="20" t="s">
        <v>229</v>
      </c>
      <c r="I1806" s="21" t="s">
        <v>70</v>
      </c>
      <c r="J1806" s="22" t="s">
        <v>1425</v>
      </c>
      <c r="K1806" s="23">
        <v>66.0</v>
      </c>
      <c r="L1806" s="24">
        <v>31.0</v>
      </c>
      <c r="M1806" s="24" t="str">
        <f>IFERROR(VLOOKUP(D1806,'Chủ đề bài nguồn'!$A$2:$C$735,3,0),"Khác")</f>
        <v>Doanh nghiệp (tài khoản, vay, tài chính)</v>
      </c>
      <c r="N1806" s="24"/>
    </row>
    <row r="1807">
      <c r="A1807" s="15">
        <v>1805.0</v>
      </c>
      <c r="B1807" s="16" t="s">
        <v>551</v>
      </c>
      <c r="C1807" s="18" t="s">
        <v>1855</v>
      </c>
      <c r="D1807" s="16" t="s">
        <v>3260</v>
      </c>
      <c r="E1807" s="16" t="s">
        <v>3745</v>
      </c>
      <c r="F1807" s="16" t="s">
        <v>6620</v>
      </c>
      <c r="G1807" s="16" t="s">
        <v>6621</v>
      </c>
      <c r="H1807" s="20" t="s">
        <v>229</v>
      </c>
      <c r="I1807" s="21" t="s">
        <v>70</v>
      </c>
      <c r="J1807" s="22" t="s">
        <v>71</v>
      </c>
      <c r="K1807" s="23">
        <v>66.0</v>
      </c>
      <c r="L1807" s="24">
        <v>31.0</v>
      </c>
      <c r="M1807" s="24" t="str">
        <f>IFERROR(VLOOKUP(D1807,'Chủ đề bài nguồn'!$A$2:$C$735,3,0),"Khác")</f>
        <v>Vay tiêu dùng &amp; tín chấp</v>
      </c>
      <c r="N1807" s="24"/>
    </row>
    <row r="1808">
      <c r="A1808" s="15">
        <v>1806.0</v>
      </c>
      <c r="B1808" s="16" t="s">
        <v>551</v>
      </c>
      <c r="C1808" s="18" t="s">
        <v>1855</v>
      </c>
      <c r="D1808" s="16" t="s">
        <v>941</v>
      </c>
      <c r="E1808" s="16" t="s">
        <v>6622</v>
      </c>
      <c r="F1808" s="16" t="s">
        <v>6623</v>
      </c>
      <c r="G1808" s="16" t="s">
        <v>6624</v>
      </c>
      <c r="H1808" s="20" t="s">
        <v>229</v>
      </c>
      <c r="I1808" s="21" t="s">
        <v>70</v>
      </c>
      <c r="J1808" s="22" t="s">
        <v>71</v>
      </c>
      <c r="K1808" s="23">
        <v>66.0</v>
      </c>
      <c r="L1808" s="24">
        <v>31.0</v>
      </c>
      <c r="M1808" s="24" t="str">
        <f>IFERROR(VLOOKUP(D1808,'Chủ đề bài nguồn'!$A$2:$C$735,3,0),"Khác")</f>
        <v>Thẻ tín dụng</v>
      </c>
      <c r="N1808" s="24"/>
    </row>
    <row r="1809">
      <c r="A1809" s="15">
        <v>1807.0</v>
      </c>
      <c r="B1809" s="16" t="s">
        <v>551</v>
      </c>
      <c r="C1809" s="18" t="s">
        <v>1855</v>
      </c>
      <c r="D1809" s="16" t="s">
        <v>3330</v>
      </c>
      <c r="E1809" s="16" t="s">
        <v>6625</v>
      </c>
      <c r="F1809" s="16" t="s">
        <v>6626</v>
      </c>
      <c r="G1809" s="16" t="s">
        <v>6434</v>
      </c>
      <c r="H1809" s="20" t="s">
        <v>229</v>
      </c>
      <c r="I1809" s="21" t="s">
        <v>70</v>
      </c>
      <c r="J1809" s="22" t="s">
        <v>4433</v>
      </c>
      <c r="K1809" s="23">
        <v>66.0</v>
      </c>
      <c r="L1809" s="24">
        <v>31.0</v>
      </c>
      <c r="M1809" s="24" t="str">
        <f>IFERROR(VLOOKUP(D1809,'Chủ đề bài nguồn'!$A$2:$C$735,3,0),"Khác")</f>
        <v>Doanh nghiệp (tài khoản, vay, tài chính)</v>
      </c>
      <c r="N1809" s="24"/>
    </row>
    <row r="1810">
      <c r="A1810" s="15">
        <v>1808.0</v>
      </c>
      <c r="B1810" s="16" t="s">
        <v>551</v>
      </c>
      <c r="C1810" s="18" t="s">
        <v>1855</v>
      </c>
      <c r="D1810" s="16" t="s">
        <v>3082</v>
      </c>
      <c r="E1810" s="16" t="s">
        <v>6627</v>
      </c>
      <c r="F1810" s="16" t="s">
        <v>6628</v>
      </c>
      <c r="G1810" s="16" t="s">
        <v>6511</v>
      </c>
      <c r="H1810" s="20" t="s">
        <v>229</v>
      </c>
      <c r="I1810" s="21" t="s">
        <v>70</v>
      </c>
      <c r="J1810" s="22" t="s">
        <v>6629</v>
      </c>
      <c r="K1810" s="23">
        <v>66.0</v>
      </c>
      <c r="L1810" s="24">
        <v>31.0</v>
      </c>
      <c r="M1810" s="24" t="str">
        <f>IFERROR(VLOOKUP(D1810,'Chủ đề bài nguồn'!$A$2:$C$735,3,0),"Khác")</f>
        <v>Vay thế chấp &amp; mua nhà/xe</v>
      </c>
      <c r="N1810" s="24"/>
    </row>
    <row r="1811">
      <c r="A1811" s="15">
        <v>1809.0</v>
      </c>
      <c r="B1811" s="16" t="s">
        <v>551</v>
      </c>
      <c r="C1811" s="18" t="s">
        <v>1855</v>
      </c>
      <c r="D1811" s="16" t="s">
        <v>2946</v>
      </c>
      <c r="E1811" s="16" t="s">
        <v>4087</v>
      </c>
      <c r="F1811" s="16" t="s">
        <v>6630</v>
      </c>
      <c r="G1811" s="16" t="s">
        <v>6631</v>
      </c>
      <c r="H1811" s="20" t="s">
        <v>229</v>
      </c>
      <c r="I1811" s="21" t="s">
        <v>70</v>
      </c>
      <c r="J1811" s="22" t="s">
        <v>1255</v>
      </c>
      <c r="K1811" s="23">
        <v>66.0</v>
      </c>
      <c r="L1811" s="24">
        <v>31.0</v>
      </c>
      <c r="M1811" s="24" t="str">
        <f>IFERROR(VLOOKUP(D1811,'Chủ đề bài nguồn'!$A$2:$C$735,3,0),"Khác")</f>
        <v>Thẻ tín dụng</v>
      </c>
      <c r="N1811" s="24"/>
    </row>
    <row r="1812">
      <c r="A1812" s="15">
        <v>1810.0</v>
      </c>
      <c r="B1812" s="16" t="s">
        <v>551</v>
      </c>
      <c r="C1812" s="18" t="s">
        <v>1855</v>
      </c>
      <c r="D1812" s="16" t="s">
        <v>682</v>
      </c>
      <c r="E1812" s="16" t="s">
        <v>6632</v>
      </c>
      <c r="F1812" s="16" t="s">
        <v>6633</v>
      </c>
      <c r="G1812" s="16" t="s">
        <v>6634</v>
      </c>
      <c r="H1812" s="20" t="s">
        <v>229</v>
      </c>
      <c r="I1812" s="21" t="s">
        <v>70</v>
      </c>
      <c r="J1812" s="22" t="s">
        <v>71</v>
      </c>
      <c r="K1812" s="23">
        <v>66.0</v>
      </c>
      <c r="L1812" s="24">
        <v>31.0</v>
      </c>
      <c r="M1812" s="24" t="str">
        <f>IFERROR(VLOOKUP(D1812,'Chủ đề bài nguồn'!$A$2:$C$735,3,0),"Khác")</f>
        <v>Thẻ tín dụng</v>
      </c>
      <c r="N1812" s="24"/>
    </row>
    <row r="1813">
      <c r="A1813" s="15">
        <v>1811.0</v>
      </c>
      <c r="B1813" s="39" t="s">
        <v>551</v>
      </c>
      <c r="C1813" s="18" t="s">
        <v>1855</v>
      </c>
      <c r="D1813" s="39" t="s">
        <v>1516</v>
      </c>
      <c r="E1813" s="16" t="s">
        <v>6635</v>
      </c>
      <c r="F1813" s="16" t="s">
        <v>6636</v>
      </c>
      <c r="G1813" s="16" t="s">
        <v>6637</v>
      </c>
      <c r="H1813" s="20" t="s">
        <v>229</v>
      </c>
      <c r="I1813" s="21" t="s">
        <v>70</v>
      </c>
      <c r="J1813" s="22" t="s">
        <v>1073</v>
      </c>
      <c r="K1813" s="23">
        <v>66.0</v>
      </c>
      <c r="L1813" s="24">
        <v>31.0</v>
      </c>
      <c r="M1813" s="24" t="str">
        <f>IFERROR(VLOOKUP(D1813,'Chủ đề bài nguồn'!$A$2:$C$735,3,0),"Khác")</f>
        <v>Tài khoản &amp; ngân hàng số</v>
      </c>
      <c r="N1813" s="24"/>
    </row>
    <row r="1814">
      <c r="A1814" s="15">
        <v>1812.0</v>
      </c>
      <c r="B1814" s="39" t="s">
        <v>551</v>
      </c>
      <c r="C1814" s="18" t="s">
        <v>1855</v>
      </c>
      <c r="D1814" s="39" t="s">
        <v>3083</v>
      </c>
      <c r="E1814" s="16" t="s">
        <v>6638</v>
      </c>
      <c r="F1814" s="16" t="s">
        <v>6639</v>
      </c>
      <c r="G1814" s="16" t="s">
        <v>6640</v>
      </c>
      <c r="H1814" s="20" t="s">
        <v>229</v>
      </c>
      <c r="I1814" s="21" t="s">
        <v>70</v>
      </c>
      <c r="J1814" s="22" t="s">
        <v>71</v>
      </c>
      <c r="K1814" s="23">
        <v>66.0</v>
      </c>
      <c r="L1814" s="24">
        <v>31.0</v>
      </c>
      <c r="M1814" s="24" t="str">
        <f>IFERROR(VLOOKUP(D1814,'Chủ đề bài nguồn'!$A$2:$C$735,3,0),"Khác")</f>
        <v>Hộ kinh doanh &amp; bán hàng</v>
      </c>
      <c r="N1814" s="24"/>
    </row>
    <row r="1815">
      <c r="A1815" s="15">
        <v>1813.0</v>
      </c>
      <c r="B1815" s="39" t="s">
        <v>551</v>
      </c>
      <c r="C1815" s="18" t="s">
        <v>1855</v>
      </c>
      <c r="D1815" s="39" t="s">
        <v>3092</v>
      </c>
      <c r="E1815" s="16" t="s">
        <v>6641</v>
      </c>
      <c r="F1815" s="16" t="s">
        <v>6642</v>
      </c>
      <c r="G1815" s="16" t="s">
        <v>6643</v>
      </c>
      <c r="H1815" s="20" t="s">
        <v>229</v>
      </c>
      <c r="I1815" s="21" t="s">
        <v>70</v>
      </c>
      <c r="J1815" s="22" t="s">
        <v>71</v>
      </c>
      <c r="K1815" s="23">
        <v>66.0</v>
      </c>
      <c r="L1815" s="24">
        <v>31.0</v>
      </c>
      <c r="M1815" s="24" t="str">
        <f>IFERROR(VLOOKUP(D1815,'Chủ đề bài nguồn'!$A$2:$C$735,3,0),"Khác")</f>
        <v>Ngân hàng xanh &amp; thương hiệu</v>
      </c>
      <c r="N1815" s="24"/>
    </row>
    <row r="1816">
      <c r="A1816" s="15">
        <v>1814.0</v>
      </c>
      <c r="B1816" s="39" t="s">
        <v>551</v>
      </c>
      <c r="C1816" s="18" t="s">
        <v>1855</v>
      </c>
      <c r="D1816" s="39" t="s">
        <v>934</v>
      </c>
      <c r="E1816" s="16" t="s">
        <v>6644</v>
      </c>
      <c r="F1816" s="16" t="s">
        <v>6645</v>
      </c>
      <c r="G1816" s="16" t="s">
        <v>6646</v>
      </c>
      <c r="H1816" s="20" t="s">
        <v>229</v>
      </c>
      <c r="I1816" s="21" t="s">
        <v>70</v>
      </c>
      <c r="J1816" s="22" t="s">
        <v>71</v>
      </c>
      <c r="K1816" s="23">
        <v>66.0</v>
      </c>
      <c r="L1816" s="24">
        <v>31.0</v>
      </c>
      <c r="M1816" s="24" t="str">
        <f>IFERROR(VLOOKUP(D1816,'Chủ đề bài nguồn'!$A$2:$C$735,3,0),"Khác")</f>
        <v>Nợ xấu &amp; CIC</v>
      </c>
      <c r="N1816" s="24"/>
    </row>
    <row r="1817">
      <c r="A1817" s="15">
        <v>1815.0</v>
      </c>
      <c r="B1817" s="16" t="s">
        <v>551</v>
      </c>
      <c r="C1817" s="18" t="s">
        <v>1859</v>
      </c>
      <c r="D1817" s="16" t="s">
        <v>2410</v>
      </c>
      <c r="E1817" s="16" t="s">
        <v>6647</v>
      </c>
      <c r="F1817" s="16" t="s">
        <v>6648</v>
      </c>
      <c r="G1817" s="16" t="s">
        <v>6649</v>
      </c>
      <c r="H1817" s="20" t="s">
        <v>229</v>
      </c>
      <c r="I1817" s="21" t="s">
        <v>70</v>
      </c>
      <c r="J1817" s="22" t="s">
        <v>71</v>
      </c>
      <c r="K1817" s="23">
        <v>66.0</v>
      </c>
      <c r="L1817" s="24">
        <v>31.0</v>
      </c>
      <c r="M1817" s="24" t="str">
        <f>IFERROR(VLOOKUP(D1817,'Chủ đề bài nguồn'!$A$2:$C$735,3,0),"Khác")</f>
        <v>Thẻ tín dụng</v>
      </c>
      <c r="N1817" s="24"/>
    </row>
    <row r="1818">
      <c r="A1818" s="15">
        <v>1816.0</v>
      </c>
      <c r="B1818" s="16" t="s">
        <v>551</v>
      </c>
      <c r="C1818" s="18" t="s">
        <v>1859</v>
      </c>
      <c r="D1818" s="16" t="s">
        <v>1748</v>
      </c>
      <c r="E1818" s="16" t="s">
        <v>4504</v>
      </c>
      <c r="F1818" s="16" t="s">
        <v>6650</v>
      </c>
      <c r="G1818" s="16" t="s">
        <v>6651</v>
      </c>
      <c r="H1818" s="20" t="s">
        <v>229</v>
      </c>
      <c r="I1818" s="21" t="s">
        <v>70</v>
      </c>
      <c r="J1818" s="22" t="s">
        <v>71</v>
      </c>
      <c r="K1818" s="23">
        <v>66.0</v>
      </c>
      <c r="L1818" s="24">
        <v>31.0</v>
      </c>
      <c r="M1818" s="24" t="str">
        <f>IFERROR(VLOOKUP(D1818,'Chủ đề bài nguồn'!$A$2:$C$735,3,0),"Khác")</f>
        <v>Tài khoản &amp; ngân hàng số</v>
      </c>
      <c r="N1818" s="24"/>
    </row>
    <row r="1819">
      <c r="A1819" s="15">
        <v>1817.0</v>
      </c>
      <c r="B1819" s="16" t="s">
        <v>551</v>
      </c>
      <c r="C1819" s="18" t="s">
        <v>1859</v>
      </c>
      <c r="D1819" s="16" t="s">
        <v>3267</v>
      </c>
      <c r="E1819" s="16" t="s">
        <v>6652</v>
      </c>
      <c r="F1819" s="16" t="s">
        <v>6653</v>
      </c>
      <c r="G1819" s="16" t="s">
        <v>6555</v>
      </c>
      <c r="H1819" s="20" t="s">
        <v>229</v>
      </c>
      <c r="I1819" s="21" t="s">
        <v>70</v>
      </c>
      <c r="J1819" s="22" t="s">
        <v>71</v>
      </c>
      <c r="K1819" s="23">
        <v>66.0</v>
      </c>
      <c r="L1819" s="24">
        <v>31.0</v>
      </c>
      <c r="M1819" s="24" t="str">
        <f>IFERROR(VLOOKUP(D1819,'Chủ đề bài nguồn'!$A$2:$C$735,3,0),"Khác")</f>
        <v>Vay tiêu dùng &amp; tín chấp</v>
      </c>
      <c r="N1819" s="24"/>
    </row>
    <row r="1820">
      <c r="A1820" s="15">
        <v>1818.0</v>
      </c>
      <c r="B1820" s="16" t="s">
        <v>551</v>
      </c>
      <c r="C1820" s="18" t="s">
        <v>1859</v>
      </c>
      <c r="D1820" s="16" t="s">
        <v>3063</v>
      </c>
      <c r="E1820" s="16" t="s">
        <v>6654</v>
      </c>
      <c r="F1820" s="16" t="s">
        <v>6655</v>
      </c>
      <c r="G1820" s="16" t="s">
        <v>6555</v>
      </c>
      <c r="H1820" s="20" t="s">
        <v>229</v>
      </c>
      <c r="I1820" s="21" t="s">
        <v>70</v>
      </c>
      <c r="J1820" s="22" t="s">
        <v>2506</v>
      </c>
      <c r="K1820" s="23">
        <v>66.0</v>
      </c>
      <c r="L1820" s="24">
        <v>31.0</v>
      </c>
      <c r="M1820" s="24" t="str">
        <f>IFERROR(VLOOKUP(D1820,'Chủ đề bài nguồn'!$A$2:$C$735,3,0),"Khác")</f>
        <v>Nợ xấu &amp; CIC</v>
      </c>
      <c r="N1820" s="24"/>
    </row>
    <row r="1821">
      <c r="A1821" s="15">
        <v>1819.0</v>
      </c>
      <c r="B1821" s="16" t="s">
        <v>551</v>
      </c>
      <c r="C1821" s="18" t="s">
        <v>1859</v>
      </c>
      <c r="D1821" s="16" t="s">
        <v>3317</v>
      </c>
      <c r="E1821" s="16" t="s">
        <v>6656</v>
      </c>
      <c r="F1821" s="16" t="s">
        <v>6657</v>
      </c>
      <c r="G1821" s="16" t="s">
        <v>6658</v>
      </c>
      <c r="H1821" s="20" t="s">
        <v>229</v>
      </c>
      <c r="I1821" s="21" t="s">
        <v>70</v>
      </c>
      <c r="J1821" s="22" t="s">
        <v>71</v>
      </c>
      <c r="K1821" s="23">
        <v>66.0</v>
      </c>
      <c r="L1821" s="24">
        <v>31.0</v>
      </c>
      <c r="M1821" s="24" t="str">
        <f>IFERROR(VLOOKUP(D1821,'Chủ đề bài nguồn'!$A$2:$C$735,3,0),"Khác")</f>
        <v>Vay thế chấp &amp; mua nhà/xe</v>
      </c>
      <c r="N1821" s="24"/>
    </row>
    <row r="1822">
      <c r="A1822" s="15">
        <v>1820.0</v>
      </c>
      <c r="B1822" s="16" t="s">
        <v>551</v>
      </c>
      <c r="C1822" s="18" t="s">
        <v>1859</v>
      </c>
      <c r="D1822" s="16" t="s">
        <v>3059</v>
      </c>
      <c r="E1822" s="16" t="s">
        <v>6659</v>
      </c>
      <c r="F1822" s="16" t="s">
        <v>6660</v>
      </c>
      <c r="G1822" s="16" t="s">
        <v>6661</v>
      </c>
      <c r="H1822" s="20" t="s">
        <v>229</v>
      </c>
      <c r="I1822" s="21" t="s">
        <v>70</v>
      </c>
      <c r="J1822" s="22" t="s">
        <v>71</v>
      </c>
      <c r="K1822" s="23">
        <v>66.0</v>
      </c>
      <c r="L1822" s="24">
        <v>31.0</v>
      </c>
      <c r="M1822" s="24" t="str">
        <f>IFERROR(VLOOKUP(D1822,'Chủ đề bài nguồn'!$A$2:$C$735,3,0),"Khác")</f>
        <v>Nợ xấu &amp; CIC</v>
      </c>
      <c r="N1822" s="24"/>
    </row>
    <row r="1823">
      <c r="A1823" s="15">
        <v>1821.0</v>
      </c>
      <c r="B1823" s="16" t="s">
        <v>551</v>
      </c>
      <c r="C1823" s="18" t="s">
        <v>1859</v>
      </c>
      <c r="D1823" s="16" t="s">
        <v>1164</v>
      </c>
      <c r="E1823" s="16" t="s">
        <v>4150</v>
      </c>
      <c r="F1823" s="16" t="s">
        <v>6662</v>
      </c>
      <c r="G1823" s="16" t="s">
        <v>6663</v>
      </c>
      <c r="H1823" s="20" t="s">
        <v>229</v>
      </c>
      <c r="I1823" s="21" t="s">
        <v>70</v>
      </c>
      <c r="J1823" s="22" t="s">
        <v>71</v>
      </c>
      <c r="K1823" s="23">
        <v>66.0</v>
      </c>
      <c r="L1823" s="24">
        <v>31.0</v>
      </c>
      <c r="M1823" s="24" t="str">
        <f>IFERROR(VLOOKUP(D1823,'Chủ đề bài nguồn'!$A$2:$C$735,3,0),"Khác")</f>
        <v>Nợ xấu &amp; CIC</v>
      </c>
      <c r="N1823" s="24"/>
    </row>
    <row r="1824">
      <c r="A1824" s="15">
        <v>1822.0</v>
      </c>
      <c r="B1824" s="16" t="s">
        <v>551</v>
      </c>
      <c r="C1824" s="18" t="s">
        <v>1859</v>
      </c>
      <c r="D1824" s="16" t="s">
        <v>195</v>
      </c>
      <c r="E1824" s="16" t="s">
        <v>196</v>
      </c>
      <c r="F1824" s="16" t="s">
        <v>6664</v>
      </c>
      <c r="G1824" s="16" t="s">
        <v>6555</v>
      </c>
      <c r="H1824" s="20" t="s">
        <v>229</v>
      </c>
      <c r="I1824" s="21" t="s">
        <v>70</v>
      </c>
      <c r="J1824" s="22" t="s">
        <v>2506</v>
      </c>
      <c r="K1824" s="23">
        <v>66.0</v>
      </c>
      <c r="L1824" s="24">
        <v>31.0</v>
      </c>
      <c r="M1824" s="24" t="str">
        <f>IFERROR(VLOOKUP(D1824,'Chủ đề bài nguồn'!$A$2:$C$735,3,0),"Khác")</f>
        <v>Vay thế chấp &amp; mua nhà/xe</v>
      </c>
      <c r="N1824" s="24"/>
    </row>
    <row r="1825">
      <c r="A1825" s="15">
        <v>1823.0</v>
      </c>
      <c r="B1825" s="39" t="s">
        <v>551</v>
      </c>
      <c r="C1825" s="18" t="s">
        <v>1859</v>
      </c>
      <c r="D1825" s="39" t="s">
        <v>1716</v>
      </c>
      <c r="E1825" s="16" t="s">
        <v>2993</v>
      </c>
      <c r="F1825" s="16" t="s">
        <v>6665</v>
      </c>
      <c r="G1825" s="16" t="s">
        <v>6666</v>
      </c>
      <c r="H1825" s="20" t="s">
        <v>229</v>
      </c>
      <c r="I1825" s="21" t="s">
        <v>70</v>
      </c>
      <c r="J1825" s="22" t="s">
        <v>71</v>
      </c>
      <c r="K1825" s="23">
        <v>66.0</v>
      </c>
      <c r="L1825" s="24">
        <v>31.0</v>
      </c>
      <c r="M1825" s="24" t="str">
        <f>IFERROR(VLOOKUP(D1825,'Chủ đề bài nguồn'!$A$2:$C$735,3,0),"Khác")</f>
        <v>Tài khoản &amp; ngân hàng số</v>
      </c>
      <c r="N1825" s="24"/>
    </row>
    <row r="1826">
      <c r="A1826" s="15">
        <v>1824.0</v>
      </c>
      <c r="B1826" s="16" t="s">
        <v>551</v>
      </c>
      <c r="C1826" s="18" t="s">
        <v>1859</v>
      </c>
      <c r="D1826" s="16" t="s">
        <v>1462</v>
      </c>
      <c r="E1826" s="16" t="s">
        <v>6667</v>
      </c>
      <c r="F1826" s="16" t="s">
        <v>6668</v>
      </c>
      <c r="G1826" s="16" t="s">
        <v>6669</v>
      </c>
      <c r="H1826" s="20" t="s">
        <v>229</v>
      </c>
      <c r="I1826" s="21" t="s">
        <v>70</v>
      </c>
      <c r="J1826" s="22" t="s">
        <v>1073</v>
      </c>
      <c r="K1826" s="23">
        <v>66.0</v>
      </c>
      <c r="L1826" s="24">
        <v>31.0</v>
      </c>
      <c r="M1826" s="24" t="str">
        <f>IFERROR(VLOOKUP(D1826,'Chủ đề bài nguồn'!$A$2:$C$735,3,0),"Khác")</f>
        <v>Doanh nghiệp (tài khoản, vay, tài chính)</v>
      </c>
      <c r="N1826" s="24"/>
    </row>
    <row r="1827">
      <c r="A1827" s="15">
        <v>1825.0</v>
      </c>
      <c r="B1827" s="16" t="s">
        <v>614</v>
      </c>
      <c r="C1827" s="18" t="s">
        <v>4249</v>
      </c>
      <c r="D1827" s="16" t="s">
        <v>2829</v>
      </c>
      <c r="E1827" s="16" t="s">
        <v>6670</v>
      </c>
      <c r="F1827" s="16" t="s">
        <v>6671</v>
      </c>
      <c r="G1827" s="16" t="s">
        <v>6672</v>
      </c>
      <c r="H1827" s="20" t="s">
        <v>69</v>
      </c>
      <c r="I1827" s="21" t="s">
        <v>70</v>
      </c>
      <c r="J1827" s="22" t="s">
        <v>71</v>
      </c>
      <c r="K1827" s="23">
        <v>67.0</v>
      </c>
      <c r="L1827" s="24">
        <v>11.0</v>
      </c>
      <c r="M1827" s="24" t="str">
        <f>IFERROR(VLOOKUP(D1827,'Chủ đề bài nguồn'!$A$2:$C$735,3,0),"Khác")</f>
        <v>Đầu tư, CCTG, trái phiếu, vàng</v>
      </c>
      <c r="N1827" s="24"/>
    </row>
    <row r="1828">
      <c r="A1828" s="15">
        <v>1826.0</v>
      </c>
      <c r="B1828" s="16" t="s">
        <v>614</v>
      </c>
      <c r="C1828" s="18" t="s">
        <v>4249</v>
      </c>
      <c r="D1828" s="16" t="s">
        <v>1892</v>
      </c>
      <c r="E1828" s="16" t="s">
        <v>6269</v>
      </c>
      <c r="F1828" s="16" t="s">
        <v>6673</v>
      </c>
      <c r="G1828" s="16" t="s">
        <v>6672</v>
      </c>
      <c r="H1828" s="20" t="s">
        <v>69</v>
      </c>
      <c r="I1828" s="21" t="s">
        <v>70</v>
      </c>
      <c r="J1828" s="22" t="s">
        <v>71</v>
      </c>
      <c r="K1828" s="23">
        <v>67.0</v>
      </c>
      <c r="L1828" s="24">
        <v>11.0</v>
      </c>
      <c r="M1828" s="24" t="str">
        <f>IFERROR(VLOOKUP(D1828,'Chủ đề bài nguồn'!$A$2:$C$735,3,0),"Khác")</f>
        <v>Tiết kiệm &amp; lãi suất tiền gửi</v>
      </c>
      <c r="N1828" s="24"/>
    </row>
    <row r="1829">
      <c r="A1829" s="15">
        <v>1827.0</v>
      </c>
      <c r="B1829" s="16" t="s">
        <v>614</v>
      </c>
      <c r="C1829" s="18" t="s">
        <v>4249</v>
      </c>
      <c r="D1829" s="16" t="s">
        <v>1137</v>
      </c>
      <c r="E1829" s="16" t="s">
        <v>6211</v>
      </c>
      <c r="F1829" s="16" t="s">
        <v>6674</v>
      </c>
      <c r="G1829" s="16" t="s">
        <v>6675</v>
      </c>
      <c r="H1829" s="20" t="s">
        <v>69</v>
      </c>
      <c r="I1829" s="21" t="s">
        <v>70</v>
      </c>
      <c r="J1829" s="22" t="s">
        <v>71</v>
      </c>
      <c r="K1829" s="23">
        <v>67.0</v>
      </c>
      <c r="L1829" s="24">
        <v>11.0</v>
      </c>
      <c r="M1829" s="24" t="str">
        <f>IFERROR(VLOOKUP(D1829,'Chủ đề bài nguồn'!$A$2:$C$735,3,0),"Khác")</f>
        <v>Tiết kiệm &amp; lãi suất tiền gửi</v>
      </c>
      <c r="N1829" s="24"/>
    </row>
    <row r="1830">
      <c r="A1830" s="15">
        <v>1828.0</v>
      </c>
      <c r="B1830" s="16" t="s">
        <v>614</v>
      </c>
      <c r="C1830" s="18" t="s">
        <v>2325</v>
      </c>
      <c r="D1830" s="16" t="s">
        <v>2792</v>
      </c>
      <c r="E1830" s="16" t="s">
        <v>6407</v>
      </c>
      <c r="F1830" s="16" t="s">
        <v>6676</v>
      </c>
      <c r="G1830" s="16" t="s">
        <v>6677</v>
      </c>
      <c r="H1830" s="20" t="s">
        <v>69</v>
      </c>
      <c r="I1830" s="21" t="s">
        <v>70</v>
      </c>
      <c r="J1830" s="22" t="s">
        <v>134</v>
      </c>
      <c r="K1830" s="23">
        <v>67.0</v>
      </c>
      <c r="L1830" s="24">
        <v>11.0</v>
      </c>
      <c r="M1830" s="24" t="str">
        <f>IFERROR(VLOOKUP(D1830,'Chủ đề bài nguồn'!$A$2:$C$735,3,0),"Khác")</f>
        <v>Đầu tư, CCTG, trái phiếu, vàng</v>
      </c>
      <c r="N1830" s="24"/>
    </row>
    <row r="1831">
      <c r="A1831" s="15">
        <v>1829.0</v>
      </c>
      <c r="B1831" s="16" t="s">
        <v>614</v>
      </c>
      <c r="C1831" s="18" t="s">
        <v>2325</v>
      </c>
      <c r="D1831" s="16" t="s">
        <v>231</v>
      </c>
      <c r="E1831" s="16" t="s">
        <v>6678</v>
      </c>
      <c r="F1831" s="16" t="s">
        <v>6679</v>
      </c>
      <c r="G1831" s="16" t="s">
        <v>6680</v>
      </c>
      <c r="H1831" s="20" t="s">
        <v>69</v>
      </c>
      <c r="I1831" s="21" t="s">
        <v>70</v>
      </c>
      <c r="J1831" s="22" t="s">
        <v>71</v>
      </c>
      <c r="K1831" s="23">
        <v>67.0</v>
      </c>
      <c r="L1831" s="24">
        <v>11.0</v>
      </c>
      <c r="M1831" s="24" t="str">
        <f>IFERROR(VLOOKUP(D1831,'Chủ đề bài nguồn'!$A$2:$C$735,3,0),"Khác")</f>
        <v>Tiết kiệm &amp; lãi suất tiền gửi</v>
      </c>
      <c r="N1831" s="24"/>
    </row>
    <row r="1832">
      <c r="A1832" s="15">
        <v>1830.0</v>
      </c>
      <c r="B1832" s="16" t="s">
        <v>614</v>
      </c>
      <c r="C1832" s="18" t="s">
        <v>2325</v>
      </c>
      <c r="D1832" s="16" t="s">
        <v>2797</v>
      </c>
      <c r="E1832" s="16" t="s">
        <v>6681</v>
      </c>
      <c r="F1832" s="16" t="s">
        <v>6682</v>
      </c>
      <c r="G1832" s="16" t="s">
        <v>6683</v>
      </c>
      <c r="H1832" s="20" t="s">
        <v>69</v>
      </c>
      <c r="I1832" s="21" t="s">
        <v>70</v>
      </c>
      <c r="J1832" s="22" t="s">
        <v>71</v>
      </c>
      <c r="K1832" s="23">
        <v>67.0</v>
      </c>
      <c r="L1832" s="24">
        <v>11.0</v>
      </c>
      <c r="M1832" s="24" t="str">
        <f>IFERROR(VLOOKUP(D1832,'Chủ đề bài nguồn'!$A$2:$C$735,3,0),"Khác")</f>
        <v>Tiết kiệm &amp; lãi suất tiền gửi</v>
      </c>
      <c r="N1832" s="24"/>
    </row>
    <row r="1833">
      <c r="A1833" s="15">
        <v>1831.0</v>
      </c>
      <c r="B1833" s="16" t="s">
        <v>614</v>
      </c>
      <c r="C1833" s="18" t="s">
        <v>2325</v>
      </c>
      <c r="D1833" s="16" t="s">
        <v>464</v>
      </c>
      <c r="E1833" s="16" t="s">
        <v>6684</v>
      </c>
      <c r="F1833" s="16" t="s">
        <v>6679</v>
      </c>
      <c r="G1833" s="16" t="s">
        <v>6680</v>
      </c>
      <c r="H1833" s="20" t="s">
        <v>69</v>
      </c>
      <c r="I1833" s="21" t="s">
        <v>70</v>
      </c>
      <c r="J1833" s="22" t="s">
        <v>71</v>
      </c>
      <c r="K1833" s="23">
        <v>67.0</v>
      </c>
      <c r="L1833" s="24">
        <v>11.0</v>
      </c>
      <c r="M1833" s="24" t="str">
        <f>IFERROR(VLOOKUP(D1833,'Chủ đề bài nguồn'!$A$2:$C$735,3,0),"Khác")</f>
        <v>Tiết kiệm &amp; lãi suất tiền gửi</v>
      </c>
      <c r="N1833" s="24"/>
    </row>
    <row r="1834">
      <c r="A1834" s="15">
        <v>1832.0</v>
      </c>
      <c r="B1834" s="16" t="s">
        <v>614</v>
      </c>
      <c r="C1834" s="18" t="s">
        <v>2325</v>
      </c>
      <c r="D1834" s="16" t="s">
        <v>2873</v>
      </c>
      <c r="E1834" s="16" t="s">
        <v>6685</v>
      </c>
      <c r="F1834" s="16" t="s">
        <v>6686</v>
      </c>
      <c r="G1834" s="16" t="s">
        <v>6687</v>
      </c>
      <c r="H1834" s="20" t="s">
        <v>69</v>
      </c>
      <c r="I1834" s="21" t="s">
        <v>70</v>
      </c>
      <c r="J1834" s="22" t="s">
        <v>71</v>
      </c>
      <c r="K1834" s="23">
        <v>67.0</v>
      </c>
      <c r="L1834" s="24">
        <v>11.0</v>
      </c>
      <c r="M1834" s="24" t="str">
        <f>IFERROR(VLOOKUP(D1834,'Chủ đề bài nguồn'!$A$2:$C$735,3,0),"Khác")</f>
        <v>Tiết kiệm &amp; lãi suất tiền gửi</v>
      </c>
      <c r="N1834" s="24"/>
    </row>
    <row r="1835">
      <c r="A1835" s="15">
        <v>1833.0</v>
      </c>
      <c r="B1835" s="16" t="s">
        <v>614</v>
      </c>
      <c r="C1835" s="18" t="s">
        <v>4249</v>
      </c>
      <c r="D1835" s="16" t="s">
        <v>1397</v>
      </c>
      <c r="E1835" s="16" t="s">
        <v>6688</v>
      </c>
      <c r="F1835" s="16" t="s">
        <v>6689</v>
      </c>
      <c r="G1835" s="16" t="s">
        <v>6690</v>
      </c>
      <c r="H1835" s="20" t="s">
        <v>155</v>
      </c>
      <c r="I1835" s="21" t="s">
        <v>70</v>
      </c>
      <c r="J1835" s="22" t="s">
        <v>71</v>
      </c>
      <c r="K1835" s="23">
        <v>67.0</v>
      </c>
      <c r="L1835" s="24">
        <v>21.0</v>
      </c>
      <c r="M1835" s="24" t="str">
        <f>IFERROR(VLOOKUP(D1835,'Chủ đề bài nguồn'!$A$2:$C$735,3,0),"Khác")</f>
        <v>Tiết kiệm &amp; lãi suất tiền gửi</v>
      </c>
      <c r="N1835" s="24"/>
    </row>
    <row r="1836">
      <c r="A1836" s="15">
        <v>1834.0</v>
      </c>
      <c r="B1836" s="16" t="s">
        <v>614</v>
      </c>
      <c r="C1836" s="18" t="s">
        <v>4249</v>
      </c>
      <c r="D1836" s="16" t="s">
        <v>2227</v>
      </c>
      <c r="E1836" s="16" t="s">
        <v>4461</v>
      </c>
      <c r="F1836" s="16" t="s">
        <v>4462</v>
      </c>
      <c r="G1836" s="16" t="s">
        <v>6691</v>
      </c>
      <c r="H1836" s="20" t="s">
        <v>155</v>
      </c>
      <c r="I1836" s="21" t="s">
        <v>70</v>
      </c>
      <c r="J1836" s="22" t="s">
        <v>71</v>
      </c>
      <c r="K1836" s="23">
        <v>67.0</v>
      </c>
      <c r="L1836" s="24">
        <v>21.0</v>
      </c>
      <c r="M1836" s="24" t="str">
        <f>IFERROR(VLOOKUP(D1836,'Chủ đề bài nguồn'!$A$2:$C$735,3,0),"Khác")</f>
        <v>Tiết kiệm &amp; lãi suất tiền gửi</v>
      </c>
      <c r="N1836" s="24"/>
    </row>
    <row r="1837">
      <c r="A1837" s="15">
        <v>1835.0</v>
      </c>
      <c r="B1837" s="16" t="s">
        <v>614</v>
      </c>
      <c r="C1837" s="18" t="s">
        <v>4249</v>
      </c>
      <c r="D1837" s="16" t="s">
        <v>3099</v>
      </c>
      <c r="E1837" s="16" t="s">
        <v>6692</v>
      </c>
      <c r="F1837" s="16" t="s">
        <v>6693</v>
      </c>
      <c r="G1837" s="16" t="s">
        <v>6675</v>
      </c>
      <c r="H1837" s="20" t="s">
        <v>155</v>
      </c>
      <c r="I1837" s="21" t="s">
        <v>70</v>
      </c>
      <c r="J1837" s="22" t="s">
        <v>71</v>
      </c>
      <c r="K1837" s="23">
        <v>67.0</v>
      </c>
      <c r="L1837" s="24">
        <v>21.0</v>
      </c>
      <c r="M1837" s="24" t="str">
        <f>IFERROR(VLOOKUP(D1837,'Chủ đề bài nguồn'!$A$2:$C$735,3,0),"Khác")</f>
        <v>Tiết kiệm &amp; lãi suất tiền gửi</v>
      </c>
      <c r="N1837" s="24"/>
    </row>
    <row r="1838">
      <c r="A1838" s="15">
        <v>1836.0</v>
      </c>
      <c r="B1838" s="16" t="s">
        <v>614</v>
      </c>
      <c r="C1838" s="18" t="s">
        <v>4249</v>
      </c>
      <c r="D1838" s="16" t="s">
        <v>3038</v>
      </c>
      <c r="E1838" s="16" t="s">
        <v>6694</v>
      </c>
      <c r="F1838" s="16" t="s">
        <v>6695</v>
      </c>
      <c r="G1838" s="16" t="s">
        <v>6696</v>
      </c>
      <c r="H1838" s="20" t="s">
        <v>155</v>
      </c>
      <c r="I1838" s="21" t="s">
        <v>70</v>
      </c>
      <c r="J1838" s="22" t="s">
        <v>71</v>
      </c>
      <c r="K1838" s="23">
        <v>67.0</v>
      </c>
      <c r="L1838" s="24">
        <v>21.0</v>
      </c>
      <c r="M1838" s="24" t="str">
        <f>IFERROR(VLOOKUP(D1838,'Chủ đề bài nguồn'!$A$2:$C$735,3,0),"Khác")</f>
        <v>Tiết kiệm &amp; lãi suất tiền gửi</v>
      </c>
      <c r="N1838" s="24"/>
    </row>
    <row r="1839">
      <c r="A1839" s="15">
        <v>1837.0</v>
      </c>
      <c r="B1839" s="16" t="s">
        <v>614</v>
      </c>
      <c r="C1839" s="18" t="s">
        <v>4249</v>
      </c>
      <c r="D1839" s="16" t="s">
        <v>2833</v>
      </c>
      <c r="E1839" s="16" t="s">
        <v>710</v>
      </c>
      <c r="F1839" s="16" t="s">
        <v>6697</v>
      </c>
      <c r="G1839" s="16" t="s">
        <v>6698</v>
      </c>
      <c r="H1839" s="20" t="s">
        <v>155</v>
      </c>
      <c r="I1839" s="21" t="s">
        <v>70</v>
      </c>
      <c r="J1839" s="22" t="s">
        <v>71</v>
      </c>
      <c r="K1839" s="23">
        <v>67.0</v>
      </c>
      <c r="L1839" s="24">
        <v>21.0</v>
      </c>
      <c r="M1839" s="24" t="str">
        <f>IFERROR(VLOOKUP(D1839,'Chủ đề bài nguồn'!$A$2:$C$735,3,0),"Khác")</f>
        <v>Doanh nghiệp (tài khoản, vay, tài chính)</v>
      </c>
      <c r="N1839" s="24"/>
    </row>
    <row r="1840">
      <c r="A1840" s="15">
        <v>1838.0</v>
      </c>
      <c r="B1840" s="16" t="s">
        <v>614</v>
      </c>
      <c r="C1840" s="18" t="s">
        <v>4249</v>
      </c>
      <c r="D1840" s="16" t="s">
        <v>2719</v>
      </c>
      <c r="E1840" s="16" t="s">
        <v>6276</v>
      </c>
      <c r="F1840" s="16" t="s">
        <v>6699</v>
      </c>
      <c r="G1840" s="16" t="s">
        <v>6700</v>
      </c>
      <c r="H1840" s="20" t="s">
        <v>155</v>
      </c>
      <c r="I1840" s="21" t="s">
        <v>70</v>
      </c>
      <c r="J1840" s="22" t="s">
        <v>71</v>
      </c>
      <c r="K1840" s="23">
        <v>67.0</v>
      </c>
      <c r="L1840" s="24">
        <v>21.0</v>
      </c>
      <c r="M1840" s="24" t="str">
        <f>IFERROR(VLOOKUP(D1840,'Chủ đề bài nguồn'!$A$2:$C$735,3,0),"Khác")</f>
        <v>Tiết kiệm &amp; lãi suất tiền gửi</v>
      </c>
      <c r="N1840" s="24"/>
    </row>
    <row r="1841">
      <c r="A1841" s="15">
        <v>1839.0</v>
      </c>
      <c r="B1841" s="16" t="s">
        <v>614</v>
      </c>
      <c r="C1841" s="18" t="s">
        <v>4249</v>
      </c>
      <c r="D1841" s="16" t="s">
        <v>1382</v>
      </c>
      <c r="E1841" s="16" t="s">
        <v>6701</v>
      </c>
      <c r="F1841" s="16" t="s">
        <v>6702</v>
      </c>
      <c r="G1841" s="16" t="s">
        <v>6703</v>
      </c>
      <c r="H1841" s="20" t="s">
        <v>155</v>
      </c>
      <c r="I1841" s="21" t="s">
        <v>70</v>
      </c>
      <c r="J1841" s="22" t="s">
        <v>71</v>
      </c>
      <c r="K1841" s="23">
        <v>67.0</v>
      </c>
      <c r="L1841" s="24">
        <v>21.0</v>
      </c>
      <c r="M1841" s="24" t="str">
        <f>IFERROR(VLOOKUP(D1841,'Chủ đề bài nguồn'!$A$2:$C$735,3,0),"Khác")</f>
        <v>Tài khoản &amp; ngân hàng số</v>
      </c>
      <c r="N1841" s="24"/>
    </row>
    <row r="1842">
      <c r="A1842" s="15">
        <v>1840.0</v>
      </c>
      <c r="B1842" s="16" t="s">
        <v>614</v>
      </c>
      <c r="C1842" s="18" t="s">
        <v>4249</v>
      </c>
      <c r="D1842" s="16" t="s">
        <v>1145</v>
      </c>
      <c r="E1842" s="16" t="s">
        <v>5745</v>
      </c>
      <c r="F1842" s="16" t="s">
        <v>6704</v>
      </c>
      <c r="G1842" s="16" t="s">
        <v>6705</v>
      </c>
      <c r="H1842" s="20" t="s">
        <v>155</v>
      </c>
      <c r="I1842" s="21" t="s">
        <v>70</v>
      </c>
      <c r="J1842" s="22" t="s">
        <v>71</v>
      </c>
      <c r="K1842" s="23">
        <v>67.0</v>
      </c>
      <c r="L1842" s="24">
        <v>21.0</v>
      </c>
      <c r="M1842" s="24" t="str">
        <f>IFERROR(VLOOKUP(D1842,'Chủ đề bài nguồn'!$A$2:$C$735,3,0),"Khác")</f>
        <v>Tiết kiệm &amp; lãi suất tiền gửi</v>
      </c>
      <c r="N1842" s="24"/>
    </row>
    <row r="1843">
      <c r="A1843" s="15">
        <v>1841.0</v>
      </c>
      <c r="B1843" s="16" t="s">
        <v>614</v>
      </c>
      <c r="C1843" s="18" t="s">
        <v>4249</v>
      </c>
      <c r="D1843" s="16" t="s">
        <v>1910</v>
      </c>
      <c r="E1843" s="16" t="s">
        <v>6706</v>
      </c>
      <c r="F1843" s="16" t="s">
        <v>6707</v>
      </c>
      <c r="G1843" s="16" t="s">
        <v>6708</v>
      </c>
      <c r="H1843" s="20" t="s">
        <v>155</v>
      </c>
      <c r="I1843" s="21" t="s">
        <v>70</v>
      </c>
      <c r="J1843" s="22" t="s">
        <v>71</v>
      </c>
      <c r="K1843" s="23">
        <v>67.0</v>
      </c>
      <c r="L1843" s="24">
        <v>21.0</v>
      </c>
      <c r="M1843" s="24" t="str">
        <f>IFERROR(VLOOKUP(D1843,'Chủ đề bài nguồn'!$A$2:$C$735,3,0),"Khác")</f>
        <v>Tiết kiệm &amp; lãi suất tiền gửi</v>
      </c>
      <c r="N1843" s="24"/>
    </row>
    <row r="1844">
      <c r="A1844" s="15">
        <v>1842.0</v>
      </c>
      <c r="B1844" s="16" t="s">
        <v>614</v>
      </c>
      <c r="C1844" s="18" t="s">
        <v>4249</v>
      </c>
      <c r="D1844" s="16" t="s">
        <v>2870</v>
      </c>
      <c r="E1844" s="16" t="s">
        <v>4461</v>
      </c>
      <c r="F1844" s="16" t="s">
        <v>4462</v>
      </c>
      <c r="G1844" s="16" t="s">
        <v>6691</v>
      </c>
      <c r="H1844" s="20" t="s">
        <v>155</v>
      </c>
      <c r="I1844" s="21" t="s">
        <v>70</v>
      </c>
      <c r="J1844" s="22" t="s">
        <v>71</v>
      </c>
      <c r="K1844" s="23">
        <v>67.0</v>
      </c>
      <c r="L1844" s="24">
        <v>21.0</v>
      </c>
      <c r="M1844" s="24" t="str">
        <f>IFERROR(VLOOKUP(D1844,'Chủ đề bài nguồn'!$A$2:$C$735,3,0),"Khác")</f>
        <v>Tiết kiệm &amp; lãi suất tiền gửi</v>
      </c>
      <c r="N1844" s="24"/>
    </row>
    <row r="1845">
      <c r="A1845" s="15">
        <v>1843.0</v>
      </c>
      <c r="B1845" s="16" t="s">
        <v>614</v>
      </c>
      <c r="C1845" s="18" t="s">
        <v>4249</v>
      </c>
      <c r="D1845" s="16" t="s">
        <v>2771</v>
      </c>
      <c r="E1845" s="16" t="s">
        <v>6026</v>
      </c>
      <c r="F1845" s="16" t="s">
        <v>6709</v>
      </c>
      <c r="G1845" s="16" t="s">
        <v>6710</v>
      </c>
      <c r="H1845" s="20" t="s">
        <v>155</v>
      </c>
      <c r="I1845" s="21" t="s">
        <v>70</v>
      </c>
      <c r="J1845" s="22" t="s">
        <v>71</v>
      </c>
      <c r="K1845" s="23">
        <v>67.0</v>
      </c>
      <c r="L1845" s="24">
        <v>21.0</v>
      </c>
      <c r="M1845" s="24" t="str">
        <f>IFERROR(VLOOKUP(D1845,'Chủ đề bài nguồn'!$A$2:$C$735,3,0),"Khác")</f>
        <v>Đầu tư, CCTG, trái phiếu, vàng</v>
      </c>
      <c r="N1845" s="24"/>
    </row>
    <row r="1846">
      <c r="A1846" s="15">
        <v>1844.0</v>
      </c>
      <c r="B1846" s="16" t="s">
        <v>614</v>
      </c>
      <c r="C1846" s="18" t="s">
        <v>4249</v>
      </c>
      <c r="D1846" s="16" t="s">
        <v>3041</v>
      </c>
      <c r="E1846" s="16" t="s">
        <v>6711</v>
      </c>
      <c r="F1846" s="16" t="s">
        <v>6712</v>
      </c>
      <c r="G1846" s="16" t="s">
        <v>6713</v>
      </c>
      <c r="H1846" s="20" t="s">
        <v>155</v>
      </c>
      <c r="I1846" s="21" t="s">
        <v>70</v>
      </c>
      <c r="J1846" s="22" t="s">
        <v>71</v>
      </c>
      <c r="K1846" s="23">
        <v>67.0</v>
      </c>
      <c r="L1846" s="24">
        <v>21.0</v>
      </c>
      <c r="M1846" s="24" t="str">
        <f>IFERROR(VLOOKUP(D1846,'Chủ đề bài nguồn'!$A$2:$C$735,3,0),"Khác")</f>
        <v>Thẻ tín dụng</v>
      </c>
      <c r="N1846" s="24"/>
    </row>
    <row r="1847">
      <c r="A1847" s="15">
        <v>1845.0</v>
      </c>
      <c r="B1847" s="16" t="s">
        <v>614</v>
      </c>
      <c r="C1847" s="18" t="s">
        <v>4249</v>
      </c>
      <c r="D1847" s="16" t="s">
        <v>2875</v>
      </c>
      <c r="E1847" s="16" t="s">
        <v>4461</v>
      </c>
      <c r="F1847" s="16" t="s">
        <v>5710</v>
      </c>
      <c r="G1847" s="16" t="s">
        <v>6714</v>
      </c>
      <c r="H1847" s="20" t="s">
        <v>155</v>
      </c>
      <c r="I1847" s="21" t="s">
        <v>70</v>
      </c>
      <c r="J1847" s="22" t="s">
        <v>71</v>
      </c>
      <c r="K1847" s="23">
        <v>67.0</v>
      </c>
      <c r="L1847" s="24">
        <v>21.0</v>
      </c>
      <c r="M1847" s="24" t="str">
        <f>IFERROR(VLOOKUP(D1847,'Chủ đề bài nguồn'!$A$2:$C$735,3,0),"Khác")</f>
        <v>Tiết kiệm &amp; lãi suất tiền gửi</v>
      </c>
      <c r="N1847" s="24"/>
    </row>
    <row r="1848">
      <c r="A1848" s="15">
        <v>1846.0</v>
      </c>
      <c r="B1848" s="16" t="s">
        <v>614</v>
      </c>
      <c r="C1848" s="18" t="s">
        <v>4249</v>
      </c>
      <c r="D1848" s="16" t="s">
        <v>1212</v>
      </c>
      <c r="E1848" s="16" t="s">
        <v>5673</v>
      </c>
      <c r="F1848" s="16" t="s">
        <v>6715</v>
      </c>
      <c r="G1848" s="16" t="s">
        <v>6716</v>
      </c>
      <c r="H1848" s="20" t="s">
        <v>155</v>
      </c>
      <c r="I1848" s="21" t="s">
        <v>70</v>
      </c>
      <c r="J1848" s="22" t="s">
        <v>71</v>
      </c>
      <c r="K1848" s="23">
        <v>67.0</v>
      </c>
      <c r="L1848" s="24">
        <v>21.0</v>
      </c>
      <c r="M1848" s="24" t="str">
        <f>IFERROR(VLOOKUP(D1848,'Chủ đề bài nguồn'!$A$2:$C$735,3,0),"Khác")</f>
        <v>Tiết kiệm &amp; lãi suất tiền gửi</v>
      </c>
      <c r="N1848" s="24"/>
    </row>
    <row r="1849">
      <c r="A1849" s="15">
        <v>1847.0</v>
      </c>
      <c r="B1849" s="16" t="s">
        <v>614</v>
      </c>
      <c r="C1849" s="18" t="s">
        <v>4249</v>
      </c>
      <c r="D1849" s="16" t="s">
        <v>3013</v>
      </c>
      <c r="E1849" s="16" t="s">
        <v>5993</v>
      </c>
      <c r="F1849" s="16" t="s">
        <v>6717</v>
      </c>
      <c r="G1849" s="16" t="s">
        <v>6718</v>
      </c>
      <c r="H1849" s="20" t="s">
        <v>155</v>
      </c>
      <c r="I1849" s="21" t="s">
        <v>70</v>
      </c>
      <c r="J1849" s="22" t="s">
        <v>71</v>
      </c>
      <c r="K1849" s="23">
        <v>67.0</v>
      </c>
      <c r="L1849" s="24">
        <v>21.0</v>
      </c>
      <c r="M1849" s="24" t="str">
        <f>IFERROR(VLOOKUP(D1849,'Chủ đề bài nguồn'!$A$2:$C$735,3,0),"Khác")</f>
        <v>Tiết kiệm &amp; lãi suất tiền gửi</v>
      </c>
      <c r="N1849" s="24"/>
    </row>
    <row r="1850">
      <c r="A1850" s="15">
        <v>1848.0</v>
      </c>
      <c r="B1850" s="16" t="s">
        <v>614</v>
      </c>
      <c r="C1850" s="18" t="s">
        <v>4249</v>
      </c>
      <c r="D1850" s="16" t="s">
        <v>1878</v>
      </c>
      <c r="E1850" s="16" t="s">
        <v>4461</v>
      </c>
      <c r="F1850" s="16" t="s">
        <v>4462</v>
      </c>
      <c r="G1850" s="16" t="s">
        <v>6691</v>
      </c>
      <c r="H1850" s="20" t="s">
        <v>155</v>
      </c>
      <c r="I1850" s="21" t="s">
        <v>70</v>
      </c>
      <c r="J1850" s="22" t="s">
        <v>71</v>
      </c>
      <c r="K1850" s="23">
        <v>67.0</v>
      </c>
      <c r="L1850" s="24">
        <v>21.0</v>
      </c>
      <c r="M1850" s="24" t="str">
        <f>IFERROR(VLOOKUP(D1850,'Chủ đề bài nguồn'!$A$2:$C$735,3,0),"Khác")</f>
        <v>Đầu tư, CCTG, trái phiếu, vàng</v>
      </c>
      <c r="N1850" s="24"/>
    </row>
    <row r="1851">
      <c r="A1851" s="15">
        <v>1849.0</v>
      </c>
      <c r="B1851" s="16" t="s">
        <v>614</v>
      </c>
      <c r="C1851" s="18" t="s">
        <v>4249</v>
      </c>
      <c r="D1851" s="16" t="s">
        <v>1122</v>
      </c>
      <c r="E1851" s="16" t="s">
        <v>6241</v>
      </c>
      <c r="F1851" s="16" t="s">
        <v>6719</v>
      </c>
      <c r="G1851" s="16" t="s">
        <v>6720</v>
      </c>
      <c r="H1851" s="20" t="s">
        <v>155</v>
      </c>
      <c r="I1851" s="21" t="s">
        <v>70</v>
      </c>
      <c r="J1851" s="22" t="s">
        <v>71</v>
      </c>
      <c r="K1851" s="23">
        <v>67.0</v>
      </c>
      <c r="L1851" s="24">
        <v>21.0</v>
      </c>
      <c r="M1851" s="24" t="str">
        <f>IFERROR(VLOOKUP(D1851,'Chủ đề bài nguồn'!$A$2:$C$735,3,0),"Khác")</f>
        <v>Tiết kiệm &amp; lãi suất tiền gửi</v>
      </c>
      <c r="N1851" s="24"/>
    </row>
    <row r="1852">
      <c r="A1852" s="15">
        <v>1850.0</v>
      </c>
      <c r="B1852" s="16" t="s">
        <v>614</v>
      </c>
      <c r="C1852" s="18" t="s">
        <v>4249</v>
      </c>
      <c r="D1852" s="16" t="s">
        <v>1686</v>
      </c>
      <c r="E1852" s="16" t="s">
        <v>5653</v>
      </c>
      <c r="F1852" s="16" t="s">
        <v>6721</v>
      </c>
      <c r="G1852" s="16" t="s">
        <v>6722</v>
      </c>
      <c r="H1852" s="20" t="s">
        <v>155</v>
      </c>
      <c r="I1852" s="21" t="s">
        <v>70</v>
      </c>
      <c r="J1852" s="22" t="s">
        <v>71</v>
      </c>
      <c r="K1852" s="23">
        <v>67.0</v>
      </c>
      <c r="L1852" s="24">
        <v>21.0</v>
      </c>
      <c r="M1852" s="24" t="str">
        <f>IFERROR(VLOOKUP(D1852,'Chủ đề bài nguồn'!$A$2:$C$735,3,0),"Khác")</f>
        <v>Đầu tư, CCTG, trái phiếu, vàng</v>
      </c>
      <c r="N1852" s="24"/>
    </row>
    <row r="1853">
      <c r="A1853" s="15">
        <v>1851.0</v>
      </c>
      <c r="B1853" s="16" t="s">
        <v>614</v>
      </c>
      <c r="C1853" s="18" t="s">
        <v>4249</v>
      </c>
      <c r="D1853" s="16" t="s">
        <v>2763</v>
      </c>
      <c r="E1853" s="16" t="s">
        <v>6723</v>
      </c>
      <c r="F1853" s="16" t="s">
        <v>6724</v>
      </c>
      <c r="G1853" s="16" t="s">
        <v>6725</v>
      </c>
      <c r="H1853" s="20" t="s">
        <v>155</v>
      </c>
      <c r="I1853" s="21" t="s">
        <v>70</v>
      </c>
      <c r="J1853" s="22" t="s">
        <v>6726</v>
      </c>
      <c r="K1853" s="23">
        <v>67.0</v>
      </c>
      <c r="L1853" s="24">
        <v>21.0</v>
      </c>
      <c r="M1853" s="24" t="str">
        <f>IFERROR(VLOOKUP(D1853,'Chủ đề bài nguồn'!$A$2:$C$735,3,0),"Khác")</f>
        <v>Đầu tư, CCTG, trái phiếu, vàng</v>
      </c>
      <c r="N1853" s="24"/>
    </row>
    <row r="1854">
      <c r="A1854" s="15">
        <v>1852.0</v>
      </c>
      <c r="B1854" s="16" t="s">
        <v>614</v>
      </c>
      <c r="C1854" s="18" t="s">
        <v>4249</v>
      </c>
      <c r="D1854" s="16" t="s">
        <v>2755</v>
      </c>
      <c r="E1854" s="16" t="s">
        <v>6727</v>
      </c>
      <c r="F1854" s="16" t="s">
        <v>6728</v>
      </c>
      <c r="G1854" s="16" t="s">
        <v>6729</v>
      </c>
      <c r="H1854" s="20" t="s">
        <v>155</v>
      </c>
      <c r="I1854" s="21" t="s">
        <v>70</v>
      </c>
      <c r="J1854" s="22" t="s">
        <v>71</v>
      </c>
      <c r="K1854" s="23">
        <v>67.0</v>
      </c>
      <c r="L1854" s="24">
        <v>21.0</v>
      </c>
      <c r="M1854" s="24" t="str">
        <f>IFERROR(VLOOKUP(D1854,'Chủ đề bài nguồn'!$A$2:$C$735,3,0),"Khác")</f>
        <v>Đầu tư, CCTG, trái phiếu, vàng</v>
      </c>
      <c r="N1854" s="24"/>
    </row>
    <row r="1855">
      <c r="A1855" s="15">
        <v>1853.0</v>
      </c>
      <c r="B1855" s="16" t="s">
        <v>614</v>
      </c>
      <c r="C1855" s="18" t="s">
        <v>2325</v>
      </c>
      <c r="D1855" s="16" t="s">
        <v>3040</v>
      </c>
      <c r="E1855" s="16" t="s">
        <v>4387</v>
      </c>
      <c r="F1855" s="16" t="s">
        <v>6730</v>
      </c>
      <c r="G1855" s="16" t="s">
        <v>6731</v>
      </c>
      <c r="H1855" s="20" t="s">
        <v>155</v>
      </c>
      <c r="I1855" s="21" t="s">
        <v>70</v>
      </c>
      <c r="J1855" s="22" t="s">
        <v>71</v>
      </c>
      <c r="K1855" s="23">
        <v>67.0</v>
      </c>
      <c r="L1855" s="24">
        <v>21.0</v>
      </c>
      <c r="M1855" s="24" t="str">
        <f>IFERROR(VLOOKUP(D1855,'Chủ đề bài nguồn'!$A$2:$C$735,3,0),"Khác")</f>
        <v>Tiết kiệm &amp; lãi suất tiền gửi</v>
      </c>
      <c r="N1855" s="24"/>
    </row>
    <row r="1856">
      <c r="A1856" s="15">
        <v>1854.0</v>
      </c>
      <c r="B1856" s="16" t="s">
        <v>614</v>
      </c>
      <c r="C1856" s="18" t="s">
        <v>2325</v>
      </c>
      <c r="D1856" s="16" t="s">
        <v>2932</v>
      </c>
      <c r="E1856" s="16" t="s">
        <v>6732</v>
      </c>
      <c r="F1856" s="16" t="s">
        <v>6733</v>
      </c>
      <c r="G1856" s="16" t="s">
        <v>6734</v>
      </c>
      <c r="H1856" s="20" t="s">
        <v>155</v>
      </c>
      <c r="I1856" s="21" t="s">
        <v>70</v>
      </c>
      <c r="J1856" s="22" t="s">
        <v>71</v>
      </c>
      <c r="K1856" s="23">
        <v>67.0</v>
      </c>
      <c r="L1856" s="24">
        <v>21.0</v>
      </c>
      <c r="M1856" s="24" t="str">
        <f>IFERROR(VLOOKUP(D1856,'Chủ đề bài nguồn'!$A$2:$C$735,3,0),"Khác")</f>
        <v>Tiết kiệm &amp; lãi suất tiền gửi</v>
      </c>
      <c r="N1856" s="24"/>
    </row>
    <row r="1857">
      <c r="A1857" s="15">
        <v>1855.0</v>
      </c>
      <c r="B1857" s="16" t="s">
        <v>614</v>
      </c>
      <c r="C1857" s="18" t="s">
        <v>2325</v>
      </c>
      <c r="D1857" s="16" t="s">
        <v>2865</v>
      </c>
      <c r="E1857" s="16" t="s">
        <v>6735</v>
      </c>
      <c r="F1857" s="16" t="s">
        <v>6736</v>
      </c>
      <c r="G1857" s="16" t="s">
        <v>6737</v>
      </c>
      <c r="H1857" s="20" t="s">
        <v>155</v>
      </c>
      <c r="I1857" s="21" t="s">
        <v>70</v>
      </c>
      <c r="J1857" s="22" t="s">
        <v>71</v>
      </c>
      <c r="K1857" s="23">
        <v>67.0</v>
      </c>
      <c r="L1857" s="24">
        <v>21.0</v>
      </c>
      <c r="M1857" s="24" t="str">
        <f>IFERROR(VLOOKUP(D1857,'Chủ đề bài nguồn'!$A$2:$C$735,3,0),"Khác")</f>
        <v>Tiết kiệm &amp; lãi suất tiền gửi</v>
      </c>
      <c r="N1857" s="24"/>
    </row>
    <row r="1858">
      <c r="A1858" s="15">
        <v>1856.0</v>
      </c>
      <c r="B1858" s="16" t="s">
        <v>614</v>
      </c>
      <c r="C1858" s="18" t="s">
        <v>2325</v>
      </c>
      <c r="D1858" s="16" t="s">
        <v>3274</v>
      </c>
      <c r="E1858" s="16" t="s">
        <v>6738</v>
      </c>
      <c r="F1858" s="16" t="s">
        <v>6739</v>
      </c>
      <c r="G1858" s="16" t="s">
        <v>6740</v>
      </c>
      <c r="H1858" s="20" t="s">
        <v>155</v>
      </c>
      <c r="I1858" s="21" t="s">
        <v>70</v>
      </c>
      <c r="J1858" s="22" t="s">
        <v>71</v>
      </c>
      <c r="K1858" s="23">
        <v>67.0</v>
      </c>
      <c r="L1858" s="24">
        <v>21.0</v>
      </c>
      <c r="M1858" s="24" t="str">
        <f>IFERROR(VLOOKUP(D1858,'Chủ đề bài nguồn'!$A$2:$C$735,3,0),"Khác")</f>
        <v>Quản lý tài chính cá nhân</v>
      </c>
      <c r="N1858" s="24"/>
    </row>
    <row r="1859">
      <c r="A1859" s="15">
        <v>1857.0</v>
      </c>
      <c r="B1859" s="16" t="s">
        <v>614</v>
      </c>
      <c r="C1859" s="18" t="s">
        <v>4249</v>
      </c>
      <c r="D1859" s="16" t="s">
        <v>2597</v>
      </c>
      <c r="E1859" s="16" t="s">
        <v>6123</v>
      </c>
      <c r="F1859" s="16" t="s">
        <v>6741</v>
      </c>
      <c r="G1859" s="16" t="s">
        <v>6742</v>
      </c>
      <c r="H1859" s="20" t="s">
        <v>229</v>
      </c>
      <c r="I1859" s="21" t="s">
        <v>70</v>
      </c>
      <c r="J1859" s="22" t="s">
        <v>6126</v>
      </c>
      <c r="K1859" s="23">
        <v>67.0</v>
      </c>
      <c r="L1859" s="24">
        <v>31.0</v>
      </c>
      <c r="M1859" s="24" t="str">
        <f>IFERROR(VLOOKUP(D1859,'Chủ đề bài nguồn'!$A$2:$C$735,3,0),"Khác")</f>
        <v>Tài khoản &amp; ngân hàng số</v>
      </c>
      <c r="N1859" s="24"/>
    </row>
    <row r="1860">
      <c r="A1860" s="15">
        <v>1858.0</v>
      </c>
      <c r="B1860" s="16" t="s">
        <v>614</v>
      </c>
      <c r="C1860" s="18" t="s">
        <v>4249</v>
      </c>
      <c r="D1860" s="16" t="s">
        <v>3364</v>
      </c>
      <c r="E1860" s="16" t="s">
        <v>6743</v>
      </c>
      <c r="F1860" s="16" t="s">
        <v>6744</v>
      </c>
      <c r="G1860" s="16" t="s">
        <v>6745</v>
      </c>
      <c r="H1860" s="20" t="s">
        <v>229</v>
      </c>
      <c r="I1860" s="21" t="s">
        <v>70</v>
      </c>
      <c r="J1860" s="22" t="s">
        <v>6746</v>
      </c>
      <c r="K1860" s="23">
        <v>67.0</v>
      </c>
      <c r="L1860" s="24">
        <v>31.0</v>
      </c>
      <c r="M1860" s="24" t="str">
        <f>IFERROR(VLOOKUP(D1860,'Chủ đề bài nguồn'!$A$2:$C$735,3,0),"Khác")</f>
        <v>Đầu tư, CCTG, trái phiếu, vàng</v>
      </c>
      <c r="N1860" s="24"/>
    </row>
    <row r="1861">
      <c r="A1861" s="15">
        <v>1859.0</v>
      </c>
      <c r="B1861" s="16" t="s">
        <v>614</v>
      </c>
      <c r="C1861" s="18" t="s">
        <v>4249</v>
      </c>
      <c r="D1861" s="16" t="s">
        <v>1529</v>
      </c>
      <c r="E1861" s="16" t="s">
        <v>6747</v>
      </c>
      <c r="F1861" s="16" t="s">
        <v>6748</v>
      </c>
      <c r="G1861" s="16" t="s">
        <v>6716</v>
      </c>
      <c r="H1861" s="20" t="s">
        <v>229</v>
      </c>
      <c r="I1861" s="21" t="s">
        <v>70</v>
      </c>
      <c r="J1861" s="22" t="s">
        <v>1073</v>
      </c>
      <c r="K1861" s="23">
        <v>67.0</v>
      </c>
      <c r="L1861" s="24">
        <v>31.0</v>
      </c>
      <c r="M1861" s="24" t="str">
        <f>IFERROR(VLOOKUP(D1861,'Chủ đề bài nguồn'!$A$2:$C$735,3,0),"Khác")</f>
        <v>Đầu tư, CCTG, trái phiếu, vàng</v>
      </c>
      <c r="N1861" s="24"/>
    </row>
    <row r="1862">
      <c r="A1862" s="15">
        <v>1860.0</v>
      </c>
      <c r="B1862" s="16" t="s">
        <v>614</v>
      </c>
      <c r="C1862" s="18" t="s">
        <v>4249</v>
      </c>
      <c r="D1862" s="16" t="s">
        <v>2156</v>
      </c>
      <c r="E1862" s="16" t="s">
        <v>6157</v>
      </c>
      <c r="F1862" s="16" t="s">
        <v>6749</v>
      </c>
      <c r="G1862" s="16" t="s">
        <v>6750</v>
      </c>
      <c r="H1862" s="20" t="s">
        <v>229</v>
      </c>
      <c r="I1862" s="21" t="s">
        <v>70</v>
      </c>
      <c r="J1862" s="22" t="s">
        <v>71</v>
      </c>
      <c r="K1862" s="23">
        <v>67.0</v>
      </c>
      <c r="L1862" s="24">
        <v>31.0</v>
      </c>
      <c r="M1862" s="24" t="str">
        <f>IFERROR(VLOOKUP(D1862,'Chủ đề bài nguồn'!$A$2:$C$735,3,0),"Khác")</f>
        <v>Đầu tư, CCTG, trái phiếu, vàng</v>
      </c>
      <c r="N1862" s="24"/>
    </row>
    <row r="1863">
      <c r="A1863" s="15">
        <v>1861.0</v>
      </c>
      <c r="B1863" s="16" t="s">
        <v>614</v>
      </c>
      <c r="C1863" s="18" t="s">
        <v>4249</v>
      </c>
      <c r="D1863" s="16" t="s">
        <v>2207</v>
      </c>
      <c r="E1863" s="16" t="s">
        <v>6346</v>
      </c>
      <c r="F1863" s="16" t="s">
        <v>6751</v>
      </c>
      <c r="G1863" s="16" t="s">
        <v>6716</v>
      </c>
      <c r="H1863" s="20" t="s">
        <v>229</v>
      </c>
      <c r="I1863" s="21" t="s">
        <v>70</v>
      </c>
      <c r="J1863" s="22" t="s">
        <v>809</v>
      </c>
      <c r="K1863" s="23">
        <v>67.0</v>
      </c>
      <c r="L1863" s="24">
        <v>31.0</v>
      </c>
      <c r="M1863" s="24" t="str">
        <f>IFERROR(VLOOKUP(D1863,'Chủ đề bài nguồn'!$A$2:$C$735,3,0),"Khác")</f>
        <v>Thẻ tín dụng</v>
      </c>
      <c r="N1863" s="24"/>
    </row>
    <row r="1864">
      <c r="A1864" s="15">
        <v>1862.0</v>
      </c>
      <c r="B1864" s="16" t="s">
        <v>614</v>
      </c>
      <c r="C1864" s="18" t="s">
        <v>4249</v>
      </c>
      <c r="D1864" s="16" t="s">
        <v>2982</v>
      </c>
      <c r="E1864" s="16" t="s">
        <v>6752</v>
      </c>
      <c r="F1864" s="16" t="s">
        <v>6753</v>
      </c>
      <c r="G1864" s="16" t="s">
        <v>6754</v>
      </c>
      <c r="H1864" s="20" t="s">
        <v>229</v>
      </c>
      <c r="I1864" s="21" t="s">
        <v>70</v>
      </c>
      <c r="J1864" s="22" t="s">
        <v>619</v>
      </c>
      <c r="K1864" s="23">
        <v>67.0</v>
      </c>
      <c r="L1864" s="24">
        <v>31.0</v>
      </c>
      <c r="M1864" s="24" t="str">
        <f>IFERROR(VLOOKUP(D1864,'Chủ đề bài nguồn'!$A$2:$C$735,3,0),"Khác")</f>
        <v>Ưu đãi, du lịch &amp; đời sống</v>
      </c>
      <c r="N1864" s="24"/>
    </row>
    <row r="1865">
      <c r="A1865" s="15">
        <v>1863.0</v>
      </c>
      <c r="B1865" s="16" t="s">
        <v>614</v>
      </c>
      <c r="C1865" s="18" t="s">
        <v>4249</v>
      </c>
      <c r="D1865" s="16" t="s">
        <v>2770</v>
      </c>
      <c r="E1865" s="16" t="s">
        <v>4414</v>
      </c>
      <c r="F1865" s="16" t="s">
        <v>6755</v>
      </c>
      <c r="G1865" s="16" t="s">
        <v>6756</v>
      </c>
      <c r="H1865" s="20" t="s">
        <v>229</v>
      </c>
      <c r="I1865" s="21" t="s">
        <v>70</v>
      </c>
      <c r="J1865" s="22" t="s">
        <v>71</v>
      </c>
      <c r="K1865" s="23">
        <v>67.0</v>
      </c>
      <c r="L1865" s="24">
        <v>31.0</v>
      </c>
      <c r="M1865" s="24" t="str">
        <f>IFERROR(VLOOKUP(D1865,'Chủ đề bài nguồn'!$A$2:$C$735,3,0),"Khác")</f>
        <v>Đầu tư, CCTG, trái phiếu, vàng</v>
      </c>
      <c r="N1865" s="24"/>
    </row>
    <row r="1866">
      <c r="A1866" s="15">
        <v>1864.0</v>
      </c>
      <c r="B1866" s="16" t="s">
        <v>614</v>
      </c>
      <c r="C1866" s="18" t="s">
        <v>4249</v>
      </c>
      <c r="D1866" s="16" t="s">
        <v>2938</v>
      </c>
      <c r="E1866" s="16" t="s">
        <v>4571</v>
      </c>
      <c r="F1866" s="16" t="s">
        <v>6757</v>
      </c>
      <c r="G1866" s="16" t="s">
        <v>6758</v>
      </c>
      <c r="H1866" s="20" t="s">
        <v>229</v>
      </c>
      <c r="I1866" s="21" t="s">
        <v>70</v>
      </c>
      <c r="J1866" s="22" t="s">
        <v>6759</v>
      </c>
      <c r="K1866" s="23">
        <v>67.0</v>
      </c>
      <c r="L1866" s="24">
        <v>31.0</v>
      </c>
      <c r="M1866" s="24" t="str">
        <f>IFERROR(VLOOKUP(D1866,'Chủ đề bài nguồn'!$A$2:$C$735,3,0),"Khác")</f>
        <v>Tiết kiệm &amp; lãi suất tiền gửi</v>
      </c>
      <c r="N1866" s="24"/>
    </row>
    <row r="1867">
      <c r="A1867" s="15">
        <v>1865.0</v>
      </c>
      <c r="B1867" s="16" t="s">
        <v>614</v>
      </c>
      <c r="C1867" s="18" t="s">
        <v>4249</v>
      </c>
      <c r="D1867" s="16" t="s">
        <v>3206</v>
      </c>
      <c r="E1867" s="16" t="s">
        <v>4187</v>
      </c>
      <c r="F1867" s="16" t="s">
        <v>6760</v>
      </c>
      <c r="G1867" s="16" t="s">
        <v>6761</v>
      </c>
      <c r="H1867" s="20" t="s">
        <v>229</v>
      </c>
      <c r="I1867" s="21" t="s">
        <v>70</v>
      </c>
      <c r="J1867" s="22" t="s">
        <v>71</v>
      </c>
      <c r="K1867" s="23">
        <v>67.0</v>
      </c>
      <c r="L1867" s="24">
        <v>31.0</v>
      </c>
      <c r="M1867" s="24" t="str">
        <f>IFERROR(VLOOKUP(D1867,'Chủ đề bài nguồn'!$A$2:$C$735,3,0),"Khác")</f>
        <v>Đầu tư, CCTG, trái phiếu, vàng</v>
      </c>
      <c r="N1867" s="24"/>
    </row>
    <row r="1868">
      <c r="A1868" s="15">
        <v>1866.0</v>
      </c>
      <c r="B1868" s="16" t="s">
        <v>614</v>
      </c>
      <c r="C1868" s="18" t="s">
        <v>4249</v>
      </c>
      <c r="D1868" s="16" t="s">
        <v>3350</v>
      </c>
      <c r="E1868" s="16" t="s">
        <v>6762</v>
      </c>
      <c r="F1868" s="16" t="s">
        <v>6763</v>
      </c>
      <c r="G1868" s="16" t="s">
        <v>6764</v>
      </c>
      <c r="H1868" s="20" t="s">
        <v>229</v>
      </c>
      <c r="I1868" s="21" t="s">
        <v>70</v>
      </c>
      <c r="J1868" s="22" t="s">
        <v>6746</v>
      </c>
      <c r="K1868" s="23">
        <v>67.0</v>
      </c>
      <c r="L1868" s="24">
        <v>31.0</v>
      </c>
      <c r="M1868" s="24" t="str">
        <f>IFERROR(VLOOKUP(D1868,'Chủ đề bài nguồn'!$A$2:$C$735,3,0),"Khác")</f>
        <v>Đầu tư, CCTG, trái phiếu, vàng</v>
      </c>
      <c r="N1868" s="24"/>
    </row>
    <row r="1869">
      <c r="A1869" s="15">
        <v>1867.0</v>
      </c>
      <c r="B1869" s="16" t="s">
        <v>614</v>
      </c>
      <c r="C1869" s="18" t="s">
        <v>4249</v>
      </c>
      <c r="D1869" s="16" t="s">
        <v>2292</v>
      </c>
      <c r="E1869" s="16" t="s">
        <v>2349</v>
      </c>
      <c r="F1869" s="16" t="s">
        <v>6765</v>
      </c>
      <c r="G1869" s="16" t="s">
        <v>6766</v>
      </c>
      <c r="H1869" s="20" t="s">
        <v>229</v>
      </c>
      <c r="I1869" s="21" t="s">
        <v>70</v>
      </c>
      <c r="J1869" s="22" t="s">
        <v>71</v>
      </c>
      <c r="K1869" s="23">
        <v>67.0</v>
      </c>
      <c r="L1869" s="24">
        <v>31.0</v>
      </c>
      <c r="M1869" s="24" t="str">
        <f>IFERROR(VLOOKUP(D1869,'Chủ đề bài nguồn'!$A$2:$C$735,3,0),"Khác")</f>
        <v>Tiết kiệm &amp; lãi suất tiền gửi</v>
      </c>
      <c r="N1869" s="24"/>
    </row>
    <row r="1870">
      <c r="A1870" s="15">
        <v>1868.0</v>
      </c>
      <c r="B1870" s="16" t="s">
        <v>614</v>
      </c>
      <c r="C1870" s="18" t="s">
        <v>2325</v>
      </c>
      <c r="D1870" s="16" t="s">
        <v>723</v>
      </c>
      <c r="E1870" s="16" t="s">
        <v>6079</v>
      </c>
      <c r="F1870" s="16" t="s">
        <v>6767</v>
      </c>
      <c r="G1870" s="16" t="s">
        <v>6768</v>
      </c>
      <c r="H1870" s="20" t="s">
        <v>229</v>
      </c>
      <c r="I1870" s="21" t="s">
        <v>70</v>
      </c>
      <c r="J1870" s="22" t="s">
        <v>6082</v>
      </c>
      <c r="K1870" s="23">
        <v>67.0</v>
      </c>
      <c r="L1870" s="24">
        <v>31.0</v>
      </c>
      <c r="M1870" s="24" t="str">
        <f>IFERROR(VLOOKUP(D1870,'Chủ đề bài nguồn'!$A$2:$C$735,3,0),"Khác")</f>
        <v>Vay tiêu dùng &amp; tín chấp</v>
      </c>
      <c r="N1870" s="24"/>
    </row>
    <row r="1871">
      <c r="A1871" s="15">
        <v>1869.0</v>
      </c>
      <c r="B1871" s="16" t="s">
        <v>614</v>
      </c>
      <c r="C1871" s="18" t="s">
        <v>2325</v>
      </c>
      <c r="D1871" s="16" t="s">
        <v>967</v>
      </c>
      <c r="E1871" s="16" t="s">
        <v>6769</v>
      </c>
      <c r="F1871" s="16" t="s">
        <v>6770</v>
      </c>
      <c r="G1871" s="16" t="s">
        <v>6771</v>
      </c>
      <c r="H1871" s="20" t="s">
        <v>229</v>
      </c>
      <c r="I1871" s="21" t="s">
        <v>70</v>
      </c>
      <c r="J1871" s="22" t="s">
        <v>71</v>
      </c>
      <c r="K1871" s="23">
        <v>67.0</v>
      </c>
      <c r="L1871" s="24">
        <v>31.0</v>
      </c>
      <c r="M1871" s="24" t="str">
        <f>IFERROR(VLOOKUP(D1871,'Chủ đề bài nguồn'!$A$2:$C$735,3,0),"Khác")</f>
        <v>Tài khoản &amp; ngân hàng số</v>
      </c>
      <c r="N1871" s="24"/>
    </row>
    <row r="1872">
      <c r="A1872" s="15">
        <v>1870.0</v>
      </c>
      <c r="B1872" s="16" t="s">
        <v>374</v>
      </c>
      <c r="C1872" s="18" t="s">
        <v>1783</v>
      </c>
      <c r="D1872" s="16" t="s">
        <v>3311</v>
      </c>
      <c r="E1872" s="16" t="s">
        <v>6772</v>
      </c>
      <c r="F1872" s="16" t="s">
        <v>6773</v>
      </c>
      <c r="G1872" s="16" t="s">
        <v>6774</v>
      </c>
      <c r="H1872" s="20" t="s">
        <v>69</v>
      </c>
      <c r="I1872" s="21" t="s">
        <v>70</v>
      </c>
      <c r="J1872" s="22" t="s">
        <v>71</v>
      </c>
      <c r="K1872" s="23">
        <v>68.0</v>
      </c>
      <c r="L1872" s="24">
        <v>10.0</v>
      </c>
      <c r="M1872" s="24" t="str">
        <f>IFERROR(VLOOKUP(D1872,'Chủ đề bài nguồn'!$A$2:$C$735,3,0),"Khác")</f>
        <v>Vay tiêu dùng &amp; tín chấp</v>
      </c>
      <c r="N1872" s="24"/>
    </row>
    <row r="1873">
      <c r="A1873" s="15">
        <v>1871.0</v>
      </c>
      <c r="B1873" s="16" t="s">
        <v>374</v>
      </c>
      <c r="C1873" s="18" t="s">
        <v>1789</v>
      </c>
      <c r="D1873" s="16" t="s">
        <v>3258</v>
      </c>
      <c r="E1873" s="16" t="s">
        <v>5502</v>
      </c>
      <c r="F1873" s="16" t="s">
        <v>6775</v>
      </c>
      <c r="G1873" s="16" t="s">
        <v>6776</v>
      </c>
      <c r="H1873" s="20" t="s">
        <v>69</v>
      </c>
      <c r="I1873" s="21" t="s">
        <v>70</v>
      </c>
      <c r="J1873" s="22" t="s">
        <v>71</v>
      </c>
      <c r="K1873" s="23">
        <v>68.0</v>
      </c>
      <c r="L1873" s="24">
        <v>10.0</v>
      </c>
      <c r="M1873" s="24" t="str">
        <f>IFERROR(VLOOKUP(D1873,'Chủ đề bài nguồn'!$A$2:$C$735,3,0),"Khác")</f>
        <v>Vay tiêu dùng &amp; tín chấp</v>
      </c>
      <c r="N1873" s="24"/>
    </row>
    <row r="1874">
      <c r="A1874" s="15">
        <v>1872.0</v>
      </c>
      <c r="B1874" s="16" t="s">
        <v>374</v>
      </c>
      <c r="C1874" s="18" t="s">
        <v>1789</v>
      </c>
      <c r="D1874" s="16" t="s">
        <v>3138</v>
      </c>
      <c r="E1874" s="16" t="s">
        <v>5906</v>
      </c>
      <c r="F1874" s="16" t="s">
        <v>6777</v>
      </c>
      <c r="G1874" s="16" t="s">
        <v>6776</v>
      </c>
      <c r="H1874" s="20" t="s">
        <v>69</v>
      </c>
      <c r="I1874" s="21" t="s">
        <v>70</v>
      </c>
      <c r="J1874" s="22" t="s">
        <v>71</v>
      </c>
      <c r="K1874" s="23">
        <v>68.0</v>
      </c>
      <c r="L1874" s="24">
        <v>10.0</v>
      </c>
      <c r="M1874" s="24" t="str">
        <f>IFERROR(VLOOKUP(D1874,'Chủ đề bài nguồn'!$A$2:$C$735,3,0),"Khác")</f>
        <v>Tiết kiệm &amp; lãi suất tiền gửi</v>
      </c>
      <c r="N1874" s="24"/>
    </row>
    <row r="1875">
      <c r="A1875" s="15">
        <v>1873.0</v>
      </c>
      <c r="B1875" s="16" t="s">
        <v>374</v>
      </c>
      <c r="C1875" s="18" t="s">
        <v>1789</v>
      </c>
      <c r="D1875" s="16" t="s">
        <v>2846</v>
      </c>
      <c r="E1875" s="16" t="s">
        <v>6778</v>
      </c>
      <c r="F1875" s="16" t="s">
        <v>6779</v>
      </c>
      <c r="G1875" s="16" t="s">
        <v>6776</v>
      </c>
      <c r="H1875" s="20" t="s">
        <v>69</v>
      </c>
      <c r="I1875" s="21" t="s">
        <v>70</v>
      </c>
      <c r="J1875" s="22" t="s">
        <v>71</v>
      </c>
      <c r="K1875" s="23">
        <v>68.0</v>
      </c>
      <c r="L1875" s="24">
        <v>10.0</v>
      </c>
      <c r="M1875" s="24" t="str">
        <f>IFERROR(VLOOKUP(D1875,'Chủ đề bài nguồn'!$A$2:$C$735,3,0),"Khác")</f>
        <v>Nợ xấu &amp; CIC</v>
      </c>
      <c r="N1875" s="24"/>
    </row>
    <row r="1876">
      <c r="A1876" s="15">
        <v>1874.0</v>
      </c>
      <c r="B1876" s="16" t="s">
        <v>374</v>
      </c>
      <c r="C1876" s="18" t="s">
        <v>1785</v>
      </c>
      <c r="D1876" s="16" t="s">
        <v>3246</v>
      </c>
      <c r="E1876" s="16" t="s">
        <v>3614</v>
      </c>
      <c r="F1876" s="16" t="s">
        <v>6780</v>
      </c>
      <c r="G1876" s="16" t="s">
        <v>6781</v>
      </c>
      <c r="H1876" s="20" t="s">
        <v>155</v>
      </c>
      <c r="I1876" s="21" t="s">
        <v>70</v>
      </c>
      <c r="J1876" s="22" t="s">
        <v>71</v>
      </c>
      <c r="K1876" s="23">
        <v>68.0</v>
      </c>
      <c r="L1876" s="24">
        <v>20.0</v>
      </c>
      <c r="M1876" s="24" t="str">
        <f>IFERROR(VLOOKUP(D1876,'Chủ đề bài nguồn'!$A$2:$C$735,3,0),"Khác")</f>
        <v>Vay tiêu dùng &amp; tín chấp</v>
      </c>
      <c r="N1876" s="24"/>
    </row>
    <row r="1877">
      <c r="A1877" s="15">
        <v>1875.0</v>
      </c>
      <c r="B1877" s="16" t="s">
        <v>374</v>
      </c>
      <c r="C1877" s="18" t="s">
        <v>1785</v>
      </c>
      <c r="D1877" s="16" t="s">
        <v>660</v>
      </c>
      <c r="E1877" s="16" t="s">
        <v>5229</v>
      </c>
      <c r="F1877" s="16" t="s">
        <v>6782</v>
      </c>
      <c r="G1877" s="16" t="s">
        <v>6781</v>
      </c>
      <c r="H1877" s="20" t="s">
        <v>155</v>
      </c>
      <c r="I1877" s="21" t="s">
        <v>70</v>
      </c>
      <c r="J1877" s="22" t="s">
        <v>71</v>
      </c>
      <c r="K1877" s="23">
        <v>68.0</v>
      </c>
      <c r="L1877" s="24">
        <v>20.0</v>
      </c>
      <c r="M1877" s="24" t="str">
        <f>IFERROR(VLOOKUP(D1877,'Chủ đề bài nguồn'!$A$2:$C$735,3,0),"Khác")</f>
        <v>Hộ kinh doanh &amp; bán hàng</v>
      </c>
      <c r="N1877" s="24"/>
    </row>
    <row r="1878">
      <c r="A1878" s="15">
        <v>1876.0</v>
      </c>
      <c r="B1878" s="16" t="s">
        <v>374</v>
      </c>
      <c r="C1878" s="18" t="s">
        <v>1785</v>
      </c>
      <c r="D1878" s="16" t="s">
        <v>2956</v>
      </c>
      <c r="E1878" s="16" t="s">
        <v>710</v>
      </c>
      <c r="F1878" s="16" t="s">
        <v>6783</v>
      </c>
      <c r="G1878" s="16" t="s">
        <v>6781</v>
      </c>
      <c r="H1878" s="20" t="s">
        <v>155</v>
      </c>
      <c r="I1878" s="21" t="s">
        <v>70</v>
      </c>
      <c r="J1878" s="22" t="s">
        <v>6784</v>
      </c>
      <c r="K1878" s="23">
        <v>68.0</v>
      </c>
      <c r="L1878" s="24">
        <v>20.0</v>
      </c>
      <c r="M1878" s="24" t="str">
        <f>IFERROR(VLOOKUP(D1878,'Chủ đề bài nguồn'!$A$2:$C$735,3,0),"Khác")</f>
        <v>Vay tiêu dùng &amp; tín chấp</v>
      </c>
      <c r="N1878" s="24"/>
    </row>
    <row r="1879">
      <c r="A1879" s="15">
        <v>1877.0</v>
      </c>
      <c r="B1879" s="16" t="s">
        <v>374</v>
      </c>
      <c r="C1879" s="18" t="s">
        <v>1785</v>
      </c>
      <c r="D1879" s="16" t="s">
        <v>2949</v>
      </c>
      <c r="E1879" s="16" t="s">
        <v>6785</v>
      </c>
      <c r="F1879" s="16" t="s">
        <v>6786</v>
      </c>
      <c r="G1879" s="16" t="s">
        <v>6781</v>
      </c>
      <c r="H1879" s="20" t="s">
        <v>155</v>
      </c>
      <c r="I1879" s="21" t="s">
        <v>70</v>
      </c>
      <c r="J1879" s="22" t="s">
        <v>6787</v>
      </c>
      <c r="K1879" s="23">
        <v>68.0</v>
      </c>
      <c r="L1879" s="24">
        <v>20.0</v>
      </c>
      <c r="M1879" s="24" t="str">
        <f>IFERROR(VLOOKUP(D1879,'Chủ đề bài nguồn'!$A$2:$C$735,3,0),"Khác")</f>
        <v>Vay tiêu dùng &amp; tín chấp</v>
      </c>
      <c r="N1879" s="24"/>
    </row>
    <row r="1880">
      <c r="A1880" s="15">
        <v>1878.0</v>
      </c>
      <c r="B1880" s="16" t="s">
        <v>374</v>
      </c>
      <c r="C1880" s="18" t="s">
        <v>1785</v>
      </c>
      <c r="D1880" s="16" t="s">
        <v>2955</v>
      </c>
      <c r="E1880" s="16" t="s">
        <v>6788</v>
      </c>
      <c r="F1880" s="16" t="s">
        <v>6789</v>
      </c>
      <c r="G1880" s="16" t="s">
        <v>6781</v>
      </c>
      <c r="H1880" s="20" t="s">
        <v>155</v>
      </c>
      <c r="I1880" s="21" t="s">
        <v>70</v>
      </c>
      <c r="J1880" s="22" t="s">
        <v>6787</v>
      </c>
      <c r="K1880" s="23">
        <v>68.0</v>
      </c>
      <c r="L1880" s="24">
        <v>20.0</v>
      </c>
      <c r="M1880" s="24" t="str">
        <f>IFERROR(VLOOKUP(D1880,'Chủ đề bài nguồn'!$A$2:$C$735,3,0),"Khác")</f>
        <v>Vay tiêu dùng &amp; tín chấp</v>
      </c>
      <c r="N1880" s="24"/>
    </row>
    <row r="1881">
      <c r="A1881" s="15">
        <v>1879.0</v>
      </c>
      <c r="B1881" s="16" t="s">
        <v>374</v>
      </c>
      <c r="C1881" s="18" t="s">
        <v>1785</v>
      </c>
      <c r="D1881" s="16" t="s">
        <v>3247</v>
      </c>
      <c r="E1881" s="16" t="s">
        <v>6790</v>
      </c>
      <c r="F1881" s="16" t="s">
        <v>6791</v>
      </c>
      <c r="G1881" s="16" t="s">
        <v>6781</v>
      </c>
      <c r="H1881" s="20" t="s">
        <v>155</v>
      </c>
      <c r="I1881" s="21" t="s">
        <v>70</v>
      </c>
      <c r="J1881" s="22" t="s">
        <v>6792</v>
      </c>
      <c r="K1881" s="23">
        <v>68.0</v>
      </c>
      <c r="L1881" s="24">
        <v>20.0</v>
      </c>
      <c r="M1881" s="24" t="str">
        <f>IFERROR(VLOOKUP(D1881,'Chủ đề bài nguồn'!$A$2:$C$735,3,0),"Khác")</f>
        <v>Vay tiêu dùng &amp; tín chấp</v>
      </c>
      <c r="N1881" s="24"/>
    </row>
    <row r="1882">
      <c r="A1882" s="15">
        <v>1880.0</v>
      </c>
      <c r="B1882" s="16" t="s">
        <v>374</v>
      </c>
      <c r="C1882" s="18" t="s">
        <v>1785</v>
      </c>
      <c r="D1882" s="16" t="s">
        <v>3260</v>
      </c>
      <c r="E1882" s="16" t="s">
        <v>6793</v>
      </c>
      <c r="F1882" s="16" t="s">
        <v>6794</v>
      </c>
      <c r="G1882" s="16" t="s">
        <v>6781</v>
      </c>
      <c r="H1882" s="20" t="s">
        <v>155</v>
      </c>
      <c r="I1882" s="21" t="s">
        <v>70</v>
      </c>
      <c r="J1882" s="22" t="s">
        <v>6795</v>
      </c>
      <c r="K1882" s="23">
        <v>68.0</v>
      </c>
      <c r="L1882" s="24">
        <v>20.0</v>
      </c>
      <c r="M1882" s="24" t="str">
        <f>IFERROR(VLOOKUP(D1882,'Chủ đề bài nguồn'!$A$2:$C$735,3,0),"Khác")</f>
        <v>Vay tiêu dùng &amp; tín chấp</v>
      </c>
      <c r="N1882" s="24"/>
    </row>
    <row r="1883">
      <c r="A1883" s="15">
        <v>1881.0</v>
      </c>
      <c r="B1883" s="16" t="s">
        <v>374</v>
      </c>
      <c r="C1883" s="18" t="s">
        <v>1785</v>
      </c>
      <c r="D1883" s="16" t="s">
        <v>2946</v>
      </c>
      <c r="E1883" s="16" t="s">
        <v>6796</v>
      </c>
      <c r="F1883" s="16" t="s">
        <v>6797</v>
      </c>
      <c r="G1883" s="16" t="s">
        <v>6781</v>
      </c>
      <c r="H1883" s="20" t="s">
        <v>155</v>
      </c>
      <c r="I1883" s="21" t="s">
        <v>70</v>
      </c>
      <c r="J1883" s="22" t="s">
        <v>71</v>
      </c>
      <c r="K1883" s="23">
        <v>68.0</v>
      </c>
      <c r="L1883" s="24">
        <v>20.0</v>
      </c>
      <c r="M1883" s="24" t="str">
        <f>IFERROR(VLOOKUP(D1883,'Chủ đề bài nguồn'!$A$2:$C$735,3,0),"Khác")</f>
        <v>Thẻ tín dụng</v>
      </c>
      <c r="N1883" s="24"/>
    </row>
    <row r="1884">
      <c r="A1884" s="15">
        <v>1882.0</v>
      </c>
      <c r="B1884" s="16" t="s">
        <v>374</v>
      </c>
      <c r="C1884" s="18" t="s">
        <v>1783</v>
      </c>
      <c r="D1884" s="16" t="s">
        <v>3283</v>
      </c>
      <c r="E1884" s="16" t="s">
        <v>6798</v>
      </c>
      <c r="F1884" s="16" t="s">
        <v>6799</v>
      </c>
      <c r="G1884" s="16" t="s">
        <v>6774</v>
      </c>
      <c r="H1884" s="20" t="s">
        <v>155</v>
      </c>
      <c r="I1884" s="21" t="s">
        <v>70</v>
      </c>
      <c r="J1884" s="22" t="s">
        <v>6800</v>
      </c>
      <c r="K1884" s="23">
        <v>68.0</v>
      </c>
      <c r="L1884" s="24">
        <v>20.0</v>
      </c>
      <c r="M1884" s="24" t="str">
        <f>IFERROR(VLOOKUP(D1884,'Chủ đề bài nguồn'!$A$2:$C$735,3,0),"Khác")</f>
        <v>Vay tiêu dùng &amp; tín chấp</v>
      </c>
      <c r="N1884" s="24"/>
    </row>
    <row r="1885">
      <c r="A1885" s="15">
        <v>1883.0</v>
      </c>
      <c r="B1885" s="16" t="s">
        <v>374</v>
      </c>
      <c r="C1885" s="18" t="s">
        <v>1783</v>
      </c>
      <c r="D1885" s="16" t="s">
        <v>3284</v>
      </c>
      <c r="E1885" s="16" t="s">
        <v>6801</v>
      </c>
      <c r="F1885" s="16" t="s">
        <v>6802</v>
      </c>
      <c r="G1885" s="16" t="s">
        <v>6774</v>
      </c>
      <c r="H1885" s="20" t="s">
        <v>155</v>
      </c>
      <c r="I1885" s="21" t="s">
        <v>70</v>
      </c>
      <c r="J1885" s="22" t="s">
        <v>6800</v>
      </c>
      <c r="K1885" s="23">
        <v>68.0</v>
      </c>
      <c r="L1885" s="24">
        <v>20.0</v>
      </c>
      <c r="M1885" s="24" t="str">
        <f>IFERROR(VLOOKUP(D1885,'Chủ đề bài nguồn'!$A$2:$C$735,3,0),"Khác")</f>
        <v>Vay tiêu dùng &amp; tín chấp</v>
      </c>
      <c r="N1885" s="24"/>
    </row>
    <row r="1886">
      <c r="A1886" s="15">
        <v>1884.0</v>
      </c>
      <c r="B1886" s="16" t="s">
        <v>374</v>
      </c>
      <c r="C1886" s="18" t="s">
        <v>1783</v>
      </c>
      <c r="D1886" s="16" t="s">
        <v>3285</v>
      </c>
      <c r="E1886" s="16" t="s">
        <v>6803</v>
      </c>
      <c r="F1886" s="16" t="s">
        <v>6804</v>
      </c>
      <c r="G1886" s="16" t="s">
        <v>6805</v>
      </c>
      <c r="H1886" s="20" t="s">
        <v>155</v>
      </c>
      <c r="I1886" s="21" t="s">
        <v>70</v>
      </c>
      <c r="J1886" s="22" t="s">
        <v>6806</v>
      </c>
      <c r="K1886" s="23">
        <v>68.0</v>
      </c>
      <c r="L1886" s="24">
        <v>20.0</v>
      </c>
      <c r="M1886" s="24" t="str">
        <f>IFERROR(VLOOKUP(D1886,'Chủ đề bài nguồn'!$A$2:$C$735,3,0),"Khác")</f>
        <v>Vay tiêu dùng &amp; tín chấp</v>
      </c>
      <c r="N1886" s="24"/>
    </row>
    <row r="1887">
      <c r="A1887" s="15">
        <v>1885.0</v>
      </c>
      <c r="B1887" s="16" t="s">
        <v>374</v>
      </c>
      <c r="C1887" s="18" t="s">
        <v>1783</v>
      </c>
      <c r="D1887" s="16" t="s">
        <v>3291</v>
      </c>
      <c r="E1887" s="16" t="s">
        <v>6807</v>
      </c>
      <c r="F1887" s="16" t="s">
        <v>6808</v>
      </c>
      <c r="G1887" s="16" t="s">
        <v>6805</v>
      </c>
      <c r="H1887" s="20" t="s">
        <v>155</v>
      </c>
      <c r="I1887" s="21" t="s">
        <v>70</v>
      </c>
      <c r="J1887" s="22" t="s">
        <v>6806</v>
      </c>
      <c r="K1887" s="23">
        <v>68.0</v>
      </c>
      <c r="L1887" s="24">
        <v>20.0</v>
      </c>
      <c r="M1887" s="24" t="str">
        <f>IFERROR(VLOOKUP(D1887,'Chủ đề bài nguồn'!$A$2:$C$735,3,0),"Khác")</f>
        <v>Vay tiêu dùng &amp; tín chấp</v>
      </c>
      <c r="N1887" s="24"/>
    </row>
    <row r="1888">
      <c r="A1888" s="15">
        <v>1886.0</v>
      </c>
      <c r="B1888" s="16" t="s">
        <v>374</v>
      </c>
      <c r="C1888" s="18" t="s">
        <v>1789</v>
      </c>
      <c r="D1888" s="16" t="s">
        <v>2841</v>
      </c>
      <c r="E1888" s="16" t="s">
        <v>6809</v>
      </c>
      <c r="F1888" s="16" t="s">
        <v>6810</v>
      </c>
      <c r="G1888" s="16" t="s">
        <v>6776</v>
      </c>
      <c r="H1888" s="20" t="s">
        <v>155</v>
      </c>
      <c r="I1888" s="21" t="s">
        <v>70</v>
      </c>
      <c r="J1888" s="22" t="s">
        <v>71</v>
      </c>
      <c r="K1888" s="23">
        <v>68.0</v>
      </c>
      <c r="L1888" s="24">
        <v>20.0</v>
      </c>
      <c r="M1888" s="24" t="str">
        <f>IFERROR(VLOOKUP(D1888,'Chủ đề bài nguồn'!$A$2:$C$735,3,0),"Khác")</f>
        <v>Doanh nghiệp (tài khoản, vay, tài chính)</v>
      </c>
      <c r="N1888" s="24"/>
    </row>
    <row r="1889">
      <c r="A1889" s="15">
        <v>1887.0</v>
      </c>
      <c r="B1889" s="16" t="s">
        <v>374</v>
      </c>
      <c r="C1889" s="18" t="s">
        <v>1789</v>
      </c>
      <c r="D1889" s="16" t="s">
        <v>3295</v>
      </c>
      <c r="E1889" s="16" t="s">
        <v>6811</v>
      </c>
      <c r="F1889" s="16" t="s">
        <v>6812</v>
      </c>
      <c r="G1889" s="16" t="s">
        <v>6776</v>
      </c>
      <c r="H1889" s="20" t="s">
        <v>155</v>
      </c>
      <c r="I1889" s="21" t="s">
        <v>70</v>
      </c>
      <c r="J1889" s="22" t="s">
        <v>6800</v>
      </c>
      <c r="K1889" s="23">
        <v>68.0</v>
      </c>
      <c r="L1889" s="24">
        <v>20.0</v>
      </c>
      <c r="M1889" s="24" t="str">
        <f>IFERROR(VLOOKUP(D1889,'Chủ đề bài nguồn'!$A$2:$C$735,3,0),"Khác")</f>
        <v>Vay tiêu dùng &amp; tín chấp</v>
      </c>
      <c r="N1889" s="24"/>
    </row>
    <row r="1890">
      <c r="A1890" s="15">
        <v>1888.0</v>
      </c>
      <c r="B1890" s="16" t="s">
        <v>374</v>
      </c>
      <c r="C1890" s="18" t="s">
        <v>1789</v>
      </c>
      <c r="D1890" s="16" t="s">
        <v>3286</v>
      </c>
      <c r="E1890" s="16" t="s">
        <v>6813</v>
      </c>
      <c r="F1890" s="16" t="s">
        <v>6814</v>
      </c>
      <c r="G1890" s="16" t="s">
        <v>6776</v>
      </c>
      <c r="H1890" s="20" t="s">
        <v>155</v>
      </c>
      <c r="I1890" s="21" t="s">
        <v>70</v>
      </c>
      <c r="J1890" s="22" t="s">
        <v>6800</v>
      </c>
      <c r="K1890" s="23">
        <v>68.0</v>
      </c>
      <c r="L1890" s="24">
        <v>20.0</v>
      </c>
      <c r="M1890" s="24" t="str">
        <f>IFERROR(VLOOKUP(D1890,'Chủ đề bài nguồn'!$A$2:$C$735,3,0),"Khác")</f>
        <v>Vay tiêu dùng &amp; tín chấp</v>
      </c>
      <c r="N1890" s="24"/>
    </row>
    <row r="1891">
      <c r="A1891" s="15">
        <v>1889.0</v>
      </c>
      <c r="B1891" s="16" t="s">
        <v>374</v>
      </c>
      <c r="C1891" s="18" t="s">
        <v>1789</v>
      </c>
      <c r="D1891" s="16" t="s">
        <v>3290</v>
      </c>
      <c r="E1891" s="16" t="s">
        <v>6815</v>
      </c>
      <c r="F1891" s="16" t="s">
        <v>6816</v>
      </c>
      <c r="G1891" s="16" t="s">
        <v>6776</v>
      </c>
      <c r="H1891" s="20" t="s">
        <v>155</v>
      </c>
      <c r="I1891" s="21" t="s">
        <v>70</v>
      </c>
      <c r="J1891" s="22" t="s">
        <v>6800</v>
      </c>
      <c r="K1891" s="23">
        <v>68.0</v>
      </c>
      <c r="L1891" s="24">
        <v>20.0</v>
      </c>
      <c r="M1891" s="24" t="str">
        <f>IFERROR(VLOOKUP(D1891,'Chủ đề bài nguồn'!$A$2:$C$735,3,0),"Khác")</f>
        <v>Vay tiêu dùng &amp; tín chấp</v>
      </c>
      <c r="N1891" s="24"/>
    </row>
    <row r="1892">
      <c r="A1892" s="15">
        <v>1890.0</v>
      </c>
      <c r="B1892" s="16" t="s">
        <v>374</v>
      </c>
      <c r="C1892" s="18" t="s">
        <v>1789</v>
      </c>
      <c r="D1892" s="16" t="s">
        <v>1160</v>
      </c>
      <c r="E1892" s="16" t="s">
        <v>6817</v>
      </c>
      <c r="F1892" s="16" t="s">
        <v>6818</v>
      </c>
      <c r="G1892" s="16" t="s">
        <v>6776</v>
      </c>
      <c r="H1892" s="20" t="s">
        <v>155</v>
      </c>
      <c r="I1892" s="21" t="s">
        <v>70</v>
      </c>
      <c r="J1892" s="22" t="s">
        <v>71</v>
      </c>
      <c r="K1892" s="23">
        <v>68.0</v>
      </c>
      <c r="L1892" s="24">
        <v>20.0</v>
      </c>
      <c r="M1892" s="24" t="str">
        <f>IFERROR(VLOOKUP(D1892,'Chủ đề bài nguồn'!$A$2:$C$735,3,0),"Khác")</f>
        <v>Vay tiêu dùng &amp; tín chấp</v>
      </c>
      <c r="N1892" s="24"/>
    </row>
    <row r="1893">
      <c r="A1893" s="15">
        <v>1891.0</v>
      </c>
      <c r="B1893" s="16" t="s">
        <v>374</v>
      </c>
      <c r="C1893" s="18" t="s">
        <v>1789</v>
      </c>
      <c r="D1893" s="16" t="s">
        <v>2892</v>
      </c>
      <c r="E1893" s="16" t="s">
        <v>6819</v>
      </c>
      <c r="F1893" s="16" t="s">
        <v>6820</v>
      </c>
      <c r="G1893" s="16" t="s">
        <v>6776</v>
      </c>
      <c r="H1893" s="20" t="s">
        <v>155</v>
      </c>
      <c r="I1893" s="21" t="s">
        <v>70</v>
      </c>
      <c r="J1893" s="22" t="s">
        <v>71</v>
      </c>
      <c r="K1893" s="23">
        <v>68.0</v>
      </c>
      <c r="L1893" s="24">
        <v>20.0</v>
      </c>
      <c r="M1893" s="24" t="str">
        <f>IFERROR(VLOOKUP(D1893,'Chủ đề bài nguồn'!$A$2:$C$735,3,0),"Khác")</f>
        <v>Vay tiêu dùng &amp; tín chấp</v>
      </c>
      <c r="N1893" s="24"/>
    </row>
    <row r="1894">
      <c r="A1894" s="15">
        <v>1892.0</v>
      </c>
      <c r="B1894" s="16" t="s">
        <v>374</v>
      </c>
      <c r="C1894" s="18" t="s">
        <v>1789</v>
      </c>
      <c r="D1894" s="16" t="s">
        <v>2750</v>
      </c>
      <c r="E1894" s="16" t="s">
        <v>6821</v>
      </c>
      <c r="F1894" s="16" t="s">
        <v>6822</v>
      </c>
      <c r="G1894" s="16" t="s">
        <v>6776</v>
      </c>
      <c r="H1894" s="20" t="s">
        <v>155</v>
      </c>
      <c r="I1894" s="21" t="s">
        <v>70</v>
      </c>
      <c r="J1894" s="22" t="s">
        <v>71</v>
      </c>
      <c r="K1894" s="23">
        <v>68.0</v>
      </c>
      <c r="L1894" s="24">
        <v>20.0</v>
      </c>
      <c r="M1894" s="24" t="str">
        <f>IFERROR(VLOOKUP(D1894,'Chủ đề bài nguồn'!$A$2:$C$735,3,0),"Khác")</f>
        <v>Vay tiêu dùng &amp; tín chấp</v>
      </c>
      <c r="N1894" s="24"/>
    </row>
    <row r="1895">
      <c r="A1895" s="15">
        <v>1893.0</v>
      </c>
      <c r="B1895" s="16" t="s">
        <v>374</v>
      </c>
      <c r="C1895" s="18" t="s">
        <v>1789</v>
      </c>
      <c r="D1895" s="16" t="s">
        <v>1910</v>
      </c>
      <c r="E1895" s="16" t="s">
        <v>6823</v>
      </c>
      <c r="F1895" s="16" t="s">
        <v>6824</v>
      </c>
      <c r="G1895" s="16" t="s">
        <v>6776</v>
      </c>
      <c r="H1895" s="20" t="s">
        <v>155</v>
      </c>
      <c r="I1895" s="21" t="s">
        <v>70</v>
      </c>
      <c r="J1895" s="22" t="s">
        <v>71</v>
      </c>
      <c r="K1895" s="23">
        <v>68.0</v>
      </c>
      <c r="L1895" s="24">
        <v>20.0</v>
      </c>
      <c r="M1895" s="24" t="str">
        <f>IFERROR(VLOOKUP(D1895,'Chủ đề bài nguồn'!$A$2:$C$735,3,0),"Khác")</f>
        <v>Tiết kiệm &amp; lãi suất tiền gửi</v>
      </c>
      <c r="N1895" s="24"/>
    </row>
    <row r="1896">
      <c r="A1896" s="15">
        <v>1894.0</v>
      </c>
      <c r="B1896" s="16" t="s">
        <v>374</v>
      </c>
      <c r="C1896" s="18" t="s">
        <v>1804</v>
      </c>
      <c r="D1896" s="16" t="s">
        <v>3148</v>
      </c>
      <c r="E1896" s="16" t="s">
        <v>3149</v>
      </c>
      <c r="F1896" s="16" t="s">
        <v>6825</v>
      </c>
      <c r="G1896" s="16" t="s">
        <v>6826</v>
      </c>
      <c r="H1896" s="20" t="s">
        <v>155</v>
      </c>
      <c r="I1896" s="21" t="s">
        <v>70</v>
      </c>
      <c r="J1896" s="22" t="s">
        <v>71</v>
      </c>
      <c r="K1896" s="23">
        <v>68.0</v>
      </c>
      <c r="L1896" s="24">
        <v>21.0</v>
      </c>
      <c r="M1896" s="24" t="str">
        <f>IFERROR(VLOOKUP(D1896,'Chủ đề bài nguồn'!$A$2:$C$735,3,0),"Khác")</f>
        <v>Vay tiêu dùng &amp; tín chấp</v>
      </c>
      <c r="N1896" s="24"/>
    </row>
    <row r="1897">
      <c r="A1897" s="15">
        <v>1895.0</v>
      </c>
      <c r="B1897" s="16" t="s">
        <v>374</v>
      </c>
      <c r="C1897" s="18" t="s">
        <v>1785</v>
      </c>
      <c r="D1897" s="16" t="s">
        <v>3095</v>
      </c>
      <c r="E1897" s="16" t="s">
        <v>6827</v>
      </c>
      <c r="F1897" s="16" t="s">
        <v>6828</v>
      </c>
      <c r="G1897" s="16" t="s">
        <v>6781</v>
      </c>
      <c r="H1897" s="20" t="s">
        <v>229</v>
      </c>
      <c r="I1897" s="21" t="s">
        <v>70</v>
      </c>
      <c r="J1897" s="22" t="s">
        <v>6829</v>
      </c>
      <c r="K1897" s="23">
        <v>68.0</v>
      </c>
      <c r="L1897" s="24">
        <v>30.0</v>
      </c>
      <c r="M1897" s="24" t="str">
        <f>IFERROR(VLOOKUP(D1897,'Chủ đề bài nguồn'!$A$2:$C$735,3,0),"Khác")</f>
        <v>Doanh nghiệp (tài khoản, vay, tài chính)</v>
      </c>
      <c r="N1897" s="24"/>
    </row>
    <row r="1898">
      <c r="A1898" s="15">
        <v>1896.0</v>
      </c>
      <c r="B1898" s="16" t="s">
        <v>374</v>
      </c>
      <c r="C1898" s="18" t="s">
        <v>1785</v>
      </c>
      <c r="D1898" s="16" t="s">
        <v>3091</v>
      </c>
      <c r="E1898" s="16" t="s">
        <v>6830</v>
      </c>
      <c r="F1898" s="16" t="s">
        <v>6831</v>
      </c>
      <c r="G1898" s="16" t="s">
        <v>6781</v>
      </c>
      <c r="H1898" s="20" t="s">
        <v>229</v>
      </c>
      <c r="I1898" s="21" t="s">
        <v>70</v>
      </c>
      <c r="J1898" s="22" t="s">
        <v>6829</v>
      </c>
      <c r="K1898" s="23">
        <v>68.0</v>
      </c>
      <c r="L1898" s="24">
        <v>30.0</v>
      </c>
      <c r="M1898" s="24" t="str">
        <f>IFERROR(VLOOKUP(D1898,'Chủ đề bài nguồn'!$A$2:$C$735,3,0),"Khác")</f>
        <v>Doanh nghiệp (tài khoản, vay, tài chính)</v>
      </c>
      <c r="N1898" s="24"/>
    </row>
    <row r="1899">
      <c r="A1899" s="15">
        <v>1897.0</v>
      </c>
      <c r="B1899" s="16" t="s">
        <v>374</v>
      </c>
      <c r="C1899" s="18" t="s">
        <v>1785</v>
      </c>
      <c r="D1899" s="16" t="s">
        <v>1454</v>
      </c>
      <c r="E1899" s="16" t="s">
        <v>1455</v>
      </c>
      <c r="F1899" s="16" t="s">
        <v>6832</v>
      </c>
      <c r="G1899" s="16" t="s">
        <v>6781</v>
      </c>
      <c r="H1899" s="20" t="s">
        <v>229</v>
      </c>
      <c r="I1899" s="21" t="s">
        <v>70</v>
      </c>
      <c r="J1899" s="22" t="s">
        <v>6833</v>
      </c>
      <c r="K1899" s="23">
        <v>68.0</v>
      </c>
      <c r="L1899" s="24">
        <v>30.0</v>
      </c>
      <c r="M1899" s="24" t="str">
        <f>IFERROR(VLOOKUP(D1899,'Chủ đề bài nguồn'!$A$2:$C$735,3,0),"Khác")</f>
        <v>Quản lý tài chính cá nhân</v>
      </c>
      <c r="N1899" s="24"/>
    </row>
    <row r="1900">
      <c r="A1900" s="15">
        <v>1898.0</v>
      </c>
      <c r="B1900" s="16" t="s">
        <v>374</v>
      </c>
      <c r="C1900" s="18" t="s">
        <v>1785</v>
      </c>
      <c r="D1900" s="16" t="s">
        <v>860</v>
      </c>
      <c r="E1900" s="16" t="s">
        <v>6834</v>
      </c>
      <c r="F1900" s="16" t="s">
        <v>6835</v>
      </c>
      <c r="G1900" s="16" t="s">
        <v>6781</v>
      </c>
      <c r="H1900" s="20" t="s">
        <v>229</v>
      </c>
      <c r="I1900" s="21" t="s">
        <v>70</v>
      </c>
      <c r="J1900" s="22" t="s">
        <v>6829</v>
      </c>
      <c r="K1900" s="23">
        <v>68.0</v>
      </c>
      <c r="L1900" s="24">
        <v>30.0</v>
      </c>
      <c r="M1900" s="24" t="str">
        <f>IFERROR(VLOOKUP(D1900,'Chủ đề bài nguồn'!$A$2:$C$735,3,0),"Khác")</f>
        <v>Doanh nghiệp (tài khoản, vay, tài chính)</v>
      </c>
      <c r="N1900" s="24"/>
    </row>
    <row r="1901">
      <c r="A1901" s="15">
        <v>1899.0</v>
      </c>
      <c r="B1901" s="16" t="s">
        <v>374</v>
      </c>
      <c r="C1901" s="18" t="s">
        <v>1785</v>
      </c>
      <c r="D1901" s="16" t="s">
        <v>98</v>
      </c>
      <c r="E1901" s="16" t="s">
        <v>99</v>
      </c>
      <c r="F1901" s="16" t="s">
        <v>6836</v>
      </c>
      <c r="G1901" s="16" t="s">
        <v>6781</v>
      </c>
      <c r="H1901" s="20" t="s">
        <v>229</v>
      </c>
      <c r="I1901" s="21" t="s">
        <v>70</v>
      </c>
      <c r="J1901" s="22" t="s">
        <v>6837</v>
      </c>
      <c r="K1901" s="23">
        <v>68.0</v>
      </c>
      <c r="L1901" s="24">
        <v>30.0</v>
      </c>
      <c r="M1901" s="24" t="str">
        <f>IFERROR(VLOOKUP(D1901,'Chủ đề bài nguồn'!$A$2:$C$735,3,0),"Khác")</f>
        <v>Khác</v>
      </c>
      <c r="N1901" s="24"/>
    </row>
    <row r="1902">
      <c r="A1902" s="15">
        <v>1900.0</v>
      </c>
      <c r="B1902" s="16" t="s">
        <v>374</v>
      </c>
      <c r="C1902" s="18" t="s">
        <v>1785</v>
      </c>
      <c r="D1902" s="16" t="s">
        <v>1069</v>
      </c>
      <c r="E1902" s="16" t="s">
        <v>1070</v>
      </c>
      <c r="F1902" s="16" t="s">
        <v>6838</v>
      </c>
      <c r="G1902" s="16" t="s">
        <v>6781</v>
      </c>
      <c r="H1902" s="20" t="s">
        <v>229</v>
      </c>
      <c r="I1902" s="21" t="s">
        <v>70</v>
      </c>
      <c r="J1902" s="22" t="s">
        <v>6839</v>
      </c>
      <c r="K1902" s="23">
        <v>68.0</v>
      </c>
      <c r="L1902" s="24">
        <v>30.0</v>
      </c>
      <c r="M1902" s="24" t="str">
        <f>IFERROR(VLOOKUP(D1902,'Chủ đề bài nguồn'!$A$2:$C$735,3,0),"Khác")</f>
        <v>Doanh nghiệp (tài khoản, vay, tài chính)</v>
      </c>
      <c r="N1902" s="24"/>
    </row>
    <row r="1903">
      <c r="A1903" s="15">
        <v>1901.0</v>
      </c>
      <c r="B1903" s="16" t="s">
        <v>374</v>
      </c>
      <c r="C1903" s="18" t="s">
        <v>1785</v>
      </c>
      <c r="D1903" s="16" t="s">
        <v>669</v>
      </c>
      <c r="E1903" s="16" t="s">
        <v>6840</v>
      </c>
      <c r="F1903" s="16" t="s">
        <v>6841</v>
      </c>
      <c r="G1903" s="16" t="s">
        <v>6781</v>
      </c>
      <c r="H1903" s="20" t="s">
        <v>229</v>
      </c>
      <c r="I1903" s="21" t="s">
        <v>70</v>
      </c>
      <c r="J1903" s="22" t="s">
        <v>6842</v>
      </c>
      <c r="K1903" s="23">
        <v>68.0</v>
      </c>
      <c r="L1903" s="24">
        <v>30.0</v>
      </c>
      <c r="M1903" s="24" t="str">
        <f>IFERROR(VLOOKUP(D1903,'Chủ đề bài nguồn'!$A$2:$C$735,3,0),"Khác")</f>
        <v>Thuế</v>
      </c>
      <c r="N1903" s="24"/>
    </row>
    <row r="1904">
      <c r="A1904" s="15">
        <v>1902.0</v>
      </c>
      <c r="B1904" s="16" t="s">
        <v>374</v>
      </c>
      <c r="C1904" s="18" t="s">
        <v>1785</v>
      </c>
      <c r="D1904" s="16" t="s">
        <v>610</v>
      </c>
      <c r="E1904" s="16" t="s">
        <v>5142</v>
      </c>
      <c r="F1904" s="16" t="s">
        <v>6843</v>
      </c>
      <c r="G1904" s="16" t="s">
        <v>6781</v>
      </c>
      <c r="H1904" s="20" t="s">
        <v>229</v>
      </c>
      <c r="I1904" s="21" t="s">
        <v>70</v>
      </c>
      <c r="J1904" s="22" t="s">
        <v>6844</v>
      </c>
      <c r="K1904" s="23">
        <v>68.0</v>
      </c>
      <c r="L1904" s="24">
        <v>30.0</v>
      </c>
      <c r="M1904" s="24" t="str">
        <f>IFERROR(VLOOKUP(D1904,'Chủ đề bài nguồn'!$A$2:$C$735,3,0),"Khác")</f>
        <v>Thuế</v>
      </c>
      <c r="N1904" s="24"/>
    </row>
    <row r="1905">
      <c r="A1905" s="15">
        <v>1903.0</v>
      </c>
      <c r="B1905" s="16" t="s">
        <v>374</v>
      </c>
      <c r="C1905" s="18" t="s">
        <v>1785</v>
      </c>
      <c r="D1905" s="16" t="s">
        <v>2580</v>
      </c>
      <c r="E1905" s="16" t="s">
        <v>5176</v>
      </c>
      <c r="F1905" s="16" t="s">
        <v>6843</v>
      </c>
      <c r="G1905" s="16" t="s">
        <v>6781</v>
      </c>
      <c r="H1905" s="20" t="s">
        <v>229</v>
      </c>
      <c r="I1905" s="21" t="s">
        <v>70</v>
      </c>
      <c r="J1905" s="22" t="s">
        <v>6845</v>
      </c>
      <c r="K1905" s="23">
        <v>68.0</v>
      </c>
      <c r="L1905" s="24">
        <v>30.0</v>
      </c>
      <c r="M1905" s="24" t="str">
        <f>IFERROR(VLOOKUP(D1905,'Chủ đề bài nguồn'!$A$2:$C$735,3,0),"Khác")</f>
        <v>Hộ kinh doanh &amp; bán hàng</v>
      </c>
      <c r="N1905" s="24"/>
    </row>
    <row r="1906">
      <c r="A1906" s="15">
        <v>1904.0</v>
      </c>
      <c r="B1906" s="16" t="s">
        <v>374</v>
      </c>
      <c r="C1906" s="18" t="s">
        <v>1785</v>
      </c>
      <c r="D1906" s="16" t="s">
        <v>568</v>
      </c>
      <c r="E1906" s="16" t="s">
        <v>5336</v>
      </c>
      <c r="F1906" s="16" t="s">
        <v>6843</v>
      </c>
      <c r="G1906" s="16" t="s">
        <v>6781</v>
      </c>
      <c r="H1906" s="20" t="s">
        <v>229</v>
      </c>
      <c r="I1906" s="21" t="s">
        <v>70</v>
      </c>
      <c r="J1906" s="22" t="s">
        <v>6844</v>
      </c>
      <c r="K1906" s="23">
        <v>68.0</v>
      </c>
      <c r="L1906" s="24">
        <v>30.0</v>
      </c>
      <c r="M1906" s="24" t="str">
        <f>IFERROR(VLOOKUP(D1906,'Chủ đề bài nguồn'!$A$2:$C$735,3,0),"Khác")</f>
        <v>Thuế</v>
      </c>
      <c r="N1906" s="24"/>
    </row>
    <row r="1907">
      <c r="A1907" s="15">
        <v>1905.0</v>
      </c>
      <c r="B1907" s="16" t="s">
        <v>374</v>
      </c>
      <c r="C1907" s="18" t="s">
        <v>1785</v>
      </c>
      <c r="D1907" s="16" t="s">
        <v>3047</v>
      </c>
      <c r="E1907" s="16" t="s">
        <v>6846</v>
      </c>
      <c r="F1907" s="16" t="s">
        <v>6847</v>
      </c>
      <c r="G1907" s="16" t="s">
        <v>6781</v>
      </c>
      <c r="H1907" s="20" t="s">
        <v>229</v>
      </c>
      <c r="I1907" s="21" t="s">
        <v>70</v>
      </c>
      <c r="J1907" s="22" t="s">
        <v>6848</v>
      </c>
      <c r="K1907" s="23">
        <v>68.0</v>
      </c>
      <c r="L1907" s="24">
        <v>30.0</v>
      </c>
      <c r="M1907" s="24" t="str">
        <f>IFERROR(VLOOKUP(D1907,'Chủ đề bài nguồn'!$A$2:$C$735,3,0),"Khác")</f>
        <v>Ngân hàng xanh &amp; thương hiệu</v>
      </c>
      <c r="N1907" s="24"/>
    </row>
    <row r="1908">
      <c r="A1908" s="15">
        <v>1906.0</v>
      </c>
      <c r="B1908" s="16" t="s">
        <v>374</v>
      </c>
      <c r="C1908" s="18" t="s">
        <v>1785</v>
      </c>
      <c r="D1908" s="16" t="s">
        <v>1666</v>
      </c>
      <c r="E1908" s="16" t="s">
        <v>5332</v>
      </c>
      <c r="F1908" s="16" t="s">
        <v>6843</v>
      </c>
      <c r="G1908" s="16" t="s">
        <v>6781</v>
      </c>
      <c r="H1908" s="20" t="s">
        <v>229</v>
      </c>
      <c r="I1908" s="21" t="s">
        <v>70</v>
      </c>
      <c r="J1908" s="22" t="s">
        <v>6849</v>
      </c>
      <c r="K1908" s="23">
        <v>68.0</v>
      </c>
      <c r="L1908" s="24">
        <v>30.0</v>
      </c>
      <c r="M1908" s="24" t="str">
        <f>IFERROR(VLOOKUP(D1908,'Chủ đề bài nguồn'!$A$2:$C$735,3,0),"Khác")</f>
        <v>Thuế</v>
      </c>
      <c r="N1908" s="24"/>
    </row>
    <row r="1909">
      <c r="A1909" s="15">
        <v>1907.0</v>
      </c>
      <c r="B1909" s="16" t="s">
        <v>374</v>
      </c>
      <c r="C1909" s="18" t="s">
        <v>1785</v>
      </c>
      <c r="D1909" s="16" t="s">
        <v>3092</v>
      </c>
      <c r="E1909" s="16" t="s">
        <v>6641</v>
      </c>
      <c r="F1909" s="16" t="s">
        <v>6850</v>
      </c>
      <c r="G1909" s="16" t="s">
        <v>6781</v>
      </c>
      <c r="H1909" s="20" t="s">
        <v>229</v>
      </c>
      <c r="I1909" s="21" t="s">
        <v>70</v>
      </c>
      <c r="J1909" s="22" t="s">
        <v>6851</v>
      </c>
      <c r="K1909" s="23">
        <v>68.0</v>
      </c>
      <c r="L1909" s="24">
        <v>30.0</v>
      </c>
      <c r="M1909" s="24" t="str">
        <f>IFERROR(VLOOKUP(D1909,'Chủ đề bài nguồn'!$A$2:$C$735,3,0),"Khác")</f>
        <v>Ngân hàng xanh &amp; thương hiệu</v>
      </c>
      <c r="N1909" s="24"/>
    </row>
    <row r="1910">
      <c r="A1910" s="15">
        <v>1908.0</v>
      </c>
      <c r="B1910" s="16" t="s">
        <v>374</v>
      </c>
      <c r="C1910" s="18" t="s">
        <v>1785</v>
      </c>
      <c r="D1910" s="16" t="s">
        <v>1060</v>
      </c>
      <c r="E1910" s="16" t="s">
        <v>5355</v>
      </c>
      <c r="F1910" s="16" t="s">
        <v>6843</v>
      </c>
      <c r="G1910" s="16" t="s">
        <v>6781</v>
      </c>
      <c r="H1910" s="20" t="s">
        <v>229</v>
      </c>
      <c r="I1910" s="21" t="s">
        <v>70</v>
      </c>
      <c r="J1910" s="22" t="s">
        <v>6852</v>
      </c>
      <c r="K1910" s="23">
        <v>68.0</v>
      </c>
      <c r="L1910" s="24">
        <v>30.0</v>
      </c>
      <c r="M1910" s="24" t="str">
        <f>IFERROR(VLOOKUP(D1910,'Chủ đề bài nguồn'!$A$2:$C$735,3,0),"Khác")</f>
        <v>Thuế</v>
      </c>
      <c r="N1910" s="24"/>
    </row>
    <row r="1911">
      <c r="A1911" s="15">
        <v>1909.0</v>
      </c>
      <c r="B1911" s="39" t="s">
        <v>374</v>
      </c>
      <c r="C1911" s="18" t="s">
        <v>1785</v>
      </c>
      <c r="D1911" s="39" t="s">
        <v>2854</v>
      </c>
      <c r="E1911" s="16" t="s">
        <v>6607</v>
      </c>
      <c r="F1911" s="16" t="s">
        <v>6853</v>
      </c>
      <c r="G1911" s="16" t="s">
        <v>6781</v>
      </c>
      <c r="H1911" s="20" t="s">
        <v>229</v>
      </c>
      <c r="I1911" s="21" t="s">
        <v>70</v>
      </c>
      <c r="J1911" s="22" t="s">
        <v>6833</v>
      </c>
      <c r="K1911" s="23">
        <v>68.0</v>
      </c>
      <c r="L1911" s="24">
        <v>30.0</v>
      </c>
      <c r="M1911" s="24" t="str">
        <f>IFERROR(VLOOKUP(D1911,'Chủ đề bài nguồn'!$A$2:$C$735,3,0),"Khác")</f>
        <v>Đầu tư, CCTG, trái phiếu, vàng</v>
      </c>
      <c r="N1911" s="24"/>
    </row>
    <row r="1912">
      <c r="A1912" s="15">
        <v>1910.0</v>
      </c>
      <c r="B1912" s="16" t="s">
        <v>374</v>
      </c>
      <c r="C1912" s="18" t="s">
        <v>1785</v>
      </c>
      <c r="D1912" s="16" t="s">
        <v>53</v>
      </c>
      <c r="E1912" s="16" t="s">
        <v>1883</v>
      </c>
      <c r="F1912" s="16" t="s">
        <v>6854</v>
      </c>
      <c r="G1912" s="16" t="s">
        <v>6781</v>
      </c>
      <c r="H1912" s="20" t="s">
        <v>229</v>
      </c>
      <c r="I1912" s="21" t="s">
        <v>70</v>
      </c>
      <c r="J1912" s="22" t="s">
        <v>6855</v>
      </c>
      <c r="K1912" s="23">
        <v>68.0</v>
      </c>
      <c r="L1912" s="24">
        <v>30.0</v>
      </c>
      <c r="M1912" s="24" t="str">
        <f>IFERROR(VLOOKUP(D1912,'Chủ đề bài nguồn'!$A$2:$C$735,3,0),"Khác")</f>
        <v>Vay thế chấp &amp; mua nhà/xe</v>
      </c>
      <c r="N1912" s="24"/>
    </row>
    <row r="1913">
      <c r="A1913" s="15">
        <v>1911.0</v>
      </c>
      <c r="B1913" s="16" t="s">
        <v>374</v>
      </c>
      <c r="C1913" s="18" t="s">
        <v>1785</v>
      </c>
      <c r="D1913" s="16" t="s">
        <v>1856</v>
      </c>
      <c r="E1913" s="16" t="s">
        <v>1857</v>
      </c>
      <c r="F1913" s="16" t="s">
        <v>6856</v>
      </c>
      <c r="G1913" s="16" t="s">
        <v>6781</v>
      </c>
      <c r="H1913" s="20" t="s">
        <v>229</v>
      </c>
      <c r="I1913" s="21" t="s">
        <v>70</v>
      </c>
      <c r="J1913" s="22" t="s">
        <v>6857</v>
      </c>
      <c r="K1913" s="23">
        <v>68.0</v>
      </c>
      <c r="L1913" s="24">
        <v>30.0</v>
      </c>
      <c r="M1913" s="24" t="str">
        <f>IFERROR(VLOOKUP(D1913,'Chủ đề bài nguồn'!$A$2:$C$735,3,0),"Khác")</f>
        <v>Doanh nghiệp (tài khoản, vay, tài chính)</v>
      </c>
      <c r="N1913" s="24"/>
    </row>
    <row r="1914">
      <c r="A1914" s="15">
        <v>1912.0</v>
      </c>
      <c r="B1914" s="16" t="s">
        <v>374</v>
      </c>
      <c r="C1914" s="18" t="s">
        <v>1785</v>
      </c>
      <c r="D1914" s="16" t="s">
        <v>723</v>
      </c>
      <c r="E1914" s="16" t="s">
        <v>710</v>
      </c>
      <c r="F1914" s="16" t="s">
        <v>6858</v>
      </c>
      <c r="G1914" s="16" t="s">
        <v>6859</v>
      </c>
      <c r="H1914" s="20" t="s">
        <v>229</v>
      </c>
      <c r="I1914" s="21" t="s">
        <v>70</v>
      </c>
      <c r="J1914" s="22" t="s">
        <v>6860</v>
      </c>
      <c r="K1914" s="23">
        <v>68.0</v>
      </c>
      <c r="L1914" s="24">
        <v>30.0</v>
      </c>
      <c r="M1914" s="24" t="str">
        <f>IFERROR(VLOOKUP(D1914,'Chủ đề bài nguồn'!$A$2:$C$735,3,0),"Khác")</f>
        <v>Vay tiêu dùng &amp; tín chấp</v>
      </c>
      <c r="N1914" s="24"/>
    </row>
    <row r="1915">
      <c r="A1915" s="15">
        <v>1913.0</v>
      </c>
      <c r="B1915" s="16" t="s">
        <v>374</v>
      </c>
      <c r="C1915" s="18" t="s">
        <v>1785</v>
      </c>
      <c r="D1915" s="16" t="s">
        <v>1158</v>
      </c>
      <c r="E1915" s="16" t="s">
        <v>6861</v>
      </c>
      <c r="F1915" s="16" t="s">
        <v>6862</v>
      </c>
      <c r="G1915" s="16" t="s">
        <v>6781</v>
      </c>
      <c r="H1915" s="20" t="s">
        <v>229</v>
      </c>
      <c r="I1915" s="21" t="s">
        <v>70</v>
      </c>
      <c r="J1915" s="22" t="s">
        <v>6863</v>
      </c>
      <c r="K1915" s="23">
        <v>68.0</v>
      </c>
      <c r="L1915" s="24">
        <v>30.0</v>
      </c>
      <c r="M1915" s="24" t="str">
        <f>IFERROR(VLOOKUP(D1915,'Chủ đề bài nguồn'!$A$2:$C$735,3,0),"Khác")</f>
        <v>Nợ xấu &amp; CIC</v>
      </c>
      <c r="N1915" s="24"/>
    </row>
    <row r="1916">
      <c r="A1916" s="15">
        <v>1914.0</v>
      </c>
      <c r="B1916" s="16" t="s">
        <v>374</v>
      </c>
      <c r="C1916" s="18" t="s">
        <v>1785</v>
      </c>
      <c r="D1916" s="16" t="s">
        <v>173</v>
      </c>
      <c r="E1916" s="16" t="s">
        <v>6864</v>
      </c>
      <c r="F1916" s="16" t="s">
        <v>6865</v>
      </c>
      <c r="G1916" s="16" t="s">
        <v>6781</v>
      </c>
      <c r="H1916" s="20" t="s">
        <v>229</v>
      </c>
      <c r="I1916" s="21" t="s">
        <v>70</v>
      </c>
      <c r="J1916" s="22" t="s">
        <v>6866</v>
      </c>
      <c r="K1916" s="23">
        <v>68.0</v>
      </c>
      <c r="L1916" s="24">
        <v>30.0</v>
      </c>
      <c r="M1916" s="24" t="str">
        <f>IFERROR(VLOOKUP(D1916,'Chủ đề bài nguồn'!$A$2:$C$735,3,0),"Khác")</f>
        <v>Vay thế chấp &amp; mua nhà/xe</v>
      </c>
      <c r="N1916" s="24"/>
    </row>
    <row r="1917">
      <c r="A1917" s="15">
        <v>1915.0</v>
      </c>
      <c r="B1917" s="16" t="s">
        <v>374</v>
      </c>
      <c r="C1917" s="18" t="s">
        <v>1785</v>
      </c>
      <c r="D1917" s="16" t="s">
        <v>2857</v>
      </c>
      <c r="E1917" s="16" t="s">
        <v>5603</v>
      </c>
      <c r="F1917" s="16" t="s">
        <v>6867</v>
      </c>
      <c r="G1917" s="16" t="s">
        <v>6781</v>
      </c>
      <c r="H1917" s="20" t="s">
        <v>229</v>
      </c>
      <c r="I1917" s="21" t="s">
        <v>70</v>
      </c>
      <c r="J1917" s="22" t="s">
        <v>6837</v>
      </c>
      <c r="K1917" s="23">
        <v>68.0</v>
      </c>
      <c r="L1917" s="24">
        <v>30.0</v>
      </c>
      <c r="M1917" s="24" t="str">
        <f>IFERROR(VLOOKUP(D1917,'Chủ đề bài nguồn'!$A$2:$C$735,3,0),"Khác")</f>
        <v>Vay thế chấp &amp; mua nhà/xe</v>
      </c>
      <c r="N1917" s="24"/>
    </row>
    <row r="1918">
      <c r="A1918" s="15">
        <v>1916.0</v>
      </c>
      <c r="B1918" s="16" t="s">
        <v>374</v>
      </c>
      <c r="C1918" s="18" t="s">
        <v>1785</v>
      </c>
      <c r="D1918" s="16" t="s">
        <v>2346</v>
      </c>
      <c r="E1918" s="16" t="s">
        <v>2347</v>
      </c>
      <c r="F1918" s="16" t="s">
        <v>6868</v>
      </c>
      <c r="G1918" s="16" t="s">
        <v>6781</v>
      </c>
      <c r="H1918" s="20" t="s">
        <v>229</v>
      </c>
      <c r="I1918" s="21" t="s">
        <v>70</v>
      </c>
      <c r="J1918" s="22" t="s">
        <v>6869</v>
      </c>
      <c r="K1918" s="23">
        <v>68.0</v>
      </c>
      <c r="L1918" s="24">
        <v>30.0</v>
      </c>
      <c r="M1918" s="24" t="str">
        <f>IFERROR(VLOOKUP(D1918,'Chủ đề bài nguồn'!$A$2:$C$735,3,0),"Khác")</f>
        <v>Vay tiêu dùng &amp; tín chấp</v>
      </c>
      <c r="N1918" s="24"/>
    </row>
    <row r="1919">
      <c r="A1919" s="15">
        <v>1917.0</v>
      </c>
      <c r="B1919" s="16" t="s">
        <v>374</v>
      </c>
      <c r="C1919" s="18" t="s">
        <v>1785</v>
      </c>
      <c r="D1919" s="16" t="s">
        <v>3074</v>
      </c>
      <c r="E1919" s="16" t="s">
        <v>6870</v>
      </c>
      <c r="F1919" s="16" t="s">
        <v>6871</v>
      </c>
      <c r="G1919" s="16" t="s">
        <v>6781</v>
      </c>
      <c r="H1919" s="20" t="s">
        <v>229</v>
      </c>
      <c r="I1919" s="21" t="s">
        <v>70</v>
      </c>
      <c r="J1919" s="22" t="s">
        <v>6872</v>
      </c>
      <c r="K1919" s="23">
        <v>68.0</v>
      </c>
      <c r="L1919" s="24">
        <v>30.0</v>
      </c>
      <c r="M1919" s="24" t="str">
        <f>IFERROR(VLOOKUP(D1919,'Chủ đề bài nguồn'!$A$2:$C$735,3,0),"Khác")</f>
        <v>Nợ xấu &amp; CIC</v>
      </c>
      <c r="N1919" s="24"/>
    </row>
    <row r="1920">
      <c r="A1920" s="15">
        <v>1918.0</v>
      </c>
      <c r="B1920" s="16" t="s">
        <v>374</v>
      </c>
      <c r="C1920" s="18" t="s">
        <v>1785</v>
      </c>
      <c r="D1920" s="16" t="s">
        <v>3063</v>
      </c>
      <c r="E1920" s="16" t="s">
        <v>6873</v>
      </c>
      <c r="F1920" s="16" t="s">
        <v>6874</v>
      </c>
      <c r="G1920" s="16" t="s">
        <v>6781</v>
      </c>
      <c r="H1920" s="20" t="s">
        <v>229</v>
      </c>
      <c r="I1920" s="21" t="s">
        <v>70</v>
      </c>
      <c r="J1920" s="22" t="s">
        <v>6875</v>
      </c>
      <c r="K1920" s="23">
        <v>68.0</v>
      </c>
      <c r="L1920" s="24">
        <v>30.0</v>
      </c>
      <c r="M1920" s="24" t="str">
        <f>IFERROR(VLOOKUP(D1920,'Chủ đề bài nguồn'!$A$2:$C$735,3,0),"Khác")</f>
        <v>Nợ xấu &amp; CIC</v>
      </c>
      <c r="N1920" s="24"/>
    </row>
    <row r="1921">
      <c r="A1921" s="15">
        <v>1919.0</v>
      </c>
      <c r="B1921" s="16" t="s">
        <v>374</v>
      </c>
      <c r="C1921" s="18" t="s">
        <v>1785</v>
      </c>
      <c r="D1921" s="16" t="s">
        <v>2835</v>
      </c>
      <c r="E1921" s="16" t="s">
        <v>6876</v>
      </c>
      <c r="F1921" s="16" t="s">
        <v>6877</v>
      </c>
      <c r="G1921" s="16" t="s">
        <v>6781</v>
      </c>
      <c r="H1921" s="20" t="s">
        <v>229</v>
      </c>
      <c r="I1921" s="21" t="s">
        <v>70</v>
      </c>
      <c r="J1921" s="22" t="s">
        <v>6833</v>
      </c>
      <c r="K1921" s="23">
        <v>68.0</v>
      </c>
      <c r="L1921" s="24">
        <v>30.0</v>
      </c>
      <c r="M1921" s="24" t="str">
        <f>IFERROR(VLOOKUP(D1921,'Chủ đề bài nguồn'!$A$2:$C$735,3,0),"Khác")</f>
        <v>Nợ xấu &amp; CIC</v>
      </c>
      <c r="N1921" s="24"/>
    </row>
    <row r="1922">
      <c r="A1922" s="15">
        <v>1920.0</v>
      </c>
      <c r="B1922" s="16" t="s">
        <v>374</v>
      </c>
      <c r="C1922" s="18" t="s">
        <v>1785</v>
      </c>
      <c r="D1922" s="16" t="s">
        <v>3135</v>
      </c>
      <c r="E1922" s="16" t="s">
        <v>6878</v>
      </c>
      <c r="F1922" s="16" t="s">
        <v>6879</v>
      </c>
      <c r="G1922" s="16" t="s">
        <v>6781</v>
      </c>
      <c r="H1922" s="20" t="s">
        <v>229</v>
      </c>
      <c r="I1922" s="21" t="s">
        <v>70</v>
      </c>
      <c r="J1922" s="22" t="s">
        <v>6845</v>
      </c>
      <c r="K1922" s="23">
        <v>68.0</v>
      </c>
      <c r="L1922" s="24">
        <v>30.0</v>
      </c>
      <c r="M1922" s="24" t="str">
        <f>IFERROR(VLOOKUP(D1922,'Chủ đề bài nguồn'!$A$2:$C$735,3,0),"Khác")</f>
        <v>Vay tiêu dùng &amp; tín chấp</v>
      </c>
      <c r="N1922" s="24"/>
    </row>
    <row r="1923">
      <c r="A1923" s="15">
        <v>1921.0</v>
      </c>
      <c r="B1923" s="16" t="s">
        <v>374</v>
      </c>
      <c r="C1923" s="18" t="s">
        <v>1785</v>
      </c>
      <c r="D1923" s="16" t="s">
        <v>3067</v>
      </c>
      <c r="E1923" s="16" t="s">
        <v>3463</v>
      </c>
      <c r="F1923" s="16" t="s">
        <v>6880</v>
      </c>
      <c r="G1923" s="16" t="s">
        <v>6781</v>
      </c>
      <c r="H1923" s="20" t="s">
        <v>229</v>
      </c>
      <c r="I1923" s="21" t="s">
        <v>70</v>
      </c>
      <c r="J1923" s="22" t="s">
        <v>6872</v>
      </c>
      <c r="K1923" s="23">
        <v>68.0</v>
      </c>
      <c r="L1923" s="24">
        <v>30.0</v>
      </c>
      <c r="M1923" s="24" t="str">
        <f>IFERROR(VLOOKUP(D1923,'Chủ đề bài nguồn'!$A$2:$C$735,3,0),"Khác")</f>
        <v>Nợ xấu &amp; CIC</v>
      </c>
      <c r="N1923" s="24"/>
    </row>
    <row r="1924">
      <c r="A1924" s="15">
        <v>1922.0</v>
      </c>
      <c r="B1924" s="16" t="s">
        <v>374</v>
      </c>
      <c r="C1924" s="18" t="s">
        <v>1785</v>
      </c>
      <c r="D1924" s="16" t="s">
        <v>3104</v>
      </c>
      <c r="E1924" s="16" t="s">
        <v>6881</v>
      </c>
      <c r="F1924" s="16" t="s">
        <v>6882</v>
      </c>
      <c r="G1924" s="16" t="s">
        <v>6781</v>
      </c>
      <c r="H1924" s="20" t="s">
        <v>229</v>
      </c>
      <c r="I1924" s="21" t="s">
        <v>70</v>
      </c>
      <c r="J1924" s="22" t="s">
        <v>6883</v>
      </c>
      <c r="K1924" s="23">
        <v>68.0</v>
      </c>
      <c r="L1924" s="24">
        <v>30.0</v>
      </c>
      <c r="M1924" s="24" t="str">
        <f>IFERROR(VLOOKUP(D1924,'Chủ đề bài nguồn'!$A$2:$C$735,3,0),"Khác")</f>
        <v>Vay thế chấp &amp; mua nhà/xe</v>
      </c>
      <c r="N1924" s="24"/>
    </row>
    <row r="1925">
      <c r="A1925" s="15">
        <v>1923.0</v>
      </c>
      <c r="B1925" s="16" t="s">
        <v>374</v>
      </c>
      <c r="C1925" s="18" t="s">
        <v>1785</v>
      </c>
      <c r="D1925" s="16" t="s">
        <v>3155</v>
      </c>
      <c r="E1925" s="16" t="s">
        <v>4176</v>
      </c>
      <c r="F1925" s="16" t="s">
        <v>6884</v>
      </c>
      <c r="G1925" s="16" t="s">
        <v>6781</v>
      </c>
      <c r="H1925" s="20" t="s">
        <v>229</v>
      </c>
      <c r="I1925" s="21" t="s">
        <v>70</v>
      </c>
      <c r="J1925" s="22" t="s">
        <v>6845</v>
      </c>
      <c r="K1925" s="23">
        <v>68.0</v>
      </c>
      <c r="L1925" s="24">
        <v>30.0</v>
      </c>
      <c r="M1925" s="24" t="str">
        <f>IFERROR(VLOOKUP(D1925,'Chủ đề bài nguồn'!$A$2:$C$735,3,0),"Khác")</f>
        <v>Vay tiêu dùng &amp; tín chấp</v>
      </c>
      <c r="N1925" s="24"/>
    </row>
    <row r="1926">
      <c r="A1926" s="15">
        <v>1924.0</v>
      </c>
      <c r="B1926" s="16" t="s">
        <v>374</v>
      </c>
      <c r="C1926" s="18" t="s">
        <v>1785</v>
      </c>
      <c r="D1926" s="16" t="s">
        <v>3208</v>
      </c>
      <c r="E1926" s="16" t="s">
        <v>6585</v>
      </c>
      <c r="F1926" s="16" t="s">
        <v>6885</v>
      </c>
      <c r="G1926" s="16" t="s">
        <v>6781</v>
      </c>
      <c r="H1926" s="20" t="s">
        <v>229</v>
      </c>
      <c r="I1926" s="21" t="s">
        <v>70</v>
      </c>
      <c r="J1926" s="22" t="s">
        <v>6886</v>
      </c>
      <c r="K1926" s="23">
        <v>68.0</v>
      </c>
      <c r="L1926" s="24">
        <v>30.0</v>
      </c>
      <c r="M1926" s="24" t="str">
        <f>IFERROR(VLOOKUP(D1926,'Chủ đề bài nguồn'!$A$2:$C$735,3,0),"Khác")</f>
        <v>Vay tiêu dùng &amp; tín chấp</v>
      </c>
      <c r="N1926" s="24"/>
    </row>
    <row r="1927">
      <c r="A1927" s="15">
        <v>1925.0</v>
      </c>
      <c r="B1927" s="16" t="s">
        <v>374</v>
      </c>
      <c r="C1927" s="18" t="s">
        <v>1785</v>
      </c>
      <c r="D1927" s="16" t="s">
        <v>3267</v>
      </c>
      <c r="E1927" s="16" t="s">
        <v>6887</v>
      </c>
      <c r="F1927" s="16" t="s">
        <v>6888</v>
      </c>
      <c r="G1927" s="16" t="s">
        <v>6781</v>
      </c>
      <c r="H1927" s="20" t="s">
        <v>229</v>
      </c>
      <c r="I1927" s="21" t="s">
        <v>70</v>
      </c>
      <c r="J1927" s="22" t="s">
        <v>6889</v>
      </c>
      <c r="K1927" s="23">
        <v>68.0</v>
      </c>
      <c r="L1927" s="24">
        <v>30.0</v>
      </c>
      <c r="M1927" s="24" t="str">
        <f>IFERROR(VLOOKUP(D1927,'Chủ đề bài nguồn'!$A$2:$C$735,3,0),"Khác")</f>
        <v>Vay tiêu dùng &amp; tín chấp</v>
      </c>
      <c r="N1927" s="24"/>
    </row>
    <row r="1928">
      <c r="A1928" s="15">
        <v>1926.0</v>
      </c>
      <c r="B1928" s="16" t="s">
        <v>374</v>
      </c>
      <c r="C1928" s="18" t="s">
        <v>1785</v>
      </c>
      <c r="D1928" s="16" t="s">
        <v>3293</v>
      </c>
      <c r="E1928" s="16" t="s">
        <v>6530</v>
      </c>
      <c r="F1928" s="16" t="s">
        <v>6890</v>
      </c>
      <c r="G1928" s="16" t="s">
        <v>6781</v>
      </c>
      <c r="H1928" s="20" t="s">
        <v>229</v>
      </c>
      <c r="I1928" s="21" t="s">
        <v>70</v>
      </c>
      <c r="J1928" s="22" t="s">
        <v>6857</v>
      </c>
      <c r="K1928" s="23">
        <v>68.0</v>
      </c>
      <c r="L1928" s="24">
        <v>30.0</v>
      </c>
      <c r="M1928" s="24" t="str">
        <f>IFERROR(VLOOKUP(D1928,'Chủ đề bài nguồn'!$A$2:$C$735,3,0),"Khác")</f>
        <v>Doanh nghiệp (tài khoản, vay, tài chính)</v>
      </c>
      <c r="N1928" s="24"/>
    </row>
    <row r="1929">
      <c r="A1929" s="15">
        <v>1927.0</v>
      </c>
      <c r="B1929" s="16" t="s">
        <v>374</v>
      </c>
      <c r="C1929" s="18" t="s">
        <v>1785</v>
      </c>
      <c r="D1929" s="16" t="s">
        <v>3059</v>
      </c>
      <c r="E1929" s="16" t="s">
        <v>710</v>
      </c>
      <c r="F1929" s="16" t="s">
        <v>6891</v>
      </c>
      <c r="G1929" s="16" t="s">
        <v>6781</v>
      </c>
      <c r="H1929" s="20" t="s">
        <v>229</v>
      </c>
      <c r="I1929" s="21" t="s">
        <v>70</v>
      </c>
      <c r="J1929" s="22" t="s">
        <v>6848</v>
      </c>
      <c r="K1929" s="23">
        <v>68.0</v>
      </c>
      <c r="L1929" s="24">
        <v>30.0</v>
      </c>
      <c r="M1929" s="24" t="str">
        <f>IFERROR(VLOOKUP(D1929,'Chủ đề bài nguồn'!$A$2:$C$735,3,0),"Khác")</f>
        <v>Nợ xấu &amp; CIC</v>
      </c>
      <c r="N1929" s="24"/>
    </row>
    <row r="1930">
      <c r="A1930" s="15">
        <v>1928.0</v>
      </c>
      <c r="B1930" s="16" t="s">
        <v>374</v>
      </c>
      <c r="C1930" s="18" t="s">
        <v>1785</v>
      </c>
      <c r="D1930" s="16" t="s">
        <v>1164</v>
      </c>
      <c r="E1930" s="16" t="s">
        <v>6892</v>
      </c>
      <c r="F1930" s="16" t="s">
        <v>6893</v>
      </c>
      <c r="G1930" s="16" t="s">
        <v>6781</v>
      </c>
      <c r="H1930" s="20" t="s">
        <v>229</v>
      </c>
      <c r="I1930" s="21" t="s">
        <v>70</v>
      </c>
      <c r="J1930" s="22" t="s">
        <v>6872</v>
      </c>
      <c r="K1930" s="23">
        <v>68.0</v>
      </c>
      <c r="L1930" s="24">
        <v>30.0</v>
      </c>
      <c r="M1930" s="24" t="str">
        <f>IFERROR(VLOOKUP(D1930,'Chủ đề bài nguồn'!$A$2:$C$735,3,0),"Khác")</f>
        <v>Nợ xấu &amp; CIC</v>
      </c>
      <c r="N1930" s="24"/>
    </row>
    <row r="1931">
      <c r="A1931" s="15">
        <v>1929.0</v>
      </c>
      <c r="B1931" s="16" t="s">
        <v>374</v>
      </c>
      <c r="C1931" s="18" t="s">
        <v>1785</v>
      </c>
      <c r="D1931" s="16" t="s">
        <v>3055</v>
      </c>
      <c r="E1931" s="16" t="s">
        <v>710</v>
      </c>
      <c r="F1931" s="16" t="s">
        <v>6894</v>
      </c>
      <c r="G1931" s="16" t="s">
        <v>6781</v>
      </c>
      <c r="H1931" s="20" t="s">
        <v>229</v>
      </c>
      <c r="I1931" s="21" t="s">
        <v>70</v>
      </c>
      <c r="J1931" s="22" t="s">
        <v>6895</v>
      </c>
      <c r="K1931" s="23">
        <v>68.0</v>
      </c>
      <c r="L1931" s="24">
        <v>30.0</v>
      </c>
      <c r="M1931" s="24" t="str">
        <f>IFERROR(VLOOKUP(D1931,'Chủ đề bài nguồn'!$A$2:$C$735,3,0),"Khác")</f>
        <v>Vay tiêu dùng &amp; tín chấp</v>
      </c>
      <c r="N1931" s="24"/>
    </row>
    <row r="1932">
      <c r="A1932" s="15">
        <v>1930.0</v>
      </c>
      <c r="B1932" s="16" t="s">
        <v>374</v>
      </c>
      <c r="C1932" s="18" t="s">
        <v>1785</v>
      </c>
      <c r="D1932" s="16" t="s">
        <v>3134</v>
      </c>
      <c r="E1932" s="16" t="s">
        <v>710</v>
      </c>
      <c r="F1932" s="16" t="s">
        <v>6896</v>
      </c>
      <c r="G1932" s="16" t="s">
        <v>6781</v>
      </c>
      <c r="H1932" s="20" t="s">
        <v>229</v>
      </c>
      <c r="I1932" s="21" t="s">
        <v>70</v>
      </c>
      <c r="J1932" s="22" t="s">
        <v>6897</v>
      </c>
      <c r="K1932" s="23">
        <v>68.0</v>
      </c>
      <c r="L1932" s="24">
        <v>30.0</v>
      </c>
      <c r="M1932" s="24" t="str">
        <f>IFERROR(VLOOKUP(D1932,'Chủ đề bài nguồn'!$A$2:$C$735,3,0),"Khác")</f>
        <v>Hộ kinh doanh &amp; bán hàng</v>
      </c>
      <c r="N1932" s="24"/>
    </row>
    <row r="1933">
      <c r="A1933" s="15">
        <v>1931.0</v>
      </c>
      <c r="B1933" s="16" t="s">
        <v>374</v>
      </c>
      <c r="C1933" s="18" t="s">
        <v>1785</v>
      </c>
      <c r="D1933" s="16" t="s">
        <v>1953</v>
      </c>
      <c r="E1933" s="16" t="s">
        <v>5471</v>
      </c>
      <c r="F1933" s="16" t="s">
        <v>6898</v>
      </c>
      <c r="G1933" s="16" t="s">
        <v>6781</v>
      </c>
      <c r="H1933" s="20" t="s">
        <v>229</v>
      </c>
      <c r="I1933" s="21" t="s">
        <v>70</v>
      </c>
      <c r="J1933" s="22" t="s">
        <v>6842</v>
      </c>
      <c r="K1933" s="23">
        <v>68.0</v>
      </c>
      <c r="L1933" s="24">
        <v>30.0</v>
      </c>
      <c r="M1933" s="24" t="str">
        <f>IFERROR(VLOOKUP(D1933,'Chủ đề bài nguồn'!$A$2:$C$735,3,0),"Khác")</f>
        <v>Hộ kinh doanh &amp; bán hàng</v>
      </c>
      <c r="N1933" s="24"/>
    </row>
    <row r="1934">
      <c r="A1934" s="15">
        <v>1932.0</v>
      </c>
      <c r="B1934" s="16" t="s">
        <v>374</v>
      </c>
      <c r="C1934" s="18" t="s">
        <v>1785</v>
      </c>
      <c r="D1934" s="16" t="s">
        <v>3071</v>
      </c>
      <c r="E1934" s="16" t="s">
        <v>6899</v>
      </c>
      <c r="F1934" s="16" t="s">
        <v>6900</v>
      </c>
      <c r="G1934" s="16" t="s">
        <v>6781</v>
      </c>
      <c r="H1934" s="20" t="s">
        <v>229</v>
      </c>
      <c r="I1934" s="21" t="s">
        <v>70</v>
      </c>
      <c r="J1934" s="22" t="s">
        <v>6872</v>
      </c>
      <c r="K1934" s="23">
        <v>68.0</v>
      </c>
      <c r="L1934" s="24">
        <v>30.0</v>
      </c>
      <c r="M1934" s="24" t="str">
        <f>IFERROR(VLOOKUP(D1934,'Chủ đề bài nguồn'!$A$2:$C$735,3,0),"Khác")</f>
        <v>Nợ xấu &amp; CIC</v>
      </c>
      <c r="N1934" s="24"/>
    </row>
    <row r="1935">
      <c r="A1935" s="15">
        <v>1933.0</v>
      </c>
      <c r="B1935" s="16" t="s">
        <v>374</v>
      </c>
      <c r="C1935" s="18" t="s">
        <v>1785</v>
      </c>
      <c r="D1935" s="16" t="s">
        <v>2871</v>
      </c>
      <c r="E1935" s="16" t="s">
        <v>5774</v>
      </c>
      <c r="F1935" s="16" t="s">
        <v>6901</v>
      </c>
      <c r="G1935" s="16" t="s">
        <v>6781</v>
      </c>
      <c r="H1935" s="20" t="s">
        <v>229</v>
      </c>
      <c r="I1935" s="21" t="s">
        <v>70</v>
      </c>
      <c r="J1935" s="22" t="s">
        <v>6902</v>
      </c>
      <c r="K1935" s="23">
        <v>68.0</v>
      </c>
      <c r="L1935" s="24">
        <v>30.0</v>
      </c>
      <c r="M1935" s="24" t="str">
        <f>IFERROR(VLOOKUP(D1935,'Chủ đề bài nguồn'!$A$2:$C$735,3,0),"Khác")</f>
        <v>Tiết kiệm &amp; lãi suất tiền gửi</v>
      </c>
      <c r="N1935" s="24"/>
    </row>
    <row r="1936">
      <c r="A1936" s="15">
        <v>1934.0</v>
      </c>
      <c r="B1936" s="16" t="s">
        <v>374</v>
      </c>
      <c r="C1936" s="18" t="s">
        <v>1785</v>
      </c>
      <c r="D1936" s="16" t="s">
        <v>195</v>
      </c>
      <c r="E1936" s="16" t="s">
        <v>196</v>
      </c>
      <c r="F1936" s="16" t="s">
        <v>6903</v>
      </c>
      <c r="G1936" s="16" t="s">
        <v>6781</v>
      </c>
      <c r="H1936" s="20" t="s">
        <v>229</v>
      </c>
      <c r="I1936" s="21" t="s">
        <v>70</v>
      </c>
      <c r="J1936" s="22" t="s">
        <v>6904</v>
      </c>
      <c r="K1936" s="23">
        <v>68.0</v>
      </c>
      <c r="L1936" s="24">
        <v>30.0</v>
      </c>
      <c r="M1936" s="24" t="str">
        <f>IFERROR(VLOOKUP(D1936,'Chủ đề bài nguồn'!$A$2:$C$735,3,0),"Khác")</f>
        <v>Vay thế chấp &amp; mua nhà/xe</v>
      </c>
      <c r="N1936" s="24"/>
    </row>
    <row r="1937">
      <c r="A1937" s="15">
        <v>1935.0</v>
      </c>
      <c r="B1937" s="16" t="s">
        <v>374</v>
      </c>
      <c r="C1937" s="18" t="s">
        <v>1785</v>
      </c>
      <c r="D1937" s="16" t="s">
        <v>682</v>
      </c>
      <c r="E1937" s="16" t="s">
        <v>3886</v>
      </c>
      <c r="F1937" s="16" t="s">
        <v>6905</v>
      </c>
      <c r="G1937" s="16" t="s">
        <v>6781</v>
      </c>
      <c r="H1937" s="20" t="s">
        <v>229</v>
      </c>
      <c r="I1937" s="21" t="s">
        <v>70</v>
      </c>
      <c r="J1937" s="22" t="s">
        <v>6872</v>
      </c>
      <c r="K1937" s="23">
        <v>68.0</v>
      </c>
      <c r="L1937" s="24">
        <v>30.0</v>
      </c>
      <c r="M1937" s="24" t="str">
        <f>IFERROR(VLOOKUP(D1937,'Chủ đề bài nguồn'!$A$2:$C$735,3,0),"Khác")</f>
        <v>Thẻ tín dụng</v>
      </c>
      <c r="N1937" s="24"/>
    </row>
    <row r="1938">
      <c r="A1938" s="15">
        <v>1936.0</v>
      </c>
      <c r="B1938" s="16" t="s">
        <v>374</v>
      </c>
      <c r="C1938" s="18" t="s">
        <v>1785</v>
      </c>
      <c r="D1938" s="16" t="s">
        <v>2352</v>
      </c>
      <c r="E1938" s="16" t="s">
        <v>6906</v>
      </c>
      <c r="F1938" s="16" t="s">
        <v>6907</v>
      </c>
      <c r="G1938" s="16" t="s">
        <v>6781</v>
      </c>
      <c r="H1938" s="20" t="s">
        <v>229</v>
      </c>
      <c r="I1938" s="21" t="s">
        <v>70</v>
      </c>
      <c r="J1938" s="22" t="s">
        <v>6848</v>
      </c>
      <c r="K1938" s="23">
        <v>68.0</v>
      </c>
      <c r="L1938" s="24">
        <v>30.0</v>
      </c>
      <c r="M1938" s="24" t="str">
        <f>IFERROR(VLOOKUP(D1938,'Chủ đề bài nguồn'!$A$2:$C$735,3,0),"Khác")</f>
        <v>Thẻ tín dụng</v>
      </c>
      <c r="N1938" s="24"/>
    </row>
    <row r="1939">
      <c r="A1939" s="15">
        <v>1937.0</v>
      </c>
      <c r="B1939" s="16" t="s">
        <v>374</v>
      </c>
      <c r="C1939" s="18" t="s">
        <v>1785</v>
      </c>
      <c r="D1939" s="16" t="s">
        <v>2973</v>
      </c>
      <c r="E1939" s="16" t="s">
        <v>4168</v>
      </c>
      <c r="F1939" s="16" t="s">
        <v>6908</v>
      </c>
      <c r="G1939" s="16" t="s">
        <v>6781</v>
      </c>
      <c r="H1939" s="20" t="s">
        <v>229</v>
      </c>
      <c r="I1939" s="21" t="s">
        <v>70</v>
      </c>
      <c r="J1939" s="22" t="s">
        <v>6909</v>
      </c>
      <c r="K1939" s="23">
        <v>68.0</v>
      </c>
      <c r="L1939" s="24">
        <v>30.0</v>
      </c>
      <c r="M1939" s="24" t="str">
        <f>IFERROR(VLOOKUP(D1939,'Chủ đề bài nguồn'!$A$2:$C$735,3,0),"Khác")</f>
        <v>Nợ xấu &amp; CIC</v>
      </c>
      <c r="N1939" s="24"/>
    </row>
    <row r="1940">
      <c r="A1940" s="15">
        <v>1938.0</v>
      </c>
      <c r="B1940" s="16" t="s">
        <v>374</v>
      </c>
      <c r="C1940" s="18" t="s">
        <v>1785</v>
      </c>
      <c r="D1940" s="16" t="s">
        <v>2939</v>
      </c>
      <c r="E1940" s="16" t="s">
        <v>6910</v>
      </c>
      <c r="F1940" s="16" t="s">
        <v>6911</v>
      </c>
      <c r="G1940" s="16" t="s">
        <v>6781</v>
      </c>
      <c r="H1940" s="20" t="s">
        <v>229</v>
      </c>
      <c r="I1940" s="21" t="s">
        <v>70</v>
      </c>
      <c r="J1940" s="22" t="s">
        <v>6912</v>
      </c>
      <c r="K1940" s="23">
        <v>68.0</v>
      </c>
      <c r="L1940" s="24">
        <v>30.0</v>
      </c>
      <c r="M1940" s="24" t="str">
        <f>IFERROR(VLOOKUP(D1940,'Chủ đề bài nguồn'!$A$2:$C$735,3,0),"Khác")</f>
        <v>Tiết kiệm &amp; lãi suất tiền gửi</v>
      </c>
      <c r="N1940" s="24"/>
    </row>
    <row r="1941">
      <c r="A1941" s="15">
        <v>1939.0</v>
      </c>
      <c r="B1941" s="16" t="s">
        <v>374</v>
      </c>
      <c r="C1941" s="18" t="s">
        <v>1785</v>
      </c>
      <c r="D1941" s="16" t="s">
        <v>3019</v>
      </c>
      <c r="E1941" s="16" t="s">
        <v>3793</v>
      </c>
      <c r="F1941" s="16" t="s">
        <v>6913</v>
      </c>
      <c r="G1941" s="16" t="s">
        <v>6781</v>
      </c>
      <c r="H1941" s="20" t="s">
        <v>229</v>
      </c>
      <c r="I1941" s="21" t="s">
        <v>70</v>
      </c>
      <c r="J1941" s="22" t="s">
        <v>6914</v>
      </c>
      <c r="K1941" s="23">
        <v>68.0</v>
      </c>
      <c r="L1941" s="24">
        <v>30.0</v>
      </c>
      <c r="M1941" s="24" t="str">
        <f>IFERROR(VLOOKUP(D1941,'Chủ đề bài nguồn'!$A$2:$C$735,3,0),"Khác")</f>
        <v>Thẻ tín dụng</v>
      </c>
      <c r="N1941" s="24"/>
    </row>
    <row r="1942">
      <c r="A1942" s="15">
        <v>1940.0</v>
      </c>
      <c r="B1942" s="16" t="s">
        <v>374</v>
      </c>
      <c r="C1942" s="18" t="s">
        <v>1785</v>
      </c>
      <c r="D1942" s="16" t="s">
        <v>3065</v>
      </c>
      <c r="E1942" s="16" t="s">
        <v>6892</v>
      </c>
      <c r="F1942" s="16" t="s">
        <v>6915</v>
      </c>
      <c r="G1942" s="16" t="s">
        <v>6781</v>
      </c>
      <c r="H1942" s="20" t="s">
        <v>229</v>
      </c>
      <c r="I1942" s="21" t="s">
        <v>70</v>
      </c>
      <c r="J1942" s="22" t="s">
        <v>6875</v>
      </c>
      <c r="K1942" s="23">
        <v>68.0</v>
      </c>
      <c r="L1942" s="24">
        <v>30.0</v>
      </c>
      <c r="M1942" s="24" t="str">
        <f>IFERROR(VLOOKUP(D1942,'Chủ đề bài nguồn'!$A$2:$C$735,3,0),"Khác")</f>
        <v>Nợ xấu &amp; CIC</v>
      </c>
      <c r="N1942" s="24"/>
    </row>
    <row r="1943">
      <c r="A1943" s="15">
        <v>1941.0</v>
      </c>
      <c r="B1943" s="16" t="s">
        <v>374</v>
      </c>
      <c r="C1943" s="18" t="s">
        <v>1785</v>
      </c>
      <c r="D1943" s="16" t="s">
        <v>3227</v>
      </c>
      <c r="E1943" s="16" t="s">
        <v>6916</v>
      </c>
      <c r="F1943" s="16" t="s">
        <v>6917</v>
      </c>
      <c r="G1943" s="16" t="s">
        <v>6781</v>
      </c>
      <c r="H1943" s="20" t="s">
        <v>229</v>
      </c>
      <c r="I1943" s="21" t="s">
        <v>70</v>
      </c>
      <c r="J1943" s="22" t="s">
        <v>6918</v>
      </c>
      <c r="K1943" s="23">
        <v>68.0</v>
      </c>
      <c r="L1943" s="24">
        <v>30.0</v>
      </c>
      <c r="M1943" s="24" t="str">
        <f>IFERROR(VLOOKUP(D1943,'Chủ đề bài nguồn'!$A$2:$C$735,3,0),"Khác")</f>
        <v>Tiết kiệm &amp; lãi suất tiền gửi</v>
      </c>
      <c r="N1943" s="24"/>
    </row>
    <row r="1944">
      <c r="A1944" s="15">
        <v>1942.0</v>
      </c>
      <c r="B1944" s="16" t="s">
        <v>374</v>
      </c>
      <c r="C1944" s="18" t="s">
        <v>1785</v>
      </c>
      <c r="D1944" s="16" t="s">
        <v>3066</v>
      </c>
      <c r="E1944" s="16" t="s">
        <v>5833</v>
      </c>
      <c r="F1944" s="16" t="s">
        <v>6919</v>
      </c>
      <c r="G1944" s="16" t="s">
        <v>6781</v>
      </c>
      <c r="H1944" s="20" t="s">
        <v>229</v>
      </c>
      <c r="I1944" s="21" t="s">
        <v>70</v>
      </c>
      <c r="J1944" s="22" t="s">
        <v>6872</v>
      </c>
      <c r="K1944" s="23">
        <v>68.0</v>
      </c>
      <c r="L1944" s="24">
        <v>30.0</v>
      </c>
      <c r="M1944" s="24" t="str">
        <f>IFERROR(VLOOKUP(D1944,'Chủ đề bài nguồn'!$A$2:$C$735,3,0),"Khác")</f>
        <v>Nợ xấu &amp; CIC</v>
      </c>
      <c r="N1944" s="24"/>
    </row>
    <row r="1945">
      <c r="A1945" s="15">
        <v>1943.0</v>
      </c>
      <c r="B1945" s="16" t="s">
        <v>374</v>
      </c>
      <c r="C1945" s="18" t="s">
        <v>1785</v>
      </c>
      <c r="D1945" s="16" t="s">
        <v>3064</v>
      </c>
      <c r="E1945" s="16" t="s">
        <v>6920</v>
      </c>
      <c r="F1945" s="16" t="s">
        <v>6921</v>
      </c>
      <c r="G1945" s="16" t="s">
        <v>6781</v>
      </c>
      <c r="H1945" s="20" t="s">
        <v>229</v>
      </c>
      <c r="I1945" s="21" t="s">
        <v>70</v>
      </c>
      <c r="J1945" s="22" t="s">
        <v>6848</v>
      </c>
      <c r="K1945" s="23">
        <v>68.0</v>
      </c>
      <c r="L1945" s="24">
        <v>30.0</v>
      </c>
      <c r="M1945" s="24" t="str">
        <f>IFERROR(VLOOKUP(D1945,'Chủ đề bài nguồn'!$A$2:$C$735,3,0),"Khác")</f>
        <v>Thẻ tín dụng</v>
      </c>
      <c r="N1945" s="24"/>
    </row>
    <row r="1946">
      <c r="A1946" s="15">
        <v>1944.0</v>
      </c>
      <c r="B1946" s="16" t="s">
        <v>374</v>
      </c>
      <c r="C1946" s="18" t="s">
        <v>1785</v>
      </c>
      <c r="D1946" s="16" t="s">
        <v>3163</v>
      </c>
      <c r="E1946" s="16" t="s">
        <v>6922</v>
      </c>
      <c r="F1946" s="16" t="s">
        <v>6923</v>
      </c>
      <c r="G1946" s="16" t="s">
        <v>6781</v>
      </c>
      <c r="H1946" s="20" t="s">
        <v>229</v>
      </c>
      <c r="I1946" s="21" t="s">
        <v>70</v>
      </c>
      <c r="J1946" s="22" t="s">
        <v>6845</v>
      </c>
      <c r="K1946" s="23">
        <v>68.0</v>
      </c>
      <c r="L1946" s="24">
        <v>30.0</v>
      </c>
      <c r="M1946" s="24" t="str">
        <f>IFERROR(VLOOKUP(D1946,'Chủ đề bài nguồn'!$A$2:$C$735,3,0),"Khác")</f>
        <v>Thẻ tín dụng</v>
      </c>
      <c r="N1946" s="24"/>
    </row>
    <row r="1947">
      <c r="A1947" s="15">
        <v>1945.0</v>
      </c>
      <c r="B1947" s="16" t="s">
        <v>374</v>
      </c>
      <c r="C1947" s="18" t="s">
        <v>1783</v>
      </c>
      <c r="D1947" s="16" t="s">
        <v>3300</v>
      </c>
      <c r="E1947" s="16" t="s">
        <v>6924</v>
      </c>
      <c r="F1947" s="16" t="s">
        <v>6925</v>
      </c>
      <c r="G1947" s="16" t="s">
        <v>6774</v>
      </c>
      <c r="H1947" s="20" t="s">
        <v>229</v>
      </c>
      <c r="I1947" s="21" t="s">
        <v>70</v>
      </c>
      <c r="J1947" s="22" t="s">
        <v>6926</v>
      </c>
      <c r="K1947" s="23">
        <v>68.0</v>
      </c>
      <c r="L1947" s="24">
        <v>30.0</v>
      </c>
      <c r="M1947" s="24" t="str">
        <f>IFERROR(VLOOKUP(D1947,'Chủ đề bài nguồn'!$A$2:$C$735,3,0),"Khác")</f>
        <v>Hộ kinh doanh &amp; bán hàng</v>
      </c>
      <c r="N1947" s="24"/>
    </row>
    <row r="1948">
      <c r="A1948" s="15">
        <v>1946.0</v>
      </c>
      <c r="B1948" s="16" t="s">
        <v>374</v>
      </c>
      <c r="C1948" s="18" t="s">
        <v>1783</v>
      </c>
      <c r="D1948" s="16" t="s">
        <v>3217</v>
      </c>
      <c r="E1948" s="16" t="s">
        <v>6927</v>
      </c>
      <c r="F1948" s="16" t="s">
        <v>6928</v>
      </c>
      <c r="G1948" s="16" t="s">
        <v>6774</v>
      </c>
      <c r="H1948" s="20" t="s">
        <v>229</v>
      </c>
      <c r="I1948" s="21" t="s">
        <v>70</v>
      </c>
      <c r="J1948" s="22" t="s">
        <v>6929</v>
      </c>
      <c r="K1948" s="23">
        <v>68.0</v>
      </c>
      <c r="L1948" s="24">
        <v>30.0</v>
      </c>
      <c r="M1948" s="24" t="str">
        <f>IFERROR(VLOOKUP(D1948,'Chủ đề bài nguồn'!$A$2:$C$735,3,0),"Khác")</f>
        <v>Vay thế chấp &amp; mua nhà/xe</v>
      </c>
      <c r="N1948" s="24"/>
    </row>
    <row r="1949">
      <c r="A1949" s="15">
        <v>1947.0</v>
      </c>
      <c r="B1949" s="16" t="s">
        <v>374</v>
      </c>
      <c r="C1949" s="18" t="s">
        <v>1789</v>
      </c>
      <c r="D1949" s="16" t="s">
        <v>3327</v>
      </c>
      <c r="E1949" s="16" t="s">
        <v>710</v>
      </c>
      <c r="F1949" s="16" t="s">
        <v>6930</v>
      </c>
      <c r="G1949" s="16" t="s">
        <v>6776</v>
      </c>
      <c r="H1949" s="20" t="s">
        <v>229</v>
      </c>
      <c r="I1949" s="21" t="s">
        <v>70</v>
      </c>
      <c r="J1949" s="22" t="s">
        <v>6931</v>
      </c>
      <c r="K1949" s="23">
        <v>68.0</v>
      </c>
      <c r="L1949" s="24">
        <v>30.0</v>
      </c>
      <c r="M1949" s="24" t="str">
        <f>IFERROR(VLOOKUP(D1949,'Chủ đề bài nguồn'!$A$2:$C$735,3,0),"Khác")</f>
        <v>Vay tiêu dùng &amp; tín chấp</v>
      </c>
      <c r="N1949" s="24"/>
    </row>
    <row r="1950">
      <c r="A1950" s="15">
        <v>1948.0</v>
      </c>
      <c r="B1950" s="16" t="s">
        <v>374</v>
      </c>
      <c r="C1950" s="18" t="s">
        <v>1789</v>
      </c>
      <c r="D1950" s="16" t="s">
        <v>624</v>
      </c>
      <c r="E1950" s="16" t="s">
        <v>6562</v>
      </c>
      <c r="F1950" s="16" t="s">
        <v>6932</v>
      </c>
      <c r="G1950" s="16" t="s">
        <v>6776</v>
      </c>
      <c r="H1950" s="20" t="s">
        <v>229</v>
      </c>
      <c r="I1950" s="21" t="s">
        <v>70</v>
      </c>
      <c r="J1950" s="22" t="s">
        <v>6933</v>
      </c>
      <c r="K1950" s="23">
        <v>68.0</v>
      </c>
      <c r="L1950" s="24">
        <v>30.0</v>
      </c>
      <c r="M1950" s="24" t="str">
        <f>IFERROR(VLOOKUP(D1950,'Chủ đề bài nguồn'!$A$2:$C$735,3,0),"Khác")</f>
        <v>Vay tiêu dùng &amp; tín chấp</v>
      </c>
      <c r="N1950" s="24"/>
    </row>
    <row r="1951">
      <c r="A1951" s="15">
        <v>1949.0</v>
      </c>
      <c r="B1951" s="16" t="s">
        <v>374</v>
      </c>
      <c r="C1951" s="18" t="s">
        <v>1789</v>
      </c>
      <c r="D1951" s="16" t="s">
        <v>2810</v>
      </c>
      <c r="E1951" s="16" t="s">
        <v>710</v>
      </c>
      <c r="F1951" s="16" t="s">
        <v>6934</v>
      </c>
      <c r="G1951" s="16" t="s">
        <v>6776</v>
      </c>
      <c r="H1951" s="20" t="s">
        <v>229</v>
      </c>
      <c r="I1951" s="21" t="s">
        <v>70</v>
      </c>
      <c r="J1951" s="22" t="s">
        <v>6935</v>
      </c>
      <c r="K1951" s="23">
        <v>68.0</v>
      </c>
      <c r="L1951" s="24">
        <v>30.0</v>
      </c>
      <c r="M1951" s="24" t="str">
        <f>IFERROR(VLOOKUP(D1951,'Chủ đề bài nguồn'!$A$2:$C$735,3,0),"Khác")</f>
        <v>Vay tiêu dùng &amp; tín chấp</v>
      </c>
      <c r="N1951" s="24"/>
    </row>
    <row r="1952">
      <c r="A1952" s="15">
        <v>1950.0</v>
      </c>
      <c r="B1952" s="16" t="s">
        <v>374</v>
      </c>
      <c r="C1952" s="18" t="s">
        <v>1789</v>
      </c>
      <c r="D1952" s="16" t="s">
        <v>3098</v>
      </c>
      <c r="E1952" s="16" t="s">
        <v>710</v>
      </c>
      <c r="F1952" s="16" t="s">
        <v>6936</v>
      </c>
      <c r="G1952" s="16" t="s">
        <v>6776</v>
      </c>
      <c r="H1952" s="20" t="s">
        <v>229</v>
      </c>
      <c r="I1952" s="21" t="s">
        <v>70</v>
      </c>
      <c r="J1952" s="22" t="s">
        <v>6937</v>
      </c>
      <c r="K1952" s="23">
        <v>68.0</v>
      </c>
      <c r="L1952" s="24">
        <v>30.0</v>
      </c>
      <c r="M1952" s="24" t="str">
        <f>IFERROR(VLOOKUP(D1952,'Chủ đề bài nguồn'!$A$2:$C$735,3,0),"Khác")</f>
        <v>Vay tiêu dùng &amp; tín chấp</v>
      </c>
      <c r="N1952" s="24"/>
    </row>
    <row r="1953">
      <c r="A1953" s="15">
        <v>1951.0</v>
      </c>
      <c r="B1953" s="16" t="s">
        <v>374</v>
      </c>
      <c r="C1953" s="18" t="s">
        <v>1789</v>
      </c>
      <c r="D1953" s="16" t="s">
        <v>3341</v>
      </c>
      <c r="E1953" s="16" t="s">
        <v>6613</v>
      </c>
      <c r="F1953" s="16" t="s">
        <v>6938</v>
      </c>
      <c r="G1953" s="16" t="s">
        <v>6776</v>
      </c>
      <c r="H1953" s="20" t="s">
        <v>229</v>
      </c>
      <c r="I1953" s="21" t="s">
        <v>70</v>
      </c>
      <c r="J1953" s="22" t="s">
        <v>6939</v>
      </c>
      <c r="K1953" s="23">
        <v>68.0</v>
      </c>
      <c r="L1953" s="24">
        <v>30.0</v>
      </c>
      <c r="M1953" s="24" t="str">
        <f>IFERROR(VLOOKUP(D1953,'Chủ đề bài nguồn'!$A$2:$C$735,3,0),"Khác")</f>
        <v>Vay thế chấp &amp; mua nhà/xe</v>
      </c>
      <c r="N1953" s="24"/>
    </row>
    <row r="1954">
      <c r="A1954" s="15">
        <v>1952.0</v>
      </c>
      <c r="B1954" s="16" t="s">
        <v>374</v>
      </c>
      <c r="C1954" s="18" t="s">
        <v>1789</v>
      </c>
      <c r="D1954" s="16" t="s">
        <v>3100</v>
      </c>
      <c r="E1954" s="16" t="s">
        <v>6940</v>
      </c>
      <c r="F1954" s="16" t="s">
        <v>6941</v>
      </c>
      <c r="G1954" s="16" t="s">
        <v>6776</v>
      </c>
      <c r="H1954" s="20" t="s">
        <v>229</v>
      </c>
      <c r="I1954" s="21" t="s">
        <v>70</v>
      </c>
      <c r="J1954" s="22" t="s">
        <v>6883</v>
      </c>
      <c r="K1954" s="23">
        <v>68.0</v>
      </c>
      <c r="L1954" s="24">
        <v>30.0</v>
      </c>
      <c r="M1954" s="24" t="str">
        <f>IFERROR(VLOOKUP(D1954,'Chủ đề bài nguồn'!$A$2:$C$735,3,0),"Khác")</f>
        <v>Vay thế chấp &amp; mua nhà/xe</v>
      </c>
      <c r="N1954" s="24"/>
    </row>
    <row r="1955">
      <c r="A1955" s="15">
        <v>1953.0</v>
      </c>
      <c r="B1955" s="16" t="s">
        <v>374</v>
      </c>
      <c r="C1955" s="18" t="s">
        <v>1789</v>
      </c>
      <c r="D1955" s="16" t="s">
        <v>3298</v>
      </c>
      <c r="E1955" s="16" t="s">
        <v>6942</v>
      </c>
      <c r="F1955" s="16" t="s">
        <v>6943</v>
      </c>
      <c r="G1955" s="16" t="s">
        <v>6776</v>
      </c>
      <c r="H1955" s="20" t="s">
        <v>229</v>
      </c>
      <c r="I1955" s="21" t="s">
        <v>70</v>
      </c>
      <c r="J1955" s="22" t="s">
        <v>6944</v>
      </c>
      <c r="K1955" s="23">
        <v>68.0</v>
      </c>
      <c r="L1955" s="24">
        <v>30.0</v>
      </c>
      <c r="M1955" s="24" t="str">
        <f>IFERROR(VLOOKUP(D1955,'Chủ đề bài nguồn'!$A$2:$C$735,3,0),"Khác")</f>
        <v>Vay tiêu dùng &amp; tín chấp</v>
      </c>
      <c r="N1955" s="24"/>
    </row>
    <row r="1956">
      <c r="A1956" s="15">
        <v>1954.0</v>
      </c>
      <c r="B1956" s="16" t="s">
        <v>374</v>
      </c>
      <c r="C1956" s="18" t="s">
        <v>1789</v>
      </c>
      <c r="D1956" s="16" t="s">
        <v>1534</v>
      </c>
      <c r="E1956" s="16" t="s">
        <v>6945</v>
      </c>
      <c r="F1956" s="16" t="s">
        <v>6946</v>
      </c>
      <c r="G1956" s="16" t="s">
        <v>6776</v>
      </c>
      <c r="H1956" s="20" t="s">
        <v>229</v>
      </c>
      <c r="I1956" s="21" t="s">
        <v>70</v>
      </c>
      <c r="J1956" s="22" t="s">
        <v>6947</v>
      </c>
      <c r="K1956" s="23">
        <v>68.0</v>
      </c>
      <c r="L1956" s="24">
        <v>30.0</v>
      </c>
      <c r="M1956" s="24" t="str">
        <f>IFERROR(VLOOKUP(D1956,'Chủ đề bài nguồn'!$A$2:$C$735,3,0),"Khác")</f>
        <v>Vay tiêu dùng &amp; tín chấp</v>
      </c>
      <c r="N1956" s="24"/>
    </row>
    <row r="1957">
      <c r="A1957" s="15">
        <v>1955.0</v>
      </c>
      <c r="B1957" s="16" t="s">
        <v>374</v>
      </c>
      <c r="C1957" s="18" t="s">
        <v>1789</v>
      </c>
      <c r="D1957" s="16" t="s">
        <v>1949</v>
      </c>
      <c r="E1957" s="16" t="s">
        <v>1950</v>
      </c>
      <c r="F1957" s="16" t="s">
        <v>6948</v>
      </c>
      <c r="G1957" s="16" t="s">
        <v>6776</v>
      </c>
      <c r="H1957" s="20" t="s">
        <v>229</v>
      </c>
      <c r="I1957" s="21" t="s">
        <v>70</v>
      </c>
      <c r="J1957" s="22" t="s">
        <v>6949</v>
      </c>
      <c r="K1957" s="23">
        <v>68.0</v>
      </c>
      <c r="L1957" s="24">
        <v>30.0</v>
      </c>
      <c r="M1957" s="24" t="str">
        <f>IFERROR(VLOOKUP(D1957,'Chủ đề bài nguồn'!$A$2:$C$735,3,0),"Khác")</f>
        <v>Vay tiêu dùng &amp; tín chấp</v>
      </c>
      <c r="N1957" s="24"/>
    </row>
    <row r="1958">
      <c r="A1958" s="15">
        <v>1956.0</v>
      </c>
      <c r="B1958" s="16" t="s">
        <v>374</v>
      </c>
      <c r="C1958" s="18" t="s">
        <v>1789</v>
      </c>
      <c r="D1958" s="16" t="s">
        <v>735</v>
      </c>
      <c r="E1958" s="16" t="s">
        <v>6950</v>
      </c>
      <c r="F1958" s="16" t="s">
        <v>6951</v>
      </c>
      <c r="G1958" s="16" t="s">
        <v>6776</v>
      </c>
      <c r="H1958" s="20" t="s">
        <v>229</v>
      </c>
      <c r="I1958" s="21" t="s">
        <v>70</v>
      </c>
      <c r="J1958" s="22" t="s">
        <v>6939</v>
      </c>
      <c r="K1958" s="23">
        <v>68.0</v>
      </c>
      <c r="L1958" s="24">
        <v>30.0</v>
      </c>
      <c r="M1958" s="24" t="str">
        <f>IFERROR(VLOOKUP(D1958,'Chủ đề bài nguồn'!$A$2:$C$735,3,0),"Khác")</f>
        <v>Vay tiêu dùng &amp; tín chấp</v>
      </c>
      <c r="N1958" s="24"/>
    </row>
    <row r="1959">
      <c r="A1959" s="15">
        <v>1957.0</v>
      </c>
      <c r="B1959" s="16" t="s">
        <v>374</v>
      </c>
      <c r="C1959" s="18" t="s">
        <v>1789</v>
      </c>
      <c r="D1959" s="16" t="s">
        <v>3082</v>
      </c>
      <c r="E1959" s="16" t="s">
        <v>710</v>
      </c>
      <c r="F1959" s="16" t="s">
        <v>6952</v>
      </c>
      <c r="G1959" s="16" t="s">
        <v>6776</v>
      </c>
      <c r="H1959" s="20" t="s">
        <v>229</v>
      </c>
      <c r="I1959" s="21" t="s">
        <v>70</v>
      </c>
      <c r="J1959" s="22" t="s">
        <v>6883</v>
      </c>
      <c r="K1959" s="23">
        <v>68.0</v>
      </c>
      <c r="L1959" s="24">
        <v>30.0</v>
      </c>
      <c r="M1959" s="24" t="str">
        <f>IFERROR(VLOOKUP(D1959,'Chủ đề bài nguồn'!$A$2:$C$735,3,0),"Khác")</f>
        <v>Vay thế chấp &amp; mua nhà/xe</v>
      </c>
      <c r="N1959" s="24"/>
    </row>
    <row r="1960">
      <c r="A1960" s="15">
        <v>1958.0</v>
      </c>
      <c r="B1960" s="16" t="s">
        <v>374</v>
      </c>
      <c r="C1960" s="18" t="s">
        <v>1789</v>
      </c>
      <c r="D1960" s="16" t="s">
        <v>3172</v>
      </c>
      <c r="E1960" s="16" t="s">
        <v>3592</v>
      </c>
      <c r="F1960" s="16" t="s">
        <v>6953</v>
      </c>
      <c r="G1960" s="16" t="s">
        <v>6776</v>
      </c>
      <c r="H1960" s="20" t="s">
        <v>229</v>
      </c>
      <c r="I1960" s="21" t="s">
        <v>70</v>
      </c>
      <c r="J1960" s="22" t="s">
        <v>6954</v>
      </c>
      <c r="K1960" s="23">
        <v>68.0</v>
      </c>
      <c r="L1960" s="24">
        <v>30.0</v>
      </c>
      <c r="M1960" s="24" t="str">
        <f>IFERROR(VLOOKUP(D1960,'Chủ đề bài nguồn'!$A$2:$C$735,3,0),"Khác")</f>
        <v>Vay thế chấp &amp; mua nhà/xe</v>
      </c>
      <c r="N1960" s="24"/>
    </row>
    <row r="1961">
      <c r="A1961" s="15">
        <v>1959.0</v>
      </c>
      <c r="B1961" s="16" t="s">
        <v>374</v>
      </c>
      <c r="C1961" s="18" t="s">
        <v>1789</v>
      </c>
      <c r="D1961" s="16" t="s">
        <v>3317</v>
      </c>
      <c r="E1961" s="16" t="s">
        <v>6955</v>
      </c>
      <c r="F1961" s="16" t="s">
        <v>6956</v>
      </c>
      <c r="G1961" s="16" t="s">
        <v>6776</v>
      </c>
      <c r="H1961" s="20" t="s">
        <v>229</v>
      </c>
      <c r="I1961" s="21" t="s">
        <v>70</v>
      </c>
      <c r="J1961" s="22" t="s">
        <v>6939</v>
      </c>
      <c r="K1961" s="23">
        <v>68.0</v>
      </c>
      <c r="L1961" s="24">
        <v>30.0</v>
      </c>
      <c r="M1961" s="24" t="str">
        <f>IFERROR(VLOOKUP(D1961,'Chủ đề bài nguồn'!$A$2:$C$735,3,0),"Khác")</f>
        <v>Vay thế chấp &amp; mua nhà/xe</v>
      </c>
      <c r="N1961" s="24"/>
    </row>
    <row r="1962">
      <c r="A1962" s="15">
        <v>1960.0</v>
      </c>
      <c r="B1962" s="16" t="s">
        <v>374</v>
      </c>
      <c r="C1962" s="18" t="s">
        <v>1789</v>
      </c>
      <c r="D1962" s="16" t="s">
        <v>93</v>
      </c>
      <c r="E1962" s="16" t="s">
        <v>710</v>
      </c>
      <c r="F1962" s="16" t="s">
        <v>6957</v>
      </c>
      <c r="G1962" s="16" t="s">
        <v>6776</v>
      </c>
      <c r="H1962" s="20" t="s">
        <v>229</v>
      </c>
      <c r="I1962" s="21" t="s">
        <v>70</v>
      </c>
      <c r="J1962" s="22" t="s">
        <v>6958</v>
      </c>
      <c r="K1962" s="23">
        <v>68.0</v>
      </c>
      <c r="L1962" s="24">
        <v>30.0</v>
      </c>
      <c r="M1962" s="24" t="str">
        <f>IFERROR(VLOOKUP(D1962,'Chủ đề bài nguồn'!$A$2:$C$735,3,0),"Khác")</f>
        <v>Nợ xấu &amp; CIC</v>
      </c>
      <c r="N1962" s="24"/>
    </row>
    <row r="1963">
      <c r="A1963" s="15">
        <v>1961.0</v>
      </c>
      <c r="B1963" s="16" t="s">
        <v>374</v>
      </c>
      <c r="C1963" s="18" t="s">
        <v>1789</v>
      </c>
      <c r="D1963" s="16" t="s">
        <v>2816</v>
      </c>
      <c r="E1963" s="16" t="s">
        <v>4133</v>
      </c>
      <c r="F1963" s="16" t="s">
        <v>6959</v>
      </c>
      <c r="G1963" s="16" t="s">
        <v>6776</v>
      </c>
      <c r="H1963" s="20" t="s">
        <v>229</v>
      </c>
      <c r="I1963" s="21" t="s">
        <v>70</v>
      </c>
      <c r="J1963" s="22" t="s">
        <v>6960</v>
      </c>
      <c r="K1963" s="23">
        <v>68.0</v>
      </c>
      <c r="L1963" s="24">
        <v>30.0</v>
      </c>
      <c r="M1963" s="24" t="str">
        <f>IFERROR(VLOOKUP(D1963,'Chủ đề bài nguồn'!$A$2:$C$735,3,0),"Khác")</f>
        <v>Vay tiêu dùng &amp; tín chấp</v>
      </c>
      <c r="N1963" s="24"/>
    </row>
    <row r="1964">
      <c r="A1964" s="15">
        <v>1962.0</v>
      </c>
      <c r="B1964" s="16" t="s">
        <v>374</v>
      </c>
      <c r="C1964" s="18" t="s">
        <v>1798</v>
      </c>
      <c r="D1964" s="16" t="s">
        <v>1276</v>
      </c>
      <c r="E1964" s="16" t="s">
        <v>710</v>
      </c>
      <c r="F1964" s="16" t="s">
        <v>6961</v>
      </c>
      <c r="G1964" s="16" t="s">
        <v>6962</v>
      </c>
      <c r="H1964" s="20" t="s">
        <v>229</v>
      </c>
      <c r="I1964" s="21" t="s">
        <v>70</v>
      </c>
      <c r="J1964" s="22" t="s">
        <v>6963</v>
      </c>
      <c r="K1964" s="23">
        <v>68.0</v>
      </c>
      <c r="L1964" s="24">
        <v>31.0</v>
      </c>
      <c r="M1964" s="24" t="str">
        <f>IFERROR(VLOOKUP(D1964,'Chủ đề bài nguồn'!$A$2:$C$735,3,0),"Khác")</f>
        <v>Tài khoản &amp; ngân hàng số</v>
      </c>
      <c r="N1964" s="24"/>
    </row>
    <row r="1965">
      <c r="A1965" s="15">
        <v>1963.0</v>
      </c>
      <c r="B1965" s="16" t="s">
        <v>374</v>
      </c>
      <c r="C1965" s="18" t="s">
        <v>1809</v>
      </c>
      <c r="D1965" s="16" t="s">
        <v>3288</v>
      </c>
      <c r="E1965" s="16" t="s">
        <v>6964</v>
      </c>
      <c r="F1965" s="16" t="s">
        <v>6965</v>
      </c>
      <c r="G1965" s="16" t="s">
        <v>6966</v>
      </c>
      <c r="H1965" s="20" t="s">
        <v>229</v>
      </c>
      <c r="I1965" s="21" t="s">
        <v>70</v>
      </c>
      <c r="J1965" s="22" t="s">
        <v>71</v>
      </c>
      <c r="K1965" s="23">
        <v>68.0</v>
      </c>
      <c r="L1965" s="24">
        <v>31.0</v>
      </c>
      <c r="M1965" s="24" t="str">
        <f>IFERROR(VLOOKUP(D1965,'Chủ đề bài nguồn'!$A$2:$C$735,3,0),"Khác")</f>
        <v>Vay tiêu dùng &amp; tín chấp</v>
      </c>
      <c r="N1965" s="24"/>
    </row>
    <row r="1966">
      <c r="A1966" s="15">
        <v>1964.0</v>
      </c>
      <c r="B1966" s="16" t="s">
        <v>374</v>
      </c>
      <c r="C1966" s="18" t="s">
        <v>1811</v>
      </c>
      <c r="D1966" s="16" t="s">
        <v>3292</v>
      </c>
      <c r="E1966" s="16" t="s">
        <v>6967</v>
      </c>
      <c r="F1966" s="16" t="s">
        <v>6968</v>
      </c>
      <c r="G1966" s="16" t="s">
        <v>6969</v>
      </c>
      <c r="H1966" s="20" t="s">
        <v>229</v>
      </c>
      <c r="I1966" s="21" t="s">
        <v>70</v>
      </c>
      <c r="J1966" s="22" t="s">
        <v>71</v>
      </c>
      <c r="K1966" s="23">
        <v>68.0</v>
      </c>
      <c r="L1966" s="24">
        <v>31.0</v>
      </c>
      <c r="M1966" s="24" t="str">
        <f>IFERROR(VLOOKUP(D1966,'Chủ đề bài nguồn'!$A$2:$C$735,3,0),"Khác")</f>
        <v>Vay tiêu dùng &amp; tín chấp</v>
      </c>
      <c r="N1966" s="24"/>
    </row>
    <row r="1967">
      <c r="A1967" s="15">
        <v>1965.0</v>
      </c>
      <c r="B1967" s="16" t="s">
        <v>374</v>
      </c>
      <c r="C1967" s="18" t="s">
        <v>1785</v>
      </c>
      <c r="D1967" s="16" t="s">
        <v>1225</v>
      </c>
      <c r="E1967" s="16" t="s">
        <v>710</v>
      </c>
      <c r="F1967" s="16" t="s">
        <v>6970</v>
      </c>
      <c r="G1967" s="16" t="s">
        <v>6971</v>
      </c>
      <c r="H1967" s="20" t="s">
        <v>229</v>
      </c>
      <c r="I1967" s="21" t="s">
        <v>70</v>
      </c>
      <c r="J1967" s="22" t="s">
        <v>6972</v>
      </c>
      <c r="K1967" s="23">
        <v>68.0</v>
      </c>
      <c r="L1967" s="24">
        <v>31.0</v>
      </c>
      <c r="M1967" s="24" t="str">
        <f>IFERROR(VLOOKUP(D1967,'Chủ đề bài nguồn'!$A$2:$C$735,3,0),"Khác")</f>
        <v>Vay tiêu dùng &amp; tín chấp</v>
      </c>
      <c r="N1967" s="24"/>
    </row>
    <row r="1968">
      <c r="A1968" s="15">
        <v>1966.0</v>
      </c>
      <c r="B1968" s="16" t="s">
        <v>374</v>
      </c>
      <c r="C1968" s="18" t="s">
        <v>1785</v>
      </c>
      <c r="D1968" s="16" t="s">
        <v>3120</v>
      </c>
      <c r="E1968" s="16" t="s">
        <v>3449</v>
      </c>
      <c r="F1968" s="16" t="s">
        <v>6973</v>
      </c>
      <c r="G1968" s="16" t="s">
        <v>6974</v>
      </c>
      <c r="H1968" s="20" t="s">
        <v>229</v>
      </c>
      <c r="I1968" s="21" t="s">
        <v>70</v>
      </c>
      <c r="J1968" s="22" t="s">
        <v>71</v>
      </c>
      <c r="K1968" s="23">
        <v>68.0</v>
      </c>
      <c r="L1968" s="24">
        <v>31.0</v>
      </c>
      <c r="M1968" s="24" t="str">
        <f>IFERROR(VLOOKUP(D1968,'Chủ đề bài nguồn'!$A$2:$C$735,3,0),"Khác")</f>
        <v>Vay tiêu dùng &amp; tín chấp</v>
      </c>
      <c r="N1968" s="24"/>
    </row>
    <row r="1969">
      <c r="A1969" s="15">
        <v>1967.0</v>
      </c>
      <c r="B1969" s="16" t="s">
        <v>374</v>
      </c>
      <c r="C1969" s="18" t="s">
        <v>1783</v>
      </c>
      <c r="D1969" s="16" t="s">
        <v>2749</v>
      </c>
      <c r="E1969" s="16" t="s">
        <v>6975</v>
      </c>
      <c r="F1969" s="16" t="s">
        <v>6976</v>
      </c>
      <c r="G1969" s="16" t="s">
        <v>6977</v>
      </c>
      <c r="H1969" s="20" t="s">
        <v>229</v>
      </c>
      <c r="I1969" s="21" t="s">
        <v>70</v>
      </c>
      <c r="J1969" s="22" t="s">
        <v>6978</v>
      </c>
      <c r="K1969" s="23">
        <v>68.0</v>
      </c>
      <c r="L1969" s="24">
        <v>31.0</v>
      </c>
      <c r="M1969" s="24" t="str">
        <f>IFERROR(VLOOKUP(D1969,'Chủ đề bài nguồn'!$A$2:$C$735,3,0),"Khác")</f>
        <v>Hộ kinh doanh &amp; bán hàng</v>
      </c>
      <c r="N1969" s="24"/>
    </row>
    <row r="1970">
      <c r="A1970" s="15">
        <v>1968.0</v>
      </c>
      <c r="B1970" s="16" t="s">
        <v>374</v>
      </c>
      <c r="C1970" s="18" t="s">
        <v>1783</v>
      </c>
      <c r="D1970" s="16" t="s">
        <v>1898</v>
      </c>
      <c r="E1970" s="16" t="s">
        <v>6979</v>
      </c>
      <c r="F1970" s="16" t="s">
        <v>6980</v>
      </c>
      <c r="G1970" s="16" t="s">
        <v>6981</v>
      </c>
      <c r="H1970" s="20" t="s">
        <v>229</v>
      </c>
      <c r="I1970" s="21" t="s">
        <v>70</v>
      </c>
      <c r="J1970" s="22" t="s">
        <v>6982</v>
      </c>
      <c r="K1970" s="23">
        <v>68.0</v>
      </c>
      <c r="L1970" s="24">
        <v>31.0</v>
      </c>
      <c r="M1970" s="24" t="str">
        <f>IFERROR(VLOOKUP(D1970,'Chủ đề bài nguồn'!$A$2:$C$735,3,0),"Khác")</f>
        <v>Vay thế chấp &amp; mua nhà/xe</v>
      </c>
      <c r="N1970" s="24"/>
    </row>
    <row r="1971">
      <c r="A1971" s="15">
        <v>1969.0</v>
      </c>
      <c r="B1971" s="16" t="s">
        <v>374</v>
      </c>
      <c r="C1971" s="18" t="s">
        <v>1783</v>
      </c>
      <c r="D1971" s="16" t="s">
        <v>341</v>
      </c>
      <c r="E1971" s="16" t="s">
        <v>3529</v>
      </c>
      <c r="F1971" s="16" t="s">
        <v>6983</v>
      </c>
      <c r="G1971" s="16" t="s">
        <v>6984</v>
      </c>
      <c r="H1971" s="20" t="s">
        <v>229</v>
      </c>
      <c r="I1971" s="21" t="s">
        <v>70</v>
      </c>
      <c r="J1971" s="22" t="s">
        <v>6852</v>
      </c>
      <c r="K1971" s="23">
        <v>68.0</v>
      </c>
      <c r="L1971" s="24">
        <v>31.0</v>
      </c>
      <c r="M1971" s="24" t="str">
        <f>IFERROR(VLOOKUP(D1971,'Chủ đề bài nguồn'!$A$2:$C$735,3,0),"Khác")</f>
        <v>Doanh nghiệp (tài khoản, vay, tài chính)</v>
      </c>
      <c r="N1971" s="24"/>
    </row>
    <row r="1972">
      <c r="A1972" s="15">
        <v>1970.0</v>
      </c>
      <c r="B1972" s="16" t="s">
        <v>374</v>
      </c>
      <c r="C1972" s="18" t="s">
        <v>1789</v>
      </c>
      <c r="D1972" s="16" t="s">
        <v>2847</v>
      </c>
      <c r="E1972" s="16" t="s">
        <v>6985</v>
      </c>
      <c r="F1972" s="16" t="s">
        <v>6986</v>
      </c>
      <c r="G1972" s="16" t="s">
        <v>6987</v>
      </c>
      <c r="H1972" s="20" t="s">
        <v>229</v>
      </c>
      <c r="I1972" s="21" t="s">
        <v>70</v>
      </c>
      <c r="J1972" s="40" t="s">
        <v>6988</v>
      </c>
      <c r="K1972" s="23">
        <v>68.0</v>
      </c>
      <c r="L1972" s="24">
        <v>31.0</v>
      </c>
      <c r="M1972" s="24" t="str">
        <f>IFERROR(VLOOKUP(D1972,'Chủ đề bài nguồn'!$A$2:$C$735,3,0),"Khác")</f>
        <v>Nợ xấu &amp; CIC</v>
      </c>
      <c r="N1972" s="24"/>
    </row>
    <row r="1973">
      <c r="A1973" s="15">
        <v>1971.0</v>
      </c>
      <c r="B1973" s="16" t="s">
        <v>374</v>
      </c>
      <c r="C1973" s="18" t="s">
        <v>1789</v>
      </c>
      <c r="D1973" s="16" t="s">
        <v>2838</v>
      </c>
      <c r="E1973" s="16" t="s">
        <v>710</v>
      </c>
      <c r="F1973" s="16" t="s">
        <v>6989</v>
      </c>
      <c r="G1973" s="16" t="s">
        <v>6990</v>
      </c>
      <c r="H1973" s="20" t="s">
        <v>229</v>
      </c>
      <c r="I1973" s="21" t="s">
        <v>70</v>
      </c>
      <c r="J1973" s="22" t="s">
        <v>809</v>
      </c>
      <c r="K1973" s="23">
        <v>68.0</v>
      </c>
      <c r="L1973" s="24">
        <v>31.0</v>
      </c>
      <c r="M1973" s="24" t="str">
        <f>IFERROR(VLOOKUP(D1973,'Chủ đề bài nguồn'!$A$2:$C$735,3,0),"Khác")</f>
        <v>Vay thế chấp &amp; mua nhà/xe</v>
      </c>
      <c r="N1973" s="24"/>
    </row>
    <row r="1974">
      <c r="A1974" s="15">
        <v>1972.0</v>
      </c>
      <c r="B1974" s="16" t="s">
        <v>374</v>
      </c>
      <c r="C1974" s="18" t="s">
        <v>1789</v>
      </c>
      <c r="D1974" s="16" t="s">
        <v>2309</v>
      </c>
      <c r="E1974" s="16" t="s">
        <v>6991</v>
      </c>
      <c r="F1974" s="16" t="s">
        <v>6992</v>
      </c>
      <c r="G1974" s="16" t="s">
        <v>6993</v>
      </c>
      <c r="H1974" s="20" t="s">
        <v>229</v>
      </c>
      <c r="I1974" s="21" t="s">
        <v>70</v>
      </c>
      <c r="J1974" s="22" t="s">
        <v>6994</v>
      </c>
      <c r="K1974" s="23">
        <v>68.0</v>
      </c>
      <c r="L1974" s="24">
        <v>31.0</v>
      </c>
      <c r="M1974" s="24" t="str">
        <f>IFERROR(VLOOKUP(D1974,'Chủ đề bài nguồn'!$A$2:$C$735,3,0),"Khác")</f>
        <v>Tiết kiệm &amp; lãi suất tiền gửi</v>
      </c>
      <c r="N1974" s="24"/>
    </row>
    <row r="1975">
      <c r="A1975" s="15">
        <v>1973.0</v>
      </c>
      <c r="B1975" s="16" t="s">
        <v>374</v>
      </c>
      <c r="C1975" s="18" t="s">
        <v>1803</v>
      </c>
      <c r="D1975" s="16" t="s">
        <v>1608</v>
      </c>
      <c r="E1975" s="16" t="s">
        <v>6995</v>
      </c>
      <c r="F1975" s="16" t="s">
        <v>6996</v>
      </c>
      <c r="G1975" s="16" t="s">
        <v>6997</v>
      </c>
      <c r="H1975" s="20" t="s">
        <v>229</v>
      </c>
      <c r="I1975" s="21" t="s">
        <v>70</v>
      </c>
      <c r="J1975" s="22" t="s">
        <v>6998</v>
      </c>
      <c r="K1975" s="23">
        <v>68.0</v>
      </c>
      <c r="L1975" s="24">
        <v>31.0</v>
      </c>
      <c r="M1975" s="24" t="str">
        <f>IFERROR(VLOOKUP(D1975,'Chủ đề bài nguồn'!$A$2:$C$735,3,0),"Khác")</f>
        <v>Vay tiêu dùng &amp; tín chấp</v>
      </c>
      <c r="N1975" s="24"/>
    </row>
    <row r="1976">
      <c r="A1976" s="15">
        <v>1974.0</v>
      </c>
      <c r="B1976" s="16" t="s">
        <v>624</v>
      </c>
      <c r="C1976" s="18" t="s">
        <v>1870</v>
      </c>
      <c r="D1976" s="16" t="s">
        <v>1953</v>
      </c>
      <c r="E1976" s="16" t="s">
        <v>5471</v>
      </c>
      <c r="F1976" s="16" t="s">
        <v>6999</v>
      </c>
      <c r="G1976" s="16" t="s">
        <v>7000</v>
      </c>
      <c r="H1976" s="20" t="s">
        <v>69</v>
      </c>
      <c r="I1976" s="21" t="s">
        <v>70</v>
      </c>
      <c r="J1976" s="22" t="s">
        <v>71</v>
      </c>
      <c r="K1976" s="23">
        <v>69.0</v>
      </c>
      <c r="L1976" s="24">
        <v>11.0</v>
      </c>
      <c r="M1976" s="24" t="str">
        <f>IFERROR(VLOOKUP(D1976,'Chủ đề bài nguồn'!$A$2:$C$735,3,0),"Khác")</f>
        <v>Hộ kinh doanh &amp; bán hàng</v>
      </c>
      <c r="N1976" s="24"/>
    </row>
    <row r="1977">
      <c r="A1977" s="15">
        <v>1975.0</v>
      </c>
      <c r="B1977" s="16" t="s">
        <v>624</v>
      </c>
      <c r="C1977" s="18" t="s">
        <v>1870</v>
      </c>
      <c r="D1977" s="16" t="s">
        <v>3319</v>
      </c>
      <c r="E1977" s="16" t="s">
        <v>6517</v>
      </c>
      <c r="F1977" s="16" t="s">
        <v>7001</v>
      </c>
      <c r="G1977" s="16" t="s">
        <v>7002</v>
      </c>
      <c r="H1977" s="20" t="s">
        <v>69</v>
      </c>
      <c r="I1977" s="21" t="s">
        <v>70</v>
      </c>
      <c r="J1977" s="22" t="s">
        <v>71</v>
      </c>
      <c r="K1977" s="23">
        <v>69.0</v>
      </c>
      <c r="L1977" s="24">
        <v>11.0</v>
      </c>
      <c r="M1977" s="24" t="str">
        <f>IFERROR(VLOOKUP(D1977,'Chủ đề bài nguồn'!$A$2:$C$735,3,0),"Khác")</f>
        <v>Hộ kinh doanh &amp; bán hàng</v>
      </c>
      <c r="N1977" s="24"/>
    </row>
    <row r="1978">
      <c r="A1978" s="15">
        <v>1976.0</v>
      </c>
      <c r="B1978" s="16" t="s">
        <v>624</v>
      </c>
      <c r="C1978" s="18" t="s">
        <v>1870</v>
      </c>
      <c r="D1978" s="16" t="s">
        <v>2799</v>
      </c>
      <c r="E1978" s="16" t="s">
        <v>6451</v>
      </c>
      <c r="F1978" s="16" t="s">
        <v>7003</v>
      </c>
      <c r="G1978" s="16" t="s">
        <v>7004</v>
      </c>
      <c r="H1978" s="20" t="s">
        <v>69</v>
      </c>
      <c r="I1978" s="21" t="s">
        <v>70</v>
      </c>
      <c r="J1978" s="22" t="s">
        <v>71</v>
      </c>
      <c r="K1978" s="23">
        <v>69.0</v>
      </c>
      <c r="L1978" s="24">
        <v>11.0</v>
      </c>
      <c r="M1978" s="24" t="str">
        <f>IFERROR(VLOOKUP(D1978,'Chủ đề bài nguồn'!$A$2:$C$735,3,0),"Khác")</f>
        <v>Vay thế chấp &amp; mua nhà/xe</v>
      </c>
      <c r="N1978" s="24"/>
    </row>
    <row r="1979">
      <c r="A1979" s="15">
        <v>1977.0</v>
      </c>
      <c r="B1979" s="16" t="s">
        <v>624</v>
      </c>
      <c r="C1979" s="18" t="s">
        <v>1865</v>
      </c>
      <c r="D1979" s="16" t="s">
        <v>1056</v>
      </c>
      <c r="E1979" s="16" t="s">
        <v>5451</v>
      </c>
      <c r="F1979" s="16" t="s">
        <v>7005</v>
      </c>
      <c r="G1979" s="16" t="s">
        <v>7006</v>
      </c>
      <c r="H1979" s="20" t="s">
        <v>69</v>
      </c>
      <c r="I1979" s="21" t="s">
        <v>70</v>
      </c>
      <c r="J1979" s="22" t="s">
        <v>71</v>
      </c>
      <c r="K1979" s="23">
        <v>69.0</v>
      </c>
      <c r="L1979" s="24">
        <v>11.0</v>
      </c>
      <c r="M1979" s="24" t="str">
        <f>IFERROR(VLOOKUP(D1979,'Chủ đề bài nguồn'!$A$2:$C$735,3,0),"Khác")</f>
        <v>Vay tiêu dùng &amp; tín chấp</v>
      </c>
      <c r="N1979" s="24"/>
    </row>
    <row r="1980">
      <c r="A1980" s="15">
        <v>1978.0</v>
      </c>
      <c r="B1980" s="16" t="s">
        <v>624</v>
      </c>
      <c r="C1980" s="18" t="s">
        <v>1865</v>
      </c>
      <c r="D1980" s="16" t="s">
        <v>3325</v>
      </c>
      <c r="E1980" s="16" t="s">
        <v>5572</v>
      </c>
      <c r="F1980" s="16" t="s">
        <v>7007</v>
      </c>
      <c r="G1980" s="16" t="s">
        <v>7008</v>
      </c>
      <c r="H1980" s="20" t="s">
        <v>69</v>
      </c>
      <c r="I1980" s="21" t="s">
        <v>70</v>
      </c>
      <c r="J1980" s="22" t="s">
        <v>71</v>
      </c>
      <c r="K1980" s="23">
        <v>69.0</v>
      </c>
      <c r="L1980" s="24">
        <v>11.0</v>
      </c>
      <c r="M1980" s="24" t="str">
        <f>IFERROR(VLOOKUP(D1980,'Chủ đề bài nguồn'!$A$2:$C$735,3,0),"Khác")</f>
        <v>Vay thế chấp &amp; mua nhà/xe</v>
      </c>
      <c r="N1980" s="24"/>
    </row>
    <row r="1981">
      <c r="A1981" s="15">
        <v>1979.0</v>
      </c>
      <c r="B1981" s="16" t="s">
        <v>624</v>
      </c>
      <c r="C1981" s="18" t="s">
        <v>1865</v>
      </c>
      <c r="D1981" s="16" t="s">
        <v>3346</v>
      </c>
      <c r="E1981" s="16" t="s">
        <v>7009</v>
      </c>
      <c r="F1981" s="16" t="s">
        <v>7010</v>
      </c>
      <c r="G1981" s="16" t="s">
        <v>7011</v>
      </c>
      <c r="H1981" s="20" t="s">
        <v>69</v>
      </c>
      <c r="I1981" s="21" t="s">
        <v>70</v>
      </c>
      <c r="J1981" s="22" t="s">
        <v>71</v>
      </c>
      <c r="K1981" s="23">
        <v>69.0</v>
      </c>
      <c r="L1981" s="24">
        <v>11.0</v>
      </c>
      <c r="M1981" s="24" t="str">
        <f>IFERROR(VLOOKUP(D1981,'Chủ đề bài nguồn'!$A$2:$C$735,3,0),"Khác")</f>
        <v>Doanh nghiệp (tài khoản, vay, tài chính)</v>
      </c>
      <c r="N1981" s="24"/>
    </row>
    <row r="1982">
      <c r="A1982" s="15">
        <v>1980.0</v>
      </c>
      <c r="B1982" s="16" t="s">
        <v>624</v>
      </c>
      <c r="C1982" s="18" t="s">
        <v>1865</v>
      </c>
      <c r="D1982" s="16" t="s">
        <v>3315</v>
      </c>
      <c r="E1982" s="16" t="s">
        <v>5792</v>
      </c>
      <c r="F1982" s="16" t="s">
        <v>7012</v>
      </c>
      <c r="G1982" s="16" t="s">
        <v>7013</v>
      </c>
      <c r="H1982" s="20" t="s">
        <v>69</v>
      </c>
      <c r="I1982" s="21" t="s">
        <v>70</v>
      </c>
      <c r="J1982" s="22" t="s">
        <v>71</v>
      </c>
      <c r="K1982" s="23">
        <v>69.0</v>
      </c>
      <c r="L1982" s="24">
        <v>11.0</v>
      </c>
      <c r="M1982" s="24" t="str">
        <f>IFERROR(VLOOKUP(D1982,'Chủ đề bài nguồn'!$A$2:$C$735,3,0),"Khác")</f>
        <v>Vay thế chấp &amp; mua nhà/xe</v>
      </c>
      <c r="N1982" s="24"/>
    </row>
    <row r="1983">
      <c r="A1983" s="15">
        <v>1981.0</v>
      </c>
      <c r="B1983" s="16" t="s">
        <v>624</v>
      </c>
      <c r="C1983" s="18" t="s">
        <v>1865</v>
      </c>
      <c r="D1983" s="16" t="s">
        <v>3330</v>
      </c>
      <c r="E1983" s="16" t="s">
        <v>7014</v>
      </c>
      <c r="F1983" s="16" t="s">
        <v>7015</v>
      </c>
      <c r="G1983" s="16" t="s">
        <v>7016</v>
      </c>
      <c r="H1983" s="20" t="s">
        <v>69</v>
      </c>
      <c r="I1983" s="21" t="s">
        <v>70</v>
      </c>
      <c r="J1983" s="22" t="s">
        <v>71</v>
      </c>
      <c r="K1983" s="23">
        <v>69.0</v>
      </c>
      <c r="L1983" s="24">
        <v>11.0</v>
      </c>
      <c r="M1983" s="24" t="str">
        <f>IFERROR(VLOOKUP(D1983,'Chủ đề bài nguồn'!$A$2:$C$735,3,0),"Khác")</f>
        <v>Doanh nghiệp (tài khoản, vay, tài chính)</v>
      </c>
      <c r="N1983" s="24"/>
    </row>
    <row r="1984">
      <c r="A1984" s="15">
        <v>1982.0</v>
      </c>
      <c r="B1984" s="16" t="s">
        <v>624</v>
      </c>
      <c r="C1984" s="18" t="s">
        <v>1865</v>
      </c>
      <c r="D1984" s="16" t="s">
        <v>3333</v>
      </c>
      <c r="E1984" s="16" t="s">
        <v>7017</v>
      </c>
      <c r="F1984" s="16" t="s">
        <v>7018</v>
      </c>
      <c r="G1984" s="16" t="s">
        <v>7019</v>
      </c>
      <c r="H1984" s="20" t="s">
        <v>69</v>
      </c>
      <c r="I1984" s="21" t="s">
        <v>70</v>
      </c>
      <c r="J1984" s="22" t="s">
        <v>71</v>
      </c>
      <c r="K1984" s="23">
        <v>69.0</v>
      </c>
      <c r="L1984" s="24">
        <v>11.0</v>
      </c>
      <c r="M1984" s="24" t="str">
        <f>IFERROR(VLOOKUP(D1984,'Chủ đề bài nguồn'!$A$2:$C$735,3,0),"Khác")</f>
        <v>Hộ kinh doanh &amp; bán hàng</v>
      </c>
      <c r="N1984" s="24"/>
    </row>
    <row r="1985">
      <c r="A1985" s="15">
        <v>1983.0</v>
      </c>
      <c r="B1985" s="16" t="s">
        <v>624</v>
      </c>
      <c r="C1985" s="18" t="s">
        <v>1867</v>
      </c>
      <c r="D1985" s="16" t="s">
        <v>3293</v>
      </c>
      <c r="E1985" s="16" t="s">
        <v>7020</v>
      </c>
      <c r="F1985" s="16" t="s">
        <v>7021</v>
      </c>
      <c r="G1985" s="16" t="s">
        <v>7022</v>
      </c>
      <c r="H1985" s="20" t="s">
        <v>69</v>
      </c>
      <c r="I1985" s="21" t="s">
        <v>70</v>
      </c>
      <c r="J1985" s="22" t="s">
        <v>602</v>
      </c>
      <c r="K1985" s="23">
        <v>69.0</v>
      </c>
      <c r="L1985" s="24">
        <v>11.0</v>
      </c>
      <c r="M1985" s="24" t="str">
        <f>IFERROR(VLOOKUP(D1985,'Chủ đề bài nguồn'!$A$2:$C$735,3,0),"Khác")</f>
        <v>Doanh nghiệp (tài khoản, vay, tài chính)</v>
      </c>
      <c r="N1985" s="24"/>
    </row>
    <row r="1986">
      <c r="A1986" s="15">
        <v>1984.0</v>
      </c>
      <c r="B1986" s="16" t="s">
        <v>624</v>
      </c>
      <c r="C1986" s="18" t="s">
        <v>1867</v>
      </c>
      <c r="D1986" s="16" t="s">
        <v>3337</v>
      </c>
      <c r="E1986" s="16" t="s">
        <v>7023</v>
      </c>
      <c r="F1986" s="16" t="s">
        <v>7024</v>
      </c>
      <c r="G1986" s="16" t="s">
        <v>7025</v>
      </c>
      <c r="H1986" s="20" t="s">
        <v>69</v>
      </c>
      <c r="I1986" s="21" t="s">
        <v>70</v>
      </c>
      <c r="J1986" s="22" t="s">
        <v>71</v>
      </c>
      <c r="K1986" s="23">
        <v>69.0</v>
      </c>
      <c r="L1986" s="24">
        <v>11.0</v>
      </c>
      <c r="M1986" s="24" t="str">
        <f>IFERROR(VLOOKUP(D1986,'Chủ đề bài nguồn'!$A$2:$C$735,3,0),"Khác")</f>
        <v>Nợ xấu &amp; CIC</v>
      </c>
      <c r="N1986" s="24"/>
    </row>
    <row r="1987">
      <c r="A1987" s="15">
        <v>1985.0</v>
      </c>
      <c r="B1987" s="16" t="s">
        <v>624</v>
      </c>
      <c r="C1987" s="18" t="s">
        <v>1867</v>
      </c>
      <c r="D1987" s="16" t="s">
        <v>1534</v>
      </c>
      <c r="E1987" s="16" t="s">
        <v>5613</v>
      </c>
      <c r="F1987" s="16" t="s">
        <v>7026</v>
      </c>
      <c r="G1987" s="16" t="s">
        <v>7027</v>
      </c>
      <c r="H1987" s="20" t="s">
        <v>69</v>
      </c>
      <c r="I1987" s="21" t="s">
        <v>70</v>
      </c>
      <c r="J1987" s="22" t="s">
        <v>71</v>
      </c>
      <c r="K1987" s="23">
        <v>69.0</v>
      </c>
      <c r="L1987" s="24">
        <v>11.0</v>
      </c>
      <c r="M1987" s="24" t="str">
        <f>IFERROR(VLOOKUP(D1987,'Chủ đề bài nguồn'!$A$2:$C$735,3,0),"Khác")</f>
        <v>Vay tiêu dùng &amp; tín chấp</v>
      </c>
      <c r="N1987" s="24"/>
    </row>
    <row r="1988">
      <c r="A1988" s="15">
        <v>1986.0</v>
      </c>
      <c r="B1988" s="16" t="s">
        <v>624</v>
      </c>
      <c r="C1988" s="18" t="s">
        <v>1872</v>
      </c>
      <c r="D1988" s="16" t="s">
        <v>1504</v>
      </c>
      <c r="E1988" s="16" t="s">
        <v>7028</v>
      </c>
      <c r="F1988" s="16" t="s">
        <v>7029</v>
      </c>
      <c r="G1988" s="16" t="s">
        <v>7030</v>
      </c>
      <c r="H1988" s="20" t="s">
        <v>69</v>
      </c>
      <c r="I1988" s="21" t="s">
        <v>70</v>
      </c>
      <c r="J1988" s="22" t="s">
        <v>71</v>
      </c>
      <c r="K1988" s="23">
        <v>69.0</v>
      </c>
      <c r="L1988" s="24">
        <v>11.0</v>
      </c>
      <c r="M1988" s="24" t="str">
        <f>IFERROR(VLOOKUP(D1988,'Chủ đề bài nguồn'!$A$2:$C$735,3,0),"Khác")</f>
        <v>Vay thế chấp &amp; mua nhà/xe</v>
      </c>
      <c r="N1988" s="24"/>
    </row>
    <row r="1989">
      <c r="A1989" s="15">
        <v>1987.0</v>
      </c>
      <c r="B1989" s="16" t="s">
        <v>624</v>
      </c>
      <c r="C1989" s="18" t="s">
        <v>1865</v>
      </c>
      <c r="D1989" s="16" t="s">
        <v>723</v>
      </c>
      <c r="E1989" s="16" t="s">
        <v>7031</v>
      </c>
      <c r="F1989" s="16" t="s">
        <v>7032</v>
      </c>
      <c r="G1989" s="16" t="s">
        <v>7033</v>
      </c>
      <c r="H1989" s="20" t="s">
        <v>155</v>
      </c>
      <c r="I1989" s="21" t="s">
        <v>70</v>
      </c>
      <c r="J1989" s="22" t="s">
        <v>71</v>
      </c>
      <c r="K1989" s="23">
        <v>69.0</v>
      </c>
      <c r="L1989" s="24">
        <v>20.0</v>
      </c>
      <c r="M1989" s="24" t="str">
        <f>IFERROR(VLOOKUP(D1989,'Chủ đề bài nguồn'!$A$2:$C$735,3,0),"Khác")</f>
        <v>Vay tiêu dùng &amp; tín chấp</v>
      </c>
      <c r="N1989" s="24"/>
    </row>
    <row r="1990">
      <c r="A1990" s="15">
        <v>1988.0</v>
      </c>
      <c r="B1990" s="16" t="s">
        <v>624</v>
      </c>
      <c r="C1990" s="18" t="s">
        <v>1870</v>
      </c>
      <c r="D1990" s="16" t="s">
        <v>2939</v>
      </c>
      <c r="E1990" s="16" t="s">
        <v>7034</v>
      </c>
      <c r="F1990" s="16" t="s">
        <v>7035</v>
      </c>
      <c r="G1990" s="16" t="s">
        <v>7036</v>
      </c>
      <c r="H1990" s="20" t="s">
        <v>155</v>
      </c>
      <c r="I1990" s="21" t="s">
        <v>70</v>
      </c>
      <c r="J1990" s="22" t="s">
        <v>71</v>
      </c>
      <c r="K1990" s="23">
        <v>69.0</v>
      </c>
      <c r="L1990" s="24">
        <v>21.0</v>
      </c>
      <c r="M1990" s="24" t="str">
        <f>IFERROR(VLOOKUP(D1990,'Chủ đề bài nguồn'!$A$2:$C$735,3,0),"Khác")</f>
        <v>Tiết kiệm &amp; lãi suất tiền gửi</v>
      </c>
      <c r="N1990" s="24"/>
    </row>
    <row r="1991">
      <c r="A1991" s="15">
        <v>1989.0</v>
      </c>
      <c r="B1991" s="16" t="s">
        <v>624</v>
      </c>
      <c r="C1991" s="18" t="s">
        <v>1870</v>
      </c>
      <c r="D1991" s="16" t="s">
        <v>2941</v>
      </c>
      <c r="E1991" s="16" t="s">
        <v>7037</v>
      </c>
      <c r="F1991" s="16" t="s">
        <v>7038</v>
      </c>
      <c r="G1991" s="16" t="s">
        <v>7039</v>
      </c>
      <c r="H1991" s="20" t="s">
        <v>155</v>
      </c>
      <c r="I1991" s="21" t="s">
        <v>70</v>
      </c>
      <c r="J1991" s="22" t="s">
        <v>71</v>
      </c>
      <c r="K1991" s="23">
        <v>69.0</v>
      </c>
      <c r="L1991" s="24">
        <v>21.0</v>
      </c>
      <c r="M1991" s="24" t="str">
        <f>IFERROR(VLOOKUP(D1991,'Chủ đề bài nguồn'!$A$2:$C$735,3,0),"Khác")</f>
        <v>Tiết kiệm &amp; lãi suất tiền gửi</v>
      </c>
      <c r="N1991" s="24"/>
    </row>
    <row r="1992">
      <c r="A1992" s="15">
        <v>1990.0</v>
      </c>
      <c r="B1992" s="16" t="s">
        <v>624</v>
      </c>
      <c r="C1992" s="18" t="s">
        <v>1870</v>
      </c>
      <c r="D1992" s="16" t="s">
        <v>3290</v>
      </c>
      <c r="E1992" s="16" t="s">
        <v>5460</v>
      </c>
      <c r="F1992" s="16" t="s">
        <v>7040</v>
      </c>
      <c r="G1992" s="16" t="s">
        <v>7041</v>
      </c>
      <c r="H1992" s="20" t="s">
        <v>155</v>
      </c>
      <c r="I1992" s="21" t="s">
        <v>70</v>
      </c>
      <c r="J1992" s="22" t="s">
        <v>71</v>
      </c>
      <c r="K1992" s="23">
        <v>69.0</v>
      </c>
      <c r="L1992" s="24">
        <v>21.0</v>
      </c>
      <c r="M1992" s="24" t="str">
        <f>IFERROR(VLOOKUP(D1992,'Chủ đề bài nguồn'!$A$2:$C$735,3,0),"Khác")</f>
        <v>Vay tiêu dùng &amp; tín chấp</v>
      </c>
      <c r="N1992" s="24"/>
    </row>
    <row r="1993">
      <c r="A1993" s="15">
        <v>1991.0</v>
      </c>
      <c r="B1993" s="16" t="s">
        <v>624</v>
      </c>
      <c r="C1993" s="18" t="s">
        <v>1870</v>
      </c>
      <c r="D1993" s="16" t="s">
        <v>1923</v>
      </c>
      <c r="E1993" s="16" t="s">
        <v>710</v>
      </c>
      <c r="F1993" s="16" t="s">
        <v>7042</v>
      </c>
      <c r="G1993" s="16" t="s">
        <v>7043</v>
      </c>
      <c r="H1993" s="20" t="s">
        <v>155</v>
      </c>
      <c r="I1993" s="21" t="s">
        <v>70</v>
      </c>
      <c r="J1993" s="22" t="s">
        <v>71</v>
      </c>
      <c r="K1993" s="23">
        <v>69.0</v>
      </c>
      <c r="L1993" s="24">
        <v>21.0</v>
      </c>
      <c r="M1993" s="24" t="str">
        <f>IFERROR(VLOOKUP(D1993,'Chủ đề bài nguồn'!$A$2:$C$735,3,0),"Khác")</f>
        <v>Vay thế chấp &amp; mua nhà/xe</v>
      </c>
      <c r="N1993" s="24"/>
    </row>
    <row r="1994">
      <c r="A1994" s="15">
        <v>1992.0</v>
      </c>
      <c r="B1994" s="16" t="s">
        <v>624</v>
      </c>
      <c r="C1994" s="18" t="s">
        <v>1870</v>
      </c>
      <c r="D1994" s="16" t="s">
        <v>3302</v>
      </c>
      <c r="E1994" s="16" t="s">
        <v>7044</v>
      </c>
      <c r="F1994" s="16" t="s">
        <v>7045</v>
      </c>
      <c r="G1994" s="16" t="s">
        <v>7041</v>
      </c>
      <c r="H1994" s="20" t="s">
        <v>155</v>
      </c>
      <c r="I1994" s="21" t="s">
        <v>70</v>
      </c>
      <c r="J1994" s="22" t="s">
        <v>71</v>
      </c>
      <c r="K1994" s="23">
        <v>69.0</v>
      </c>
      <c r="L1994" s="24">
        <v>21.0</v>
      </c>
      <c r="M1994" s="24" t="str">
        <f>IFERROR(VLOOKUP(D1994,'Chủ đề bài nguồn'!$A$2:$C$735,3,0),"Khác")</f>
        <v>Vay tiêu dùng &amp; tín chấp</v>
      </c>
      <c r="N1994" s="24"/>
    </row>
    <row r="1995">
      <c r="A1995" s="15">
        <v>1993.0</v>
      </c>
      <c r="B1995" s="16" t="s">
        <v>624</v>
      </c>
      <c r="C1995" s="18" t="s">
        <v>1870</v>
      </c>
      <c r="D1995" s="16" t="s">
        <v>2749</v>
      </c>
      <c r="E1995" s="16" t="s">
        <v>6975</v>
      </c>
      <c r="F1995" s="16" t="s">
        <v>7046</v>
      </c>
      <c r="G1995" s="16" t="s">
        <v>7047</v>
      </c>
      <c r="H1995" s="20" t="s">
        <v>155</v>
      </c>
      <c r="I1995" s="21" t="s">
        <v>70</v>
      </c>
      <c r="J1995" s="22" t="s">
        <v>134</v>
      </c>
      <c r="K1995" s="23">
        <v>69.0</v>
      </c>
      <c r="L1995" s="24">
        <v>21.0</v>
      </c>
      <c r="M1995" s="24" t="str">
        <f>IFERROR(VLOOKUP(D1995,'Chủ đề bài nguồn'!$A$2:$C$735,3,0),"Khác")</f>
        <v>Hộ kinh doanh &amp; bán hàng</v>
      </c>
      <c r="N1995" s="24"/>
    </row>
    <row r="1996">
      <c r="A1996" s="15">
        <v>1994.0</v>
      </c>
      <c r="B1996" s="16" t="s">
        <v>624</v>
      </c>
      <c r="C1996" s="18" t="s">
        <v>1870</v>
      </c>
      <c r="D1996" s="16" t="s">
        <v>1949</v>
      </c>
      <c r="E1996" s="16" t="s">
        <v>1950</v>
      </c>
      <c r="F1996" s="16" t="s">
        <v>7048</v>
      </c>
      <c r="G1996" s="16" t="s">
        <v>7049</v>
      </c>
      <c r="H1996" s="20" t="s">
        <v>155</v>
      </c>
      <c r="I1996" s="21" t="s">
        <v>70</v>
      </c>
      <c r="J1996" s="22" t="s">
        <v>71</v>
      </c>
      <c r="K1996" s="23">
        <v>69.0</v>
      </c>
      <c r="L1996" s="24">
        <v>21.0</v>
      </c>
      <c r="M1996" s="24" t="str">
        <f>IFERROR(VLOOKUP(D1996,'Chủ đề bài nguồn'!$A$2:$C$735,3,0),"Khác")</f>
        <v>Vay tiêu dùng &amp; tín chấp</v>
      </c>
      <c r="N1996" s="24"/>
    </row>
    <row r="1997">
      <c r="A1997" s="15">
        <v>1995.0</v>
      </c>
      <c r="B1997" s="16" t="s">
        <v>624</v>
      </c>
      <c r="C1997" s="18" t="s">
        <v>1870</v>
      </c>
      <c r="D1997" s="16" t="s">
        <v>3029</v>
      </c>
      <c r="E1997" s="16" t="s">
        <v>7050</v>
      </c>
      <c r="F1997" s="16" t="s">
        <v>7051</v>
      </c>
      <c r="G1997" s="16" t="s">
        <v>7052</v>
      </c>
      <c r="H1997" s="20" t="s">
        <v>155</v>
      </c>
      <c r="I1997" s="21" t="s">
        <v>70</v>
      </c>
      <c r="J1997" s="22" t="s">
        <v>71</v>
      </c>
      <c r="K1997" s="23">
        <v>69.0</v>
      </c>
      <c r="L1997" s="24">
        <v>21.0</v>
      </c>
      <c r="M1997" s="24" t="str">
        <f>IFERROR(VLOOKUP(D1997,'Chủ đề bài nguồn'!$A$2:$C$735,3,0),"Khác")</f>
        <v>Vay thế chấp &amp; mua nhà/xe</v>
      </c>
      <c r="N1997" s="24"/>
    </row>
    <row r="1998">
      <c r="A1998" s="15">
        <v>1996.0</v>
      </c>
      <c r="B1998" s="16" t="s">
        <v>624</v>
      </c>
      <c r="C1998" s="18" t="s">
        <v>1870</v>
      </c>
      <c r="D1998" s="16" t="s">
        <v>2750</v>
      </c>
      <c r="E1998" s="16" t="s">
        <v>7053</v>
      </c>
      <c r="F1998" s="16" t="s">
        <v>7054</v>
      </c>
      <c r="G1998" s="16" t="s">
        <v>7055</v>
      </c>
      <c r="H1998" s="20" t="s">
        <v>155</v>
      </c>
      <c r="I1998" s="21" t="s">
        <v>70</v>
      </c>
      <c r="J1998" s="22" t="s">
        <v>71</v>
      </c>
      <c r="K1998" s="23">
        <v>69.0</v>
      </c>
      <c r="L1998" s="24">
        <v>21.0</v>
      </c>
      <c r="M1998" s="24" t="str">
        <f>IFERROR(VLOOKUP(D1998,'Chủ đề bài nguồn'!$A$2:$C$735,3,0),"Khác")</f>
        <v>Vay tiêu dùng &amp; tín chấp</v>
      </c>
      <c r="N1998" s="24"/>
    </row>
    <row r="1999">
      <c r="A1999" s="15">
        <v>1997.0</v>
      </c>
      <c r="B1999" s="16" t="s">
        <v>624</v>
      </c>
      <c r="C1999" s="18" t="s">
        <v>1870</v>
      </c>
      <c r="D1999" s="16" t="s">
        <v>2857</v>
      </c>
      <c r="E1999" s="16" t="s">
        <v>5603</v>
      </c>
      <c r="F1999" s="16" t="s">
        <v>7056</v>
      </c>
      <c r="G1999" s="16" t="s">
        <v>7057</v>
      </c>
      <c r="H1999" s="20" t="s">
        <v>155</v>
      </c>
      <c r="I1999" s="21" t="s">
        <v>70</v>
      </c>
      <c r="J1999" s="22" t="s">
        <v>71</v>
      </c>
      <c r="K1999" s="23">
        <v>69.0</v>
      </c>
      <c r="L1999" s="24">
        <v>21.0</v>
      </c>
      <c r="M1999" s="24" t="str">
        <f>IFERROR(VLOOKUP(D1999,'Chủ đề bài nguồn'!$A$2:$C$735,3,0),"Khác")</f>
        <v>Vay thế chấp &amp; mua nhà/xe</v>
      </c>
      <c r="N1999" s="24"/>
    </row>
    <row r="2000">
      <c r="A2000" s="15">
        <v>1998.0</v>
      </c>
      <c r="B2000" s="16" t="s">
        <v>624</v>
      </c>
      <c r="C2000" s="18" t="s">
        <v>1870</v>
      </c>
      <c r="D2000" s="16" t="s">
        <v>3298</v>
      </c>
      <c r="E2000" s="16" t="s">
        <v>7058</v>
      </c>
      <c r="F2000" s="16" t="s">
        <v>7059</v>
      </c>
      <c r="G2000" s="16" t="s">
        <v>7041</v>
      </c>
      <c r="H2000" s="20" t="s">
        <v>155</v>
      </c>
      <c r="I2000" s="21" t="s">
        <v>70</v>
      </c>
      <c r="J2000" s="22" t="s">
        <v>71</v>
      </c>
      <c r="K2000" s="23">
        <v>69.0</v>
      </c>
      <c r="L2000" s="24">
        <v>21.0</v>
      </c>
      <c r="M2000" s="24" t="str">
        <f>IFERROR(VLOOKUP(D2000,'Chủ đề bài nguồn'!$A$2:$C$735,3,0),"Khác")</f>
        <v>Vay tiêu dùng &amp; tín chấp</v>
      </c>
      <c r="N2000" s="24"/>
    </row>
    <row r="2001">
      <c r="A2001" s="15">
        <v>1999.0</v>
      </c>
      <c r="B2001" s="16" t="s">
        <v>624</v>
      </c>
      <c r="C2001" s="18" t="s">
        <v>1870</v>
      </c>
      <c r="D2001" s="16" t="s">
        <v>2929</v>
      </c>
      <c r="E2001" s="16" t="s">
        <v>710</v>
      </c>
      <c r="F2001" s="16" t="s">
        <v>7060</v>
      </c>
      <c r="G2001" s="16" t="s">
        <v>7061</v>
      </c>
      <c r="H2001" s="20" t="s">
        <v>155</v>
      </c>
      <c r="I2001" s="21" t="s">
        <v>70</v>
      </c>
      <c r="J2001" s="22" t="s">
        <v>71</v>
      </c>
      <c r="K2001" s="23">
        <v>69.0</v>
      </c>
      <c r="L2001" s="24">
        <v>21.0</v>
      </c>
      <c r="M2001" s="24" t="str">
        <f>IFERROR(VLOOKUP(D2001,'Chủ đề bài nguồn'!$A$2:$C$735,3,0),"Khác")</f>
        <v>Vay thế chấp &amp; mua nhà/xe</v>
      </c>
      <c r="N2001" s="24"/>
    </row>
    <row r="2002">
      <c r="A2002" s="15">
        <v>2000.0</v>
      </c>
      <c r="B2002" s="16" t="s">
        <v>624</v>
      </c>
      <c r="C2002" s="18" t="s">
        <v>1870</v>
      </c>
      <c r="D2002" s="16" t="s">
        <v>3216</v>
      </c>
      <c r="E2002" s="16" t="s">
        <v>6522</v>
      </c>
      <c r="F2002" s="16" t="s">
        <v>7062</v>
      </c>
      <c r="G2002" s="16" t="s">
        <v>7063</v>
      </c>
      <c r="H2002" s="20" t="s">
        <v>155</v>
      </c>
      <c r="I2002" s="21" t="s">
        <v>70</v>
      </c>
      <c r="J2002" s="22" t="s">
        <v>71</v>
      </c>
      <c r="K2002" s="23">
        <v>69.0</v>
      </c>
      <c r="L2002" s="24">
        <v>21.0</v>
      </c>
      <c r="M2002" s="24" t="str">
        <f>IFERROR(VLOOKUP(D2002,'Chủ đề bài nguồn'!$A$2:$C$735,3,0),"Khác")</f>
        <v>Hộ kinh doanh &amp; bán hàng</v>
      </c>
      <c r="N2002" s="24"/>
    </row>
    <row r="2003">
      <c r="A2003" s="15">
        <v>2001.0</v>
      </c>
      <c r="B2003" s="16" t="s">
        <v>624</v>
      </c>
      <c r="C2003" s="18" t="s">
        <v>1870</v>
      </c>
      <c r="D2003" s="16" t="s">
        <v>3345</v>
      </c>
      <c r="E2003" s="16" t="s">
        <v>5592</v>
      </c>
      <c r="F2003" s="16" t="s">
        <v>7064</v>
      </c>
      <c r="G2003" s="16" t="s">
        <v>7065</v>
      </c>
      <c r="H2003" s="20" t="s">
        <v>155</v>
      </c>
      <c r="I2003" s="21" t="s">
        <v>70</v>
      </c>
      <c r="J2003" s="22" t="s">
        <v>71</v>
      </c>
      <c r="K2003" s="23">
        <v>69.0</v>
      </c>
      <c r="L2003" s="24">
        <v>21.0</v>
      </c>
      <c r="M2003" s="24" t="str">
        <f>IFERROR(VLOOKUP(D2003,'Chủ đề bài nguồn'!$A$2:$C$735,3,0),"Khác")</f>
        <v>Vay thế chấp &amp; mua nhà/xe</v>
      </c>
      <c r="N2003" s="24"/>
    </row>
    <row r="2004">
      <c r="A2004" s="15">
        <v>2002.0</v>
      </c>
      <c r="B2004" s="16" t="s">
        <v>624</v>
      </c>
      <c r="C2004" s="18" t="s">
        <v>1870</v>
      </c>
      <c r="D2004" s="16" t="s">
        <v>3213</v>
      </c>
      <c r="E2004" s="16" t="s">
        <v>6484</v>
      </c>
      <c r="F2004" s="16" t="s">
        <v>7066</v>
      </c>
      <c r="G2004" s="16" t="s">
        <v>7067</v>
      </c>
      <c r="H2004" s="20" t="s">
        <v>155</v>
      </c>
      <c r="I2004" s="21" t="s">
        <v>70</v>
      </c>
      <c r="J2004" s="22" t="s">
        <v>71</v>
      </c>
      <c r="K2004" s="23">
        <v>69.0</v>
      </c>
      <c r="L2004" s="24">
        <v>21.0</v>
      </c>
      <c r="M2004" s="24" t="str">
        <f>IFERROR(VLOOKUP(D2004,'Chủ đề bài nguồn'!$A$2:$C$735,3,0),"Khác")</f>
        <v>Vay thế chấp &amp; mua nhà/xe</v>
      </c>
      <c r="N2004" s="24"/>
    </row>
    <row r="2005">
      <c r="A2005" s="15">
        <v>2003.0</v>
      </c>
      <c r="B2005" s="16" t="s">
        <v>624</v>
      </c>
      <c r="C2005" s="18" t="s">
        <v>1870</v>
      </c>
      <c r="D2005" s="16" t="s">
        <v>3082</v>
      </c>
      <c r="E2005" s="16" t="s">
        <v>5443</v>
      </c>
      <c r="F2005" s="16" t="s">
        <v>7068</v>
      </c>
      <c r="G2005" s="16" t="s">
        <v>7069</v>
      </c>
      <c r="H2005" s="20" t="s">
        <v>155</v>
      </c>
      <c r="I2005" s="21" t="s">
        <v>70</v>
      </c>
      <c r="J2005" s="22" t="s">
        <v>71</v>
      </c>
      <c r="K2005" s="23">
        <v>69.0</v>
      </c>
      <c r="L2005" s="24">
        <v>21.0</v>
      </c>
      <c r="M2005" s="24" t="str">
        <f>IFERROR(VLOOKUP(D2005,'Chủ đề bài nguồn'!$A$2:$C$735,3,0),"Khác")</f>
        <v>Vay thế chấp &amp; mua nhà/xe</v>
      </c>
      <c r="N2005" s="24"/>
    </row>
    <row r="2006">
      <c r="A2006" s="15">
        <v>2004.0</v>
      </c>
      <c r="B2006" s="16" t="s">
        <v>624</v>
      </c>
      <c r="C2006" s="18" t="s">
        <v>1870</v>
      </c>
      <c r="D2006" s="16" t="s">
        <v>3098</v>
      </c>
      <c r="E2006" s="16" t="s">
        <v>7070</v>
      </c>
      <c r="F2006" s="16" t="s">
        <v>7071</v>
      </c>
      <c r="G2006" s="16" t="s">
        <v>7072</v>
      </c>
      <c r="H2006" s="20" t="s">
        <v>155</v>
      </c>
      <c r="I2006" s="21" t="s">
        <v>70</v>
      </c>
      <c r="J2006" s="22" t="s">
        <v>71</v>
      </c>
      <c r="K2006" s="23">
        <v>69.0</v>
      </c>
      <c r="L2006" s="24">
        <v>21.0</v>
      </c>
      <c r="M2006" s="24" t="str">
        <f>IFERROR(VLOOKUP(D2006,'Chủ đề bài nguồn'!$A$2:$C$735,3,0),"Khác")</f>
        <v>Vay tiêu dùng &amp; tín chấp</v>
      </c>
      <c r="N2006" s="24"/>
    </row>
    <row r="2007">
      <c r="A2007" s="15">
        <v>2005.0</v>
      </c>
      <c r="B2007" s="16" t="s">
        <v>624</v>
      </c>
      <c r="C2007" s="18" t="s">
        <v>1870</v>
      </c>
      <c r="D2007" s="16" t="s">
        <v>3291</v>
      </c>
      <c r="E2007" s="16" t="s">
        <v>4987</v>
      </c>
      <c r="F2007" s="16" t="s">
        <v>7073</v>
      </c>
      <c r="G2007" s="16" t="s">
        <v>7041</v>
      </c>
      <c r="H2007" s="20" t="s">
        <v>155</v>
      </c>
      <c r="I2007" s="21" t="s">
        <v>70</v>
      </c>
      <c r="J2007" s="22" t="s">
        <v>71</v>
      </c>
      <c r="K2007" s="23">
        <v>69.0</v>
      </c>
      <c r="L2007" s="24">
        <v>21.0</v>
      </c>
      <c r="M2007" s="24" t="str">
        <f>IFERROR(VLOOKUP(D2007,'Chủ đề bài nguồn'!$A$2:$C$735,3,0),"Khác")</f>
        <v>Vay tiêu dùng &amp; tín chấp</v>
      </c>
      <c r="N2007" s="24"/>
    </row>
    <row r="2008">
      <c r="A2008" s="15">
        <v>2006.0</v>
      </c>
      <c r="B2008" s="16" t="s">
        <v>624</v>
      </c>
      <c r="C2008" s="18" t="s">
        <v>1870</v>
      </c>
      <c r="D2008" s="16" t="s">
        <v>1898</v>
      </c>
      <c r="E2008" s="16" t="s">
        <v>5558</v>
      </c>
      <c r="F2008" s="16" t="s">
        <v>7074</v>
      </c>
      <c r="G2008" s="16" t="s">
        <v>7075</v>
      </c>
      <c r="H2008" s="20" t="s">
        <v>155</v>
      </c>
      <c r="I2008" s="21" t="s">
        <v>70</v>
      </c>
      <c r="J2008" s="22" t="s">
        <v>71</v>
      </c>
      <c r="K2008" s="23">
        <v>69.0</v>
      </c>
      <c r="L2008" s="24">
        <v>21.0</v>
      </c>
      <c r="M2008" s="24" t="str">
        <f>IFERROR(VLOOKUP(D2008,'Chủ đề bài nguồn'!$A$2:$C$735,3,0),"Khác")</f>
        <v>Vay thế chấp &amp; mua nhà/xe</v>
      </c>
      <c r="N2008" s="24"/>
    </row>
    <row r="2009">
      <c r="A2009" s="15">
        <v>2007.0</v>
      </c>
      <c r="B2009" s="16" t="s">
        <v>624</v>
      </c>
      <c r="C2009" s="18" t="s">
        <v>1865</v>
      </c>
      <c r="D2009" s="16" t="s">
        <v>2947</v>
      </c>
      <c r="E2009" s="16" t="s">
        <v>7076</v>
      </c>
      <c r="F2009" s="16" t="s">
        <v>7077</v>
      </c>
      <c r="G2009" s="16" t="s">
        <v>7078</v>
      </c>
      <c r="H2009" s="20" t="s">
        <v>155</v>
      </c>
      <c r="I2009" s="21" t="s">
        <v>70</v>
      </c>
      <c r="J2009" s="22" t="s">
        <v>71</v>
      </c>
      <c r="K2009" s="23">
        <v>69.0</v>
      </c>
      <c r="L2009" s="24">
        <v>21.0</v>
      </c>
      <c r="M2009" s="24" t="str">
        <f>IFERROR(VLOOKUP(D2009,'Chủ đề bài nguồn'!$A$2:$C$735,3,0),"Khác")</f>
        <v>Hộ kinh doanh &amp; bán hàng</v>
      </c>
      <c r="N2009" s="24"/>
    </row>
    <row r="2010">
      <c r="A2010" s="15">
        <v>2008.0</v>
      </c>
      <c r="B2010" s="16" t="s">
        <v>624</v>
      </c>
      <c r="C2010" s="18" t="s">
        <v>1865</v>
      </c>
      <c r="D2010" s="16" t="s">
        <v>2940</v>
      </c>
      <c r="E2010" s="16" t="s">
        <v>7079</v>
      </c>
      <c r="F2010" s="16" t="s">
        <v>7080</v>
      </c>
      <c r="G2010" s="16" t="s">
        <v>7081</v>
      </c>
      <c r="H2010" s="20" t="s">
        <v>155</v>
      </c>
      <c r="I2010" s="21" t="s">
        <v>70</v>
      </c>
      <c r="J2010" s="22" t="s">
        <v>71</v>
      </c>
      <c r="K2010" s="23">
        <v>69.0</v>
      </c>
      <c r="L2010" s="24">
        <v>21.0</v>
      </c>
      <c r="M2010" s="24" t="str">
        <f>IFERROR(VLOOKUP(D2010,'Chủ đề bài nguồn'!$A$2:$C$735,3,0),"Khác")</f>
        <v>Vay tiêu dùng &amp; tín chấp</v>
      </c>
      <c r="N2010" s="24"/>
    </row>
    <row r="2011">
      <c r="A2011" s="15">
        <v>2009.0</v>
      </c>
      <c r="B2011" s="16" t="s">
        <v>624</v>
      </c>
      <c r="C2011" s="18" t="s">
        <v>1865</v>
      </c>
      <c r="D2011" s="16" t="s">
        <v>62</v>
      </c>
      <c r="E2011" s="16" t="s">
        <v>6437</v>
      </c>
      <c r="F2011" s="16" t="s">
        <v>7082</v>
      </c>
      <c r="G2011" s="16" t="s">
        <v>7083</v>
      </c>
      <c r="H2011" s="20" t="s">
        <v>155</v>
      </c>
      <c r="I2011" s="21" t="s">
        <v>70</v>
      </c>
      <c r="J2011" s="22" t="s">
        <v>71</v>
      </c>
      <c r="K2011" s="23">
        <v>69.0</v>
      </c>
      <c r="L2011" s="24">
        <v>21.0</v>
      </c>
      <c r="M2011" s="24" t="str">
        <f>IFERROR(VLOOKUP(D2011,'Chủ đề bài nguồn'!$A$2:$C$735,3,0),"Khác")</f>
        <v>Vay thế chấp &amp; mua nhà/xe</v>
      </c>
      <c r="N2011" s="24"/>
    </row>
    <row r="2012">
      <c r="A2012" s="15">
        <v>2010.0</v>
      </c>
      <c r="B2012" s="16" t="s">
        <v>624</v>
      </c>
      <c r="C2012" s="18" t="s">
        <v>1865</v>
      </c>
      <c r="D2012" s="16" t="s">
        <v>1160</v>
      </c>
      <c r="E2012" s="16" t="s">
        <v>6817</v>
      </c>
      <c r="F2012" s="16" t="s">
        <v>7084</v>
      </c>
      <c r="G2012" s="16" t="s">
        <v>7085</v>
      </c>
      <c r="H2012" s="20" t="s">
        <v>155</v>
      </c>
      <c r="I2012" s="21" t="s">
        <v>70</v>
      </c>
      <c r="J2012" s="22" t="s">
        <v>71</v>
      </c>
      <c r="K2012" s="23">
        <v>69.0</v>
      </c>
      <c r="L2012" s="24">
        <v>21.0</v>
      </c>
      <c r="M2012" s="24" t="str">
        <f>IFERROR(VLOOKUP(D2012,'Chủ đề bài nguồn'!$A$2:$C$735,3,0),"Khác")</f>
        <v>Vay tiêu dùng &amp; tín chấp</v>
      </c>
      <c r="N2012" s="24"/>
    </row>
    <row r="2013">
      <c r="A2013" s="15">
        <v>2011.0</v>
      </c>
      <c r="B2013" s="16" t="s">
        <v>624</v>
      </c>
      <c r="C2013" s="18" t="s">
        <v>1865</v>
      </c>
      <c r="D2013" s="16" t="s">
        <v>3283</v>
      </c>
      <c r="E2013" s="16" t="s">
        <v>7086</v>
      </c>
      <c r="F2013" s="16" t="s">
        <v>7087</v>
      </c>
      <c r="G2013" s="16" t="s">
        <v>7088</v>
      </c>
      <c r="H2013" s="20" t="s">
        <v>155</v>
      </c>
      <c r="I2013" s="21" t="s">
        <v>70</v>
      </c>
      <c r="J2013" s="22" t="s">
        <v>71</v>
      </c>
      <c r="K2013" s="23">
        <v>69.0</v>
      </c>
      <c r="L2013" s="24">
        <v>21.0</v>
      </c>
      <c r="M2013" s="24" t="str">
        <f>IFERROR(VLOOKUP(D2013,'Chủ đề bài nguồn'!$A$2:$C$735,3,0),"Khác")</f>
        <v>Vay tiêu dùng &amp; tín chấp</v>
      </c>
      <c r="N2013" s="24"/>
    </row>
    <row r="2014">
      <c r="A2014" s="15">
        <v>2012.0</v>
      </c>
      <c r="B2014" s="16" t="s">
        <v>624</v>
      </c>
      <c r="C2014" s="18" t="s">
        <v>1865</v>
      </c>
      <c r="D2014" s="16" t="s">
        <v>3327</v>
      </c>
      <c r="E2014" s="16" t="s">
        <v>7089</v>
      </c>
      <c r="F2014" s="16" t="s">
        <v>7090</v>
      </c>
      <c r="G2014" s="16" t="s">
        <v>7091</v>
      </c>
      <c r="H2014" s="20" t="s">
        <v>155</v>
      </c>
      <c r="I2014" s="21" t="s">
        <v>70</v>
      </c>
      <c r="J2014" s="22" t="s">
        <v>71</v>
      </c>
      <c r="K2014" s="23">
        <v>69.0</v>
      </c>
      <c r="L2014" s="24">
        <v>21.0</v>
      </c>
      <c r="M2014" s="24" t="str">
        <f>IFERROR(VLOOKUP(D2014,'Chủ đề bài nguồn'!$A$2:$C$735,3,0),"Khác")</f>
        <v>Vay tiêu dùng &amp; tín chấp</v>
      </c>
      <c r="N2014" s="24"/>
    </row>
    <row r="2015">
      <c r="A2015" s="15">
        <v>2013.0</v>
      </c>
      <c r="B2015" s="16" t="s">
        <v>624</v>
      </c>
      <c r="C2015" s="18" t="s">
        <v>1865</v>
      </c>
      <c r="D2015" s="16" t="s">
        <v>3308</v>
      </c>
      <c r="E2015" s="16" t="s">
        <v>7092</v>
      </c>
      <c r="F2015" s="16" t="s">
        <v>7093</v>
      </c>
      <c r="G2015" s="16" t="s">
        <v>7094</v>
      </c>
      <c r="H2015" s="20" t="s">
        <v>155</v>
      </c>
      <c r="I2015" s="21" t="s">
        <v>70</v>
      </c>
      <c r="J2015" s="22" t="s">
        <v>809</v>
      </c>
      <c r="K2015" s="23">
        <v>69.0</v>
      </c>
      <c r="L2015" s="24">
        <v>21.0</v>
      </c>
      <c r="M2015" s="24" t="str">
        <f>IFERROR(VLOOKUP(D2015,'Chủ đề bài nguồn'!$A$2:$C$735,3,0),"Khác")</f>
        <v>Vay thế chấp &amp; mua nhà/xe</v>
      </c>
      <c r="N2015" s="24"/>
    </row>
    <row r="2016">
      <c r="A2016" s="15">
        <v>2014.0</v>
      </c>
      <c r="B2016" s="16" t="s">
        <v>624</v>
      </c>
      <c r="C2016" s="18" t="s">
        <v>1865</v>
      </c>
      <c r="D2016" s="16" t="s">
        <v>1539</v>
      </c>
      <c r="E2016" s="16" t="s">
        <v>7095</v>
      </c>
      <c r="F2016" s="16" t="s">
        <v>7096</v>
      </c>
      <c r="G2016" s="16" t="s">
        <v>7097</v>
      </c>
      <c r="H2016" s="20" t="s">
        <v>155</v>
      </c>
      <c r="I2016" s="21" t="s">
        <v>70</v>
      </c>
      <c r="J2016" s="22" t="s">
        <v>71</v>
      </c>
      <c r="K2016" s="23">
        <v>69.0</v>
      </c>
      <c r="L2016" s="24">
        <v>21.0</v>
      </c>
      <c r="M2016" s="24" t="str">
        <f>IFERROR(VLOOKUP(D2016,'Chủ đề bài nguồn'!$A$2:$C$735,3,0),"Khác")</f>
        <v>Doanh nghiệp (tài khoản, vay, tài chính)</v>
      </c>
      <c r="N2016" s="24"/>
    </row>
    <row r="2017">
      <c r="A2017" s="15">
        <v>2015.0</v>
      </c>
      <c r="B2017" s="16" t="s">
        <v>624</v>
      </c>
      <c r="C2017" s="18" t="s">
        <v>1865</v>
      </c>
      <c r="D2017" s="16" t="s">
        <v>2944</v>
      </c>
      <c r="E2017" s="16" t="s">
        <v>6574</v>
      </c>
      <c r="F2017" s="16" t="s">
        <v>7098</v>
      </c>
      <c r="G2017" s="16" t="s">
        <v>7099</v>
      </c>
      <c r="H2017" s="20" t="s">
        <v>155</v>
      </c>
      <c r="I2017" s="21" t="s">
        <v>70</v>
      </c>
      <c r="J2017" s="22" t="s">
        <v>71</v>
      </c>
      <c r="K2017" s="23">
        <v>69.0</v>
      </c>
      <c r="L2017" s="24">
        <v>21.0</v>
      </c>
      <c r="M2017" s="24" t="str">
        <f>IFERROR(VLOOKUP(D2017,'Chủ đề bài nguồn'!$A$2:$C$735,3,0),"Khác")</f>
        <v>Tiết kiệm &amp; lãi suất tiền gửi</v>
      </c>
      <c r="N2017" s="24"/>
    </row>
    <row r="2018">
      <c r="A2018" s="15">
        <v>2016.0</v>
      </c>
      <c r="B2018" s="16" t="s">
        <v>624</v>
      </c>
      <c r="C2018" s="18" t="s">
        <v>1865</v>
      </c>
      <c r="D2018" s="16" t="s">
        <v>374</v>
      </c>
      <c r="E2018" s="16" t="s">
        <v>7100</v>
      </c>
      <c r="F2018" s="16" t="s">
        <v>7101</v>
      </c>
      <c r="G2018" s="16" t="s">
        <v>7102</v>
      </c>
      <c r="H2018" s="20" t="s">
        <v>155</v>
      </c>
      <c r="I2018" s="21" t="s">
        <v>70</v>
      </c>
      <c r="J2018" s="22" t="s">
        <v>71</v>
      </c>
      <c r="K2018" s="23">
        <v>69.0</v>
      </c>
      <c r="L2018" s="24">
        <v>21.0</v>
      </c>
      <c r="M2018" s="24" t="str">
        <f>IFERROR(VLOOKUP(D2018,'Chủ đề bài nguồn'!$A$2:$C$735,3,0),"Khác")</f>
        <v>Vay tiêu dùng &amp; tín chấp</v>
      </c>
      <c r="N2018" s="24"/>
    </row>
    <row r="2019">
      <c r="A2019" s="15">
        <v>2017.0</v>
      </c>
      <c r="B2019" s="16" t="s">
        <v>624</v>
      </c>
      <c r="C2019" s="18" t="s">
        <v>1865</v>
      </c>
      <c r="D2019" s="16" t="s">
        <v>3286</v>
      </c>
      <c r="E2019" s="16" t="s">
        <v>5460</v>
      </c>
      <c r="F2019" s="16" t="s">
        <v>7103</v>
      </c>
      <c r="G2019" s="16" t="s">
        <v>7104</v>
      </c>
      <c r="H2019" s="20" t="s">
        <v>155</v>
      </c>
      <c r="I2019" s="21" t="s">
        <v>70</v>
      </c>
      <c r="J2019" s="22" t="s">
        <v>71</v>
      </c>
      <c r="K2019" s="23">
        <v>69.0</v>
      </c>
      <c r="L2019" s="24">
        <v>21.0</v>
      </c>
      <c r="M2019" s="24" t="str">
        <f>IFERROR(VLOOKUP(D2019,'Chủ đề bài nguồn'!$A$2:$C$735,3,0),"Khác")</f>
        <v>Vay tiêu dùng &amp; tín chấp</v>
      </c>
      <c r="N2019" s="24"/>
    </row>
    <row r="2020">
      <c r="A2020" s="15">
        <v>2018.0</v>
      </c>
      <c r="B2020" s="16" t="s">
        <v>624</v>
      </c>
      <c r="C2020" s="18" t="s">
        <v>1865</v>
      </c>
      <c r="D2020" s="16" t="s">
        <v>2346</v>
      </c>
      <c r="E2020" s="16" t="s">
        <v>2347</v>
      </c>
      <c r="F2020" s="16" t="s">
        <v>7105</v>
      </c>
      <c r="G2020" s="16" t="s">
        <v>7106</v>
      </c>
      <c r="H2020" s="20" t="s">
        <v>155</v>
      </c>
      <c r="I2020" s="21" t="s">
        <v>70</v>
      </c>
      <c r="J2020" s="22" t="s">
        <v>71</v>
      </c>
      <c r="K2020" s="23">
        <v>69.0</v>
      </c>
      <c r="L2020" s="24">
        <v>21.0</v>
      </c>
      <c r="M2020" s="24" t="str">
        <f>IFERROR(VLOOKUP(D2020,'Chủ đề bài nguồn'!$A$2:$C$735,3,0),"Khác")</f>
        <v>Vay tiêu dùng &amp; tín chấp</v>
      </c>
      <c r="N2020" s="24"/>
    </row>
    <row r="2021">
      <c r="A2021" s="15">
        <v>2019.0</v>
      </c>
      <c r="B2021" s="16" t="s">
        <v>624</v>
      </c>
      <c r="C2021" s="18" t="s">
        <v>1865</v>
      </c>
      <c r="D2021" s="16" t="s">
        <v>3300</v>
      </c>
      <c r="E2021" s="16" t="s">
        <v>7107</v>
      </c>
      <c r="F2021" s="16" t="s">
        <v>7108</v>
      </c>
      <c r="G2021" s="16" t="s">
        <v>7094</v>
      </c>
      <c r="H2021" s="20" t="s">
        <v>155</v>
      </c>
      <c r="I2021" s="21" t="s">
        <v>70</v>
      </c>
      <c r="J2021" s="22" t="s">
        <v>71</v>
      </c>
      <c r="K2021" s="23">
        <v>69.0</v>
      </c>
      <c r="L2021" s="24">
        <v>21.0</v>
      </c>
      <c r="M2021" s="24" t="str">
        <f>IFERROR(VLOOKUP(D2021,'Chủ đề bài nguồn'!$A$2:$C$735,3,0),"Khác")</f>
        <v>Hộ kinh doanh &amp; bán hàng</v>
      </c>
      <c r="N2021" s="24"/>
    </row>
    <row r="2022">
      <c r="A2022" s="15">
        <v>2020.0</v>
      </c>
      <c r="B2022" s="16" t="s">
        <v>624</v>
      </c>
      <c r="C2022" s="18" t="s">
        <v>1865</v>
      </c>
      <c r="D2022" s="16" t="s">
        <v>1171</v>
      </c>
      <c r="E2022" s="16" t="s">
        <v>7109</v>
      </c>
      <c r="F2022" s="16" t="s">
        <v>7110</v>
      </c>
      <c r="G2022" s="16" t="s">
        <v>7111</v>
      </c>
      <c r="H2022" s="20" t="s">
        <v>155</v>
      </c>
      <c r="I2022" s="21" t="s">
        <v>70</v>
      </c>
      <c r="J2022" s="22" t="s">
        <v>71</v>
      </c>
      <c r="K2022" s="23">
        <v>69.0</v>
      </c>
      <c r="L2022" s="24">
        <v>21.0</v>
      </c>
      <c r="M2022" s="24" t="str">
        <f>IFERROR(VLOOKUP(D2022,'Chủ đề bài nguồn'!$A$2:$C$735,3,0),"Khác")</f>
        <v>Vay tiêu dùng &amp; tín chấp</v>
      </c>
      <c r="N2022" s="24"/>
    </row>
    <row r="2023">
      <c r="A2023" s="15">
        <v>2021.0</v>
      </c>
      <c r="B2023" s="16" t="s">
        <v>624</v>
      </c>
      <c r="C2023" s="18" t="s">
        <v>1865</v>
      </c>
      <c r="D2023" s="16" t="s">
        <v>2892</v>
      </c>
      <c r="E2023" s="16" t="s">
        <v>6528</v>
      </c>
      <c r="F2023" s="16" t="s">
        <v>7112</v>
      </c>
      <c r="G2023" s="16" t="s">
        <v>7113</v>
      </c>
      <c r="H2023" s="20" t="s">
        <v>155</v>
      </c>
      <c r="I2023" s="21" t="s">
        <v>70</v>
      </c>
      <c r="J2023" s="22" t="s">
        <v>71</v>
      </c>
      <c r="K2023" s="23">
        <v>69.0</v>
      </c>
      <c r="L2023" s="24">
        <v>21.0</v>
      </c>
      <c r="M2023" s="24" t="str">
        <f>IFERROR(VLOOKUP(D2023,'Chủ đề bài nguồn'!$A$2:$C$735,3,0),"Khác")</f>
        <v>Vay tiêu dùng &amp; tín chấp</v>
      </c>
      <c r="N2023" s="24"/>
    </row>
    <row r="2024">
      <c r="A2024" s="15">
        <v>2022.0</v>
      </c>
      <c r="B2024" s="16" t="s">
        <v>624</v>
      </c>
      <c r="C2024" s="18" t="s">
        <v>1865</v>
      </c>
      <c r="D2024" s="16" t="s">
        <v>3217</v>
      </c>
      <c r="E2024" s="16" t="s">
        <v>6927</v>
      </c>
      <c r="F2024" s="16" t="s">
        <v>7114</v>
      </c>
      <c r="G2024" s="16" t="s">
        <v>7115</v>
      </c>
      <c r="H2024" s="20" t="s">
        <v>155</v>
      </c>
      <c r="I2024" s="21" t="s">
        <v>70</v>
      </c>
      <c r="J2024" s="22" t="s">
        <v>71</v>
      </c>
      <c r="K2024" s="23">
        <v>69.0</v>
      </c>
      <c r="L2024" s="24">
        <v>21.0</v>
      </c>
      <c r="M2024" s="24" t="str">
        <f>IFERROR(VLOOKUP(D2024,'Chủ đề bài nguồn'!$A$2:$C$735,3,0),"Khác")</f>
        <v>Vay thế chấp &amp; mua nhà/xe</v>
      </c>
      <c r="N2024" s="24"/>
    </row>
    <row r="2025">
      <c r="A2025" s="15">
        <v>2023.0</v>
      </c>
      <c r="B2025" s="16" t="s">
        <v>624</v>
      </c>
      <c r="C2025" s="18" t="s">
        <v>1865</v>
      </c>
      <c r="D2025" s="16" t="s">
        <v>3172</v>
      </c>
      <c r="E2025" s="16" t="s">
        <v>3592</v>
      </c>
      <c r="F2025" s="16" t="s">
        <v>7116</v>
      </c>
      <c r="G2025" s="16" t="s">
        <v>7117</v>
      </c>
      <c r="H2025" s="20" t="s">
        <v>155</v>
      </c>
      <c r="I2025" s="21" t="s">
        <v>70</v>
      </c>
      <c r="J2025" s="22" t="s">
        <v>71</v>
      </c>
      <c r="K2025" s="23">
        <v>69.0</v>
      </c>
      <c r="L2025" s="24">
        <v>21.0</v>
      </c>
      <c r="M2025" s="24" t="str">
        <f>IFERROR(VLOOKUP(D2025,'Chủ đề bài nguồn'!$A$2:$C$735,3,0),"Khác")</f>
        <v>Vay thế chấp &amp; mua nhà/xe</v>
      </c>
      <c r="N2025" s="24"/>
    </row>
    <row r="2026">
      <c r="A2026" s="15">
        <v>2024.0</v>
      </c>
      <c r="B2026" s="16" t="s">
        <v>624</v>
      </c>
      <c r="C2026" s="18" t="s">
        <v>1865</v>
      </c>
      <c r="D2026" s="16" t="s">
        <v>3320</v>
      </c>
      <c r="E2026" s="16" t="s">
        <v>6455</v>
      </c>
      <c r="F2026" s="16" t="s">
        <v>7118</v>
      </c>
      <c r="G2026" s="16" t="s">
        <v>7119</v>
      </c>
      <c r="H2026" s="20" t="s">
        <v>155</v>
      </c>
      <c r="I2026" s="21" t="s">
        <v>70</v>
      </c>
      <c r="J2026" s="22" t="s">
        <v>71</v>
      </c>
      <c r="K2026" s="23">
        <v>69.0</v>
      </c>
      <c r="L2026" s="24">
        <v>21.0</v>
      </c>
      <c r="M2026" s="24" t="str">
        <f>IFERROR(VLOOKUP(D2026,'Chủ đề bài nguồn'!$A$2:$C$735,3,0),"Khác")</f>
        <v>Vay thế chấp &amp; mua nhà/xe</v>
      </c>
      <c r="N2026" s="24"/>
    </row>
    <row r="2027">
      <c r="A2027" s="15">
        <v>2025.0</v>
      </c>
      <c r="B2027" s="39" t="s">
        <v>624</v>
      </c>
      <c r="C2027" s="18" t="s">
        <v>1865</v>
      </c>
      <c r="D2027" s="39" t="s">
        <v>1102</v>
      </c>
      <c r="E2027" s="16" t="s">
        <v>7120</v>
      </c>
      <c r="F2027" s="16" t="s">
        <v>7121</v>
      </c>
      <c r="G2027" s="16" t="s">
        <v>7122</v>
      </c>
      <c r="H2027" s="20" t="s">
        <v>155</v>
      </c>
      <c r="I2027" s="21" t="s">
        <v>70</v>
      </c>
      <c r="J2027" s="22" t="s">
        <v>71</v>
      </c>
      <c r="K2027" s="23">
        <v>69.0</v>
      </c>
      <c r="L2027" s="24">
        <v>21.0</v>
      </c>
      <c r="M2027" s="24" t="str">
        <f>IFERROR(VLOOKUP(D2027,'Chủ đề bài nguồn'!$A$2:$C$735,3,0),"Khác")</f>
        <v>Vay tiêu dùng &amp; tín chấp</v>
      </c>
      <c r="N2027" s="24"/>
    </row>
    <row r="2028">
      <c r="A2028" s="15">
        <v>2026.0</v>
      </c>
      <c r="B2028" s="39" t="s">
        <v>624</v>
      </c>
      <c r="C2028" s="18" t="s">
        <v>1865</v>
      </c>
      <c r="D2028" s="39" t="s">
        <v>1516</v>
      </c>
      <c r="E2028" s="16" t="s">
        <v>4233</v>
      </c>
      <c r="F2028" s="16" t="s">
        <v>7123</v>
      </c>
      <c r="G2028" s="16" t="s">
        <v>7124</v>
      </c>
      <c r="H2028" s="20" t="s">
        <v>155</v>
      </c>
      <c r="I2028" s="21" t="s">
        <v>70</v>
      </c>
      <c r="J2028" s="22" t="s">
        <v>71</v>
      </c>
      <c r="K2028" s="23">
        <v>69.0</v>
      </c>
      <c r="L2028" s="24">
        <v>21.0</v>
      </c>
      <c r="M2028" s="24" t="str">
        <f>IFERROR(VLOOKUP(D2028,'Chủ đề bài nguồn'!$A$2:$C$735,3,0),"Khác")</f>
        <v>Tài khoản &amp; ngân hàng số</v>
      </c>
      <c r="N2028" s="24"/>
    </row>
    <row r="2029">
      <c r="A2029" s="15">
        <v>2027.0</v>
      </c>
      <c r="B2029" s="39" t="s">
        <v>624</v>
      </c>
      <c r="C2029" s="18" t="s">
        <v>1865</v>
      </c>
      <c r="D2029" s="39" t="s">
        <v>2039</v>
      </c>
      <c r="E2029" s="16" t="s">
        <v>2040</v>
      </c>
      <c r="F2029" s="16" t="s">
        <v>7125</v>
      </c>
      <c r="G2029" s="16" t="s">
        <v>7126</v>
      </c>
      <c r="H2029" s="20" t="s">
        <v>155</v>
      </c>
      <c r="I2029" s="21" t="s">
        <v>70</v>
      </c>
      <c r="J2029" s="22" t="s">
        <v>71</v>
      </c>
      <c r="K2029" s="23">
        <v>69.0</v>
      </c>
      <c r="L2029" s="24">
        <v>21.0</v>
      </c>
      <c r="M2029" s="24" t="str">
        <f>IFERROR(VLOOKUP(D2029,'Chủ đề bài nguồn'!$A$2:$C$735,3,0),"Khác")</f>
        <v>Ưu đãi, du lịch &amp; đời sống</v>
      </c>
      <c r="N2029" s="24"/>
    </row>
    <row r="2030">
      <c r="A2030" s="15">
        <v>2028.0</v>
      </c>
      <c r="B2030" s="39" t="s">
        <v>624</v>
      </c>
      <c r="C2030" s="18" t="s">
        <v>1865</v>
      </c>
      <c r="D2030" s="39" t="s">
        <v>1454</v>
      </c>
      <c r="E2030" s="16" t="s">
        <v>7127</v>
      </c>
      <c r="F2030" s="16" t="s">
        <v>7128</v>
      </c>
      <c r="G2030" s="16" t="s">
        <v>7129</v>
      </c>
      <c r="H2030" s="20" t="s">
        <v>155</v>
      </c>
      <c r="I2030" s="21" t="s">
        <v>70</v>
      </c>
      <c r="J2030" s="22" t="s">
        <v>71</v>
      </c>
      <c r="K2030" s="23">
        <v>69.0</v>
      </c>
      <c r="L2030" s="24">
        <v>21.0</v>
      </c>
      <c r="M2030" s="24" t="str">
        <f>IFERROR(VLOOKUP(D2030,'Chủ đề bài nguồn'!$A$2:$C$735,3,0),"Khác")</f>
        <v>Quản lý tài chính cá nhân</v>
      </c>
      <c r="N2030" s="24"/>
    </row>
    <row r="2031">
      <c r="A2031" s="15">
        <v>2029.0</v>
      </c>
      <c r="B2031" s="39" t="s">
        <v>624</v>
      </c>
      <c r="C2031" s="18" t="s">
        <v>1865</v>
      </c>
      <c r="D2031" s="39" t="s">
        <v>3214</v>
      </c>
      <c r="E2031" s="16" t="s">
        <v>6466</v>
      </c>
      <c r="F2031" s="16" t="s">
        <v>7130</v>
      </c>
      <c r="G2031" s="16" t="s">
        <v>7131</v>
      </c>
      <c r="H2031" s="20" t="s">
        <v>155</v>
      </c>
      <c r="I2031" s="21" t="s">
        <v>70</v>
      </c>
      <c r="J2031" s="22" t="s">
        <v>71</v>
      </c>
      <c r="K2031" s="23">
        <v>69.0</v>
      </c>
      <c r="L2031" s="24">
        <v>21.0</v>
      </c>
      <c r="M2031" s="24" t="str">
        <f>IFERROR(VLOOKUP(D2031,'Chủ đề bài nguồn'!$A$2:$C$735,3,0),"Khác")</f>
        <v>Doanh nghiệp (tài khoản, vay, tài chính)</v>
      </c>
      <c r="N2031" s="24"/>
    </row>
    <row r="2032">
      <c r="A2032" s="15">
        <v>2030.0</v>
      </c>
      <c r="B2032" s="39" t="s">
        <v>624</v>
      </c>
      <c r="C2032" s="18" t="s">
        <v>1865</v>
      </c>
      <c r="D2032" s="39" t="s">
        <v>934</v>
      </c>
      <c r="E2032" s="16" t="s">
        <v>7132</v>
      </c>
      <c r="F2032" s="16" t="s">
        <v>7133</v>
      </c>
      <c r="G2032" s="16" t="s">
        <v>7134</v>
      </c>
      <c r="H2032" s="20" t="s">
        <v>155</v>
      </c>
      <c r="I2032" s="21" t="s">
        <v>70</v>
      </c>
      <c r="J2032" s="22" t="s">
        <v>71</v>
      </c>
      <c r="K2032" s="23">
        <v>69.0</v>
      </c>
      <c r="L2032" s="24">
        <v>21.0</v>
      </c>
      <c r="M2032" s="24" t="str">
        <f>IFERROR(VLOOKUP(D2032,'Chủ đề bài nguồn'!$A$2:$C$735,3,0),"Khác")</f>
        <v>Nợ xấu &amp; CIC</v>
      </c>
      <c r="N2032" s="24"/>
    </row>
    <row r="2033">
      <c r="A2033" s="15">
        <v>2031.0</v>
      </c>
      <c r="B2033" s="39" t="s">
        <v>624</v>
      </c>
      <c r="C2033" s="18" t="s">
        <v>1865</v>
      </c>
      <c r="D2033" s="39" t="s">
        <v>2193</v>
      </c>
      <c r="E2033" s="16" t="s">
        <v>7135</v>
      </c>
      <c r="F2033" s="16" t="s">
        <v>7136</v>
      </c>
      <c r="G2033" s="16" t="s">
        <v>7137</v>
      </c>
      <c r="H2033" s="20" t="s">
        <v>155</v>
      </c>
      <c r="I2033" s="21" t="s">
        <v>70</v>
      </c>
      <c r="J2033" s="22" t="s">
        <v>71</v>
      </c>
      <c r="K2033" s="23">
        <v>69.0</v>
      </c>
      <c r="L2033" s="24">
        <v>21.0</v>
      </c>
      <c r="M2033" s="24" t="str">
        <f>IFERROR(VLOOKUP(D2033,'Chủ đề bài nguồn'!$A$2:$C$735,3,0),"Khác")</f>
        <v>Tài khoản &amp; ngân hàng số</v>
      </c>
      <c r="N2033" s="24"/>
    </row>
    <row r="2034">
      <c r="A2034" s="15">
        <v>2032.0</v>
      </c>
      <c r="B2034" s="39" t="s">
        <v>624</v>
      </c>
      <c r="C2034" s="18" t="s">
        <v>1865</v>
      </c>
      <c r="D2034" s="39" t="s">
        <v>3055</v>
      </c>
      <c r="E2034" s="16" t="s">
        <v>710</v>
      </c>
      <c r="F2034" s="16" t="s">
        <v>7138</v>
      </c>
      <c r="G2034" s="16" t="s">
        <v>7139</v>
      </c>
      <c r="H2034" s="20" t="s">
        <v>155</v>
      </c>
      <c r="I2034" s="21" t="s">
        <v>70</v>
      </c>
      <c r="J2034" s="22" t="s">
        <v>71</v>
      </c>
      <c r="K2034" s="23">
        <v>69.0</v>
      </c>
      <c r="L2034" s="24">
        <v>21.0</v>
      </c>
      <c r="M2034" s="24" t="str">
        <f>IFERROR(VLOOKUP(D2034,'Chủ đề bài nguồn'!$A$2:$C$735,3,0),"Khác")</f>
        <v>Vay tiêu dùng &amp; tín chấp</v>
      </c>
      <c r="N2034" s="24"/>
    </row>
    <row r="2035">
      <c r="A2035" s="15">
        <v>2033.0</v>
      </c>
      <c r="B2035" s="39" t="s">
        <v>624</v>
      </c>
      <c r="C2035" s="18" t="s">
        <v>1865</v>
      </c>
      <c r="D2035" s="39" t="s">
        <v>3091</v>
      </c>
      <c r="E2035" s="16" t="s">
        <v>7140</v>
      </c>
      <c r="F2035" s="16" t="s">
        <v>6626</v>
      </c>
      <c r="G2035" s="16" t="s">
        <v>7141</v>
      </c>
      <c r="H2035" s="20" t="s">
        <v>155</v>
      </c>
      <c r="I2035" s="21" t="s">
        <v>70</v>
      </c>
      <c r="J2035" s="22" t="s">
        <v>4433</v>
      </c>
      <c r="K2035" s="23">
        <v>69.0</v>
      </c>
      <c r="L2035" s="24">
        <v>21.0</v>
      </c>
      <c r="M2035" s="24" t="str">
        <f>IFERROR(VLOOKUP(D2035,'Chủ đề bài nguồn'!$A$2:$C$735,3,0),"Khác")</f>
        <v>Doanh nghiệp (tài khoản, vay, tài chính)</v>
      </c>
      <c r="N2035" s="24"/>
    </row>
    <row r="2036">
      <c r="A2036" s="15">
        <v>2034.0</v>
      </c>
      <c r="B2036" s="16" t="s">
        <v>624</v>
      </c>
      <c r="C2036" s="18" t="s">
        <v>1867</v>
      </c>
      <c r="D2036" s="16" t="s">
        <v>3341</v>
      </c>
      <c r="E2036" s="16" t="s">
        <v>7142</v>
      </c>
      <c r="F2036" s="16" t="s">
        <v>7143</v>
      </c>
      <c r="G2036" s="16" t="s">
        <v>7144</v>
      </c>
      <c r="H2036" s="20" t="s">
        <v>155</v>
      </c>
      <c r="I2036" s="21" t="s">
        <v>70</v>
      </c>
      <c r="J2036" s="22" t="s">
        <v>71</v>
      </c>
      <c r="K2036" s="23">
        <v>69.0</v>
      </c>
      <c r="L2036" s="24">
        <v>21.0</v>
      </c>
      <c r="M2036" s="24" t="str">
        <f>IFERROR(VLOOKUP(D2036,'Chủ đề bài nguồn'!$A$2:$C$735,3,0),"Khác")</f>
        <v>Vay thế chấp &amp; mua nhà/xe</v>
      </c>
      <c r="N2036" s="24"/>
    </row>
    <row r="2037">
      <c r="A2037" s="15">
        <v>2035.0</v>
      </c>
      <c r="B2037" s="16" t="s">
        <v>624</v>
      </c>
      <c r="C2037" s="18" t="s">
        <v>1867</v>
      </c>
      <c r="D2037" s="16" t="s">
        <v>2949</v>
      </c>
      <c r="E2037" s="16" t="s">
        <v>6785</v>
      </c>
      <c r="F2037" s="16" t="s">
        <v>7145</v>
      </c>
      <c r="G2037" s="16" t="s">
        <v>7146</v>
      </c>
      <c r="H2037" s="20" t="s">
        <v>155</v>
      </c>
      <c r="I2037" s="21" t="s">
        <v>70</v>
      </c>
      <c r="J2037" s="22" t="s">
        <v>71</v>
      </c>
      <c r="K2037" s="23">
        <v>69.0</v>
      </c>
      <c r="L2037" s="24">
        <v>21.0</v>
      </c>
      <c r="M2037" s="24" t="str">
        <f>IFERROR(VLOOKUP(D2037,'Chủ đề bài nguồn'!$A$2:$C$735,3,0),"Khác")</f>
        <v>Vay tiêu dùng &amp; tín chấp</v>
      </c>
      <c r="N2037" s="24"/>
    </row>
    <row r="2038">
      <c r="A2038" s="15">
        <v>2036.0</v>
      </c>
      <c r="B2038" s="16" t="s">
        <v>624</v>
      </c>
      <c r="C2038" s="18" t="s">
        <v>1867</v>
      </c>
      <c r="D2038" s="16" t="s">
        <v>2936</v>
      </c>
      <c r="E2038" s="16" t="s">
        <v>710</v>
      </c>
      <c r="F2038" s="16" t="s">
        <v>7147</v>
      </c>
      <c r="G2038" s="16" t="s">
        <v>7148</v>
      </c>
      <c r="H2038" s="20" t="s">
        <v>155</v>
      </c>
      <c r="I2038" s="21" t="s">
        <v>70</v>
      </c>
      <c r="J2038" s="22" t="s">
        <v>71</v>
      </c>
      <c r="K2038" s="23">
        <v>69.0</v>
      </c>
      <c r="L2038" s="24">
        <v>21.0</v>
      </c>
      <c r="M2038" s="24" t="str">
        <f>IFERROR(VLOOKUP(D2038,'Chủ đề bài nguồn'!$A$2:$C$735,3,0),"Khác")</f>
        <v>Doanh nghiệp (tài khoản, vay, tài chính)</v>
      </c>
      <c r="N2038" s="24"/>
    </row>
    <row r="2039">
      <c r="A2039" s="15">
        <v>2037.0</v>
      </c>
      <c r="B2039" s="16" t="s">
        <v>624</v>
      </c>
      <c r="C2039" s="18" t="s">
        <v>1867</v>
      </c>
      <c r="D2039" s="16" t="s">
        <v>3303</v>
      </c>
      <c r="E2039" s="16" t="s">
        <v>5880</v>
      </c>
      <c r="F2039" s="16" t="s">
        <v>7149</v>
      </c>
      <c r="G2039" s="16" t="s">
        <v>7150</v>
      </c>
      <c r="H2039" s="20" t="s">
        <v>155</v>
      </c>
      <c r="I2039" s="21" t="s">
        <v>70</v>
      </c>
      <c r="J2039" s="22" t="s">
        <v>71</v>
      </c>
      <c r="K2039" s="23">
        <v>69.0</v>
      </c>
      <c r="L2039" s="24">
        <v>21.0</v>
      </c>
      <c r="M2039" s="24" t="str">
        <f>IFERROR(VLOOKUP(D2039,'Chủ đề bài nguồn'!$A$2:$C$735,3,0),"Khác")</f>
        <v>Vay thế chấp &amp; mua nhà/xe</v>
      </c>
      <c r="N2039" s="24"/>
    </row>
    <row r="2040">
      <c r="A2040" s="15">
        <v>2038.0</v>
      </c>
      <c r="B2040" s="16" t="s">
        <v>624</v>
      </c>
      <c r="C2040" s="18" t="s">
        <v>1867</v>
      </c>
      <c r="D2040" s="16" t="s">
        <v>3292</v>
      </c>
      <c r="E2040" s="16" t="s">
        <v>710</v>
      </c>
      <c r="F2040" s="16" t="s">
        <v>7151</v>
      </c>
      <c r="G2040" s="16" t="s">
        <v>7152</v>
      </c>
      <c r="H2040" s="20" t="s">
        <v>155</v>
      </c>
      <c r="I2040" s="21" t="s">
        <v>70</v>
      </c>
      <c r="J2040" s="22" t="s">
        <v>71</v>
      </c>
      <c r="K2040" s="23">
        <v>69.0</v>
      </c>
      <c r="L2040" s="24">
        <v>21.0</v>
      </c>
      <c r="M2040" s="24" t="str">
        <f>IFERROR(VLOOKUP(D2040,'Chủ đề bài nguồn'!$A$2:$C$735,3,0),"Khác")</f>
        <v>Vay tiêu dùng &amp; tín chấp</v>
      </c>
      <c r="N2040" s="24"/>
    </row>
    <row r="2041">
      <c r="A2041" s="15">
        <v>2039.0</v>
      </c>
      <c r="B2041" s="16" t="s">
        <v>624</v>
      </c>
      <c r="C2041" s="18" t="s">
        <v>1867</v>
      </c>
      <c r="D2041" s="16" t="s">
        <v>3104</v>
      </c>
      <c r="E2041" s="16" t="s">
        <v>5478</v>
      </c>
      <c r="F2041" s="16" t="s">
        <v>7153</v>
      </c>
      <c r="G2041" s="16" t="s">
        <v>7154</v>
      </c>
      <c r="H2041" s="20" t="s">
        <v>155</v>
      </c>
      <c r="I2041" s="21" t="s">
        <v>70</v>
      </c>
      <c r="J2041" s="22" t="s">
        <v>71</v>
      </c>
      <c r="K2041" s="23">
        <v>69.0</v>
      </c>
      <c r="L2041" s="24">
        <v>21.0</v>
      </c>
      <c r="M2041" s="24" t="str">
        <f>IFERROR(VLOOKUP(D2041,'Chủ đề bài nguồn'!$A$2:$C$735,3,0),"Khác")</f>
        <v>Vay thế chấp &amp; mua nhà/xe</v>
      </c>
      <c r="N2041" s="24"/>
    </row>
    <row r="2042">
      <c r="A2042" s="15">
        <v>2040.0</v>
      </c>
      <c r="B2042" s="16" t="s">
        <v>624</v>
      </c>
      <c r="C2042" s="18" t="s">
        <v>1867</v>
      </c>
      <c r="D2042" s="16" t="s">
        <v>3208</v>
      </c>
      <c r="E2042" s="16" t="s">
        <v>6585</v>
      </c>
      <c r="F2042" s="16" t="s">
        <v>7155</v>
      </c>
      <c r="G2042" s="16" t="s">
        <v>7156</v>
      </c>
      <c r="H2042" s="20" t="s">
        <v>155</v>
      </c>
      <c r="I2042" s="21" t="s">
        <v>70</v>
      </c>
      <c r="J2042" s="22" t="s">
        <v>7157</v>
      </c>
      <c r="K2042" s="23">
        <v>69.0</v>
      </c>
      <c r="L2042" s="24">
        <v>21.0</v>
      </c>
      <c r="M2042" s="24" t="str">
        <f>IFERROR(VLOOKUP(D2042,'Chủ đề bài nguồn'!$A$2:$C$735,3,0),"Khác")</f>
        <v>Vay tiêu dùng &amp; tín chấp</v>
      </c>
      <c r="N2042" s="24"/>
    </row>
    <row r="2043">
      <c r="A2043" s="15">
        <v>2041.0</v>
      </c>
      <c r="B2043" s="16" t="s">
        <v>624</v>
      </c>
      <c r="C2043" s="18" t="s">
        <v>1867</v>
      </c>
      <c r="D2043" s="16" t="s">
        <v>2239</v>
      </c>
      <c r="E2043" s="16" t="s">
        <v>7158</v>
      </c>
      <c r="F2043" s="16" t="s">
        <v>7159</v>
      </c>
      <c r="G2043" s="16" t="s">
        <v>7160</v>
      </c>
      <c r="H2043" s="20" t="s">
        <v>155</v>
      </c>
      <c r="I2043" s="21" t="s">
        <v>70</v>
      </c>
      <c r="J2043" s="22" t="s">
        <v>71</v>
      </c>
      <c r="K2043" s="23">
        <v>69.0</v>
      </c>
      <c r="L2043" s="24">
        <v>21.0</v>
      </c>
      <c r="M2043" s="24" t="str">
        <f>IFERROR(VLOOKUP(D2043,'Chủ đề bài nguồn'!$A$2:$C$735,3,0),"Khác")</f>
        <v>Vay thế chấp &amp; mua nhà/xe</v>
      </c>
      <c r="N2043" s="24"/>
    </row>
    <row r="2044">
      <c r="A2044" s="15">
        <v>2042.0</v>
      </c>
      <c r="B2044" s="16" t="s">
        <v>624</v>
      </c>
      <c r="C2044" s="18" t="s">
        <v>1873</v>
      </c>
      <c r="D2044" s="16" t="s">
        <v>2955</v>
      </c>
      <c r="E2044" s="16" t="s">
        <v>6788</v>
      </c>
      <c r="F2044" s="16" t="s">
        <v>7161</v>
      </c>
      <c r="G2044" s="16" t="s">
        <v>7162</v>
      </c>
      <c r="H2044" s="20" t="s">
        <v>155</v>
      </c>
      <c r="I2044" s="21" t="s">
        <v>70</v>
      </c>
      <c r="J2044" s="22" t="s">
        <v>71</v>
      </c>
      <c r="K2044" s="23">
        <v>69.0</v>
      </c>
      <c r="L2044" s="24">
        <v>21.0</v>
      </c>
      <c r="M2044" s="24" t="str">
        <f>IFERROR(VLOOKUP(D2044,'Chủ đề bài nguồn'!$A$2:$C$735,3,0),"Khác")</f>
        <v>Vay tiêu dùng &amp; tín chấp</v>
      </c>
      <c r="N2044" s="24"/>
    </row>
    <row r="2045">
      <c r="A2045" s="15">
        <v>2043.0</v>
      </c>
      <c r="B2045" s="16" t="s">
        <v>624</v>
      </c>
      <c r="C2045" s="18" t="s">
        <v>1872</v>
      </c>
      <c r="D2045" s="16" t="s">
        <v>2956</v>
      </c>
      <c r="E2045" s="16" t="s">
        <v>7163</v>
      </c>
      <c r="F2045" s="16" t="s">
        <v>7164</v>
      </c>
      <c r="G2045" s="16" t="s">
        <v>7165</v>
      </c>
      <c r="H2045" s="20" t="s">
        <v>155</v>
      </c>
      <c r="I2045" s="21" t="s">
        <v>70</v>
      </c>
      <c r="J2045" s="22" t="s">
        <v>71</v>
      </c>
      <c r="K2045" s="23">
        <v>69.0</v>
      </c>
      <c r="L2045" s="24">
        <v>21.0</v>
      </c>
      <c r="M2045" s="24" t="str">
        <f>IFERROR(VLOOKUP(D2045,'Chủ đề bài nguồn'!$A$2:$C$735,3,0),"Khác")</f>
        <v>Vay tiêu dùng &amp; tín chấp</v>
      </c>
      <c r="N2045" s="24"/>
    </row>
    <row r="2046">
      <c r="A2046" s="15">
        <v>2044.0</v>
      </c>
      <c r="B2046" s="16" t="s">
        <v>624</v>
      </c>
      <c r="C2046" s="18" t="s">
        <v>1872</v>
      </c>
      <c r="D2046" s="16" t="s">
        <v>3310</v>
      </c>
      <c r="E2046" s="16" t="s">
        <v>7166</v>
      </c>
      <c r="F2046" s="16" t="s">
        <v>7167</v>
      </c>
      <c r="G2046" s="16" t="s">
        <v>7168</v>
      </c>
      <c r="H2046" s="20" t="s">
        <v>155</v>
      </c>
      <c r="I2046" s="21" t="s">
        <v>70</v>
      </c>
      <c r="J2046" s="22" t="s">
        <v>71</v>
      </c>
      <c r="K2046" s="23">
        <v>69.0</v>
      </c>
      <c r="L2046" s="24">
        <v>21.0</v>
      </c>
      <c r="M2046" s="24" t="str">
        <f>IFERROR(VLOOKUP(D2046,'Chủ đề bài nguồn'!$A$2:$C$735,3,0),"Khác")</f>
        <v>Hộ kinh doanh &amp; bán hàng</v>
      </c>
      <c r="N2046" s="24"/>
    </row>
    <row r="2047">
      <c r="A2047" s="15">
        <v>2045.0</v>
      </c>
      <c r="B2047" s="16" t="s">
        <v>624</v>
      </c>
      <c r="C2047" s="18" t="s">
        <v>1872</v>
      </c>
      <c r="D2047" s="16" t="s">
        <v>3301</v>
      </c>
      <c r="E2047" s="16" t="s">
        <v>7169</v>
      </c>
      <c r="F2047" s="16" t="s">
        <v>7170</v>
      </c>
      <c r="G2047" s="16" t="s">
        <v>7171</v>
      </c>
      <c r="H2047" s="20" t="s">
        <v>155</v>
      </c>
      <c r="I2047" s="21" t="s">
        <v>70</v>
      </c>
      <c r="J2047" s="22" t="s">
        <v>71</v>
      </c>
      <c r="K2047" s="23">
        <v>69.0</v>
      </c>
      <c r="L2047" s="24">
        <v>21.0</v>
      </c>
      <c r="M2047" s="24" t="str">
        <f>IFERROR(VLOOKUP(D2047,'Chủ đề bài nguồn'!$A$2:$C$735,3,0),"Khác")</f>
        <v>Vay thế chấp &amp; mua nhà/xe</v>
      </c>
      <c r="N2047" s="24"/>
    </row>
    <row r="2048">
      <c r="A2048" s="15">
        <v>2046.0</v>
      </c>
      <c r="B2048" s="16" t="s">
        <v>624</v>
      </c>
      <c r="C2048" s="18" t="s">
        <v>1872</v>
      </c>
      <c r="D2048" s="16" t="s">
        <v>3304</v>
      </c>
      <c r="E2048" s="16" t="s">
        <v>7172</v>
      </c>
      <c r="F2048" s="16" t="s">
        <v>7173</v>
      </c>
      <c r="G2048" s="16" t="s">
        <v>7174</v>
      </c>
      <c r="H2048" s="20" t="s">
        <v>155</v>
      </c>
      <c r="I2048" s="21" t="s">
        <v>70</v>
      </c>
      <c r="J2048" s="22" t="s">
        <v>71</v>
      </c>
      <c r="K2048" s="23">
        <v>69.0</v>
      </c>
      <c r="L2048" s="24">
        <v>21.0</v>
      </c>
      <c r="M2048" s="24" t="str">
        <f>IFERROR(VLOOKUP(D2048,'Chủ đề bài nguồn'!$A$2:$C$735,3,0),"Khác")</f>
        <v>Vay thế chấp &amp; mua nhà/xe</v>
      </c>
      <c r="N2048" s="24"/>
    </row>
    <row r="2049">
      <c r="A2049" s="15">
        <v>2047.0</v>
      </c>
      <c r="B2049" s="16" t="s">
        <v>624</v>
      </c>
      <c r="C2049" s="18" t="s">
        <v>1872</v>
      </c>
      <c r="D2049" s="16" t="s">
        <v>3067</v>
      </c>
      <c r="E2049" s="16" t="s">
        <v>3463</v>
      </c>
      <c r="F2049" s="16" t="s">
        <v>7175</v>
      </c>
      <c r="G2049" s="16" t="s">
        <v>7176</v>
      </c>
      <c r="H2049" s="20" t="s">
        <v>155</v>
      </c>
      <c r="I2049" s="21" t="s">
        <v>70</v>
      </c>
      <c r="J2049" s="22" t="s">
        <v>71</v>
      </c>
      <c r="K2049" s="23">
        <v>69.0</v>
      </c>
      <c r="L2049" s="24">
        <v>21.0</v>
      </c>
      <c r="M2049" s="24" t="str">
        <f>IFERROR(VLOOKUP(D2049,'Chủ đề bài nguồn'!$A$2:$C$735,3,0),"Khác")</f>
        <v>Nợ xấu &amp; CIC</v>
      </c>
      <c r="N2049" s="24"/>
    </row>
    <row r="2050">
      <c r="A2050" s="15">
        <v>2048.0</v>
      </c>
      <c r="B2050" s="39" t="s">
        <v>624</v>
      </c>
      <c r="C2050" s="18" t="s">
        <v>1872</v>
      </c>
      <c r="D2050" s="39" t="s">
        <v>1242</v>
      </c>
      <c r="E2050" s="16" t="s">
        <v>1484</v>
      </c>
      <c r="F2050" s="16" t="s">
        <v>7177</v>
      </c>
      <c r="G2050" s="16" t="s">
        <v>7178</v>
      </c>
      <c r="H2050" s="20" t="s">
        <v>155</v>
      </c>
      <c r="I2050" s="21" t="s">
        <v>70</v>
      </c>
      <c r="J2050" s="22" t="s">
        <v>71</v>
      </c>
      <c r="K2050" s="23">
        <v>69.0</v>
      </c>
      <c r="L2050" s="24">
        <v>21.0</v>
      </c>
      <c r="M2050" s="24" t="str">
        <f>IFERROR(VLOOKUP(D2050,'Chủ đề bài nguồn'!$A$2:$C$735,3,0),"Khác")</f>
        <v>Tài khoản &amp; ngân hàng số</v>
      </c>
      <c r="N2050" s="24"/>
    </row>
    <row r="2051">
      <c r="A2051" s="15">
        <v>2049.0</v>
      </c>
      <c r="B2051" s="39" t="s">
        <v>624</v>
      </c>
      <c r="C2051" s="18" t="s">
        <v>1872</v>
      </c>
      <c r="D2051" s="39" t="s">
        <v>2748</v>
      </c>
      <c r="E2051" s="16" t="s">
        <v>7179</v>
      </c>
      <c r="F2051" s="16" t="s">
        <v>7180</v>
      </c>
      <c r="G2051" s="16" t="s">
        <v>7181</v>
      </c>
      <c r="H2051" s="20" t="s">
        <v>155</v>
      </c>
      <c r="I2051" s="21" t="s">
        <v>70</v>
      </c>
      <c r="J2051" s="22" t="s">
        <v>71</v>
      </c>
      <c r="K2051" s="23">
        <v>69.0</v>
      </c>
      <c r="L2051" s="24">
        <v>21.0</v>
      </c>
      <c r="M2051" s="24" t="str">
        <f>IFERROR(VLOOKUP(D2051,'Chủ đề bài nguồn'!$A$2:$C$735,3,0),"Khác")</f>
        <v>Vay tiêu dùng &amp; tín chấp</v>
      </c>
      <c r="N2051" s="24"/>
    </row>
    <row r="2052">
      <c r="A2052" s="15">
        <v>2050.0</v>
      </c>
      <c r="B2052" s="16" t="s">
        <v>624</v>
      </c>
      <c r="C2052" s="18" t="s">
        <v>1870</v>
      </c>
      <c r="D2052" s="16" t="s">
        <v>72</v>
      </c>
      <c r="E2052" s="16" t="s">
        <v>7182</v>
      </c>
      <c r="F2052" s="16" t="s">
        <v>7183</v>
      </c>
      <c r="G2052" s="16" t="s">
        <v>7052</v>
      </c>
      <c r="H2052" s="20" t="s">
        <v>229</v>
      </c>
      <c r="I2052" s="21" t="s">
        <v>70</v>
      </c>
      <c r="J2052" s="22" t="s">
        <v>7184</v>
      </c>
      <c r="K2052" s="23">
        <v>69.0</v>
      </c>
      <c r="L2052" s="24">
        <v>31.0</v>
      </c>
      <c r="M2052" s="24" t="str">
        <f>IFERROR(VLOOKUP(D2052,'Chủ đề bài nguồn'!$A$2:$C$735,3,0),"Khác")</f>
        <v>Vay thế chấp &amp; mua nhà/xe</v>
      </c>
      <c r="N2052" s="24"/>
    </row>
    <row r="2053">
      <c r="A2053" s="15">
        <v>2051.0</v>
      </c>
      <c r="B2053" s="16" t="s">
        <v>624</v>
      </c>
      <c r="C2053" s="18" t="s">
        <v>1870</v>
      </c>
      <c r="D2053" s="16" t="s">
        <v>735</v>
      </c>
      <c r="E2053" s="16" t="s">
        <v>7185</v>
      </c>
      <c r="F2053" s="16" t="s">
        <v>7186</v>
      </c>
      <c r="G2053" s="16" t="s">
        <v>7052</v>
      </c>
      <c r="H2053" s="20" t="s">
        <v>229</v>
      </c>
      <c r="I2053" s="21" t="s">
        <v>70</v>
      </c>
      <c r="J2053" s="22" t="s">
        <v>639</v>
      </c>
      <c r="K2053" s="23">
        <v>69.0</v>
      </c>
      <c r="L2053" s="24">
        <v>31.0</v>
      </c>
      <c r="M2053" s="24" t="str">
        <f>IFERROR(VLOOKUP(D2053,'Chủ đề bài nguồn'!$A$2:$C$735,3,0),"Khác")</f>
        <v>Vay tiêu dùng &amp; tín chấp</v>
      </c>
      <c r="N2053" s="24"/>
    </row>
    <row r="2054">
      <c r="A2054" s="15">
        <v>2052.0</v>
      </c>
      <c r="B2054" s="16" t="s">
        <v>624</v>
      </c>
      <c r="C2054" s="18" t="s">
        <v>1870</v>
      </c>
      <c r="D2054" s="16" t="s">
        <v>3267</v>
      </c>
      <c r="E2054" s="16" t="s">
        <v>6652</v>
      </c>
      <c r="F2054" s="16" t="s">
        <v>7187</v>
      </c>
      <c r="G2054" s="16" t="s">
        <v>7052</v>
      </c>
      <c r="H2054" s="20" t="s">
        <v>229</v>
      </c>
      <c r="I2054" s="21" t="s">
        <v>70</v>
      </c>
      <c r="J2054" s="22" t="s">
        <v>71</v>
      </c>
      <c r="K2054" s="23">
        <v>69.0</v>
      </c>
      <c r="L2054" s="24">
        <v>31.0</v>
      </c>
      <c r="M2054" s="24" t="str">
        <f>IFERROR(VLOOKUP(D2054,'Chủ đề bài nguồn'!$A$2:$C$735,3,0),"Khác")</f>
        <v>Vay tiêu dùng &amp; tín chấp</v>
      </c>
      <c r="N2054" s="24"/>
    </row>
    <row r="2055">
      <c r="A2055" s="15">
        <v>2053.0</v>
      </c>
      <c r="B2055" s="16" t="s">
        <v>624</v>
      </c>
      <c r="C2055" s="18" t="s">
        <v>1865</v>
      </c>
      <c r="D2055" s="16" t="s">
        <v>3194</v>
      </c>
      <c r="E2055" s="16" t="s">
        <v>5540</v>
      </c>
      <c r="F2055" s="16" t="s">
        <v>7188</v>
      </c>
      <c r="G2055" s="16" t="s">
        <v>7189</v>
      </c>
      <c r="H2055" s="20" t="s">
        <v>229</v>
      </c>
      <c r="I2055" s="21" t="s">
        <v>70</v>
      </c>
      <c r="J2055" s="22" t="s">
        <v>71</v>
      </c>
      <c r="K2055" s="23">
        <v>69.0</v>
      </c>
      <c r="L2055" s="24">
        <v>31.0</v>
      </c>
      <c r="M2055" s="24" t="str">
        <f>IFERROR(VLOOKUP(D2055,'Chủ đề bài nguồn'!$A$2:$C$735,3,0),"Khác")</f>
        <v>Thẻ tín dụng</v>
      </c>
      <c r="N2055" s="24"/>
    </row>
    <row r="2056">
      <c r="A2056" s="15">
        <v>2054.0</v>
      </c>
      <c r="B2056" s="16" t="s">
        <v>624</v>
      </c>
      <c r="C2056" s="18" t="s">
        <v>1865</v>
      </c>
      <c r="D2056" s="16" t="s">
        <v>3100</v>
      </c>
      <c r="E2056" s="16" t="s">
        <v>5607</v>
      </c>
      <c r="F2056" s="16" t="s">
        <v>7190</v>
      </c>
      <c r="G2056" s="16" t="s">
        <v>7141</v>
      </c>
      <c r="H2056" s="20" t="s">
        <v>229</v>
      </c>
      <c r="I2056" s="21" t="s">
        <v>70</v>
      </c>
      <c r="J2056" s="22" t="s">
        <v>71</v>
      </c>
      <c r="K2056" s="23">
        <v>69.0</v>
      </c>
      <c r="L2056" s="24">
        <v>31.0</v>
      </c>
      <c r="M2056" s="24" t="str">
        <f>IFERROR(VLOOKUP(D2056,'Chủ đề bài nguồn'!$A$2:$C$735,3,0),"Khác")</f>
        <v>Vay thế chấp &amp; mua nhà/xe</v>
      </c>
      <c r="N2056" s="24"/>
    </row>
    <row r="2057">
      <c r="A2057" s="15">
        <v>2055.0</v>
      </c>
      <c r="B2057" s="16" t="s">
        <v>624</v>
      </c>
      <c r="C2057" s="18" t="s">
        <v>1865</v>
      </c>
      <c r="D2057" s="16" t="s">
        <v>3148</v>
      </c>
      <c r="E2057" s="16" t="s">
        <v>7191</v>
      </c>
      <c r="F2057" s="16" t="s">
        <v>7192</v>
      </c>
      <c r="G2057" s="16" t="s">
        <v>7193</v>
      </c>
      <c r="H2057" s="20" t="s">
        <v>229</v>
      </c>
      <c r="I2057" s="21" t="s">
        <v>70</v>
      </c>
      <c r="J2057" s="22" t="s">
        <v>71</v>
      </c>
      <c r="K2057" s="23">
        <v>69.0</v>
      </c>
      <c r="L2057" s="24">
        <v>31.0</v>
      </c>
      <c r="M2057" s="24" t="str">
        <f>IFERROR(VLOOKUP(D2057,'Chủ đề bài nguồn'!$A$2:$C$735,3,0),"Khác")</f>
        <v>Vay tiêu dùng &amp; tín chấp</v>
      </c>
      <c r="N2057" s="24"/>
    </row>
    <row r="2058">
      <c r="A2058" s="15">
        <v>2056.0</v>
      </c>
      <c r="B2058" s="39" t="s">
        <v>624</v>
      </c>
      <c r="C2058" s="18" t="s">
        <v>1865</v>
      </c>
      <c r="D2058" s="39" t="s">
        <v>452</v>
      </c>
      <c r="E2058" s="16" t="s">
        <v>5822</v>
      </c>
      <c r="F2058" s="16" t="s">
        <v>7194</v>
      </c>
      <c r="G2058" s="16" t="s">
        <v>7094</v>
      </c>
      <c r="H2058" s="20" t="s">
        <v>229</v>
      </c>
      <c r="I2058" s="21" t="s">
        <v>70</v>
      </c>
      <c r="J2058" s="22" t="s">
        <v>4465</v>
      </c>
      <c r="K2058" s="23">
        <v>69.0</v>
      </c>
      <c r="L2058" s="24">
        <v>31.0</v>
      </c>
      <c r="M2058" s="24" t="str">
        <f>IFERROR(VLOOKUP(D2058,'Chủ đề bài nguồn'!$A$2:$C$735,3,0),"Khác")</f>
        <v>Vay thế chấp &amp; mua nhà/xe</v>
      </c>
      <c r="N2058" s="24"/>
    </row>
    <row r="2059">
      <c r="A2059" s="15">
        <v>2057.0</v>
      </c>
      <c r="B2059" s="39" t="s">
        <v>624</v>
      </c>
      <c r="C2059" s="18" t="s">
        <v>1865</v>
      </c>
      <c r="D2059" s="39" t="s">
        <v>3083</v>
      </c>
      <c r="E2059" s="16" t="s">
        <v>7195</v>
      </c>
      <c r="F2059" s="16" t="s">
        <v>7196</v>
      </c>
      <c r="G2059" s="16" t="s">
        <v>7197</v>
      </c>
      <c r="H2059" s="20" t="s">
        <v>229</v>
      </c>
      <c r="I2059" s="21" t="s">
        <v>70</v>
      </c>
      <c r="J2059" s="22" t="s">
        <v>71</v>
      </c>
      <c r="K2059" s="23">
        <v>69.0</v>
      </c>
      <c r="L2059" s="24">
        <v>31.0</v>
      </c>
      <c r="M2059" s="24" t="str">
        <f>IFERROR(VLOOKUP(D2059,'Chủ đề bài nguồn'!$A$2:$C$735,3,0),"Khác")</f>
        <v>Hộ kinh doanh &amp; bán hàng</v>
      </c>
      <c r="N2059" s="24"/>
    </row>
    <row r="2060">
      <c r="A2060" s="15">
        <v>2058.0</v>
      </c>
      <c r="B2060" s="39" t="s">
        <v>624</v>
      </c>
      <c r="C2060" s="18" t="s">
        <v>1865</v>
      </c>
      <c r="D2060" s="39" t="s">
        <v>3092</v>
      </c>
      <c r="E2060" s="16" t="s">
        <v>6641</v>
      </c>
      <c r="F2060" s="16" t="s">
        <v>7198</v>
      </c>
      <c r="G2060" s="16" t="s">
        <v>7199</v>
      </c>
      <c r="H2060" s="20" t="s">
        <v>229</v>
      </c>
      <c r="I2060" s="21" t="s">
        <v>70</v>
      </c>
      <c r="J2060" s="22" t="s">
        <v>71</v>
      </c>
      <c r="K2060" s="23">
        <v>69.0</v>
      </c>
      <c r="L2060" s="24">
        <v>31.0</v>
      </c>
      <c r="M2060" s="24" t="str">
        <f>IFERROR(VLOOKUP(D2060,'Chủ đề bài nguồn'!$A$2:$C$735,3,0),"Khác")</f>
        <v>Ngân hàng xanh &amp; thương hiệu</v>
      </c>
      <c r="N2060" s="24"/>
    </row>
    <row r="2061">
      <c r="A2061" s="15">
        <v>2059.0</v>
      </c>
      <c r="B2061" s="39" t="s">
        <v>624</v>
      </c>
      <c r="C2061" s="18" t="s">
        <v>1865</v>
      </c>
      <c r="D2061" s="39" t="s">
        <v>3144</v>
      </c>
      <c r="E2061" s="16" t="s">
        <v>7200</v>
      </c>
      <c r="F2061" s="16" t="s">
        <v>7201</v>
      </c>
      <c r="G2061" s="16" t="s">
        <v>7202</v>
      </c>
      <c r="H2061" s="20" t="s">
        <v>229</v>
      </c>
      <c r="I2061" s="21" t="s">
        <v>70</v>
      </c>
      <c r="J2061" s="22" t="s">
        <v>71</v>
      </c>
      <c r="K2061" s="23">
        <v>69.0</v>
      </c>
      <c r="L2061" s="24">
        <v>31.0</v>
      </c>
      <c r="M2061" s="24" t="str">
        <f>IFERROR(VLOOKUP(D2061,'Chủ đề bài nguồn'!$A$2:$C$735,3,0),"Khác")</f>
        <v>Đầu tư, CCTG, trái phiếu, vàng</v>
      </c>
      <c r="N2061" s="24"/>
    </row>
    <row r="2062">
      <c r="A2062" s="15">
        <v>2060.0</v>
      </c>
      <c r="B2062" s="39" t="s">
        <v>624</v>
      </c>
      <c r="C2062" s="18" t="s">
        <v>1865</v>
      </c>
      <c r="D2062" s="39" t="s">
        <v>2804</v>
      </c>
      <c r="E2062" s="16" t="s">
        <v>7203</v>
      </c>
      <c r="F2062" s="16" t="s">
        <v>7204</v>
      </c>
      <c r="G2062" s="16" t="s">
        <v>7205</v>
      </c>
      <c r="H2062" s="20" t="s">
        <v>229</v>
      </c>
      <c r="I2062" s="21" t="s">
        <v>70</v>
      </c>
      <c r="J2062" s="22" t="s">
        <v>71</v>
      </c>
      <c r="K2062" s="23">
        <v>69.0</v>
      </c>
      <c r="L2062" s="24">
        <v>31.0</v>
      </c>
      <c r="M2062" s="24" t="str">
        <f>IFERROR(VLOOKUP(D2062,'Chủ đề bài nguồn'!$A$2:$C$735,3,0),"Khác")</f>
        <v>Ưu đãi, du lịch &amp; đời sống</v>
      </c>
      <c r="N2062" s="24"/>
    </row>
    <row r="2063">
      <c r="A2063" s="15">
        <v>2061.0</v>
      </c>
      <c r="B2063" s="39" t="s">
        <v>624</v>
      </c>
      <c r="C2063" s="18" t="s">
        <v>1865</v>
      </c>
      <c r="D2063" s="39" t="s">
        <v>2982</v>
      </c>
      <c r="E2063" s="16" t="s">
        <v>7206</v>
      </c>
      <c r="F2063" s="16" t="s">
        <v>7207</v>
      </c>
      <c r="G2063" s="16" t="s">
        <v>7141</v>
      </c>
      <c r="H2063" s="20" t="s">
        <v>229</v>
      </c>
      <c r="I2063" s="21" t="s">
        <v>70</v>
      </c>
      <c r="J2063" s="22" t="s">
        <v>7208</v>
      </c>
      <c r="K2063" s="23">
        <v>69.0</v>
      </c>
      <c r="L2063" s="24">
        <v>31.0</v>
      </c>
      <c r="M2063" s="24" t="str">
        <f>IFERROR(VLOOKUP(D2063,'Chủ đề bài nguồn'!$A$2:$C$735,3,0),"Khác")</f>
        <v>Ưu đãi, du lịch &amp; đời sống</v>
      </c>
      <c r="N2063" s="24"/>
    </row>
    <row r="2064">
      <c r="A2064" s="15">
        <v>2062.0</v>
      </c>
      <c r="B2064" s="39" t="s">
        <v>624</v>
      </c>
      <c r="C2064" s="18" t="s">
        <v>1865</v>
      </c>
      <c r="D2064" s="39" t="s">
        <v>3160</v>
      </c>
      <c r="E2064" s="16" t="s">
        <v>7209</v>
      </c>
      <c r="F2064" s="16" t="s">
        <v>7210</v>
      </c>
      <c r="G2064" s="16" t="s">
        <v>7211</v>
      </c>
      <c r="H2064" s="20" t="s">
        <v>229</v>
      </c>
      <c r="I2064" s="21" t="s">
        <v>70</v>
      </c>
      <c r="J2064" s="22" t="s">
        <v>71</v>
      </c>
      <c r="K2064" s="23">
        <v>69.0</v>
      </c>
      <c r="L2064" s="24">
        <v>31.0</v>
      </c>
      <c r="M2064" s="24" t="str">
        <f>IFERROR(VLOOKUP(D2064,'Chủ đề bài nguồn'!$A$2:$C$735,3,0),"Khác")</f>
        <v>Thẻ tín dụng</v>
      </c>
      <c r="N2064" s="24"/>
    </row>
    <row r="2065">
      <c r="A2065" s="15">
        <v>2063.0</v>
      </c>
      <c r="B2065" s="16" t="s">
        <v>624</v>
      </c>
      <c r="C2065" s="18" t="s">
        <v>1872</v>
      </c>
      <c r="D2065" s="16" t="s">
        <v>2127</v>
      </c>
      <c r="E2065" s="16" t="s">
        <v>6165</v>
      </c>
      <c r="F2065" s="16" t="s">
        <v>7212</v>
      </c>
      <c r="G2065" s="16" t="s">
        <v>7213</v>
      </c>
      <c r="H2065" s="20" t="s">
        <v>229</v>
      </c>
      <c r="I2065" s="21" t="s">
        <v>70</v>
      </c>
      <c r="J2065" s="22" t="s">
        <v>71</v>
      </c>
      <c r="K2065" s="23">
        <v>69.0</v>
      </c>
      <c r="L2065" s="24">
        <v>31.0</v>
      </c>
      <c r="M2065" s="24" t="str">
        <f>IFERROR(VLOOKUP(D2065,'Chủ đề bài nguồn'!$A$2:$C$735,3,0),"Khác")</f>
        <v>Vay tiêu dùng &amp; tín chấp</v>
      </c>
      <c r="N2065" s="24"/>
    </row>
    <row r="2066">
      <c r="A2066" s="15">
        <v>2064.0</v>
      </c>
      <c r="B2066" s="16" t="s">
        <v>624</v>
      </c>
      <c r="C2066" s="18" t="s">
        <v>1872</v>
      </c>
      <c r="D2066" s="16" t="s">
        <v>3155</v>
      </c>
      <c r="E2066" s="16" t="s">
        <v>710</v>
      </c>
      <c r="F2066" s="16" t="s">
        <v>7214</v>
      </c>
      <c r="G2066" s="16" t="s">
        <v>7215</v>
      </c>
      <c r="H2066" s="20" t="s">
        <v>229</v>
      </c>
      <c r="I2066" s="21" t="s">
        <v>70</v>
      </c>
      <c r="J2066" s="22" t="s">
        <v>71</v>
      </c>
      <c r="K2066" s="23">
        <v>69.0</v>
      </c>
      <c r="L2066" s="24">
        <v>31.0</v>
      </c>
      <c r="M2066" s="24" t="str">
        <f>IFERROR(VLOOKUP(D2066,'Chủ đề bài nguồn'!$A$2:$C$735,3,0),"Khác")</f>
        <v>Vay tiêu dùng &amp; tín chấp</v>
      </c>
      <c r="N2066" s="24"/>
    </row>
    <row r="2067">
      <c r="A2067" s="15">
        <v>2065.0</v>
      </c>
      <c r="B2067" s="16" t="s">
        <v>624</v>
      </c>
      <c r="C2067" s="18" t="s">
        <v>1872</v>
      </c>
      <c r="D2067" s="16" t="s">
        <v>3317</v>
      </c>
      <c r="E2067" s="16" t="s">
        <v>7216</v>
      </c>
      <c r="F2067" s="16" t="s">
        <v>7217</v>
      </c>
      <c r="G2067" s="16" t="s">
        <v>7218</v>
      </c>
      <c r="H2067" s="20" t="s">
        <v>229</v>
      </c>
      <c r="I2067" s="21" t="s">
        <v>70</v>
      </c>
      <c r="J2067" s="22" t="s">
        <v>71</v>
      </c>
      <c r="K2067" s="23">
        <v>69.0</v>
      </c>
      <c r="L2067" s="24">
        <v>31.0</v>
      </c>
      <c r="M2067" s="24" t="str">
        <f>IFERROR(VLOOKUP(D2067,'Chủ đề bài nguồn'!$A$2:$C$735,3,0),"Khác")</f>
        <v>Vay thế chấp &amp; mua nhà/xe</v>
      </c>
      <c r="N2067" s="24"/>
    </row>
    <row r="2068">
      <c r="A2068" s="15">
        <v>2066.0</v>
      </c>
      <c r="B2068" s="16" t="s">
        <v>624</v>
      </c>
      <c r="C2068" s="18" t="s">
        <v>1872</v>
      </c>
      <c r="D2068" s="16" t="s">
        <v>3324</v>
      </c>
      <c r="E2068" s="16" t="s">
        <v>7219</v>
      </c>
      <c r="F2068" s="16" t="s">
        <v>7220</v>
      </c>
      <c r="G2068" s="16" t="s">
        <v>7221</v>
      </c>
      <c r="H2068" s="20" t="s">
        <v>229</v>
      </c>
      <c r="I2068" s="21" t="s">
        <v>70</v>
      </c>
      <c r="J2068" s="22" t="s">
        <v>7222</v>
      </c>
      <c r="K2068" s="23">
        <v>69.0</v>
      </c>
      <c r="L2068" s="24">
        <v>31.0</v>
      </c>
      <c r="M2068" s="24" t="str">
        <f>IFERROR(VLOOKUP(D2068,'Chủ đề bài nguồn'!$A$2:$C$735,3,0),"Khác")</f>
        <v>Vay thế chấp &amp; mua nhà/xe</v>
      </c>
      <c r="N2068" s="24"/>
    </row>
    <row r="2069">
      <c r="A2069" s="15">
        <v>2067.0</v>
      </c>
      <c r="B2069" s="16" t="s">
        <v>735</v>
      </c>
      <c r="C2069" s="18" t="s">
        <v>1879</v>
      </c>
      <c r="D2069" s="16" t="s">
        <v>3267</v>
      </c>
      <c r="E2069" s="16" t="s">
        <v>6887</v>
      </c>
      <c r="F2069" s="16" t="s">
        <v>7223</v>
      </c>
      <c r="G2069" s="16" t="s">
        <v>7224</v>
      </c>
      <c r="H2069" s="20" t="s">
        <v>69</v>
      </c>
      <c r="I2069" s="21" t="s">
        <v>70</v>
      </c>
      <c r="J2069" s="22" t="s">
        <v>71</v>
      </c>
      <c r="K2069" s="23">
        <v>70.0</v>
      </c>
      <c r="L2069" s="24">
        <v>10.0</v>
      </c>
      <c r="M2069" s="24" t="str">
        <f>IFERROR(VLOOKUP(D2069,'Chủ đề bài nguồn'!$A$2:$C$735,3,0),"Khác")</f>
        <v>Vay tiêu dùng &amp; tín chấp</v>
      </c>
      <c r="N2069" s="24"/>
    </row>
    <row r="2070">
      <c r="A2070" s="15">
        <v>2068.0</v>
      </c>
      <c r="B2070" s="16" t="s">
        <v>735</v>
      </c>
      <c r="C2070" s="18" t="s">
        <v>1879</v>
      </c>
      <c r="D2070" s="16" t="s">
        <v>2947</v>
      </c>
      <c r="E2070" s="16" t="s">
        <v>7225</v>
      </c>
      <c r="F2070" s="16" t="s">
        <v>7226</v>
      </c>
      <c r="G2070" s="16" t="s">
        <v>7224</v>
      </c>
      <c r="H2070" s="20" t="s">
        <v>69</v>
      </c>
      <c r="I2070" s="21" t="s">
        <v>70</v>
      </c>
      <c r="J2070" s="22" t="s">
        <v>71</v>
      </c>
      <c r="K2070" s="23">
        <v>70.0</v>
      </c>
      <c r="L2070" s="24">
        <v>10.0</v>
      </c>
      <c r="M2070" s="24" t="str">
        <f>IFERROR(VLOOKUP(D2070,'Chủ đề bài nguồn'!$A$2:$C$735,3,0),"Khác")</f>
        <v>Hộ kinh doanh &amp; bán hàng</v>
      </c>
      <c r="N2070" s="24"/>
    </row>
    <row r="2071">
      <c r="A2071" s="15">
        <v>2069.0</v>
      </c>
      <c r="B2071" s="16" t="s">
        <v>735</v>
      </c>
      <c r="C2071" s="18" t="s">
        <v>1879</v>
      </c>
      <c r="D2071" s="16" t="s">
        <v>3055</v>
      </c>
      <c r="E2071" s="16" t="s">
        <v>710</v>
      </c>
      <c r="F2071" s="16" t="s">
        <v>7227</v>
      </c>
      <c r="G2071" s="16" t="s">
        <v>7224</v>
      </c>
      <c r="H2071" s="20" t="s">
        <v>69</v>
      </c>
      <c r="I2071" s="21" t="s">
        <v>70</v>
      </c>
      <c r="J2071" s="22" t="s">
        <v>71</v>
      </c>
      <c r="K2071" s="23">
        <v>70.0</v>
      </c>
      <c r="L2071" s="24">
        <v>10.0</v>
      </c>
      <c r="M2071" s="24" t="str">
        <f>IFERROR(VLOOKUP(D2071,'Chủ đề bài nguồn'!$A$2:$C$735,3,0),"Khác")</f>
        <v>Vay tiêu dùng &amp; tín chấp</v>
      </c>
      <c r="N2071" s="24"/>
    </row>
    <row r="2072">
      <c r="A2072" s="15">
        <v>2070.0</v>
      </c>
      <c r="B2072" s="16" t="s">
        <v>735</v>
      </c>
      <c r="C2072" s="18" t="s">
        <v>1879</v>
      </c>
      <c r="D2072" s="16" t="s">
        <v>2810</v>
      </c>
      <c r="E2072" s="16" t="s">
        <v>4992</v>
      </c>
      <c r="F2072" s="16" t="s">
        <v>7228</v>
      </c>
      <c r="G2072" s="16" t="s">
        <v>7224</v>
      </c>
      <c r="H2072" s="20" t="s">
        <v>69</v>
      </c>
      <c r="I2072" s="21" t="s">
        <v>70</v>
      </c>
      <c r="J2072" s="22" t="s">
        <v>71</v>
      </c>
      <c r="K2072" s="23">
        <v>70.0</v>
      </c>
      <c r="L2072" s="24">
        <v>10.0</v>
      </c>
      <c r="M2072" s="24" t="str">
        <f>IFERROR(VLOOKUP(D2072,'Chủ đề bài nguồn'!$A$2:$C$735,3,0),"Khác")</f>
        <v>Vay tiêu dùng &amp; tín chấp</v>
      </c>
      <c r="N2072" s="24"/>
    </row>
    <row r="2073">
      <c r="A2073" s="15">
        <v>2071.0</v>
      </c>
      <c r="B2073" s="16" t="s">
        <v>735</v>
      </c>
      <c r="C2073" s="18" t="s">
        <v>1879</v>
      </c>
      <c r="D2073" s="16" t="s">
        <v>3298</v>
      </c>
      <c r="E2073" s="16" t="s">
        <v>7229</v>
      </c>
      <c r="F2073" s="16" t="s">
        <v>7230</v>
      </c>
      <c r="G2073" s="16" t="s">
        <v>7231</v>
      </c>
      <c r="H2073" s="20" t="s">
        <v>69</v>
      </c>
      <c r="I2073" s="21" t="s">
        <v>70</v>
      </c>
      <c r="J2073" s="22" t="s">
        <v>71</v>
      </c>
      <c r="K2073" s="23">
        <v>70.0</v>
      </c>
      <c r="L2073" s="24">
        <v>10.0</v>
      </c>
      <c r="M2073" s="24" t="str">
        <f>IFERROR(VLOOKUP(D2073,'Chủ đề bài nguồn'!$A$2:$C$735,3,0),"Khác")</f>
        <v>Vay tiêu dùng &amp; tín chấp</v>
      </c>
      <c r="N2073" s="24"/>
    </row>
    <row r="2074">
      <c r="A2074" s="15">
        <v>2072.0</v>
      </c>
      <c r="B2074" s="16" t="s">
        <v>735</v>
      </c>
      <c r="C2074" s="18" t="s">
        <v>1879</v>
      </c>
      <c r="D2074" s="16" t="s">
        <v>2365</v>
      </c>
      <c r="E2074" s="16" t="s">
        <v>2366</v>
      </c>
      <c r="F2074" s="16" t="s">
        <v>7232</v>
      </c>
      <c r="G2074" s="16" t="s">
        <v>7224</v>
      </c>
      <c r="H2074" s="20" t="s">
        <v>69</v>
      </c>
      <c r="I2074" s="21" t="s">
        <v>70</v>
      </c>
      <c r="J2074" s="22" t="s">
        <v>71</v>
      </c>
      <c r="K2074" s="23">
        <v>70.0</v>
      </c>
      <c r="L2074" s="24">
        <v>10.0</v>
      </c>
      <c r="M2074" s="24" t="str">
        <f>IFERROR(VLOOKUP(D2074,'Chủ đề bài nguồn'!$A$2:$C$735,3,0),"Khác")</f>
        <v>Vay thế chấp &amp; mua nhà/xe</v>
      </c>
      <c r="N2074" s="24"/>
    </row>
    <row r="2075">
      <c r="A2075" s="15">
        <v>2073.0</v>
      </c>
      <c r="B2075" s="16" t="s">
        <v>735</v>
      </c>
      <c r="C2075" s="18" t="s">
        <v>1879</v>
      </c>
      <c r="D2075" s="16" t="s">
        <v>3134</v>
      </c>
      <c r="E2075" s="16" t="s">
        <v>710</v>
      </c>
      <c r="F2075" s="16" t="s">
        <v>7233</v>
      </c>
      <c r="G2075" s="16" t="s">
        <v>7224</v>
      </c>
      <c r="H2075" s="20" t="s">
        <v>69</v>
      </c>
      <c r="I2075" s="21" t="s">
        <v>70</v>
      </c>
      <c r="J2075" s="22" t="s">
        <v>71</v>
      </c>
      <c r="K2075" s="23">
        <v>70.0</v>
      </c>
      <c r="L2075" s="24">
        <v>10.0</v>
      </c>
      <c r="M2075" s="24" t="str">
        <f>IFERROR(VLOOKUP(D2075,'Chủ đề bài nguồn'!$A$2:$C$735,3,0),"Khác")</f>
        <v>Hộ kinh doanh &amp; bán hàng</v>
      </c>
      <c r="N2075" s="24"/>
    </row>
    <row r="2076">
      <c r="A2076" s="15">
        <v>2074.0</v>
      </c>
      <c r="B2076" s="39" t="s">
        <v>735</v>
      </c>
      <c r="C2076" s="18" t="s">
        <v>1879</v>
      </c>
      <c r="D2076" s="39" t="s">
        <v>2862</v>
      </c>
      <c r="E2076" s="16" t="s">
        <v>6172</v>
      </c>
      <c r="F2076" s="16" t="s">
        <v>7234</v>
      </c>
      <c r="G2076" s="16" t="s">
        <v>7224</v>
      </c>
      <c r="H2076" s="20" t="s">
        <v>69</v>
      </c>
      <c r="I2076" s="21" t="s">
        <v>70</v>
      </c>
      <c r="J2076" s="22" t="s">
        <v>71</v>
      </c>
      <c r="K2076" s="23">
        <v>70.0</v>
      </c>
      <c r="L2076" s="24">
        <v>10.0</v>
      </c>
      <c r="M2076" s="24" t="str">
        <f>IFERROR(VLOOKUP(D2076,'Chủ đề bài nguồn'!$A$2:$C$735,3,0),"Khác")</f>
        <v>Tiết kiệm &amp; lãi suất tiền gửi</v>
      </c>
      <c r="N2076" s="24"/>
    </row>
    <row r="2077">
      <c r="A2077" s="15">
        <v>2075.0</v>
      </c>
      <c r="B2077" s="39" t="s">
        <v>735</v>
      </c>
      <c r="C2077" s="18" t="s">
        <v>1879</v>
      </c>
      <c r="D2077" s="39" t="s">
        <v>1932</v>
      </c>
      <c r="E2077" s="16" t="s">
        <v>1933</v>
      </c>
      <c r="F2077" s="16" t="s">
        <v>7235</v>
      </c>
      <c r="G2077" s="16" t="s">
        <v>7224</v>
      </c>
      <c r="H2077" s="20" t="s">
        <v>69</v>
      </c>
      <c r="I2077" s="21" t="s">
        <v>70</v>
      </c>
      <c r="J2077" s="22" t="s">
        <v>71</v>
      </c>
      <c r="K2077" s="23">
        <v>70.0</v>
      </c>
      <c r="L2077" s="24">
        <v>10.0</v>
      </c>
      <c r="M2077" s="24" t="str">
        <f>IFERROR(VLOOKUP(D2077,'Chủ đề bài nguồn'!$A$2:$C$735,3,0),"Khác")</f>
        <v>Thẻ tín dụng</v>
      </c>
      <c r="N2077" s="24"/>
    </row>
    <row r="2078">
      <c r="A2078" s="15">
        <v>2076.0</v>
      </c>
      <c r="B2078" s="39" t="s">
        <v>735</v>
      </c>
      <c r="C2078" s="18" t="s">
        <v>1879</v>
      </c>
      <c r="D2078" s="39" t="s">
        <v>2156</v>
      </c>
      <c r="E2078" s="16" t="s">
        <v>6157</v>
      </c>
      <c r="F2078" s="16" t="s">
        <v>7236</v>
      </c>
      <c r="G2078" s="16" t="s">
        <v>7224</v>
      </c>
      <c r="H2078" s="20" t="s">
        <v>69</v>
      </c>
      <c r="I2078" s="21" t="s">
        <v>70</v>
      </c>
      <c r="J2078" s="22" t="s">
        <v>71</v>
      </c>
      <c r="K2078" s="23">
        <v>70.0</v>
      </c>
      <c r="L2078" s="24">
        <v>10.0</v>
      </c>
      <c r="M2078" s="24" t="str">
        <f>IFERROR(VLOOKUP(D2078,'Chủ đề bài nguồn'!$A$2:$C$735,3,0),"Khác")</f>
        <v>Đầu tư, CCTG, trái phiếu, vàng</v>
      </c>
      <c r="N2078" s="24"/>
    </row>
    <row r="2079">
      <c r="A2079" s="15">
        <v>2077.0</v>
      </c>
      <c r="B2079" s="39" t="s">
        <v>735</v>
      </c>
      <c r="C2079" s="18" t="s">
        <v>1879</v>
      </c>
      <c r="D2079" s="39" t="s">
        <v>3311</v>
      </c>
      <c r="E2079" s="16" t="s">
        <v>6772</v>
      </c>
      <c r="F2079" s="16" t="s">
        <v>7237</v>
      </c>
      <c r="G2079" s="16" t="s">
        <v>7231</v>
      </c>
      <c r="H2079" s="20" t="s">
        <v>69</v>
      </c>
      <c r="I2079" s="21" t="s">
        <v>70</v>
      </c>
      <c r="J2079" s="22" t="s">
        <v>71</v>
      </c>
      <c r="K2079" s="23">
        <v>70.0</v>
      </c>
      <c r="L2079" s="24">
        <v>10.0</v>
      </c>
      <c r="M2079" s="24" t="str">
        <f>IFERROR(VLOOKUP(D2079,'Chủ đề bài nguồn'!$A$2:$C$735,3,0),"Khác")</f>
        <v>Vay tiêu dùng &amp; tín chấp</v>
      </c>
      <c r="N2079" s="24"/>
    </row>
    <row r="2080">
      <c r="A2080" s="15">
        <v>2078.0</v>
      </c>
      <c r="B2080" s="16" t="s">
        <v>735</v>
      </c>
      <c r="C2080" s="18" t="s">
        <v>1879</v>
      </c>
      <c r="D2080" s="16" t="s">
        <v>1539</v>
      </c>
      <c r="E2080" s="16" t="s">
        <v>7238</v>
      </c>
      <c r="F2080" s="16" t="s">
        <v>7239</v>
      </c>
      <c r="G2080" s="16" t="s">
        <v>7224</v>
      </c>
      <c r="H2080" s="20" t="s">
        <v>69</v>
      </c>
      <c r="I2080" s="21" t="s">
        <v>70</v>
      </c>
      <c r="J2080" s="22" t="s">
        <v>71</v>
      </c>
      <c r="K2080" s="23">
        <v>70.0</v>
      </c>
      <c r="L2080" s="24">
        <v>10.0</v>
      </c>
      <c r="M2080" s="24" t="str">
        <f>IFERROR(VLOOKUP(D2080,'Chủ đề bài nguồn'!$A$2:$C$735,3,0),"Khác")</f>
        <v>Doanh nghiệp (tài khoản, vay, tài chính)</v>
      </c>
      <c r="N2080" s="24"/>
    </row>
    <row r="2081">
      <c r="A2081" s="15">
        <v>2079.0</v>
      </c>
      <c r="B2081" s="16" t="s">
        <v>735</v>
      </c>
      <c r="C2081" s="18" t="s">
        <v>1879</v>
      </c>
      <c r="D2081" s="16" t="s">
        <v>3310</v>
      </c>
      <c r="E2081" s="16" t="s">
        <v>5586</v>
      </c>
      <c r="F2081" s="16" t="s">
        <v>7240</v>
      </c>
      <c r="G2081" s="16" t="s">
        <v>7224</v>
      </c>
      <c r="H2081" s="20" t="s">
        <v>69</v>
      </c>
      <c r="I2081" s="21" t="s">
        <v>70</v>
      </c>
      <c r="J2081" s="22" t="s">
        <v>71</v>
      </c>
      <c r="K2081" s="23">
        <v>70.0</v>
      </c>
      <c r="L2081" s="24">
        <v>10.0</v>
      </c>
      <c r="M2081" s="24" t="str">
        <f>IFERROR(VLOOKUP(D2081,'Chủ đề bài nguồn'!$A$2:$C$735,3,0),"Khác")</f>
        <v>Hộ kinh doanh &amp; bán hàng</v>
      </c>
      <c r="N2081" s="24"/>
    </row>
    <row r="2082">
      <c r="A2082" s="15">
        <v>2080.0</v>
      </c>
      <c r="B2082" s="16" t="s">
        <v>735</v>
      </c>
      <c r="C2082" s="18" t="s">
        <v>1879</v>
      </c>
      <c r="D2082" s="16" t="s">
        <v>1856</v>
      </c>
      <c r="E2082" s="16" t="s">
        <v>7241</v>
      </c>
      <c r="F2082" s="16" t="s">
        <v>7242</v>
      </c>
      <c r="G2082" s="16" t="s">
        <v>7231</v>
      </c>
      <c r="H2082" s="20" t="s">
        <v>69</v>
      </c>
      <c r="I2082" s="21" t="s">
        <v>70</v>
      </c>
      <c r="J2082" s="22" t="s">
        <v>71</v>
      </c>
      <c r="K2082" s="23">
        <v>70.0</v>
      </c>
      <c r="L2082" s="24">
        <v>10.0</v>
      </c>
      <c r="M2082" s="24" t="str">
        <f>IFERROR(VLOOKUP(D2082,'Chủ đề bài nguồn'!$A$2:$C$735,3,0),"Khác")</f>
        <v>Doanh nghiệp (tài khoản, vay, tài chính)</v>
      </c>
      <c r="N2082" s="24"/>
    </row>
    <row r="2083">
      <c r="A2083" s="15">
        <v>2081.0</v>
      </c>
      <c r="B2083" s="16" t="s">
        <v>735</v>
      </c>
      <c r="C2083" s="18" t="s">
        <v>1879</v>
      </c>
      <c r="D2083" s="16" t="s">
        <v>236</v>
      </c>
      <c r="E2083" s="16" t="s">
        <v>710</v>
      </c>
      <c r="F2083" s="16" t="s">
        <v>7243</v>
      </c>
      <c r="G2083" s="16" t="s">
        <v>7224</v>
      </c>
      <c r="H2083" s="20" t="s">
        <v>69</v>
      </c>
      <c r="I2083" s="21" t="s">
        <v>70</v>
      </c>
      <c r="J2083" s="22" t="s">
        <v>71</v>
      </c>
      <c r="K2083" s="23">
        <v>70.0</v>
      </c>
      <c r="L2083" s="24">
        <v>10.0</v>
      </c>
      <c r="M2083" s="24" t="str">
        <f>IFERROR(VLOOKUP(D2083,'Chủ đề bài nguồn'!$A$2:$C$735,3,0),"Khác")</f>
        <v>Vay thế chấp &amp; mua nhà/xe</v>
      </c>
      <c r="N2083" s="24"/>
    </row>
    <row r="2084">
      <c r="A2084" s="15">
        <v>2082.0</v>
      </c>
      <c r="B2084" s="16" t="s">
        <v>735</v>
      </c>
      <c r="C2084" s="18" t="s">
        <v>1879</v>
      </c>
      <c r="D2084" s="16" t="s">
        <v>3338</v>
      </c>
      <c r="E2084" s="16" t="s">
        <v>7244</v>
      </c>
      <c r="F2084" s="16" t="s">
        <v>7245</v>
      </c>
      <c r="G2084" s="16" t="s">
        <v>7224</v>
      </c>
      <c r="H2084" s="20" t="s">
        <v>69</v>
      </c>
      <c r="I2084" s="21" t="s">
        <v>70</v>
      </c>
      <c r="J2084" s="22" t="s">
        <v>71</v>
      </c>
      <c r="K2084" s="23">
        <v>70.0</v>
      </c>
      <c r="L2084" s="24">
        <v>10.0</v>
      </c>
      <c r="M2084" s="24" t="str">
        <f>IFERROR(VLOOKUP(D2084,'Chủ đề bài nguồn'!$A$2:$C$735,3,0),"Khác")</f>
        <v>Vay tiêu dùng &amp; tín chấp</v>
      </c>
      <c r="N2084" s="24"/>
    </row>
    <row r="2085">
      <c r="A2085" s="15">
        <v>2083.0</v>
      </c>
      <c r="B2085" s="16" t="s">
        <v>735</v>
      </c>
      <c r="C2085" s="18" t="s">
        <v>1879</v>
      </c>
      <c r="D2085" s="16" t="s">
        <v>3341</v>
      </c>
      <c r="E2085" s="16" t="s">
        <v>6613</v>
      </c>
      <c r="F2085" s="16" t="s">
        <v>7246</v>
      </c>
      <c r="G2085" s="16" t="s">
        <v>7224</v>
      </c>
      <c r="H2085" s="20" t="s">
        <v>69</v>
      </c>
      <c r="I2085" s="21" t="s">
        <v>70</v>
      </c>
      <c r="J2085" s="22" t="s">
        <v>71</v>
      </c>
      <c r="K2085" s="23">
        <v>70.0</v>
      </c>
      <c r="L2085" s="24">
        <v>10.0</v>
      </c>
      <c r="M2085" s="24" t="str">
        <f>IFERROR(VLOOKUP(D2085,'Chủ đề bài nguồn'!$A$2:$C$735,3,0),"Khác")</f>
        <v>Vay thế chấp &amp; mua nhà/xe</v>
      </c>
      <c r="N2085" s="24"/>
    </row>
    <row r="2086">
      <c r="A2086" s="15">
        <v>2084.0</v>
      </c>
      <c r="B2086" s="16" t="s">
        <v>735</v>
      </c>
      <c r="C2086" s="18" t="s">
        <v>1879</v>
      </c>
      <c r="D2086" s="16" t="s">
        <v>1160</v>
      </c>
      <c r="E2086" s="16" t="s">
        <v>710</v>
      </c>
      <c r="F2086" s="16" t="s">
        <v>7247</v>
      </c>
      <c r="G2086" s="16" t="s">
        <v>7224</v>
      </c>
      <c r="H2086" s="20" t="s">
        <v>69</v>
      </c>
      <c r="I2086" s="21" t="s">
        <v>70</v>
      </c>
      <c r="J2086" s="22" t="s">
        <v>7248</v>
      </c>
      <c r="K2086" s="23">
        <v>70.0</v>
      </c>
      <c r="L2086" s="24">
        <v>10.0</v>
      </c>
      <c r="M2086" s="24" t="str">
        <f>IFERROR(VLOOKUP(D2086,'Chủ đề bài nguồn'!$A$2:$C$735,3,0),"Khác")</f>
        <v>Vay tiêu dùng &amp; tín chấp</v>
      </c>
      <c r="N2086" s="24"/>
    </row>
    <row r="2087">
      <c r="A2087" s="15">
        <v>2085.0</v>
      </c>
      <c r="B2087" s="16" t="s">
        <v>735</v>
      </c>
      <c r="C2087" s="18" t="s">
        <v>1879</v>
      </c>
      <c r="D2087" s="16" t="s">
        <v>3315</v>
      </c>
      <c r="E2087" s="16" t="s">
        <v>5792</v>
      </c>
      <c r="F2087" s="16" t="s">
        <v>7249</v>
      </c>
      <c r="G2087" s="16" t="s">
        <v>7224</v>
      </c>
      <c r="H2087" s="20" t="s">
        <v>69</v>
      </c>
      <c r="I2087" s="21" t="s">
        <v>70</v>
      </c>
      <c r="J2087" s="22" t="s">
        <v>71</v>
      </c>
      <c r="K2087" s="23">
        <v>70.0</v>
      </c>
      <c r="L2087" s="24">
        <v>10.0</v>
      </c>
      <c r="M2087" s="24" t="str">
        <f>IFERROR(VLOOKUP(D2087,'Chủ đề bài nguồn'!$A$2:$C$735,3,0),"Khác")</f>
        <v>Vay thế chấp &amp; mua nhà/xe</v>
      </c>
      <c r="N2087" s="24"/>
    </row>
    <row r="2088">
      <c r="A2088" s="15">
        <v>2086.0</v>
      </c>
      <c r="B2088" s="16" t="s">
        <v>735</v>
      </c>
      <c r="C2088" s="18" t="s">
        <v>1879</v>
      </c>
      <c r="D2088" s="16" t="s">
        <v>3302</v>
      </c>
      <c r="E2088" s="16" t="s">
        <v>7250</v>
      </c>
      <c r="F2088" s="16" t="s">
        <v>7251</v>
      </c>
      <c r="G2088" s="16" t="s">
        <v>7231</v>
      </c>
      <c r="H2088" s="20" t="s">
        <v>69</v>
      </c>
      <c r="I2088" s="21" t="s">
        <v>70</v>
      </c>
      <c r="J2088" s="22" t="s">
        <v>71</v>
      </c>
      <c r="K2088" s="23">
        <v>70.0</v>
      </c>
      <c r="L2088" s="24">
        <v>10.0</v>
      </c>
      <c r="M2088" s="24" t="str">
        <f>IFERROR(VLOOKUP(D2088,'Chủ đề bài nguồn'!$A$2:$C$735,3,0),"Khác")</f>
        <v>Vay tiêu dùng &amp; tín chấp</v>
      </c>
      <c r="N2088" s="24"/>
    </row>
    <row r="2089">
      <c r="A2089" s="15">
        <v>2087.0</v>
      </c>
      <c r="B2089" s="16" t="s">
        <v>735</v>
      </c>
      <c r="C2089" s="18" t="s">
        <v>1882</v>
      </c>
      <c r="D2089" s="16" t="s">
        <v>3308</v>
      </c>
      <c r="E2089" s="16" t="s">
        <v>7252</v>
      </c>
      <c r="F2089" s="16" t="s">
        <v>7253</v>
      </c>
      <c r="G2089" s="16" t="s">
        <v>7254</v>
      </c>
      <c r="H2089" s="20" t="s">
        <v>69</v>
      </c>
      <c r="I2089" s="21" t="s">
        <v>70</v>
      </c>
      <c r="J2089" s="22" t="s">
        <v>71</v>
      </c>
      <c r="K2089" s="23">
        <v>70.0</v>
      </c>
      <c r="L2089" s="24">
        <v>11.0</v>
      </c>
      <c r="M2089" s="24" t="str">
        <f>IFERROR(VLOOKUP(D2089,'Chủ đề bài nguồn'!$A$2:$C$735,3,0),"Khác")</f>
        <v>Vay thế chấp &amp; mua nhà/xe</v>
      </c>
      <c r="N2089" s="24"/>
    </row>
    <row r="2090">
      <c r="A2090" s="15">
        <v>2088.0</v>
      </c>
      <c r="B2090" s="16" t="s">
        <v>735</v>
      </c>
      <c r="C2090" s="18" t="s">
        <v>1882</v>
      </c>
      <c r="D2090" s="16" t="s">
        <v>3288</v>
      </c>
      <c r="E2090" s="16" t="s">
        <v>6964</v>
      </c>
      <c r="F2090" s="16" t="s">
        <v>7255</v>
      </c>
      <c r="G2090" s="16" t="s">
        <v>7256</v>
      </c>
      <c r="H2090" s="20" t="s">
        <v>155</v>
      </c>
      <c r="I2090" s="21" t="s">
        <v>70</v>
      </c>
      <c r="J2090" s="22" t="s">
        <v>71</v>
      </c>
      <c r="K2090" s="23">
        <v>70.0</v>
      </c>
      <c r="L2090" s="24">
        <v>21.0</v>
      </c>
      <c r="M2090" s="24" t="str">
        <f>IFERROR(VLOOKUP(D2090,'Chủ đề bài nguồn'!$A$2:$C$735,3,0),"Khác")</f>
        <v>Vay tiêu dùng &amp; tín chấp</v>
      </c>
      <c r="N2090" s="24"/>
    </row>
    <row r="2091">
      <c r="A2091" s="15">
        <v>2089.0</v>
      </c>
      <c r="B2091" s="16" t="s">
        <v>735</v>
      </c>
      <c r="C2091" s="18" t="s">
        <v>1882</v>
      </c>
      <c r="D2091" s="16" t="s">
        <v>1534</v>
      </c>
      <c r="E2091" s="16" t="s">
        <v>5613</v>
      </c>
      <c r="F2091" s="16" t="s">
        <v>7257</v>
      </c>
      <c r="G2091" s="16" t="s">
        <v>7258</v>
      </c>
      <c r="H2091" s="20" t="s">
        <v>155</v>
      </c>
      <c r="I2091" s="21" t="s">
        <v>70</v>
      </c>
      <c r="J2091" s="22" t="s">
        <v>71</v>
      </c>
      <c r="K2091" s="23">
        <v>70.0</v>
      </c>
      <c r="L2091" s="24">
        <v>21.0</v>
      </c>
      <c r="M2091" s="24" t="str">
        <f>IFERROR(VLOOKUP(D2091,'Chủ đề bài nguồn'!$A$2:$C$735,3,0),"Khác")</f>
        <v>Vay tiêu dùng &amp; tín chấp</v>
      </c>
      <c r="N2091" s="24"/>
    </row>
    <row r="2092">
      <c r="A2092" s="15">
        <v>2090.0</v>
      </c>
      <c r="B2092" s="16" t="s">
        <v>735</v>
      </c>
      <c r="C2092" s="18" t="s">
        <v>1882</v>
      </c>
      <c r="D2092" s="16" t="s">
        <v>3074</v>
      </c>
      <c r="E2092" s="16" t="s">
        <v>7259</v>
      </c>
      <c r="F2092" s="16" t="s">
        <v>7260</v>
      </c>
      <c r="G2092" s="16" t="s">
        <v>7261</v>
      </c>
      <c r="H2092" s="20" t="s">
        <v>155</v>
      </c>
      <c r="I2092" s="21" t="s">
        <v>70</v>
      </c>
      <c r="J2092" s="22" t="s">
        <v>619</v>
      </c>
      <c r="K2092" s="23">
        <v>70.0</v>
      </c>
      <c r="L2092" s="24">
        <v>21.0</v>
      </c>
      <c r="M2092" s="24" t="str">
        <f>IFERROR(VLOOKUP(D2092,'Chủ đề bài nguồn'!$A$2:$C$735,3,0),"Khác")</f>
        <v>Nợ xấu &amp; CIC</v>
      </c>
      <c r="N2092" s="24"/>
    </row>
    <row r="2093">
      <c r="A2093" s="15">
        <v>2091.0</v>
      </c>
      <c r="B2093" s="39" t="s">
        <v>735</v>
      </c>
      <c r="C2093" s="18" t="s">
        <v>1882</v>
      </c>
      <c r="D2093" s="39" t="s">
        <v>3046</v>
      </c>
      <c r="E2093" s="16" t="s">
        <v>5820</v>
      </c>
      <c r="F2093" s="16" t="s">
        <v>7262</v>
      </c>
      <c r="G2093" s="16" t="s">
        <v>7263</v>
      </c>
      <c r="H2093" s="20" t="s">
        <v>155</v>
      </c>
      <c r="I2093" s="21" t="s">
        <v>70</v>
      </c>
      <c r="J2093" s="22" t="s">
        <v>2506</v>
      </c>
      <c r="K2093" s="23">
        <v>70.0</v>
      </c>
      <c r="L2093" s="24">
        <v>21.0</v>
      </c>
      <c r="M2093" s="24" t="str">
        <f>IFERROR(VLOOKUP(D2093,'Chủ đề bài nguồn'!$A$2:$C$735,3,0),"Khác")</f>
        <v>Tài khoản &amp; ngân hàng số</v>
      </c>
      <c r="N2093" s="24"/>
    </row>
    <row r="2094">
      <c r="A2094" s="15">
        <v>2092.0</v>
      </c>
      <c r="B2094" s="39" t="s">
        <v>735</v>
      </c>
      <c r="C2094" s="18" t="s">
        <v>1882</v>
      </c>
      <c r="D2094" s="39" t="s">
        <v>3112</v>
      </c>
      <c r="E2094" s="16" t="s">
        <v>7264</v>
      </c>
      <c r="F2094" s="16" t="s">
        <v>7265</v>
      </c>
      <c r="G2094" s="16" t="s">
        <v>7261</v>
      </c>
      <c r="H2094" s="20" t="s">
        <v>155</v>
      </c>
      <c r="I2094" s="21" t="s">
        <v>70</v>
      </c>
      <c r="J2094" s="22" t="s">
        <v>7266</v>
      </c>
      <c r="K2094" s="23">
        <v>70.0</v>
      </c>
      <c r="L2094" s="24">
        <v>21.0</v>
      </c>
      <c r="M2094" s="24" t="str">
        <f>IFERROR(VLOOKUP(D2094,'Chủ đề bài nguồn'!$A$2:$C$735,3,0),"Khác")</f>
        <v>Tiết kiệm &amp; lãi suất tiền gửi</v>
      </c>
      <c r="N2094" s="24"/>
    </row>
    <row r="2095">
      <c r="A2095" s="15">
        <v>2093.0</v>
      </c>
      <c r="B2095" s="16" t="s">
        <v>735</v>
      </c>
      <c r="C2095" s="18" t="s">
        <v>1879</v>
      </c>
      <c r="D2095" s="16" t="s">
        <v>2871</v>
      </c>
      <c r="E2095" s="16" t="s">
        <v>7267</v>
      </c>
      <c r="F2095" s="16" t="s">
        <v>7268</v>
      </c>
      <c r="G2095" s="16" t="s">
        <v>7269</v>
      </c>
      <c r="H2095" s="20" t="s">
        <v>155</v>
      </c>
      <c r="I2095" s="21" t="s">
        <v>70</v>
      </c>
      <c r="J2095" s="22" t="s">
        <v>71</v>
      </c>
      <c r="K2095" s="23">
        <v>70.0</v>
      </c>
      <c r="L2095" s="24">
        <v>21.0</v>
      </c>
      <c r="M2095" s="24" t="str">
        <f>IFERROR(VLOOKUP(D2095,'Chủ đề bài nguồn'!$A$2:$C$735,3,0),"Khác")</f>
        <v>Tiết kiệm &amp; lãi suất tiền gửi</v>
      </c>
      <c r="N2095" s="24"/>
    </row>
    <row r="2096">
      <c r="A2096" s="15">
        <v>2094.0</v>
      </c>
      <c r="B2096" s="16" t="s">
        <v>735</v>
      </c>
      <c r="C2096" s="18" t="s">
        <v>1879</v>
      </c>
      <c r="D2096" s="16" t="s">
        <v>3081</v>
      </c>
      <c r="E2096" s="16" t="s">
        <v>2001</v>
      </c>
      <c r="F2096" s="16" t="s">
        <v>7270</v>
      </c>
      <c r="G2096" s="16" t="s">
        <v>7271</v>
      </c>
      <c r="H2096" s="20" t="s">
        <v>155</v>
      </c>
      <c r="I2096" s="21" t="s">
        <v>70</v>
      </c>
      <c r="J2096" s="22" t="s">
        <v>71</v>
      </c>
      <c r="K2096" s="23">
        <v>70.0</v>
      </c>
      <c r="L2096" s="24">
        <v>21.0</v>
      </c>
      <c r="M2096" s="24" t="str">
        <f>IFERROR(VLOOKUP(D2096,'Chủ đề bài nguồn'!$A$2:$C$735,3,0),"Khác")</f>
        <v>Thẻ tín dụng</v>
      </c>
      <c r="N2096" s="24"/>
    </row>
    <row r="2097">
      <c r="A2097" s="15">
        <v>2095.0</v>
      </c>
      <c r="B2097" s="39" t="s">
        <v>735</v>
      </c>
      <c r="C2097" s="18" t="s">
        <v>1879</v>
      </c>
      <c r="D2097" s="39" t="s">
        <v>3092</v>
      </c>
      <c r="E2097" s="16" t="s">
        <v>7272</v>
      </c>
      <c r="F2097" s="16" t="s">
        <v>7273</v>
      </c>
      <c r="G2097" s="16" t="s">
        <v>7274</v>
      </c>
      <c r="H2097" s="20" t="s">
        <v>155</v>
      </c>
      <c r="I2097" s="21" t="s">
        <v>70</v>
      </c>
      <c r="J2097" s="22" t="s">
        <v>7275</v>
      </c>
      <c r="K2097" s="23">
        <v>70.0</v>
      </c>
      <c r="L2097" s="24">
        <v>21.0</v>
      </c>
      <c r="M2097" s="24" t="str">
        <f>IFERROR(VLOOKUP(D2097,'Chủ đề bài nguồn'!$A$2:$C$735,3,0),"Khác")</f>
        <v>Ngân hàng xanh &amp; thương hiệu</v>
      </c>
      <c r="N2097" s="24"/>
    </row>
    <row r="2098">
      <c r="A2098" s="15">
        <v>2096.0</v>
      </c>
      <c r="B2098" s="16" t="s">
        <v>735</v>
      </c>
      <c r="C2098" s="18" t="s">
        <v>1879</v>
      </c>
      <c r="D2098" s="16" t="s">
        <v>3337</v>
      </c>
      <c r="E2098" s="16" t="s">
        <v>7023</v>
      </c>
      <c r="F2098" s="16" t="s">
        <v>7276</v>
      </c>
      <c r="G2098" s="16" t="s">
        <v>7277</v>
      </c>
      <c r="H2098" s="20" t="s">
        <v>155</v>
      </c>
      <c r="I2098" s="21" t="s">
        <v>70</v>
      </c>
      <c r="J2098" s="22" t="s">
        <v>7278</v>
      </c>
      <c r="K2098" s="23">
        <v>70.0</v>
      </c>
      <c r="L2098" s="24">
        <v>21.0</v>
      </c>
      <c r="M2098" s="24" t="str">
        <f>IFERROR(VLOOKUP(D2098,'Chủ đề bài nguồn'!$A$2:$C$735,3,0),"Khác")</f>
        <v>Nợ xấu &amp; CIC</v>
      </c>
      <c r="N2098" s="24"/>
    </row>
    <row r="2099">
      <c r="A2099" s="15">
        <v>2097.0</v>
      </c>
      <c r="B2099" s="39" t="s">
        <v>735</v>
      </c>
      <c r="C2099" s="18" t="s">
        <v>1877</v>
      </c>
      <c r="D2099" s="39" t="s">
        <v>2535</v>
      </c>
      <c r="E2099" s="16" t="s">
        <v>7279</v>
      </c>
      <c r="F2099" s="16" t="s">
        <v>7280</v>
      </c>
      <c r="G2099" s="16" t="s">
        <v>7281</v>
      </c>
      <c r="H2099" s="20" t="s">
        <v>155</v>
      </c>
      <c r="I2099" s="21" t="s">
        <v>70</v>
      </c>
      <c r="J2099" s="22" t="s">
        <v>71</v>
      </c>
      <c r="K2099" s="23">
        <v>70.0</v>
      </c>
      <c r="L2099" s="24">
        <v>21.0</v>
      </c>
      <c r="M2099" s="24" t="str">
        <f>IFERROR(VLOOKUP(D2099,'Chủ đề bài nguồn'!$A$2:$C$735,3,0),"Khác")</f>
        <v>Vay tiêu dùng &amp; tín chấp</v>
      </c>
      <c r="N2099" s="24"/>
    </row>
    <row r="2100">
      <c r="A2100" s="15">
        <v>2098.0</v>
      </c>
      <c r="B2100" s="39" t="s">
        <v>735</v>
      </c>
      <c r="C2100" s="18" t="s">
        <v>1877</v>
      </c>
      <c r="D2100" s="39" t="s">
        <v>1116</v>
      </c>
      <c r="E2100" s="16" t="s">
        <v>7282</v>
      </c>
      <c r="F2100" s="16" t="s">
        <v>7260</v>
      </c>
      <c r="G2100" s="16" t="s">
        <v>7283</v>
      </c>
      <c r="H2100" s="20" t="s">
        <v>155</v>
      </c>
      <c r="I2100" s="21" t="s">
        <v>70</v>
      </c>
      <c r="J2100" s="22" t="s">
        <v>4433</v>
      </c>
      <c r="K2100" s="23">
        <v>70.0</v>
      </c>
      <c r="L2100" s="24">
        <v>21.0</v>
      </c>
      <c r="M2100" s="24" t="str">
        <f>IFERROR(VLOOKUP(D2100,'Chủ đề bài nguồn'!$A$2:$C$735,3,0),"Khác")</f>
        <v>Vay thế chấp &amp; mua nhà/xe</v>
      </c>
      <c r="N2100" s="24"/>
    </row>
    <row r="2101">
      <c r="A2101" s="15">
        <v>2099.0</v>
      </c>
      <c r="B2101" s="39" t="s">
        <v>735</v>
      </c>
      <c r="C2101" s="18" t="s">
        <v>1877</v>
      </c>
      <c r="D2101" s="39" t="s">
        <v>1458</v>
      </c>
      <c r="E2101" s="16" t="s">
        <v>1459</v>
      </c>
      <c r="F2101" s="16" t="s">
        <v>7284</v>
      </c>
      <c r="G2101" s="16" t="s">
        <v>7285</v>
      </c>
      <c r="H2101" s="20" t="s">
        <v>155</v>
      </c>
      <c r="I2101" s="21" t="s">
        <v>70</v>
      </c>
      <c r="J2101" s="22" t="s">
        <v>71</v>
      </c>
      <c r="K2101" s="23">
        <v>70.0</v>
      </c>
      <c r="L2101" s="24">
        <v>21.0</v>
      </c>
      <c r="M2101" s="24" t="str">
        <f>IFERROR(VLOOKUP(D2101,'Chủ đề bài nguồn'!$A$2:$C$735,3,0),"Khác")</f>
        <v>Tài khoản &amp; ngân hàng số</v>
      </c>
      <c r="N2101" s="24"/>
    </row>
    <row r="2102">
      <c r="A2102" s="15">
        <v>2100.0</v>
      </c>
      <c r="B2102" s="39" t="s">
        <v>735</v>
      </c>
      <c r="C2102" s="18" t="s">
        <v>1877</v>
      </c>
      <c r="D2102" s="39" t="s">
        <v>3095</v>
      </c>
      <c r="E2102" s="16" t="s">
        <v>4430</v>
      </c>
      <c r="F2102" s="16" t="s">
        <v>7286</v>
      </c>
      <c r="G2102" s="16" t="s">
        <v>7287</v>
      </c>
      <c r="H2102" s="20" t="s">
        <v>155</v>
      </c>
      <c r="I2102" s="21" t="s">
        <v>70</v>
      </c>
      <c r="J2102" s="22" t="s">
        <v>71</v>
      </c>
      <c r="K2102" s="23">
        <v>70.0</v>
      </c>
      <c r="L2102" s="24">
        <v>21.0</v>
      </c>
      <c r="M2102" s="24" t="str">
        <f>IFERROR(VLOOKUP(D2102,'Chủ đề bài nguồn'!$A$2:$C$735,3,0),"Khác")</f>
        <v>Doanh nghiệp (tài khoản, vay, tài chính)</v>
      </c>
      <c r="N2102" s="24"/>
    </row>
    <row r="2103">
      <c r="A2103" s="15">
        <v>2101.0</v>
      </c>
      <c r="B2103" s="39" t="s">
        <v>735</v>
      </c>
      <c r="C2103" s="18" t="s">
        <v>1879</v>
      </c>
      <c r="D2103" s="39" t="s">
        <v>1767</v>
      </c>
      <c r="E2103" s="16" t="s">
        <v>7288</v>
      </c>
      <c r="F2103" s="16" t="s">
        <v>7289</v>
      </c>
      <c r="G2103" s="16" t="s">
        <v>7224</v>
      </c>
      <c r="H2103" s="20" t="s">
        <v>229</v>
      </c>
      <c r="I2103" s="21" t="s">
        <v>70</v>
      </c>
      <c r="J2103" s="22" t="s">
        <v>7290</v>
      </c>
      <c r="K2103" s="23">
        <v>70.0</v>
      </c>
      <c r="L2103" s="24">
        <v>30.0</v>
      </c>
      <c r="M2103" s="24" t="str">
        <f>IFERROR(VLOOKUP(D2103,'Chủ đề bài nguồn'!$A$2:$C$735,3,0),"Khác")</f>
        <v>Thẻ ATM &amp; thẻ ghi nợ</v>
      </c>
      <c r="N2103" s="24"/>
    </row>
    <row r="2104">
      <c r="A2104" s="15">
        <v>2102.0</v>
      </c>
      <c r="B2104" s="16" t="s">
        <v>735</v>
      </c>
      <c r="C2104" s="18" t="s">
        <v>1882</v>
      </c>
      <c r="D2104" s="16" t="s">
        <v>3326</v>
      </c>
      <c r="E2104" s="16" t="s">
        <v>5580</v>
      </c>
      <c r="F2104" s="16" t="s">
        <v>7291</v>
      </c>
      <c r="G2104" s="16" t="s">
        <v>7292</v>
      </c>
      <c r="H2104" s="20" t="s">
        <v>229</v>
      </c>
      <c r="I2104" s="21" t="s">
        <v>70</v>
      </c>
      <c r="J2104" s="22" t="s">
        <v>71</v>
      </c>
      <c r="K2104" s="23">
        <v>70.0</v>
      </c>
      <c r="L2104" s="24">
        <v>31.0</v>
      </c>
      <c r="M2104" s="24" t="str">
        <f>IFERROR(VLOOKUP(D2104,'Chủ đề bài nguồn'!$A$2:$C$735,3,0),"Khác")</f>
        <v>Vay thế chấp &amp; mua nhà/xe</v>
      </c>
      <c r="N2104" s="24"/>
    </row>
    <row r="2105">
      <c r="A2105" s="15">
        <v>2103.0</v>
      </c>
      <c r="B2105" s="16" t="s">
        <v>735</v>
      </c>
      <c r="C2105" s="18" t="s">
        <v>1882</v>
      </c>
      <c r="D2105" s="16" t="s">
        <v>1158</v>
      </c>
      <c r="E2105" s="16" t="s">
        <v>6861</v>
      </c>
      <c r="F2105" s="16" t="s">
        <v>7260</v>
      </c>
      <c r="G2105" s="16" t="s">
        <v>7293</v>
      </c>
      <c r="H2105" s="20" t="s">
        <v>229</v>
      </c>
      <c r="I2105" s="21" t="s">
        <v>70</v>
      </c>
      <c r="J2105" s="22" t="s">
        <v>4433</v>
      </c>
      <c r="K2105" s="23">
        <v>70.0</v>
      </c>
      <c r="L2105" s="24">
        <v>31.0</v>
      </c>
      <c r="M2105" s="24" t="str">
        <f>IFERROR(VLOOKUP(D2105,'Chủ đề bài nguồn'!$A$2:$C$735,3,0),"Khác")</f>
        <v>Nợ xấu &amp; CIC</v>
      </c>
      <c r="N2105" s="24"/>
    </row>
    <row r="2106">
      <c r="A2106" s="15">
        <v>2104.0</v>
      </c>
      <c r="B2106" s="39" t="s">
        <v>735</v>
      </c>
      <c r="C2106" s="18" t="s">
        <v>1882</v>
      </c>
      <c r="D2106" s="39" t="s">
        <v>1582</v>
      </c>
      <c r="E2106" s="16" t="s">
        <v>7294</v>
      </c>
      <c r="F2106" s="16" t="s">
        <v>7295</v>
      </c>
      <c r="G2106" s="16" t="s">
        <v>7258</v>
      </c>
      <c r="H2106" s="20" t="s">
        <v>229</v>
      </c>
      <c r="I2106" s="21" t="s">
        <v>70</v>
      </c>
      <c r="J2106" s="22" t="s">
        <v>1073</v>
      </c>
      <c r="K2106" s="23">
        <v>70.0</v>
      </c>
      <c r="L2106" s="24">
        <v>31.0</v>
      </c>
      <c r="M2106" s="24" t="str">
        <f>IFERROR(VLOOKUP(D2106,'Chủ đề bài nguồn'!$A$2:$C$735,3,0),"Khác")</f>
        <v>Tài khoản &amp; ngân hàng số</v>
      </c>
      <c r="N2106" s="24"/>
    </row>
    <row r="2107">
      <c r="A2107" s="15">
        <v>2105.0</v>
      </c>
      <c r="B2107" s="39" t="s">
        <v>735</v>
      </c>
      <c r="C2107" s="18" t="s">
        <v>1882</v>
      </c>
      <c r="D2107" s="39" t="s">
        <v>1435</v>
      </c>
      <c r="E2107" s="16" t="s">
        <v>3614</v>
      </c>
      <c r="F2107" s="16" t="s">
        <v>7296</v>
      </c>
      <c r="G2107" s="16" t="s">
        <v>7297</v>
      </c>
      <c r="H2107" s="20" t="s">
        <v>229</v>
      </c>
      <c r="I2107" s="21" t="s">
        <v>70</v>
      </c>
      <c r="J2107" s="22" t="s">
        <v>71</v>
      </c>
      <c r="K2107" s="23">
        <v>70.0</v>
      </c>
      <c r="L2107" s="24">
        <v>31.0</v>
      </c>
      <c r="M2107" s="24" t="str">
        <f>IFERROR(VLOOKUP(D2107,'Chủ đề bài nguồn'!$A$2:$C$735,3,0),"Khác")</f>
        <v>Đầu tư, CCTG, trái phiếu, vàng</v>
      </c>
      <c r="N2107" s="24"/>
    </row>
    <row r="2108">
      <c r="A2108" s="15">
        <v>2106.0</v>
      </c>
      <c r="B2108" s="39" t="s">
        <v>735</v>
      </c>
      <c r="C2108" s="18" t="s">
        <v>1882</v>
      </c>
      <c r="D2108" s="39" t="s">
        <v>910</v>
      </c>
      <c r="E2108" s="16" t="s">
        <v>7298</v>
      </c>
      <c r="F2108" s="16" t="s">
        <v>7299</v>
      </c>
      <c r="G2108" s="16" t="s">
        <v>7300</v>
      </c>
      <c r="H2108" s="20" t="s">
        <v>229</v>
      </c>
      <c r="I2108" s="21" t="s">
        <v>70</v>
      </c>
      <c r="J2108" s="22" t="s">
        <v>71</v>
      </c>
      <c r="K2108" s="23">
        <v>70.0</v>
      </c>
      <c r="L2108" s="24">
        <v>31.0</v>
      </c>
      <c r="M2108" s="24" t="str">
        <f>IFERROR(VLOOKUP(D2108,'Chủ đề bài nguồn'!$A$2:$C$735,3,0),"Khác")</f>
        <v>Thanh toán, chuyển khoản &amp; QR</v>
      </c>
      <c r="N2108" s="24"/>
    </row>
    <row r="2109">
      <c r="A2109" s="15">
        <v>2107.0</v>
      </c>
      <c r="B2109" s="39" t="s">
        <v>735</v>
      </c>
      <c r="C2109" s="18" t="s">
        <v>1882</v>
      </c>
      <c r="D2109" s="39" t="s">
        <v>2873</v>
      </c>
      <c r="E2109" s="16" t="s">
        <v>7301</v>
      </c>
      <c r="F2109" s="16" t="s">
        <v>7302</v>
      </c>
      <c r="G2109" s="16" t="s">
        <v>7303</v>
      </c>
      <c r="H2109" s="20" t="s">
        <v>229</v>
      </c>
      <c r="I2109" s="21" t="s">
        <v>70</v>
      </c>
      <c r="J2109" s="22" t="s">
        <v>71</v>
      </c>
      <c r="K2109" s="23">
        <v>70.0</v>
      </c>
      <c r="L2109" s="24">
        <v>31.0</v>
      </c>
      <c r="M2109" s="24" t="str">
        <f>IFERROR(VLOOKUP(D2109,'Chủ đề bài nguồn'!$A$2:$C$735,3,0),"Khác")</f>
        <v>Tiết kiệm &amp; lãi suất tiền gửi</v>
      </c>
      <c r="N2109" s="24"/>
    </row>
    <row r="2110">
      <c r="A2110" s="15">
        <v>2108.0</v>
      </c>
      <c r="B2110" s="16" t="s">
        <v>735</v>
      </c>
      <c r="C2110" s="18" t="s">
        <v>1879</v>
      </c>
      <c r="D2110" s="16" t="s">
        <v>1723</v>
      </c>
      <c r="E2110" s="16" t="s">
        <v>5972</v>
      </c>
      <c r="F2110" s="16" t="s">
        <v>7304</v>
      </c>
      <c r="G2110" s="16" t="s">
        <v>7305</v>
      </c>
      <c r="H2110" s="20" t="s">
        <v>229</v>
      </c>
      <c r="I2110" s="21" t="s">
        <v>70</v>
      </c>
      <c r="J2110" s="22" t="s">
        <v>387</v>
      </c>
      <c r="K2110" s="23">
        <v>70.0</v>
      </c>
      <c r="L2110" s="24">
        <v>31.0</v>
      </c>
      <c r="M2110" s="24" t="str">
        <f>IFERROR(VLOOKUP(D2110,'Chủ đề bài nguồn'!$A$2:$C$735,3,0),"Khác")</f>
        <v>Tiết kiệm &amp; lãi suất tiền gửi</v>
      </c>
      <c r="N2110" s="24"/>
    </row>
    <row r="2111">
      <c r="A2111" s="15">
        <v>2109.0</v>
      </c>
      <c r="B2111" s="16" t="s">
        <v>1158</v>
      </c>
      <c r="C2111" s="18" t="s">
        <v>2447</v>
      </c>
      <c r="D2111" s="16" t="s">
        <v>3071</v>
      </c>
      <c r="E2111" s="16" t="s">
        <v>3497</v>
      </c>
      <c r="F2111" s="16" t="s">
        <v>7306</v>
      </c>
      <c r="G2111" s="16" t="s">
        <v>7307</v>
      </c>
      <c r="H2111" s="20" t="s">
        <v>69</v>
      </c>
      <c r="I2111" s="21" t="s">
        <v>70</v>
      </c>
      <c r="J2111" s="22" t="s">
        <v>71</v>
      </c>
      <c r="K2111" s="23">
        <v>71.0</v>
      </c>
      <c r="L2111" s="24">
        <v>10.0</v>
      </c>
      <c r="M2111" s="24" t="str">
        <f>IFERROR(VLOOKUP(D2111,'Chủ đề bài nguồn'!$A$2:$C$735,3,0),"Khác")</f>
        <v>Nợ xấu &amp; CIC</v>
      </c>
      <c r="N2111" s="24"/>
    </row>
    <row r="2112">
      <c r="A2112" s="15">
        <v>2110.0</v>
      </c>
      <c r="B2112" s="16" t="s">
        <v>1158</v>
      </c>
      <c r="C2112" s="18" t="s">
        <v>2447</v>
      </c>
      <c r="D2112" s="16" t="s">
        <v>3065</v>
      </c>
      <c r="E2112" s="16" t="s">
        <v>7308</v>
      </c>
      <c r="F2112" s="16" t="s">
        <v>7309</v>
      </c>
      <c r="G2112" s="16" t="s">
        <v>7307</v>
      </c>
      <c r="H2112" s="20" t="s">
        <v>69</v>
      </c>
      <c r="I2112" s="21" t="s">
        <v>70</v>
      </c>
      <c r="J2112" s="22" t="s">
        <v>71</v>
      </c>
      <c r="K2112" s="23">
        <v>71.0</v>
      </c>
      <c r="L2112" s="24">
        <v>10.0</v>
      </c>
      <c r="M2112" s="24" t="str">
        <f>IFERROR(VLOOKUP(D2112,'Chủ đề bài nguồn'!$A$2:$C$735,3,0),"Khác")</f>
        <v>Nợ xấu &amp; CIC</v>
      </c>
      <c r="N2112" s="24"/>
    </row>
    <row r="2113">
      <c r="A2113" s="15">
        <v>2111.0</v>
      </c>
      <c r="B2113" s="16" t="s">
        <v>1158</v>
      </c>
      <c r="C2113" s="18" t="s">
        <v>2447</v>
      </c>
      <c r="D2113" s="16" t="s">
        <v>1164</v>
      </c>
      <c r="E2113" s="16" t="s">
        <v>7310</v>
      </c>
      <c r="F2113" s="16" t="s">
        <v>7309</v>
      </c>
      <c r="G2113" s="16" t="s">
        <v>7307</v>
      </c>
      <c r="H2113" s="20" t="s">
        <v>69</v>
      </c>
      <c r="I2113" s="21" t="s">
        <v>70</v>
      </c>
      <c r="J2113" s="22" t="s">
        <v>71</v>
      </c>
      <c r="K2113" s="23">
        <v>71.0</v>
      </c>
      <c r="L2113" s="24">
        <v>10.0</v>
      </c>
      <c r="M2113" s="24" t="str">
        <f>IFERROR(VLOOKUP(D2113,'Chủ đề bài nguồn'!$A$2:$C$735,3,0),"Khác")</f>
        <v>Nợ xấu &amp; CIC</v>
      </c>
      <c r="N2113" s="24"/>
    </row>
    <row r="2114">
      <c r="A2114" s="15">
        <v>2112.0</v>
      </c>
      <c r="B2114" s="16" t="s">
        <v>1158</v>
      </c>
      <c r="C2114" s="18" t="s">
        <v>4342</v>
      </c>
      <c r="D2114" s="16" t="s">
        <v>93</v>
      </c>
      <c r="E2114" s="16" t="s">
        <v>7311</v>
      </c>
      <c r="F2114" s="16" t="s">
        <v>7312</v>
      </c>
      <c r="G2114" s="16" t="s">
        <v>7313</v>
      </c>
      <c r="H2114" s="20" t="s">
        <v>69</v>
      </c>
      <c r="I2114" s="21" t="s">
        <v>70</v>
      </c>
      <c r="J2114" s="22" t="s">
        <v>7314</v>
      </c>
      <c r="K2114" s="23">
        <v>71.0</v>
      </c>
      <c r="L2114" s="24">
        <v>10.0</v>
      </c>
      <c r="M2114" s="24" t="str">
        <f>IFERROR(VLOOKUP(D2114,'Chủ đề bài nguồn'!$A$2:$C$735,3,0),"Khác")</f>
        <v>Nợ xấu &amp; CIC</v>
      </c>
      <c r="N2114" s="24"/>
    </row>
    <row r="2115">
      <c r="A2115" s="15">
        <v>2113.0</v>
      </c>
      <c r="B2115" s="16" t="s">
        <v>1158</v>
      </c>
      <c r="C2115" s="18" t="s">
        <v>2447</v>
      </c>
      <c r="D2115" s="16" t="s">
        <v>3059</v>
      </c>
      <c r="E2115" s="16" t="s">
        <v>7315</v>
      </c>
      <c r="F2115" s="16" t="s">
        <v>7316</v>
      </c>
      <c r="G2115" s="16" t="s">
        <v>7317</v>
      </c>
      <c r="H2115" s="20" t="s">
        <v>69</v>
      </c>
      <c r="I2115" s="21" t="s">
        <v>70</v>
      </c>
      <c r="J2115" s="22" t="s">
        <v>7318</v>
      </c>
      <c r="K2115" s="23">
        <v>71.0</v>
      </c>
      <c r="L2115" s="24">
        <v>11.0</v>
      </c>
      <c r="M2115" s="24" t="str">
        <f>IFERROR(VLOOKUP(D2115,'Chủ đề bài nguồn'!$A$2:$C$735,3,0),"Khác")</f>
        <v>Nợ xấu &amp; CIC</v>
      </c>
      <c r="N2115" s="24"/>
    </row>
    <row r="2116">
      <c r="A2116" s="15">
        <v>2114.0</v>
      </c>
      <c r="B2116" s="16" t="s">
        <v>1158</v>
      </c>
      <c r="C2116" s="18" t="s">
        <v>2447</v>
      </c>
      <c r="D2116" s="16" t="s">
        <v>3163</v>
      </c>
      <c r="E2116" s="16" t="s">
        <v>7319</v>
      </c>
      <c r="F2116" s="16" t="s">
        <v>7320</v>
      </c>
      <c r="G2116" s="16" t="s">
        <v>7321</v>
      </c>
      <c r="H2116" s="20" t="s">
        <v>155</v>
      </c>
      <c r="I2116" s="21" t="s">
        <v>70</v>
      </c>
      <c r="J2116" s="22" t="s">
        <v>71</v>
      </c>
      <c r="K2116" s="23">
        <v>71.0</v>
      </c>
      <c r="L2116" s="24">
        <v>21.0</v>
      </c>
      <c r="M2116" s="24" t="str">
        <f>IFERROR(VLOOKUP(D2116,'Chủ đề bài nguồn'!$A$2:$C$735,3,0),"Khác")</f>
        <v>Thẻ tín dụng</v>
      </c>
      <c r="N2116" s="24"/>
    </row>
    <row r="2117">
      <c r="A2117" s="15">
        <v>2115.0</v>
      </c>
      <c r="B2117" s="16" t="s">
        <v>1158</v>
      </c>
      <c r="C2117" s="18" t="s">
        <v>2447</v>
      </c>
      <c r="D2117" s="16" t="s">
        <v>700</v>
      </c>
      <c r="E2117" s="16" t="s">
        <v>3523</v>
      </c>
      <c r="F2117" s="16" t="s">
        <v>7322</v>
      </c>
      <c r="G2117" s="16" t="s">
        <v>7323</v>
      </c>
      <c r="H2117" s="20" t="s">
        <v>155</v>
      </c>
      <c r="I2117" s="21" t="s">
        <v>70</v>
      </c>
      <c r="J2117" s="22" t="s">
        <v>71</v>
      </c>
      <c r="K2117" s="23">
        <v>71.0</v>
      </c>
      <c r="L2117" s="24">
        <v>21.0</v>
      </c>
      <c r="M2117" s="24" t="str">
        <f>IFERROR(VLOOKUP(D2117,'Chủ đề bài nguồn'!$A$2:$C$735,3,0),"Khác")</f>
        <v>Thẻ tín dụng</v>
      </c>
      <c r="N2117" s="24"/>
    </row>
    <row r="2118">
      <c r="A2118" s="15">
        <v>2116.0</v>
      </c>
      <c r="B2118" s="16" t="s">
        <v>1158</v>
      </c>
      <c r="C2118" s="18" t="s">
        <v>2447</v>
      </c>
      <c r="D2118" s="16" t="s">
        <v>3258</v>
      </c>
      <c r="E2118" s="16" t="s">
        <v>7324</v>
      </c>
      <c r="F2118" s="16" t="s">
        <v>7325</v>
      </c>
      <c r="G2118" s="16" t="s">
        <v>7326</v>
      </c>
      <c r="H2118" s="20" t="s">
        <v>155</v>
      </c>
      <c r="I2118" s="21" t="s">
        <v>70</v>
      </c>
      <c r="J2118" s="22" t="s">
        <v>71</v>
      </c>
      <c r="K2118" s="23">
        <v>71.0</v>
      </c>
      <c r="L2118" s="24">
        <v>21.0</v>
      </c>
      <c r="M2118" s="24" t="str">
        <f>IFERROR(VLOOKUP(D2118,'Chủ đề bài nguồn'!$A$2:$C$735,3,0),"Khác")</f>
        <v>Vay tiêu dùng &amp; tín chấp</v>
      </c>
      <c r="N2118" s="24"/>
    </row>
    <row r="2119">
      <c r="A2119" s="15">
        <v>2117.0</v>
      </c>
      <c r="B2119" s="16" t="s">
        <v>1158</v>
      </c>
      <c r="C2119" s="18" t="s">
        <v>2447</v>
      </c>
      <c r="D2119" s="16" t="s">
        <v>2969</v>
      </c>
      <c r="E2119" s="16" t="s">
        <v>7327</v>
      </c>
      <c r="F2119" s="16" t="s">
        <v>7328</v>
      </c>
      <c r="G2119" s="16" t="s">
        <v>7329</v>
      </c>
      <c r="H2119" s="20" t="s">
        <v>155</v>
      </c>
      <c r="I2119" s="21" t="s">
        <v>70</v>
      </c>
      <c r="J2119" s="22" t="s">
        <v>71</v>
      </c>
      <c r="K2119" s="23">
        <v>71.0</v>
      </c>
      <c r="L2119" s="24">
        <v>21.0</v>
      </c>
      <c r="M2119" s="24" t="str">
        <f>IFERROR(VLOOKUP(D2119,'Chủ đề bài nguồn'!$A$2:$C$735,3,0),"Khác")</f>
        <v>Quản lý tài chính cá nhân</v>
      </c>
      <c r="N2119" s="24"/>
    </row>
    <row r="2120">
      <c r="A2120" s="15">
        <v>2118.0</v>
      </c>
      <c r="B2120" s="16" t="s">
        <v>1158</v>
      </c>
      <c r="C2120" s="18" t="s">
        <v>4342</v>
      </c>
      <c r="D2120" s="16" t="s">
        <v>3336</v>
      </c>
      <c r="E2120" s="16" t="s">
        <v>3501</v>
      </c>
      <c r="F2120" s="16" t="s">
        <v>7330</v>
      </c>
      <c r="G2120" s="16" t="s">
        <v>7331</v>
      </c>
      <c r="H2120" s="20" t="s">
        <v>155</v>
      </c>
      <c r="I2120" s="21" t="s">
        <v>70</v>
      </c>
      <c r="J2120" s="22" t="s">
        <v>71</v>
      </c>
      <c r="K2120" s="23">
        <v>71.0</v>
      </c>
      <c r="L2120" s="24">
        <v>21.0</v>
      </c>
      <c r="M2120" s="24" t="str">
        <f>IFERROR(VLOOKUP(D2120,'Chủ đề bài nguồn'!$A$2:$C$735,3,0),"Khác")</f>
        <v>Nợ xấu &amp; CIC</v>
      </c>
      <c r="N2120" s="24"/>
    </row>
    <row r="2121">
      <c r="A2121" s="15">
        <v>2119.0</v>
      </c>
      <c r="B2121" s="16" t="s">
        <v>1158</v>
      </c>
      <c r="C2121" s="18" t="s">
        <v>4342</v>
      </c>
      <c r="D2121" s="16" t="s">
        <v>3074</v>
      </c>
      <c r="E2121" s="16" t="s">
        <v>7259</v>
      </c>
      <c r="F2121" s="16" t="s">
        <v>7332</v>
      </c>
      <c r="G2121" s="16" t="s">
        <v>7333</v>
      </c>
      <c r="H2121" s="20" t="s">
        <v>155</v>
      </c>
      <c r="I2121" s="21" t="s">
        <v>70</v>
      </c>
      <c r="J2121" s="22" t="s">
        <v>71</v>
      </c>
      <c r="K2121" s="23">
        <v>71.0</v>
      </c>
      <c r="L2121" s="24">
        <v>21.0</v>
      </c>
      <c r="M2121" s="24" t="str">
        <f>IFERROR(VLOOKUP(D2121,'Chủ đề bài nguồn'!$A$2:$C$735,3,0),"Khác")</f>
        <v>Nợ xấu &amp; CIC</v>
      </c>
      <c r="N2121" s="24"/>
    </row>
    <row r="2122">
      <c r="A2122" s="15">
        <v>2120.0</v>
      </c>
      <c r="B2122" s="16" t="s">
        <v>1158</v>
      </c>
      <c r="C2122" s="18" t="s">
        <v>4342</v>
      </c>
      <c r="D2122" s="16" t="s">
        <v>1105</v>
      </c>
      <c r="E2122" s="16" t="s">
        <v>5333</v>
      </c>
      <c r="F2122" s="16" t="s">
        <v>7334</v>
      </c>
      <c r="G2122" s="16" t="s">
        <v>7335</v>
      </c>
      <c r="H2122" s="20" t="s">
        <v>155</v>
      </c>
      <c r="I2122" s="21" t="s">
        <v>70</v>
      </c>
      <c r="J2122" s="22" t="s">
        <v>71</v>
      </c>
      <c r="K2122" s="23">
        <v>71.0</v>
      </c>
      <c r="L2122" s="24">
        <v>21.0</v>
      </c>
      <c r="M2122" s="24" t="str">
        <f>IFERROR(VLOOKUP(D2122,'Chủ đề bài nguồn'!$A$2:$C$735,3,0),"Khác")</f>
        <v>Thuế</v>
      </c>
      <c r="N2122" s="24"/>
    </row>
    <row r="2123">
      <c r="A2123" s="15">
        <v>2121.0</v>
      </c>
      <c r="B2123" s="16" t="s">
        <v>1158</v>
      </c>
      <c r="C2123" s="18" t="s">
        <v>2447</v>
      </c>
      <c r="D2123" s="16" t="s">
        <v>2535</v>
      </c>
      <c r="E2123" s="16" t="s">
        <v>7336</v>
      </c>
      <c r="F2123" s="16" t="s">
        <v>7337</v>
      </c>
      <c r="G2123" s="16" t="s">
        <v>7338</v>
      </c>
      <c r="H2123" s="20" t="s">
        <v>229</v>
      </c>
      <c r="I2123" s="21" t="s">
        <v>70</v>
      </c>
      <c r="J2123" s="22" t="s">
        <v>7339</v>
      </c>
      <c r="K2123" s="23">
        <v>71.0</v>
      </c>
      <c r="L2123" s="24">
        <v>31.0</v>
      </c>
      <c r="M2123" s="24" t="str">
        <f>IFERROR(VLOOKUP(D2123,'Chủ đề bài nguồn'!$A$2:$C$735,3,0),"Khác")</f>
        <v>Vay tiêu dùng &amp; tín chấp</v>
      </c>
      <c r="N2123" s="24"/>
    </row>
    <row r="2124">
      <c r="A2124" s="15">
        <v>2122.0</v>
      </c>
      <c r="B2124" s="16" t="s">
        <v>1158</v>
      </c>
      <c r="C2124" s="18" t="s">
        <v>2447</v>
      </c>
      <c r="D2124" s="16" t="s">
        <v>3165</v>
      </c>
      <c r="E2124" s="16" t="s">
        <v>3944</v>
      </c>
      <c r="F2124" s="16" t="s">
        <v>7340</v>
      </c>
      <c r="G2124" s="16" t="s">
        <v>7341</v>
      </c>
      <c r="H2124" s="20" t="s">
        <v>229</v>
      </c>
      <c r="I2124" s="21" t="s">
        <v>70</v>
      </c>
      <c r="J2124" s="22" t="s">
        <v>71</v>
      </c>
      <c r="K2124" s="23">
        <v>71.0</v>
      </c>
      <c r="L2124" s="24">
        <v>31.0</v>
      </c>
      <c r="M2124" s="24" t="str">
        <f>IFERROR(VLOOKUP(D2124,'Chủ đề bài nguồn'!$A$2:$C$735,3,0),"Khác")</f>
        <v>Vay tiêu dùng &amp; tín chấp</v>
      </c>
      <c r="N2124" s="24"/>
    </row>
    <row r="2125">
      <c r="A2125" s="15">
        <v>2123.0</v>
      </c>
      <c r="B2125" s="16" t="s">
        <v>1160</v>
      </c>
      <c r="C2125" s="18" t="s">
        <v>2463</v>
      </c>
      <c r="D2125" s="16" t="s">
        <v>3338</v>
      </c>
      <c r="E2125" s="16" t="s">
        <v>7244</v>
      </c>
      <c r="F2125" s="16" t="s">
        <v>7342</v>
      </c>
      <c r="G2125" s="16" t="s">
        <v>7343</v>
      </c>
      <c r="H2125" s="20" t="s">
        <v>69</v>
      </c>
      <c r="I2125" s="21" t="s">
        <v>70</v>
      </c>
      <c r="J2125" s="22" t="s">
        <v>71</v>
      </c>
      <c r="K2125" s="23">
        <v>72.0</v>
      </c>
      <c r="L2125" s="24">
        <v>11.0</v>
      </c>
      <c r="M2125" s="24" t="str">
        <f>IFERROR(VLOOKUP(D2125,'Chủ đề bài nguồn'!$A$2:$C$735,3,0),"Khác")</f>
        <v>Vay tiêu dùng &amp; tín chấp</v>
      </c>
      <c r="N2125" s="24"/>
    </row>
    <row r="2126">
      <c r="A2126" s="15">
        <v>2124.0</v>
      </c>
      <c r="B2126" s="16" t="s">
        <v>1160</v>
      </c>
      <c r="C2126" s="18" t="s">
        <v>2463</v>
      </c>
      <c r="D2126" s="16" t="s">
        <v>2956</v>
      </c>
      <c r="E2126" s="16" t="s">
        <v>7344</v>
      </c>
      <c r="F2126" s="16" t="s">
        <v>7345</v>
      </c>
      <c r="G2126" s="16" t="s">
        <v>7346</v>
      </c>
      <c r="H2126" s="20" t="s">
        <v>69</v>
      </c>
      <c r="I2126" s="21" t="s">
        <v>70</v>
      </c>
      <c r="J2126" s="22" t="s">
        <v>71</v>
      </c>
      <c r="K2126" s="23">
        <v>72.0</v>
      </c>
      <c r="L2126" s="24">
        <v>11.0</v>
      </c>
      <c r="M2126" s="24" t="str">
        <f>IFERROR(VLOOKUP(D2126,'Chủ đề bài nguồn'!$A$2:$C$735,3,0),"Khác")</f>
        <v>Vay tiêu dùng &amp; tín chấp</v>
      </c>
      <c r="N2126" s="24"/>
    </row>
    <row r="2127">
      <c r="A2127" s="15">
        <v>2125.0</v>
      </c>
      <c r="B2127" s="16" t="s">
        <v>1160</v>
      </c>
      <c r="C2127" s="18" t="s">
        <v>2463</v>
      </c>
      <c r="D2127" s="16" t="s">
        <v>3317</v>
      </c>
      <c r="E2127" s="16" t="s">
        <v>6656</v>
      </c>
      <c r="F2127" s="16" t="s">
        <v>7347</v>
      </c>
      <c r="G2127" s="16" t="s">
        <v>7348</v>
      </c>
      <c r="H2127" s="20" t="s">
        <v>69</v>
      </c>
      <c r="I2127" s="21" t="s">
        <v>70</v>
      </c>
      <c r="J2127" s="22" t="s">
        <v>71</v>
      </c>
      <c r="K2127" s="23">
        <v>72.0</v>
      </c>
      <c r="L2127" s="24">
        <v>11.0</v>
      </c>
      <c r="M2127" s="24" t="str">
        <f>IFERROR(VLOOKUP(D2127,'Chủ đề bài nguồn'!$A$2:$C$735,3,0),"Khác")</f>
        <v>Vay thế chấp &amp; mua nhà/xe</v>
      </c>
      <c r="N2127" s="24"/>
    </row>
    <row r="2128">
      <c r="A2128" s="15">
        <v>2126.0</v>
      </c>
      <c r="B2128" s="16" t="s">
        <v>1160</v>
      </c>
      <c r="C2128" s="18" t="s">
        <v>2463</v>
      </c>
      <c r="D2128" s="16" t="s">
        <v>3148</v>
      </c>
      <c r="E2128" s="16" t="s">
        <v>3149</v>
      </c>
      <c r="F2128" s="16" t="s">
        <v>7349</v>
      </c>
      <c r="G2128" s="16" t="s">
        <v>7350</v>
      </c>
      <c r="H2128" s="20" t="s">
        <v>155</v>
      </c>
      <c r="I2128" s="21" t="s">
        <v>70</v>
      </c>
      <c r="J2128" s="22" t="s">
        <v>71</v>
      </c>
      <c r="K2128" s="23">
        <v>72.0</v>
      </c>
      <c r="L2128" s="24">
        <v>21.0</v>
      </c>
      <c r="M2128" s="24" t="str">
        <f>IFERROR(VLOOKUP(D2128,'Chủ đề bài nguồn'!$A$2:$C$735,3,0),"Khác")</f>
        <v>Vay tiêu dùng &amp; tín chấp</v>
      </c>
      <c r="N2128" s="24"/>
    </row>
    <row r="2129">
      <c r="A2129" s="15">
        <v>2127.0</v>
      </c>
      <c r="B2129" s="39" t="s">
        <v>1160</v>
      </c>
      <c r="C2129" s="18" t="s">
        <v>2463</v>
      </c>
      <c r="D2129" s="39" t="s">
        <v>2973</v>
      </c>
      <c r="E2129" s="16" t="s">
        <v>7351</v>
      </c>
      <c r="F2129" s="16" t="s">
        <v>7352</v>
      </c>
      <c r="G2129" s="16" t="s">
        <v>7353</v>
      </c>
      <c r="H2129" s="20" t="s">
        <v>155</v>
      </c>
      <c r="I2129" s="21" t="s">
        <v>70</v>
      </c>
      <c r="J2129" s="22" t="s">
        <v>71</v>
      </c>
      <c r="K2129" s="23">
        <v>72.0</v>
      </c>
      <c r="L2129" s="24">
        <v>21.0</v>
      </c>
      <c r="M2129" s="24" t="str">
        <f>IFERROR(VLOOKUP(D2129,'Chủ đề bài nguồn'!$A$2:$C$735,3,0),"Khác")</f>
        <v>Nợ xấu &amp; CIC</v>
      </c>
      <c r="N2129" s="24"/>
    </row>
    <row r="2130">
      <c r="A2130" s="15">
        <v>2128.0</v>
      </c>
      <c r="B2130" s="39" t="s">
        <v>1160</v>
      </c>
      <c r="C2130" s="18" t="s">
        <v>2463</v>
      </c>
      <c r="D2130" s="39" t="s">
        <v>683</v>
      </c>
      <c r="E2130" s="16" t="s">
        <v>7354</v>
      </c>
      <c r="F2130" s="16" t="s">
        <v>7355</v>
      </c>
      <c r="G2130" s="16" t="s">
        <v>7356</v>
      </c>
      <c r="H2130" s="20" t="s">
        <v>155</v>
      </c>
      <c r="I2130" s="21" t="s">
        <v>70</v>
      </c>
      <c r="J2130" s="22" t="s">
        <v>71</v>
      </c>
      <c r="K2130" s="23">
        <v>72.0</v>
      </c>
      <c r="L2130" s="24">
        <v>21.0</v>
      </c>
      <c r="M2130" s="24" t="str">
        <f>IFERROR(VLOOKUP(D2130,'Chủ đề bài nguồn'!$A$2:$C$735,3,0),"Khác")</f>
        <v>Thẻ ATM &amp; thẻ ghi nợ</v>
      </c>
      <c r="N2130" s="24"/>
    </row>
    <row r="2131">
      <c r="A2131" s="15">
        <v>2129.0</v>
      </c>
      <c r="B2131" s="39" t="s">
        <v>1160</v>
      </c>
      <c r="C2131" s="18" t="s">
        <v>2463</v>
      </c>
      <c r="D2131" s="39" t="s">
        <v>1480</v>
      </c>
      <c r="E2131" s="16" t="s">
        <v>5347</v>
      </c>
      <c r="F2131" s="16" t="s">
        <v>7357</v>
      </c>
      <c r="G2131" s="16" t="s">
        <v>7358</v>
      </c>
      <c r="H2131" s="20" t="s">
        <v>155</v>
      </c>
      <c r="I2131" s="21" t="s">
        <v>70</v>
      </c>
      <c r="J2131" s="22" t="s">
        <v>71</v>
      </c>
      <c r="K2131" s="23">
        <v>72.0</v>
      </c>
      <c r="L2131" s="24">
        <v>21.0</v>
      </c>
      <c r="M2131" s="24" t="str">
        <f>IFERROR(VLOOKUP(D2131,'Chủ đề bài nguồn'!$A$2:$C$735,3,0),"Khác")</f>
        <v>Hộ kinh doanh &amp; bán hàng</v>
      </c>
      <c r="N2131" s="24"/>
    </row>
    <row r="2132">
      <c r="A2132" s="15">
        <v>2130.0</v>
      </c>
      <c r="B2132" s="39" t="s">
        <v>1160</v>
      </c>
      <c r="C2132" s="18" t="s">
        <v>2463</v>
      </c>
      <c r="D2132" s="39" t="s">
        <v>2861</v>
      </c>
      <c r="E2132" s="16" t="s">
        <v>710</v>
      </c>
      <c r="F2132" s="16" t="s">
        <v>7359</v>
      </c>
      <c r="G2132" s="16" t="s">
        <v>7360</v>
      </c>
      <c r="H2132" s="20" t="s">
        <v>155</v>
      </c>
      <c r="I2132" s="21" t="s">
        <v>70</v>
      </c>
      <c r="J2132" s="22" t="s">
        <v>71</v>
      </c>
      <c r="K2132" s="23">
        <v>72.0</v>
      </c>
      <c r="L2132" s="24">
        <v>21.0</v>
      </c>
      <c r="M2132" s="24" t="str">
        <f>IFERROR(VLOOKUP(D2132,'Chủ đề bài nguồn'!$A$2:$C$735,3,0),"Khác")</f>
        <v>Tài khoản &amp; ngân hàng số</v>
      </c>
      <c r="N2132" s="24"/>
    </row>
    <row r="2133">
      <c r="A2133" s="15">
        <v>2131.0</v>
      </c>
      <c r="B2133" s="39" t="s">
        <v>1160</v>
      </c>
      <c r="C2133" s="18" t="s">
        <v>2463</v>
      </c>
      <c r="D2133" s="39" t="s">
        <v>3267</v>
      </c>
      <c r="E2133" s="16" t="s">
        <v>6652</v>
      </c>
      <c r="F2133" s="16" t="s">
        <v>7361</v>
      </c>
      <c r="G2133" s="16" t="s">
        <v>7362</v>
      </c>
      <c r="H2133" s="20" t="s">
        <v>155</v>
      </c>
      <c r="I2133" s="21" t="s">
        <v>70</v>
      </c>
      <c r="J2133" s="22" t="s">
        <v>7363</v>
      </c>
      <c r="K2133" s="23">
        <v>72.0</v>
      </c>
      <c r="L2133" s="24">
        <v>21.0</v>
      </c>
      <c r="M2133" s="24" t="str">
        <f>IFERROR(VLOOKUP(D2133,'Chủ đề bài nguồn'!$A$2:$C$735,3,0),"Khác")</f>
        <v>Vay tiêu dùng &amp; tín chấp</v>
      </c>
      <c r="N2133" s="24"/>
    </row>
    <row r="2134">
      <c r="A2134" s="15">
        <v>2132.0</v>
      </c>
      <c r="B2134" s="16" t="s">
        <v>1160</v>
      </c>
      <c r="C2134" s="18" t="s">
        <v>2463</v>
      </c>
      <c r="D2134" s="16" t="s">
        <v>918</v>
      </c>
      <c r="E2134" s="16" t="s">
        <v>7364</v>
      </c>
      <c r="F2134" s="16" t="s">
        <v>7365</v>
      </c>
      <c r="G2134" s="16" t="s">
        <v>7366</v>
      </c>
      <c r="H2134" s="20" t="s">
        <v>229</v>
      </c>
      <c r="I2134" s="21" t="s">
        <v>70</v>
      </c>
      <c r="J2134" s="22" t="s">
        <v>71</v>
      </c>
      <c r="K2134" s="23">
        <v>72.0</v>
      </c>
      <c r="L2134" s="24">
        <v>31.0</v>
      </c>
      <c r="M2134" s="24" t="str">
        <f>IFERROR(VLOOKUP(D2134,'Chủ đề bài nguồn'!$A$2:$C$735,3,0),"Khác")</f>
        <v>Thẻ tín dụng</v>
      </c>
      <c r="N2134" s="24"/>
    </row>
    <row r="2135">
      <c r="A2135" s="15">
        <v>2133.0</v>
      </c>
      <c r="B2135" s="16" t="s">
        <v>1160</v>
      </c>
      <c r="C2135" s="18" t="s">
        <v>2463</v>
      </c>
      <c r="D2135" s="16" t="s">
        <v>1463</v>
      </c>
      <c r="E2135" s="16" t="s">
        <v>7367</v>
      </c>
      <c r="F2135" s="16" t="s">
        <v>7368</v>
      </c>
      <c r="G2135" s="16" t="s">
        <v>7369</v>
      </c>
      <c r="H2135" s="20" t="s">
        <v>229</v>
      </c>
      <c r="I2135" s="21" t="s">
        <v>70</v>
      </c>
      <c r="J2135" s="22" t="s">
        <v>71</v>
      </c>
      <c r="K2135" s="23">
        <v>72.0</v>
      </c>
      <c r="L2135" s="24">
        <v>31.0</v>
      </c>
      <c r="M2135" s="24" t="str">
        <f>IFERROR(VLOOKUP(D2135,'Chủ đề bài nguồn'!$A$2:$C$735,3,0),"Khác")</f>
        <v>Thẻ tín dụng</v>
      </c>
      <c r="N2135" s="24"/>
    </row>
    <row r="2136">
      <c r="A2136" s="15">
        <v>2134.0</v>
      </c>
      <c r="B2136" s="16" t="s">
        <v>1160</v>
      </c>
      <c r="C2136" s="18" t="s">
        <v>2463</v>
      </c>
      <c r="D2136" s="16" t="s">
        <v>1069</v>
      </c>
      <c r="E2136" s="16" t="s">
        <v>4799</v>
      </c>
      <c r="F2136" s="16" t="s">
        <v>7370</v>
      </c>
      <c r="G2136" s="16" t="s">
        <v>7371</v>
      </c>
      <c r="H2136" s="20" t="s">
        <v>229</v>
      </c>
      <c r="I2136" s="21" t="s">
        <v>70</v>
      </c>
      <c r="J2136" s="22" t="s">
        <v>7372</v>
      </c>
      <c r="K2136" s="23">
        <v>72.0</v>
      </c>
      <c r="L2136" s="24">
        <v>31.0</v>
      </c>
      <c r="M2136" s="24" t="str">
        <f>IFERROR(VLOOKUP(D2136,'Chủ đề bài nguồn'!$A$2:$C$735,3,0),"Khác")</f>
        <v>Doanh nghiệp (tài khoản, vay, tài chính)</v>
      </c>
      <c r="N2136" s="24"/>
    </row>
    <row r="2137">
      <c r="A2137" s="15">
        <v>2135.0</v>
      </c>
      <c r="B2137" s="16" t="s">
        <v>1160</v>
      </c>
      <c r="C2137" s="18" t="s">
        <v>2463</v>
      </c>
      <c r="D2137" s="16" t="s">
        <v>2810</v>
      </c>
      <c r="E2137" s="16" t="s">
        <v>4992</v>
      </c>
      <c r="F2137" s="16" t="s">
        <v>7373</v>
      </c>
      <c r="G2137" s="16" t="s">
        <v>7374</v>
      </c>
      <c r="H2137" s="20" t="s">
        <v>229</v>
      </c>
      <c r="I2137" s="21" t="s">
        <v>70</v>
      </c>
      <c r="J2137" s="22" t="s">
        <v>71</v>
      </c>
      <c r="K2137" s="23">
        <v>72.0</v>
      </c>
      <c r="L2137" s="24">
        <v>31.0</v>
      </c>
      <c r="M2137" s="24" t="str">
        <f>IFERROR(VLOOKUP(D2137,'Chủ đề bài nguồn'!$A$2:$C$735,3,0),"Khác")</f>
        <v>Vay tiêu dùng &amp; tín chấp</v>
      </c>
      <c r="N2137" s="24"/>
    </row>
    <row r="2138">
      <c r="A2138" s="15">
        <v>2136.0</v>
      </c>
      <c r="B2138" s="16" t="s">
        <v>1160</v>
      </c>
      <c r="C2138" s="18" t="s">
        <v>2463</v>
      </c>
      <c r="D2138" s="16" t="s">
        <v>1171</v>
      </c>
      <c r="E2138" s="16" t="s">
        <v>6481</v>
      </c>
      <c r="F2138" s="16" t="s">
        <v>7375</v>
      </c>
      <c r="G2138" s="16" t="s">
        <v>7376</v>
      </c>
      <c r="H2138" s="20" t="s">
        <v>229</v>
      </c>
      <c r="I2138" s="21" t="s">
        <v>70</v>
      </c>
      <c r="J2138" s="22" t="s">
        <v>71</v>
      </c>
      <c r="K2138" s="23">
        <v>72.0</v>
      </c>
      <c r="L2138" s="24">
        <v>31.0</v>
      </c>
      <c r="M2138" s="24" t="str">
        <f>IFERROR(VLOOKUP(D2138,'Chủ đề bài nguồn'!$A$2:$C$735,3,0),"Khác")</f>
        <v>Vay tiêu dùng &amp; tín chấp</v>
      </c>
      <c r="N2138" s="24"/>
    </row>
    <row r="2139">
      <c r="A2139" s="15">
        <v>2137.0</v>
      </c>
      <c r="B2139" s="39" t="s">
        <v>1160</v>
      </c>
      <c r="C2139" s="18" t="s">
        <v>2463</v>
      </c>
      <c r="D2139" s="39" t="s">
        <v>2772</v>
      </c>
      <c r="E2139" s="16" t="s">
        <v>7377</v>
      </c>
      <c r="F2139" s="16" t="s">
        <v>7378</v>
      </c>
      <c r="G2139" s="16" t="s">
        <v>7360</v>
      </c>
      <c r="H2139" s="20" t="s">
        <v>229</v>
      </c>
      <c r="I2139" s="21" t="s">
        <v>70</v>
      </c>
      <c r="J2139" s="22" t="s">
        <v>7379</v>
      </c>
      <c r="K2139" s="23">
        <v>72.0</v>
      </c>
      <c r="L2139" s="24">
        <v>31.0</v>
      </c>
      <c r="M2139" s="24" t="str">
        <f>IFERROR(VLOOKUP(D2139,'Chủ đề bài nguồn'!$A$2:$C$735,3,0),"Khác")</f>
        <v>Ưu đãi, du lịch &amp; đời sống</v>
      </c>
      <c r="N2139" s="24"/>
    </row>
    <row r="2140">
      <c r="A2140" s="15">
        <v>2138.0</v>
      </c>
      <c r="B2140" s="39" t="s">
        <v>1160</v>
      </c>
      <c r="C2140" s="18" t="s">
        <v>2463</v>
      </c>
      <c r="D2140" s="39" t="s">
        <v>1639</v>
      </c>
      <c r="E2140" s="16" t="s">
        <v>1986</v>
      </c>
      <c r="F2140" s="16" t="s">
        <v>7380</v>
      </c>
      <c r="G2140" s="16" t="s">
        <v>7381</v>
      </c>
      <c r="H2140" s="20" t="s">
        <v>229</v>
      </c>
      <c r="I2140" s="21" t="s">
        <v>70</v>
      </c>
      <c r="J2140" s="22" t="s">
        <v>7382</v>
      </c>
      <c r="K2140" s="23">
        <v>72.0</v>
      </c>
      <c r="L2140" s="24">
        <v>31.0</v>
      </c>
      <c r="M2140" s="24" t="str">
        <f>IFERROR(VLOOKUP(D2140,'Chủ đề bài nguồn'!$A$2:$C$735,3,0),"Khác")</f>
        <v>Thanh toán, chuyển khoản &amp; QR</v>
      </c>
      <c r="N2140" s="24"/>
    </row>
    <row r="2141">
      <c r="A2141" s="15">
        <v>2139.0</v>
      </c>
      <c r="B2141" s="39" t="s">
        <v>1160</v>
      </c>
      <c r="C2141" s="18" t="s">
        <v>2463</v>
      </c>
      <c r="D2141" s="39" t="s">
        <v>2796</v>
      </c>
      <c r="E2141" s="16" t="s">
        <v>7383</v>
      </c>
      <c r="F2141" s="16" t="s">
        <v>7384</v>
      </c>
      <c r="G2141" s="16" t="s">
        <v>7385</v>
      </c>
      <c r="H2141" s="20" t="s">
        <v>229</v>
      </c>
      <c r="I2141" s="21" t="s">
        <v>70</v>
      </c>
      <c r="J2141" s="22" t="s">
        <v>7386</v>
      </c>
      <c r="K2141" s="23">
        <v>72.0</v>
      </c>
      <c r="L2141" s="24">
        <v>31.0</v>
      </c>
      <c r="M2141" s="24" t="str">
        <f>IFERROR(VLOOKUP(D2141,'Chủ đề bài nguồn'!$A$2:$C$735,3,0),"Khác")</f>
        <v>Đầu tư, CCTG, trái phiếu, vàng</v>
      </c>
      <c r="N2141" s="24"/>
    </row>
    <row r="2142">
      <c r="A2142" s="15">
        <v>2140.0</v>
      </c>
      <c r="B2142" s="39" t="s">
        <v>1160</v>
      </c>
      <c r="C2142" s="18" t="s">
        <v>2463</v>
      </c>
      <c r="D2142" s="39" t="s">
        <v>1116</v>
      </c>
      <c r="E2142" s="16" t="s">
        <v>7282</v>
      </c>
      <c r="F2142" s="16" t="s">
        <v>7387</v>
      </c>
      <c r="G2142" s="16" t="s">
        <v>7388</v>
      </c>
      <c r="H2142" s="20" t="s">
        <v>229</v>
      </c>
      <c r="I2142" s="21" t="s">
        <v>70</v>
      </c>
      <c r="J2142" s="22" t="s">
        <v>71</v>
      </c>
      <c r="K2142" s="23">
        <v>72.0</v>
      </c>
      <c r="L2142" s="24">
        <v>31.0</v>
      </c>
      <c r="M2142" s="24" t="str">
        <f>IFERROR(VLOOKUP(D2142,'Chủ đề bài nguồn'!$A$2:$C$735,3,0),"Khác")</f>
        <v>Vay thế chấp &amp; mua nhà/xe</v>
      </c>
      <c r="N2142" s="24"/>
    </row>
    <row r="2143">
      <c r="A2143" s="15">
        <v>2141.0</v>
      </c>
      <c r="B2143" s="39" t="s">
        <v>1160</v>
      </c>
      <c r="C2143" s="18" t="s">
        <v>2463</v>
      </c>
      <c r="D2143" s="39" t="s">
        <v>3078</v>
      </c>
      <c r="E2143" s="16" t="s">
        <v>5160</v>
      </c>
      <c r="F2143" s="16" t="s">
        <v>7357</v>
      </c>
      <c r="G2143" s="16" t="s">
        <v>7389</v>
      </c>
      <c r="H2143" s="20" t="s">
        <v>229</v>
      </c>
      <c r="I2143" s="21" t="s">
        <v>70</v>
      </c>
      <c r="J2143" s="22" t="s">
        <v>4433</v>
      </c>
      <c r="K2143" s="23">
        <v>72.0</v>
      </c>
      <c r="L2143" s="24">
        <v>31.0</v>
      </c>
      <c r="M2143" s="24" t="str">
        <f>IFERROR(VLOOKUP(D2143,'Chủ đề bài nguồn'!$A$2:$C$735,3,0),"Khác")</f>
        <v>Thuế</v>
      </c>
      <c r="N2143" s="24"/>
    </row>
    <row r="2144">
      <c r="A2144" s="15">
        <v>2142.0</v>
      </c>
      <c r="B2144" s="39" t="s">
        <v>1160</v>
      </c>
      <c r="C2144" s="18" t="s">
        <v>2463</v>
      </c>
      <c r="D2144" s="39" t="s">
        <v>3091</v>
      </c>
      <c r="E2144" s="16" t="s">
        <v>7140</v>
      </c>
      <c r="F2144" s="16" t="s">
        <v>7390</v>
      </c>
      <c r="G2144" s="16" t="s">
        <v>7391</v>
      </c>
      <c r="H2144" s="20" t="s">
        <v>229</v>
      </c>
      <c r="I2144" s="21" t="s">
        <v>70</v>
      </c>
      <c r="J2144" s="22" t="s">
        <v>7392</v>
      </c>
      <c r="K2144" s="23">
        <v>72.0</v>
      </c>
      <c r="L2144" s="24">
        <v>31.0</v>
      </c>
      <c r="M2144" s="24" t="str">
        <f>IFERROR(VLOOKUP(D2144,'Chủ đề bài nguồn'!$A$2:$C$735,3,0),"Khác")</f>
        <v>Doanh nghiệp (tài khoản, vay, tài chính)</v>
      </c>
      <c r="N2144" s="24"/>
    </row>
    <row r="2145">
      <c r="A2145" s="15">
        <v>2143.0</v>
      </c>
      <c r="B2145" s="39" t="s">
        <v>1160</v>
      </c>
      <c r="C2145" s="18" t="s">
        <v>2463</v>
      </c>
      <c r="D2145" s="39" t="s">
        <v>3128</v>
      </c>
      <c r="E2145" s="16" t="s">
        <v>5934</v>
      </c>
      <c r="F2145" s="16" t="s">
        <v>7393</v>
      </c>
      <c r="G2145" s="16" t="s">
        <v>7389</v>
      </c>
      <c r="H2145" s="20" t="s">
        <v>229</v>
      </c>
      <c r="I2145" s="21" t="s">
        <v>70</v>
      </c>
      <c r="J2145" s="22" t="s">
        <v>7394</v>
      </c>
      <c r="K2145" s="23">
        <v>72.0</v>
      </c>
      <c r="L2145" s="24">
        <v>31.0</v>
      </c>
      <c r="M2145" s="24" t="str">
        <f>IFERROR(VLOOKUP(D2145,'Chủ đề bài nguồn'!$A$2:$C$735,3,0),"Khác")</f>
        <v>Tài khoản &amp; ngân hàng số</v>
      </c>
      <c r="N2145" s="24"/>
    </row>
    <row r="2146">
      <c r="A2146" s="15">
        <v>2144.0</v>
      </c>
      <c r="B2146" s="39" t="s">
        <v>1160</v>
      </c>
      <c r="C2146" s="18" t="s">
        <v>2463</v>
      </c>
      <c r="D2146" s="39" t="s">
        <v>3143</v>
      </c>
      <c r="E2146" s="16" t="s">
        <v>5328</v>
      </c>
      <c r="F2146" s="16" t="s">
        <v>7395</v>
      </c>
      <c r="G2146" s="16" t="s">
        <v>7389</v>
      </c>
      <c r="H2146" s="20" t="s">
        <v>229</v>
      </c>
      <c r="I2146" s="21" t="s">
        <v>70</v>
      </c>
      <c r="J2146" s="22" t="s">
        <v>7396</v>
      </c>
      <c r="K2146" s="23">
        <v>72.0</v>
      </c>
      <c r="L2146" s="24">
        <v>31.0</v>
      </c>
      <c r="M2146" s="24" t="str">
        <f>IFERROR(VLOOKUP(D2146,'Chủ đề bài nguồn'!$A$2:$C$735,3,0),"Khác")</f>
        <v>Hộ kinh doanh &amp; bán hàng</v>
      </c>
      <c r="N2146" s="24"/>
    </row>
    <row r="2147">
      <c r="A2147" s="15">
        <v>2145.0</v>
      </c>
      <c r="B2147" s="39" t="s">
        <v>1160</v>
      </c>
      <c r="C2147" s="18" t="s">
        <v>2463</v>
      </c>
      <c r="D2147" s="39" t="s">
        <v>3182</v>
      </c>
      <c r="E2147" s="16" t="s">
        <v>7397</v>
      </c>
      <c r="F2147" s="16" t="s">
        <v>7398</v>
      </c>
      <c r="G2147" s="16" t="s">
        <v>7399</v>
      </c>
      <c r="H2147" s="20" t="s">
        <v>229</v>
      </c>
      <c r="I2147" s="21" t="s">
        <v>70</v>
      </c>
      <c r="J2147" s="22" t="s">
        <v>71</v>
      </c>
      <c r="K2147" s="23">
        <v>72.0</v>
      </c>
      <c r="L2147" s="24">
        <v>31.0</v>
      </c>
      <c r="M2147" s="24" t="str">
        <f>IFERROR(VLOOKUP(D2147,'Chủ đề bài nguồn'!$A$2:$C$735,3,0),"Khác")</f>
        <v>Thẻ tín dụng</v>
      </c>
      <c r="N2147" s="24"/>
    </row>
    <row r="2148">
      <c r="A2148" s="15">
        <v>2146.0</v>
      </c>
      <c r="B2148" s="16" t="s">
        <v>1164</v>
      </c>
      <c r="C2148" s="18" t="s">
        <v>4380</v>
      </c>
      <c r="D2148" s="16" t="s">
        <v>3063</v>
      </c>
      <c r="E2148" s="16" t="s">
        <v>710</v>
      </c>
      <c r="F2148" s="16" t="s">
        <v>7400</v>
      </c>
      <c r="G2148" s="16" t="s">
        <v>7401</v>
      </c>
      <c r="H2148" s="20" t="s">
        <v>69</v>
      </c>
      <c r="I2148" s="21" t="s">
        <v>70</v>
      </c>
      <c r="J2148" s="22" t="s">
        <v>71</v>
      </c>
      <c r="K2148" s="23">
        <v>73.0</v>
      </c>
      <c r="L2148" s="24">
        <v>10.0</v>
      </c>
      <c r="M2148" s="24" t="str">
        <f>IFERROR(VLOOKUP(D2148,'Chủ đề bài nguồn'!$A$2:$C$735,3,0),"Khác")</f>
        <v>Nợ xấu &amp; CIC</v>
      </c>
      <c r="N2148" s="24"/>
    </row>
    <row r="2149">
      <c r="A2149" s="15">
        <v>2147.0</v>
      </c>
      <c r="B2149" s="16" t="s">
        <v>1164</v>
      </c>
      <c r="C2149" s="18" t="s">
        <v>4380</v>
      </c>
      <c r="D2149" s="16" t="s">
        <v>2794</v>
      </c>
      <c r="E2149" s="16" t="s">
        <v>7402</v>
      </c>
      <c r="F2149" s="16" t="s">
        <v>7403</v>
      </c>
      <c r="G2149" s="16" t="s">
        <v>7401</v>
      </c>
      <c r="H2149" s="20" t="s">
        <v>69</v>
      </c>
      <c r="I2149" s="21" t="s">
        <v>70</v>
      </c>
      <c r="J2149" s="22" t="s">
        <v>71</v>
      </c>
      <c r="K2149" s="23">
        <v>73.0</v>
      </c>
      <c r="L2149" s="24">
        <v>10.0</v>
      </c>
      <c r="M2149" s="24" t="str">
        <f>IFERROR(VLOOKUP(D2149,'Chủ đề bài nguồn'!$A$2:$C$735,3,0),"Khác")</f>
        <v>Thẻ tín dụng</v>
      </c>
      <c r="N2149" s="24"/>
    </row>
    <row r="2150">
      <c r="A2150" s="15">
        <v>2148.0</v>
      </c>
      <c r="B2150" s="16" t="s">
        <v>1164</v>
      </c>
      <c r="C2150" s="18" t="s">
        <v>4380</v>
      </c>
      <c r="D2150" s="16" t="s">
        <v>2847</v>
      </c>
      <c r="E2150" s="16" t="s">
        <v>3470</v>
      </c>
      <c r="F2150" s="16" t="s">
        <v>7404</v>
      </c>
      <c r="G2150" s="16" t="s">
        <v>7401</v>
      </c>
      <c r="H2150" s="20" t="s">
        <v>69</v>
      </c>
      <c r="I2150" s="21" t="s">
        <v>70</v>
      </c>
      <c r="J2150" s="22" t="s">
        <v>71</v>
      </c>
      <c r="K2150" s="23">
        <v>73.0</v>
      </c>
      <c r="L2150" s="24">
        <v>10.0</v>
      </c>
      <c r="M2150" s="24" t="str">
        <f>IFERROR(VLOOKUP(D2150,'Chủ đề bài nguồn'!$A$2:$C$735,3,0),"Khác")</f>
        <v>Nợ xấu &amp; CIC</v>
      </c>
      <c r="N2150" s="24"/>
    </row>
    <row r="2151">
      <c r="A2151" s="15">
        <v>2149.0</v>
      </c>
      <c r="B2151" s="16" t="s">
        <v>1164</v>
      </c>
      <c r="C2151" s="18" t="s">
        <v>4380</v>
      </c>
      <c r="D2151" s="16" t="s">
        <v>3064</v>
      </c>
      <c r="E2151" s="16" t="s">
        <v>7405</v>
      </c>
      <c r="F2151" s="16" t="s">
        <v>7406</v>
      </c>
      <c r="G2151" s="16" t="s">
        <v>7401</v>
      </c>
      <c r="H2151" s="20" t="s">
        <v>69</v>
      </c>
      <c r="I2151" s="21" t="s">
        <v>70</v>
      </c>
      <c r="J2151" s="22" t="s">
        <v>71</v>
      </c>
      <c r="K2151" s="23">
        <v>73.0</v>
      </c>
      <c r="L2151" s="24">
        <v>10.0</v>
      </c>
      <c r="M2151" s="24" t="str">
        <f>IFERROR(VLOOKUP(D2151,'Chủ đề bài nguồn'!$A$2:$C$735,3,0),"Khác")</f>
        <v>Thẻ tín dụng</v>
      </c>
      <c r="N2151" s="24"/>
    </row>
    <row r="2152">
      <c r="A2152" s="15">
        <v>2150.0</v>
      </c>
      <c r="B2152" s="16" t="s">
        <v>1164</v>
      </c>
      <c r="C2152" s="18" t="s">
        <v>4380</v>
      </c>
      <c r="D2152" s="16" t="s">
        <v>918</v>
      </c>
      <c r="E2152" s="16" t="s">
        <v>7407</v>
      </c>
      <c r="F2152" s="16" t="s">
        <v>7408</v>
      </c>
      <c r="G2152" s="16" t="s">
        <v>7401</v>
      </c>
      <c r="H2152" s="20" t="s">
        <v>69</v>
      </c>
      <c r="I2152" s="21" t="s">
        <v>70</v>
      </c>
      <c r="J2152" s="22" t="s">
        <v>71</v>
      </c>
      <c r="K2152" s="23">
        <v>73.0</v>
      </c>
      <c r="L2152" s="24">
        <v>10.0</v>
      </c>
      <c r="M2152" s="24" t="str">
        <f>IFERROR(VLOOKUP(D2152,'Chủ đề bài nguồn'!$A$2:$C$735,3,0),"Khác")</f>
        <v>Thẻ tín dụng</v>
      </c>
      <c r="N2152" s="24"/>
    </row>
    <row r="2153">
      <c r="A2153" s="15">
        <v>2151.0</v>
      </c>
      <c r="B2153" s="16" t="s">
        <v>1164</v>
      </c>
      <c r="C2153" s="18" t="s">
        <v>4380</v>
      </c>
      <c r="D2153" s="16" t="s">
        <v>1679</v>
      </c>
      <c r="E2153" s="16" t="s">
        <v>7409</v>
      </c>
      <c r="F2153" s="16" t="s">
        <v>7410</v>
      </c>
      <c r="G2153" s="16" t="s">
        <v>7401</v>
      </c>
      <c r="H2153" s="20" t="s">
        <v>69</v>
      </c>
      <c r="I2153" s="21" t="s">
        <v>70</v>
      </c>
      <c r="J2153" s="22" t="s">
        <v>71</v>
      </c>
      <c r="K2153" s="23">
        <v>73.0</v>
      </c>
      <c r="L2153" s="24">
        <v>10.0</v>
      </c>
      <c r="M2153" s="24" t="str">
        <f>IFERROR(VLOOKUP(D2153,'Chủ đề bài nguồn'!$A$2:$C$735,3,0),"Khác")</f>
        <v>Thẻ tín dụng</v>
      </c>
      <c r="N2153" s="24"/>
    </row>
    <row r="2154">
      <c r="A2154" s="15">
        <v>2152.0</v>
      </c>
      <c r="B2154" s="16" t="s">
        <v>1164</v>
      </c>
      <c r="C2154" s="18" t="s">
        <v>4380</v>
      </c>
      <c r="D2154" s="16" t="s">
        <v>3194</v>
      </c>
      <c r="E2154" s="16" t="s">
        <v>3859</v>
      </c>
      <c r="F2154" s="16" t="s">
        <v>7411</v>
      </c>
      <c r="G2154" s="16" t="s">
        <v>7401</v>
      </c>
      <c r="H2154" s="20" t="s">
        <v>69</v>
      </c>
      <c r="I2154" s="21" t="s">
        <v>70</v>
      </c>
      <c r="J2154" s="22" t="s">
        <v>71</v>
      </c>
      <c r="K2154" s="23">
        <v>73.0</v>
      </c>
      <c r="L2154" s="24">
        <v>10.0</v>
      </c>
      <c r="M2154" s="24" t="str">
        <f>IFERROR(VLOOKUP(D2154,'Chủ đề bài nguồn'!$A$2:$C$735,3,0),"Khác")</f>
        <v>Thẻ tín dụng</v>
      </c>
      <c r="N2154" s="24"/>
    </row>
    <row r="2155">
      <c r="A2155" s="15">
        <v>2153.0</v>
      </c>
      <c r="B2155" s="16" t="s">
        <v>1164</v>
      </c>
      <c r="C2155" s="18" t="s">
        <v>4380</v>
      </c>
      <c r="D2155" s="16" t="s">
        <v>3327</v>
      </c>
      <c r="E2155" s="16" t="s">
        <v>7412</v>
      </c>
      <c r="F2155" s="16" t="s">
        <v>7413</v>
      </c>
      <c r="G2155" s="16" t="s">
        <v>7401</v>
      </c>
      <c r="H2155" s="20" t="s">
        <v>69</v>
      </c>
      <c r="I2155" s="21" t="s">
        <v>70</v>
      </c>
      <c r="J2155" s="22" t="s">
        <v>71</v>
      </c>
      <c r="K2155" s="23">
        <v>73.0</v>
      </c>
      <c r="L2155" s="24">
        <v>10.0</v>
      </c>
      <c r="M2155" s="24" t="str">
        <f>IFERROR(VLOOKUP(D2155,'Chủ đề bài nguồn'!$A$2:$C$735,3,0),"Khác")</f>
        <v>Vay tiêu dùng &amp; tín chấp</v>
      </c>
      <c r="N2155" s="24"/>
    </row>
    <row r="2156">
      <c r="A2156" s="15">
        <v>2154.0</v>
      </c>
      <c r="B2156" s="16" t="s">
        <v>1164</v>
      </c>
      <c r="C2156" s="18" t="s">
        <v>4380</v>
      </c>
      <c r="D2156" s="16" t="s">
        <v>3335</v>
      </c>
      <c r="E2156" s="16" t="s">
        <v>7414</v>
      </c>
      <c r="F2156" s="16" t="s">
        <v>7415</v>
      </c>
      <c r="G2156" s="16" t="s">
        <v>7401</v>
      </c>
      <c r="H2156" s="20" t="s">
        <v>69</v>
      </c>
      <c r="I2156" s="21" t="s">
        <v>70</v>
      </c>
      <c r="J2156" s="22" t="s">
        <v>71</v>
      </c>
      <c r="K2156" s="23">
        <v>73.0</v>
      </c>
      <c r="L2156" s="24">
        <v>10.0</v>
      </c>
      <c r="M2156" s="24" t="str">
        <f>IFERROR(VLOOKUP(D2156,'Chủ đề bài nguồn'!$A$2:$C$735,3,0),"Khác")</f>
        <v>Vay tiêu dùng &amp; tín chấp</v>
      </c>
      <c r="N2156" s="24"/>
    </row>
    <row r="2157">
      <c r="A2157" s="15">
        <v>2155.0</v>
      </c>
      <c r="B2157" s="16" t="s">
        <v>1164</v>
      </c>
      <c r="C2157" s="18" t="s">
        <v>4380</v>
      </c>
      <c r="D2157" s="16" t="s">
        <v>2352</v>
      </c>
      <c r="E2157" s="16" t="s">
        <v>7416</v>
      </c>
      <c r="F2157" s="16" t="s">
        <v>7417</v>
      </c>
      <c r="G2157" s="16" t="s">
        <v>7401</v>
      </c>
      <c r="H2157" s="20" t="s">
        <v>69</v>
      </c>
      <c r="I2157" s="21" t="s">
        <v>70</v>
      </c>
      <c r="J2157" s="22" t="s">
        <v>71</v>
      </c>
      <c r="K2157" s="23">
        <v>73.0</v>
      </c>
      <c r="L2157" s="24">
        <v>10.0</v>
      </c>
      <c r="M2157" s="24" t="str">
        <f>IFERROR(VLOOKUP(D2157,'Chủ đề bài nguồn'!$A$2:$C$735,3,0),"Khác")</f>
        <v>Thẻ tín dụng</v>
      </c>
      <c r="N2157" s="24"/>
    </row>
    <row r="2158">
      <c r="A2158" s="15">
        <v>2156.0</v>
      </c>
      <c r="B2158" s="16" t="s">
        <v>1164</v>
      </c>
      <c r="C2158" s="18" t="s">
        <v>4380</v>
      </c>
      <c r="D2158" s="16" t="s">
        <v>735</v>
      </c>
      <c r="E2158" s="16" t="s">
        <v>7418</v>
      </c>
      <c r="F2158" s="16" t="s">
        <v>7415</v>
      </c>
      <c r="G2158" s="16" t="s">
        <v>7401</v>
      </c>
      <c r="H2158" s="20" t="s">
        <v>69</v>
      </c>
      <c r="I2158" s="21" t="s">
        <v>70</v>
      </c>
      <c r="J2158" s="22" t="s">
        <v>71</v>
      </c>
      <c r="K2158" s="23">
        <v>73.0</v>
      </c>
      <c r="L2158" s="24">
        <v>10.0</v>
      </c>
      <c r="M2158" s="24" t="str">
        <f>IFERROR(VLOOKUP(D2158,'Chủ đề bài nguồn'!$A$2:$C$735,3,0),"Khác")</f>
        <v>Vay tiêu dùng &amp; tín chấp</v>
      </c>
      <c r="N2158" s="24"/>
    </row>
    <row r="2159">
      <c r="A2159" s="15">
        <v>2157.0</v>
      </c>
      <c r="B2159" s="16" t="s">
        <v>1164</v>
      </c>
      <c r="C2159" s="18" t="s">
        <v>4380</v>
      </c>
      <c r="D2159" s="16" t="s">
        <v>2892</v>
      </c>
      <c r="E2159" s="16" t="s">
        <v>7419</v>
      </c>
      <c r="F2159" s="16" t="s">
        <v>7420</v>
      </c>
      <c r="G2159" s="16" t="s">
        <v>7401</v>
      </c>
      <c r="H2159" s="20" t="s">
        <v>69</v>
      </c>
      <c r="I2159" s="21" t="s">
        <v>70</v>
      </c>
      <c r="J2159" s="22" t="s">
        <v>71</v>
      </c>
      <c r="K2159" s="23">
        <v>73.0</v>
      </c>
      <c r="L2159" s="24">
        <v>10.0</v>
      </c>
      <c r="M2159" s="24" t="str">
        <f>IFERROR(VLOOKUP(D2159,'Chủ đề bài nguồn'!$A$2:$C$735,3,0),"Khác")</f>
        <v>Vay tiêu dùng &amp; tín chấp</v>
      </c>
      <c r="N2159" s="24"/>
    </row>
    <row r="2160">
      <c r="A2160" s="15">
        <v>2158.0</v>
      </c>
      <c r="B2160" s="16" t="s">
        <v>1164</v>
      </c>
      <c r="C2160" s="18" t="s">
        <v>4380</v>
      </c>
      <c r="D2160" s="16" t="s">
        <v>2846</v>
      </c>
      <c r="E2160" s="16" t="s">
        <v>7421</v>
      </c>
      <c r="F2160" s="16" t="s">
        <v>7422</v>
      </c>
      <c r="G2160" s="16" t="s">
        <v>7401</v>
      </c>
      <c r="H2160" s="20" t="s">
        <v>69</v>
      </c>
      <c r="I2160" s="21" t="s">
        <v>70</v>
      </c>
      <c r="J2160" s="22" t="s">
        <v>71</v>
      </c>
      <c r="K2160" s="23">
        <v>73.0</v>
      </c>
      <c r="L2160" s="24">
        <v>10.0</v>
      </c>
      <c r="M2160" s="24" t="str">
        <f>IFERROR(VLOOKUP(D2160,'Chủ đề bài nguồn'!$A$2:$C$735,3,0),"Khác")</f>
        <v>Nợ xấu &amp; CIC</v>
      </c>
      <c r="N2160" s="24"/>
    </row>
    <row r="2161">
      <c r="A2161" s="15">
        <v>2159.0</v>
      </c>
      <c r="B2161" s="16" t="s">
        <v>1164</v>
      </c>
      <c r="C2161" s="18" t="s">
        <v>4380</v>
      </c>
      <c r="D2161" s="16" t="s">
        <v>3089</v>
      </c>
      <c r="E2161" s="16" t="s">
        <v>3442</v>
      </c>
      <c r="F2161" s="16" t="s">
        <v>7423</v>
      </c>
      <c r="G2161" s="16" t="s">
        <v>7401</v>
      </c>
      <c r="H2161" s="20" t="s">
        <v>69</v>
      </c>
      <c r="I2161" s="21" t="s">
        <v>70</v>
      </c>
      <c r="J2161" s="22" t="s">
        <v>71</v>
      </c>
      <c r="K2161" s="23">
        <v>73.0</v>
      </c>
      <c r="L2161" s="24">
        <v>10.0</v>
      </c>
      <c r="M2161" s="24" t="str">
        <f>IFERROR(VLOOKUP(D2161,'Chủ đề bài nguồn'!$A$2:$C$735,3,0),"Khác")</f>
        <v>Thẻ tín dụng</v>
      </c>
      <c r="N2161" s="24"/>
    </row>
    <row r="2162">
      <c r="A2162" s="15">
        <v>2160.0</v>
      </c>
      <c r="B2162" s="16" t="s">
        <v>1164</v>
      </c>
      <c r="C2162" s="18" t="s">
        <v>4380</v>
      </c>
      <c r="D2162" s="16" t="s">
        <v>3066</v>
      </c>
      <c r="E2162" s="16" t="s">
        <v>7424</v>
      </c>
      <c r="F2162" s="16" t="s">
        <v>7425</v>
      </c>
      <c r="G2162" s="16" t="s">
        <v>7401</v>
      </c>
      <c r="H2162" s="20" t="s">
        <v>69</v>
      </c>
      <c r="I2162" s="21" t="s">
        <v>70</v>
      </c>
      <c r="J2162" s="22" t="s">
        <v>71</v>
      </c>
      <c r="K2162" s="23">
        <v>73.0</v>
      </c>
      <c r="L2162" s="24">
        <v>10.0</v>
      </c>
      <c r="M2162" s="24" t="str">
        <f>IFERROR(VLOOKUP(D2162,'Chủ đề bài nguồn'!$A$2:$C$735,3,0),"Khác")</f>
        <v>Nợ xấu &amp; CIC</v>
      </c>
      <c r="N2162" s="24"/>
    </row>
    <row r="2163">
      <c r="A2163" s="15">
        <v>2161.0</v>
      </c>
      <c r="B2163" s="16" t="s">
        <v>1164</v>
      </c>
      <c r="C2163" s="18" t="s">
        <v>4380</v>
      </c>
      <c r="D2163" s="16" t="s">
        <v>3163</v>
      </c>
      <c r="E2163" s="16" t="s">
        <v>7426</v>
      </c>
      <c r="F2163" s="16" t="s">
        <v>7427</v>
      </c>
      <c r="G2163" s="16" t="s">
        <v>7401</v>
      </c>
      <c r="H2163" s="20" t="s">
        <v>69</v>
      </c>
      <c r="I2163" s="21" t="s">
        <v>70</v>
      </c>
      <c r="J2163" s="22" t="s">
        <v>71</v>
      </c>
      <c r="K2163" s="23">
        <v>73.0</v>
      </c>
      <c r="L2163" s="24">
        <v>10.0</v>
      </c>
      <c r="M2163" s="24" t="str">
        <f>IFERROR(VLOOKUP(D2163,'Chủ đề bài nguồn'!$A$2:$C$735,3,0),"Khác")</f>
        <v>Thẻ tín dụng</v>
      </c>
      <c r="N2163" s="24"/>
    </row>
    <row r="2164">
      <c r="A2164" s="15">
        <v>2162.0</v>
      </c>
      <c r="B2164" s="16" t="s">
        <v>1164</v>
      </c>
      <c r="C2164" s="18" t="s">
        <v>4380</v>
      </c>
      <c r="D2164" s="16" t="s">
        <v>3182</v>
      </c>
      <c r="E2164" s="16" t="s">
        <v>7428</v>
      </c>
      <c r="F2164" s="16" t="s">
        <v>7429</v>
      </c>
      <c r="G2164" s="16" t="s">
        <v>7401</v>
      </c>
      <c r="H2164" s="20" t="s">
        <v>69</v>
      </c>
      <c r="I2164" s="21" t="s">
        <v>70</v>
      </c>
      <c r="J2164" s="22" t="s">
        <v>71</v>
      </c>
      <c r="K2164" s="23">
        <v>73.0</v>
      </c>
      <c r="L2164" s="24">
        <v>10.0</v>
      </c>
      <c r="M2164" s="24" t="str">
        <f>IFERROR(VLOOKUP(D2164,'Chủ đề bài nguồn'!$A$2:$C$735,3,0),"Khác")</f>
        <v>Thẻ tín dụng</v>
      </c>
      <c r="N2164" s="24"/>
    </row>
    <row r="2165">
      <c r="A2165" s="15">
        <v>2163.0</v>
      </c>
      <c r="B2165" s="16" t="s">
        <v>1164</v>
      </c>
      <c r="C2165" s="18" t="s">
        <v>4380</v>
      </c>
      <c r="D2165" s="16" t="s">
        <v>3067</v>
      </c>
      <c r="E2165" s="16" t="s">
        <v>710</v>
      </c>
      <c r="F2165" s="16" t="s">
        <v>7430</v>
      </c>
      <c r="G2165" s="16" t="s">
        <v>7401</v>
      </c>
      <c r="H2165" s="20" t="s">
        <v>69</v>
      </c>
      <c r="I2165" s="21" t="s">
        <v>70</v>
      </c>
      <c r="J2165" s="22" t="s">
        <v>71</v>
      </c>
      <c r="K2165" s="23">
        <v>73.0</v>
      </c>
      <c r="L2165" s="24">
        <v>10.0</v>
      </c>
      <c r="M2165" s="24" t="str">
        <f>IFERROR(VLOOKUP(D2165,'Chủ đề bài nguồn'!$A$2:$C$735,3,0),"Khác")</f>
        <v>Nợ xấu &amp; CIC</v>
      </c>
      <c r="N2165" s="24"/>
    </row>
    <row r="2166">
      <c r="A2166" s="15">
        <v>2164.0</v>
      </c>
      <c r="B2166" s="16" t="s">
        <v>1164</v>
      </c>
      <c r="C2166" s="18" t="s">
        <v>4380</v>
      </c>
      <c r="D2166" s="16" t="s">
        <v>3336</v>
      </c>
      <c r="E2166" s="16" t="s">
        <v>7431</v>
      </c>
      <c r="F2166" s="16" t="s">
        <v>7432</v>
      </c>
      <c r="G2166" s="16" t="s">
        <v>7401</v>
      </c>
      <c r="H2166" s="20" t="s">
        <v>69</v>
      </c>
      <c r="I2166" s="21" t="s">
        <v>70</v>
      </c>
      <c r="J2166" s="22" t="s">
        <v>71</v>
      </c>
      <c r="K2166" s="23">
        <v>73.0</v>
      </c>
      <c r="L2166" s="24">
        <v>10.0</v>
      </c>
      <c r="M2166" s="24" t="str">
        <f>IFERROR(VLOOKUP(D2166,'Chủ đề bài nguồn'!$A$2:$C$735,3,0),"Khác")</f>
        <v>Nợ xấu &amp; CIC</v>
      </c>
      <c r="N2166" s="24"/>
    </row>
    <row r="2167">
      <c r="A2167" s="15">
        <v>2165.0</v>
      </c>
      <c r="B2167" s="16" t="s">
        <v>1164</v>
      </c>
      <c r="C2167" s="18" t="s">
        <v>4380</v>
      </c>
      <c r="D2167" s="16" t="s">
        <v>2941</v>
      </c>
      <c r="E2167" s="16" t="s">
        <v>7433</v>
      </c>
      <c r="F2167" s="16" t="s">
        <v>7434</v>
      </c>
      <c r="G2167" s="16" t="s">
        <v>7401</v>
      </c>
      <c r="H2167" s="20" t="s">
        <v>69</v>
      </c>
      <c r="I2167" s="21" t="s">
        <v>70</v>
      </c>
      <c r="J2167" s="22" t="s">
        <v>71</v>
      </c>
      <c r="K2167" s="23">
        <v>73.0</v>
      </c>
      <c r="L2167" s="24">
        <v>10.0</v>
      </c>
      <c r="M2167" s="24" t="str">
        <f>IFERROR(VLOOKUP(D2167,'Chủ đề bài nguồn'!$A$2:$C$735,3,0),"Khác")</f>
        <v>Tiết kiệm &amp; lãi suất tiền gửi</v>
      </c>
      <c r="N2167" s="24"/>
    </row>
    <row r="2168">
      <c r="A2168" s="15">
        <v>2166.0</v>
      </c>
      <c r="B2168" s="16" t="s">
        <v>1164</v>
      </c>
      <c r="C2168" s="18" t="s">
        <v>4380</v>
      </c>
      <c r="D2168" s="16" t="s">
        <v>93</v>
      </c>
      <c r="E2168" s="16" t="s">
        <v>7435</v>
      </c>
      <c r="F2168" s="16" t="s">
        <v>7436</v>
      </c>
      <c r="G2168" s="16" t="s">
        <v>7401</v>
      </c>
      <c r="H2168" s="20" t="s">
        <v>69</v>
      </c>
      <c r="I2168" s="21" t="s">
        <v>70</v>
      </c>
      <c r="J2168" s="22" t="s">
        <v>71</v>
      </c>
      <c r="K2168" s="23">
        <v>73.0</v>
      </c>
      <c r="L2168" s="24">
        <v>10.0</v>
      </c>
      <c r="M2168" s="24" t="str">
        <f>IFERROR(VLOOKUP(D2168,'Chủ đề bài nguồn'!$A$2:$C$735,3,0),"Khác")</f>
        <v>Nợ xấu &amp; CIC</v>
      </c>
      <c r="N2168" s="24"/>
    </row>
    <row r="2169">
      <c r="A2169" s="15">
        <v>2167.0</v>
      </c>
      <c r="B2169" s="16" t="s">
        <v>1164</v>
      </c>
      <c r="C2169" s="18" t="s">
        <v>4380</v>
      </c>
      <c r="D2169" s="16" t="s">
        <v>3337</v>
      </c>
      <c r="E2169" s="16" t="s">
        <v>7437</v>
      </c>
      <c r="F2169" s="16" t="s">
        <v>7415</v>
      </c>
      <c r="G2169" s="16" t="s">
        <v>7401</v>
      </c>
      <c r="H2169" s="20" t="s">
        <v>69</v>
      </c>
      <c r="I2169" s="21" t="s">
        <v>70</v>
      </c>
      <c r="J2169" s="22" t="s">
        <v>71</v>
      </c>
      <c r="K2169" s="23">
        <v>73.0</v>
      </c>
      <c r="L2169" s="24">
        <v>10.0</v>
      </c>
      <c r="M2169" s="24" t="str">
        <f>IFERROR(VLOOKUP(D2169,'Chủ đề bài nguồn'!$A$2:$C$735,3,0),"Khác")</f>
        <v>Nợ xấu &amp; CIC</v>
      </c>
      <c r="N2169" s="24"/>
    </row>
    <row r="2170">
      <c r="A2170" s="15">
        <v>2168.0</v>
      </c>
      <c r="B2170" s="16" t="s">
        <v>1164</v>
      </c>
      <c r="C2170" s="18" t="s">
        <v>4380</v>
      </c>
      <c r="D2170" s="16" t="s">
        <v>2838</v>
      </c>
      <c r="E2170" s="16" t="s">
        <v>7438</v>
      </c>
      <c r="F2170" s="16" t="s">
        <v>7439</v>
      </c>
      <c r="G2170" s="16" t="s">
        <v>7401</v>
      </c>
      <c r="H2170" s="20" t="s">
        <v>69</v>
      </c>
      <c r="I2170" s="21" t="s">
        <v>70</v>
      </c>
      <c r="J2170" s="22" t="s">
        <v>71</v>
      </c>
      <c r="K2170" s="23">
        <v>73.0</v>
      </c>
      <c r="L2170" s="24">
        <v>10.0</v>
      </c>
      <c r="M2170" s="24" t="str">
        <f>IFERROR(VLOOKUP(D2170,'Chủ đề bài nguồn'!$A$2:$C$735,3,0),"Khác")</f>
        <v>Vay thế chấp &amp; mua nhà/xe</v>
      </c>
      <c r="N2170" s="24"/>
    </row>
    <row r="2171">
      <c r="A2171" s="15">
        <v>2169.0</v>
      </c>
      <c r="B2171" s="16" t="s">
        <v>1164</v>
      </c>
      <c r="C2171" s="18" t="s">
        <v>2495</v>
      </c>
      <c r="D2171" s="16" t="s">
        <v>3318</v>
      </c>
      <c r="E2171" s="16" t="s">
        <v>4140</v>
      </c>
      <c r="F2171" s="16" t="s">
        <v>7440</v>
      </c>
      <c r="G2171" s="16" t="s">
        <v>7441</v>
      </c>
      <c r="H2171" s="20" t="s">
        <v>69</v>
      </c>
      <c r="I2171" s="21" t="s">
        <v>70</v>
      </c>
      <c r="J2171" s="22" t="s">
        <v>71</v>
      </c>
      <c r="K2171" s="23">
        <v>73.0</v>
      </c>
      <c r="L2171" s="24">
        <v>11.0</v>
      </c>
      <c r="M2171" s="24" t="str">
        <f>IFERROR(VLOOKUP(D2171,'Chủ đề bài nguồn'!$A$2:$C$735,3,0),"Khác")</f>
        <v>Vay thế chấp &amp; mua nhà/xe</v>
      </c>
      <c r="N2171" s="24"/>
    </row>
    <row r="2172">
      <c r="A2172" s="15">
        <v>2170.0</v>
      </c>
      <c r="B2172" s="16" t="s">
        <v>1164</v>
      </c>
      <c r="C2172" s="18" t="s">
        <v>4380</v>
      </c>
      <c r="D2172" s="16" t="s">
        <v>1158</v>
      </c>
      <c r="E2172" s="16" t="s">
        <v>6861</v>
      </c>
      <c r="F2172" s="16" t="s">
        <v>7442</v>
      </c>
      <c r="G2172" s="16" t="s">
        <v>7401</v>
      </c>
      <c r="H2172" s="20" t="s">
        <v>155</v>
      </c>
      <c r="I2172" s="21" t="s">
        <v>70</v>
      </c>
      <c r="J2172" s="22" t="s">
        <v>71</v>
      </c>
      <c r="K2172" s="23">
        <v>73.0</v>
      </c>
      <c r="L2172" s="24">
        <v>20.0</v>
      </c>
      <c r="M2172" s="24" t="str">
        <f>IFERROR(VLOOKUP(D2172,'Chủ đề bài nguồn'!$A$2:$C$735,3,0),"Khác")</f>
        <v>Nợ xấu &amp; CIC</v>
      </c>
      <c r="N2172" s="24"/>
    </row>
    <row r="2173">
      <c r="A2173" s="15">
        <v>2171.0</v>
      </c>
      <c r="B2173" s="16" t="s">
        <v>1164</v>
      </c>
      <c r="C2173" s="18" t="s">
        <v>4380</v>
      </c>
      <c r="D2173" s="16" t="s">
        <v>3071</v>
      </c>
      <c r="E2173" s="16" t="s">
        <v>3497</v>
      </c>
      <c r="F2173" s="16" t="s">
        <v>7443</v>
      </c>
      <c r="G2173" s="16" t="s">
        <v>7401</v>
      </c>
      <c r="H2173" s="20" t="s">
        <v>155</v>
      </c>
      <c r="I2173" s="21" t="s">
        <v>70</v>
      </c>
      <c r="J2173" s="22" t="s">
        <v>71</v>
      </c>
      <c r="K2173" s="23">
        <v>73.0</v>
      </c>
      <c r="L2173" s="24">
        <v>20.0</v>
      </c>
      <c r="M2173" s="24" t="str">
        <f>IFERROR(VLOOKUP(D2173,'Chủ đề bài nguồn'!$A$2:$C$735,3,0),"Khác")</f>
        <v>Nợ xấu &amp; CIC</v>
      </c>
      <c r="N2173" s="24"/>
    </row>
    <row r="2174">
      <c r="A2174" s="15">
        <v>2172.0</v>
      </c>
      <c r="B2174" s="16" t="s">
        <v>1164</v>
      </c>
      <c r="C2174" s="18" t="s">
        <v>4380</v>
      </c>
      <c r="D2174" s="16" t="s">
        <v>3065</v>
      </c>
      <c r="E2174" s="16" t="s">
        <v>4146</v>
      </c>
      <c r="F2174" s="16" t="s">
        <v>7444</v>
      </c>
      <c r="G2174" s="16" t="s">
        <v>7401</v>
      </c>
      <c r="H2174" s="20" t="s">
        <v>229</v>
      </c>
      <c r="I2174" s="21" t="s">
        <v>70</v>
      </c>
      <c r="J2174" s="22" t="s">
        <v>7445</v>
      </c>
      <c r="K2174" s="23">
        <v>73.0</v>
      </c>
      <c r="L2174" s="24">
        <v>30.0</v>
      </c>
      <c r="M2174" s="24" t="str">
        <f>IFERROR(VLOOKUP(D2174,'Chủ đề bài nguồn'!$A$2:$C$735,3,0),"Khác")</f>
        <v>Nợ xấu &amp; CIC</v>
      </c>
      <c r="N2174" s="24"/>
    </row>
    <row r="2175">
      <c r="A2175" s="15">
        <v>2173.0</v>
      </c>
      <c r="B2175" s="16" t="s">
        <v>1164</v>
      </c>
      <c r="C2175" s="18" t="s">
        <v>4380</v>
      </c>
      <c r="D2175" s="16" t="s">
        <v>3058</v>
      </c>
      <c r="E2175" s="16" t="s">
        <v>7446</v>
      </c>
      <c r="F2175" s="16" t="s">
        <v>7447</v>
      </c>
      <c r="G2175" s="16" t="s">
        <v>7401</v>
      </c>
      <c r="H2175" s="20" t="s">
        <v>229</v>
      </c>
      <c r="I2175" s="21" t="s">
        <v>70</v>
      </c>
      <c r="J2175" s="22" t="s">
        <v>7448</v>
      </c>
      <c r="K2175" s="23">
        <v>73.0</v>
      </c>
      <c r="L2175" s="24">
        <v>30.0</v>
      </c>
      <c r="M2175" s="24" t="str">
        <f>IFERROR(VLOOKUP(D2175,'Chủ đề bài nguồn'!$A$2:$C$735,3,0),"Khác")</f>
        <v>Doanh nghiệp (tài khoản, vay, tài chính)</v>
      </c>
      <c r="N2175" s="24"/>
    </row>
    <row r="2176">
      <c r="A2176" s="15">
        <v>2174.0</v>
      </c>
      <c r="B2176" s="16" t="s">
        <v>1164</v>
      </c>
      <c r="C2176" s="18" t="s">
        <v>4380</v>
      </c>
      <c r="D2176" s="16" t="s">
        <v>2956</v>
      </c>
      <c r="E2176" s="16" t="s">
        <v>7449</v>
      </c>
      <c r="F2176" s="16" t="s">
        <v>7450</v>
      </c>
      <c r="G2176" s="16" t="s">
        <v>7451</v>
      </c>
      <c r="H2176" s="20" t="s">
        <v>229</v>
      </c>
      <c r="I2176" s="21" t="s">
        <v>70</v>
      </c>
      <c r="J2176" s="22" t="s">
        <v>7452</v>
      </c>
      <c r="K2176" s="23">
        <v>73.0</v>
      </c>
      <c r="L2176" s="24">
        <v>30.0</v>
      </c>
      <c r="M2176" s="24" t="str">
        <f>IFERROR(VLOOKUP(D2176,'Chủ đề bài nguồn'!$A$2:$C$735,3,0),"Khác")</f>
        <v>Vay tiêu dùng &amp; tín chấp</v>
      </c>
      <c r="N2176" s="24"/>
    </row>
    <row r="2177">
      <c r="A2177" s="15">
        <v>2175.0</v>
      </c>
      <c r="B2177" s="16" t="s">
        <v>1164</v>
      </c>
      <c r="C2177" s="18" t="s">
        <v>4380</v>
      </c>
      <c r="D2177" s="16" t="s">
        <v>3080</v>
      </c>
      <c r="E2177" s="16" t="s">
        <v>6342</v>
      </c>
      <c r="F2177" s="16" t="s">
        <v>7453</v>
      </c>
      <c r="G2177" s="16" t="s">
        <v>7401</v>
      </c>
      <c r="H2177" s="20" t="s">
        <v>229</v>
      </c>
      <c r="I2177" s="21" t="s">
        <v>70</v>
      </c>
      <c r="J2177" s="22" t="s">
        <v>7454</v>
      </c>
      <c r="K2177" s="23">
        <v>73.0</v>
      </c>
      <c r="L2177" s="24">
        <v>30.0</v>
      </c>
      <c r="M2177" s="24" t="str">
        <f>IFERROR(VLOOKUP(D2177,'Chủ đề bài nguồn'!$A$2:$C$735,3,0),"Khác")</f>
        <v>Thẻ tín dụng</v>
      </c>
      <c r="N2177" s="24"/>
    </row>
    <row r="2178">
      <c r="A2178" s="15">
        <v>2176.0</v>
      </c>
      <c r="B2178" s="16" t="s">
        <v>1171</v>
      </c>
      <c r="C2178" s="18" t="s">
        <v>2521</v>
      </c>
      <c r="D2178" s="16" t="s">
        <v>3318</v>
      </c>
      <c r="E2178" s="16" t="s">
        <v>7455</v>
      </c>
      <c r="F2178" s="16" t="s">
        <v>7456</v>
      </c>
      <c r="G2178" s="16" t="s">
        <v>7457</v>
      </c>
      <c r="H2178" s="20" t="s">
        <v>155</v>
      </c>
      <c r="I2178" s="21" t="s">
        <v>70</v>
      </c>
      <c r="J2178" s="22" t="s">
        <v>71</v>
      </c>
      <c r="K2178" s="23">
        <v>74.0</v>
      </c>
      <c r="L2178" s="24">
        <v>21.0</v>
      </c>
      <c r="M2178" s="24" t="str">
        <f>IFERROR(VLOOKUP(D2178,'Chủ đề bài nguồn'!$A$2:$C$735,3,0),"Khác")</f>
        <v>Vay thế chấp &amp; mua nhà/xe</v>
      </c>
      <c r="N2178" s="24"/>
    </row>
    <row r="2179">
      <c r="A2179" s="15">
        <v>2177.0</v>
      </c>
      <c r="B2179" s="16" t="s">
        <v>1171</v>
      </c>
      <c r="C2179" s="18" t="s">
        <v>2521</v>
      </c>
      <c r="D2179" s="16" t="s">
        <v>2941</v>
      </c>
      <c r="E2179" s="16" t="s">
        <v>7458</v>
      </c>
      <c r="F2179" s="16" t="s">
        <v>7459</v>
      </c>
      <c r="G2179" s="16" t="s">
        <v>7460</v>
      </c>
      <c r="H2179" s="20" t="s">
        <v>155</v>
      </c>
      <c r="I2179" s="21" t="s">
        <v>70</v>
      </c>
      <c r="J2179" s="22" t="s">
        <v>71</v>
      </c>
      <c r="K2179" s="23">
        <v>74.0</v>
      </c>
      <c r="L2179" s="24">
        <v>21.0</v>
      </c>
      <c r="M2179" s="24" t="str">
        <f>IFERROR(VLOOKUP(D2179,'Chủ đề bài nguồn'!$A$2:$C$735,3,0),"Khác")</f>
        <v>Tiết kiệm &amp; lãi suất tiền gửi</v>
      </c>
      <c r="N2179" s="24"/>
    </row>
    <row r="2180">
      <c r="A2180" s="15">
        <v>2178.0</v>
      </c>
      <c r="B2180" s="16" t="s">
        <v>1171</v>
      </c>
      <c r="C2180" s="18" t="s">
        <v>2521</v>
      </c>
      <c r="D2180" s="16" t="s">
        <v>3064</v>
      </c>
      <c r="E2180" s="16" t="s">
        <v>7461</v>
      </c>
      <c r="F2180" s="16" t="s">
        <v>7462</v>
      </c>
      <c r="G2180" s="16" t="s">
        <v>7463</v>
      </c>
      <c r="H2180" s="20" t="s">
        <v>155</v>
      </c>
      <c r="I2180" s="21" t="s">
        <v>70</v>
      </c>
      <c r="J2180" s="22" t="s">
        <v>71</v>
      </c>
      <c r="K2180" s="23">
        <v>74.0</v>
      </c>
      <c r="L2180" s="24">
        <v>21.0</v>
      </c>
      <c r="M2180" s="24" t="str">
        <f>IFERROR(VLOOKUP(D2180,'Chủ đề bài nguồn'!$A$2:$C$735,3,0),"Khác")</f>
        <v>Thẻ tín dụng</v>
      </c>
      <c r="N2180" s="24"/>
    </row>
    <row r="2181">
      <c r="A2181" s="15">
        <v>2179.0</v>
      </c>
      <c r="B2181" s="16" t="s">
        <v>1171</v>
      </c>
      <c r="C2181" s="18" t="s">
        <v>2521</v>
      </c>
      <c r="D2181" s="16" t="s">
        <v>3335</v>
      </c>
      <c r="E2181" s="16" t="s">
        <v>7464</v>
      </c>
      <c r="F2181" s="16" t="s">
        <v>7465</v>
      </c>
      <c r="G2181" s="16" t="s">
        <v>7466</v>
      </c>
      <c r="H2181" s="20" t="s">
        <v>155</v>
      </c>
      <c r="I2181" s="21" t="s">
        <v>70</v>
      </c>
      <c r="J2181" s="22" t="s">
        <v>71</v>
      </c>
      <c r="K2181" s="23">
        <v>74.0</v>
      </c>
      <c r="L2181" s="24">
        <v>21.0</v>
      </c>
      <c r="M2181" s="24" t="str">
        <f>IFERROR(VLOOKUP(D2181,'Chủ đề bài nguồn'!$A$2:$C$735,3,0),"Khác")</f>
        <v>Vay tiêu dùng &amp; tín chấp</v>
      </c>
      <c r="N2181" s="24"/>
    </row>
    <row r="2182">
      <c r="A2182" s="15">
        <v>2180.0</v>
      </c>
      <c r="B2182" s="16" t="s">
        <v>1171</v>
      </c>
      <c r="C2182" s="18" t="s">
        <v>2521</v>
      </c>
      <c r="D2182" s="16" t="s">
        <v>1534</v>
      </c>
      <c r="E2182" s="16" t="s">
        <v>7467</v>
      </c>
      <c r="F2182" s="16" t="s">
        <v>7468</v>
      </c>
      <c r="G2182" s="16" t="s">
        <v>7469</v>
      </c>
      <c r="H2182" s="20" t="s">
        <v>155</v>
      </c>
      <c r="I2182" s="21" t="s">
        <v>70</v>
      </c>
      <c r="J2182" s="22" t="s">
        <v>4010</v>
      </c>
      <c r="K2182" s="23">
        <v>74.0</v>
      </c>
      <c r="L2182" s="24">
        <v>21.0</v>
      </c>
      <c r="M2182" s="24" t="str">
        <f>IFERROR(VLOOKUP(D2182,'Chủ đề bài nguồn'!$A$2:$C$735,3,0),"Khác")</f>
        <v>Vay tiêu dùng &amp; tín chấp</v>
      </c>
      <c r="N2182" s="24"/>
    </row>
    <row r="2183">
      <c r="A2183" s="15">
        <v>2181.0</v>
      </c>
      <c r="B2183" s="16" t="s">
        <v>1171</v>
      </c>
      <c r="C2183" s="18" t="s">
        <v>2521</v>
      </c>
      <c r="D2183" s="16" t="s">
        <v>3286</v>
      </c>
      <c r="E2183" s="16" t="s">
        <v>710</v>
      </c>
      <c r="F2183" s="16" t="s">
        <v>7470</v>
      </c>
      <c r="G2183" s="16" t="s">
        <v>7471</v>
      </c>
      <c r="H2183" s="20" t="s">
        <v>229</v>
      </c>
      <c r="I2183" s="21" t="s">
        <v>70</v>
      </c>
      <c r="J2183" s="22" t="s">
        <v>71</v>
      </c>
      <c r="K2183" s="23">
        <v>74.0</v>
      </c>
      <c r="L2183" s="24">
        <v>31.0</v>
      </c>
      <c r="M2183" s="24" t="str">
        <f>IFERROR(VLOOKUP(D2183,'Chủ đề bài nguồn'!$A$2:$C$735,3,0),"Khác")</f>
        <v>Vay tiêu dùng &amp; tín chấp</v>
      </c>
      <c r="N2183" s="24"/>
    </row>
    <row r="2184">
      <c r="A2184" s="15">
        <v>2182.0</v>
      </c>
      <c r="B2184" s="16" t="s">
        <v>1171</v>
      </c>
      <c r="C2184" s="18" t="s">
        <v>2521</v>
      </c>
      <c r="D2184" s="16" t="s">
        <v>3285</v>
      </c>
      <c r="E2184" s="16" t="s">
        <v>710</v>
      </c>
      <c r="F2184" s="16" t="s">
        <v>7472</v>
      </c>
      <c r="G2184" s="16" t="s">
        <v>7473</v>
      </c>
      <c r="H2184" s="20" t="s">
        <v>229</v>
      </c>
      <c r="I2184" s="21" t="s">
        <v>70</v>
      </c>
      <c r="J2184" s="22" t="s">
        <v>71</v>
      </c>
      <c r="K2184" s="23">
        <v>74.0</v>
      </c>
      <c r="L2184" s="24">
        <v>31.0</v>
      </c>
      <c r="M2184" s="24" t="str">
        <f>IFERROR(VLOOKUP(D2184,'Chủ đề bài nguồn'!$A$2:$C$735,3,0),"Khác")</f>
        <v>Vay tiêu dùng &amp; tín chấp</v>
      </c>
      <c r="N2184" s="24"/>
    </row>
    <row r="2185">
      <c r="A2185" s="15">
        <v>2183.0</v>
      </c>
      <c r="B2185" s="16" t="s">
        <v>1179</v>
      </c>
      <c r="C2185" s="18" t="s">
        <v>4413</v>
      </c>
      <c r="D2185" s="16" t="s">
        <v>2755</v>
      </c>
      <c r="E2185" s="16" t="s">
        <v>6727</v>
      </c>
      <c r="F2185" s="16" t="s">
        <v>7474</v>
      </c>
      <c r="G2185" s="16" t="s">
        <v>7475</v>
      </c>
      <c r="H2185" s="20" t="s">
        <v>69</v>
      </c>
      <c r="I2185" s="21" t="s">
        <v>70</v>
      </c>
      <c r="J2185" s="22" t="s">
        <v>539</v>
      </c>
      <c r="K2185" s="23">
        <v>75.0</v>
      </c>
      <c r="L2185" s="24">
        <v>11.0</v>
      </c>
      <c r="M2185" s="24" t="str">
        <f>IFERROR(VLOOKUP(D2185,'Chủ đề bài nguồn'!$A$2:$C$735,3,0),"Khác")</f>
        <v>Đầu tư, CCTG, trái phiếu, vàng</v>
      </c>
      <c r="N2185" s="24"/>
    </row>
    <row r="2186">
      <c r="A2186" s="15">
        <v>2184.0</v>
      </c>
      <c r="B2186" s="16" t="s">
        <v>1179</v>
      </c>
      <c r="C2186" s="18" t="s">
        <v>4413</v>
      </c>
      <c r="D2186" s="16" t="s">
        <v>1686</v>
      </c>
      <c r="E2186" s="16" t="s">
        <v>7476</v>
      </c>
      <c r="F2186" s="16" t="s">
        <v>7477</v>
      </c>
      <c r="G2186" s="16" t="s">
        <v>7478</v>
      </c>
      <c r="H2186" s="20" t="s">
        <v>69</v>
      </c>
      <c r="I2186" s="21" t="s">
        <v>70</v>
      </c>
      <c r="J2186" s="22" t="s">
        <v>71</v>
      </c>
      <c r="K2186" s="23">
        <v>75.0</v>
      </c>
      <c r="L2186" s="24">
        <v>11.0</v>
      </c>
      <c r="M2186" s="24" t="str">
        <f>IFERROR(VLOOKUP(D2186,'Chủ đề bài nguồn'!$A$2:$C$735,3,0),"Khác")</f>
        <v>Đầu tư, CCTG, trái phiếu, vàng</v>
      </c>
      <c r="N2186" s="24"/>
    </row>
    <row r="2187">
      <c r="A2187" s="15">
        <v>2185.0</v>
      </c>
      <c r="B2187" s="16" t="s">
        <v>1179</v>
      </c>
      <c r="C2187" s="18" t="s">
        <v>4413</v>
      </c>
      <c r="D2187" s="16" t="s">
        <v>1521</v>
      </c>
      <c r="E2187" s="16" t="s">
        <v>7479</v>
      </c>
      <c r="F2187" s="16" t="s">
        <v>7480</v>
      </c>
      <c r="G2187" s="16" t="s">
        <v>7481</v>
      </c>
      <c r="H2187" s="20" t="s">
        <v>69</v>
      </c>
      <c r="I2187" s="21" t="s">
        <v>70</v>
      </c>
      <c r="J2187" s="22" t="s">
        <v>71</v>
      </c>
      <c r="K2187" s="23">
        <v>75.0</v>
      </c>
      <c r="L2187" s="24">
        <v>11.0</v>
      </c>
      <c r="M2187" s="24" t="str">
        <f>IFERROR(VLOOKUP(D2187,'Chủ đề bài nguồn'!$A$2:$C$735,3,0),"Khác")</f>
        <v>Đầu tư, CCTG, trái phiếu, vàng</v>
      </c>
      <c r="N2187" s="24"/>
    </row>
    <row r="2188">
      <c r="A2188" s="15">
        <v>2186.0</v>
      </c>
      <c r="B2188" s="16" t="s">
        <v>1179</v>
      </c>
      <c r="C2188" s="18" t="s">
        <v>4413</v>
      </c>
      <c r="D2188" s="16" t="s">
        <v>3077</v>
      </c>
      <c r="E2188" s="16" t="s">
        <v>7482</v>
      </c>
      <c r="F2188" s="16" t="s">
        <v>7483</v>
      </c>
      <c r="G2188" s="16" t="s">
        <v>7484</v>
      </c>
      <c r="H2188" s="20" t="s">
        <v>69</v>
      </c>
      <c r="I2188" s="21" t="s">
        <v>70</v>
      </c>
      <c r="J2188" s="22" t="s">
        <v>71</v>
      </c>
      <c r="K2188" s="23">
        <v>75.0</v>
      </c>
      <c r="L2188" s="24">
        <v>11.0</v>
      </c>
      <c r="M2188" s="24" t="str">
        <f>IFERROR(VLOOKUP(D2188,'Chủ đề bài nguồn'!$A$2:$C$735,3,0),"Khác")</f>
        <v>Ngân hàng xanh &amp; thương hiệu</v>
      </c>
      <c r="N2188" s="24"/>
    </row>
    <row r="2189">
      <c r="A2189" s="15">
        <v>2187.0</v>
      </c>
      <c r="B2189" s="16" t="s">
        <v>1179</v>
      </c>
      <c r="C2189" s="18" t="s">
        <v>4418</v>
      </c>
      <c r="D2189" s="16" t="s">
        <v>2762</v>
      </c>
      <c r="E2189" s="16" t="s">
        <v>7485</v>
      </c>
      <c r="F2189" s="16" t="s">
        <v>7486</v>
      </c>
      <c r="G2189" s="16" t="s">
        <v>7487</v>
      </c>
      <c r="H2189" s="20" t="s">
        <v>69</v>
      </c>
      <c r="I2189" s="21" t="s">
        <v>70</v>
      </c>
      <c r="J2189" s="22" t="s">
        <v>71</v>
      </c>
      <c r="K2189" s="23">
        <v>75.0</v>
      </c>
      <c r="L2189" s="24">
        <v>11.0</v>
      </c>
      <c r="M2189" s="24" t="str">
        <f>IFERROR(VLOOKUP(D2189,'Chủ đề bài nguồn'!$A$2:$C$735,3,0),"Khác")</f>
        <v>Đầu tư, CCTG, trái phiếu, vàng</v>
      </c>
      <c r="N2189" s="24"/>
    </row>
    <row r="2190">
      <c r="A2190" s="15">
        <v>2188.0</v>
      </c>
      <c r="B2190" s="16" t="s">
        <v>1179</v>
      </c>
      <c r="C2190" s="18" t="s">
        <v>4418</v>
      </c>
      <c r="D2190" s="16" t="s">
        <v>2761</v>
      </c>
      <c r="E2190" s="16" t="s">
        <v>7488</v>
      </c>
      <c r="F2190" s="16" t="s">
        <v>7489</v>
      </c>
      <c r="G2190" s="16" t="s">
        <v>7490</v>
      </c>
      <c r="H2190" s="20" t="s">
        <v>69</v>
      </c>
      <c r="I2190" s="21" t="s">
        <v>70</v>
      </c>
      <c r="J2190" s="22" t="s">
        <v>71</v>
      </c>
      <c r="K2190" s="23">
        <v>75.0</v>
      </c>
      <c r="L2190" s="24">
        <v>11.0</v>
      </c>
      <c r="M2190" s="24" t="str">
        <f>IFERROR(VLOOKUP(D2190,'Chủ đề bài nguồn'!$A$2:$C$735,3,0),"Khác")</f>
        <v>Đầu tư, CCTG, trái phiếu, vàng</v>
      </c>
      <c r="N2190" s="24"/>
    </row>
    <row r="2191">
      <c r="A2191" s="15">
        <v>2189.0</v>
      </c>
      <c r="B2191" s="16" t="s">
        <v>1179</v>
      </c>
      <c r="C2191" s="18" t="s">
        <v>2551</v>
      </c>
      <c r="D2191" s="16" t="s">
        <v>2724</v>
      </c>
      <c r="E2191" s="16" t="s">
        <v>7491</v>
      </c>
      <c r="F2191" s="16" t="s">
        <v>7492</v>
      </c>
      <c r="G2191" s="16" t="s">
        <v>7493</v>
      </c>
      <c r="H2191" s="20" t="s">
        <v>69</v>
      </c>
      <c r="I2191" s="21" t="s">
        <v>70</v>
      </c>
      <c r="J2191" s="22" t="s">
        <v>71</v>
      </c>
      <c r="K2191" s="23">
        <v>75.0</v>
      </c>
      <c r="L2191" s="24">
        <v>11.0</v>
      </c>
      <c r="M2191" s="24" t="str">
        <f>IFERROR(VLOOKUP(D2191,'Chủ đề bài nguồn'!$A$2:$C$735,3,0),"Khác")</f>
        <v>Đầu tư, CCTG, trái phiếu, vàng</v>
      </c>
      <c r="N2191" s="24"/>
    </row>
    <row r="2192">
      <c r="A2192" s="15">
        <v>2190.0</v>
      </c>
      <c r="B2192" s="16" t="s">
        <v>1179</v>
      </c>
      <c r="C2192" s="18" t="s">
        <v>2551</v>
      </c>
      <c r="D2192" s="16" t="s">
        <v>1529</v>
      </c>
      <c r="E2192" s="16" t="s">
        <v>7494</v>
      </c>
      <c r="F2192" s="16" t="s">
        <v>7495</v>
      </c>
      <c r="G2192" s="16" t="s">
        <v>7496</v>
      </c>
      <c r="H2192" s="20" t="s">
        <v>69</v>
      </c>
      <c r="I2192" s="21" t="s">
        <v>70</v>
      </c>
      <c r="J2192" s="22" t="s">
        <v>71</v>
      </c>
      <c r="K2192" s="23">
        <v>75.0</v>
      </c>
      <c r="L2192" s="24">
        <v>11.0</v>
      </c>
      <c r="M2192" s="24" t="str">
        <f>IFERROR(VLOOKUP(D2192,'Chủ đề bài nguồn'!$A$2:$C$735,3,0),"Khác")</f>
        <v>Đầu tư, CCTG, trái phiếu, vàng</v>
      </c>
      <c r="N2192" s="24"/>
    </row>
    <row r="2193">
      <c r="A2193" s="15">
        <v>2191.0</v>
      </c>
      <c r="B2193" s="16" t="s">
        <v>1179</v>
      </c>
      <c r="C2193" s="18" t="s">
        <v>2551</v>
      </c>
      <c r="D2193" s="16" t="s">
        <v>2047</v>
      </c>
      <c r="E2193" s="16" t="s">
        <v>6149</v>
      </c>
      <c r="F2193" s="16" t="s">
        <v>7497</v>
      </c>
      <c r="G2193" s="16" t="s">
        <v>7498</v>
      </c>
      <c r="H2193" s="20" t="s">
        <v>69</v>
      </c>
      <c r="I2193" s="21" t="s">
        <v>70</v>
      </c>
      <c r="J2193" s="22" t="s">
        <v>71</v>
      </c>
      <c r="K2193" s="23">
        <v>75.0</v>
      </c>
      <c r="L2193" s="24">
        <v>11.0</v>
      </c>
      <c r="M2193" s="24" t="str">
        <f>IFERROR(VLOOKUP(D2193,'Chủ đề bài nguồn'!$A$2:$C$735,3,0),"Khác")</f>
        <v>Ngoại tệ &amp; chuyển tiền quốc tế</v>
      </c>
      <c r="N2193" s="24"/>
    </row>
    <row r="2194">
      <c r="A2194" s="15">
        <v>2192.0</v>
      </c>
      <c r="B2194" s="16" t="s">
        <v>1179</v>
      </c>
      <c r="C2194" s="18" t="s">
        <v>4413</v>
      </c>
      <c r="D2194" s="16" t="s">
        <v>3025</v>
      </c>
      <c r="E2194" s="16" t="s">
        <v>710</v>
      </c>
      <c r="F2194" s="16" t="s">
        <v>7499</v>
      </c>
      <c r="G2194" s="16" t="s">
        <v>7500</v>
      </c>
      <c r="H2194" s="20" t="s">
        <v>155</v>
      </c>
      <c r="I2194" s="21" t="s">
        <v>70</v>
      </c>
      <c r="J2194" s="22" t="s">
        <v>71</v>
      </c>
      <c r="K2194" s="23">
        <v>75.0</v>
      </c>
      <c r="L2194" s="24">
        <v>21.0</v>
      </c>
      <c r="M2194" s="24" t="str">
        <f>IFERROR(VLOOKUP(D2194,'Chủ đề bài nguồn'!$A$2:$C$735,3,0),"Khác")</f>
        <v>Doanh nghiệp (tài khoản, vay, tài chính)</v>
      </c>
      <c r="N2194" s="24"/>
    </row>
    <row r="2195">
      <c r="A2195" s="15">
        <v>2193.0</v>
      </c>
      <c r="B2195" s="16" t="s">
        <v>1179</v>
      </c>
      <c r="C2195" s="18" t="s">
        <v>4413</v>
      </c>
      <c r="D2195" s="16" t="s">
        <v>1310</v>
      </c>
      <c r="E2195" s="16" t="s">
        <v>7501</v>
      </c>
      <c r="F2195" s="16" t="s">
        <v>7502</v>
      </c>
      <c r="G2195" s="16" t="s">
        <v>7503</v>
      </c>
      <c r="H2195" s="20" t="s">
        <v>155</v>
      </c>
      <c r="I2195" s="21" t="s">
        <v>70</v>
      </c>
      <c r="J2195" s="22" t="s">
        <v>71</v>
      </c>
      <c r="K2195" s="23">
        <v>75.0</v>
      </c>
      <c r="L2195" s="24">
        <v>21.0</v>
      </c>
      <c r="M2195" s="24" t="str">
        <f>IFERROR(VLOOKUP(D2195,'Chủ đề bài nguồn'!$A$2:$C$735,3,0),"Khác")</f>
        <v>Đầu tư, CCTG, trái phiếu, vàng</v>
      </c>
      <c r="N2195" s="24"/>
    </row>
    <row r="2196">
      <c r="A2196" s="15">
        <v>2194.0</v>
      </c>
      <c r="B2196" s="16" t="s">
        <v>1179</v>
      </c>
      <c r="C2196" s="18" t="s">
        <v>4413</v>
      </c>
      <c r="D2196" s="16" t="s">
        <v>1409</v>
      </c>
      <c r="E2196" s="16" t="s">
        <v>7504</v>
      </c>
      <c r="F2196" s="16" t="s">
        <v>7505</v>
      </c>
      <c r="G2196" s="16" t="s">
        <v>7506</v>
      </c>
      <c r="H2196" s="20" t="s">
        <v>155</v>
      </c>
      <c r="I2196" s="21" t="s">
        <v>70</v>
      </c>
      <c r="J2196" s="22" t="s">
        <v>71</v>
      </c>
      <c r="K2196" s="23">
        <v>75.0</v>
      </c>
      <c r="L2196" s="24">
        <v>21.0</v>
      </c>
      <c r="M2196" s="24" t="str">
        <f>IFERROR(VLOOKUP(D2196,'Chủ đề bài nguồn'!$A$2:$C$735,3,0),"Khác")</f>
        <v>Đầu tư, CCTG, trái phiếu, vàng</v>
      </c>
      <c r="N2196" s="24"/>
    </row>
    <row r="2197">
      <c r="A2197" s="15">
        <v>2195.0</v>
      </c>
      <c r="B2197" s="16" t="s">
        <v>1179</v>
      </c>
      <c r="C2197" s="18" t="s">
        <v>4413</v>
      </c>
      <c r="D2197" s="16" t="s">
        <v>3207</v>
      </c>
      <c r="E2197" s="16" t="s">
        <v>7507</v>
      </c>
      <c r="F2197" s="16" t="s">
        <v>7508</v>
      </c>
      <c r="G2197" s="16" t="s">
        <v>7509</v>
      </c>
      <c r="H2197" s="20" t="s">
        <v>155</v>
      </c>
      <c r="I2197" s="21" t="s">
        <v>70</v>
      </c>
      <c r="J2197" s="22" t="s">
        <v>71</v>
      </c>
      <c r="K2197" s="23">
        <v>75.0</v>
      </c>
      <c r="L2197" s="24">
        <v>21.0</v>
      </c>
      <c r="M2197" s="24" t="str">
        <f>IFERROR(VLOOKUP(D2197,'Chủ đề bài nguồn'!$A$2:$C$735,3,0),"Khác")</f>
        <v>Đầu tư, CCTG, trái phiếu, vàng</v>
      </c>
      <c r="N2197" s="24"/>
    </row>
    <row r="2198">
      <c r="A2198" s="15">
        <v>2196.0</v>
      </c>
      <c r="B2198" s="16" t="s">
        <v>1179</v>
      </c>
      <c r="C2198" s="18" t="s">
        <v>4413</v>
      </c>
      <c r="D2198" s="16" t="s">
        <v>1501</v>
      </c>
      <c r="E2198" s="16" t="s">
        <v>7510</v>
      </c>
      <c r="F2198" s="16" t="s">
        <v>7511</v>
      </c>
      <c r="G2198" s="16" t="s">
        <v>7512</v>
      </c>
      <c r="H2198" s="20" t="s">
        <v>155</v>
      </c>
      <c r="I2198" s="21" t="s">
        <v>70</v>
      </c>
      <c r="J2198" s="22" t="s">
        <v>71</v>
      </c>
      <c r="K2198" s="23">
        <v>75.0</v>
      </c>
      <c r="L2198" s="24">
        <v>21.0</v>
      </c>
      <c r="M2198" s="24" t="str">
        <f>IFERROR(VLOOKUP(D2198,'Chủ đề bài nguồn'!$A$2:$C$735,3,0),"Khác")</f>
        <v>Đầu tư, CCTG, trái phiếu, vàng</v>
      </c>
      <c r="N2198" s="24"/>
    </row>
    <row r="2199">
      <c r="A2199" s="15">
        <v>2197.0</v>
      </c>
      <c r="B2199" s="16" t="s">
        <v>1179</v>
      </c>
      <c r="C2199" s="18" t="s">
        <v>4413</v>
      </c>
      <c r="D2199" s="16" t="s">
        <v>2970</v>
      </c>
      <c r="E2199" s="16" t="s">
        <v>7513</v>
      </c>
      <c r="F2199" s="16" t="s">
        <v>7514</v>
      </c>
      <c r="G2199" s="16" t="s">
        <v>7515</v>
      </c>
      <c r="H2199" s="20" t="s">
        <v>155</v>
      </c>
      <c r="I2199" s="21" t="s">
        <v>70</v>
      </c>
      <c r="J2199" s="22" t="s">
        <v>71</v>
      </c>
      <c r="K2199" s="23">
        <v>75.0</v>
      </c>
      <c r="L2199" s="24">
        <v>21.0</v>
      </c>
      <c r="M2199" s="24" t="str">
        <f>IFERROR(VLOOKUP(D2199,'Chủ đề bài nguồn'!$A$2:$C$735,3,0),"Khác")</f>
        <v>Quản lý tài chính cá nhân</v>
      </c>
      <c r="N2199" s="24"/>
    </row>
    <row r="2200">
      <c r="A2200" s="15">
        <v>2198.0</v>
      </c>
      <c r="B2200" s="16" t="s">
        <v>1179</v>
      </c>
      <c r="C2200" s="18" t="s">
        <v>4413</v>
      </c>
      <c r="D2200" s="16" t="s">
        <v>985</v>
      </c>
      <c r="E2200" s="16" t="s">
        <v>7516</v>
      </c>
      <c r="F2200" s="16" t="s">
        <v>7517</v>
      </c>
      <c r="G2200" s="16" t="s">
        <v>7518</v>
      </c>
      <c r="H2200" s="20" t="s">
        <v>155</v>
      </c>
      <c r="I2200" s="21" t="s">
        <v>70</v>
      </c>
      <c r="J2200" s="22" t="s">
        <v>7519</v>
      </c>
      <c r="K2200" s="23">
        <v>75.0</v>
      </c>
      <c r="L2200" s="24">
        <v>21.0</v>
      </c>
      <c r="M2200" s="24" t="str">
        <f>IFERROR(VLOOKUP(D2200,'Chủ đề bài nguồn'!$A$2:$C$735,3,0),"Khác")</f>
        <v>Quản lý tài chính cá nhân</v>
      </c>
      <c r="N2200" s="24"/>
    </row>
    <row r="2201">
      <c r="A2201" s="15">
        <v>2199.0</v>
      </c>
      <c r="B2201" s="16" t="s">
        <v>1179</v>
      </c>
      <c r="C2201" s="18" t="s">
        <v>4413</v>
      </c>
      <c r="D2201" s="16" t="s">
        <v>2384</v>
      </c>
      <c r="E2201" s="16" t="s">
        <v>2385</v>
      </c>
      <c r="F2201" s="16" t="s">
        <v>7520</v>
      </c>
      <c r="G2201" s="16" t="s">
        <v>7475</v>
      </c>
      <c r="H2201" s="20" t="s">
        <v>155</v>
      </c>
      <c r="I2201" s="21" t="s">
        <v>70</v>
      </c>
      <c r="J2201" s="22" t="s">
        <v>664</v>
      </c>
      <c r="K2201" s="23">
        <v>75.0</v>
      </c>
      <c r="L2201" s="24">
        <v>21.0</v>
      </c>
      <c r="M2201" s="24" t="str">
        <f>IFERROR(VLOOKUP(D2201,'Chủ đề bài nguồn'!$A$2:$C$735,3,0),"Khác")</f>
        <v>Quản lý tài chính cá nhân</v>
      </c>
      <c r="N2201" s="24"/>
    </row>
    <row r="2202">
      <c r="A2202" s="15">
        <v>2200.0</v>
      </c>
      <c r="B2202" s="39" t="s">
        <v>1179</v>
      </c>
      <c r="C2202" s="18" t="s">
        <v>4413</v>
      </c>
      <c r="D2202" s="39" t="s">
        <v>2854</v>
      </c>
      <c r="E2202" s="16" t="s">
        <v>7521</v>
      </c>
      <c r="F2202" s="16" t="s">
        <v>7522</v>
      </c>
      <c r="G2202" s="16" t="s">
        <v>7523</v>
      </c>
      <c r="H2202" s="20" t="s">
        <v>155</v>
      </c>
      <c r="I2202" s="21" t="s">
        <v>70</v>
      </c>
      <c r="J2202" s="22" t="s">
        <v>71</v>
      </c>
      <c r="K2202" s="23">
        <v>75.0</v>
      </c>
      <c r="L2202" s="24">
        <v>21.0</v>
      </c>
      <c r="M2202" s="24" t="str">
        <f>IFERROR(VLOOKUP(D2202,'Chủ đề bài nguồn'!$A$2:$C$735,3,0),"Khác")</f>
        <v>Đầu tư, CCTG, trái phiếu, vàng</v>
      </c>
      <c r="N2202" s="24"/>
    </row>
    <row r="2203">
      <c r="A2203" s="15">
        <v>2201.0</v>
      </c>
      <c r="B2203" s="39" t="s">
        <v>1179</v>
      </c>
      <c r="C2203" s="18" t="s">
        <v>4413</v>
      </c>
      <c r="D2203" s="39" t="s">
        <v>1438</v>
      </c>
      <c r="E2203" s="16" t="s">
        <v>1439</v>
      </c>
      <c r="F2203" s="16" t="s">
        <v>7524</v>
      </c>
      <c r="G2203" s="16" t="s">
        <v>7518</v>
      </c>
      <c r="H2203" s="20" t="s">
        <v>155</v>
      </c>
      <c r="I2203" s="21" t="s">
        <v>70</v>
      </c>
      <c r="J2203" s="22" t="s">
        <v>71</v>
      </c>
      <c r="K2203" s="23">
        <v>75.0</v>
      </c>
      <c r="L2203" s="24">
        <v>21.0</v>
      </c>
      <c r="M2203" s="24" t="str">
        <f>IFERROR(VLOOKUP(D2203,'Chủ đề bài nguồn'!$A$2:$C$735,3,0),"Khác")</f>
        <v>Quản lý tài chính cá nhân</v>
      </c>
      <c r="N2203" s="24"/>
    </row>
    <row r="2204">
      <c r="A2204" s="15">
        <v>2202.0</v>
      </c>
      <c r="B2204" s="16" t="s">
        <v>1179</v>
      </c>
      <c r="C2204" s="18" t="s">
        <v>4418</v>
      </c>
      <c r="D2204" s="16" t="s">
        <v>2812</v>
      </c>
      <c r="E2204" s="16" t="s">
        <v>7525</v>
      </c>
      <c r="F2204" s="16" t="s">
        <v>7526</v>
      </c>
      <c r="G2204" s="16" t="s">
        <v>7527</v>
      </c>
      <c r="H2204" s="20" t="s">
        <v>155</v>
      </c>
      <c r="I2204" s="21" t="s">
        <v>70</v>
      </c>
      <c r="J2204" s="22" t="s">
        <v>71</v>
      </c>
      <c r="K2204" s="23">
        <v>75.0</v>
      </c>
      <c r="L2204" s="24">
        <v>21.0</v>
      </c>
      <c r="M2204" s="24" t="str">
        <f>IFERROR(VLOOKUP(D2204,'Chủ đề bài nguồn'!$A$2:$C$735,3,0),"Khác")</f>
        <v>Đầu tư, CCTG, trái phiếu, vàng</v>
      </c>
      <c r="N2204" s="24"/>
    </row>
    <row r="2205">
      <c r="A2205" s="15">
        <v>2203.0</v>
      </c>
      <c r="B2205" s="16" t="s">
        <v>1179</v>
      </c>
      <c r="C2205" s="18" t="s">
        <v>4418</v>
      </c>
      <c r="D2205" s="16" t="s">
        <v>2826</v>
      </c>
      <c r="E2205" s="16" t="s">
        <v>7528</v>
      </c>
      <c r="F2205" s="16" t="s">
        <v>7529</v>
      </c>
      <c r="G2205" s="16" t="s">
        <v>7530</v>
      </c>
      <c r="H2205" s="20" t="s">
        <v>155</v>
      </c>
      <c r="I2205" s="21" t="s">
        <v>70</v>
      </c>
      <c r="J2205" s="22" t="s">
        <v>71</v>
      </c>
      <c r="K2205" s="23">
        <v>75.0</v>
      </c>
      <c r="L2205" s="24">
        <v>21.0</v>
      </c>
      <c r="M2205" s="24" t="str">
        <f>IFERROR(VLOOKUP(D2205,'Chủ đề bài nguồn'!$A$2:$C$735,3,0),"Khác")</f>
        <v>Đầu tư, CCTG, trái phiếu, vàng</v>
      </c>
      <c r="N2205" s="24"/>
    </row>
    <row r="2206">
      <c r="A2206" s="15">
        <v>2204.0</v>
      </c>
      <c r="B2206" s="16" t="s">
        <v>1179</v>
      </c>
      <c r="C2206" s="18" t="s">
        <v>4418</v>
      </c>
      <c r="D2206" s="16" t="s">
        <v>1435</v>
      </c>
      <c r="E2206" s="16" t="s">
        <v>7531</v>
      </c>
      <c r="F2206" s="16" t="s">
        <v>7529</v>
      </c>
      <c r="G2206" s="16" t="s">
        <v>7530</v>
      </c>
      <c r="H2206" s="20" t="s">
        <v>155</v>
      </c>
      <c r="I2206" s="21" t="s">
        <v>70</v>
      </c>
      <c r="J2206" s="22" t="s">
        <v>71</v>
      </c>
      <c r="K2206" s="23">
        <v>75.0</v>
      </c>
      <c r="L2206" s="24">
        <v>21.0</v>
      </c>
      <c r="M2206" s="24" t="str">
        <f>IFERROR(VLOOKUP(D2206,'Chủ đề bài nguồn'!$A$2:$C$735,3,0),"Khác")</f>
        <v>Đầu tư, CCTG, trái phiếu, vàng</v>
      </c>
      <c r="N2206" s="24"/>
    </row>
    <row r="2207">
      <c r="A2207" s="15">
        <v>2205.0</v>
      </c>
      <c r="B2207" s="16" t="s">
        <v>1179</v>
      </c>
      <c r="C2207" s="18" t="s">
        <v>4418</v>
      </c>
      <c r="D2207" s="16" t="s">
        <v>2827</v>
      </c>
      <c r="E2207" s="16" t="s">
        <v>3614</v>
      </c>
      <c r="F2207" s="16" t="s">
        <v>7532</v>
      </c>
      <c r="G2207" s="16" t="s">
        <v>7533</v>
      </c>
      <c r="H2207" s="20" t="s">
        <v>155</v>
      </c>
      <c r="I2207" s="21" t="s">
        <v>70</v>
      </c>
      <c r="J2207" s="22" t="s">
        <v>71</v>
      </c>
      <c r="K2207" s="23">
        <v>75.0</v>
      </c>
      <c r="L2207" s="24">
        <v>21.0</v>
      </c>
      <c r="M2207" s="24" t="str">
        <f>IFERROR(VLOOKUP(D2207,'Chủ đề bài nguồn'!$A$2:$C$735,3,0),"Khác")</f>
        <v>Đầu tư, CCTG, trái phiếu, vàng</v>
      </c>
      <c r="N2207" s="24"/>
    </row>
    <row r="2208">
      <c r="A2208" s="15">
        <v>2206.0</v>
      </c>
      <c r="B2208" s="16" t="s">
        <v>1179</v>
      </c>
      <c r="C2208" s="18" t="s">
        <v>2551</v>
      </c>
      <c r="D2208" s="16" t="s">
        <v>2121</v>
      </c>
      <c r="E2208" s="16" t="s">
        <v>7534</v>
      </c>
      <c r="F2208" s="16" t="s">
        <v>7535</v>
      </c>
      <c r="G2208" s="16" t="s">
        <v>7536</v>
      </c>
      <c r="H2208" s="20" t="s">
        <v>155</v>
      </c>
      <c r="I2208" s="21" t="s">
        <v>70</v>
      </c>
      <c r="J2208" s="22" t="s">
        <v>71</v>
      </c>
      <c r="K2208" s="23">
        <v>75.0</v>
      </c>
      <c r="L2208" s="24">
        <v>21.0</v>
      </c>
      <c r="M2208" s="24" t="str">
        <f>IFERROR(VLOOKUP(D2208,'Chủ đề bài nguồn'!$A$2:$C$735,3,0),"Khác")</f>
        <v>Tài khoản &amp; ngân hàng số</v>
      </c>
      <c r="N2208" s="24"/>
    </row>
    <row r="2209">
      <c r="A2209" s="15">
        <v>2207.0</v>
      </c>
      <c r="B2209" s="16" t="s">
        <v>1179</v>
      </c>
      <c r="C2209" s="18" t="s">
        <v>2551</v>
      </c>
      <c r="D2209" s="16" t="s">
        <v>3235</v>
      </c>
      <c r="E2209" s="16" t="s">
        <v>7537</v>
      </c>
      <c r="F2209" s="16" t="s">
        <v>7538</v>
      </c>
      <c r="G2209" s="16" t="s">
        <v>7539</v>
      </c>
      <c r="H2209" s="20" t="s">
        <v>155</v>
      </c>
      <c r="I2209" s="21" t="s">
        <v>70</v>
      </c>
      <c r="J2209" s="22" t="s">
        <v>71</v>
      </c>
      <c r="K2209" s="23">
        <v>75.0</v>
      </c>
      <c r="L2209" s="24">
        <v>21.0</v>
      </c>
      <c r="M2209" s="24" t="str">
        <f>IFERROR(VLOOKUP(D2209,'Chủ đề bài nguồn'!$A$2:$C$735,3,0),"Khác")</f>
        <v>Tiết kiệm &amp; lãi suất tiền gửi</v>
      </c>
      <c r="N2209" s="24"/>
    </row>
    <row r="2210">
      <c r="A2210" s="15">
        <v>2208.0</v>
      </c>
      <c r="B2210" s="16" t="s">
        <v>1179</v>
      </c>
      <c r="C2210" s="18" t="s">
        <v>2551</v>
      </c>
      <c r="D2210" s="16" t="s">
        <v>2043</v>
      </c>
      <c r="E2210" s="16" t="s">
        <v>4944</v>
      </c>
      <c r="F2210" s="16" t="s">
        <v>7540</v>
      </c>
      <c r="G2210" s="16" t="s">
        <v>7541</v>
      </c>
      <c r="H2210" s="20" t="s">
        <v>155</v>
      </c>
      <c r="I2210" s="21" t="s">
        <v>70</v>
      </c>
      <c r="J2210" s="22" t="s">
        <v>71</v>
      </c>
      <c r="K2210" s="23">
        <v>75.0</v>
      </c>
      <c r="L2210" s="24">
        <v>21.0</v>
      </c>
      <c r="M2210" s="24" t="str">
        <f>IFERROR(VLOOKUP(D2210,'Chủ đề bài nguồn'!$A$2:$C$735,3,0),"Khác")</f>
        <v>Ngoại tệ &amp; chuyển tiền quốc tế</v>
      </c>
      <c r="N2210" s="24"/>
    </row>
    <row r="2211">
      <c r="A2211" s="15">
        <v>2209.0</v>
      </c>
      <c r="B2211" s="16" t="s">
        <v>1179</v>
      </c>
      <c r="C2211" s="18" t="s">
        <v>2551</v>
      </c>
      <c r="D2211" s="16" t="s">
        <v>2829</v>
      </c>
      <c r="E2211" s="16" t="s">
        <v>7542</v>
      </c>
      <c r="F2211" s="16" t="s">
        <v>7543</v>
      </c>
      <c r="G2211" s="16" t="s">
        <v>7544</v>
      </c>
      <c r="H2211" s="20" t="s">
        <v>155</v>
      </c>
      <c r="I2211" s="21" t="s">
        <v>70</v>
      </c>
      <c r="J2211" s="22" t="s">
        <v>71</v>
      </c>
      <c r="K2211" s="23">
        <v>75.0</v>
      </c>
      <c r="L2211" s="24">
        <v>21.0</v>
      </c>
      <c r="M2211" s="24" t="str">
        <f>IFERROR(VLOOKUP(D2211,'Chủ đề bài nguồn'!$A$2:$C$735,3,0),"Khác")</f>
        <v>Đầu tư, CCTG, trái phiếu, vàng</v>
      </c>
      <c r="N2211" s="24"/>
    </row>
    <row r="2212">
      <c r="A2212" s="15">
        <v>2210.0</v>
      </c>
      <c r="B2212" s="16" t="s">
        <v>1179</v>
      </c>
      <c r="C2212" s="18" t="s">
        <v>2551</v>
      </c>
      <c r="D2212" s="16" t="s">
        <v>1212</v>
      </c>
      <c r="E2212" s="16" t="s">
        <v>6029</v>
      </c>
      <c r="F2212" s="16" t="s">
        <v>7545</v>
      </c>
      <c r="G2212" s="16" t="s">
        <v>7546</v>
      </c>
      <c r="H2212" s="20" t="s">
        <v>155</v>
      </c>
      <c r="I2212" s="21" t="s">
        <v>70</v>
      </c>
      <c r="J2212" s="22" t="s">
        <v>71</v>
      </c>
      <c r="K2212" s="23">
        <v>75.0</v>
      </c>
      <c r="L2212" s="24">
        <v>21.0</v>
      </c>
      <c r="M2212" s="24" t="str">
        <f>IFERROR(VLOOKUP(D2212,'Chủ đề bài nguồn'!$A$2:$C$735,3,0),"Khác")</f>
        <v>Tiết kiệm &amp; lãi suất tiền gửi</v>
      </c>
      <c r="N2212" s="24"/>
    </row>
    <row r="2213">
      <c r="A2213" s="15">
        <v>2211.0</v>
      </c>
      <c r="B2213" s="16" t="s">
        <v>1179</v>
      </c>
      <c r="C2213" s="18" t="s">
        <v>4413</v>
      </c>
      <c r="D2213" s="16" t="s">
        <v>2877</v>
      </c>
      <c r="E2213" s="16" t="s">
        <v>5962</v>
      </c>
      <c r="F2213" s="16" t="s">
        <v>7547</v>
      </c>
      <c r="G2213" s="16" t="s">
        <v>7548</v>
      </c>
      <c r="H2213" s="20" t="s">
        <v>229</v>
      </c>
      <c r="I2213" s="21" t="s">
        <v>70</v>
      </c>
      <c r="J2213" s="40" t="s">
        <v>7549</v>
      </c>
      <c r="K2213" s="23">
        <v>75.0</v>
      </c>
      <c r="L2213" s="24">
        <v>31.0</v>
      </c>
      <c r="M2213" s="24" t="str">
        <f>IFERROR(VLOOKUP(D2213,'Chủ đề bài nguồn'!$A$2:$C$735,3,0),"Khác")</f>
        <v>Đầu tư, CCTG, trái phiếu, vàng</v>
      </c>
      <c r="N2213" s="24"/>
    </row>
  </sheetData>
  <autoFilter ref="$A$2:$J$2213">
    <sortState ref="A2:J2213">
      <sortCondition ref="A2:A2213"/>
      <sortCondition ref="B2:B2213"/>
      <sortCondition ref="D2:D2213"/>
    </sortState>
  </autoFilter>
  <mergeCells count="2">
    <mergeCell ref="A1:C1"/>
    <mergeCell ref="D1:J1"/>
  </mergeCells>
  <conditionalFormatting sqref="I3:I2213">
    <cfRule type="cellIs" dxfId="12" priority="1" stopIfTrue="1" operator="equal">
      <formula>"Đã chèn"</formula>
    </cfRule>
  </conditionalFormatting>
  <conditionalFormatting sqref="H3:H2213">
    <cfRule type="cellIs" dxfId="13" priority="2" stopIfTrue="1" operator="equal">
      <formula>"CẦN SOÁT"</formula>
    </cfRule>
  </conditionalFormatting>
  <conditionalFormatting sqref="H3:H2213">
    <cfRule type="cellIs" dxfId="14" priority="3" stopIfTrue="1" operator="equal">
      <formula>"CÓ THỂ ĐI"</formula>
    </cfRule>
  </conditionalFormatting>
  <conditionalFormatting sqref="H3:H2213">
    <cfRule type="cellIs" dxfId="15" priority="4" stopIfTrue="1" operator="equal">
      <formula>"PHÙ HỢP CAO"</formula>
    </cfRule>
  </conditionalFormatting>
  <conditionalFormatting sqref="A3:J2213">
    <cfRule type="expression" dxfId="16" priority="5" stopIfTrue="1">
      <formula>ISEVEN($K3)</formula>
    </cfRule>
  </conditionalFormatting>
  <dataValidations>
    <dataValidation type="list" allowBlank="1" sqref="I3:I2213">
      <formula1>"Chưa làm,Đang làm,Đã chèn,Bỏ qua"</formula1>
    </dataValidation>
  </dataValidations>
  <hyperlinks>
    <hyperlink r:id="rId1" ref="B34"/>
    <hyperlink r:id="rId2" ref="D34"/>
    <hyperlink r:id="rId3" ref="B82"/>
    <hyperlink r:id="rId4" ref="D82"/>
    <hyperlink r:id="rId5" ref="B93"/>
    <hyperlink r:id="rId6" ref="D93"/>
    <hyperlink r:id="rId7" ref="B94"/>
    <hyperlink r:id="rId8" ref="D94"/>
    <hyperlink r:id="rId9" ref="B164"/>
    <hyperlink r:id="rId10" ref="D164"/>
    <hyperlink r:id="rId11" ref="B165"/>
    <hyperlink r:id="rId12" ref="D165"/>
    <hyperlink r:id="rId13" ref="B166"/>
    <hyperlink r:id="rId14" ref="D166"/>
    <hyperlink r:id="rId15" ref="B181"/>
    <hyperlink r:id="rId16" ref="D181"/>
    <hyperlink r:id="rId17" ref="B225"/>
    <hyperlink r:id="rId18" ref="D225"/>
    <hyperlink r:id="rId19" ref="B240"/>
    <hyperlink r:id="rId20" ref="D240"/>
    <hyperlink r:id="rId21" ref="B241"/>
    <hyperlink r:id="rId22" ref="D241"/>
    <hyperlink r:id="rId23" ref="B242"/>
    <hyperlink r:id="rId24" ref="D242"/>
    <hyperlink r:id="rId25" ref="B243"/>
    <hyperlink r:id="rId26" ref="D243"/>
    <hyperlink r:id="rId27" ref="B244"/>
    <hyperlink r:id="rId28" ref="D244"/>
    <hyperlink r:id="rId29" ref="B257"/>
    <hyperlink r:id="rId30" ref="D257"/>
    <hyperlink r:id="rId31" ref="B265"/>
    <hyperlink r:id="rId32" ref="D265"/>
    <hyperlink r:id="rId33" ref="B266"/>
    <hyperlink r:id="rId34" ref="D266"/>
    <hyperlink r:id="rId35" ref="B272"/>
    <hyperlink r:id="rId36" ref="D272"/>
    <hyperlink r:id="rId37" ref="B283"/>
    <hyperlink r:id="rId38" ref="D283"/>
    <hyperlink r:id="rId39" ref="B284"/>
    <hyperlink r:id="rId40" ref="D284"/>
    <hyperlink r:id="rId41" ref="B346"/>
    <hyperlink r:id="rId42" ref="D346"/>
    <hyperlink r:id="rId43" ref="B347"/>
    <hyperlink r:id="rId44" ref="D347"/>
    <hyperlink r:id="rId45" ref="B348"/>
    <hyperlink r:id="rId46" ref="D348"/>
    <hyperlink r:id="rId47" ref="B349"/>
    <hyperlink r:id="rId48" ref="D349"/>
    <hyperlink r:id="rId49" ref="B361"/>
    <hyperlink r:id="rId50" ref="D361"/>
    <hyperlink r:id="rId51" ref="B418"/>
    <hyperlink r:id="rId52" ref="D418"/>
    <hyperlink r:id="rId53" ref="B424"/>
    <hyperlink r:id="rId54" ref="D424"/>
    <hyperlink r:id="rId55" ref="B453"/>
    <hyperlink r:id="rId56" ref="D453"/>
    <hyperlink r:id="rId57" ref="B464"/>
    <hyperlink r:id="rId58" ref="D464"/>
    <hyperlink r:id="rId59" ref="B497"/>
    <hyperlink r:id="rId60" ref="D497"/>
    <hyperlink r:id="rId61" ref="B534"/>
    <hyperlink r:id="rId62" ref="D534"/>
    <hyperlink r:id="rId63" ref="B540"/>
    <hyperlink r:id="rId64" ref="D540"/>
    <hyperlink r:id="rId65" ref="B544"/>
    <hyperlink r:id="rId66" ref="D544"/>
    <hyperlink r:id="rId67" ref="B561"/>
    <hyperlink r:id="rId68" ref="D561"/>
    <hyperlink r:id="rId69" ref="B570"/>
    <hyperlink r:id="rId70" ref="D570"/>
    <hyperlink r:id="rId71" ref="B581"/>
    <hyperlink r:id="rId72" ref="D581"/>
    <hyperlink r:id="rId73" ref="B587"/>
    <hyperlink r:id="rId74" ref="D587"/>
    <hyperlink r:id="rId75" ref="B588"/>
    <hyperlink r:id="rId76" ref="D588"/>
    <hyperlink r:id="rId77" ref="B613"/>
    <hyperlink r:id="rId78" ref="D613"/>
    <hyperlink r:id="rId79" ref="B615"/>
    <hyperlink r:id="rId80" ref="D615"/>
    <hyperlink r:id="rId81" ref="B616"/>
    <hyperlink r:id="rId82" ref="D616"/>
    <hyperlink r:id="rId83" ref="B617"/>
    <hyperlink r:id="rId84" ref="D617"/>
    <hyperlink r:id="rId85" ref="B620"/>
    <hyperlink r:id="rId86" ref="D620"/>
    <hyperlink r:id="rId87" ref="B622"/>
    <hyperlink r:id="rId88" ref="D622"/>
    <hyperlink r:id="rId89" ref="B623"/>
    <hyperlink r:id="rId90" ref="D623"/>
    <hyperlink r:id="rId91" ref="B624"/>
    <hyperlink r:id="rId92" ref="D624"/>
    <hyperlink r:id="rId93" ref="B645"/>
    <hyperlink r:id="rId94" ref="D645"/>
    <hyperlink r:id="rId95" ref="B741"/>
    <hyperlink r:id="rId96" ref="D741"/>
    <hyperlink r:id="rId97" ref="B742"/>
    <hyperlink r:id="rId98" ref="D742"/>
    <hyperlink r:id="rId99" ref="B743"/>
    <hyperlink r:id="rId100" ref="D743"/>
    <hyperlink r:id="rId101" ref="B744"/>
    <hyperlink r:id="rId102" ref="D744"/>
    <hyperlink r:id="rId103" ref="B745"/>
    <hyperlink r:id="rId104" ref="D745"/>
    <hyperlink r:id="rId105" ref="B807"/>
    <hyperlink r:id="rId106" ref="D807"/>
    <hyperlink r:id="rId107" ref="B808"/>
    <hyperlink r:id="rId108" ref="D808"/>
    <hyperlink r:id="rId109" ref="B814"/>
    <hyperlink r:id="rId110" ref="D814"/>
    <hyperlink r:id="rId111" ref="B816"/>
    <hyperlink r:id="rId112" ref="D816"/>
    <hyperlink r:id="rId113" ref="B859"/>
    <hyperlink r:id="rId114" ref="D859"/>
    <hyperlink r:id="rId115" ref="B868"/>
    <hyperlink r:id="rId116" ref="D868"/>
    <hyperlink r:id="rId117" ref="B869"/>
    <hyperlink r:id="rId118" ref="D869"/>
    <hyperlink r:id="rId119" ref="B870"/>
    <hyperlink r:id="rId120" ref="D870"/>
    <hyperlink r:id="rId121" ref="B871"/>
    <hyperlink r:id="rId122" ref="D871"/>
    <hyperlink r:id="rId123" ref="B885"/>
    <hyperlink r:id="rId124" ref="D885"/>
    <hyperlink r:id="rId125" ref="B891"/>
    <hyperlink r:id="rId126" ref="D891"/>
    <hyperlink r:id="rId127" ref="B896"/>
    <hyperlink r:id="rId128" ref="D896"/>
    <hyperlink r:id="rId129" ref="B915"/>
    <hyperlink r:id="rId130" ref="D915"/>
    <hyperlink r:id="rId131" ref="B918"/>
    <hyperlink r:id="rId132" ref="D918"/>
    <hyperlink r:id="rId133" ref="B931"/>
    <hyperlink r:id="rId134" ref="D931"/>
    <hyperlink r:id="rId135" ref="B936"/>
    <hyperlink r:id="rId136" ref="D936"/>
    <hyperlink r:id="rId137" ref="B942"/>
    <hyperlink r:id="rId138" ref="D942"/>
    <hyperlink r:id="rId139" ref="B949"/>
    <hyperlink r:id="rId140" ref="D949"/>
    <hyperlink r:id="rId141" ref="B950"/>
    <hyperlink r:id="rId142" ref="D950"/>
    <hyperlink r:id="rId143" ref="B969"/>
    <hyperlink r:id="rId144" ref="D969"/>
    <hyperlink r:id="rId145" ref="B970"/>
    <hyperlink r:id="rId146" ref="D970"/>
    <hyperlink r:id="rId147" ref="B971"/>
    <hyperlink r:id="rId148" ref="D971"/>
    <hyperlink r:id="rId149" ref="B977"/>
    <hyperlink r:id="rId150" ref="D977"/>
    <hyperlink r:id="rId151" ref="B978"/>
    <hyperlink r:id="rId152" ref="D978"/>
    <hyperlink r:id="rId153" ref="B994"/>
    <hyperlink r:id="rId154" ref="D994"/>
    <hyperlink r:id="rId155" ref="B995"/>
    <hyperlink r:id="rId156" ref="D995"/>
    <hyperlink r:id="rId157" ref="B996"/>
    <hyperlink r:id="rId158" ref="D996"/>
    <hyperlink r:id="rId159" ref="B1100"/>
    <hyperlink r:id="rId160" ref="D1100"/>
    <hyperlink r:id="rId161" ref="B1101"/>
    <hyperlink r:id="rId162" ref="D1101"/>
    <hyperlink r:id="rId163" ref="B1102"/>
    <hyperlink r:id="rId164" ref="D1102"/>
    <hyperlink r:id="rId165" ref="B1103"/>
    <hyperlink r:id="rId166" ref="D1103"/>
    <hyperlink r:id="rId167" ref="B1104"/>
    <hyperlink r:id="rId168" ref="D1104"/>
    <hyperlink r:id="rId169" ref="B1105"/>
    <hyperlink r:id="rId170" ref="D1105"/>
    <hyperlink r:id="rId171" ref="B1106"/>
    <hyperlink r:id="rId172" ref="D1106"/>
    <hyperlink r:id="rId173" ref="B1117"/>
    <hyperlink r:id="rId174" ref="D1117"/>
    <hyperlink r:id="rId175" ref="B1118"/>
    <hyperlink r:id="rId176" ref="D1118"/>
    <hyperlink r:id="rId177" ref="B1119"/>
    <hyperlink r:id="rId178" ref="D1119"/>
    <hyperlink r:id="rId179" ref="B1127"/>
    <hyperlink r:id="rId180" ref="D1127"/>
    <hyperlink r:id="rId181" ref="B1130"/>
    <hyperlink r:id="rId182" ref="D1130"/>
    <hyperlink r:id="rId183" ref="B1179"/>
    <hyperlink r:id="rId184" ref="D1179"/>
    <hyperlink r:id="rId185" ref="B1180"/>
    <hyperlink r:id="rId186" ref="D1180"/>
    <hyperlink r:id="rId187" ref="B1181"/>
    <hyperlink r:id="rId188" ref="D1181"/>
    <hyperlink r:id="rId189" ref="B1182"/>
    <hyperlink r:id="rId190" ref="D1182"/>
    <hyperlink r:id="rId191" ref="B1217"/>
    <hyperlink r:id="rId192" ref="D1217"/>
    <hyperlink r:id="rId193" ref="B1218"/>
    <hyperlink r:id="rId194" ref="D1218"/>
    <hyperlink r:id="rId195" ref="B1219"/>
    <hyperlink r:id="rId196" ref="D1219"/>
    <hyperlink r:id="rId197" ref="B1220"/>
    <hyperlink r:id="rId198" ref="D1220"/>
    <hyperlink r:id="rId199" ref="B1221"/>
    <hyperlink r:id="rId200" ref="D1221"/>
    <hyperlink r:id="rId201" ref="B1222"/>
    <hyperlink r:id="rId202" ref="D1222"/>
    <hyperlink r:id="rId203" ref="B1229"/>
    <hyperlink r:id="rId204" ref="D1229"/>
    <hyperlink r:id="rId205" ref="B1230"/>
    <hyperlink r:id="rId206" ref="D1230"/>
    <hyperlink r:id="rId207" ref="B1231"/>
    <hyperlink r:id="rId208" ref="D1231"/>
    <hyperlink r:id="rId209" ref="B1241"/>
    <hyperlink r:id="rId210" ref="D1241"/>
    <hyperlink r:id="rId211" ref="B1248"/>
    <hyperlink r:id="rId212" ref="D1248"/>
    <hyperlink r:id="rId213" ref="B1254"/>
    <hyperlink r:id="rId214" ref="D1254"/>
    <hyperlink r:id="rId215" ref="B1255"/>
    <hyperlink r:id="rId216" ref="D1255"/>
    <hyperlink r:id="rId217" ref="B1271"/>
    <hyperlink r:id="rId218" ref="D1271"/>
    <hyperlink r:id="rId219" ref="B1272"/>
    <hyperlink r:id="rId220" ref="D1272"/>
    <hyperlink r:id="rId221" ref="B1300"/>
    <hyperlink r:id="rId222" ref="D1300"/>
    <hyperlink r:id="rId223" ref="B1305"/>
    <hyperlink r:id="rId224" ref="D1305"/>
    <hyperlink r:id="rId225" ref="B1331"/>
    <hyperlink r:id="rId226" ref="D1331"/>
    <hyperlink r:id="rId227" ref="B1332"/>
    <hyperlink r:id="rId228" ref="D1332"/>
    <hyperlink r:id="rId229" ref="B1362"/>
    <hyperlink r:id="rId230" ref="D1362"/>
    <hyperlink r:id="rId231" ref="B1363"/>
    <hyperlink r:id="rId232" ref="D1363"/>
    <hyperlink r:id="rId233" ref="B1364"/>
    <hyperlink r:id="rId234" ref="D1364"/>
    <hyperlink r:id="rId235" ref="B1369"/>
    <hyperlink r:id="rId236" ref="D1369"/>
    <hyperlink r:id="rId237" ref="B1371"/>
    <hyperlink r:id="rId238" ref="D1371"/>
    <hyperlink r:id="rId239" ref="B1387"/>
    <hyperlink r:id="rId240" ref="D1387"/>
    <hyperlink r:id="rId241" ref="B1440"/>
    <hyperlink r:id="rId242" ref="D1440"/>
    <hyperlink r:id="rId243" ref="B1491"/>
    <hyperlink r:id="rId244" ref="D1491"/>
    <hyperlink r:id="rId245" ref="B1492"/>
    <hyperlink r:id="rId246" ref="D1492"/>
    <hyperlink r:id="rId247" ref="B1493"/>
    <hyperlink r:id="rId248" ref="D1493"/>
    <hyperlink r:id="rId249" ref="B1494"/>
    <hyperlink r:id="rId250" ref="D1494"/>
    <hyperlink r:id="rId251" ref="B1495"/>
    <hyperlink r:id="rId252" ref="D1495"/>
    <hyperlink r:id="rId253" ref="B1496"/>
    <hyperlink r:id="rId254" ref="D1496"/>
    <hyperlink r:id="rId255" ref="B1552"/>
    <hyperlink r:id="rId256" ref="D1552"/>
    <hyperlink r:id="rId257" ref="B1553"/>
    <hyperlink r:id="rId258" ref="D1553"/>
    <hyperlink r:id="rId259" ref="B1554"/>
    <hyperlink r:id="rId260" ref="D1554"/>
    <hyperlink r:id="rId261" ref="B1578"/>
    <hyperlink r:id="rId262" ref="D1578"/>
    <hyperlink r:id="rId263" ref="B1579"/>
    <hyperlink r:id="rId264" ref="D1579"/>
    <hyperlink r:id="rId265" ref="B1580"/>
    <hyperlink r:id="rId266" ref="D1580"/>
    <hyperlink r:id="rId267" ref="B1581"/>
    <hyperlink r:id="rId268" ref="D1581"/>
    <hyperlink r:id="rId269" ref="B1585"/>
    <hyperlink r:id="rId270" ref="D1585"/>
    <hyperlink r:id="rId271" ref="B1596"/>
    <hyperlink r:id="rId272" ref="D1596"/>
    <hyperlink r:id="rId273" ref="B1597"/>
    <hyperlink r:id="rId274" ref="D1597"/>
    <hyperlink r:id="rId275" ref="B1598"/>
    <hyperlink r:id="rId276" ref="D1598"/>
    <hyperlink r:id="rId277" ref="B1599"/>
    <hyperlink r:id="rId278" ref="D1599"/>
    <hyperlink r:id="rId279" ref="B1600"/>
    <hyperlink r:id="rId280" ref="D1600"/>
    <hyperlink r:id="rId281" ref="B1601"/>
    <hyperlink r:id="rId282" ref="D1601"/>
    <hyperlink r:id="rId283" ref="B1614"/>
    <hyperlink r:id="rId284" ref="D1614"/>
    <hyperlink r:id="rId285" ref="B1615"/>
    <hyperlink r:id="rId286" ref="D1615"/>
    <hyperlink r:id="rId287" ref="B1616"/>
    <hyperlink r:id="rId288" ref="D1616"/>
    <hyperlink r:id="rId289" ref="B1617"/>
    <hyperlink r:id="rId290" ref="D1617"/>
    <hyperlink r:id="rId291" ref="B1618"/>
    <hyperlink r:id="rId292" ref="D1618"/>
    <hyperlink r:id="rId293" ref="B1619"/>
    <hyperlink r:id="rId294" ref="D1619"/>
    <hyperlink r:id="rId295" ref="B1628"/>
    <hyperlink r:id="rId296" ref="D1628"/>
    <hyperlink r:id="rId297" ref="B1629"/>
    <hyperlink r:id="rId298" ref="D1629"/>
    <hyperlink r:id="rId299" ref="B1639"/>
    <hyperlink r:id="rId300" ref="D1639"/>
    <hyperlink r:id="rId301" ref="B1640"/>
    <hyperlink r:id="rId302" ref="D1640"/>
    <hyperlink r:id="rId303" ref="B1641"/>
    <hyperlink r:id="rId304" ref="D1641"/>
    <hyperlink r:id="rId305" ref="B1652"/>
    <hyperlink r:id="rId306" ref="D1652"/>
    <hyperlink r:id="rId307" ref="B1653"/>
    <hyperlink r:id="rId308" ref="D1653"/>
    <hyperlink r:id="rId309" ref="B1654"/>
    <hyperlink r:id="rId310" ref="D1654"/>
    <hyperlink r:id="rId311" ref="B1655"/>
    <hyperlink r:id="rId312" ref="D1655"/>
    <hyperlink r:id="rId313" ref="B1664"/>
    <hyperlink r:id="rId314" ref="D1664"/>
    <hyperlink r:id="rId315" ref="B1670"/>
    <hyperlink r:id="rId316" ref="D1670"/>
    <hyperlink r:id="rId317" ref="B1671"/>
    <hyperlink r:id="rId318" ref="D1671"/>
    <hyperlink r:id="rId319" ref="B1672"/>
    <hyperlink r:id="rId320" ref="D1672"/>
    <hyperlink r:id="rId321" ref="B1692"/>
    <hyperlink r:id="rId322" ref="D1692"/>
    <hyperlink r:id="rId323" ref="B1693"/>
    <hyperlink r:id="rId324" ref="D1693"/>
    <hyperlink r:id="rId325" ref="B1701"/>
    <hyperlink r:id="rId326" ref="D1701"/>
    <hyperlink r:id="rId327" ref="B1722"/>
    <hyperlink r:id="rId328" ref="D1722"/>
    <hyperlink r:id="rId329" ref="B1727"/>
    <hyperlink r:id="rId330" ref="D1727"/>
    <hyperlink r:id="rId331" ref="B1728"/>
    <hyperlink r:id="rId332" ref="D1728"/>
    <hyperlink r:id="rId333" ref="B1729"/>
    <hyperlink r:id="rId334" ref="D1729"/>
    <hyperlink r:id="rId335" ref="B1777"/>
    <hyperlink r:id="rId336" ref="D1777"/>
    <hyperlink r:id="rId337" ref="B1778"/>
    <hyperlink r:id="rId338" ref="D1778"/>
    <hyperlink r:id="rId339" ref="B1801"/>
    <hyperlink r:id="rId340" ref="D1801"/>
    <hyperlink r:id="rId341" ref="B1813"/>
    <hyperlink r:id="rId342" ref="D1813"/>
    <hyperlink r:id="rId343" ref="B1814"/>
    <hyperlink r:id="rId344" ref="D1814"/>
    <hyperlink r:id="rId345" ref="B1815"/>
    <hyperlink r:id="rId346" ref="D1815"/>
    <hyperlink r:id="rId347" ref="B1816"/>
    <hyperlink r:id="rId348" ref="D1816"/>
    <hyperlink r:id="rId349" ref="B1825"/>
    <hyperlink r:id="rId350" ref="D1825"/>
    <hyperlink r:id="rId351" ref="B1911"/>
    <hyperlink r:id="rId352" ref="D1911"/>
    <hyperlink r:id="rId353" ref="B2027"/>
    <hyperlink r:id="rId354" ref="D2027"/>
    <hyperlink r:id="rId355" ref="B2028"/>
    <hyperlink r:id="rId356" ref="D2028"/>
    <hyperlink r:id="rId357" ref="B2029"/>
    <hyperlink r:id="rId358" ref="D2029"/>
    <hyperlink r:id="rId359" ref="B2030"/>
    <hyperlink r:id="rId360" ref="D2030"/>
    <hyperlink r:id="rId361" ref="B2031"/>
    <hyperlink r:id="rId362" ref="D2031"/>
    <hyperlink r:id="rId363" ref="B2032"/>
    <hyperlink r:id="rId364" ref="D2032"/>
    <hyperlink r:id="rId365" ref="B2033"/>
    <hyperlink r:id="rId366" ref="D2033"/>
    <hyperlink r:id="rId367" ref="B2034"/>
    <hyperlink r:id="rId368" ref="D2034"/>
    <hyperlink r:id="rId369" ref="B2035"/>
    <hyperlink r:id="rId370" ref="D2035"/>
    <hyperlink r:id="rId371" ref="B2050"/>
    <hyperlink r:id="rId372" ref="D2050"/>
    <hyperlink r:id="rId373" ref="B2051"/>
    <hyperlink r:id="rId374" ref="D2051"/>
    <hyperlink r:id="rId375" ref="B2058"/>
    <hyperlink r:id="rId376" ref="D2058"/>
    <hyperlink r:id="rId377" ref="B2059"/>
    <hyperlink r:id="rId378" ref="D2059"/>
    <hyperlink r:id="rId379" ref="B2060"/>
    <hyperlink r:id="rId380" ref="D2060"/>
    <hyperlink r:id="rId381" ref="B2061"/>
    <hyperlink r:id="rId382" ref="D2061"/>
    <hyperlink r:id="rId383" ref="B2062"/>
    <hyperlink r:id="rId384" ref="D2062"/>
    <hyperlink r:id="rId385" ref="B2063"/>
    <hyperlink r:id="rId386" ref="D2063"/>
    <hyperlink r:id="rId387" ref="B2064"/>
    <hyperlink r:id="rId388" ref="D2064"/>
    <hyperlink r:id="rId389" ref="B2076"/>
    <hyperlink r:id="rId390" ref="D2076"/>
    <hyperlink r:id="rId391" ref="B2077"/>
    <hyperlink r:id="rId392" ref="D2077"/>
    <hyperlink r:id="rId393" ref="B2078"/>
    <hyperlink r:id="rId394" ref="D2078"/>
    <hyperlink r:id="rId395" ref="B2079"/>
    <hyperlink r:id="rId396" ref="D2079"/>
    <hyperlink r:id="rId397" ref="B2093"/>
    <hyperlink r:id="rId398" ref="D2093"/>
    <hyperlink r:id="rId399" ref="B2094"/>
    <hyperlink r:id="rId400" ref="D2094"/>
    <hyperlink r:id="rId401" ref="B2097"/>
    <hyperlink r:id="rId402" ref="D2097"/>
    <hyperlink r:id="rId403" ref="B2099"/>
    <hyperlink r:id="rId404" ref="D2099"/>
    <hyperlink r:id="rId405" ref="B2100"/>
    <hyperlink r:id="rId406" ref="D2100"/>
    <hyperlink r:id="rId407" ref="B2101"/>
    <hyperlink r:id="rId408" ref="D2101"/>
    <hyperlink r:id="rId409" ref="B2102"/>
    <hyperlink r:id="rId410" ref="D2102"/>
    <hyperlink r:id="rId411" ref="B2103"/>
    <hyperlink r:id="rId412" ref="D2103"/>
    <hyperlink r:id="rId413" ref="B2106"/>
    <hyperlink r:id="rId414" ref="D2106"/>
    <hyperlink r:id="rId415" ref="B2107"/>
    <hyperlink r:id="rId416" ref="D2107"/>
    <hyperlink r:id="rId417" ref="B2108"/>
    <hyperlink r:id="rId418" ref="D2108"/>
    <hyperlink r:id="rId419" ref="B2109"/>
    <hyperlink r:id="rId420" ref="D2109"/>
    <hyperlink r:id="rId421" ref="B2129"/>
    <hyperlink r:id="rId422" ref="D2129"/>
    <hyperlink r:id="rId423" ref="B2130"/>
    <hyperlink r:id="rId424" ref="D2130"/>
    <hyperlink r:id="rId425" ref="B2131"/>
    <hyperlink r:id="rId426" ref="D2131"/>
    <hyperlink r:id="rId427" ref="B2132"/>
    <hyperlink r:id="rId428" ref="D2132"/>
    <hyperlink r:id="rId429" ref="B2133"/>
    <hyperlink r:id="rId430" ref="D2133"/>
    <hyperlink r:id="rId431" ref="B2139"/>
    <hyperlink r:id="rId432" ref="D2139"/>
    <hyperlink r:id="rId433" ref="B2140"/>
    <hyperlink r:id="rId434" ref="D2140"/>
    <hyperlink r:id="rId435" ref="B2141"/>
    <hyperlink r:id="rId436" ref="D2141"/>
    <hyperlink r:id="rId437" ref="B2142"/>
    <hyperlink r:id="rId438" ref="D2142"/>
    <hyperlink r:id="rId439" ref="B2143"/>
    <hyperlink r:id="rId440" ref="D2143"/>
    <hyperlink r:id="rId441" ref="B2144"/>
    <hyperlink r:id="rId442" ref="D2144"/>
    <hyperlink r:id="rId443" ref="B2145"/>
    <hyperlink r:id="rId444" ref="D2145"/>
    <hyperlink r:id="rId445" ref="B2146"/>
    <hyperlink r:id="rId446" ref="D2146"/>
    <hyperlink r:id="rId447" ref="B2147"/>
    <hyperlink r:id="rId448" ref="D2147"/>
    <hyperlink r:id="rId449" ref="B2202"/>
    <hyperlink r:id="rId450" ref="D2202"/>
    <hyperlink r:id="rId451" ref="B2203"/>
    <hyperlink r:id="rId452" ref="D2203"/>
  </hyperlinks>
  <drawing r:id="rId45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4.13"/>
    <col customWidth="1" min="2" max="2" width="15.13"/>
    <col customWidth="1" min="3" max="3" width="26.38"/>
    <col customWidth="1" min="4" max="4" width="48.5"/>
    <col customWidth="1" min="5" max="5" width="15.25"/>
    <col customWidth="1" min="6" max="9" width="10.13"/>
    <col customWidth="1" min="10" max="10" width="16.38"/>
    <col customWidth="1" min="11" max="11" width="10.75"/>
    <col customWidth="1" min="12" max="12" width="20.13"/>
    <col customWidth="1" min="13" max="412" width="23.88"/>
  </cols>
  <sheetData>
    <row r="1" ht="33.0" customHeight="1">
      <c r="A1" s="3" t="s">
        <v>1</v>
      </c>
      <c r="B1" s="3" t="s">
        <v>12</v>
      </c>
      <c r="C1" s="3" t="s">
        <v>14</v>
      </c>
      <c r="D1" s="3" t="s">
        <v>16</v>
      </c>
      <c r="E1" s="3" t="s">
        <v>18</v>
      </c>
      <c r="F1" s="3" t="s">
        <v>20</v>
      </c>
      <c r="G1" s="3" t="s">
        <v>22</v>
      </c>
      <c r="H1" s="3" t="s">
        <v>24</v>
      </c>
      <c r="I1" s="3" t="s">
        <v>25</v>
      </c>
      <c r="J1" s="3" t="s">
        <v>5</v>
      </c>
      <c r="K1" s="3" t="s">
        <v>6</v>
      </c>
      <c r="L1" s="3" t="s">
        <v>7</v>
      </c>
      <c r="M1" s="3" t="str">
        <f t="array" ref="M1:OV1">TOROW({"Anchortext "&amp;TEXT(SEQUENCE(200,1),"000"),"URL "&amp;TEXT(SEQUENCE(200,1),"000")&amp;" (bài đặt link)"})</f>
        <v>Anchortext 001</v>
      </c>
      <c r="N1" s="3" t="s">
        <v>77</v>
      </c>
      <c r="O1" s="3" t="s">
        <v>10</v>
      </c>
      <c r="P1" s="3" t="s">
        <v>79</v>
      </c>
      <c r="Q1" s="3" t="s">
        <v>13</v>
      </c>
      <c r="R1" s="3" t="s">
        <v>81</v>
      </c>
      <c r="S1" s="3" t="s">
        <v>17</v>
      </c>
      <c r="T1" s="3" t="s">
        <v>83</v>
      </c>
      <c r="U1" s="3" t="s">
        <v>21</v>
      </c>
      <c r="V1" s="3" t="s">
        <v>85</v>
      </c>
      <c r="W1" s="3" t="s">
        <v>86</v>
      </c>
      <c r="X1" s="3" t="s">
        <v>87</v>
      </c>
      <c r="Y1" s="3" t="s">
        <v>88</v>
      </c>
      <c r="Z1" s="3" t="s">
        <v>89</v>
      </c>
      <c r="AA1" s="3" t="s">
        <v>90</v>
      </c>
      <c r="AB1" s="3" t="s">
        <v>91</v>
      </c>
      <c r="AC1" s="3" t="s">
        <v>92</v>
      </c>
      <c r="AD1" s="3" t="s">
        <v>94</v>
      </c>
      <c r="AE1" s="3" t="s">
        <v>95</v>
      </c>
      <c r="AF1" s="3" t="s">
        <v>96</v>
      </c>
      <c r="AG1" s="3" t="s">
        <v>100</v>
      </c>
      <c r="AH1" s="3" t="s">
        <v>102</v>
      </c>
      <c r="AI1" s="3" t="s">
        <v>104</v>
      </c>
      <c r="AJ1" s="3" t="s">
        <v>105</v>
      </c>
      <c r="AK1" s="3" t="s">
        <v>106</v>
      </c>
      <c r="AL1" s="3" t="s">
        <v>107</v>
      </c>
      <c r="AM1" s="3" t="s">
        <v>108</v>
      </c>
      <c r="AN1" s="3" t="s">
        <v>109</v>
      </c>
      <c r="AO1" s="3" t="s">
        <v>110</v>
      </c>
      <c r="AP1" s="3" t="s">
        <v>111</v>
      </c>
      <c r="AQ1" s="3" t="s">
        <v>112</v>
      </c>
      <c r="AR1" s="3" t="s">
        <v>113</v>
      </c>
      <c r="AS1" s="3" t="s">
        <v>114</v>
      </c>
      <c r="AT1" s="3" t="s">
        <v>115</v>
      </c>
      <c r="AU1" s="3" t="s">
        <v>116</v>
      </c>
      <c r="AV1" s="3" t="s">
        <v>117</v>
      </c>
      <c r="AW1" s="3" t="s">
        <v>118</v>
      </c>
      <c r="AX1" s="3" t="s">
        <v>119</v>
      </c>
      <c r="AY1" s="3" t="s">
        <v>120</v>
      </c>
      <c r="AZ1" s="3" t="s">
        <v>121</v>
      </c>
      <c r="BA1" s="3" t="s">
        <v>122</v>
      </c>
      <c r="BB1" s="3" t="s">
        <v>123</v>
      </c>
      <c r="BC1" s="3" t="s">
        <v>125</v>
      </c>
      <c r="BD1" s="3" t="s">
        <v>128</v>
      </c>
      <c r="BE1" s="3" t="s">
        <v>130</v>
      </c>
      <c r="BF1" s="3" t="s">
        <v>132</v>
      </c>
      <c r="BG1" s="3" t="s">
        <v>133</v>
      </c>
      <c r="BH1" s="3" t="s">
        <v>135</v>
      </c>
      <c r="BI1" s="3" t="s">
        <v>136</v>
      </c>
      <c r="BJ1" s="3" t="s">
        <v>137</v>
      </c>
      <c r="BK1" s="3" t="s">
        <v>138</v>
      </c>
      <c r="BL1" s="3" t="s">
        <v>139</v>
      </c>
      <c r="BM1" s="3" t="s">
        <v>140</v>
      </c>
      <c r="BN1" s="3" t="s">
        <v>141</v>
      </c>
      <c r="BO1" s="3" t="s">
        <v>142</v>
      </c>
      <c r="BP1" s="3" t="s">
        <v>143</v>
      </c>
      <c r="BQ1" s="3" t="s">
        <v>144</v>
      </c>
      <c r="BR1" s="3" t="s">
        <v>145</v>
      </c>
      <c r="BS1" s="3" t="s">
        <v>146</v>
      </c>
      <c r="BT1" s="3" t="s">
        <v>147</v>
      </c>
      <c r="BU1" s="3" t="s">
        <v>148</v>
      </c>
      <c r="BV1" s="3" t="s">
        <v>150</v>
      </c>
      <c r="BW1" s="3" t="s">
        <v>152</v>
      </c>
      <c r="BX1" s="3" t="s">
        <v>154</v>
      </c>
      <c r="BY1" s="3" t="s">
        <v>156</v>
      </c>
      <c r="BZ1" s="3" t="s">
        <v>157</v>
      </c>
      <c r="CA1" s="3" t="s">
        <v>158</v>
      </c>
      <c r="CB1" s="3" t="s">
        <v>159</v>
      </c>
      <c r="CC1" s="3" t="s">
        <v>160</v>
      </c>
      <c r="CD1" s="3" t="s">
        <v>161</v>
      </c>
      <c r="CE1" s="3" t="s">
        <v>162</v>
      </c>
      <c r="CF1" s="3" t="s">
        <v>163</v>
      </c>
      <c r="CG1" s="3" t="s">
        <v>164</v>
      </c>
      <c r="CH1" s="3" t="s">
        <v>165</v>
      </c>
      <c r="CI1" s="3" t="s">
        <v>166</v>
      </c>
      <c r="CJ1" s="3" t="s">
        <v>167</v>
      </c>
      <c r="CK1" s="3" t="s">
        <v>168</v>
      </c>
      <c r="CL1" s="3" t="s">
        <v>169</v>
      </c>
      <c r="CM1" s="3" t="s">
        <v>170</v>
      </c>
      <c r="CN1" s="3" t="s">
        <v>171</v>
      </c>
      <c r="CO1" s="3" t="s">
        <v>172</v>
      </c>
      <c r="CP1" s="3" t="s">
        <v>174</v>
      </c>
      <c r="CQ1" s="3" t="s">
        <v>177</v>
      </c>
      <c r="CR1" s="3" t="s">
        <v>179</v>
      </c>
      <c r="CS1" s="3" t="s">
        <v>180</v>
      </c>
      <c r="CT1" s="3" t="s">
        <v>181</v>
      </c>
      <c r="CU1" s="3" t="s">
        <v>182</v>
      </c>
      <c r="CV1" s="3" t="s">
        <v>183</v>
      </c>
      <c r="CW1" s="3" t="s">
        <v>184</v>
      </c>
      <c r="CX1" s="3" t="s">
        <v>185</v>
      </c>
      <c r="CY1" s="3" t="s">
        <v>186</v>
      </c>
      <c r="CZ1" s="3" t="s">
        <v>187</v>
      </c>
      <c r="DA1" s="3" t="s">
        <v>188</v>
      </c>
      <c r="DB1" s="3" t="s">
        <v>189</v>
      </c>
      <c r="DC1" s="3" t="s">
        <v>191</v>
      </c>
      <c r="DD1" s="3" t="s">
        <v>192</v>
      </c>
      <c r="DE1" s="3" t="s">
        <v>194</v>
      </c>
      <c r="DF1" s="3" t="s">
        <v>197</v>
      </c>
      <c r="DG1" s="3" t="s">
        <v>199</v>
      </c>
      <c r="DH1" s="3" t="s">
        <v>201</v>
      </c>
      <c r="DI1" s="3" t="s">
        <v>202</v>
      </c>
      <c r="DJ1" s="3" t="s">
        <v>203</v>
      </c>
      <c r="DK1" s="3" t="s">
        <v>204</v>
      </c>
      <c r="DL1" s="3" t="s">
        <v>205</v>
      </c>
      <c r="DM1" s="3" t="s">
        <v>206</v>
      </c>
      <c r="DN1" s="3" t="s">
        <v>207</v>
      </c>
      <c r="DO1" s="3" t="s">
        <v>208</v>
      </c>
      <c r="DP1" s="3" t="s">
        <v>209</v>
      </c>
      <c r="DQ1" s="3" t="s">
        <v>210</v>
      </c>
      <c r="DR1" s="3" t="s">
        <v>211</v>
      </c>
      <c r="DS1" s="3" t="s">
        <v>212</v>
      </c>
      <c r="DT1" s="3" t="s">
        <v>213</v>
      </c>
      <c r="DU1" s="3" t="s">
        <v>214</v>
      </c>
      <c r="DV1" s="3" t="s">
        <v>215</v>
      </c>
      <c r="DW1" s="3" t="s">
        <v>216</v>
      </c>
      <c r="DX1" s="3" t="s">
        <v>217</v>
      </c>
      <c r="DY1" s="3" t="s">
        <v>218</v>
      </c>
      <c r="DZ1" s="3" t="s">
        <v>219</v>
      </c>
      <c r="EA1" s="3" t="s">
        <v>221</v>
      </c>
      <c r="EB1" s="3" t="s">
        <v>223</v>
      </c>
      <c r="EC1" s="3" t="s">
        <v>225</v>
      </c>
      <c r="ED1" s="3" t="s">
        <v>228</v>
      </c>
      <c r="EE1" s="3" t="s">
        <v>230</v>
      </c>
      <c r="EF1" s="3" t="s">
        <v>232</v>
      </c>
      <c r="EG1" s="3" t="s">
        <v>234</v>
      </c>
      <c r="EH1" s="3" t="s">
        <v>235</v>
      </c>
      <c r="EI1" s="3" t="s">
        <v>240</v>
      </c>
      <c r="EJ1" s="3" t="s">
        <v>241</v>
      </c>
      <c r="EK1" s="3" t="s">
        <v>242</v>
      </c>
      <c r="EL1" s="3" t="s">
        <v>243</v>
      </c>
      <c r="EM1" s="3" t="s">
        <v>244</v>
      </c>
      <c r="EN1" s="3" t="s">
        <v>245</v>
      </c>
      <c r="EO1" s="3" t="s">
        <v>246</v>
      </c>
      <c r="EP1" s="3" t="s">
        <v>247</v>
      </c>
      <c r="EQ1" s="3" t="s">
        <v>248</v>
      </c>
      <c r="ER1" s="3" t="s">
        <v>249</v>
      </c>
      <c r="ES1" s="3" t="s">
        <v>250</v>
      </c>
      <c r="ET1" s="3" t="s">
        <v>251</v>
      </c>
      <c r="EU1" s="3" t="s">
        <v>252</v>
      </c>
      <c r="EV1" s="3" t="s">
        <v>253</v>
      </c>
      <c r="EW1" s="3" t="s">
        <v>254</v>
      </c>
      <c r="EX1" s="3" t="s">
        <v>255</v>
      </c>
      <c r="EY1" s="3" t="s">
        <v>256</v>
      </c>
      <c r="EZ1" s="3" t="s">
        <v>257</v>
      </c>
      <c r="FA1" s="3" t="s">
        <v>258</v>
      </c>
      <c r="FB1" s="3" t="s">
        <v>260</v>
      </c>
      <c r="FC1" s="3" t="s">
        <v>262</v>
      </c>
      <c r="FD1" s="3" t="s">
        <v>264</v>
      </c>
      <c r="FE1" s="3" t="s">
        <v>266</v>
      </c>
      <c r="FF1" s="3" t="s">
        <v>267</v>
      </c>
      <c r="FG1" s="3" t="s">
        <v>268</v>
      </c>
      <c r="FH1" s="3" t="s">
        <v>269</v>
      </c>
      <c r="FI1" s="3" t="s">
        <v>270</v>
      </c>
      <c r="FJ1" s="3" t="s">
        <v>271</v>
      </c>
      <c r="FK1" s="3" t="s">
        <v>272</v>
      </c>
      <c r="FL1" s="3" t="s">
        <v>273</v>
      </c>
      <c r="FM1" s="3" t="s">
        <v>274</v>
      </c>
      <c r="FN1" s="3" t="s">
        <v>275</v>
      </c>
      <c r="FO1" s="3" t="s">
        <v>276</v>
      </c>
      <c r="FP1" s="3" t="s">
        <v>277</v>
      </c>
      <c r="FQ1" s="3" t="s">
        <v>278</v>
      </c>
      <c r="FR1" s="3" t="s">
        <v>279</v>
      </c>
      <c r="FS1" s="3" t="s">
        <v>280</v>
      </c>
      <c r="FT1" s="3" t="s">
        <v>281</v>
      </c>
      <c r="FU1" s="3" t="s">
        <v>282</v>
      </c>
      <c r="FV1" s="3" t="s">
        <v>283</v>
      </c>
      <c r="FW1" s="3" t="s">
        <v>284</v>
      </c>
      <c r="FX1" s="3" t="s">
        <v>285</v>
      </c>
      <c r="FY1" s="3" t="s">
        <v>286</v>
      </c>
      <c r="FZ1" s="3" t="s">
        <v>287</v>
      </c>
      <c r="GA1" s="3" t="s">
        <v>288</v>
      </c>
      <c r="GB1" s="3" t="s">
        <v>289</v>
      </c>
      <c r="GC1" s="3" t="s">
        <v>290</v>
      </c>
      <c r="GD1" s="3" t="s">
        <v>291</v>
      </c>
      <c r="GE1" s="3" t="s">
        <v>292</v>
      </c>
      <c r="GF1" s="3" t="s">
        <v>294</v>
      </c>
      <c r="GG1" s="3" t="s">
        <v>296</v>
      </c>
      <c r="GH1" s="3" t="s">
        <v>298</v>
      </c>
      <c r="GI1" s="3" t="s">
        <v>300</v>
      </c>
      <c r="GJ1" s="3" t="s">
        <v>301</v>
      </c>
      <c r="GK1" s="3" t="s">
        <v>302</v>
      </c>
      <c r="GL1" s="3" t="s">
        <v>303</v>
      </c>
      <c r="GM1" s="3" t="s">
        <v>304</v>
      </c>
      <c r="GN1" s="3" t="s">
        <v>305</v>
      </c>
      <c r="GO1" s="3" t="s">
        <v>306</v>
      </c>
      <c r="GP1" s="3" t="s">
        <v>307</v>
      </c>
      <c r="GQ1" s="3" t="s">
        <v>308</v>
      </c>
      <c r="GR1" s="3" t="s">
        <v>309</v>
      </c>
      <c r="GS1" s="3" t="s">
        <v>310</v>
      </c>
      <c r="GT1" s="3" t="s">
        <v>311</v>
      </c>
      <c r="GU1" s="3" t="s">
        <v>312</v>
      </c>
      <c r="GV1" s="3" t="s">
        <v>314</v>
      </c>
      <c r="GW1" s="3" t="s">
        <v>317</v>
      </c>
      <c r="GX1" s="3" t="s">
        <v>319</v>
      </c>
      <c r="GY1" s="3" t="s">
        <v>321</v>
      </c>
      <c r="GZ1" s="3" t="s">
        <v>323</v>
      </c>
      <c r="HA1" s="3" t="s">
        <v>324</v>
      </c>
      <c r="HB1" s="3" t="s">
        <v>325</v>
      </c>
      <c r="HC1" s="3" t="s">
        <v>326</v>
      </c>
      <c r="HD1" s="3" t="s">
        <v>327</v>
      </c>
      <c r="HE1" s="3" t="s">
        <v>328</v>
      </c>
      <c r="HF1" s="3" t="s">
        <v>329</v>
      </c>
      <c r="HG1" s="3" t="s">
        <v>330</v>
      </c>
      <c r="HH1" s="3" t="s">
        <v>331</v>
      </c>
      <c r="HI1" s="3" t="s">
        <v>332</v>
      </c>
      <c r="HJ1" s="3" t="s">
        <v>333</v>
      </c>
      <c r="HK1" s="3" t="s">
        <v>334</v>
      </c>
      <c r="HL1" s="3" t="s">
        <v>335</v>
      </c>
      <c r="HM1" s="3" t="s">
        <v>336</v>
      </c>
      <c r="HN1" s="3" t="s">
        <v>337</v>
      </c>
      <c r="HO1" s="3" t="s">
        <v>338</v>
      </c>
      <c r="HP1" s="3" t="s">
        <v>339</v>
      </c>
      <c r="HQ1" s="3" t="s">
        <v>340</v>
      </c>
      <c r="HR1" s="3" t="s">
        <v>342</v>
      </c>
      <c r="HS1" s="3" t="s">
        <v>344</v>
      </c>
      <c r="HT1" s="3" t="s">
        <v>345</v>
      </c>
      <c r="HU1" s="3" t="s">
        <v>348</v>
      </c>
      <c r="HV1" s="3" t="s">
        <v>350</v>
      </c>
      <c r="HW1" s="3" t="s">
        <v>351</v>
      </c>
      <c r="HX1" s="3" t="s">
        <v>352</v>
      </c>
      <c r="HY1" s="3" t="s">
        <v>353</v>
      </c>
      <c r="HZ1" s="3" t="s">
        <v>354</v>
      </c>
      <c r="IA1" s="3" t="s">
        <v>355</v>
      </c>
      <c r="IB1" s="3" t="s">
        <v>356</v>
      </c>
      <c r="IC1" s="3" t="s">
        <v>357</v>
      </c>
      <c r="ID1" s="3" t="s">
        <v>358</v>
      </c>
      <c r="IE1" s="3" t="s">
        <v>359</v>
      </c>
      <c r="IF1" s="3" t="s">
        <v>360</v>
      </c>
      <c r="IG1" s="3" t="s">
        <v>361</v>
      </c>
      <c r="IH1" s="3" t="s">
        <v>362</v>
      </c>
      <c r="II1" s="3" t="s">
        <v>363</v>
      </c>
      <c r="IJ1" s="3" t="s">
        <v>364</v>
      </c>
      <c r="IK1" s="3" t="s">
        <v>365</v>
      </c>
      <c r="IL1" s="3" t="s">
        <v>366</v>
      </c>
      <c r="IM1" s="3" t="s">
        <v>367</v>
      </c>
      <c r="IN1" s="3" t="s">
        <v>368</v>
      </c>
      <c r="IO1" s="3" t="s">
        <v>369</v>
      </c>
      <c r="IP1" s="3" t="s">
        <v>370</v>
      </c>
      <c r="IQ1" s="3" t="s">
        <v>371</v>
      </c>
      <c r="IR1" s="3" t="s">
        <v>372</v>
      </c>
      <c r="IS1" s="3" t="s">
        <v>373</v>
      </c>
      <c r="IT1" s="3" t="s">
        <v>375</v>
      </c>
      <c r="IU1" s="3" t="s">
        <v>378</v>
      </c>
      <c r="IV1" s="3" t="s">
        <v>380</v>
      </c>
      <c r="IW1" s="3" t="s">
        <v>382</v>
      </c>
      <c r="IX1" s="3" t="s">
        <v>384</v>
      </c>
      <c r="IY1" s="3" t="s">
        <v>385</v>
      </c>
      <c r="IZ1" s="3" t="s">
        <v>386</v>
      </c>
      <c r="JA1" s="3" t="s">
        <v>388</v>
      </c>
      <c r="JB1" s="3" t="s">
        <v>389</v>
      </c>
      <c r="JC1" s="3" t="s">
        <v>390</v>
      </c>
      <c r="JD1" s="3" t="s">
        <v>391</v>
      </c>
      <c r="JE1" s="3" t="s">
        <v>392</v>
      </c>
      <c r="JF1" s="3" t="s">
        <v>393</v>
      </c>
      <c r="JG1" s="3" t="s">
        <v>394</v>
      </c>
      <c r="JH1" s="3" t="s">
        <v>395</v>
      </c>
      <c r="JI1" s="3" t="s">
        <v>396</v>
      </c>
      <c r="JJ1" s="3" t="s">
        <v>397</v>
      </c>
      <c r="JK1" s="3" t="s">
        <v>398</v>
      </c>
      <c r="JL1" s="3" t="s">
        <v>399</v>
      </c>
      <c r="JM1" s="3" t="s">
        <v>400</v>
      </c>
      <c r="JN1" s="3" t="s">
        <v>402</v>
      </c>
      <c r="JO1" s="3" t="s">
        <v>404</v>
      </c>
      <c r="JP1" s="3" t="s">
        <v>406</v>
      </c>
      <c r="JQ1" s="3" t="s">
        <v>408</v>
      </c>
      <c r="JR1" s="3" t="s">
        <v>410</v>
      </c>
      <c r="JS1" s="3" t="s">
        <v>411</v>
      </c>
      <c r="JT1" s="3" t="s">
        <v>412</v>
      </c>
      <c r="JU1" s="3" t="s">
        <v>413</v>
      </c>
      <c r="JV1" s="3" t="s">
        <v>414</v>
      </c>
      <c r="JW1" s="3" t="s">
        <v>415</v>
      </c>
      <c r="JX1" s="3" t="s">
        <v>416</v>
      </c>
      <c r="JY1" s="3" t="s">
        <v>417</v>
      </c>
      <c r="JZ1" s="3" t="s">
        <v>418</v>
      </c>
      <c r="KA1" s="3" t="s">
        <v>419</v>
      </c>
      <c r="KB1" s="3" t="s">
        <v>420</v>
      </c>
      <c r="KC1" s="3" t="s">
        <v>421</v>
      </c>
      <c r="KD1" s="3" t="s">
        <v>422</v>
      </c>
      <c r="KE1" s="3" t="s">
        <v>423</v>
      </c>
      <c r="KF1" s="3" t="s">
        <v>424</v>
      </c>
      <c r="KG1" s="3" t="s">
        <v>425</v>
      </c>
      <c r="KH1" s="3" t="s">
        <v>426</v>
      </c>
      <c r="KI1" s="3" t="s">
        <v>428</v>
      </c>
      <c r="KJ1" s="3" t="s">
        <v>430</v>
      </c>
      <c r="KK1" s="3" t="s">
        <v>432</v>
      </c>
      <c r="KL1" s="3" t="s">
        <v>434</v>
      </c>
      <c r="KM1" s="3" t="s">
        <v>435</v>
      </c>
      <c r="KN1" s="3" t="s">
        <v>437</v>
      </c>
      <c r="KO1" s="3" t="s">
        <v>438</v>
      </c>
      <c r="KP1" s="3" t="s">
        <v>439</v>
      </c>
      <c r="KQ1" s="3" t="s">
        <v>440</v>
      </c>
      <c r="KR1" s="3" t="s">
        <v>441</v>
      </c>
      <c r="KS1" s="3" t="s">
        <v>442</v>
      </c>
      <c r="KT1" s="3" t="s">
        <v>443</v>
      </c>
      <c r="KU1" s="3" t="s">
        <v>444</v>
      </c>
      <c r="KV1" s="3" t="s">
        <v>445</v>
      </c>
      <c r="KW1" s="3" t="s">
        <v>446</v>
      </c>
      <c r="KX1" s="3" t="s">
        <v>447</v>
      </c>
      <c r="KY1" s="3" t="s">
        <v>448</v>
      </c>
      <c r="KZ1" s="3" t="s">
        <v>449</v>
      </c>
      <c r="LA1" s="3" t="s">
        <v>450</v>
      </c>
      <c r="LB1" s="3" t="s">
        <v>453</v>
      </c>
      <c r="LC1" s="3" t="s">
        <v>455</v>
      </c>
      <c r="LD1" s="3" t="s">
        <v>457</v>
      </c>
      <c r="LE1" s="3" t="s">
        <v>459</v>
      </c>
      <c r="LF1" s="3" t="s">
        <v>460</v>
      </c>
      <c r="LG1" s="3" t="s">
        <v>461</v>
      </c>
      <c r="LH1" s="3" t="s">
        <v>462</v>
      </c>
      <c r="LI1" s="3" t="s">
        <v>463</v>
      </c>
      <c r="LJ1" s="3" t="s">
        <v>465</v>
      </c>
      <c r="LK1" s="3" t="s">
        <v>466</v>
      </c>
      <c r="LL1" s="3" t="s">
        <v>467</v>
      </c>
      <c r="LM1" s="3" t="s">
        <v>468</v>
      </c>
      <c r="LN1" s="3" t="s">
        <v>469</v>
      </c>
      <c r="LO1" s="3" t="s">
        <v>470</v>
      </c>
      <c r="LP1" s="3" t="s">
        <v>471</v>
      </c>
      <c r="LQ1" s="3" t="s">
        <v>472</v>
      </c>
      <c r="LR1" s="3" t="s">
        <v>473</v>
      </c>
      <c r="LS1" s="3" t="s">
        <v>475</v>
      </c>
      <c r="LT1" s="3" t="s">
        <v>478</v>
      </c>
      <c r="LU1" s="3" t="s">
        <v>480</v>
      </c>
      <c r="LV1" s="3" t="s">
        <v>482</v>
      </c>
      <c r="LW1" s="3" t="s">
        <v>484</v>
      </c>
      <c r="LX1" s="3" t="s">
        <v>485</v>
      </c>
      <c r="LY1" s="3" t="s">
        <v>486</v>
      </c>
      <c r="LZ1" s="3" t="s">
        <v>487</v>
      </c>
      <c r="MA1" s="3" t="s">
        <v>488</v>
      </c>
      <c r="MB1" s="3" t="s">
        <v>489</v>
      </c>
      <c r="MC1" s="3" t="s">
        <v>490</v>
      </c>
      <c r="MD1" s="3" t="s">
        <v>491</v>
      </c>
      <c r="ME1" s="3" t="s">
        <v>492</v>
      </c>
      <c r="MF1" s="3" t="s">
        <v>493</v>
      </c>
      <c r="MG1" s="3" t="s">
        <v>495</v>
      </c>
      <c r="MH1" s="3" t="s">
        <v>497</v>
      </c>
      <c r="MI1" s="3" t="s">
        <v>500</v>
      </c>
      <c r="MJ1" s="3" t="s">
        <v>501</v>
      </c>
      <c r="MK1" s="3" t="s">
        <v>502</v>
      </c>
      <c r="ML1" s="3" t="s">
        <v>503</v>
      </c>
      <c r="MM1" s="3" t="s">
        <v>504</v>
      </c>
      <c r="MN1" s="3" t="s">
        <v>505</v>
      </c>
      <c r="MO1" s="3" t="s">
        <v>506</v>
      </c>
      <c r="MP1" s="3" t="s">
        <v>507</v>
      </c>
      <c r="MQ1" s="3" t="s">
        <v>508</v>
      </c>
      <c r="MR1" s="3" t="s">
        <v>509</v>
      </c>
      <c r="MS1" s="3" t="s">
        <v>510</v>
      </c>
      <c r="MT1" s="3" t="s">
        <v>511</v>
      </c>
      <c r="MU1" s="3" t="s">
        <v>513</v>
      </c>
      <c r="MV1" s="3" t="s">
        <v>515</v>
      </c>
      <c r="MW1" s="3" t="s">
        <v>517</v>
      </c>
      <c r="MX1" s="3" t="s">
        <v>519</v>
      </c>
      <c r="MY1" s="3" t="s">
        <v>521</v>
      </c>
      <c r="MZ1" s="3" t="s">
        <v>522</v>
      </c>
      <c r="NA1" s="3" t="s">
        <v>523</v>
      </c>
      <c r="NB1" s="3" t="s">
        <v>524</v>
      </c>
      <c r="NC1" s="3" t="s">
        <v>525</v>
      </c>
      <c r="ND1" s="3" t="s">
        <v>526</v>
      </c>
      <c r="NE1" s="3" t="s">
        <v>527</v>
      </c>
      <c r="NF1" s="3" t="s">
        <v>528</v>
      </c>
      <c r="NG1" s="3" t="s">
        <v>529</v>
      </c>
      <c r="NH1" s="3" t="s">
        <v>530</v>
      </c>
      <c r="NI1" s="3" t="s">
        <v>531</v>
      </c>
      <c r="NJ1" s="3" t="s">
        <v>532</v>
      </c>
      <c r="NK1" s="3" t="s">
        <v>534</v>
      </c>
      <c r="NL1" s="3" t="s">
        <v>537</v>
      </c>
      <c r="NM1" s="3" t="s">
        <v>538</v>
      </c>
      <c r="NN1" s="3" t="s">
        <v>540</v>
      </c>
      <c r="NO1" s="3" t="s">
        <v>541</v>
      </c>
      <c r="NP1" s="3" t="s">
        <v>542</v>
      </c>
      <c r="NQ1" s="3" t="s">
        <v>543</v>
      </c>
      <c r="NR1" s="3" t="s">
        <v>544</v>
      </c>
      <c r="NS1" s="3" t="s">
        <v>545</v>
      </c>
      <c r="NT1" s="3" t="s">
        <v>546</v>
      </c>
      <c r="NU1" s="3" t="s">
        <v>549</v>
      </c>
      <c r="NV1" s="3" t="s">
        <v>554</v>
      </c>
      <c r="NW1" s="3" t="s">
        <v>556</v>
      </c>
      <c r="NX1" s="3" t="s">
        <v>557</v>
      </c>
      <c r="NY1" s="3" t="s">
        <v>558</v>
      </c>
      <c r="NZ1" s="3" t="s">
        <v>559</v>
      </c>
      <c r="OA1" s="3" t="s">
        <v>560</v>
      </c>
      <c r="OB1" s="3" t="s">
        <v>561</v>
      </c>
      <c r="OC1" s="3" t="s">
        <v>562</v>
      </c>
      <c r="OD1" s="3" t="s">
        <v>563</v>
      </c>
      <c r="OE1" s="3" t="s">
        <v>564</v>
      </c>
      <c r="OF1" s="3" t="s">
        <v>565</v>
      </c>
      <c r="OG1" s="3" t="s">
        <v>566</v>
      </c>
      <c r="OH1" s="3" t="s">
        <v>567</v>
      </c>
      <c r="OI1" s="3" t="s">
        <v>570</v>
      </c>
      <c r="OJ1" s="3" t="s">
        <v>573</v>
      </c>
      <c r="OK1" s="3" t="s">
        <v>574</v>
      </c>
      <c r="OL1" s="3" t="s">
        <v>576</v>
      </c>
      <c r="OM1" s="3" t="s">
        <v>577</v>
      </c>
      <c r="ON1" s="3" t="s">
        <v>578</v>
      </c>
      <c r="OO1" s="3" t="s">
        <v>579</v>
      </c>
      <c r="OP1" s="3" t="s">
        <v>580</v>
      </c>
      <c r="OQ1" s="3" t="s">
        <v>581</v>
      </c>
      <c r="OR1" s="3" t="s">
        <v>582</v>
      </c>
      <c r="OS1" s="3" t="s">
        <v>583</v>
      </c>
      <c r="OT1" s="3" t="s">
        <v>586</v>
      </c>
      <c r="OU1" s="3" t="s">
        <v>589</v>
      </c>
      <c r="OV1" s="3" t="s">
        <v>590</v>
      </c>
    </row>
    <row r="2" ht="18.0" customHeight="1">
      <c r="A2" s="34">
        <v>1.0</v>
      </c>
      <c r="B2" s="35" t="s">
        <v>595</v>
      </c>
      <c r="C2" s="36" t="s">
        <v>55</v>
      </c>
      <c r="D2" s="35" t="s">
        <v>53</v>
      </c>
      <c r="E2" s="34">
        <v>30.0</v>
      </c>
      <c r="F2" s="34" t="str">
        <f t="shared" ref="F2:F76" si="1">COUNTIF('Tổng hợp 75 trang đích'!$B$2:$B$3260,$D2)</f>
        <v>#REF!</v>
      </c>
      <c r="G2" s="34">
        <f t="shared" ref="G2:G76" si="2">COUNTIFS('Tổng hợp 75 trang đích'!$B$2:$B$3260,$D2,'Tổng hợp 75 trang đích'!$K$2:$K$3260,"PHÙ HỢP CAO")</f>
        <v>0</v>
      </c>
      <c r="H2" s="34">
        <f t="shared" ref="H2:H76" si="3">COUNTIFS('Tổng hợp 75 trang đích'!$B$2:$B$3260,$D2,'Tổng hợp 75 trang đích'!$K$2:$K$3260,"CÓ THỂ ĐI")</f>
        <v>0</v>
      </c>
      <c r="I2" s="34">
        <f t="shared" ref="I2:I76" si="4">COUNTIFS('Tổng hợp 75 trang đích'!$B$2:$B$3260,$D2,'Tổng hợp 75 trang đích'!$K$2:$K$3260,"CẦN SOÁT")</f>
        <v>0</v>
      </c>
      <c r="J2" s="37" t="s">
        <v>625</v>
      </c>
      <c r="K2" s="37" t="b">
        <v>0</v>
      </c>
      <c r="L2" s="38" t="s">
        <v>71</v>
      </c>
      <c r="M2" s="35" t="str">
        <f>IFERROR(__xludf.DUMMYFUNCTION("IFERROR(TOROW(CHOOSECOLS(SORT(FILTER({'Tổng hợp 75 trang đích'!$J$2:$J$3260,'Tổng hợp 75 trang đích'!$I$2:$I$3260,MATCH('Tổng hợp 75 trang đích'!$K$2:$K$3260,{""PHÙ HỢP CAO"",""CÓ THỂ ĐI"",""CẦN SOÁT""},0)},'Tổng hợp 75 trang đích'!$B$2:$B$3260=$D2),3,TRU"&amp;"E),1,2)),"""")"),"")</f>
        <v/>
      </c>
      <c r="N2" s="35"/>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row>
    <row r="3" ht="18.0" customHeight="1">
      <c r="A3" s="34">
        <v>2.0</v>
      </c>
      <c r="B3" s="35" t="s">
        <v>603</v>
      </c>
      <c r="C3" s="36" t="s">
        <v>685</v>
      </c>
      <c r="D3" s="35" t="s">
        <v>313</v>
      </c>
      <c r="E3" s="34">
        <v>100.0</v>
      </c>
      <c r="F3" s="34" t="str">
        <f t="shared" si="1"/>
        <v>#REF!</v>
      </c>
      <c r="G3" s="34">
        <f t="shared" si="2"/>
        <v>0</v>
      </c>
      <c r="H3" s="34">
        <f t="shared" si="3"/>
        <v>0</v>
      </c>
      <c r="I3" s="34">
        <f t="shared" si="4"/>
        <v>0</v>
      </c>
      <c r="J3" s="37" t="s">
        <v>625</v>
      </c>
      <c r="K3" s="37" t="b">
        <v>0</v>
      </c>
      <c r="L3" s="38" t="s">
        <v>71</v>
      </c>
      <c r="M3" s="35" t="str">
        <f>IFERROR(__xludf.DUMMYFUNCTION("IFERROR(TOROW(CHOOSECOLS(SORT(FILTER({'Tổng hợp 75 trang đích'!$J$2:$J$3260,'Tổng hợp 75 trang đích'!$I$2:$I$3260,MATCH('Tổng hợp 75 trang đích'!$K$2:$K$3260,{""PHÙ HỢP CAO"",""CÓ THỂ ĐI"",""CẦN SOÁT""},0)},'Tổng hợp 75 trang đích'!$B$2:$B$3260=$D3),3,TRU"&amp;"E),1,2)),"""")"),"")</f>
        <v/>
      </c>
      <c r="N3" s="35"/>
      <c r="O3" s="35"/>
      <c r="P3" s="35"/>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c r="BS3" s="35"/>
      <c r="BT3" s="35"/>
      <c r="BU3" s="35"/>
      <c r="BV3" s="35"/>
      <c r="BW3" s="35"/>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K3" s="35"/>
      <c r="DL3" s="35"/>
      <c r="DM3" s="35"/>
      <c r="DN3" s="35"/>
      <c r="DO3" s="35"/>
      <c r="DP3" s="35"/>
      <c r="DQ3" s="35"/>
      <c r="DR3" s="35"/>
      <c r="DS3" s="35"/>
      <c r="DT3" s="35"/>
      <c r="DU3" s="35"/>
      <c r="DV3" s="35"/>
      <c r="DW3" s="35"/>
      <c r="DX3" s="35"/>
      <c r="DY3" s="35"/>
      <c r="DZ3" s="35"/>
      <c r="EA3" s="35"/>
      <c r="EB3" s="35"/>
      <c r="EC3" s="35"/>
      <c r="ED3" s="35"/>
      <c r="EE3" s="35"/>
      <c r="EF3" s="35"/>
      <c r="EG3" s="35"/>
      <c r="EH3" s="35"/>
      <c r="EI3" s="35"/>
      <c r="EJ3" s="35"/>
      <c r="EK3" s="35"/>
      <c r="EL3" s="35"/>
      <c r="EM3" s="35"/>
      <c r="EN3" s="35"/>
      <c r="EO3" s="35"/>
      <c r="EP3" s="35"/>
      <c r="EQ3" s="35"/>
      <c r="ER3" s="35"/>
      <c r="ES3" s="35"/>
      <c r="ET3" s="35"/>
      <c r="EU3" s="35"/>
      <c r="EV3" s="35"/>
      <c r="EW3" s="35"/>
      <c r="EX3" s="35"/>
      <c r="EY3" s="35"/>
      <c r="EZ3" s="35"/>
      <c r="FA3" s="35"/>
      <c r="FB3" s="35"/>
      <c r="FC3" s="35"/>
      <c r="FD3" s="35"/>
      <c r="FE3" s="35"/>
      <c r="FF3" s="35"/>
      <c r="FG3" s="35"/>
      <c r="FH3" s="35"/>
      <c r="FI3" s="35"/>
      <c r="FJ3" s="35"/>
      <c r="FK3" s="35"/>
      <c r="FL3" s="35"/>
      <c r="FM3" s="35"/>
      <c r="FN3" s="35"/>
      <c r="FO3" s="35"/>
      <c r="FP3" s="35"/>
      <c r="FQ3" s="35"/>
      <c r="FR3" s="35"/>
      <c r="FS3" s="35"/>
      <c r="FT3" s="35"/>
      <c r="FU3" s="35"/>
      <c r="FV3" s="35"/>
      <c r="FW3" s="35"/>
      <c r="FX3" s="35"/>
      <c r="FY3" s="35"/>
      <c r="FZ3" s="35"/>
      <c r="GA3" s="35"/>
      <c r="GB3" s="35"/>
      <c r="GC3" s="35"/>
      <c r="GD3" s="35"/>
      <c r="GE3" s="35"/>
      <c r="GF3" s="35"/>
      <c r="GG3" s="35"/>
      <c r="GH3" s="35"/>
      <c r="GI3" s="35"/>
      <c r="GJ3" s="35"/>
      <c r="GK3" s="35"/>
      <c r="GL3" s="35"/>
      <c r="GM3" s="35"/>
      <c r="GN3" s="35"/>
      <c r="GO3" s="35"/>
      <c r="GP3" s="35"/>
      <c r="GQ3" s="35"/>
      <c r="GR3" s="35"/>
      <c r="GS3" s="35"/>
      <c r="GT3" s="35"/>
      <c r="GU3" s="35"/>
      <c r="GV3" s="35"/>
      <c r="GW3" s="35"/>
      <c r="GX3" s="35"/>
      <c r="GY3" s="35"/>
      <c r="GZ3" s="35"/>
      <c r="HA3" s="35"/>
      <c r="HB3" s="35"/>
      <c r="HC3" s="35"/>
      <c r="HD3" s="35"/>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35"/>
      <c r="MT3" s="35"/>
      <c r="MU3" s="35"/>
      <c r="MV3" s="35"/>
      <c r="MW3" s="35"/>
      <c r="MX3" s="35"/>
      <c r="MY3" s="35"/>
      <c r="MZ3" s="35"/>
      <c r="NA3" s="35"/>
      <c r="NB3" s="35"/>
      <c r="NC3" s="35"/>
      <c r="ND3" s="35"/>
      <c r="NE3" s="35"/>
      <c r="NF3" s="35"/>
      <c r="NG3" s="35"/>
      <c r="NH3" s="35"/>
      <c r="NI3" s="35"/>
      <c r="NJ3" s="35"/>
      <c r="NK3" s="35"/>
      <c r="NL3" s="35"/>
      <c r="NM3" s="35"/>
      <c r="NN3" s="35"/>
      <c r="NO3" s="35"/>
      <c r="NP3" s="35"/>
      <c r="NQ3" s="35"/>
      <c r="NR3" s="35"/>
      <c r="NS3" s="35"/>
      <c r="NT3" s="35"/>
      <c r="NU3" s="35"/>
      <c r="NV3" s="35"/>
      <c r="NW3" s="35"/>
      <c r="NX3" s="35"/>
      <c r="NY3" s="35"/>
      <c r="NZ3" s="35"/>
      <c r="OA3" s="35"/>
      <c r="OB3" s="35"/>
      <c r="OC3" s="35"/>
      <c r="OD3" s="35"/>
      <c r="OE3" s="35"/>
      <c r="OF3" s="35"/>
      <c r="OG3" s="35"/>
      <c r="OH3" s="35"/>
      <c r="OI3" s="35"/>
      <c r="OJ3" s="35"/>
      <c r="OK3" s="35"/>
      <c r="OL3" s="35"/>
      <c r="OM3" s="35"/>
      <c r="ON3" s="35"/>
      <c r="OO3" s="35"/>
      <c r="OP3" s="35"/>
      <c r="OQ3" s="35"/>
      <c r="OR3" s="35"/>
      <c r="OS3" s="35"/>
      <c r="OT3" s="35"/>
      <c r="OU3" s="35"/>
      <c r="OV3" s="35"/>
    </row>
    <row r="4" ht="18.0" customHeight="1">
      <c r="A4" s="34">
        <v>3.0</v>
      </c>
      <c r="B4" s="35" t="s">
        <v>603</v>
      </c>
      <c r="C4" s="36" t="s">
        <v>749</v>
      </c>
      <c r="D4" s="35" t="s">
        <v>316</v>
      </c>
      <c r="E4" s="34">
        <v>50.0</v>
      </c>
      <c r="F4" s="34" t="str">
        <f t="shared" si="1"/>
        <v>#REF!</v>
      </c>
      <c r="G4" s="34">
        <f t="shared" si="2"/>
        <v>0</v>
      </c>
      <c r="H4" s="34">
        <f t="shared" si="3"/>
        <v>0</v>
      </c>
      <c r="I4" s="34">
        <f t="shared" si="4"/>
        <v>0</v>
      </c>
      <c r="J4" s="37" t="s">
        <v>625</v>
      </c>
      <c r="K4" s="37" t="b">
        <v>0</v>
      </c>
      <c r="L4" s="38" t="s">
        <v>71</v>
      </c>
      <c r="M4" s="35" t="str">
        <f>IFERROR(__xludf.DUMMYFUNCTION("IFERROR(TOROW(CHOOSECOLS(SORT(FILTER({'Tổng hợp 75 trang đích'!$J$2:$J$3260,'Tổng hợp 75 trang đích'!$I$2:$I$3260,MATCH('Tổng hợp 75 trang đích'!$K$2:$K$3260,{""PHÙ HỢP CAO"",""CÓ THỂ ĐI"",""CẦN SOÁT""},0)},'Tổng hợp 75 trang đích'!$B$2:$B$3260=$D4),3,TRU"&amp;"E),1,2)),"""")"),"")</f>
        <v/>
      </c>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K4" s="35"/>
      <c r="DL4" s="35"/>
      <c r="DM4" s="35"/>
      <c r="DN4" s="35"/>
      <c r="DO4" s="35"/>
      <c r="DP4" s="35"/>
      <c r="DQ4" s="35"/>
      <c r="DR4" s="35"/>
      <c r="DS4" s="35"/>
      <c r="DT4" s="35"/>
      <c r="DU4" s="35"/>
      <c r="DV4" s="35"/>
      <c r="DW4" s="35"/>
      <c r="DX4" s="35"/>
      <c r="DY4" s="35"/>
      <c r="DZ4" s="35"/>
      <c r="EA4" s="35"/>
      <c r="EB4" s="35"/>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c r="IW4" s="35"/>
      <c r="IX4" s="35"/>
      <c r="IY4" s="35"/>
      <c r="IZ4" s="35"/>
      <c r="JA4" s="35"/>
      <c r="JB4" s="35"/>
      <c r="JC4" s="35"/>
      <c r="JD4" s="35"/>
      <c r="JE4" s="35"/>
      <c r="JF4" s="35"/>
      <c r="JG4" s="35"/>
      <c r="JH4" s="35"/>
      <c r="JI4" s="35"/>
      <c r="JJ4" s="35"/>
      <c r="JK4" s="35"/>
      <c r="JL4" s="35"/>
      <c r="JM4" s="35"/>
      <c r="JN4" s="35"/>
      <c r="JO4" s="35"/>
      <c r="JP4" s="35"/>
      <c r="JQ4" s="35"/>
      <c r="JR4" s="35"/>
      <c r="JS4" s="35"/>
      <c r="JT4" s="35"/>
      <c r="JU4" s="35"/>
      <c r="JV4" s="35"/>
      <c r="JW4" s="35"/>
      <c r="JX4" s="35"/>
      <c r="JY4" s="35"/>
      <c r="JZ4" s="35"/>
      <c r="KA4" s="35"/>
      <c r="KB4" s="35"/>
      <c r="KC4" s="35"/>
      <c r="KD4" s="35"/>
      <c r="KE4" s="35"/>
      <c r="KF4" s="35"/>
      <c r="KG4" s="35"/>
      <c r="KH4" s="35"/>
      <c r="KI4" s="35"/>
      <c r="KJ4" s="35"/>
      <c r="KK4" s="35"/>
      <c r="KL4" s="35"/>
      <c r="KM4" s="35"/>
      <c r="KN4" s="35"/>
      <c r="KO4" s="35"/>
      <c r="KP4" s="35"/>
      <c r="KQ4" s="35"/>
      <c r="KR4" s="35"/>
      <c r="KS4" s="35"/>
      <c r="KT4" s="35"/>
      <c r="KU4" s="35"/>
      <c r="KV4" s="35"/>
      <c r="KW4" s="35"/>
      <c r="KX4" s="35"/>
      <c r="KY4" s="35"/>
      <c r="KZ4" s="35"/>
      <c r="LA4" s="35"/>
      <c r="LB4" s="35"/>
      <c r="LC4" s="35"/>
      <c r="LD4" s="35"/>
      <c r="LE4" s="35"/>
      <c r="LF4" s="35"/>
      <c r="LG4" s="35"/>
      <c r="LH4" s="35"/>
      <c r="LI4" s="35"/>
      <c r="LJ4" s="35"/>
      <c r="LK4" s="35"/>
      <c r="LL4" s="35"/>
      <c r="LM4" s="35"/>
      <c r="LN4" s="35"/>
      <c r="LO4" s="35"/>
      <c r="LP4" s="35"/>
      <c r="LQ4" s="35"/>
      <c r="LR4" s="35"/>
      <c r="LS4" s="35"/>
      <c r="LT4" s="35"/>
      <c r="LU4" s="35"/>
      <c r="LV4" s="35"/>
      <c r="LW4" s="35"/>
      <c r="LX4" s="35"/>
      <c r="LY4" s="35"/>
      <c r="LZ4" s="35"/>
      <c r="MA4" s="35"/>
      <c r="MB4" s="35"/>
      <c r="MC4" s="35"/>
      <c r="MD4" s="35"/>
      <c r="ME4" s="35"/>
      <c r="MF4" s="35"/>
      <c r="MG4" s="35"/>
      <c r="MH4" s="35"/>
      <c r="MI4" s="35"/>
      <c r="MJ4" s="35"/>
      <c r="MK4" s="35"/>
      <c r="ML4" s="35"/>
      <c r="MM4" s="35"/>
      <c r="MN4" s="35"/>
      <c r="MO4" s="35"/>
      <c r="MP4" s="35"/>
      <c r="MQ4" s="35"/>
      <c r="MR4" s="35"/>
      <c r="MS4" s="35"/>
      <c r="MT4" s="35"/>
      <c r="MU4" s="35"/>
      <c r="MV4" s="35"/>
      <c r="MW4" s="35"/>
      <c r="MX4" s="35"/>
      <c r="MY4" s="35"/>
      <c r="MZ4" s="35"/>
      <c r="NA4" s="35"/>
      <c r="NB4" s="35"/>
      <c r="NC4" s="35"/>
      <c r="ND4" s="35"/>
      <c r="NE4" s="35"/>
      <c r="NF4" s="35"/>
      <c r="NG4" s="35"/>
      <c r="NH4" s="35"/>
      <c r="NI4" s="35"/>
      <c r="NJ4" s="35"/>
      <c r="NK4" s="35"/>
      <c r="NL4" s="35"/>
      <c r="NM4" s="35"/>
      <c r="NN4" s="35"/>
      <c r="NO4" s="35"/>
      <c r="NP4" s="35"/>
      <c r="NQ4" s="35"/>
      <c r="NR4" s="35"/>
      <c r="NS4" s="35"/>
      <c r="NT4" s="35"/>
      <c r="NU4" s="35"/>
      <c r="NV4" s="35"/>
      <c r="NW4" s="35"/>
      <c r="NX4" s="35"/>
      <c r="NY4" s="35"/>
      <c r="NZ4" s="35"/>
      <c r="OA4" s="35"/>
      <c r="OB4" s="35"/>
      <c r="OC4" s="35"/>
      <c r="OD4" s="35"/>
      <c r="OE4" s="35"/>
      <c r="OF4" s="35"/>
      <c r="OG4" s="35"/>
      <c r="OH4" s="35"/>
      <c r="OI4" s="35"/>
      <c r="OJ4" s="35"/>
      <c r="OK4" s="35"/>
      <c r="OL4" s="35"/>
      <c r="OM4" s="35"/>
      <c r="ON4" s="35"/>
      <c r="OO4" s="35"/>
      <c r="OP4" s="35"/>
      <c r="OQ4" s="35"/>
      <c r="OR4" s="35"/>
      <c r="OS4" s="35"/>
      <c r="OT4" s="35"/>
      <c r="OU4" s="35"/>
      <c r="OV4" s="35"/>
    </row>
    <row r="5" ht="18.0" customHeight="1">
      <c r="A5" s="34">
        <v>4.0</v>
      </c>
      <c r="B5" s="35" t="s">
        <v>603</v>
      </c>
      <c r="C5" s="36" t="s">
        <v>725</v>
      </c>
      <c r="D5" s="35" t="s">
        <v>640</v>
      </c>
      <c r="E5" s="34">
        <v>50.0</v>
      </c>
      <c r="F5" s="34" t="str">
        <f t="shared" si="1"/>
        <v>#REF!</v>
      </c>
      <c r="G5" s="34">
        <f t="shared" si="2"/>
        <v>0</v>
      </c>
      <c r="H5" s="34">
        <f t="shared" si="3"/>
        <v>0</v>
      </c>
      <c r="I5" s="34">
        <f t="shared" si="4"/>
        <v>0</v>
      </c>
      <c r="J5" s="37" t="s">
        <v>625</v>
      </c>
      <c r="K5" s="37" t="b">
        <v>0</v>
      </c>
      <c r="L5" s="38" t="s">
        <v>71</v>
      </c>
      <c r="M5" s="35" t="str">
        <f>IFERROR(__xludf.DUMMYFUNCTION("IFERROR(TOROW(CHOOSECOLS(SORT(FILTER({'Tổng hợp 75 trang đích'!$J$2:$J$3260,'Tổng hợp 75 trang đích'!$I$2:$I$3260,MATCH('Tổng hợp 75 trang đích'!$K$2:$K$3260,{""PHÙ HỢP CAO"",""CÓ THỂ ĐI"",""CẦN SOÁT""},0)},'Tổng hợp 75 trang đích'!$B$2:$B$3260=$D5),3,TRU"&amp;"E),1,2)),"""")"),"")</f>
        <v/>
      </c>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K5" s="35"/>
      <c r="DL5" s="35"/>
      <c r="DM5" s="35"/>
      <c r="DN5" s="35"/>
      <c r="DO5" s="35"/>
      <c r="DP5" s="35"/>
      <c r="DQ5" s="35"/>
      <c r="DR5" s="35"/>
      <c r="DS5" s="35"/>
      <c r="DT5" s="35"/>
      <c r="DU5" s="35"/>
      <c r="DV5" s="35"/>
      <c r="DW5" s="35"/>
      <c r="DX5" s="35"/>
      <c r="DY5" s="35"/>
      <c r="DZ5" s="35"/>
      <c r="EA5" s="35"/>
      <c r="EB5" s="35"/>
      <c r="EC5" s="35"/>
      <c r="ED5" s="35"/>
      <c r="EE5" s="35"/>
      <c r="EF5" s="35"/>
      <c r="EG5" s="35"/>
      <c r="EH5" s="35"/>
      <c r="EI5" s="35"/>
      <c r="EJ5" s="35"/>
      <c r="EK5" s="35"/>
      <c r="EL5" s="35"/>
      <c r="EM5" s="35"/>
      <c r="EN5" s="35"/>
      <c r="EO5" s="35"/>
      <c r="EP5" s="35"/>
      <c r="EQ5" s="35"/>
      <c r="ER5" s="35"/>
      <c r="ES5" s="35"/>
      <c r="ET5" s="35"/>
      <c r="EU5" s="35"/>
      <c r="EV5" s="35"/>
      <c r="EW5" s="35"/>
      <c r="EX5" s="35"/>
      <c r="EY5" s="35"/>
      <c r="EZ5" s="35"/>
      <c r="FA5" s="35"/>
      <c r="FB5" s="35"/>
      <c r="FC5" s="35"/>
      <c r="FD5" s="35"/>
      <c r="FE5" s="35"/>
      <c r="FF5" s="35"/>
      <c r="FG5" s="35"/>
      <c r="FH5" s="35"/>
      <c r="FI5" s="35"/>
      <c r="FJ5" s="35"/>
      <c r="FK5" s="35"/>
      <c r="FL5" s="35"/>
      <c r="FM5" s="35"/>
      <c r="FN5" s="35"/>
      <c r="FO5" s="35"/>
      <c r="FP5" s="35"/>
      <c r="FQ5" s="35"/>
      <c r="FR5" s="35"/>
      <c r="FS5" s="35"/>
      <c r="FT5" s="35"/>
      <c r="FU5" s="35"/>
      <c r="FV5" s="35"/>
      <c r="FW5" s="35"/>
      <c r="FX5" s="35"/>
      <c r="FY5" s="35"/>
      <c r="FZ5" s="35"/>
      <c r="GA5" s="35"/>
      <c r="GB5" s="35"/>
      <c r="GC5" s="35"/>
      <c r="GD5" s="35"/>
      <c r="GE5" s="35"/>
      <c r="GF5" s="35"/>
      <c r="GG5" s="35"/>
      <c r="GH5" s="35"/>
      <c r="GI5" s="35"/>
      <c r="GJ5" s="35"/>
      <c r="GK5" s="35"/>
      <c r="GL5" s="35"/>
      <c r="GM5" s="35"/>
      <c r="GN5" s="35"/>
      <c r="GO5" s="35"/>
      <c r="GP5" s="35"/>
      <c r="GQ5" s="35"/>
      <c r="GR5" s="35"/>
      <c r="GS5" s="35"/>
      <c r="GT5" s="35"/>
      <c r="GU5" s="35"/>
      <c r="GV5" s="35"/>
      <c r="GW5" s="35"/>
      <c r="GX5" s="35"/>
      <c r="GY5" s="35"/>
      <c r="GZ5" s="35"/>
      <c r="HA5" s="35"/>
      <c r="HB5" s="35"/>
      <c r="HC5" s="35"/>
      <c r="HD5" s="35"/>
      <c r="HE5" s="35"/>
      <c r="HF5" s="35"/>
      <c r="HG5" s="35"/>
      <c r="HH5" s="35"/>
      <c r="HI5" s="35"/>
      <c r="HJ5" s="35"/>
      <c r="HK5" s="35"/>
      <c r="HL5" s="35"/>
      <c r="HM5" s="35"/>
      <c r="HN5" s="35"/>
      <c r="HO5" s="35"/>
      <c r="HP5" s="35"/>
      <c r="HQ5" s="35"/>
      <c r="HR5" s="35"/>
      <c r="HS5" s="35"/>
      <c r="HT5" s="35"/>
      <c r="HU5" s="35"/>
      <c r="HV5" s="35"/>
      <c r="HW5" s="35"/>
      <c r="HX5" s="35"/>
      <c r="HY5" s="35"/>
      <c r="HZ5" s="35"/>
      <c r="IA5" s="35"/>
      <c r="IB5" s="35"/>
      <c r="IC5" s="35"/>
      <c r="ID5" s="35"/>
      <c r="IE5" s="35"/>
      <c r="IF5" s="35"/>
      <c r="IG5" s="35"/>
      <c r="IH5" s="35"/>
      <c r="II5" s="35"/>
      <c r="IJ5" s="35"/>
      <c r="IK5" s="35"/>
      <c r="IL5" s="35"/>
      <c r="IM5" s="35"/>
      <c r="IN5" s="35"/>
      <c r="IO5" s="35"/>
      <c r="IP5" s="35"/>
      <c r="IQ5" s="35"/>
      <c r="IR5" s="35"/>
      <c r="IS5" s="35"/>
      <c r="IT5" s="35"/>
      <c r="IU5" s="35"/>
      <c r="IV5" s="35"/>
      <c r="IW5" s="35"/>
      <c r="IX5" s="35"/>
      <c r="IY5" s="35"/>
      <c r="IZ5" s="35"/>
      <c r="JA5" s="35"/>
      <c r="JB5" s="35"/>
      <c r="JC5" s="35"/>
      <c r="JD5" s="35"/>
      <c r="JE5" s="35"/>
      <c r="JF5" s="35"/>
      <c r="JG5" s="35"/>
      <c r="JH5" s="35"/>
      <c r="JI5" s="35"/>
      <c r="JJ5" s="35"/>
      <c r="JK5" s="35"/>
      <c r="JL5" s="35"/>
      <c r="JM5" s="35"/>
      <c r="JN5" s="35"/>
      <c r="JO5" s="35"/>
      <c r="JP5" s="35"/>
      <c r="JQ5" s="35"/>
      <c r="JR5" s="35"/>
      <c r="JS5" s="35"/>
      <c r="JT5" s="35"/>
      <c r="JU5" s="35"/>
      <c r="JV5" s="35"/>
      <c r="JW5" s="35"/>
      <c r="JX5" s="35"/>
      <c r="JY5" s="35"/>
      <c r="JZ5" s="35"/>
      <c r="KA5" s="35"/>
      <c r="KB5" s="35"/>
      <c r="KC5" s="35"/>
      <c r="KD5" s="35"/>
      <c r="KE5" s="35"/>
      <c r="KF5" s="35"/>
      <c r="KG5" s="35"/>
      <c r="KH5" s="35"/>
      <c r="KI5" s="35"/>
      <c r="KJ5" s="35"/>
      <c r="KK5" s="35"/>
      <c r="KL5" s="35"/>
      <c r="KM5" s="35"/>
      <c r="KN5" s="35"/>
      <c r="KO5" s="35"/>
      <c r="KP5" s="35"/>
      <c r="KQ5" s="35"/>
      <c r="KR5" s="35"/>
      <c r="KS5" s="35"/>
      <c r="KT5" s="35"/>
      <c r="KU5" s="35"/>
      <c r="KV5" s="35"/>
      <c r="KW5" s="35"/>
      <c r="KX5" s="35"/>
      <c r="KY5" s="35"/>
      <c r="KZ5" s="35"/>
      <c r="LA5" s="35"/>
      <c r="LB5" s="35"/>
      <c r="LC5" s="35"/>
      <c r="LD5" s="35"/>
      <c r="LE5" s="35"/>
      <c r="LF5" s="35"/>
      <c r="LG5" s="35"/>
      <c r="LH5" s="35"/>
      <c r="LI5" s="35"/>
      <c r="LJ5" s="35"/>
      <c r="LK5" s="35"/>
      <c r="LL5" s="35"/>
      <c r="LM5" s="35"/>
      <c r="LN5" s="35"/>
      <c r="LO5" s="35"/>
      <c r="LP5" s="35"/>
      <c r="LQ5" s="35"/>
      <c r="LR5" s="35"/>
      <c r="LS5" s="35"/>
      <c r="LT5" s="35"/>
      <c r="LU5" s="35"/>
      <c r="LV5" s="35"/>
      <c r="LW5" s="35"/>
      <c r="LX5" s="35"/>
      <c r="LY5" s="35"/>
      <c r="LZ5" s="35"/>
      <c r="MA5" s="35"/>
      <c r="MB5" s="35"/>
      <c r="MC5" s="35"/>
      <c r="MD5" s="35"/>
      <c r="ME5" s="35"/>
      <c r="MF5" s="35"/>
      <c r="MG5" s="35"/>
      <c r="MH5" s="35"/>
      <c r="MI5" s="35"/>
      <c r="MJ5" s="35"/>
      <c r="MK5" s="35"/>
      <c r="ML5" s="35"/>
      <c r="MM5" s="35"/>
      <c r="MN5" s="35"/>
      <c r="MO5" s="35"/>
      <c r="MP5" s="35"/>
      <c r="MQ5" s="35"/>
      <c r="MR5" s="35"/>
      <c r="MS5" s="35"/>
      <c r="MT5" s="35"/>
      <c r="MU5" s="35"/>
      <c r="MV5" s="35"/>
      <c r="MW5" s="35"/>
      <c r="MX5" s="35"/>
      <c r="MY5" s="35"/>
      <c r="MZ5" s="35"/>
      <c r="NA5" s="35"/>
      <c r="NB5" s="35"/>
      <c r="NC5" s="35"/>
      <c r="ND5" s="35"/>
      <c r="NE5" s="35"/>
      <c r="NF5" s="35"/>
      <c r="NG5" s="35"/>
      <c r="NH5" s="35"/>
      <c r="NI5" s="35"/>
      <c r="NJ5" s="35"/>
      <c r="NK5" s="35"/>
      <c r="NL5" s="35"/>
      <c r="NM5" s="35"/>
      <c r="NN5" s="35"/>
      <c r="NO5" s="35"/>
      <c r="NP5" s="35"/>
      <c r="NQ5" s="35"/>
      <c r="NR5" s="35"/>
      <c r="NS5" s="35"/>
      <c r="NT5" s="35"/>
      <c r="NU5" s="35"/>
      <c r="NV5" s="35"/>
      <c r="NW5" s="35"/>
      <c r="NX5" s="35"/>
      <c r="NY5" s="35"/>
      <c r="NZ5" s="35"/>
      <c r="OA5" s="35"/>
      <c r="OB5" s="35"/>
      <c r="OC5" s="35"/>
      <c r="OD5" s="35"/>
      <c r="OE5" s="35"/>
      <c r="OF5" s="35"/>
      <c r="OG5" s="35"/>
      <c r="OH5" s="35"/>
      <c r="OI5" s="35"/>
      <c r="OJ5" s="35"/>
      <c r="OK5" s="35"/>
      <c r="OL5" s="35"/>
      <c r="OM5" s="35"/>
      <c r="ON5" s="35"/>
      <c r="OO5" s="35"/>
      <c r="OP5" s="35"/>
      <c r="OQ5" s="35"/>
      <c r="OR5" s="35"/>
      <c r="OS5" s="35"/>
      <c r="OT5" s="35"/>
      <c r="OU5" s="35"/>
      <c r="OV5" s="35"/>
    </row>
    <row r="6" ht="18.0" customHeight="1">
      <c r="A6" s="34">
        <v>5.0</v>
      </c>
      <c r="B6" s="35" t="s">
        <v>603</v>
      </c>
      <c r="C6" s="36" t="s">
        <v>815</v>
      </c>
      <c r="D6" s="35" t="s">
        <v>753</v>
      </c>
      <c r="E6" s="34">
        <v>30.0</v>
      </c>
      <c r="F6" s="34" t="str">
        <f t="shared" si="1"/>
        <v>#REF!</v>
      </c>
      <c r="G6" s="34">
        <f t="shared" si="2"/>
        <v>0</v>
      </c>
      <c r="H6" s="34">
        <f t="shared" si="3"/>
        <v>0</v>
      </c>
      <c r="I6" s="34">
        <f t="shared" si="4"/>
        <v>0</v>
      </c>
      <c r="J6" s="37" t="s">
        <v>625</v>
      </c>
      <c r="K6" s="37" t="b">
        <v>0</v>
      </c>
      <c r="L6" s="38" t="s">
        <v>71</v>
      </c>
      <c r="M6" s="35" t="str">
        <f>IFERROR(__xludf.DUMMYFUNCTION("IFERROR(TOROW(CHOOSECOLS(SORT(FILTER({'Tổng hợp 75 trang đích'!$J$2:$J$3260,'Tổng hợp 75 trang đích'!$I$2:$I$3260,MATCH('Tổng hợp 75 trang đích'!$K$2:$K$3260,{""PHÙ HỢP CAO"",""CÓ THỂ ĐI"",""CẦN SOÁT""},0)},'Tổng hợp 75 trang đích'!$B$2:$B$3260=$D6),3,TRU"&amp;"E),1,2)),"""")"),"")</f>
        <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5"/>
      <c r="EG6" s="35"/>
      <c r="EH6" s="35"/>
      <c r="EI6" s="35"/>
      <c r="EJ6" s="35"/>
      <c r="EK6" s="35"/>
      <c r="EL6" s="35"/>
      <c r="EM6" s="35"/>
      <c r="EN6" s="35"/>
      <c r="EO6" s="35"/>
      <c r="EP6" s="35"/>
      <c r="EQ6" s="35"/>
      <c r="ER6" s="35"/>
      <c r="ES6" s="35"/>
      <c r="ET6" s="35"/>
      <c r="EU6" s="35"/>
      <c r="EV6" s="35"/>
      <c r="EW6" s="35"/>
      <c r="EX6" s="35"/>
      <c r="EY6" s="35"/>
      <c r="EZ6" s="35"/>
      <c r="FA6" s="35"/>
      <c r="FB6" s="35"/>
      <c r="FC6" s="35"/>
      <c r="FD6" s="35"/>
      <c r="FE6" s="35"/>
      <c r="FF6" s="35"/>
      <c r="FG6" s="35"/>
      <c r="FH6" s="35"/>
      <c r="FI6" s="35"/>
      <c r="FJ6" s="35"/>
      <c r="FK6" s="35"/>
      <c r="FL6" s="35"/>
      <c r="FM6" s="35"/>
      <c r="FN6" s="35"/>
      <c r="FO6" s="35"/>
      <c r="FP6" s="35"/>
      <c r="FQ6" s="35"/>
      <c r="FR6" s="35"/>
      <c r="FS6" s="35"/>
      <c r="FT6" s="35"/>
      <c r="FU6" s="35"/>
      <c r="FV6" s="35"/>
      <c r="FW6" s="35"/>
      <c r="FX6" s="35"/>
      <c r="FY6" s="35"/>
      <c r="FZ6" s="35"/>
      <c r="GA6" s="35"/>
      <c r="GB6" s="35"/>
      <c r="GC6" s="35"/>
      <c r="GD6" s="35"/>
      <c r="GE6" s="35"/>
      <c r="GF6" s="35"/>
      <c r="GG6" s="35"/>
      <c r="GH6" s="35"/>
      <c r="GI6" s="35"/>
      <c r="GJ6" s="35"/>
      <c r="GK6" s="35"/>
      <c r="GL6" s="35"/>
      <c r="GM6" s="35"/>
      <c r="GN6" s="35"/>
      <c r="GO6" s="35"/>
      <c r="GP6" s="35"/>
      <c r="GQ6" s="35"/>
      <c r="GR6" s="35"/>
      <c r="GS6" s="35"/>
      <c r="GT6" s="35"/>
      <c r="GU6" s="35"/>
      <c r="GV6" s="35"/>
      <c r="GW6" s="35"/>
      <c r="GX6" s="35"/>
      <c r="GY6" s="35"/>
      <c r="GZ6" s="35"/>
      <c r="HA6" s="35"/>
      <c r="HB6" s="35"/>
      <c r="HC6" s="35"/>
      <c r="HD6" s="35"/>
      <c r="HE6" s="35"/>
      <c r="HF6" s="35"/>
      <c r="HG6" s="35"/>
      <c r="HH6" s="35"/>
      <c r="HI6" s="35"/>
      <c r="HJ6" s="35"/>
      <c r="HK6" s="35"/>
      <c r="HL6" s="35"/>
      <c r="HM6" s="35"/>
      <c r="HN6" s="35"/>
      <c r="HO6" s="35"/>
      <c r="HP6" s="35"/>
      <c r="HQ6" s="35"/>
      <c r="HR6" s="35"/>
      <c r="HS6" s="35"/>
      <c r="HT6" s="35"/>
      <c r="HU6" s="35"/>
      <c r="HV6" s="35"/>
      <c r="HW6" s="35"/>
      <c r="HX6" s="35"/>
      <c r="HY6" s="35"/>
      <c r="HZ6" s="35"/>
      <c r="IA6" s="35"/>
      <c r="IB6" s="35"/>
      <c r="IC6" s="35"/>
      <c r="ID6" s="35"/>
      <c r="IE6" s="35"/>
      <c r="IF6" s="35"/>
      <c r="IG6" s="35"/>
      <c r="IH6" s="35"/>
      <c r="II6" s="35"/>
      <c r="IJ6" s="35"/>
      <c r="IK6" s="35"/>
      <c r="IL6" s="35"/>
      <c r="IM6" s="35"/>
      <c r="IN6" s="35"/>
      <c r="IO6" s="35"/>
      <c r="IP6" s="35"/>
      <c r="IQ6" s="35"/>
      <c r="IR6" s="35"/>
      <c r="IS6" s="35"/>
      <c r="IT6" s="35"/>
      <c r="IU6" s="35"/>
      <c r="IV6" s="35"/>
      <c r="IW6" s="35"/>
      <c r="IX6" s="35"/>
      <c r="IY6" s="35"/>
      <c r="IZ6" s="35"/>
      <c r="JA6" s="35"/>
      <c r="JB6" s="35"/>
      <c r="JC6" s="35"/>
      <c r="JD6" s="35"/>
      <c r="JE6" s="35"/>
      <c r="JF6" s="35"/>
      <c r="JG6" s="35"/>
      <c r="JH6" s="35"/>
      <c r="JI6" s="35"/>
      <c r="JJ6" s="35"/>
      <c r="JK6" s="35"/>
      <c r="JL6" s="35"/>
      <c r="JM6" s="35"/>
      <c r="JN6" s="35"/>
      <c r="JO6" s="35"/>
      <c r="JP6" s="35"/>
      <c r="JQ6" s="35"/>
      <c r="JR6" s="35"/>
      <c r="JS6" s="35"/>
      <c r="JT6" s="35"/>
      <c r="JU6" s="35"/>
      <c r="JV6" s="35"/>
      <c r="JW6" s="35"/>
      <c r="JX6" s="35"/>
      <c r="JY6" s="35"/>
      <c r="JZ6" s="35"/>
      <c r="KA6" s="35"/>
      <c r="KB6" s="35"/>
      <c r="KC6" s="35"/>
      <c r="KD6" s="35"/>
      <c r="KE6" s="35"/>
      <c r="KF6" s="35"/>
      <c r="KG6" s="35"/>
      <c r="KH6" s="35"/>
      <c r="KI6" s="35"/>
      <c r="KJ6" s="35"/>
      <c r="KK6" s="35"/>
      <c r="KL6" s="35"/>
      <c r="KM6" s="35"/>
      <c r="KN6" s="35"/>
      <c r="KO6" s="35"/>
      <c r="KP6" s="35"/>
      <c r="KQ6" s="35"/>
      <c r="KR6" s="35"/>
      <c r="KS6" s="35"/>
      <c r="KT6" s="35"/>
      <c r="KU6" s="35"/>
      <c r="KV6" s="35"/>
      <c r="KW6" s="35"/>
      <c r="KX6" s="35"/>
      <c r="KY6" s="35"/>
      <c r="KZ6" s="35"/>
      <c r="LA6" s="35"/>
      <c r="LB6" s="35"/>
      <c r="LC6" s="35"/>
      <c r="LD6" s="35"/>
      <c r="LE6" s="35"/>
      <c r="LF6" s="35"/>
      <c r="LG6" s="35"/>
      <c r="LH6" s="35"/>
      <c r="LI6" s="35"/>
      <c r="LJ6" s="35"/>
      <c r="LK6" s="35"/>
      <c r="LL6" s="35"/>
      <c r="LM6" s="35"/>
      <c r="LN6" s="35"/>
      <c r="LO6" s="35"/>
      <c r="LP6" s="35"/>
      <c r="LQ6" s="35"/>
      <c r="LR6" s="35"/>
      <c r="LS6" s="35"/>
      <c r="LT6" s="35"/>
      <c r="LU6" s="35"/>
      <c r="LV6" s="35"/>
      <c r="LW6" s="35"/>
      <c r="LX6" s="35"/>
      <c r="LY6" s="35"/>
      <c r="LZ6" s="35"/>
      <c r="MA6" s="35"/>
      <c r="MB6" s="35"/>
      <c r="MC6" s="35"/>
      <c r="MD6" s="35"/>
      <c r="ME6" s="35"/>
      <c r="MF6" s="35"/>
      <c r="MG6" s="35"/>
      <c r="MH6" s="35"/>
      <c r="MI6" s="35"/>
      <c r="MJ6" s="35"/>
      <c r="MK6" s="35"/>
      <c r="ML6" s="35"/>
      <c r="MM6" s="35"/>
      <c r="MN6" s="35"/>
      <c r="MO6" s="35"/>
      <c r="MP6" s="35"/>
      <c r="MQ6" s="35"/>
      <c r="MR6" s="35"/>
      <c r="MS6" s="35"/>
      <c r="MT6" s="35"/>
      <c r="MU6" s="35"/>
      <c r="MV6" s="35"/>
      <c r="MW6" s="35"/>
      <c r="MX6" s="35"/>
      <c r="MY6" s="35"/>
      <c r="MZ6" s="35"/>
      <c r="NA6" s="35"/>
      <c r="NB6" s="35"/>
      <c r="NC6" s="35"/>
      <c r="ND6" s="35"/>
      <c r="NE6" s="35"/>
      <c r="NF6" s="35"/>
      <c r="NG6" s="35"/>
      <c r="NH6" s="35"/>
      <c r="NI6" s="35"/>
      <c r="NJ6" s="35"/>
      <c r="NK6" s="35"/>
      <c r="NL6" s="35"/>
      <c r="NM6" s="35"/>
      <c r="NN6" s="35"/>
      <c r="NO6" s="35"/>
      <c r="NP6" s="35"/>
      <c r="NQ6" s="35"/>
      <c r="NR6" s="35"/>
      <c r="NS6" s="35"/>
      <c r="NT6" s="35"/>
      <c r="NU6" s="35"/>
      <c r="NV6" s="35"/>
      <c r="NW6" s="35"/>
      <c r="NX6" s="35"/>
      <c r="NY6" s="35"/>
      <c r="NZ6" s="35"/>
      <c r="OA6" s="35"/>
      <c r="OB6" s="35"/>
      <c r="OC6" s="35"/>
      <c r="OD6" s="35"/>
      <c r="OE6" s="35"/>
      <c r="OF6" s="35"/>
      <c r="OG6" s="35"/>
      <c r="OH6" s="35"/>
      <c r="OI6" s="35"/>
      <c r="OJ6" s="35"/>
      <c r="OK6" s="35"/>
      <c r="OL6" s="35"/>
      <c r="OM6" s="35"/>
      <c r="ON6" s="35"/>
      <c r="OO6" s="35"/>
      <c r="OP6" s="35"/>
      <c r="OQ6" s="35"/>
      <c r="OR6" s="35"/>
      <c r="OS6" s="35"/>
      <c r="OT6" s="35"/>
      <c r="OU6" s="35"/>
      <c r="OV6" s="35"/>
    </row>
    <row r="7" ht="18.0" customHeight="1">
      <c r="A7" s="34">
        <v>6.0</v>
      </c>
      <c r="B7" s="35" t="s">
        <v>603</v>
      </c>
      <c r="C7" s="36" t="s">
        <v>842</v>
      </c>
      <c r="D7" s="35" t="s">
        <v>765</v>
      </c>
      <c r="E7" s="34">
        <v>30.0</v>
      </c>
      <c r="F7" s="34" t="str">
        <f t="shared" si="1"/>
        <v>#REF!</v>
      </c>
      <c r="G7" s="34">
        <f t="shared" si="2"/>
        <v>0</v>
      </c>
      <c r="H7" s="34">
        <f t="shared" si="3"/>
        <v>0</v>
      </c>
      <c r="I7" s="34">
        <f t="shared" si="4"/>
        <v>0</v>
      </c>
      <c r="J7" s="37" t="s">
        <v>625</v>
      </c>
      <c r="K7" s="37" t="b">
        <v>0</v>
      </c>
      <c r="L7" s="38" t="s">
        <v>71</v>
      </c>
      <c r="M7" s="35" t="str">
        <f>IFERROR(__xludf.DUMMYFUNCTION("IFERROR(TOROW(CHOOSECOLS(SORT(FILTER({'Tổng hợp 75 trang đích'!$J$2:$J$3260,'Tổng hợp 75 trang đích'!$I$2:$I$3260,MATCH('Tổng hợp 75 trang đích'!$K$2:$K$3260,{""PHÙ HỢP CAO"",""CÓ THỂ ĐI"",""CẦN SOÁT""},0)},'Tổng hợp 75 trang đích'!$B$2:$B$3260=$D7),3,TRU"&amp;"E),1,2)),"""")"),"")</f>
        <v/>
      </c>
      <c r="N7" s="35"/>
      <c r="O7" s="35"/>
      <c r="P7" s="35"/>
      <c r="Q7" s="35"/>
      <c r="R7" s="35"/>
      <c r="S7" s="35"/>
      <c r="T7" s="35"/>
      <c r="U7" s="35"/>
      <c r="V7" s="35"/>
      <c r="W7" s="35"/>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c r="BU7" s="35"/>
      <c r="BV7" s="35"/>
      <c r="BW7" s="35"/>
      <c r="BX7" s="35"/>
      <c r="BY7" s="35"/>
      <c r="BZ7" s="35"/>
      <c r="CA7" s="35"/>
      <c r="CB7" s="35"/>
      <c r="CC7" s="35"/>
      <c r="CD7" s="35"/>
      <c r="CE7" s="35"/>
      <c r="CF7" s="35"/>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5"/>
      <c r="EG7" s="35"/>
      <c r="EH7" s="35"/>
      <c r="EI7" s="35"/>
      <c r="EJ7" s="35"/>
      <c r="EK7" s="35"/>
      <c r="EL7" s="35"/>
      <c r="EM7" s="35"/>
      <c r="EN7" s="35"/>
      <c r="EO7" s="35"/>
      <c r="EP7" s="35"/>
      <c r="EQ7" s="35"/>
      <c r="ER7" s="35"/>
      <c r="ES7" s="35"/>
      <c r="ET7" s="35"/>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c r="FZ7" s="35"/>
      <c r="GA7" s="35"/>
      <c r="GB7" s="35"/>
      <c r="GC7" s="35"/>
      <c r="GD7" s="35"/>
      <c r="GE7" s="35"/>
      <c r="GF7" s="35"/>
      <c r="GG7" s="35"/>
      <c r="GH7" s="35"/>
      <c r="GI7" s="35"/>
      <c r="GJ7" s="35"/>
      <c r="GK7" s="35"/>
      <c r="GL7" s="35"/>
      <c r="GM7" s="35"/>
      <c r="GN7" s="35"/>
      <c r="GO7" s="35"/>
      <c r="GP7" s="35"/>
      <c r="GQ7" s="35"/>
      <c r="GR7" s="35"/>
      <c r="GS7" s="35"/>
      <c r="GT7" s="35"/>
      <c r="GU7" s="35"/>
      <c r="GV7" s="35"/>
      <c r="GW7" s="35"/>
      <c r="GX7" s="35"/>
      <c r="GY7" s="35"/>
      <c r="GZ7" s="35"/>
      <c r="HA7" s="35"/>
      <c r="HB7" s="35"/>
      <c r="HC7" s="35"/>
      <c r="HD7" s="35"/>
      <c r="HE7" s="35"/>
      <c r="HF7" s="35"/>
      <c r="HG7" s="35"/>
      <c r="HH7" s="35"/>
      <c r="HI7" s="35"/>
      <c r="HJ7" s="35"/>
      <c r="HK7" s="35"/>
      <c r="HL7" s="35"/>
      <c r="HM7" s="35"/>
      <c r="HN7" s="35"/>
      <c r="HO7" s="35"/>
      <c r="HP7" s="35"/>
      <c r="HQ7" s="35"/>
      <c r="HR7" s="35"/>
      <c r="HS7" s="35"/>
      <c r="HT7" s="35"/>
      <c r="HU7" s="35"/>
      <c r="HV7" s="35"/>
      <c r="HW7" s="35"/>
      <c r="HX7" s="35"/>
      <c r="HY7" s="35"/>
      <c r="HZ7" s="35"/>
      <c r="IA7" s="35"/>
      <c r="IB7" s="35"/>
      <c r="IC7" s="35"/>
      <c r="ID7" s="35"/>
      <c r="IE7" s="35"/>
      <c r="IF7" s="35"/>
      <c r="IG7" s="35"/>
      <c r="IH7" s="35"/>
      <c r="II7" s="35"/>
      <c r="IJ7" s="35"/>
      <c r="IK7" s="35"/>
      <c r="IL7" s="35"/>
      <c r="IM7" s="35"/>
      <c r="IN7" s="35"/>
      <c r="IO7" s="35"/>
      <c r="IP7" s="35"/>
      <c r="IQ7" s="35"/>
      <c r="IR7" s="35"/>
      <c r="IS7" s="35"/>
      <c r="IT7" s="35"/>
      <c r="IU7" s="35"/>
      <c r="IV7" s="35"/>
      <c r="IW7" s="35"/>
      <c r="IX7" s="35"/>
      <c r="IY7" s="35"/>
      <c r="IZ7" s="35"/>
      <c r="JA7" s="35"/>
      <c r="JB7" s="35"/>
      <c r="JC7" s="35"/>
      <c r="JD7" s="35"/>
      <c r="JE7" s="35"/>
      <c r="JF7" s="35"/>
      <c r="JG7" s="35"/>
      <c r="JH7" s="35"/>
      <c r="JI7" s="35"/>
      <c r="JJ7" s="35"/>
      <c r="JK7" s="35"/>
      <c r="JL7" s="35"/>
      <c r="JM7" s="35"/>
      <c r="JN7" s="35"/>
      <c r="JO7" s="35"/>
      <c r="JP7" s="35"/>
      <c r="JQ7" s="35"/>
      <c r="JR7" s="35"/>
      <c r="JS7" s="35"/>
      <c r="JT7" s="35"/>
      <c r="JU7" s="35"/>
      <c r="JV7" s="35"/>
      <c r="JW7" s="35"/>
      <c r="JX7" s="35"/>
      <c r="JY7" s="35"/>
      <c r="JZ7" s="35"/>
      <c r="KA7" s="35"/>
      <c r="KB7" s="35"/>
      <c r="KC7" s="35"/>
      <c r="KD7" s="35"/>
      <c r="KE7" s="35"/>
      <c r="KF7" s="35"/>
      <c r="KG7" s="35"/>
      <c r="KH7" s="35"/>
      <c r="KI7" s="35"/>
      <c r="KJ7" s="35"/>
      <c r="KK7" s="35"/>
      <c r="KL7" s="35"/>
      <c r="KM7" s="35"/>
      <c r="KN7" s="35"/>
      <c r="KO7" s="35"/>
      <c r="KP7" s="35"/>
      <c r="KQ7" s="35"/>
      <c r="KR7" s="35"/>
      <c r="KS7" s="35"/>
      <c r="KT7" s="35"/>
      <c r="KU7" s="35"/>
      <c r="KV7" s="35"/>
      <c r="KW7" s="35"/>
      <c r="KX7" s="35"/>
      <c r="KY7" s="35"/>
      <c r="KZ7" s="35"/>
      <c r="LA7" s="35"/>
      <c r="LB7" s="35"/>
      <c r="LC7" s="35"/>
      <c r="LD7" s="35"/>
      <c r="LE7" s="35"/>
      <c r="LF7" s="35"/>
      <c r="LG7" s="35"/>
      <c r="LH7" s="35"/>
      <c r="LI7" s="35"/>
      <c r="LJ7" s="35"/>
      <c r="LK7" s="35"/>
      <c r="LL7" s="35"/>
      <c r="LM7" s="35"/>
      <c r="LN7" s="35"/>
      <c r="LO7" s="35"/>
      <c r="LP7" s="35"/>
      <c r="LQ7" s="35"/>
      <c r="LR7" s="35"/>
      <c r="LS7" s="35"/>
      <c r="LT7" s="35"/>
      <c r="LU7" s="35"/>
      <c r="LV7" s="35"/>
      <c r="LW7" s="35"/>
      <c r="LX7" s="35"/>
      <c r="LY7" s="35"/>
      <c r="LZ7" s="35"/>
      <c r="MA7" s="35"/>
      <c r="MB7" s="35"/>
      <c r="MC7" s="35"/>
      <c r="MD7" s="35"/>
      <c r="ME7" s="35"/>
      <c r="MF7" s="35"/>
      <c r="MG7" s="35"/>
      <c r="MH7" s="35"/>
      <c r="MI7" s="35"/>
      <c r="MJ7" s="35"/>
      <c r="MK7" s="35"/>
      <c r="ML7" s="35"/>
      <c r="MM7" s="35"/>
      <c r="MN7" s="35"/>
      <c r="MO7" s="35"/>
      <c r="MP7" s="35"/>
      <c r="MQ7" s="35"/>
      <c r="MR7" s="35"/>
      <c r="MS7" s="35"/>
      <c r="MT7" s="35"/>
      <c r="MU7" s="35"/>
      <c r="MV7" s="35"/>
      <c r="MW7" s="35"/>
      <c r="MX7" s="35"/>
      <c r="MY7" s="35"/>
      <c r="MZ7" s="35"/>
      <c r="NA7" s="35"/>
      <c r="NB7" s="35"/>
      <c r="NC7" s="35"/>
      <c r="ND7" s="35"/>
      <c r="NE7" s="35"/>
      <c r="NF7" s="35"/>
      <c r="NG7" s="35"/>
      <c r="NH7" s="35"/>
      <c r="NI7" s="35"/>
      <c r="NJ7" s="35"/>
      <c r="NK7" s="35"/>
      <c r="NL7" s="35"/>
      <c r="NM7" s="35"/>
      <c r="NN7" s="35"/>
      <c r="NO7" s="35"/>
      <c r="NP7" s="35"/>
      <c r="NQ7" s="35"/>
      <c r="NR7" s="35"/>
      <c r="NS7" s="35"/>
      <c r="NT7" s="35"/>
      <c r="NU7" s="35"/>
      <c r="NV7" s="35"/>
      <c r="NW7" s="35"/>
      <c r="NX7" s="35"/>
      <c r="NY7" s="35"/>
      <c r="NZ7" s="35"/>
      <c r="OA7" s="35"/>
      <c r="OB7" s="35"/>
      <c r="OC7" s="35"/>
      <c r="OD7" s="35"/>
      <c r="OE7" s="35"/>
      <c r="OF7" s="35"/>
      <c r="OG7" s="35"/>
      <c r="OH7" s="35"/>
      <c r="OI7" s="35"/>
      <c r="OJ7" s="35"/>
      <c r="OK7" s="35"/>
      <c r="OL7" s="35"/>
      <c r="OM7" s="35"/>
      <c r="ON7" s="35"/>
      <c r="OO7" s="35"/>
      <c r="OP7" s="35"/>
      <c r="OQ7" s="35"/>
      <c r="OR7" s="35"/>
      <c r="OS7" s="35"/>
      <c r="OT7" s="35"/>
      <c r="OU7" s="35"/>
      <c r="OV7" s="35"/>
    </row>
    <row r="8" ht="18.0" customHeight="1">
      <c r="A8" s="34">
        <v>7.0</v>
      </c>
      <c r="B8" s="35" t="s">
        <v>603</v>
      </c>
      <c r="C8" s="36" t="s">
        <v>886</v>
      </c>
      <c r="D8" s="35" t="s">
        <v>769</v>
      </c>
      <c r="E8" s="34">
        <v>30.0</v>
      </c>
      <c r="F8" s="34" t="str">
        <f t="shared" si="1"/>
        <v>#REF!</v>
      </c>
      <c r="G8" s="34">
        <f t="shared" si="2"/>
        <v>0</v>
      </c>
      <c r="H8" s="34">
        <f t="shared" si="3"/>
        <v>0</v>
      </c>
      <c r="I8" s="34">
        <f t="shared" si="4"/>
        <v>0</v>
      </c>
      <c r="J8" s="37" t="s">
        <v>625</v>
      </c>
      <c r="K8" s="37" t="b">
        <v>0</v>
      </c>
      <c r="L8" s="38" t="s">
        <v>71</v>
      </c>
      <c r="M8" s="35" t="str">
        <f>IFERROR(__xludf.DUMMYFUNCTION("IFERROR(TOROW(CHOOSECOLS(SORT(FILTER({'Tổng hợp 75 trang đích'!$J$2:$J$3260,'Tổng hợp 75 trang đích'!$I$2:$I$3260,MATCH('Tổng hợp 75 trang đích'!$K$2:$K$3260,{""PHÙ HỢP CAO"",""CÓ THỂ ĐI"",""CẦN SOÁT""},0)},'Tổng hợp 75 trang đích'!$B$2:$B$3260=$D8),3,TRU"&amp;"E),1,2)),"""")"),"")</f>
        <v/>
      </c>
      <c r="N8" s="35"/>
      <c r="O8" s="35"/>
      <c r="P8" s="35"/>
      <c r="Q8" s="35"/>
      <c r="R8" s="35"/>
      <c r="S8" s="35"/>
      <c r="T8" s="35"/>
      <c r="U8" s="35"/>
      <c r="V8" s="35"/>
      <c r="W8" s="35"/>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c r="BU8" s="35"/>
      <c r="BV8" s="35"/>
      <c r="BW8" s="35"/>
      <c r="BX8" s="35"/>
      <c r="BY8" s="35"/>
      <c r="BZ8" s="35"/>
      <c r="CA8" s="35"/>
      <c r="CB8" s="35"/>
      <c r="CC8" s="35"/>
      <c r="CD8" s="35"/>
      <c r="CE8" s="35"/>
      <c r="CF8" s="35"/>
      <c r="CG8" s="35"/>
      <c r="CH8" s="35"/>
      <c r="CI8" s="35"/>
      <c r="CJ8" s="35"/>
      <c r="CK8" s="35"/>
      <c r="CL8" s="35"/>
      <c r="CM8" s="35"/>
      <c r="CN8" s="35"/>
      <c r="CO8" s="35"/>
      <c r="CP8" s="35"/>
      <c r="CQ8" s="35"/>
      <c r="CR8" s="35"/>
      <c r="CS8" s="35"/>
      <c r="CT8" s="35"/>
      <c r="CU8" s="35"/>
      <c r="CV8" s="35"/>
      <c r="CW8" s="35"/>
      <c r="CX8" s="35"/>
      <c r="CY8" s="35"/>
      <c r="CZ8" s="35"/>
      <c r="DA8" s="35"/>
      <c r="DB8" s="35"/>
      <c r="DC8" s="35"/>
      <c r="DD8" s="35"/>
      <c r="DE8" s="35"/>
      <c r="DF8" s="35"/>
      <c r="DG8" s="35"/>
      <c r="DH8" s="35"/>
      <c r="DI8" s="35"/>
      <c r="DJ8" s="35"/>
      <c r="DK8" s="35"/>
      <c r="DL8" s="35"/>
      <c r="DM8" s="35"/>
      <c r="DN8" s="35"/>
      <c r="DO8" s="35"/>
      <c r="DP8" s="35"/>
      <c r="DQ8" s="35"/>
      <c r="DR8" s="35"/>
      <c r="DS8" s="35"/>
      <c r="DT8" s="35"/>
      <c r="DU8" s="35"/>
      <c r="DV8" s="35"/>
      <c r="DW8" s="35"/>
      <c r="DX8" s="35"/>
      <c r="DY8" s="35"/>
      <c r="DZ8" s="35"/>
      <c r="EA8" s="35"/>
      <c r="EB8" s="35"/>
      <c r="EC8" s="35"/>
      <c r="ED8" s="35"/>
      <c r="EE8" s="35"/>
      <c r="EF8" s="35"/>
      <c r="EG8" s="35"/>
      <c r="EH8" s="35"/>
      <c r="EI8" s="35"/>
      <c r="EJ8" s="35"/>
      <c r="EK8" s="35"/>
      <c r="EL8" s="35"/>
      <c r="EM8" s="35"/>
      <c r="EN8" s="35"/>
      <c r="EO8" s="35"/>
      <c r="EP8" s="35"/>
      <c r="EQ8" s="35"/>
      <c r="ER8" s="35"/>
      <c r="ES8" s="35"/>
      <c r="ET8" s="35"/>
      <c r="EU8" s="35"/>
      <c r="EV8" s="35"/>
      <c r="EW8" s="35"/>
      <c r="EX8" s="35"/>
      <c r="EY8" s="35"/>
      <c r="EZ8" s="35"/>
      <c r="FA8" s="35"/>
      <c r="FB8" s="35"/>
      <c r="FC8" s="35"/>
      <c r="FD8" s="35"/>
      <c r="FE8" s="35"/>
      <c r="FF8" s="35"/>
      <c r="FG8" s="35"/>
      <c r="FH8" s="35"/>
      <c r="FI8" s="35"/>
      <c r="FJ8" s="35"/>
      <c r="FK8" s="35"/>
      <c r="FL8" s="35"/>
      <c r="FM8" s="35"/>
      <c r="FN8" s="35"/>
      <c r="FO8" s="35"/>
      <c r="FP8" s="35"/>
      <c r="FQ8" s="35"/>
      <c r="FR8" s="35"/>
      <c r="FS8" s="35"/>
      <c r="FT8" s="35"/>
      <c r="FU8" s="35"/>
      <c r="FV8" s="35"/>
      <c r="FW8" s="35"/>
      <c r="FX8" s="35"/>
      <c r="FY8" s="35"/>
      <c r="FZ8" s="35"/>
      <c r="GA8" s="35"/>
      <c r="GB8" s="35"/>
      <c r="GC8" s="35"/>
      <c r="GD8" s="35"/>
      <c r="GE8" s="35"/>
      <c r="GF8" s="35"/>
      <c r="GG8" s="35"/>
      <c r="GH8" s="35"/>
      <c r="GI8" s="35"/>
      <c r="GJ8" s="35"/>
      <c r="GK8" s="35"/>
      <c r="GL8" s="35"/>
      <c r="GM8" s="35"/>
      <c r="GN8" s="35"/>
      <c r="GO8" s="35"/>
      <c r="GP8" s="35"/>
      <c r="GQ8" s="35"/>
      <c r="GR8" s="35"/>
      <c r="GS8" s="35"/>
      <c r="GT8" s="35"/>
      <c r="GU8" s="35"/>
      <c r="GV8" s="35"/>
      <c r="GW8" s="35"/>
      <c r="GX8" s="35"/>
      <c r="GY8" s="35"/>
      <c r="GZ8" s="35"/>
      <c r="HA8" s="35"/>
      <c r="HB8" s="35"/>
      <c r="HC8" s="35"/>
      <c r="HD8" s="35"/>
      <c r="HE8" s="35"/>
      <c r="HF8" s="35"/>
      <c r="HG8" s="35"/>
      <c r="HH8" s="35"/>
      <c r="HI8" s="35"/>
      <c r="HJ8" s="35"/>
      <c r="HK8" s="35"/>
      <c r="HL8" s="35"/>
      <c r="HM8" s="35"/>
      <c r="HN8" s="35"/>
      <c r="HO8" s="35"/>
      <c r="HP8" s="35"/>
      <c r="HQ8" s="35"/>
      <c r="HR8" s="35"/>
      <c r="HS8" s="35"/>
      <c r="HT8" s="35"/>
      <c r="HU8" s="35"/>
      <c r="HV8" s="35"/>
      <c r="HW8" s="35"/>
      <c r="HX8" s="35"/>
      <c r="HY8" s="35"/>
      <c r="HZ8" s="35"/>
      <c r="IA8" s="35"/>
      <c r="IB8" s="35"/>
      <c r="IC8" s="35"/>
      <c r="ID8" s="35"/>
      <c r="IE8" s="35"/>
      <c r="IF8" s="35"/>
      <c r="IG8" s="35"/>
      <c r="IH8" s="35"/>
      <c r="II8" s="35"/>
      <c r="IJ8" s="35"/>
      <c r="IK8" s="35"/>
      <c r="IL8" s="35"/>
      <c r="IM8" s="35"/>
      <c r="IN8" s="35"/>
      <c r="IO8" s="35"/>
      <c r="IP8" s="35"/>
      <c r="IQ8" s="35"/>
      <c r="IR8" s="35"/>
      <c r="IS8" s="35"/>
      <c r="IT8" s="35"/>
      <c r="IU8" s="35"/>
      <c r="IV8" s="35"/>
      <c r="IW8" s="35"/>
      <c r="IX8" s="35"/>
      <c r="IY8" s="35"/>
      <c r="IZ8" s="35"/>
      <c r="JA8" s="35"/>
      <c r="JB8" s="35"/>
      <c r="JC8" s="35"/>
      <c r="JD8" s="35"/>
      <c r="JE8" s="35"/>
      <c r="JF8" s="35"/>
      <c r="JG8" s="35"/>
      <c r="JH8" s="35"/>
      <c r="JI8" s="35"/>
      <c r="JJ8" s="35"/>
      <c r="JK8" s="35"/>
      <c r="JL8" s="35"/>
      <c r="JM8" s="35"/>
      <c r="JN8" s="35"/>
      <c r="JO8" s="35"/>
      <c r="JP8" s="35"/>
      <c r="JQ8" s="35"/>
      <c r="JR8" s="35"/>
      <c r="JS8" s="35"/>
      <c r="JT8" s="35"/>
      <c r="JU8" s="35"/>
      <c r="JV8" s="35"/>
      <c r="JW8" s="35"/>
      <c r="JX8" s="35"/>
      <c r="JY8" s="35"/>
      <c r="JZ8" s="35"/>
      <c r="KA8" s="35"/>
      <c r="KB8" s="35"/>
      <c r="KC8" s="35"/>
      <c r="KD8" s="35"/>
      <c r="KE8" s="35"/>
      <c r="KF8" s="35"/>
      <c r="KG8" s="35"/>
      <c r="KH8" s="35"/>
      <c r="KI8" s="35"/>
      <c r="KJ8" s="35"/>
      <c r="KK8" s="35"/>
      <c r="KL8" s="35"/>
      <c r="KM8" s="35"/>
      <c r="KN8" s="35"/>
      <c r="KO8" s="35"/>
      <c r="KP8" s="35"/>
      <c r="KQ8" s="35"/>
      <c r="KR8" s="35"/>
      <c r="KS8" s="35"/>
      <c r="KT8" s="35"/>
      <c r="KU8" s="35"/>
      <c r="KV8" s="35"/>
      <c r="KW8" s="35"/>
      <c r="KX8" s="35"/>
      <c r="KY8" s="35"/>
      <c r="KZ8" s="35"/>
      <c r="LA8" s="35"/>
      <c r="LB8" s="35"/>
      <c r="LC8" s="35"/>
      <c r="LD8" s="35"/>
      <c r="LE8" s="35"/>
      <c r="LF8" s="35"/>
      <c r="LG8" s="35"/>
      <c r="LH8" s="35"/>
      <c r="LI8" s="35"/>
      <c r="LJ8" s="35"/>
      <c r="LK8" s="35"/>
      <c r="LL8" s="35"/>
      <c r="LM8" s="35"/>
      <c r="LN8" s="35"/>
      <c r="LO8" s="35"/>
      <c r="LP8" s="35"/>
      <c r="LQ8" s="35"/>
      <c r="LR8" s="35"/>
      <c r="LS8" s="35"/>
      <c r="LT8" s="35"/>
      <c r="LU8" s="35"/>
      <c r="LV8" s="35"/>
      <c r="LW8" s="35"/>
      <c r="LX8" s="35"/>
      <c r="LY8" s="35"/>
      <c r="LZ8" s="35"/>
      <c r="MA8" s="35"/>
      <c r="MB8" s="35"/>
      <c r="MC8" s="35"/>
      <c r="MD8" s="35"/>
      <c r="ME8" s="35"/>
      <c r="MF8" s="35"/>
      <c r="MG8" s="35"/>
      <c r="MH8" s="35"/>
      <c r="MI8" s="35"/>
      <c r="MJ8" s="35"/>
      <c r="MK8" s="35"/>
      <c r="ML8" s="35"/>
      <c r="MM8" s="35"/>
      <c r="MN8" s="35"/>
      <c r="MO8" s="35"/>
      <c r="MP8" s="35"/>
      <c r="MQ8" s="35"/>
      <c r="MR8" s="35"/>
      <c r="MS8" s="35"/>
      <c r="MT8" s="35"/>
      <c r="MU8" s="35"/>
      <c r="MV8" s="35"/>
      <c r="MW8" s="35"/>
      <c r="MX8" s="35"/>
      <c r="MY8" s="35"/>
      <c r="MZ8" s="35"/>
      <c r="NA8" s="35"/>
      <c r="NB8" s="35"/>
      <c r="NC8" s="35"/>
      <c r="ND8" s="35"/>
      <c r="NE8" s="35"/>
      <c r="NF8" s="35"/>
      <c r="NG8" s="35"/>
      <c r="NH8" s="35"/>
      <c r="NI8" s="35"/>
      <c r="NJ8" s="35"/>
      <c r="NK8" s="35"/>
      <c r="NL8" s="35"/>
      <c r="NM8" s="35"/>
      <c r="NN8" s="35"/>
      <c r="NO8" s="35"/>
      <c r="NP8" s="35"/>
      <c r="NQ8" s="35"/>
      <c r="NR8" s="35"/>
      <c r="NS8" s="35"/>
      <c r="NT8" s="35"/>
      <c r="NU8" s="35"/>
      <c r="NV8" s="35"/>
      <c r="NW8" s="35"/>
      <c r="NX8" s="35"/>
      <c r="NY8" s="35"/>
      <c r="NZ8" s="35"/>
      <c r="OA8" s="35"/>
      <c r="OB8" s="35"/>
      <c r="OC8" s="35"/>
      <c r="OD8" s="35"/>
      <c r="OE8" s="35"/>
      <c r="OF8" s="35"/>
      <c r="OG8" s="35"/>
      <c r="OH8" s="35"/>
      <c r="OI8" s="35"/>
      <c r="OJ8" s="35"/>
      <c r="OK8" s="35"/>
      <c r="OL8" s="35"/>
      <c r="OM8" s="35"/>
      <c r="ON8" s="35"/>
      <c r="OO8" s="35"/>
      <c r="OP8" s="35"/>
      <c r="OQ8" s="35"/>
      <c r="OR8" s="35"/>
      <c r="OS8" s="35"/>
      <c r="OT8" s="35"/>
      <c r="OU8" s="35"/>
      <c r="OV8" s="35"/>
    </row>
    <row r="9" ht="18.0" customHeight="1">
      <c r="A9" s="34">
        <v>8.0</v>
      </c>
      <c r="B9" s="35" t="s">
        <v>603</v>
      </c>
      <c r="C9" s="36" t="s">
        <v>914</v>
      </c>
      <c r="D9" s="35" t="s">
        <v>773</v>
      </c>
      <c r="E9" s="34">
        <v>30.0</v>
      </c>
      <c r="F9" s="34" t="str">
        <f t="shared" si="1"/>
        <v>#REF!</v>
      </c>
      <c r="G9" s="34">
        <f t="shared" si="2"/>
        <v>0</v>
      </c>
      <c r="H9" s="34">
        <f t="shared" si="3"/>
        <v>0</v>
      </c>
      <c r="I9" s="34">
        <f t="shared" si="4"/>
        <v>0</v>
      </c>
      <c r="J9" s="37" t="s">
        <v>625</v>
      </c>
      <c r="K9" s="37" t="b">
        <v>0</v>
      </c>
      <c r="L9" s="38" t="s">
        <v>71</v>
      </c>
      <c r="M9" s="35" t="str">
        <f>IFERROR(__xludf.DUMMYFUNCTION("IFERROR(TOROW(CHOOSECOLS(SORT(FILTER({'Tổng hợp 75 trang đích'!$J$2:$J$3260,'Tổng hợp 75 trang đích'!$I$2:$I$3260,MATCH('Tổng hợp 75 trang đích'!$K$2:$K$3260,{""PHÙ HỢP CAO"",""CÓ THỂ ĐI"",""CẦN SOÁT""},0)},'Tổng hợp 75 trang đích'!$B$2:$B$3260=$D9),3,TRU"&amp;"E),1,2)),"""")"),"")</f>
        <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K9" s="35"/>
      <c r="DL9" s="35"/>
      <c r="DM9" s="35"/>
      <c r="DN9" s="35"/>
      <c r="DO9" s="35"/>
      <c r="DP9" s="35"/>
      <c r="DQ9" s="35"/>
      <c r="DR9" s="35"/>
      <c r="DS9" s="35"/>
      <c r="DT9" s="35"/>
      <c r="DU9" s="35"/>
      <c r="DV9" s="35"/>
      <c r="DW9" s="35"/>
      <c r="DX9" s="35"/>
      <c r="DY9" s="35"/>
      <c r="DZ9" s="35"/>
      <c r="EA9" s="35"/>
      <c r="EB9" s="35"/>
      <c r="EC9" s="35"/>
      <c r="ED9" s="35"/>
      <c r="EE9" s="35"/>
      <c r="EF9" s="35"/>
      <c r="EG9" s="35"/>
      <c r="EH9" s="35"/>
      <c r="EI9" s="35"/>
      <c r="EJ9" s="35"/>
      <c r="EK9" s="35"/>
      <c r="EL9" s="35"/>
      <c r="EM9" s="35"/>
      <c r="EN9" s="35"/>
      <c r="EO9" s="35"/>
      <c r="EP9" s="35"/>
      <c r="EQ9" s="35"/>
      <c r="ER9" s="35"/>
      <c r="ES9" s="35"/>
      <c r="ET9" s="35"/>
      <c r="EU9" s="35"/>
      <c r="EV9" s="35"/>
      <c r="EW9" s="35"/>
      <c r="EX9" s="35"/>
      <c r="EY9" s="35"/>
      <c r="EZ9" s="35"/>
      <c r="FA9" s="35"/>
      <c r="FB9" s="35"/>
      <c r="FC9" s="35"/>
      <c r="FD9" s="35"/>
      <c r="FE9" s="35"/>
      <c r="FF9" s="35"/>
      <c r="FG9" s="35"/>
      <c r="FH9" s="35"/>
      <c r="FI9" s="35"/>
      <c r="FJ9" s="35"/>
      <c r="FK9" s="35"/>
      <c r="FL9" s="35"/>
      <c r="FM9" s="35"/>
      <c r="FN9" s="35"/>
      <c r="FO9" s="35"/>
      <c r="FP9" s="35"/>
      <c r="FQ9" s="35"/>
      <c r="FR9" s="35"/>
      <c r="FS9" s="35"/>
      <c r="FT9" s="35"/>
      <c r="FU9" s="35"/>
      <c r="FV9" s="35"/>
      <c r="FW9" s="35"/>
      <c r="FX9" s="35"/>
      <c r="FY9" s="35"/>
      <c r="FZ9" s="35"/>
      <c r="GA9" s="35"/>
      <c r="GB9" s="35"/>
      <c r="GC9" s="35"/>
      <c r="GD9" s="35"/>
      <c r="GE9" s="35"/>
      <c r="GF9" s="35"/>
      <c r="GG9" s="35"/>
      <c r="GH9" s="35"/>
      <c r="GI9" s="35"/>
      <c r="GJ9" s="35"/>
      <c r="GK9" s="35"/>
      <c r="GL9" s="35"/>
      <c r="GM9" s="35"/>
      <c r="GN9" s="35"/>
      <c r="GO9" s="35"/>
      <c r="GP9" s="35"/>
      <c r="GQ9" s="35"/>
      <c r="GR9" s="35"/>
      <c r="GS9" s="35"/>
      <c r="GT9" s="35"/>
      <c r="GU9" s="35"/>
      <c r="GV9" s="35"/>
      <c r="GW9" s="35"/>
      <c r="GX9" s="35"/>
      <c r="GY9" s="35"/>
      <c r="GZ9" s="35"/>
      <c r="HA9" s="35"/>
      <c r="HB9" s="35"/>
      <c r="HC9" s="35"/>
      <c r="HD9" s="35"/>
      <c r="HE9" s="35"/>
      <c r="HF9" s="35"/>
      <c r="HG9" s="35"/>
      <c r="HH9" s="35"/>
      <c r="HI9" s="35"/>
      <c r="HJ9" s="35"/>
      <c r="HK9" s="35"/>
      <c r="HL9" s="35"/>
      <c r="HM9" s="35"/>
      <c r="HN9" s="35"/>
      <c r="HO9" s="35"/>
      <c r="HP9" s="35"/>
      <c r="HQ9" s="35"/>
      <c r="HR9" s="35"/>
      <c r="HS9" s="35"/>
      <c r="HT9" s="35"/>
      <c r="HU9" s="35"/>
      <c r="HV9" s="35"/>
      <c r="HW9" s="35"/>
      <c r="HX9" s="35"/>
      <c r="HY9" s="35"/>
      <c r="HZ9" s="35"/>
      <c r="IA9" s="35"/>
      <c r="IB9" s="35"/>
      <c r="IC9" s="35"/>
      <c r="ID9" s="35"/>
      <c r="IE9" s="35"/>
      <c r="IF9" s="35"/>
      <c r="IG9" s="35"/>
      <c r="IH9" s="35"/>
      <c r="II9" s="35"/>
      <c r="IJ9" s="35"/>
      <c r="IK9" s="35"/>
      <c r="IL9" s="35"/>
      <c r="IM9" s="35"/>
      <c r="IN9" s="35"/>
      <c r="IO9" s="35"/>
      <c r="IP9" s="35"/>
      <c r="IQ9" s="35"/>
      <c r="IR9" s="35"/>
      <c r="IS9" s="35"/>
      <c r="IT9" s="35"/>
      <c r="IU9" s="35"/>
      <c r="IV9" s="35"/>
      <c r="IW9" s="35"/>
      <c r="IX9" s="35"/>
      <c r="IY9" s="35"/>
      <c r="IZ9" s="35"/>
      <c r="JA9" s="35"/>
      <c r="JB9" s="35"/>
      <c r="JC9" s="35"/>
      <c r="JD9" s="35"/>
      <c r="JE9" s="35"/>
      <c r="JF9" s="35"/>
      <c r="JG9" s="35"/>
      <c r="JH9" s="35"/>
      <c r="JI9" s="35"/>
      <c r="JJ9" s="35"/>
      <c r="JK9" s="35"/>
      <c r="JL9" s="35"/>
      <c r="JM9" s="35"/>
      <c r="JN9" s="35"/>
      <c r="JO9" s="35"/>
      <c r="JP9" s="35"/>
      <c r="JQ9" s="35"/>
      <c r="JR9" s="35"/>
      <c r="JS9" s="35"/>
      <c r="JT9" s="35"/>
      <c r="JU9" s="35"/>
      <c r="JV9" s="35"/>
      <c r="JW9" s="35"/>
      <c r="JX9" s="35"/>
      <c r="JY9" s="35"/>
      <c r="JZ9" s="35"/>
      <c r="KA9" s="35"/>
      <c r="KB9" s="35"/>
      <c r="KC9" s="35"/>
      <c r="KD9" s="35"/>
      <c r="KE9" s="35"/>
      <c r="KF9" s="35"/>
      <c r="KG9" s="35"/>
      <c r="KH9" s="35"/>
      <c r="KI9" s="35"/>
      <c r="KJ9" s="35"/>
      <c r="KK9" s="35"/>
      <c r="KL9" s="35"/>
      <c r="KM9" s="35"/>
      <c r="KN9" s="35"/>
      <c r="KO9" s="35"/>
      <c r="KP9" s="35"/>
      <c r="KQ9" s="35"/>
      <c r="KR9" s="35"/>
      <c r="KS9" s="35"/>
      <c r="KT9" s="35"/>
      <c r="KU9" s="35"/>
      <c r="KV9" s="35"/>
      <c r="KW9" s="35"/>
      <c r="KX9" s="35"/>
      <c r="KY9" s="35"/>
      <c r="KZ9" s="35"/>
      <c r="LA9" s="35"/>
      <c r="LB9" s="35"/>
      <c r="LC9" s="35"/>
      <c r="LD9" s="35"/>
      <c r="LE9" s="35"/>
      <c r="LF9" s="35"/>
      <c r="LG9" s="35"/>
      <c r="LH9" s="35"/>
      <c r="LI9" s="35"/>
      <c r="LJ9" s="35"/>
      <c r="LK9" s="35"/>
      <c r="LL9" s="35"/>
      <c r="LM9" s="35"/>
      <c r="LN9" s="35"/>
      <c r="LO9" s="35"/>
      <c r="LP9" s="35"/>
      <c r="LQ9" s="35"/>
      <c r="LR9" s="35"/>
      <c r="LS9" s="35"/>
      <c r="LT9" s="35"/>
      <c r="LU9" s="35"/>
      <c r="LV9" s="35"/>
      <c r="LW9" s="35"/>
      <c r="LX9" s="35"/>
      <c r="LY9" s="35"/>
      <c r="LZ9" s="35"/>
      <c r="MA9" s="35"/>
      <c r="MB9" s="35"/>
      <c r="MC9" s="35"/>
      <c r="MD9" s="35"/>
      <c r="ME9" s="35"/>
      <c r="MF9" s="35"/>
      <c r="MG9" s="35"/>
      <c r="MH9" s="35"/>
      <c r="MI9" s="35"/>
      <c r="MJ9" s="35"/>
      <c r="MK9" s="35"/>
      <c r="ML9" s="35"/>
      <c r="MM9" s="35"/>
      <c r="MN9" s="35"/>
      <c r="MO9" s="35"/>
      <c r="MP9" s="35"/>
      <c r="MQ9" s="35"/>
      <c r="MR9" s="35"/>
      <c r="MS9" s="35"/>
      <c r="MT9" s="35"/>
      <c r="MU9" s="35"/>
      <c r="MV9" s="35"/>
      <c r="MW9" s="35"/>
      <c r="MX9" s="35"/>
      <c r="MY9" s="35"/>
      <c r="MZ9" s="35"/>
      <c r="NA9" s="35"/>
      <c r="NB9" s="35"/>
      <c r="NC9" s="35"/>
      <c r="ND9" s="35"/>
      <c r="NE9" s="35"/>
      <c r="NF9" s="35"/>
      <c r="NG9" s="35"/>
      <c r="NH9" s="35"/>
      <c r="NI9" s="35"/>
      <c r="NJ9" s="35"/>
      <c r="NK9" s="35"/>
      <c r="NL9" s="35"/>
      <c r="NM9" s="35"/>
      <c r="NN9" s="35"/>
      <c r="NO9" s="35"/>
      <c r="NP9" s="35"/>
      <c r="NQ9" s="35"/>
      <c r="NR9" s="35"/>
      <c r="NS9" s="35"/>
      <c r="NT9" s="35"/>
      <c r="NU9" s="35"/>
      <c r="NV9" s="35"/>
      <c r="NW9" s="35"/>
      <c r="NX9" s="35"/>
      <c r="NY9" s="35"/>
      <c r="NZ9" s="35"/>
      <c r="OA9" s="35"/>
      <c r="OB9" s="35"/>
      <c r="OC9" s="35"/>
      <c r="OD9" s="35"/>
      <c r="OE9" s="35"/>
      <c r="OF9" s="35"/>
      <c r="OG9" s="35"/>
      <c r="OH9" s="35"/>
      <c r="OI9" s="35"/>
      <c r="OJ9" s="35"/>
      <c r="OK9" s="35"/>
      <c r="OL9" s="35"/>
      <c r="OM9" s="35"/>
      <c r="ON9" s="35"/>
      <c r="OO9" s="35"/>
      <c r="OP9" s="35"/>
      <c r="OQ9" s="35"/>
      <c r="OR9" s="35"/>
      <c r="OS9" s="35"/>
      <c r="OT9" s="35"/>
      <c r="OU9" s="35"/>
      <c r="OV9" s="35"/>
    </row>
    <row r="10" ht="18.0" customHeight="1">
      <c r="A10" s="34">
        <v>9.0</v>
      </c>
      <c r="B10" s="35" t="s">
        <v>603</v>
      </c>
      <c r="C10" s="36" t="s">
        <v>942</v>
      </c>
      <c r="D10" s="35" t="s">
        <v>758</v>
      </c>
      <c r="E10" s="34">
        <v>30.0</v>
      </c>
      <c r="F10" s="34" t="str">
        <f t="shared" si="1"/>
        <v>#REF!</v>
      </c>
      <c r="G10" s="34">
        <f t="shared" si="2"/>
        <v>0</v>
      </c>
      <c r="H10" s="34">
        <f t="shared" si="3"/>
        <v>0</v>
      </c>
      <c r="I10" s="34">
        <f t="shared" si="4"/>
        <v>0</v>
      </c>
      <c r="J10" s="37" t="s">
        <v>625</v>
      </c>
      <c r="K10" s="37" t="b">
        <v>0</v>
      </c>
      <c r="L10" s="38" t="s">
        <v>71</v>
      </c>
      <c r="M10" s="35" t="str">
        <f>IFERROR(__xludf.DUMMYFUNCTION("IFERROR(TOROW(CHOOSECOLS(SORT(FILTER({'Tổng hợp 75 trang đích'!$J$2:$J$3260,'Tổng hợp 75 trang đích'!$I$2:$I$3260,MATCH('Tổng hợp 75 trang đích'!$K$2:$K$3260,{""PHÙ HỢP CAO"",""CÓ THỂ ĐI"",""CẦN SOÁT""},0)},'Tổng hợp 75 trang đích'!$B$2:$B$3260=$D10),3,TR"&amp;"UE),1,2)),"""")"),"")</f>
        <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5"/>
      <c r="EG10" s="35"/>
      <c r="EH10" s="35"/>
      <c r="EI10" s="35"/>
      <c r="EJ10" s="35"/>
      <c r="EK10" s="35"/>
      <c r="EL10" s="35"/>
      <c r="EM10" s="35"/>
      <c r="EN10" s="35"/>
      <c r="EO10" s="35"/>
      <c r="EP10" s="35"/>
      <c r="EQ10" s="35"/>
      <c r="ER10" s="35"/>
      <c r="ES10" s="35"/>
      <c r="ET10" s="35"/>
      <c r="EU10" s="35"/>
      <c r="EV10" s="35"/>
      <c r="EW10" s="35"/>
      <c r="EX10" s="35"/>
      <c r="EY10" s="35"/>
      <c r="EZ10" s="35"/>
      <c r="FA10" s="35"/>
      <c r="FB10" s="35"/>
      <c r="FC10" s="35"/>
      <c r="FD10" s="35"/>
      <c r="FE10" s="35"/>
      <c r="FF10" s="35"/>
      <c r="FG10" s="35"/>
      <c r="FH10" s="35"/>
      <c r="FI10" s="35"/>
      <c r="FJ10" s="35"/>
      <c r="FK10" s="35"/>
      <c r="FL10" s="35"/>
      <c r="FM10" s="35"/>
      <c r="FN10" s="35"/>
      <c r="FO10" s="35"/>
      <c r="FP10" s="35"/>
      <c r="FQ10" s="35"/>
      <c r="FR10" s="35"/>
      <c r="FS10" s="35"/>
      <c r="FT10" s="35"/>
      <c r="FU10" s="35"/>
      <c r="FV10" s="35"/>
      <c r="FW10" s="35"/>
      <c r="FX10" s="35"/>
      <c r="FY10" s="35"/>
      <c r="FZ10" s="35"/>
      <c r="GA10" s="35"/>
      <c r="GB10" s="35"/>
      <c r="GC10" s="35"/>
      <c r="GD10" s="35"/>
      <c r="GE10" s="35"/>
      <c r="GF10" s="35"/>
      <c r="GG10" s="35"/>
      <c r="GH10" s="35"/>
      <c r="GI10" s="35"/>
      <c r="GJ10" s="35"/>
      <c r="GK10" s="35"/>
      <c r="GL10" s="35"/>
      <c r="GM10" s="35"/>
      <c r="GN10" s="35"/>
      <c r="GO10" s="35"/>
      <c r="GP10" s="35"/>
      <c r="GQ10" s="35"/>
      <c r="GR10" s="35"/>
      <c r="GS10" s="35"/>
      <c r="GT10" s="35"/>
      <c r="GU10" s="35"/>
      <c r="GV10" s="35"/>
      <c r="GW10" s="35"/>
      <c r="GX10" s="35"/>
      <c r="GY10" s="35"/>
      <c r="GZ10" s="35"/>
      <c r="HA10" s="35"/>
      <c r="HB10" s="35"/>
      <c r="HC10" s="35"/>
      <c r="HD10" s="35"/>
      <c r="HE10" s="35"/>
      <c r="HF10" s="35"/>
      <c r="HG10" s="35"/>
      <c r="HH10" s="35"/>
      <c r="HI10" s="35"/>
      <c r="HJ10" s="35"/>
      <c r="HK10" s="35"/>
      <c r="HL10" s="35"/>
      <c r="HM10" s="35"/>
      <c r="HN10" s="35"/>
      <c r="HO10" s="35"/>
      <c r="HP10" s="35"/>
      <c r="HQ10" s="35"/>
      <c r="HR10" s="35"/>
      <c r="HS10" s="35"/>
      <c r="HT10" s="35"/>
      <c r="HU10" s="35"/>
      <c r="HV10" s="35"/>
      <c r="HW10" s="35"/>
      <c r="HX10" s="35"/>
      <c r="HY10" s="35"/>
      <c r="HZ10" s="35"/>
      <c r="IA10" s="35"/>
      <c r="IB10" s="35"/>
      <c r="IC10" s="35"/>
      <c r="ID10" s="35"/>
      <c r="IE10" s="35"/>
      <c r="IF10" s="35"/>
      <c r="IG10" s="35"/>
      <c r="IH10" s="35"/>
      <c r="II10" s="35"/>
      <c r="IJ10" s="35"/>
      <c r="IK10" s="35"/>
      <c r="IL10" s="35"/>
      <c r="IM10" s="35"/>
      <c r="IN10" s="35"/>
      <c r="IO10" s="35"/>
      <c r="IP10" s="35"/>
      <c r="IQ10" s="35"/>
      <c r="IR10" s="35"/>
      <c r="IS10" s="35"/>
      <c r="IT10" s="35"/>
      <c r="IU10" s="35"/>
      <c r="IV10" s="35"/>
      <c r="IW10" s="35"/>
      <c r="IX10" s="35"/>
      <c r="IY10" s="35"/>
      <c r="IZ10" s="35"/>
      <c r="JA10" s="35"/>
      <c r="JB10" s="35"/>
      <c r="JC10" s="35"/>
      <c r="JD10" s="35"/>
      <c r="JE10" s="35"/>
      <c r="JF10" s="35"/>
      <c r="JG10" s="35"/>
      <c r="JH10" s="35"/>
      <c r="JI10" s="35"/>
      <c r="JJ10" s="35"/>
      <c r="JK10" s="35"/>
      <c r="JL10" s="35"/>
      <c r="JM10" s="35"/>
      <c r="JN10" s="35"/>
      <c r="JO10" s="35"/>
      <c r="JP10" s="35"/>
      <c r="JQ10" s="35"/>
      <c r="JR10" s="35"/>
      <c r="JS10" s="35"/>
      <c r="JT10" s="35"/>
      <c r="JU10" s="35"/>
      <c r="JV10" s="35"/>
      <c r="JW10" s="35"/>
      <c r="JX10" s="35"/>
      <c r="JY10" s="35"/>
      <c r="JZ10" s="35"/>
      <c r="KA10" s="35"/>
      <c r="KB10" s="35"/>
      <c r="KC10" s="35"/>
      <c r="KD10" s="35"/>
      <c r="KE10" s="35"/>
      <c r="KF10" s="35"/>
      <c r="KG10" s="35"/>
      <c r="KH10" s="35"/>
      <c r="KI10" s="35"/>
      <c r="KJ10" s="35"/>
      <c r="KK10" s="35"/>
      <c r="KL10" s="35"/>
      <c r="KM10" s="35"/>
      <c r="KN10" s="35"/>
      <c r="KO10" s="35"/>
      <c r="KP10" s="35"/>
      <c r="KQ10" s="35"/>
      <c r="KR10" s="35"/>
      <c r="KS10" s="35"/>
      <c r="KT10" s="35"/>
      <c r="KU10" s="35"/>
      <c r="KV10" s="35"/>
      <c r="KW10" s="35"/>
      <c r="KX10" s="35"/>
      <c r="KY10" s="35"/>
      <c r="KZ10" s="35"/>
      <c r="LA10" s="35"/>
      <c r="LB10" s="35"/>
      <c r="LC10" s="35"/>
      <c r="LD10" s="35"/>
      <c r="LE10" s="35"/>
      <c r="LF10" s="35"/>
      <c r="LG10" s="35"/>
      <c r="LH10" s="35"/>
      <c r="LI10" s="35"/>
      <c r="LJ10" s="35"/>
      <c r="LK10" s="35"/>
      <c r="LL10" s="35"/>
      <c r="LM10" s="35"/>
      <c r="LN10" s="35"/>
      <c r="LO10" s="35"/>
      <c r="LP10" s="35"/>
      <c r="LQ10" s="35"/>
      <c r="LR10" s="35"/>
      <c r="LS10" s="35"/>
      <c r="LT10" s="35"/>
      <c r="LU10" s="35"/>
      <c r="LV10" s="35"/>
      <c r="LW10" s="35"/>
      <c r="LX10" s="35"/>
      <c r="LY10" s="35"/>
      <c r="LZ10" s="35"/>
      <c r="MA10" s="35"/>
      <c r="MB10" s="35"/>
      <c r="MC10" s="35"/>
      <c r="MD10" s="35"/>
      <c r="ME10" s="35"/>
      <c r="MF10" s="35"/>
      <c r="MG10" s="35"/>
      <c r="MH10" s="35"/>
      <c r="MI10" s="35"/>
      <c r="MJ10" s="35"/>
      <c r="MK10" s="35"/>
      <c r="ML10" s="35"/>
      <c r="MM10" s="35"/>
      <c r="MN10" s="35"/>
      <c r="MO10" s="35"/>
      <c r="MP10" s="35"/>
      <c r="MQ10" s="35"/>
      <c r="MR10" s="35"/>
      <c r="MS10" s="35"/>
      <c r="MT10" s="35"/>
      <c r="MU10" s="35"/>
      <c r="MV10" s="35"/>
      <c r="MW10" s="35"/>
      <c r="MX10" s="35"/>
      <c r="MY10" s="35"/>
      <c r="MZ10" s="35"/>
      <c r="NA10" s="35"/>
      <c r="NB10" s="35"/>
      <c r="NC10" s="35"/>
      <c r="ND10" s="35"/>
      <c r="NE10" s="35"/>
      <c r="NF10" s="35"/>
      <c r="NG10" s="35"/>
      <c r="NH10" s="35"/>
      <c r="NI10" s="35"/>
      <c r="NJ10" s="35"/>
      <c r="NK10" s="35"/>
      <c r="NL10" s="35"/>
      <c r="NM10" s="35"/>
      <c r="NN10" s="35"/>
      <c r="NO10" s="35"/>
      <c r="NP10" s="35"/>
      <c r="NQ10" s="35"/>
      <c r="NR10" s="35"/>
      <c r="NS10" s="35"/>
      <c r="NT10" s="35"/>
      <c r="NU10" s="35"/>
      <c r="NV10" s="35"/>
      <c r="NW10" s="35"/>
      <c r="NX10" s="35"/>
      <c r="NY10" s="35"/>
      <c r="NZ10" s="35"/>
      <c r="OA10" s="35"/>
      <c r="OB10" s="35"/>
      <c r="OC10" s="35"/>
      <c r="OD10" s="35"/>
      <c r="OE10" s="35"/>
      <c r="OF10" s="35"/>
      <c r="OG10" s="35"/>
      <c r="OH10" s="35"/>
      <c r="OI10" s="35"/>
      <c r="OJ10" s="35"/>
      <c r="OK10" s="35"/>
      <c r="OL10" s="35"/>
      <c r="OM10" s="35"/>
      <c r="ON10" s="35"/>
      <c r="OO10" s="35"/>
      <c r="OP10" s="35"/>
      <c r="OQ10" s="35"/>
      <c r="OR10" s="35"/>
      <c r="OS10" s="35"/>
      <c r="OT10" s="35"/>
      <c r="OU10" s="35"/>
      <c r="OV10" s="35"/>
    </row>
    <row r="11" ht="18.0" customHeight="1">
      <c r="A11" s="34">
        <v>10.0</v>
      </c>
      <c r="B11" s="35" t="s">
        <v>655</v>
      </c>
      <c r="C11" s="36" t="s">
        <v>977</v>
      </c>
      <c r="D11" s="35" t="s">
        <v>783</v>
      </c>
      <c r="E11" s="34">
        <v>30.0</v>
      </c>
      <c r="F11" s="34" t="str">
        <f t="shared" si="1"/>
        <v>#REF!</v>
      </c>
      <c r="G11" s="34">
        <f t="shared" si="2"/>
        <v>0</v>
      </c>
      <c r="H11" s="34">
        <f t="shared" si="3"/>
        <v>0</v>
      </c>
      <c r="I11" s="34">
        <f t="shared" si="4"/>
        <v>0</v>
      </c>
      <c r="J11" s="37" t="s">
        <v>625</v>
      </c>
      <c r="K11" s="37" t="b">
        <v>0</v>
      </c>
      <c r="L11" s="38" t="s">
        <v>71</v>
      </c>
      <c r="M11" s="35" t="str">
        <f>IFERROR(__xludf.DUMMYFUNCTION("IFERROR(TOROW(CHOOSECOLS(SORT(FILTER({'Tổng hợp 75 trang đích'!$J$2:$J$3260,'Tổng hợp 75 trang đích'!$I$2:$I$3260,MATCH('Tổng hợp 75 trang đích'!$K$2:$K$3260,{""PHÙ HỢP CAO"",""CÓ THỂ ĐI"",""CẦN SOÁT""},0)},'Tổng hợp 75 trang đích'!$B$2:$B$3260=$D11),3,TR"&amp;"UE),1,2)),"""")"),"")</f>
        <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5"/>
      <c r="EG11" s="35"/>
      <c r="EH11" s="35"/>
      <c r="EI11" s="35"/>
      <c r="EJ11" s="35"/>
      <c r="EK11" s="35"/>
      <c r="EL11" s="35"/>
      <c r="EM11" s="35"/>
      <c r="EN11" s="35"/>
      <c r="EO11" s="35"/>
      <c r="EP11" s="35"/>
      <c r="EQ11" s="35"/>
      <c r="ER11" s="35"/>
      <c r="ES11" s="35"/>
      <c r="ET11" s="35"/>
      <c r="EU11" s="35"/>
      <c r="EV11" s="35"/>
      <c r="EW11" s="35"/>
      <c r="EX11" s="35"/>
      <c r="EY11" s="35"/>
      <c r="EZ11" s="35"/>
      <c r="FA11" s="35"/>
      <c r="FB11" s="35"/>
      <c r="FC11" s="35"/>
      <c r="FD11" s="35"/>
      <c r="FE11" s="35"/>
      <c r="FF11" s="35"/>
      <c r="FG11" s="35"/>
      <c r="FH11" s="35"/>
      <c r="FI11" s="35"/>
      <c r="FJ11" s="35"/>
      <c r="FK11" s="35"/>
      <c r="FL11" s="35"/>
      <c r="FM11" s="35"/>
      <c r="FN11" s="35"/>
      <c r="FO11" s="35"/>
      <c r="FP11" s="35"/>
      <c r="FQ11" s="35"/>
      <c r="FR11" s="35"/>
      <c r="FS11" s="35"/>
      <c r="FT11" s="35"/>
      <c r="FU11" s="35"/>
      <c r="FV11" s="35"/>
      <c r="FW11" s="35"/>
      <c r="FX11" s="35"/>
      <c r="FY11" s="35"/>
      <c r="FZ11" s="35"/>
      <c r="GA11" s="35"/>
      <c r="GB11" s="35"/>
      <c r="GC11" s="35"/>
      <c r="GD11" s="35"/>
      <c r="GE11" s="35"/>
      <c r="GF11" s="35"/>
      <c r="GG11" s="35"/>
      <c r="GH11" s="35"/>
      <c r="GI11" s="35"/>
      <c r="GJ11" s="35"/>
      <c r="GK11" s="35"/>
      <c r="GL11" s="35"/>
      <c r="GM11" s="35"/>
      <c r="GN11" s="35"/>
      <c r="GO11" s="35"/>
      <c r="GP11" s="35"/>
      <c r="GQ11" s="35"/>
      <c r="GR11" s="35"/>
      <c r="GS11" s="35"/>
      <c r="GT11" s="35"/>
      <c r="GU11" s="35"/>
      <c r="GV11" s="35"/>
      <c r="GW11" s="35"/>
      <c r="GX11" s="35"/>
      <c r="GY11" s="35"/>
      <c r="GZ11" s="35"/>
      <c r="HA11" s="35"/>
      <c r="HB11" s="35"/>
      <c r="HC11" s="35"/>
      <c r="HD11" s="35"/>
      <c r="HE11" s="35"/>
      <c r="HF11" s="35"/>
      <c r="HG11" s="35"/>
      <c r="HH11" s="35"/>
      <c r="HI11" s="35"/>
      <c r="HJ11" s="35"/>
      <c r="HK11" s="35"/>
      <c r="HL11" s="35"/>
      <c r="HM11" s="35"/>
      <c r="HN11" s="35"/>
      <c r="HO11" s="35"/>
      <c r="HP11" s="35"/>
      <c r="HQ11" s="35"/>
      <c r="HR11" s="35"/>
      <c r="HS11" s="35"/>
      <c r="HT11" s="35"/>
      <c r="HU11" s="35"/>
      <c r="HV11" s="35"/>
      <c r="HW11" s="35"/>
      <c r="HX11" s="35"/>
      <c r="HY11" s="35"/>
      <c r="HZ11" s="35"/>
      <c r="IA11" s="35"/>
      <c r="IB11" s="35"/>
      <c r="IC11" s="35"/>
      <c r="ID11" s="35"/>
      <c r="IE11" s="35"/>
      <c r="IF11" s="35"/>
      <c r="IG11" s="35"/>
      <c r="IH11" s="35"/>
      <c r="II11" s="35"/>
      <c r="IJ11" s="35"/>
      <c r="IK11" s="35"/>
      <c r="IL11" s="35"/>
      <c r="IM11" s="35"/>
      <c r="IN11" s="35"/>
      <c r="IO11" s="35"/>
      <c r="IP11" s="35"/>
      <c r="IQ11" s="35"/>
      <c r="IR11" s="35"/>
      <c r="IS11" s="35"/>
      <c r="IT11" s="35"/>
      <c r="IU11" s="35"/>
      <c r="IV11" s="35"/>
      <c r="IW11" s="35"/>
      <c r="IX11" s="35"/>
      <c r="IY11" s="35"/>
      <c r="IZ11" s="35"/>
      <c r="JA11" s="35"/>
      <c r="JB11" s="35"/>
      <c r="JC11" s="35"/>
      <c r="JD11" s="35"/>
      <c r="JE11" s="35"/>
      <c r="JF11" s="35"/>
      <c r="JG11" s="35"/>
      <c r="JH11" s="35"/>
      <c r="JI11" s="35"/>
      <c r="JJ11" s="35"/>
      <c r="JK11" s="35"/>
      <c r="JL11" s="35"/>
      <c r="JM11" s="35"/>
      <c r="JN11" s="35"/>
      <c r="JO11" s="35"/>
      <c r="JP11" s="35"/>
      <c r="JQ11" s="35"/>
      <c r="JR11" s="35"/>
      <c r="JS11" s="35"/>
      <c r="JT11" s="35"/>
      <c r="JU11" s="35"/>
      <c r="JV11" s="35"/>
      <c r="JW11" s="35"/>
      <c r="JX11" s="35"/>
      <c r="JY11" s="35"/>
      <c r="JZ11" s="35"/>
      <c r="KA11" s="35"/>
      <c r="KB11" s="35"/>
      <c r="KC11" s="35"/>
      <c r="KD11" s="35"/>
      <c r="KE11" s="35"/>
      <c r="KF11" s="35"/>
      <c r="KG11" s="35"/>
      <c r="KH11" s="35"/>
      <c r="KI11" s="35"/>
      <c r="KJ11" s="35"/>
      <c r="KK11" s="35"/>
      <c r="KL11" s="35"/>
      <c r="KM11" s="35"/>
      <c r="KN11" s="35"/>
      <c r="KO11" s="35"/>
      <c r="KP11" s="35"/>
      <c r="KQ11" s="35"/>
      <c r="KR11" s="35"/>
      <c r="KS11" s="35"/>
      <c r="KT11" s="35"/>
      <c r="KU11" s="35"/>
      <c r="KV11" s="35"/>
      <c r="KW11" s="35"/>
      <c r="KX11" s="35"/>
      <c r="KY11" s="35"/>
      <c r="KZ11" s="35"/>
      <c r="LA11" s="35"/>
      <c r="LB11" s="35"/>
      <c r="LC11" s="35"/>
      <c r="LD11" s="35"/>
      <c r="LE11" s="35"/>
      <c r="LF11" s="35"/>
      <c r="LG11" s="35"/>
      <c r="LH11" s="35"/>
      <c r="LI11" s="35"/>
      <c r="LJ11" s="35"/>
      <c r="LK11" s="35"/>
      <c r="LL11" s="35"/>
      <c r="LM11" s="35"/>
      <c r="LN11" s="35"/>
      <c r="LO11" s="35"/>
      <c r="LP11" s="35"/>
      <c r="LQ11" s="35"/>
      <c r="LR11" s="35"/>
      <c r="LS11" s="35"/>
      <c r="LT11" s="35"/>
      <c r="LU11" s="35"/>
      <c r="LV11" s="35"/>
      <c r="LW11" s="35"/>
      <c r="LX11" s="35"/>
      <c r="LY11" s="35"/>
      <c r="LZ11" s="35"/>
      <c r="MA11" s="35"/>
      <c r="MB11" s="35"/>
      <c r="MC11" s="35"/>
      <c r="MD11" s="35"/>
      <c r="ME11" s="35"/>
      <c r="MF11" s="35"/>
      <c r="MG11" s="35"/>
      <c r="MH11" s="35"/>
      <c r="MI11" s="35"/>
      <c r="MJ11" s="35"/>
      <c r="MK11" s="35"/>
      <c r="ML11" s="35"/>
      <c r="MM11" s="35"/>
      <c r="MN11" s="35"/>
      <c r="MO11" s="35"/>
      <c r="MP11" s="35"/>
      <c r="MQ11" s="35"/>
      <c r="MR11" s="35"/>
      <c r="MS11" s="35"/>
      <c r="MT11" s="35"/>
      <c r="MU11" s="35"/>
      <c r="MV11" s="35"/>
      <c r="MW11" s="35"/>
      <c r="MX11" s="35"/>
      <c r="MY11" s="35"/>
      <c r="MZ11" s="35"/>
      <c r="NA11" s="35"/>
      <c r="NB11" s="35"/>
      <c r="NC11" s="35"/>
      <c r="ND11" s="35"/>
      <c r="NE11" s="35"/>
      <c r="NF11" s="35"/>
      <c r="NG11" s="35"/>
      <c r="NH11" s="35"/>
      <c r="NI11" s="35"/>
      <c r="NJ11" s="35"/>
      <c r="NK11" s="35"/>
      <c r="NL11" s="35"/>
      <c r="NM11" s="35"/>
      <c r="NN11" s="35"/>
      <c r="NO11" s="35"/>
      <c r="NP11" s="35"/>
      <c r="NQ11" s="35"/>
      <c r="NR11" s="35"/>
      <c r="NS11" s="35"/>
      <c r="NT11" s="35"/>
      <c r="NU11" s="35"/>
      <c r="NV11" s="35"/>
      <c r="NW11" s="35"/>
      <c r="NX11" s="35"/>
      <c r="NY11" s="35"/>
      <c r="NZ11" s="35"/>
      <c r="OA11" s="35"/>
      <c r="OB11" s="35"/>
      <c r="OC11" s="35"/>
      <c r="OD11" s="35"/>
      <c r="OE11" s="35"/>
      <c r="OF11" s="35"/>
      <c r="OG11" s="35"/>
      <c r="OH11" s="35"/>
      <c r="OI11" s="35"/>
      <c r="OJ11" s="35"/>
      <c r="OK11" s="35"/>
      <c r="OL11" s="35"/>
      <c r="OM11" s="35"/>
      <c r="ON11" s="35"/>
      <c r="OO11" s="35"/>
      <c r="OP11" s="35"/>
      <c r="OQ11" s="35"/>
      <c r="OR11" s="35"/>
      <c r="OS11" s="35"/>
      <c r="OT11" s="35"/>
      <c r="OU11" s="35"/>
      <c r="OV11" s="35"/>
    </row>
    <row r="12" ht="18.0" customHeight="1">
      <c r="A12" s="34">
        <v>11.0</v>
      </c>
      <c r="B12" s="35" t="s">
        <v>655</v>
      </c>
      <c r="C12" s="36" t="s">
        <v>1013</v>
      </c>
      <c r="D12" s="35" t="s">
        <v>654</v>
      </c>
      <c r="E12" s="34">
        <v>50.0</v>
      </c>
      <c r="F12" s="34" t="str">
        <f t="shared" si="1"/>
        <v>#REF!</v>
      </c>
      <c r="G12" s="34">
        <f t="shared" si="2"/>
        <v>0</v>
      </c>
      <c r="H12" s="34">
        <f t="shared" si="3"/>
        <v>0</v>
      </c>
      <c r="I12" s="34">
        <f t="shared" si="4"/>
        <v>0</v>
      </c>
      <c r="J12" s="37" t="s">
        <v>625</v>
      </c>
      <c r="K12" s="37" t="b">
        <v>0</v>
      </c>
      <c r="L12" s="38" t="s">
        <v>71</v>
      </c>
      <c r="M12" s="35" t="str">
        <f>IFERROR(__xludf.DUMMYFUNCTION("IFERROR(TOROW(CHOOSECOLS(SORT(FILTER({'Tổng hợp 75 trang đích'!$J$2:$J$3260,'Tổng hợp 75 trang đích'!$I$2:$I$3260,MATCH('Tổng hợp 75 trang đích'!$K$2:$K$3260,{""PHÙ HỢP CAO"",""CÓ THỂ ĐI"",""CẦN SOÁT""},0)},'Tổng hợp 75 trang đích'!$B$2:$B$3260=$D12),3,TR"&amp;"UE),1,2)),"""")"),"")</f>
        <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5"/>
      <c r="EG12" s="35"/>
      <c r="EH12" s="35"/>
      <c r="EI12" s="35"/>
      <c r="EJ12" s="35"/>
      <c r="EK12" s="35"/>
      <c r="EL12" s="35"/>
      <c r="EM12" s="35"/>
      <c r="EN12" s="35"/>
      <c r="EO12" s="35"/>
      <c r="EP12" s="35"/>
      <c r="EQ12" s="35"/>
      <c r="ER12" s="35"/>
      <c r="ES12" s="35"/>
      <c r="ET12" s="35"/>
      <c r="EU12" s="35"/>
      <c r="EV12" s="35"/>
      <c r="EW12" s="35"/>
      <c r="EX12" s="35"/>
      <c r="EY12" s="35"/>
      <c r="EZ12" s="35"/>
      <c r="FA12" s="35"/>
      <c r="FB12" s="35"/>
      <c r="FC12" s="35"/>
      <c r="FD12" s="35"/>
      <c r="FE12" s="35"/>
      <c r="FF12" s="35"/>
      <c r="FG12" s="35"/>
      <c r="FH12" s="35"/>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5"/>
      <c r="IC12" s="35"/>
      <c r="ID12" s="35"/>
      <c r="IE12" s="35"/>
      <c r="IF12" s="35"/>
      <c r="IG12" s="35"/>
      <c r="IH12" s="35"/>
      <c r="II12" s="35"/>
      <c r="IJ12" s="35"/>
      <c r="IK12" s="35"/>
      <c r="IL12" s="35"/>
      <c r="IM12" s="35"/>
      <c r="IN12" s="35"/>
      <c r="IO12" s="35"/>
      <c r="IP12" s="35"/>
      <c r="IQ12" s="35"/>
      <c r="IR12" s="35"/>
      <c r="IS12" s="35"/>
      <c r="IT12" s="35"/>
      <c r="IU12" s="35"/>
      <c r="IV12" s="35"/>
      <c r="IW12" s="35"/>
      <c r="IX12" s="35"/>
      <c r="IY12" s="35"/>
      <c r="IZ12" s="35"/>
      <c r="JA12" s="35"/>
      <c r="JB12" s="35"/>
      <c r="JC12" s="35"/>
      <c r="JD12" s="35"/>
      <c r="JE12" s="35"/>
      <c r="JF12" s="35"/>
      <c r="JG12" s="35"/>
      <c r="JH12" s="35"/>
      <c r="JI12" s="35"/>
      <c r="JJ12" s="35"/>
      <c r="JK12" s="35"/>
      <c r="JL12" s="35"/>
      <c r="JM12" s="35"/>
      <c r="JN12" s="35"/>
      <c r="JO12" s="35"/>
      <c r="JP12" s="35"/>
      <c r="JQ12" s="35"/>
      <c r="JR12" s="35"/>
      <c r="JS12" s="35"/>
      <c r="JT12" s="35"/>
      <c r="JU12" s="35"/>
      <c r="JV12" s="35"/>
      <c r="JW12" s="35"/>
      <c r="JX12" s="35"/>
      <c r="JY12" s="35"/>
      <c r="JZ12" s="35"/>
      <c r="KA12" s="35"/>
      <c r="KB12" s="35"/>
      <c r="KC12" s="35"/>
      <c r="KD12" s="35"/>
      <c r="KE12" s="35"/>
      <c r="KF12" s="35"/>
      <c r="KG12" s="35"/>
      <c r="KH12" s="35"/>
      <c r="KI12" s="35"/>
      <c r="KJ12" s="35"/>
      <c r="KK12" s="35"/>
      <c r="KL12" s="35"/>
      <c r="KM12" s="35"/>
      <c r="KN12" s="35"/>
      <c r="KO12" s="35"/>
      <c r="KP12" s="35"/>
      <c r="KQ12" s="35"/>
      <c r="KR12" s="35"/>
      <c r="KS12" s="35"/>
      <c r="KT12" s="35"/>
      <c r="KU12" s="35"/>
      <c r="KV12" s="35"/>
      <c r="KW12" s="35"/>
      <c r="KX12" s="35"/>
      <c r="KY12" s="35"/>
      <c r="KZ12" s="35"/>
      <c r="LA12" s="35"/>
      <c r="LB12" s="35"/>
      <c r="LC12" s="35"/>
      <c r="LD12" s="35"/>
      <c r="LE12" s="35"/>
      <c r="LF12" s="35"/>
      <c r="LG12" s="35"/>
      <c r="LH12" s="35"/>
      <c r="LI12" s="35"/>
      <c r="LJ12" s="35"/>
      <c r="LK12" s="35"/>
      <c r="LL12" s="35"/>
      <c r="LM12" s="35"/>
      <c r="LN12" s="35"/>
      <c r="LO12" s="35"/>
      <c r="LP12" s="35"/>
      <c r="LQ12" s="35"/>
      <c r="LR12" s="35"/>
      <c r="LS12" s="35"/>
      <c r="LT12" s="35"/>
      <c r="LU12" s="35"/>
      <c r="LV12" s="35"/>
      <c r="LW12" s="35"/>
      <c r="LX12" s="35"/>
      <c r="LY12" s="35"/>
      <c r="LZ12" s="35"/>
      <c r="MA12" s="35"/>
      <c r="MB12" s="35"/>
      <c r="MC12" s="35"/>
      <c r="MD12" s="35"/>
      <c r="ME12" s="35"/>
      <c r="MF12" s="35"/>
      <c r="MG12" s="35"/>
      <c r="MH12" s="35"/>
      <c r="MI12" s="35"/>
      <c r="MJ12" s="35"/>
      <c r="MK12" s="35"/>
      <c r="ML12" s="35"/>
      <c r="MM12" s="35"/>
      <c r="MN12" s="35"/>
      <c r="MO12" s="35"/>
      <c r="MP12" s="35"/>
      <c r="MQ12" s="35"/>
      <c r="MR12" s="35"/>
      <c r="MS12" s="35"/>
      <c r="MT12" s="35"/>
      <c r="MU12" s="35"/>
      <c r="MV12" s="35"/>
      <c r="MW12" s="35"/>
      <c r="MX12" s="35"/>
      <c r="MY12" s="35"/>
      <c r="MZ12" s="35"/>
      <c r="NA12" s="35"/>
      <c r="NB12" s="35"/>
      <c r="NC12" s="35"/>
      <c r="ND12" s="35"/>
      <c r="NE12" s="35"/>
      <c r="NF12" s="35"/>
      <c r="NG12" s="35"/>
      <c r="NH12" s="35"/>
      <c r="NI12" s="35"/>
      <c r="NJ12" s="35"/>
      <c r="NK12" s="35"/>
      <c r="NL12" s="35"/>
      <c r="NM12" s="35"/>
      <c r="NN12" s="35"/>
      <c r="NO12" s="35"/>
      <c r="NP12" s="35"/>
      <c r="NQ12" s="35"/>
      <c r="NR12" s="35"/>
      <c r="NS12" s="35"/>
      <c r="NT12" s="35"/>
      <c r="NU12" s="35"/>
      <c r="NV12" s="35"/>
      <c r="NW12" s="35"/>
      <c r="NX12" s="35"/>
      <c r="NY12" s="35"/>
      <c r="NZ12" s="35"/>
      <c r="OA12" s="35"/>
      <c r="OB12" s="35"/>
      <c r="OC12" s="35"/>
      <c r="OD12" s="35"/>
      <c r="OE12" s="35"/>
      <c r="OF12" s="35"/>
      <c r="OG12" s="35"/>
      <c r="OH12" s="35"/>
      <c r="OI12" s="35"/>
      <c r="OJ12" s="35"/>
      <c r="OK12" s="35"/>
      <c r="OL12" s="35"/>
      <c r="OM12" s="35"/>
      <c r="ON12" s="35"/>
      <c r="OO12" s="35"/>
      <c r="OP12" s="35"/>
      <c r="OQ12" s="35"/>
      <c r="OR12" s="35"/>
      <c r="OS12" s="35"/>
      <c r="OT12" s="35"/>
      <c r="OU12" s="35"/>
      <c r="OV12" s="35"/>
    </row>
    <row r="13" ht="18.0" customHeight="1">
      <c r="A13" s="34">
        <v>12.0</v>
      </c>
      <c r="B13" s="35" t="s">
        <v>655</v>
      </c>
      <c r="C13" s="36" t="s">
        <v>1039</v>
      </c>
      <c r="D13" s="35" t="s">
        <v>474</v>
      </c>
      <c r="E13" s="34">
        <v>50.0</v>
      </c>
      <c r="F13" s="34" t="str">
        <f t="shared" si="1"/>
        <v>#REF!</v>
      </c>
      <c r="G13" s="34">
        <f t="shared" si="2"/>
        <v>0</v>
      </c>
      <c r="H13" s="34">
        <f t="shared" si="3"/>
        <v>0</v>
      </c>
      <c r="I13" s="34">
        <f t="shared" si="4"/>
        <v>0</v>
      </c>
      <c r="J13" s="37" t="s">
        <v>625</v>
      </c>
      <c r="K13" s="37" t="b">
        <v>0</v>
      </c>
      <c r="L13" s="38" t="s">
        <v>71</v>
      </c>
      <c r="M13" s="35" t="str">
        <f>IFERROR(__xludf.DUMMYFUNCTION("IFERROR(TOROW(CHOOSECOLS(SORT(FILTER({'Tổng hợp 75 trang đích'!$J$2:$J$3260,'Tổng hợp 75 trang đích'!$I$2:$I$3260,MATCH('Tổng hợp 75 trang đích'!$K$2:$K$3260,{""PHÙ HỢP CAO"",""CÓ THỂ ĐI"",""CẦN SOÁT""},0)},'Tổng hợp 75 trang đích'!$B$2:$B$3260=$D13),3,TR"&amp;"UE),1,2)),"""")"),"")</f>
        <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5"/>
      <c r="EG13" s="35"/>
      <c r="EH13" s="35"/>
      <c r="EI13" s="35"/>
      <c r="EJ13" s="35"/>
      <c r="EK13" s="35"/>
      <c r="EL13" s="35"/>
      <c r="EM13" s="35"/>
      <c r="EN13" s="35"/>
      <c r="EO13" s="35"/>
      <c r="EP13" s="35"/>
      <c r="EQ13" s="35"/>
      <c r="ER13" s="35"/>
      <c r="ES13" s="35"/>
      <c r="ET13" s="35"/>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c r="FZ13" s="35"/>
      <c r="GA13" s="35"/>
      <c r="GB13" s="35"/>
      <c r="GC13" s="35"/>
      <c r="GD13" s="35"/>
      <c r="GE13" s="35"/>
      <c r="GF13" s="35"/>
      <c r="GG13" s="35"/>
      <c r="GH13" s="35"/>
      <c r="GI13" s="35"/>
      <c r="GJ13" s="35"/>
      <c r="GK13" s="35"/>
      <c r="GL13" s="35"/>
      <c r="GM13" s="35"/>
      <c r="GN13" s="35"/>
      <c r="GO13" s="35"/>
      <c r="GP13" s="35"/>
      <c r="GQ13" s="35"/>
      <c r="GR13" s="35"/>
      <c r="GS13" s="35"/>
      <c r="GT13" s="35"/>
      <c r="GU13" s="35"/>
      <c r="GV13" s="35"/>
      <c r="GW13" s="35"/>
      <c r="GX13" s="35"/>
      <c r="GY13" s="35"/>
      <c r="GZ13" s="35"/>
      <c r="HA13" s="35"/>
      <c r="HB13" s="35"/>
      <c r="HC13" s="35"/>
      <c r="HD13" s="35"/>
      <c r="HE13" s="35"/>
      <c r="HF13" s="35"/>
      <c r="HG13" s="35"/>
      <c r="HH13" s="35"/>
      <c r="HI13" s="35"/>
      <c r="HJ13" s="35"/>
      <c r="HK13" s="35"/>
      <c r="HL13" s="35"/>
      <c r="HM13" s="35"/>
      <c r="HN13" s="35"/>
      <c r="HO13" s="35"/>
      <c r="HP13" s="35"/>
      <c r="HQ13" s="35"/>
      <c r="HR13" s="35"/>
      <c r="HS13" s="35"/>
      <c r="HT13" s="35"/>
      <c r="HU13" s="35"/>
      <c r="HV13" s="35"/>
      <c r="HW13" s="35"/>
      <c r="HX13" s="35"/>
      <c r="HY13" s="35"/>
      <c r="HZ13" s="35"/>
      <c r="IA13" s="35"/>
      <c r="IB13" s="35"/>
      <c r="IC13" s="35"/>
      <c r="ID13" s="35"/>
      <c r="IE13" s="35"/>
      <c r="IF13" s="35"/>
      <c r="IG13" s="35"/>
      <c r="IH13" s="35"/>
      <c r="II13" s="35"/>
      <c r="IJ13" s="35"/>
      <c r="IK13" s="35"/>
      <c r="IL13" s="35"/>
      <c r="IM13" s="35"/>
      <c r="IN13" s="35"/>
      <c r="IO13" s="35"/>
      <c r="IP13" s="35"/>
      <c r="IQ13" s="35"/>
      <c r="IR13" s="35"/>
      <c r="IS13" s="35"/>
      <c r="IT13" s="35"/>
      <c r="IU13" s="35"/>
      <c r="IV13" s="35"/>
      <c r="IW13" s="35"/>
      <c r="IX13" s="35"/>
      <c r="IY13" s="35"/>
      <c r="IZ13" s="35"/>
      <c r="JA13" s="35"/>
      <c r="JB13" s="35"/>
      <c r="JC13" s="35"/>
      <c r="JD13" s="35"/>
      <c r="JE13" s="35"/>
      <c r="JF13" s="35"/>
      <c r="JG13" s="35"/>
      <c r="JH13" s="35"/>
      <c r="JI13" s="35"/>
      <c r="JJ13" s="35"/>
      <c r="JK13" s="35"/>
      <c r="JL13" s="35"/>
      <c r="JM13" s="35"/>
      <c r="JN13" s="35"/>
      <c r="JO13" s="35"/>
      <c r="JP13" s="35"/>
      <c r="JQ13" s="35"/>
      <c r="JR13" s="35"/>
      <c r="JS13" s="35"/>
      <c r="JT13" s="35"/>
      <c r="JU13" s="35"/>
      <c r="JV13" s="35"/>
      <c r="JW13" s="35"/>
      <c r="JX13" s="35"/>
      <c r="JY13" s="35"/>
      <c r="JZ13" s="35"/>
      <c r="KA13" s="35"/>
      <c r="KB13" s="35"/>
      <c r="KC13" s="35"/>
      <c r="KD13" s="35"/>
      <c r="KE13" s="35"/>
      <c r="KF13" s="35"/>
      <c r="KG13" s="35"/>
      <c r="KH13" s="35"/>
      <c r="KI13" s="35"/>
      <c r="KJ13" s="35"/>
      <c r="KK13" s="35"/>
      <c r="KL13" s="35"/>
      <c r="KM13" s="35"/>
      <c r="KN13" s="35"/>
      <c r="KO13" s="35"/>
      <c r="KP13" s="35"/>
      <c r="KQ13" s="35"/>
      <c r="KR13" s="35"/>
      <c r="KS13" s="35"/>
      <c r="KT13" s="35"/>
      <c r="KU13" s="35"/>
      <c r="KV13" s="35"/>
      <c r="KW13" s="35"/>
      <c r="KX13" s="35"/>
      <c r="KY13" s="35"/>
      <c r="KZ13" s="35"/>
      <c r="LA13" s="35"/>
      <c r="LB13" s="35"/>
      <c r="LC13" s="35"/>
      <c r="LD13" s="35"/>
      <c r="LE13" s="35"/>
      <c r="LF13" s="35"/>
      <c r="LG13" s="35"/>
      <c r="LH13" s="35"/>
      <c r="LI13" s="35"/>
      <c r="LJ13" s="35"/>
      <c r="LK13" s="35"/>
      <c r="LL13" s="35"/>
      <c r="LM13" s="35"/>
      <c r="LN13" s="35"/>
      <c r="LO13" s="35"/>
      <c r="LP13" s="35"/>
      <c r="LQ13" s="35"/>
      <c r="LR13" s="35"/>
      <c r="LS13" s="35"/>
      <c r="LT13" s="35"/>
      <c r="LU13" s="35"/>
      <c r="LV13" s="35"/>
      <c r="LW13" s="35"/>
      <c r="LX13" s="35"/>
      <c r="LY13" s="35"/>
      <c r="LZ13" s="35"/>
      <c r="MA13" s="35"/>
      <c r="MB13" s="35"/>
      <c r="MC13" s="35"/>
      <c r="MD13" s="35"/>
      <c r="ME13" s="35"/>
      <c r="MF13" s="35"/>
      <c r="MG13" s="35"/>
      <c r="MH13" s="35"/>
      <c r="MI13" s="35"/>
      <c r="MJ13" s="35"/>
      <c r="MK13" s="35"/>
      <c r="ML13" s="35"/>
      <c r="MM13" s="35"/>
      <c r="MN13" s="35"/>
      <c r="MO13" s="35"/>
      <c r="MP13" s="35"/>
      <c r="MQ13" s="35"/>
      <c r="MR13" s="35"/>
      <c r="MS13" s="35"/>
      <c r="MT13" s="35"/>
      <c r="MU13" s="35"/>
      <c r="MV13" s="35"/>
      <c r="MW13" s="35"/>
      <c r="MX13" s="35"/>
      <c r="MY13" s="35"/>
      <c r="MZ13" s="35"/>
      <c r="NA13" s="35"/>
      <c r="NB13" s="35"/>
      <c r="NC13" s="35"/>
      <c r="ND13" s="35"/>
      <c r="NE13" s="35"/>
      <c r="NF13" s="35"/>
      <c r="NG13" s="35"/>
      <c r="NH13" s="35"/>
      <c r="NI13" s="35"/>
      <c r="NJ13" s="35"/>
      <c r="NK13" s="35"/>
      <c r="NL13" s="35"/>
      <c r="NM13" s="35"/>
      <c r="NN13" s="35"/>
      <c r="NO13" s="35"/>
      <c r="NP13" s="35"/>
      <c r="NQ13" s="35"/>
      <c r="NR13" s="35"/>
      <c r="NS13" s="35"/>
      <c r="NT13" s="35"/>
      <c r="NU13" s="35"/>
      <c r="NV13" s="35"/>
      <c r="NW13" s="35"/>
      <c r="NX13" s="35"/>
      <c r="NY13" s="35"/>
      <c r="NZ13" s="35"/>
      <c r="OA13" s="35"/>
      <c r="OB13" s="35"/>
      <c r="OC13" s="35"/>
      <c r="OD13" s="35"/>
      <c r="OE13" s="35"/>
      <c r="OF13" s="35"/>
      <c r="OG13" s="35"/>
      <c r="OH13" s="35"/>
      <c r="OI13" s="35"/>
      <c r="OJ13" s="35"/>
      <c r="OK13" s="35"/>
      <c r="OL13" s="35"/>
      <c r="OM13" s="35"/>
      <c r="ON13" s="35"/>
      <c r="OO13" s="35"/>
      <c r="OP13" s="35"/>
      <c r="OQ13" s="35"/>
      <c r="OR13" s="35"/>
      <c r="OS13" s="35"/>
      <c r="OT13" s="35"/>
      <c r="OU13" s="35"/>
      <c r="OV13" s="35"/>
    </row>
    <row r="14" ht="18.0" customHeight="1">
      <c r="A14" s="34">
        <v>13.0</v>
      </c>
      <c r="B14" s="35" t="s">
        <v>655</v>
      </c>
      <c r="C14" s="36" t="s">
        <v>1080</v>
      </c>
      <c r="D14" s="35" t="s">
        <v>792</v>
      </c>
      <c r="E14" s="34">
        <v>30.0</v>
      </c>
      <c r="F14" s="34" t="str">
        <f t="shared" si="1"/>
        <v>#REF!</v>
      </c>
      <c r="G14" s="34">
        <f t="shared" si="2"/>
        <v>0</v>
      </c>
      <c r="H14" s="34">
        <f t="shared" si="3"/>
        <v>0</v>
      </c>
      <c r="I14" s="34">
        <f t="shared" si="4"/>
        <v>0</v>
      </c>
      <c r="J14" s="37" t="s">
        <v>625</v>
      </c>
      <c r="K14" s="37" t="b">
        <v>0</v>
      </c>
      <c r="L14" s="38" t="s">
        <v>71</v>
      </c>
      <c r="M14" s="35" t="str">
        <f>IFERROR(__xludf.DUMMYFUNCTION("IFERROR(TOROW(CHOOSECOLS(SORT(FILTER({'Tổng hợp 75 trang đích'!$J$2:$J$3260,'Tổng hợp 75 trang đích'!$I$2:$I$3260,MATCH('Tổng hợp 75 trang đích'!$K$2:$K$3260,{""PHÙ HỢP CAO"",""CÓ THỂ ĐI"",""CẦN SOÁT""},0)},'Tổng hợp 75 trang đích'!$B$2:$B$3260=$D14),3,TR"&amp;"UE),1,2)),"""")"),"")</f>
        <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K14" s="35"/>
      <c r="DL14" s="35"/>
      <c r="DM14" s="35"/>
      <c r="DN14" s="35"/>
      <c r="DO14" s="35"/>
      <c r="DP14" s="35"/>
      <c r="DQ14" s="35"/>
      <c r="DR14" s="35"/>
      <c r="DS14" s="35"/>
      <c r="DT14" s="35"/>
      <c r="DU14" s="35"/>
      <c r="DV14" s="35"/>
      <c r="DW14" s="35"/>
      <c r="DX14" s="35"/>
      <c r="DY14" s="35"/>
      <c r="DZ14" s="35"/>
      <c r="EA14" s="35"/>
      <c r="EB14" s="35"/>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c r="FZ14" s="35"/>
      <c r="GA14" s="35"/>
      <c r="GB14" s="35"/>
      <c r="GC14" s="35"/>
      <c r="GD14" s="35"/>
      <c r="GE14" s="35"/>
      <c r="GF14" s="35"/>
      <c r="GG14" s="35"/>
      <c r="GH14" s="35"/>
      <c r="GI14" s="35"/>
      <c r="GJ14" s="35"/>
      <c r="GK14" s="35"/>
      <c r="GL14" s="35"/>
      <c r="GM14" s="35"/>
      <c r="GN14" s="35"/>
      <c r="GO14" s="35"/>
      <c r="GP14" s="35"/>
      <c r="GQ14" s="35"/>
      <c r="GR14" s="35"/>
      <c r="GS14" s="35"/>
      <c r="GT14" s="35"/>
      <c r="GU14" s="35"/>
      <c r="GV14" s="35"/>
      <c r="GW14" s="35"/>
      <c r="GX14" s="35"/>
      <c r="GY14" s="35"/>
      <c r="GZ14" s="35"/>
      <c r="HA14" s="35"/>
      <c r="HB14" s="35"/>
      <c r="HC14" s="35"/>
      <c r="HD14" s="35"/>
      <c r="HE14" s="35"/>
      <c r="HF14" s="35"/>
      <c r="HG14" s="35"/>
      <c r="HH14" s="35"/>
      <c r="HI14" s="35"/>
      <c r="HJ14" s="35"/>
      <c r="HK14" s="35"/>
      <c r="HL14" s="35"/>
      <c r="HM14" s="35"/>
      <c r="HN14" s="35"/>
      <c r="HO14" s="35"/>
      <c r="HP14" s="35"/>
      <c r="HQ14" s="35"/>
      <c r="HR14" s="35"/>
      <c r="HS14" s="35"/>
      <c r="HT14" s="35"/>
      <c r="HU14" s="35"/>
      <c r="HV14" s="35"/>
      <c r="HW14" s="35"/>
      <c r="HX14" s="35"/>
      <c r="HY14" s="35"/>
      <c r="HZ14" s="35"/>
      <c r="IA14" s="35"/>
      <c r="IB14" s="35"/>
      <c r="IC14" s="35"/>
      <c r="ID14" s="35"/>
      <c r="IE14" s="35"/>
      <c r="IF14" s="35"/>
      <c r="IG14" s="35"/>
      <c r="IH14" s="35"/>
      <c r="II14" s="35"/>
      <c r="IJ14" s="35"/>
      <c r="IK14" s="35"/>
      <c r="IL14" s="35"/>
      <c r="IM14" s="35"/>
      <c r="IN14" s="35"/>
      <c r="IO14" s="35"/>
      <c r="IP14" s="35"/>
      <c r="IQ14" s="35"/>
      <c r="IR14" s="35"/>
      <c r="IS14" s="35"/>
      <c r="IT14" s="35"/>
      <c r="IU14" s="35"/>
      <c r="IV14" s="35"/>
      <c r="IW14" s="35"/>
      <c r="IX14" s="35"/>
      <c r="IY14" s="35"/>
      <c r="IZ14" s="35"/>
      <c r="JA14" s="35"/>
      <c r="JB14" s="35"/>
      <c r="JC14" s="35"/>
      <c r="JD14" s="35"/>
      <c r="JE14" s="35"/>
      <c r="JF14" s="35"/>
      <c r="JG14" s="35"/>
      <c r="JH14" s="35"/>
      <c r="JI14" s="35"/>
      <c r="JJ14" s="35"/>
      <c r="JK14" s="35"/>
      <c r="JL14" s="35"/>
      <c r="JM14" s="35"/>
      <c r="JN14" s="35"/>
      <c r="JO14" s="35"/>
      <c r="JP14" s="35"/>
      <c r="JQ14" s="35"/>
      <c r="JR14" s="35"/>
      <c r="JS14" s="35"/>
      <c r="JT14" s="35"/>
      <c r="JU14" s="35"/>
      <c r="JV14" s="35"/>
      <c r="JW14" s="35"/>
      <c r="JX14" s="35"/>
      <c r="JY14" s="35"/>
      <c r="JZ14" s="35"/>
      <c r="KA14" s="35"/>
      <c r="KB14" s="35"/>
      <c r="KC14" s="35"/>
      <c r="KD14" s="35"/>
      <c r="KE14" s="35"/>
      <c r="KF14" s="35"/>
      <c r="KG14" s="35"/>
      <c r="KH14" s="35"/>
      <c r="KI14" s="35"/>
      <c r="KJ14" s="35"/>
      <c r="KK14" s="35"/>
      <c r="KL14" s="35"/>
      <c r="KM14" s="35"/>
      <c r="KN14" s="35"/>
      <c r="KO14" s="35"/>
      <c r="KP14" s="35"/>
      <c r="KQ14" s="35"/>
      <c r="KR14" s="35"/>
      <c r="KS14" s="35"/>
      <c r="KT14" s="35"/>
      <c r="KU14" s="35"/>
      <c r="KV14" s="35"/>
      <c r="KW14" s="35"/>
      <c r="KX14" s="35"/>
      <c r="KY14" s="35"/>
      <c r="KZ14" s="35"/>
      <c r="LA14" s="35"/>
      <c r="LB14" s="35"/>
      <c r="LC14" s="35"/>
      <c r="LD14" s="35"/>
      <c r="LE14" s="35"/>
      <c r="LF14" s="35"/>
      <c r="LG14" s="35"/>
      <c r="LH14" s="35"/>
      <c r="LI14" s="35"/>
      <c r="LJ14" s="35"/>
      <c r="LK14" s="35"/>
      <c r="LL14" s="35"/>
      <c r="LM14" s="35"/>
      <c r="LN14" s="35"/>
      <c r="LO14" s="35"/>
      <c r="LP14" s="35"/>
      <c r="LQ14" s="35"/>
      <c r="LR14" s="35"/>
      <c r="LS14" s="35"/>
      <c r="LT14" s="35"/>
      <c r="LU14" s="35"/>
      <c r="LV14" s="35"/>
      <c r="LW14" s="35"/>
      <c r="LX14" s="35"/>
      <c r="LY14" s="35"/>
      <c r="LZ14" s="35"/>
      <c r="MA14" s="35"/>
      <c r="MB14" s="35"/>
      <c r="MC14" s="35"/>
      <c r="MD14" s="35"/>
      <c r="ME14" s="35"/>
      <c r="MF14" s="35"/>
      <c r="MG14" s="35"/>
      <c r="MH14" s="35"/>
      <c r="MI14" s="35"/>
      <c r="MJ14" s="35"/>
      <c r="MK14" s="35"/>
      <c r="ML14" s="35"/>
      <c r="MM14" s="35"/>
      <c r="MN14" s="35"/>
      <c r="MO14" s="35"/>
      <c r="MP14" s="35"/>
      <c r="MQ14" s="35"/>
      <c r="MR14" s="35"/>
      <c r="MS14" s="35"/>
      <c r="MT14" s="35"/>
      <c r="MU14" s="35"/>
      <c r="MV14" s="35"/>
      <c r="MW14" s="35"/>
      <c r="MX14" s="35"/>
      <c r="MY14" s="35"/>
      <c r="MZ14" s="35"/>
      <c r="NA14" s="35"/>
      <c r="NB14" s="35"/>
      <c r="NC14" s="35"/>
      <c r="ND14" s="35"/>
      <c r="NE14" s="35"/>
      <c r="NF14" s="35"/>
      <c r="NG14" s="35"/>
      <c r="NH14" s="35"/>
      <c r="NI14" s="35"/>
      <c r="NJ14" s="35"/>
      <c r="NK14" s="35"/>
      <c r="NL14" s="35"/>
      <c r="NM14" s="35"/>
      <c r="NN14" s="35"/>
      <c r="NO14" s="35"/>
      <c r="NP14" s="35"/>
      <c r="NQ14" s="35"/>
      <c r="NR14" s="35"/>
      <c r="NS14" s="35"/>
      <c r="NT14" s="35"/>
      <c r="NU14" s="35"/>
      <c r="NV14" s="35"/>
      <c r="NW14" s="35"/>
      <c r="NX14" s="35"/>
      <c r="NY14" s="35"/>
      <c r="NZ14" s="35"/>
      <c r="OA14" s="35"/>
      <c r="OB14" s="35"/>
      <c r="OC14" s="35"/>
      <c r="OD14" s="35"/>
      <c r="OE14" s="35"/>
      <c r="OF14" s="35"/>
      <c r="OG14" s="35"/>
      <c r="OH14" s="35"/>
      <c r="OI14" s="35"/>
      <c r="OJ14" s="35"/>
      <c r="OK14" s="35"/>
      <c r="OL14" s="35"/>
      <c r="OM14" s="35"/>
      <c r="ON14" s="35"/>
      <c r="OO14" s="35"/>
      <c r="OP14" s="35"/>
      <c r="OQ14" s="35"/>
      <c r="OR14" s="35"/>
      <c r="OS14" s="35"/>
      <c r="OT14" s="35"/>
      <c r="OU14" s="35"/>
      <c r="OV14" s="35"/>
    </row>
    <row r="15" ht="18.0" customHeight="1">
      <c r="A15" s="34">
        <v>14.0</v>
      </c>
      <c r="B15" s="35" t="s">
        <v>655</v>
      </c>
      <c r="C15" s="36" t="s">
        <v>1108</v>
      </c>
      <c r="D15" s="35" t="s">
        <v>799</v>
      </c>
      <c r="E15" s="34">
        <v>30.0</v>
      </c>
      <c r="F15" s="34" t="str">
        <f t="shared" si="1"/>
        <v>#REF!</v>
      </c>
      <c r="G15" s="34">
        <f t="shared" si="2"/>
        <v>0</v>
      </c>
      <c r="H15" s="34">
        <f t="shared" si="3"/>
        <v>0</v>
      </c>
      <c r="I15" s="34">
        <f t="shared" si="4"/>
        <v>0</v>
      </c>
      <c r="J15" s="37" t="s">
        <v>625</v>
      </c>
      <c r="K15" s="37" t="b">
        <v>0</v>
      </c>
      <c r="L15" s="38" t="s">
        <v>71</v>
      </c>
      <c r="M15" s="35" t="str">
        <f>IFERROR(__xludf.DUMMYFUNCTION("IFERROR(TOROW(CHOOSECOLS(SORT(FILTER({'Tổng hợp 75 trang đích'!$J$2:$J$3260,'Tổng hợp 75 trang đích'!$I$2:$I$3260,MATCH('Tổng hợp 75 trang đích'!$K$2:$K$3260,{""PHÙ HỢP CAO"",""CÓ THỂ ĐI"",""CẦN SOÁT""},0)},'Tổng hợp 75 trang đích'!$B$2:$B$3260=$D15),3,TR"&amp;"UE),1,2)),"""")"),"")</f>
        <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row>
    <row r="16" ht="18.0" customHeight="1">
      <c r="A16" s="34">
        <v>15.0</v>
      </c>
      <c r="B16" s="35" t="s">
        <v>655</v>
      </c>
      <c r="C16" s="36" t="s">
        <v>1131</v>
      </c>
      <c r="D16" s="35" t="s">
        <v>810</v>
      </c>
      <c r="E16" s="34">
        <v>30.0</v>
      </c>
      <c r="F16" s="34" t="str">
        <f t="shared" si="1"/>
        <v>#REF!</v>
      </c>
      <c r="G16" s="34">
        <f t="shared" si="2"/>
        <v>0</v>
      </c>
      <c r="H16" s="34">
        <f t="shared" si="3"/>
        <v>0</v>
      </c>
      <c r="I16" s="34">
        <f t="shared" si="4"/>
        <v>0</v>
      </c>
      <c r="J16" s="37" t="s">
        <v>625</v>
      </c>
      <c r="K16" s="37" t="b">
        <v>0</v>
      </c>
      <c r="L16" s="38" t="s">
        <v>71</v>
      </c>
      <c r="M16" s="35" t="str">
        <f>IFERROR(__xludf.DUMMYFUNCTION("IFERROR(TOROW(CHOOSECOLS(SORT(FILTER({'Tổng hợp 75 trang đích'!$J$2:$J$3260,'Tổng hợp 75 trang đích'!$I$2:$I$3260,MATCH('Tổng hợp 75 trang đích'!$K$2:$K$3260,{""PHÙ HỢP CAO"",""CÓ THỂ ĐI"",""CẦN SOÁT""},0)},'Tổng hợp 75 trang đích'!$B$2:$B$3260=$D16),3,TR"&amp;"UE),1,2)),"""")"),"")</f>
        <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c r="BM16" s="35"/>
      <c r="BN16" s="35"/>
      <c r="BO16" s="35"/>
      <c r="BP16" s="35"/>
      <c r="BQ16" s="35"/>
      <c r="BR16" s="35"/>
      <c r="BS16" s="35"/>
      <c r="BT16" s="35"/>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5"/>
      <c r="EG16" s="35"/>
      <c r="EH16" s="35"/>
      <c r="EI16" s="35"/>
      <c r="EJ16" s="35"/>
      <c r="EK16" s="35"/>
      <c r="EL16" s="35"/>
      <c r="EM16" s="35"/>
      <c r="EN16" s="35"/>
      <c r="EO16" s="35"/>
      <c r="EP16" s="35"/>
      <c r="EQ16" s="35"/>
      <c r="ER16" s="35"/>
      <c r="ES16" s="35"/>
      <c r="ET16" s="35"/>
      <c r="EU16" s="35"/>
      <c r="EV16" s="35"/>
      <c r="EW16" s="35"/>
      <c r="EX16" s="35"/>
      <c r="EY16" s="35"/>
      <c r="EZ16" s="35"/>
      <c r="FA16" s="35"/>
      <c r="FB16" s="35"/>
      <c r="FC16" s="35"/>
      <c r="FD16" s="35"/>
      <c r="FE16" s="35"/>
      <c r="FF16" s="35"/>
      <c r="FG16" s="35"/>
      <c r="FH16" s="35"/>
      <c r="FI16" s="35"/>
      <c r="FJ16" s="35"/>
      <c r="FK16" s="35"/>
      <c r="FL16" s="35"/>
      <c r="FM16" s="35"/>
      <c r="FN16" s="35"/>
      <c r="FO16" s="35"/>
      <c r="FP16" s="35"/>
      <c r="FQ16" s="35"/>
      <c r="FR16" s="35"/>
      <c r="FS16" s="35"/>
      <c r="FT16" s="35"/>
      <c r="FU16" s="35"/>
      <c r="FV16" s="35"/>
      <c r="FW16" s="35"/>
      <c r="FX16" s="35"/>
      <c r="FY16" s="35"/>
      <c r="FZ16" s="35"/>
      <c r="GA16" s="35"/>
      <c r="GB16" s="35"/>
      <c r="GC16" s="35"/>
      <c r="GD16" s="35"/>
      <c r="GE16" s="35"/>
      <c r="GF16" s="35"/>
      <c r="GG16" s="35"/>
      <c r="GH16" s="35"/>
      <c r="GI16" s="35"/>
      <c r="GJ16" s="35"/>
      <c r="GK16" s="35"/>
      <c r="GL16" s="35"/>
      <c r="GM16" s="35"/>
      <c r="GN16" s="35"/>
      <c r="GO16" s="35"/>
      <c r="GP16" s="35"/>
      <c r="GQ16" s="35"/>
      <c r="GR16" s="35"/>
      <c r="GS16" s="35"/>
      <c r="GT16" s="35"/>
      <c r="GU16" s="35"/>
      <c r="GV16" s="35"/>
      <c r="GW16" s="35"/>
      <c r="GX16" s="35"/>
      <c r="GY16" s="35"/>
      <c r="GZ16" s="35"/>
      <c r="HA16" s="35"/>
      <c r="HB16" s="35"/>
      <c r="HC16" s="35"/>
      <c r="HD16" s="35"/>
      <c r="HE16" s="35"/>
      <c r="HF16" s="35"/>
      <c r="HG16" s="35"/>
      <c r="HH16" s="35"/>
      <c r="HI16" s="35"/>
      <c r="HJ16" s="35"/>
      <c r="HK16" s="35"/>
      <c r="HL16" s="35"/>
      <c r="HM16" s="35"/>
      <c r="HN16" s="35"/>
      <c r="HO16" s="35"/>
      <c r="HP16" s="35"/>
      <c r="HQ16" s="35"/>
      <c r="HR16" s="35"/>
      <c r="HS16" s="35"/>
      <c r="HT16" s="35"/>
      <c r="HU16" s="35"/>
      <c r="HV16" s="35"/>
      <c r="HW16" s="35"/>
      <c r="HX16" s="35"/>
      <c r="HY16" s="35"/>
      <c r="HZ16" s="35"/>
      <c r="IA16" s="35"/>
      <c r="IB16" s="35"/>
      <c r="IC16" s="35"/>
      <c r="ID16" s="35"/>
      <c r="IE16" s="35"/>
      <c r="IF16" s="35"/>
      <c r="IG16" s="35"/>
      <c r="IH16" s="35"/>
      <c r="II16" s="35"/>
      <c r="IJ16" s="35"/>
      <c r="IK16" s="35"/>
      <c r="IL16" s="35"/>
      <c r="IM16" s="35"/>
      <c r="IN16" s="35"/>
      <c r="IO16" s="35"/>
      <c r="IP16" s="35"/>
      <c r="IQ16" s="35"/>
      <c r="IR16" s="35"/>
      <c r="IS16" s="35"/>
      <c r="IT16" s="35"/>
      <c r="IU16" s="35"/>
      <c r="IV16" s="35"/>
      <c r="IW16" s="35"/>
      <c r="IX16" s="35"/>
      <c r="IY16" s="35"/>
      <c r="IZ16" s="35"/>
      <c r="JA16" s="35"/>
      <c r="JB16" s="35"/>
      <c r="JC16" s="35"/>
      <c r="JD16" s="35"/>
      <c r="JE16" s="35"/>
      <c r="JF16" s="35"/>
      <c r="JG16" s="35"/>
      <c r="JH16" s="35"/>
      <c r="JI16" s="35"/>
      <c r="JJ16" s="35"/>
      <c r="JK16" s="35"/>
      <c r="JL16" s="35"/>
      <c r="JM16" s="35"/>
      <c r="JN16" s="35"/>
      <c r="JO16" s="35"/>
      <c r="JP16" s="35"/>
      <c r="JQ16" s="35"/>
      <c r="JR16" s="35"/>
      <c r="JS16" s="35"/>
      <c r="JT16" s="35"/>
      <c r="JU16" s="35"/>
      <c r="JV16" s="35"/>
      <c r="JW16" s="35"/>
      <c r="JX16" s="35"/>
      <c r="JY16" s="35"/>
      <c r="JZ16" s="35"/>
      <c r="KA16" s="35"/>
      <c r="KB16" s="35"/>
      <c r="KC16" s="35"/>
      <c r="KD16" s="35"/>
      <c r="KE16" s="35"/>
      <c r="KF16" s="35"/>
      <c r="KG16" s="35"/>
      <c r="KH16" s="35"/>
      <c r="KI16" s="35"/>
      <c r="KJ16" s="35"/>
      <c r="KK16" s="35"/>
      <c r="KL16" s="35"/>
      <c r="KM16" s="35"/>
      <c r="KN16" s="35"/>
      <c r="KO16" s="35"/>
      <c r="KP16" s="35"/>
      <c r="KQ16" s="35"/>
      <c r="KR16" s="35"/>
      <c r="KS16" s="35"/>
      <c r="KT16" s="35"/>
      <c r="KU16" s="35"/>
      <c r="KV16" s="35"/>
      <c r="KW16" s="35"/>
      <c r="KX16" s="35"/>
      <c r="KY16" s="35"/>
      <c r="KZ16" s="35"/>
      <c r="LA16" s="35"/>
      <c r="LB16" s="35"/>
      <c r="LC16" s="35"/>
      <c r="LD16" s="35"/>
      <c r="LE16" s="35"/>
      <c r="LF16" s="35"/>
      <c r="LG16" s="35"/>
      <c r="LH16" s="35"/>
      <c r="LI16" s="35"/>
      <c r="LJ16" s="35"/>
      <c r="LK16" s="35"/>
      <c r="LL16" s="35"/>
      <c r="LM16" s="35"/>
      <c r="LN16" s="35"/>
      <c r="LO16" s="35"/>
      <c r="LP16" s="35"/>
      <c r="LQ16" s="35"/>
      <c r="LR16" s="35"/>
      <c r="LS16" s="35"/>
      <c r="LT16" s="35"/>
      <c r="LU16" s="35"/>
      <c r="LV16" s="35"/>
      <c r="LW16" s="35"/>
      <c r="LX16" s="35"/>
      <c r="LY16" s="35"/>
      <c r="LZ16" s="35"/>
      <c r="MA16" s="35"/>
      <c r="MB16" s="35"/>
      <c r="MC16" s="35"/>
      <c r="MD16" s="35"/>
      <c r="ME16" s="35"/>
      <c r="MF16" s="35"/>
      <c r="MG16" s="35"/>
      <c r="MH16" s="35"/>
      <c r="MI16" s="35"/>
      <c r="MJ16" s="35"/>
      <c r="MK16" s="35"/>
      <c r="ML16" s="35"/>
      <c r="MM16" s="35"/>
      <c r="MN16" s="35"/>
      <c r="MO16" s="35"/>
      <c r="MP16" s="35"/>
      <c r="MQ16" s="35"/>
      <c r="MR16" s="35"/>
      <c r="MS16" s="35"/>
      <c r="MT16" s="35"/>
      <c r="MU16" s="35"/>
      <c r="MV16" s="35"/>
      <c r="MW16" s="35"/>
      <c r="MX16" s="35"/>
      <c r="MY16" s="35"/>
      <c r="MZ16" s="35"/>
      <c r="NA16" s="35"/>
      <c r="NB16" s="35"/>
      <c r="NC16" s="35"/>
      <c r="ND16" s="35"/>
      <c r="NE16" s="35"/>
      <c r="NF16" s="35"/>
      <c r="NG16" s="35"/>
      <c r="NH16" s="35"/>
      <c r="NI16" s="35"/>
      <c r="NJ16" s="35"/>
      <c r="NK16" s="35"/>
      <c r="NL16" s="35"/>
      <c r="NM16" s="35"/>
      <c r="NN16" s="35"/>
      <c r="NO16" s="35"/>
      <c r="NP16" s="35"/>
      <c r="NQ16" s="35"/>
      <c r="NR16" s="35"/>
      <c r="NS16" s="35"/>
      <c r="NT16" s="35"/>
      <c r="NU16" s="35"/>
      <c r="NV16" s="35"/>
      <c r="NW16" s="35"/>
      <c r="NX16" s="35"/>
      <c r="NY16" s="35"/>
      <c r="NZ16" s="35"/>
      <c r="OA16" s="35"/>
      <c r="OB16" s="35"/>
      <c r="OC16" s="35"/>
      <c r="OD16" s="35"/>
      <c r="OE16" s="35"/>
      <c r="OF16" s="35"/>
      <c r="OG16" s="35"/>
      <c r="OH16" s="35"/>
      <c r="OI16" s="35"/>
      <c r="OJ16" s="35"/>
      <c r="OK16" s="35"/>
      <c r="OL16" s="35"/>
      <c r="OM16" s="35"/>
      <c r="ON16" s="35"/>
      <c r="OO16" s="35"/>
      <c r="OP16" s="35"/>
      <c r="OQ16" s="35"/>
      <c r="OR16" s="35"/>
      <c r="OS16" s="35"/>
      <c r="OT16" s="35"/>
      <c r="OU16" s="35"/>
      <c r="OV16" s="35"/>
    </row>
    <row r="17" ht="18.0" customHeight="1">
      <c r="A17" s="34">
        <v>16.0</v>
      </c>
      <c r="B17" s="35" t="s">
        <v>655</v>
      </c>
      <c r="C17" s="36" t="s">
        <v>1157</v>
      </c>
      <c r="D17" s="35" t="s">
        <v>823</v>
      </c>
      <c r="E17" s="34">
        <v>30.0</v>
      </c>
      <c r="F17" s="34" t="str">
        <f t="shared" si="1"/>
        <v>#REF!</v>
      </c>
      <c r="G17" s="34">
        <f t="shared" si="2"/>
        <v>0</v>
      </c>
      <c r="H17" s="34">
        <f t="shared" si="3"/>
        <v>0</v>
      </c>
      <c r="I17" s="34">
        <f t="shared" si="4"/>
        <v>0</v>
      </c>
      <c r="J17" s="37" t="s">
        <v>625</v>
      </c>
      <c r="K17" s="37" t="b">
        <v>0</v>
      </c>
      <c r="L17" s="38" t="s">
        <v>71</v>
      </c>
      <c r="M17" s="35" t="str">
        <f>IFERROR(__xludf.DUMMYFUNCTION("IFERROR(TOROW(CHOOSECOLS(SORT(FILTER({'Tổng hợp 75 trang đích'!$J$2:$J$3260,'Tổng hợp 75 trang đích'!$I$2:$I$3260,MATCH('Tổng hợp 75 trang đích'!$K$2:$K$3260,{""PHÙ HỢP CAO"",""CÓ THỂ ĐI"",""CẦN SOÁT""},0)},'Tổng hợp 75 trang đích'!$B$2:$B$3260=$D17),3,TR"&amp;"UE),1,2)),"""")"),"")</f>
        <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5"/>
      <c r="EG17" s="35"/>
      <c r="EH17" s="35"/>
      <c r="EI17" s="35"/>
      <c r="EJ17" s="35"/>
      <c r="EK17" s="35"/>
      <c r="EL17" s="35"/>
      <c r="EM17" s="35"/>
      <c r="EN17" s="35"/>
      <c r="EO17" s="35"/>
      <c r="EP17" s="35"/>
      <c r="EQ17" s="35"/>
      <c r="ER17" s="35"/>
      <c r="ES17" s="35"/>
      <c r="ET17" s="35"/>
      <c r="EU17" s="35"/>
      <c r="EV17" s="35"/>
      <c r="EW17" s="35"/>
      <c r="EX17" s="35"/>
      <c r="EY17" s="35"/>
      <c r="EZ17" s="35"/>
      <c r="FA17" s="35"/>
      <c r="FB17" s="35"/>
      <c r="FC17" s="35"/>
      <c r="FD17" s="35"/>
      <c r="FE17" s="35"/>
      <c r="FF17" s="35"/>
      <c r="FG17" s="35"/>
      <c r="FH17" s="35"/>
      <c r="FI17" s="35"/>
      <c r="FJ17" s="35"/>
      <c r="FK17" s="35"/>
      <c r="FL17" s="35"/>
      <c r="FM17" s="35"/>
      <c r="FN17" s="35"/>
      <c r="FO17" s="35"/>
      <c r="FP17" s="35"/>
      <c r="FQ17" s="35"/>
      <c r="FR17" s="35"/>
      <c r="FS17" s="35"/>
      <c r="FT17" s="35"/>
      <c r="FU17" s="35"/>
      <c r="FV17" s="35"/>
      <c r="FW17" s="35"/>
      <c r="FX17" s="35"/>
      <c r="FY17" s="35"/>
      <c r="FZ17" s="35"/>
      <c r="GA17" s="35"/>
      <c r="GB17" s="35"/>
      <c r="GC17" s="35"/>
      <c r="GD17" s="35"/>
      <c r="GE17" s="35"/>
      <c r="GF17" s="35"/>
      <c r="GG17" s="35"/>
      <c r="GH17" s="35"/>
      <c r="GI17" s="35"/>
      <c r="GJ17" s="35"/>
      <c r="GK17" s="35"/>
      <c r="GL17" s="35"/>
      <c r="GM17" s="35"/>
      <c r="GN17" s="35"/>
      <c r="GO17" s="35"/>
      <c r="GP17" s="35"/>
      <c r="GQ17" s="35"/>
      <c r="GR17" s="35"/>
      <c r="GS17" s="35"/>
      <c r="GT17" s="35"/>
      <c r="GU17" s="35"/>
      <c r="GV17" s="35"/>
      <c r="GW17" s="35"/>
      <c r="GX17" s="35"/>
      <c r="GY17" s="35"/>
      <c r="GZ17" s="35"/>
      <c r="HA17" s="35"/>
      <c r="HB17" s="35"/>
      <c r="HC17" s="35"/>
      <c r="HD17" s="35"/>
      <c r="HE17" s="35"/>
      <c r="HF17" s="35"/>
      <c r="HG17" s="35"/>
      <c r="HH17" s="35"/>
      <c r="HI17" s="35"/>
      <c r="HJ17" s="35"/>
      <c r="HK17" s="35"/>
      <c r="HL17" s="35"/>
      <c r="HM17" s="35"/>
      <c r="HN17" s="35"/>
      <c r="HO17" s="35"/>
      <c r="HP17" s="35"/>
      <c r="HQ17" s="35"/>
      <c r="HR17" s="35"/>
      <c r="HS17" s="35"/>
      <c r="HT17" s="35"/>
      <c r="HU17" s="35"/>
      <c r="HV17" s="35"/>
      <c r="HW17" s="35"/>
      <c r="HX17" s="35"/>
      <c r="HY17" s="35"/>
      <c r="HZ17" s="35"/>
      <c r="IA17" s="35"/>
      <c r="IB17" s="35"/>
      <c r="IC17" s="35"/>
      <c r="ID17" s="35"/>
      <c r="IE17" s="35"/>
      <c r="IF17" s="35"/>
      <c r="IG17" s="35"/>
      <c r="IH17" s="35"/>
      <c r="II17" s="35"/>
      <c r="IJ17" s="35"/>
      <c r="IK17" s="35"/>
      <c r="IL17" s="35"/>
      <c r="IM17" s="35"/>
      <c r="IN17" s="35"/>
      <c r="IO17" s="35"/>
      <c r="IP17" s="35"/>
      <c r="IQ17" s="35"/>
      <c r="IR17" s="35"/>
      <c r="IS17" s="35"/>
      <c r="IT17" s="35"/>
      <c r="IU17" s="35"/>
      <c r="IV17" s="35"/>
      <c r="IW17" s="35"/>
      <c r="IX17" s="35"/>
      <c r="IY17" s="35"/>
      <c r="IZ17" s="35"/>
      <c r="JA17" s="35"/>
      <c r="JB17" s="35"/>
      <c r="JC17" s="35"/>
      <c r="JD17" s="35"/>
      <c r="JE17" s="35"/>
      <c r="JF17" s="35"/>
      <c r="JG17" s="35"/>
      <c r="JH17" s="35"/>
      <c r="JI17" s="35"/>
      <c r="JJ17" s="35"/>
      <c r="JK17" s="35"/>
      <c r="JL17" s="35"/>
      <c r="JM17" s="35"/>
      <c r="JN17" s="35"/>
      <c r="JO17" s="35"/>
      <c r="JP17" s="35"/>
      <c r="JQ17" s="35"/>
      <c r="JR17" s="35"/>
      <c r="JS17" s="35"/>
      <c r="JT17" s="35"/>
      <c r="JU17" s="35"/>
      <c r="JV17" s="35"/>
      <c r="JW17" s="35"/>
      <c r="JX17" s="35"/>
      <c r="JY17" s="35"/>
      <c r="JZ17" s="35"/>
      <c r="KA17" s="35"/>
      <c r="KB17" s="35"/>
      <c r="KC17" s="35"/>
      <c r="KD17" s="35"/>
      <c r="KE17" s="35"/>
      <c r="KF17" s="35"/>
      <c r="KG17" s="35"/>
      <c r="KH17" s="35"/>
      <c r="KI17" s="35"/>
      <c r="KJ17" s="35"/>
      <c r="KK17" s="35"/>
      <c r="KL17" s="35"/>
      <c r="KM17" s="35"/>
      <c r="KN17" s="35"/>
      <c r="KO17" s="35"/>
      <c r="KP17" s="35"/>
      <c r="KQ17" s="35"/>
      <c r="KR17" s="35"/>
      <c r="KS17" s="35"/>
      <c r="KT17" s="35"/>
      <c r="KU17" s="35"/>
      <c r="KV17" s="35"/>
      <c r="KW17" s="35"/>
      <c r="KX17" s="35"/>
      <c r="KY17" s="35"/>
      <c r="KZ17" s="35"/>
      <c r="LA17" s="35"/>
      <c r="LB17" s="35"/>
      <c r="LC17" s="35"/>
      <c r="LD17" s="35"/>
      <c r="LE17" s="35"/>
      <c r="LF17" s="35"/>
      <c r="LG17" s="35"/>
      <c r="LH17" s="35"/>
      <c r="LI17" s="35"/>
      <c r="LJ17" s="35"/>
      <c r="LK17" s="35"/>
      <c r="LL17" s="35"/>
      <c r="LM17" s="35"/>
      <c r="LN17" s="35"/>
      <c r="LO17" s="35"/>
      <c r="LP17" s="35"/>
      <c r="LQ17" s="35"/>
      <c r="LR17" s="35"/>
      <c r="LS17" s="35"/>
      <c r="LT17" s="35"/>
      <c r="LU17" s="35"/>
      <c r="LV17" s="35"/>
      <c r="LW17" s="35"/>
      <c r="LX17" s="35"/>
      <c r="LY17" s="35"/>
      <c r="LZ17" s="35"/>
      <c r="MA17" s="35"/>
      <c r="MB17" s="35"/>
      <c r="MC17" s="35"/>
      <c r="MD17" s="35"/>
      <c r="ME17" s="35"/>
      <c r="MF17" s="35"/>
      <c r="MG17" s="35"/>
      <c r="MH17" s="35"/>
      <c r="MI17" s="35"/>
      <c r="MJ17" s="35"/>
      <c r="MK17" s="35"/>
      <c r="ML17" s="35"/>
      <c r="MM17" s="35"/>
      <c r="MN17" s="35"/>
      <c r="MO17" s="35"/>
      <c r="MP17" s="35"/>
      <c r="MQ17" s="35"/>
      <c r="MR17" s="35"/>
      <c r="MS17" s="35"/>
      <c r="MT17" s="35"/>
      <c r="MU17" s="35"/>
      <c r="MV17" s="35"/>
      <c r="MW17" s="35"/>
      <c r="MX17" s="35"/>
      <c r="MY17" s="35"/>
      <c r="MZ17" s="35"/>
      <c r="NA17" s="35"/>
      <c r="NB17" s="35"/>
      <c r="NC17" s="35"/>
      <c r="ND17" s="35"/>
      <c r="NE17" s="35"/>
      <c r="NF17" s="35"/>
      <c r="NG17" s="35"/>
      <c r="NH17" s="35"/>
      <c r="NI17" s="35"/>
      <c r="NJ17" s="35"/>
      <c r="NK17" s="35"/>
      <c r="NL17" s="35"/>
      <c r="NM17" s="35"/>
      <c r="NN17" s="35"/>
      <c r="NO17" s="35"/>
      <c r="NP17" s="35"/>
      <c r="NQ17" s="35"/>
      <c r="NR17" s="35"/>
      <c r="NS17" s="35"/>
      <c r="NT17" s="35"/>
      <c r="NU17" s="35"/>
      <c r="NV17" s="35"/>
      <c r="NW17" s="35"/>
      <c r="NX17" s="35"/>
      <c r="NY17" s="35"/>
      <c r="NZ17" s="35"/>
      <c r="OA17" s="35"/>
      <c r="OB17" s="35"/>
      <c r="OC17" s="35"/>
      <c r="OD17" s="35"/>
      <c r="OE17" s="35"/>
      <c r="OF17" s="35"/>
      <c r="OG17" s="35"/>
      <c r="OH17" s="35"/>
      <c r="OI17" s="35"/>
      <c r="OJ17" s="35"/>
      <c r="OK17" s="35"/>
      <c r="OL17" s="35"/>
      <c r="OM17" s="35"/>
      <c r="ON17" s="35"/>
      <c r="OO17" s="35"/>
      <c r="OP17" s="35"/>
      <c r="OQ17" s="35"/>
      <c r="OR17" s="35"/>
      <c r="OS17" s="35"/>
      <c r="OT17" s="35"/>
      <c r="OU17" s="35"/>
      <c r="OV17" s="35"/>
    </row>
    <row r="18" ht="18.0" customHeight="1">
      <c r="A18" s="34">
        <v>17.0</v>
      </c>
      <c r="B18" s="35" t="s">
        <v>655</v>
      </c>
      <c r="C18" s="36" t="s">
        <v>1169</v>
      </c>
      <c r="D18" s="35" t="s">
        <v>834</v>
      </c>
      <c r="E18" s="34">
        <v>30.0</v>
      </c>
      <c r="F18" s="34" t="str">
        <f t="shared" si="1"/>
        <v>#REF!</v>
      </c>
      <c r="G18" s="34">
        <f t="shared" si="2"/>
        <v>0</v>
      </c>
      <c r="H18" s="34">
        <f t="shared" si="3"/>
        <v>0</v>
      </c>
      <c r="I18" s="34">
        <f t="shared" si="4"/>
        <v>0</v>
      </c>
      <c r="J18" s="37" t="s">
        <v>625</v>
      </c>
      <c r="K18" s="37" t="b">
        <v>0</v>
      </c>
      <c r="L18" s="38" t="s">
        <v>71</v>
      </c>
      <c r="M18" s="35" t="str">
        <f>IFERROR(__xludf.DUMMYFUNCTION("IFERROR(TOROW(CHOOSECOLS(SORT(FILTER({'Tổng hợp 75 trang đích'!$J$2:$J$3260,'Tổng hợp 75 trang đích'!$I$2:$I$3260,MATCH('Tổng hợp 75 trang đích'!$K$2:$K$3260,{""PHÙ HỢP CAO"",""CÓ THỂ ĐI"",""CẦN SOÁT""},0)},'Tổng hợp 75 trang đích'!$B$2:$B$3260=$D18),3,TR"&amp;"UE),1,2)),"""")"),"")</f>
        <v/>
      </c>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c r="BM18" s="35"/>
      <c r="BN18" s="35"/>
      <c r="BO18" s="35"/>
      <c r="BP18" s="35"/>
      <c r="BQ18" s="35"/>
      <c r="BR18" s="35"/>
      <c r="BS18" s="35"/>
      <c r="BT18" s="35"/>
      <c r="BU18" s="35"/>
      <c r="BV18" s="35"/>
      <c r="BW18" s="35"/>
      <c r="BX18" s="35"/>
      <c r="BY18" s="35"/>
      <c r="BZ18" s="35"/>
      <c r="CA18" s="35"/>
      <c r="CB18" s="35"/>
      <c r="CC18" s="35"/>
      <c r="CD18" s="35"/>
      <c r="CE18" s="35"/>
      <c r="CF18" s="35"/>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5"/>
      <c r="EG18" s="35"/>
      <c r="EH18" s="35"/>
      <c r="EI18" s="35"/>
      <c r="EJ18" s="35"/>
      <c r="EK18" s="35"/>
      <c r="EL18" s="35"/>
      <c r="EM18" s="35"/>
      <c r="EN18" s="35"/>
      <c r="EO18" s="35"/>
      <c r="EP18" s="35"/>
      <c r="EQ18" s="35"/>
      <c r="ER18" s="35"/>
      <c r="ES18" s="35"/>
      <c r="ET18" s="35"/>
      <c r="EU18" s="35"/>
      <c r="EV18" s="35"/>
      <c r="EW18" s="35"/>
      <c r="EX18" s="35"/>
      <c r="EY18" s="35"/>
      <c r="EZ18" s="35"/>
      <c r="FA18" s="35"/>
      <c r="FB18" s="35"/>
      <c r="FC18" s="35"/>
      <c r="FD18" s="35"/>
      <c r="FE18" s="35"/>
      <c r="FF18" s="35"/>
      <c r="FG18" s="35"/>
      <c r="FH18" s="35"/>
      <c r="FI18" s="35"/>
      <c r="FJ18" s="35"/>
      <c r="FK18" s="35"/>
      <c r="FL18" s="35"/>
      <c r="FM18" s="35"/>
      <c r="FN18" s="35"/>
      <c r="FO18" s="35"/>
      <c r="FP18" s="35"/>
      <c r="FQ18" s="35"/>
      <c r="FR18" s="35"/>
      <c r="FS18" s="35"/>
      <c r="FT18" s="35"/>
      <c r="FU18" s="35"/>
      <c r="FV18" s="35"/>
      <c r="FW18" s="35"/>
      <c r="FX18" s="35"/>
      <c r="FY18" s="35"/>
      <c r="FZ18" s="35"/>
      <c r="GA18" s="35"/>
      <c r="GB18" s="35"/>
      <c r="GC18" s="35"/>
      <c r="GD18" s="35"/>
      <c r="GE18" s="35"/>
      <c r="GF18" s="35"/>
      <c r="GG18" s="35"/>
      <c r="GH18" s="35"/>
      <c r="GI18" s="35"/>
      <c r="GJ18" s="35"/>
      <c r="GK18" s="35"/>
      <c r="GL18" s="35"/>
      <c r="GM18" s="35"/>
      <c r="GN18" s="35"/>
      <c r="GO18" s="35"/>
      <c r="GP18" s="35"/>
      <c r="GQ18" s="35"/>
      <c r="GR18" s="35"/>
      <c r="GS18" s="35"/>
      <c r="GT18" s="35"/>
      <c r="GU18" s="35"/>
      <c r="GV18" s="35"/>
      <c r="GW18" s="35"/>
      <c r="GX18" s="35"/>
      <c r="GY18" s="35"/>
      <c r="GZ18" s="35"/>
      <c r="HA18" s="35"/>
      <c r="HB18" s="35"/>
      <c r="HC18" s="35"/>
      <c r="HD18" s="35"/>
      <c r="HE18" s="35"/>
      <c r="HF18" s="35"/>
      <c r="HG18" s="35"/>
      <c r="HH18" s="35"/>
      <c r="HI18" s="35"/>
      <c r="HJ18" s="35"/>
      <c r="HK18" s="35"/>
      <c r="HL18" s="35"/>
      <c r="HM18" s="35"/>
      <c r="HN18" s="35"/>
      <c r="HO18" s="35"/>
      <c r="HP18" s="35"/>
      <c r="HQ18" s="35"/>
      <c r="HR18" s="35"/>
      <c r="HS18" s="35"/>
      <c r="HT18" s="35"/>
      <c r="HU18" s="35"/>
      <c r="HV18" s="35"/>
      <c r="HW18" s="35"/>
      <c r="HX18" s="35"/>
      <c r="HY18" s="35"/>
      <c r="HZ18" s="35"/>
      <c r="IA18" s="35"/>
      <c r="IB18" s="35"/>
      <c r="IC18" s="35"/>
      <c r="ID18" s="35"/>
      <c r="IE18" s="35"/>
      <c r="IF18" s="35"/>
      <c r="IG18" s="35"/>
      <c r="IH18" s="35"/>
      <c r="II18" s="35"/>
      <c r="IJ18" s="35"/>
      <c r="IK18" s="35"/>
      <c r="IL18" s="35"/>
      <c r="IM18" s="35"/>
      <c r="IN18" s="35"/>
      <c r="IO18" s="35"/>
      <c r="IP18" s="35"/>
      <c r="IQ18" s="35"/>
      <c r="IR18" s="35"/>
      <c r="IS18" s="35"/>
      <c r="IT18" s="35"/>
      <c r="IU18" s="35"/>
      <c r="IV18" s="35"/>
      <c r="IW18" s="35"/>
      <c r="IX18" s="35"/>
      <c r="IY18" s="35"/>
      <c r="IZ18" s="35"/>
      <c r="JA18" s="35"/>
      <c r="JB18" s="35"/>
      <c r="JC18" s="35"/>
      <c r="JD18" s="35"/>
      <c r="JE18" s="35"/>
      <c r="JF18" s="35"/>
      <c r="JG18" s="35"/>
      <c r="JH18" s="35"/>
      <c r="JI18" s="35"/>
      <c r="JJ18" s="35"/>
      <c r="JK18" s="35"/>
      <c r="JL18" s="35"/>
      <c r="JM18" s="35"/>
      <c r="JN18" s="35"/>
      <c r="JO18" s="35"/>
      <c r="JP18" s="35"/>
      <c r="JQ18" s="35"/>
      <c r="JR18" s="35"/>
      <c r="JS18" s="35"/>
      <c r="JT18" s="35"/>
      <c r="JU18" s="35"/>
      <c r="JV18" s="35"/>
      <c r="JW18" s="35"/>
      <c r="JX18" s="35"/>
      <c r="JY18" s="35"/>
      <c r="JZ18" s="35"/>
      <c r="KA18" s="35"/>
      <c r="KB18" s="35"/>
      <c r="KC18" s="35"/>
      <c r="KD18" s="35"/>
      <c r="KE18" s="35"/>
      <c r="KF18" s="35"/>
      <c r="KG18" s="35"/>
      <c r="KH18" s="35"/>
      <c r="KI18" s="35"/>
      <c r="KJ18" s="35"/>
      <c r="KK18" s="35"/>
      <c r="KL18" s="35"/>
      <c r="KM18" s="35"/>
      <c r="KN18" s="35"/>
      <c r="KO18" s="35"/>
      <c r="KP18" s="35"/>
      <c r="KQ18" s="35"/>
      <c r="KR18" s="35"/>
      <c r="KS18" s="35"/>
      <c r="KT18" s="35"/>
      <c r="KU18" s="35"/>
      <c r="KV18" s="35"/>
      <c r="KW18" s="35"/>
      <c r="KX18" s="35"/>
      <c r="KY18" s="35"/>
      <c r="KZ18" s="35"/>
      <c r="LA18" s="35"/>
      <c r="LB18" s="35"/>
      <c r="LC18" s="35"/>
      <c r="LD18" s="35"/>
      <c r="LE18" s="35"/>
      <c r="LF18" s="35"/>
      <c r="LG18" s="35"/>
      <c r="LH18" s="35"/>
      <c r="LI18" s="35"/>
      <c r="LJ18" s="35"/>
      <c r="LK18" s="35"/>
      <c r="LL18" s="35"/>
      <c r="LM18" s="35"/>
      <c r="LN18" s="35"/>
      <c r="LO18" s="35"/>
      <c r="LP18" s="35"/>
      <c r="LQ18" s="35"/>
      <c r="LR18" s="35"/>
      <c r="LS18" s="35"/>
      <c r="LT18" s="35"/>
      <c r="LU18" s="35"/>
      <c r="LV18" s="35"/>
      <c r="LW18" s="35"/>
      <c r="LX18" s="35"/>
      <c r="LY18" s="35"/>
      <c r="LZ18" s="35"/>
      <c r="MA18" s="35"/>
      <c r="MB18" s="35"/>
      <c r="MC18" s="35"/>
      <c r="MD18" s="35"/>
      <c r="ME18" s="35"/>
      <c r="MF18" s="35"/>
      <c r="MG18" s="35"/>
      <c r="MH18" s="35"/>
      <c r="MI18" s="35"/>
      <c r="MJ18" s="35"/>
      <c r="MK18" s="35"/>
      <c r="ML18" s="35"/>
      <c r="MM18" s="35"/>
      <c r="MN18" s="35"/>
      <c r="MO18" s="35"/>
      <c r="MP18" s="35"/>
      <c r="MQ18" s="35"/>
      <c r="MR18" s="35"/>
      <c r="MS18" s="35"/>
      <c r="MT18" s="35"/>
      <c r="MU18" s="35"/>
      <c r="MV18" s="35"/>
      <c r="MW18" s="35"/>
      <c r="MX18" s="35"/>
      <c r="MY18" s="35"/>
      <c r="MZ18" s="35"/>
      <c r="NA18" s="35"/>
      <c r="NB18" s="35"/>
      <c r="NC18" s="35"/>
      <c r="ND18" s="35"/>
      <c r="NE18" s="35"/>
      <c r="NF18" s="35"/>
      <c r="NG18" s="35"/>
      <c r="NH18" s="35"/>
      <c r="NI18" s="35"/>
      <c r="NJ18" s="35"/>
      <c r="NK18" s="35"/>
      <c r="NL18" s="35"/>
      <c r="NM18" s="35"/>
      <c r="NN18" s="35"/>
      <c r="NO18" s="35"/>
      <c r="NP18" s="35"/>
      <c r="NQ18" s="35"/>
      <c r="NR18" s="35"/>
      <c r="NS18" s="35"/>
      <c r="NT18" s="35"/>
      <c r="NU18" s="35"/>
      <c r="NV18" s="35"/>
      <c r="NW18" s="35"/>
      <c r="NX18" s="35"/>
      <c r="NY18" s="35"/>
      <c r="NZ18" s="35"/>
      <c r="OA18" s="35"/>
      <c r="OB18" s="35"/>
      <c r="OC18" s="35"/>
      <c r="OD18" s="35"/>
      <c r="OE18" s="35"/>
      <c r="OF18" s="35"/>
      <c r="OG18" s="35"/>
      <c r="OH18" s="35"/>
      <c r="OI18" s="35"/>
      <c r="OJ18" s="35"/>
      <c r="OK18" s="35"/>
      <c r="OL18" s="35"/>
      <c r="OM18" s="35"/>
      <c r="ON18" s="35"/>
      <c r="OO18" s="35"/>
      <c r="OP18" s="35"/>
      <c r="OQ18" s="35"/>
      <c r="OR18" s="35"/>
      <c r="OS18" s="35"/>
      <c r="OT18" s="35"/>
      <c r="OU18" s="35"/>
      <c r="OV18" s="35"/>
    </row>
    <row r="19" ht="18.0" customHeight="1">
      <c r="A19" s="34">
        <v>18.0</v>
      </c>
      <c r="B19" s="35" t="s">
        <v>655</v>
      </c>
      <c r="C19" s="36" t="s">
        <v>1196</v>
      </c>
      <c r="D19" s="35" t="s">
        <v>835</v>
      </c>
      <c r="E19" s="34">
        <v>30.0</v>
      </c>
      <c r="F19" s="34" t="str">
        <f t="shared" si="1"/>
        <v>#REF!</v>
      </c>
      <c r="G19" s="34">
        <f t="shared" si="2"/>
        <v>0</v>
      </c>
      <c r="H19" s="34">
        <f t="shared" si="3"/>
        <v>0</v>
      </c>
      <c r="I19" s="34">
        <f t="shared" si="4"/>
        <v>0</v>
      </c>
      <c r="J19" s="37" t="s">
        <v>625</v>
      </c>
      <c r="K19" s="37" t="b">
        <v>0</v>
      </c>
      <c r="L19" s="38" t="s">
        <v>71</v>
      </c>
      <c r="M19" s="35" t="str">
        <f>IFERROR(__xludf.DUMMYFUNCTION("IFERROR(TOROW(CHOOSECOLS(SORT(FILTER({'Tổng hợp 75 trang đích'!$J$2:$J$3260,'Tổng hợp 75 trang đích'!$I$2:$I$3260,MATCH('Tổng hợp 75 trang đích'!$K$2:$K$3260,{""PHÙ HỢP CAO"",""CÓ THỂ ĐI"",""CẦN SOÁT""},0)},'Tổng hợp 75 trang đích'!$B$2:$B$3260=$D19),3,TR"&amp;"UE),1,2)),"""")"),"")</f>
        <v/>
      </c>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c r="BM19" s="35"/>
      <c r="BN19" s="35"/>
      <c r="BO19" s="35"/>
      <c r="BP19" s="35"/>
      <c r="BQ19" s="35"/>
      <c r="BR19" s="35"/>
      <c r="BS19" s="35"/>
      <c r="BT19" s="35"/>
      <c r="BU19" s="35"/>
      <c r="BV19" s="35"/>
      <c r="BW19" s="35"/>
      <c r="BX19" s="35"/>
      <c r="BY19" s="35"/>
      <c r="BZ19" s="35"/>
      <c r="CA19" s="35"/>
      <c r="CB19" s="35"/>
      <c r="CC19" s="35"/>
      <c r="CD19" s="35"/>
      <c r="CE19" s="35"/>
      <c r="CF19" s="35"/>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5"/>
      <c r="EG19" s="35"/>
      <c r="EH19" s="35"/>
      <c r="EI19" s="35"/>
      <c r="EJ19" s="35"/>
      <c r="EK19" s="35"/>
      <c r="EL19" s="35"/>
      <c r="EM19" s="35"/>
      <c r="EN19" s="35"/>
      <c r="EO19" s="35"/>
      <c r="EP19" s="35"/>
      <c r="EQ19" s="35"/>
      <c r="ER19" s="35"/>
      <c r="ES19" s="35"/>
      <c r="ET19" s="35"/>
      <c r="EU19" s="35"/>
      <c r="EV19" s="35"/>
      <c r="EW19" s="35"/>
      <c r="EX19" s="35"/>
      <c r="EY19" s="35"/>
      <c r="EZ19" s="35"/>
      <c r="FA19" s="35"/>
      <c r="FB19" s="35"/>
      <c r="FC19" s="35"/>
      <c r="FD19" s="35"/>
      <c r="FE19" s="35"/>
      <c r="FF19" s="35"/>
      <c r="FG19" s="35"/>
      <c r="FH19" s="35"/>
      <c r="FI19" s="35"/>
      <c r="FJ19" s="35"/>
      <c r="FK19" s="35"/>
      <c r="FL19" s="35"/>
      <c r="FM19" s="35"/>
      <c r="FN19" s="35"/>
      <c r="FO19" s="35"/>
      <c r="FP19" s="35"/>
      <c r="FQ19" s="35"/>
      <c r="FR19" s="35"/>
      <c r="FS19" s="35"/>
      <c r="FT19" s="35"/>
      <c r="FU19" s="35"/>
      <c r="FV19" s="35"/>
      <c r="FW19" s="35"/>
      <c r="FX19" s="35"/>
      <c r="FY19" s="35"/>
      <c r="FZ19" s="35"/>
      <c r="GA19" s="35"/>
      <c r="GB19" s="35"/>
      <c r="GC19" s="35"/>
      <c r="GD19" s="35"/>
      <c r="GE19" s="35"/>
      <c r="GF19" s="35"/>
      <c r="GG19" s="35"/>
      <c r="GH19" s="35"/>
      <c r="GI19" s="35"/>
      <c r="GJ19" s="35"/>
      <c r="GK19" s="35"/>
      <c r="GL19" s="35"/>
      <c r="GM19" s="35"/>
      <c r="GN19" s="35"/>
      <c r="GO19" s="35"/>
      <c r="GP19" s="35"/>
      <c r="GQ19" s="35"/>
      <c r="GR19" s="35"/>
      <c r="GS19" s="35"/>
      <c r="GT19" s="35"/>
      <c r="GU19" s="35"/>
      <c r="GV19" s="35"/>
      <c r="GW19" s="35"/>
      <c r="GX19" s="35"/>
      <c r="GY19" s="35"/>
      <c r="GZ19" s="35"/>
      <c r="HA19" s="35"/>
      <c r="HB19" s="35"/>
      <c r="HC19" s="35"/>
      <c r="HD19" s="35"/>
      <c r="HE19" s="35"/>
      <c r="HF19" s="35"/>
      <c r="HG19" s="35"/>
      <c r="HH19" s="35"/>
      <c r="HI19" s="35"/>
      <c r="HJ19" s="35"/>
      <c r="HK19" s="35"/>
      <c r="HL19" s="35"/>
      <c r="HM19" s="35"/>
      <c r="HN19" s="35"/>
      <c r="HO19" s="35"/>
      <c r="HP19" s="35"/>
      <c r="HQ19" s="35"/>
      <c r="HR19" s="35"/>
      <c r="HS19" s="35"/>
      <c r="HT19" s="35"/>
      <c r="HU19" s="35"/>
      <c r="HV19" s="35"/>
      <c r="HW19" s="35"/>
      <c r="HX19" s="35"/>
      <c r="HY19" s="35"/>
      <c r="HZ19" s="35"/>
      <c r="IA19" s="35"/>
      <c r="IB19" s="35"/>
      <c r="IC19" s="35"/>
      <c r="ID19" s="35"/>
      <c r="IE19" s="35"/>
      <c r="IF19" s="35"/>
      <c r="IG19" s="35"/>
      <c r="IH19" s="35"/>
      <c r="II19" s="35"/>
      <c r="IJ19" s="35"/>
      <c r="IK19" s="35"/>
      <c r="IL19" s="35"/>
      <c r="IM19" s="35"/>
      <c r="IN19" s="35"/>
      <c r="IO19" s="35"/>
      <c r="IP19" s="35"/>
      <c r="IQ19" s="35"/>
      <c r="IR19" s="35"/>
      <c r="IS19" s="35"/>
      <c r="IT19" s="35"/>
      <c r="IU19" s="35"/>
      <c r="IV19" s="35"/>
      <c r="IW19" s="35"/>
      <c r="IX19" s="35"/>
      <c r="IY19" s="35"/>
      <c r="IZ19" s="35"/>
      <c r="JA19" s="35"/>
      <c r="JB19" s="35"/>
      <c r="JC19" s="35"/>
      <c r="JD19" s="35"/>
      <c r="JE19" s="35"/>
      <c r="JF19" s="35"/>
      <c r="JG19" s="35"/>
      <c r="JH19" s="35"/>
      <c r="JI19" s="35"/>
      <c r="JJ19" s="35"/>
      <c r="JK19" s="35"/>
      <c r="JL19" s="35"/>
      <c r="JM19" s="35"/>
      <c r="JN19" s="35"/>
      <c r="JO19" s="35"/>
      <c r="JP19" s="35"/>
      <c r="JQ19" s="35"/>
      <c r="JR19" s="35"/>
      <c r="JS19" s="35"/>
      <c r="JT19" s="35"/>
      <c r="JU19" s="35"/>
      <c r="JV19" s="35"/>
      <c r="JW19" s="35"/>
      <c r="JX19" s="35"/>
      <c r="JY19" s="35"/>
      <c r="JZ19" s="35"/>
      <c r="KA19" s="35"/>
      <c r="KB19" s="35"/>
      <c r="KC19" s="35"/>
      <c r="KD19" s="35"/>
      <c r="KE19" s="35"/>
      <c r="KF19" s="35"/>
      <c r="KG19" s="35"/>
      <c r="KH19" s="35"/>
      <c r="KI19" s="35"/>
      <c r="KJ19" s="35"/>
      <c r="KK19" s="35"/>
      <c r="KL19" s="35"/>
      <c r="KM19" s="35"/>
      <c r="KN19" s="35"/>
      <c r="KO19" s="35"/>
      <c r="KP19" s="35"/>
      <c r="KQ19" s="35"/>
      <c r="KR19" s="35"/>
      <c r="KS19" s="35"/>
      <c r="KT19" s="35"/>
      <c r="KU19" s="35"/>
      <c r="KV19" s="35"/>
      <c r="KW19" s="35"/>
      <c r="KX19" s="35"/>
      <c r="KY19" s="35"/>
      <c r="KZ19" s="35"/>
      <c r="LA19" s="35"/>
      <c r="LB19" s="35"/>
      <c r="LC19" s="35"/>
      <c r="LD19" s="35"/>
      <c r="LE19" s="35"/>
      <c r="LF19" s="35"/>
      <c r="LG19" s="35"/>
      <c r="LH19" s="35"/>
      <c r="LI19" s="35"/>
      <c r="LJ19" s="35"/>
      <c r="LK19" s="35"/>
      <c r="LL19" s="35"/>
      <c r="LM19" s="35"/>
      <c r="LN19" s="35"/>
      <c r="LO19" s="35"/>
      <c r="LP19" s="35"/>
      <c r="LQ19" s="35"/>
      <c r="LR19" s="35"/>
      <c r="LS19" s="35"/>
      <c r="LT19" s="35"/>
      <c r="LU19" s="35"/>
      <c r="LV19" s="35"/>
      <c r="LW19" s="35"/>
      <c r="LX19" s="35"/>
      <c r="LY19" s="35"/>
      <c r="LZ19" s="35"/>
      <c r="MA19" s="35"/>
      <c r="MB19" s="35"/>
      <c r="MC19" s="35"/>
      <c r="MD19" s="35"/>
      <c r="ME19" s="35"/>
      <c r="MF19" s="35"/>
      <c r="MG19" s="35"/>
      <c r="MH19" s="35"/>
      <c r="MI19" s="35"/>
      <c r="MJ19" s="35"/>
      <c r="MK19" s="35"/>
      <c r="ML19" s="35"/>
      <c r="MM19" s="35"/>
      <c r="MN19" s="35"/>
      <c r="MO19" s="35"/>
      <c r="MP19" s="35"/>
      <c r="MQ19" s="35"/>
      <c r="MR19" s="35"/>
      <c r="MS19" s="35"/>
      <c r="MT19" s="35"/>
      <c r="MU19" s="35"/>
      <c r="MV19" s="35"/>
      <c r="MW19" s="35"/>
      <c r="MX19" s="35"/>
      <c r="MY19" s="35"/>
      <c r="MZ19" s="35"/>
      <c r="NA19" s="35"/>
      <c r="NB19" s="35"/>
      <c r="NC19" s="35"/>
      <c r="ND19" s="35"/>
      <c r="NE19" s="35"/>
      <c r="NF19" s="35"/>
      <c r="NG19" s="35"/>
      <c r="NH19" s="35"/>
      <c r="NI19" s="35"/>
      <c r="NJ19" s="35"/>
      <c r="NK19" s="35"/>
      <c r="NL19" s="35"/>
      <c r="NM19" s="35"/>
      <c r="NN19" s="35"/>
      <c r="NO19" s="35"/>
      <c r="NP19" s="35"/>
      <c r="NQ19" s="35"/>
      <c r="NR19" s="35"/>
      <c r="NS19" s="35"/>
      <c r="NT19" s="35"/>
      <c r="NU19" s="35"/>
      <c r="NV19" s="35"/>
      <c r="NW19" s="35"/>
      <c r="NX19" s="35"/>
      <c r="NY19" s="35"/>
      <c r="NZ19" s="35"/>
      <c r="OA19" s="35"/>
      <c r="OB19" s="35"/>
      <c r="OC19" s="35"/>
      <c r="OD19" s="35"/>
      <c r="OE19" s="35"/>
      <c r="OF19" s="35"/>
      <c r="OG19" s="35"/>
      <c r="OH19" s="35"/>
      <c r="OI19" s="35"/>
      <c r="OJ19" s="35"/>
      <c r="OK19" s="35"/>
      <c r="OL19" s="35"/>
      <c r="OM19" s="35"/>
      <c r="ON19" s="35"/>
      <c r="OO19" s="35"/>
      <c r="OP19" s="35"/>
      <c r="OQ19" s="35"/>
      <c r="OR19" s="35"/>
      <c r="OS19" s="35"/>
      <c r="OT19" s="35"/>
      <c r="OU19" s="35"/>
      <c r="OV19" s="35"/>
    </row>
    <row r="20" ht="18.0" customHeight="1">
      <c r="A20" s="34">
        <v>19.0</v>
      </c>
      <c r="B20" s="35" t="s">
        <v>655</v>
      </c>
      <c r="C20" s="36" t="s">
        <v>1223</v>
      </c>
      <c r="D20" s="35" t="s">
        <v>840</v>
      </c>
      <c r="E20" s="34">
        <v>30.0</v>
      </c>
      <c r="F20" s="34" t="str">
        <f t="shared" si="1"/>
        <v>#REF!</v>
      </c>
      <c r="G20" s="34">
        <f t="shared" si="2"/>
        <v>0</v>
      </c>
      <c r="H20" s="34">
        <f t="shared" si="3"/>
        <v>0</v>
      </c>
      <c r="I20" s="34">
        <f t="shared" si="4"/>
        <v>0</v>
      </c>
      <c r="J20" s="37" t="s">
        <v>625</v>
      </c>
      <c r="K20" s="37" t="b">
        <v>0</v>
      </c>
      <c r="L20" s="38" t="s">
        <v>71</v>
      </c>
      <c r="M20" s="35" t="str">
        <f>IFERROR(__xludf.DUMMYFUNCTION("IFERROR(TOROW(CHOOSECOLS(SORT(FILTER({'Tổng hợp 75 trang đích'!$J$2:$J$3260,'Tổng hợp 75 trang đích'!$I$2:$I$3260,MATCH('Tổng hợp 75 trang đích'!$K$2:$K$3260,{""PHÙ HỢP CAO"",""CÓ THỂ ĐI"",""CẦN SOÁT""},0)},'Tổng hợp 75 trang đích'!$B$2:$B$3260=$D20),3,TR"&amp;"UE),1,2)),"""")"),"")</f>
        <v/>
      </c>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c r="BM20" s="35"/>
      <c r="BN20" s="35"/>
      <c r="BO20" s="35"/>
      <c r="BP20" s="35"/>
      <c r="BQ20" s="35"/>
      <c r="BR20" s="35"/>
      <c r="BS20" s="35"/>
      <c r="BT20" s="35"/>
      <c r="BU20" s="35"/>
      <c r="BV20" s="35"/>
      <c r="BW20" s="35"/>
      <c r="BX20" s="35"/>
      <c r="BY20" s="35"/>
      <c r="BZ20" s="35"/>
      <c r="CA20" s="35"/>
      <c r="CB20" s="35"/>
      <c r="CC20" s="35"/>
      <c r="CD20" s="35"/>
      <c r="CE20" s="35"/>
      <c r="CF20" s="35"/>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5"/>
      <c r="EG20" s="35"/>
      <c r="EH20" s="35"/>
      <c r="EI20" s="35"/>
      <c r="EJ20" s="35"/>
      <c r="EK20" s="35"/>
      <c r="EL20" s="35"/>
      <c r="EM20" s="35"/>
      <c r="EN20" s="35"/>
      <c r="EO20" s="35"/>
      <c r="EP20" s="35"/>
      <c r="EQ20" s="35"/>
      <c r="ER20" s="35"/>
      <c r="ES20" s="35"/>
      <c r="ET20" s="35"/>
      <c r="EU20" s="35"/>
      <c r="EV20" s="35"/>
      <c r="EW20" s="35"/>
      <c r="EX20" s="35"/>
      <c r="EY20" s="35"/>
      <c r="EZ20" s="35"/>
      <c r="FA20" s="35"/>
      <c r="FB20" s="35"/>
      <c r="FC20" s="35"/>
      <c r="FD20" s="35"/>
      <c r="FE20" s="35"/>
      <c r="FF20" s="35"/>
      <c r="FG20" s="35"/>
      <c r="FH20" s="35"/>
      <c r="FI20" s="35"/>
      <c r="FJ20" s="35"/>
      <c r="FK20" s="35"/>
      <c r="FL20" s="35"/>
      <c r="FM20" s="35"/>
      <c r="FN20" s="35"/>
      <c r="FO20" s="35"/>
      <c r="FP20" s="35"/>
      <c r="FQ20" s="35"/>
      <c r="FR20" s="35"/>
      <c r="FS20" s="35"/>
      <c r="FT20" s="35"/>
      <c r="FU20" s="35"/>
      <c r="FV20" s="35"/>
      <c r="FW20" s="35"/>
      <c r="FX20" s="35"/>
      <c r="FY20" s="35"/>
      <c r="FZ20" s="35"/>
      <c r="GA20" s="35"/>
      <c r="GB20" s="35"/>
      <c r="GC20" s="35"/>
      <c r="GD20" s="35"/>
      <c r="GE20" s="35"/>
      <c r="GF20" s="35"/>
      <c r="GG20" s="35"/>
      <c r="GH20" s="35"/>
      <c r="GI20" s="35"/>
      <c r="GJ20" s="35"/>
      <c r="GK20" s="35"/>
      <c r="GL20" s="35"/>
      <c r="GM20" s="35"/>
      <c r="GN20" s="35"/>
      <c r="GO20" s="35"/>
      <c r="GP20" s="35"/>
      <c r="GQ20" s="35"/>
      <c r="GR20" s="35"/>
      <c r="GS20" s="35"/>
      <c r="GT20" s="35"/>
      <c r="GU20" s="35"/>
      <c r="GV20" s="35"/>
      <c r="GW20" s="35"/>
      <c r="GX20" s="35"/>
      <c r="GY20" s="35"/>
      <c r="GZ20" s="35"/>
      <c r="HA20" s="35"/>
      <c r="HB20" s="35"/>
      <c r="HC20" s="35"/>
      <c r="HD20" s="35"/>
      <c r="HE20" s="35"/>
      <c r="HF20" s="35"/>
      <c r="HG20" s="35"/>
      <c r="HH20" s="35"/>
      <c r="HI20" s="35"/>
      <c r="HJ20" s="35"/>
      <c r="HK20" s="35"/>
      <c r="HL20" s="35"/>
      <c r="HM20" s="35"/>
      <c r="HN20" s="35"/>
      <c r="HO20" s="35"/>
      <c r="HP20" s="35"/>
      <c r="HQ20" s="35"/>
      <c r="HR20" s="35"/>
      <c r="HS20" s="35"/>
      <c r="HT20" s="35"/>
      <c r="HU20" s="35"/>
      <c r="HV20" s="35"/>
      <c r="HW20" s="35"/>
      <c r="HX20" s="35"/>
      <c r="HY20" s="35"/>
      <c r="HZ20" s="35"/>
      <c r="IA20" s="35"/>
      <c r="IB20" s="35"/>
      <c r="IC20" s="35"/>
      <c r="ID20" s="35"/>
      <c r="IE20" s="35"/>
      <c r="IF20" s="35"/>
      <c r="IG20" s="35"/>
      <c r="IH20" s="35"/>
      <c r="II20" s="35"/>
      <c r="IJ20" s="35"/>
      <c r="IK20" s="35"/>
      <c r="IL20" s="35"/>
      <c r="IM20" s="35"/>
      <c r="IN20" s="35"/>
      <c r="IO20" s="35"/>
      <c r="IP20" s="35"/>
      <c r="IQ20" s="35"/>
      <c r="IR20" s="35"/>
      <c r="IS20" s="35"/>
      <c r="IT20" s="35"/>
      <c r="IU20" s="35"/>
      <c r="IV20" s="35"/>
      <c r="IW20" s="35"/>
      <c r="IX20" s="35"/>
      <c r="IY20" s="35"/>
      <c r="IZ20" s="35"/>
      <c r="JA20" s="35"/>
      <c r="JB20" s="35"/>
      <c r="JC20" s="35"/>
      <c r="JD20" s="35"/>
      <c r="JE20" s="35"/>
      <c r="JF20" s="35"/>
      <c r="JG20" s="35"/>
      <c r="JH20" s="35"/>
      <c r="JI20" s="35"/>
      <c r="JJ20" s="35"/>
      <c r="JK20" s="35"/>
      <c r="JL20" s="35"/>
      <c r="JM20" s="35"/>
      <c r="JN20" s="35"/>
      <c r="JO20" s="35"/>
      <c r="JP20" s="35"/>
      <c r="JQ20" s="35"/>
      <c r="JR20" s="35"/>
      <c r="JS20" s="35"/>
      <c r="JT20" s="35"/>
      <c r="JU20" s="35"/>
      <c r="JV20" s="35"/>
      <c r="JW20" s="35"/>
      <c r="JX20" s="35"/>
      <c r="JY20" s="35"/>
      <c r="JZ20" s="35"/>
      <c r="KA20" s="35"/>
      <c r="KB20" s="35"/>
      <c r="KC20" s="35"/>
      <c r="KD20" s="35"/>
      <c r="KE20" s="35"/>
      <c r="KF20" s="35"/>
      <c r="KG20" s="35"/>
      <c r="KH20" s="35"/>
      <c r="KI20" s="35"/>
      <c r="KJ20" s="35"/>
      <c r="KK20" s="35"/>
      <c r="KL20" s="35"/>
      <c r="KM20" s="35"/>
      <c r="KN20" s="35"/>
      <c r="KO20" s="35"/>
      <c r="KP20" s="35"/>
      <c r="KQ20" s="35"/>
      <c r="KR20" s="35"/>
      <c r="KS20" s="35"/>
      <c r="KT20" s="35"/>
      <c r="KU20" s="35"/>
      <c r="KV20" s="35"/>
      <c r="KW20" s="35"/>
      <c r="KX20" s="35"/>
      <c r="KY20" s="35"/>
      <c r="KZ20" s="35"/>
      <c r="LA20" s="35"/>
      <c r="LB20" s="35"/>
      <c r="LC20" s="35"/>
      <c r="LD20" s="35"/>
      <c r="LE20" s="35"/>
      <c r="LF20" s="35"/>
      <c r="LG20" s="35"/>
      <c r="LH20" s="35"/>
      <c r="LI20" s="35"/>
      <c r="LJ20" s="35"/>
      <c r="LK20" s="35"/>
      <c r="LL20" s="35"/>
      <c r="LM20" s="35"/>
      <c r="LN20" s="35"/>
      <c r="LO20" s="35"/>
      <c r="LP20" s="35"/>
      <c r="LQ20" s="35"/>
      <c r="LR20" s="35"/>
      <c r="LS20" s="35"/>
      <c r="LT20" s="35"/>
      <c r="LU20" s="35"/>
      <c r="LV20" s="35"/>
      <c r="LW20" s="35"/>
      <c r="LX20" s="35"/>
      <c r="LY20" s="35"/>
      <c r="LZ20" s="35"/>
      <c r="MA20" s="35"/>
      <c r="MB20" s="35"/>
      <c r="MC20" s="35"/>
      <c r="MD20" s="35"/>
      <c r="ME20" s="35"/>
      <c r="MF20" s="35"/>
      <c r="MG20" s="35"/>
      <c r="MH20" s="35"/>
      <c r="MI20" s="35"/>
      <c r="MJ20" s="35"/>
      <c r="MK20" s="35"/>
      <c r="ML20" s="35"/>
      <c r="MM20" s="35"/>
      <c r="MN20" s="35"/>
      <c r="MO20" s="35"/>
      <c r="MP20" s="35"/>
      <c r="MQ20" s="35"/>
      <c r="MR20" s="35"/>
      <c r="MS20" s="35"/>
      <c r="MT20" s="35"/>
      <c r="MU20" s="35"/>
      <c r="MV20" s="35"/>
      <c r="MW20" s="35"/>
      <c r="MX20" s="35"/>
      <c r="MY20" s="35"/>
      <c r="MZ20" s="35"/>
      <c r="NA20" s="35"/>
      <c r="NB20" s="35"/>
      <c r="NC20" s="35"/>
      <c r="ND20" s="35"/>
      <c r="NE20" s="35"/>
      <c r="NF20" s="35"/>
      <c r="NG20" s="35"/>
      <c r="NH20" s="35"/>
      <c r="NI20" s="35"/>
      <c r="NJ20" s="35"/>
      <c r="NK20" s="35"/>
      <c r="NL20" s="35"/>
      <c r="NM20" s="35"/>
      <c r="NN20" s="35"/>
      <c r="NO20" s="35"/>
      <c r="NP20" s="35"/>
      <c r="NQ20" s="35"/>
      <c r="NR20" s="35"/>
      <c r="NS20" s="35"/>
      <c r="NT20" s="35"/>
      <c r="NU20" s="35"/>
      <c r="NV20" s="35"/>
      <c r="NW20" s="35"/>
      <c r="NX20" s="35"/>
      <c r="NY20" s="35"/>
      <c r="NZ20" s="35"/>
      <c r="OA20" s="35"/>
      <c r="OB20" s="35"/>
      <c r="OC20" s="35"/>
      <c r="OD20" s="35"/>
      <c r="OE20" s="35"/>
      <c r="OF20" s="35"/>
      <c r="OG20" s="35"/>
      <c r="OH20" s="35"/>
      <c r="OI20" s="35"/>
      <c r="OJ20" s="35"/>
      <c r="OK20" s="35"/>
      <c r="OL20" s="35"/>
      <c r="OM20" s="35"/>
      <c r="ON20" s="35"/>
      <c r="OO20" s="35"/>
      <c r="OP20" s="35"/>
      <c r="OQ20" s="35"/>
      <c r="OR20" s="35"/>
      <c r="OS20" s="35"/>
      <c r="OT20" s="35"/>
      <c r="OU20" s="35"/>
      <c r="OV20" s="35"/>
    </row>
    <row r="21" ht="18.0" customHeight="1">
      <c r="A21" s="34">
        <v>20.0</v>
      </c>
      <c r="B21" s="35" t="s">
        <v>655</v>
      </c>
      <c r="C21" s="36" t="s">
        <v>1254</v>
      </c>
      <c r="D21" s="35" t="s">
        <v>850</v>
      </c>
      <c r="E21" s="34">
        <v>30.0</v>
      </c>
      <c r="F21" s="34" t="str">
        <f t="shared" si="1"/>
        <v>#REF!</v>
      </c>
      <c r="G21" s="34">
        <f t="shared" si="2"/>
        <v>0</v>
      </c>
      <c r="H21" s="34">
        <f t="shared" si="3"/>
        <v>0</v>
      </c>
      <c r="I21" s="34">
        <f t="shared" si="4"/>
        <v>0</v>
      </c>
      <c r="J21" s="37" t="s">
        <v>625</v>
      </c>
      <c r="K21" s="37" t="b">
        <v>0</v>
      </c>
      <c r="L21" s="38" t="s">
        <v>71</v>
      </c>
      <c r="M21" s="35" t="str">
        <f>IFERROR(__xludf.DUMMYFUNCTION("IFERROR(TOROW(CHOOSECOLS(SORT(FILTER({'Tổng hợp 75 trang đích'!$J$2:$J$3260,'Tổng hợp 75 trang đích'!$I$2:$I$3260,MATCH('Tổng hợp 75 trang đích'!$K$2:$K$3260,{""PHÙ HỢP CAO"",""CÓ THỂ ĐI"",""CẦN SOÁT""},0)},'Tổng hợp 75 trang đích'!$B$2:$B$3260=$D21),3,TR"&amp;"UE),1,2)),"""")"),"")</f>
        <v/>
      </c>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c r="BM21" s="35"/>
      <c r="BN21" s="35"/>
      <c r="BO21" s="35"/>
      <c r="BP21" s="35"/>
      <c r="BQ21" s="35"/>
      <c r="BR21" s="35"/>
      <c r="BS21" s="35"/>
      <c r="BT21" s="35"/>
      <c r="BU21" s="35"/>
      <c r="BV21" s="35"/>
      <c r="BW21" s="35"/>
      <c r="BX21" s="35"/>
      <c r="BY21" s="35"/>
      <c r="BZ21" s="35"/>
      <c r="CA21" s="35"/>
      <c r="CB21" s="35"/>
      <c r="CC21" s="35"/>
      <c r="CD21" s="35"/>
      <c r="CE21" s="35"/>
      <c r="CF21" s="35"/>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5"/>
      <c r="EG21" s="35"/>
      <c r="EH21" s="35"/>
      <c r="EI21" s="35"/>
      <c r="EJ21" s="35"/>
      <c r="EK21" s="35"/>
      <c r="EL21" s="35"/>
      <c r="EM21" s="35"/>
      <c r="EN21" s="35"/>
      <c r="EO21" s="35"/>
      <c r="EP21" s="35"/>
      <c r="EQ21" s="35"/>
      <c r="ER21" s="35"/>
      <c r="ES21" s="35"/>
      <c r="ET21" s="35"/>
      <c r="EU21" s="35"/>
      <c r="EV21" s="35"/>
      <c r="EW21" s="35"/>
      <c r="EX21" s="35"/>
      <c r="EY21" s="35"/>
      <c r="EZ21" s="35"/>
      <c r="FA21" s="35"/>
      <c r="FB21" s="35"/>
      <c r="FC21" s="35"/>
      <c r="FD21" s="35"/>
      <c r="FE21" s="35"/>
      <c r="FF21" s="35"/>
      <c r="FG21" s="35"/>
      <c r="FH21" s="35"/>
      <c r="FI21" s="35"/>
      <c r="FJ21" s="35"/>
      <c r="FK21" s="35"/>
      <c r="FL21" s="35"/>
      <c r="FM21" s="35"/>
      <c r="FN21" s="35"/>
      <c r="FO21" s="35"/>
      <c r="FP21" s="35"/>
      <c r="FQ21" s="35"/>
      <c r="FR21" s="35"/>
      <c r="FS21" s="35"/>
      <c r="FT21" s="35"/>
      <c r="FU21" s="35"/>
      <c r="FV21" s="35"/>
      <c r="FW21" s="35"/>
      <c r="FX21" s="35"/>
      <c r="FY21" s="35"/>
      <c r="FZ21" s="35"/>
      <c r="GA21" s="35"/>
      <c r="GB21" s="35"/>
      <c r="GC21" s="35"/>
      <c r="GD21" s="35"/>
      <c r="GE21" s="35"/>
      <c r="GF21" s="35"/>
      <c r="GG21" s="35"/>
      <c r="GH21" s="35"/>
      <c r="GI21" s="35"/>
      <c r="GJ21" s="35"/>
      <c r="GK21" s="35"/>
      <c r="GL21" s="35"/>
      <c r="GM21" s="35"/>
      <c r="GN21" s="35"/>
      <c r="GO21" s="35"/>
      <c r="GP21" s="35"/>
      <c r="GQ21" s="35"/>
      <c r="GR21" s="35"/>
      <c r="GS21" s="35"/>
      <c r="GT21" s="35"/>
      <c r="GU21" s="35"/>
      <c r="GV21" s="35"/>
      <c r="GW21" s="35"/>
      <c r="GX21" s="35"/>
      <c r="GY21" s="35"/>
      <c r="GZ21" s="35"/>
      <c r="HA21" s="35"/>
      <c r="HB21" s="35"/>
      <c r="HC21" s="35"/>
      <c r="HD21" s="35"/>
      <c r="HE21" s="35"/>
      <c r="HF21" s="35"/>
      <c r="HG21" s="35"/>
      <c r="HH21" s="35"/>
      <c r="HI21" s="35"/>
      <c r="HJ21" s="35"/>
      <c r="HK21" s="35"/>
      <c r="HL21" s="35"/>
      <c r="HM21" s="35"/>
      <c r="HN21" s="35"/>
      <c r="HO21" s="35"/>
      <c r="HP21" s="35"/>
      <c r="HQ21" s="35"/>
      <c r="HR21" s="35"/>
      <c r="HS21" s="35"/>
      <c r="HT21" s="35"/>
      <c r="HU21" s="35"/>
      <c r="HV21" s="35"/>
      <c r="HW21" s="35"/>
      <c r="HX21" s="35"/>
      <c r="HY21" s="35"/>
      <c r="HZ21" s="35"/>
      <c r="IA21" s="35"/>
      <c r="IB21" s="35"/>
      <c r="IC21" s="35"/>
      <c r="ID21" s="35"/>
      <c r="IE21" s="35"/>
      <c r="IF21" s="35"/>
      <c r="IG21" s="35"/>
      <c r="IH21" s="35"/>
      <c r="II21" s="35"/>
      <c r="IJ21" s="35"/>
      <c r="IK21" s="35"/>
      <c r="IL21" s="35"/>
      <c r="IM21" s="35"/>
      <c r="IN21" s="35"/>
      <c r="IO21" s="35"/>
      <c r="IP21" s="35"/>
      <c r="IQ21" s="35"/>
      <c r="IR21" s="35"/>
      <c r="IS21" s="35"/>
      <c r="IT21" s="35"/>
      <c r="IU21" s="35"/>
      <c r="IV21" s="35"/>
      <c r="IW21" s="35"/>
      <c r="IX21" s="35"/>
      <c r="IY21" s="35"/>
      <c r="IZ21" s="35"/>
      <c r="JA21" s="35"/>
      <c r="JB21" s="35"/>
      <c r="JC21" s="35"/>
      <c r="JD21" s="35"/>
      <c r="JE21" s="35"/>
      <c r="JF21" s="35"/>
      <c r="JG21" s="35"/>
      <c r="JH21" s="35"/>
      <c r="JI21" s="35"/>
      <c r="JJ21" s="35"/>
      <c r="JK21" s="35"/>
      <c r="JL21" s="35"/>
      <c r="JM21" s="35"/>
      <c r="JN21" s="35"/>
      <c r="JO21" s="35"/>
      <c r="JP21" s="35"/>
      <c r="JQ21" s="35"/>
      <c r="JR21" s="35"/>
      <c r="JS21" s="35"/>
      <c r="JT21" s="35"/>
      <c r="JU21" s="35"/>
      <c r="JV21" s="35"/>
      <c r="JW21" s="35"/>
      <c r="JX21" s="35"/>
      <c r="JY21" s="35"/>
      <c r="JZ21" s="35"/>
      <c r="KA21" s="35"/>
      <c r="KB21" s="35"/>
      <c r="KC21" s="35"/>
      <c r="KD21" s="35"/>
      <c r="KE21" s="35"/>
      <c r="KF21" s="35"/>
      <c r="KG21" s="35"/>
      <c r="KH21" s="35"/>
      <c r="KI21" s="35"/>
      <c r="KJ21" s="35"/>
      <c r="KK21" s="35"/>
      <c r="KL21" s="35"/>
      <c r="KM21" s="35"/>
      <c r="KN21" s="35"/>
      <c r="KO21" s="35"/>
      <c r="KP21" s="35"/>
      <c r="KQ21" s="35"/>
      <c r="KR21" s="35"/>
      <c r="KS21" s="35"/>
      <c r="KT21" s="35"/>
      <c r="KU21" s="35"/>
      <c r="KV21" s="35"/>
      <c r="KW21" s="35"/>
      <c r="KX21" s="35"/>
      <c r="KY21" s="35"/>
      <c r="KZ21" s="35"/>
      <c r="LA21" s="35"/>
      <c r="LB21" s="35"/>
      <c r="LC21" s="35"/>
      <c r="LD21" s="35"/>
      <c r="LE21" s="35"/>
      <c r="LF21" s="35"/>
      <c r="LG21" s="35"/>
      <c r="LH21" s="35"/>
      <c r="LI21" s="35"/>
      <c r="LJ21" s="35"/>
      <c r="LK21" s="35"/>
      <c r="LL21" s="35"/>
      <c r="LM21" s="35"/>
      <c r="LN21" s="35"/>
      <c r="LO21" s="35"/>
      <c r="LP21" s="35"/>
      <c r="LQ21" s="35"/>
      <c r="LR21" s="35"/>
      <c r="LS21" s="35"/>
      <c r="LT21" s="35"/>
      <c r="LU21" s="35"/>
      <c r="LV21" s="35"/>
      <c r="LW21" s="35"/>
      <c r="LX21" s="35"/>
      <c r="LY21" s="35"/>
      <c r="LZ21" s="35"/>
      <c r="MA21" s="35"/>
      <c r="MB21" s="35"/>
      <c r="MC21" s="35"/>
      <c r="MD21" s="35"/>
      <c r="ME21" s="35"/>
      <c r="MF21" s="35"/>
      <c r="MG21" s="35"/>
      <c r="MH21" s="35"/>
      <c r="MI21" s="35"/>
      <c r="MJ21" s="35"/>
      <c r="MK21" s="35"/>
      <c r="ML21" s="35"/>
      <c r="MM21" s="35"/>
      <c r="MN21" s="35"/>
      <c r="MO21" s="35"/>
      <c r="MP21" s="35"/>
      <c r="MQ21" s="35"/>
      <c r="MR21" s="35"/>
      <c r="MS21" s="35"/>
      <c r="MT21" s="35"/>
      <c r="MU21" s="35"/>
      <c r="MV21" s="35"/>
      <c r="MW21" s="35"/>
      <c r="MX21" s="35"/>
      <c r="MY21" s="35"/>
      <c r="MZ21" s="35"/>
      <c r="NA21" s="35"/>
      <c r="NB21" s="35"/>
      <c r="NC21" s="35"/>
      <c r="ND21" s="35"/>
      <c r="NE21" s="35"/>
      <c r="NF21" s="35"/>
      <c r="NG21" s="35"/>
      <c r="NH21" s="35"/>
      <c r="NI21" s="35"/>
      <c r="NJ21" s="35"/>
      <c r="NK21" s="35"/>
      <c r="NL21" s="35"/>
      <c r="NM21" s="35"/>
      <c r="NN21" s="35"/>
      <c r="NO21" s="35"/>
      <c r="NP21" s="35"/>
      <c r="NQ21" s="35"/>
      <c r="NR21" s="35"/>
      <c r="NS21" s="35"/>
      <c r="NT21" s="35"/>
      <c r="NU21" s="35"/>
      <c r="NV21" s="35"/>
      <c r="NW21" s="35"/>
      <c r="NX21" s="35"/>
      <c r="NY21" s="35"/>
      <c r="NZ21" s="35"/>
      <c r="OA21" s="35"/>
      <c r="OB21" s="35"/>
      <c r="OC21" s="35"/>
      <c r="OD21" s="35"/>
      <c r="OE21" s="35"/>
      <c r="OF21" s="35"/>
      <c r="OG21" s="35"/>
      <c r="OH21" s="35"/>
      <c r="OI21" s="35"/>
      <c r="OJ21" s="35"/>
      <c r="OK21" s="35"/>
      <c r="OL21" s="35"/>
      <c r="OM21" s="35"/>
      <c r="ON21" s="35"/>
      <c r="OO21" s="35"/>
      <c r="OP21" s="35"/>
      <c r="OQ21" s="35"/>
      <c r="OR21" s="35"/>
      <c r="OS21" s="35"/>
      <c r="OT21" s="35"/>
      <c r="OU21" s="35"/>
      <c r="OV21" s="35"/>
    </row>
    <row r="22" ht="18.0" customHeight="1">
      <c r="A22" s="34">
        <v>21.0</v>
      </c>
      <c r="B22" s="35" t="s">
        <v>655</v>
      </c>
      <c r="C22" s="36" t="s">
        <v>1285</v>
      </c>
      <c r="D22" s="35" t="s">
        <v>864</v>
      </c>
      <c r="E22" s="34">
        <v>30.0</v>
      </c>
      <c r="F22" s="34" t="str">
        <f t="shared" si="1"/>
        <v>#REF!</v>
      </c>
      <c r="G22" s="34">
        <f t="shared" si="2"/>
        <v>0</v>
      </c>
      <c r="H22" s="34">
        <f t="shared" si="3"/>
        <v>0</v>
      </c>
      <c r="I22" s="34">
        <f t="shared" si="4"/>
        <v>0</v>
      </c>
      <c r="J22" s="37" t="s">
        <v>625</v>
      </c>
      <c r="K22" s="37" t="b">
        <v>0</v>
      </c>
      <c r="L22" s="38" t="s">
        <v>71</v>
      </c>
      <c r="M22" s="35" t="str">
        <f>IFERROR(__xludf.DUMMYFUNCTION("IFERROR(TOROW(CHOOSECOLS(SORT(FILTER({'Tổng hợp 75 trang đích'!$J$2:$J$3260,'Tổng hợp 75 trang đích'!$I$2:$I$3260,MATCH('Tổng hợp 75 trang đích'!$K$2:$K$3260,{""PHÙ HỢP CAO"",""CÓ THỂ ĐI"",""CẦN SOÁT""},0)},'Tổng hợp 75 trang đích'!$B$2:$B$3260=$D22),3,TR"&amp;"UE),1,2)),"""")"),"")</f>
        <v/>
      </c>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c r="BM22" s="35"/>
      <c r="BN22" s="35"/>
      <c r="BO22" s="35"/>
      <c r="BP22" s="35"/>
      <c r="BQ22" s="35"/>
      <c r="BR22" s="35"/>
      <c r="BS22" s="35"/>
      <c r="BT22" s="35"/>
      <c r="BU22" s="35"/>
      <c r="BV22" s="35"/>
      <c r="BW22" s="35"/>
      <c r="BX22" s="35"/>
      <c r="BY22" s="35"/>
      <c r="BZ22" s="35"/>
      <c r="CA22" s="35"/>
      <c r="CB22" s="35"/>
      <c r="CC22" s="35"/>
      <c r="CD22" s="35"/>
      <c r="CE22" s="35"/>
      <c r="CF22" s="35"/>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5"/>
      <c r="EG22" s="35"/>
      <c r="EH22" s="35"/>
      <c r="EI22" s="35"/>
      <c r="EJ22" s="35"/>
      <c r="EK22" s="35"/>
      <c r="EL22" s="35"/>
      <c r="EM22" s="35"/>
      <c r="EN22" s="35"/>
      <c r="EO22" s="35"/>
      <c r="EP22" s="35"/>
      <c r="EQ22" s="35"/>
      <c r="ER22" s="35"/>
      <c r="ES22" s="35"/>
      <c r="ET22" s="35"/>
      <c r="EU22" s="35"/>
      <c r="EV22" s="35"/>
      <c r="EW22" s="35"/>
      <c r="EX22" s="35"/>
      <c r="EY22" s="35"/>
      <c r="EZ22" s="35"/>
      <c r="FA22" s="35"/>
      <c r="FB22" s="35"/>
      <c r="FC22" s="35"/>
      <c r="FD22" s="35"/>
      <c r="FE22" s="35"/>
      <c r="FF22" s="35"/>
      <c r="FG22" s="35"/>
      <c r="FH22" s="35"/>
      <c r="FI22" s="35"/>
      <c r="FJ22" s="35"/>
      <c r="FK22" s="35"/>
      <c r="FL22" s="35"/>
      <c r="FM22" s="35"/>
      <c r="FN22" s="35"/>
      <c r="FO22" s="35"/>
      <c r="FP22" s="35"/>
      <c r="FQ22" s="35"/>
      <c r="FR22" s="35"/>
      <c r="FS22" s="35"/>
      <c r="FT22" s="35"/>
      <c r="FU22" s="35"/>
      <c r="FV22" s="35"/>
      <c r="FW22" s="35"/>
      <c r="FX22" s="35"/>
      <c r="FY22" s="35"/>
      <c r="FZ22" s="35"/>
      <c r="GA22" s="35"/>
      <c r="GB22" s="35"/>
      <c r="GC22" s="35"/>
      <c r="GD22" s="35"/>
      <c r="GE22" s="35"/>
      <c r="GF22" s="35"/>
      <c r="GG22" s="35"/>
      <c r="GH22" s="35"/>
      <c r="GI22" s="35"/>
      <c r="GJ22" s="35"/>
      <c r="GK22" s="35"/>
      <c r="GL22" s="35"/>
      <c r="GM22" s="35"/>
      <c r="GN22" s="35"/>
      <c r="GO22" s="35"/>
      <c r="GP22" s="35"/>
      <c r="GQ22" s="35"/>
      <c r="GR22" s="35"/>
      <c r="GS22" s="35"/>
      <c r="GT22" s="35"/>
      <c r="GU22" s="35"/>
      <c r="GV22" s="35"/>
      <c r="GW22" s="35"/>
      <c r="GX22" s="35"/>
      <c r="GY22" s="35"/>
      <c r="GZ22" s="35"/>
      <c r="HA22" s="35"/>
      <c r="HB22" s="35"/>
      <c r="HC22" s="35"/>
      <c r="HD22" s="35"/>
      <c r="HE22" s="35"/>
      <c r="HF22" s="35"/>
      <c r="HG22" s="35"/>
      <c r="HH22" s="35"/>
      <c r="HI22" s="35"/>
      <c r="HJ22" s="35"/>
      <c r="HK22" s="35"/>
      <c r="HL22" s="35"/>
      <c r="HM22" s="35"/>
      <c r="HN22" s="35"/>
      <c r="HO22" s="35"/>
      <c r="HP22" s="35"/>
      <c r="HQ22" s="35"/>
      <c r="HR22" s="35"/>
      <c r="HS22" s="35"/>
      <c r="HT22" s="35"/>
      <c r="HU22" s="35"/>
      <c r="HV22" s="35"/>
      <c r="HW22" s="35"/>
      <c r="HX22" s="35"/>
      <c r="HY22" s="35"/>
      <c r="HZ22" s="35"/>
      <c r="IA22" s="35"/>
      <c r="IB22" s="35"/>
      <c r="IC22" s="35"/>
      <c r="ID22" s="35"/>
      <c r="IE22" s="35"/>
      <c r="IF22" s="35"/>
      <c r="IG22" s="35"/>
      <c r="IH22" s="35"/>
      <c r="II22" s="35"/>
      <c r="IJ22" s="35"/>
      <c r="IK22" s="35"/>
      <c r="IL22" s="35"/>
      <c r="IM22" s="35"/>
      <c r="IN22" s="35"/>
      <c r="IO22" s="35"/>
      <c r="IP22" s="35"/>
      <c r="IQ22" s="35"/>
      <c r="IR22" s="35"/>
      <c r="IS22" s="35"/>
      <c r="IT22" s="35"/>
      <c r="IU22" s="35"/>
      <c r="IV22" s="35"/>
      <c r="IW22" s="35"/>
      <c r="IX22" s="35"/>
      <c r="IY22" s="35"/>
      <c r="IZ22" s="35"/>
      <c r="JA22" s="35"/>
      <c r="JB22" s="35"/>
      <c r="JC22" s="35"/>
      <c r="JD22" s="35"/>
      <c r="JE22" s="35"/>
      <c r="JF22" s="35"/>
      <c r="JG22" s="35"/>
      <c r="JH22" s="35"/>
      <c r="JI22" s="35"/>
      <c r="JJ22" s="35"/>
      <c r="JK22" s="35"/>
      <c r="JL22" s="35"/>
      <c r="JM22" s="35"/>
      <c r="JN22" s="35"/>
      <c r="JO22" s="35"/>
      <c r="JP22" s="35"/>
      <c r="JQ22" s="35"/>
      <c r="JR22" s="35"/>
      <c r="JS22" s="35"/>
      <c r="JT22" s="35"/>
      <c r="JU22" s="35"/>
      <c r="JV22" s="35"/>
      <c r="JW22" s="35"/>
      <c r="JX22" s="35"/>
      <c r="JY22" s="35"/>
      <c r="JZ22" s="35"/>
      <c r="KA22" s="35"/>
      <c r="KB22" s="35"/>
      <c r="KC22" s="35"/>
      <c r="KD22" s="35"/>
      <c r="KE22" s="35"/>
      <c r="KF22" s="35"/>
      <c r="KG22" s="35"/>
      <c r="KH22" s="35"/>
      <c r="KI22" s="35"/>
      <c r="KJ22" s="35"/>
      <c r="KK22" s="35"/>
      <c r="KL22" s="35"/>
      <c r="KM22" s="35"/>
      <c r="KN22" s="35"/>
      <c r="KO22" s="35"/>
      <c r="KP22" s="35"/>
      <c r="KQ22" s="35"/>
      <c r="KR22" s="35"/>
      <c r="KS22" s="35"/>
      <c r="KT22" s="35"/>
      <c r="KU22" s="35"/>
      <c r="KV22" s="35"/>
      <c r="KW22" s="35"/>
      <c r="KX22" s="35"/>
      <c r="KY22" s="35"/>
      <c r="KZ22" s="35"/>
      <c r="LA22" s="35"/>
      <c r="LB22" s="35"/>
      <c r="LC22" s="35"/>
      <c r="LD22" s="35"/>
      <c r="LE22" s="35"/>
      <c r="LF22" s="35"/>
      <c r="LG22" s="35"/>
      <c r="LH22" s="35"/>
      <c r="LI22" s="35"/>
      <c r="LJ22" s="35"/>
      <c r="LK22" s="35"/>
      <c r="LL22" s="35"/>
      <c r="LM22" s="35"/>
      <c r="LN22" s="35"/>
      <c r="LO22" s="35"/>
      <c r="LP22" s="35"/>
      <c r="LQ22" s="35"/>
      <c r="LR22" s="35"/>
      <c r="LS22" s="35"/>
      <c r="LT22" s="35"/>
      <c r="LU22" s="35"/>
      <c r="LV22" s="35"/>
      <c r="LW22" s="35"/>
      <c r="LX22" s="35"/>
      <c r="LY22" s="35"/>
      <c r="LZ22" s="35"/>
      <c r="MA22" s="35"/>
      <c r="MB22" s="35"/>
      <c r="MC22" s="35"/>
      <c r="MD22" s="35"/>
      <c r="ME22" s="35"/>
      <c r="MF22" s="35"/>
      <c r="MG22" s="35"/>
      <c r="MH22" s="35"/>
      <c r="MI22" s="35"/>
      <c r="MJ22" s="35"/>
      <c r="MK22" s="35"/>
      <c r="ML22" s="35"/>
      <c r="MM22" s="35"/>
      <c r="MN22" s="35"/>
      <c r="MO22" s="35"/>
      <c r="MP22" s="35"/>
      <c r="MQ22" s="35"/>
      <c r="MR22" s="35"/>
      <c r="MS22" s="35"/>
      <c r="MT22" s="35"/>
      <c r="MU22" s="35"/>
      <c r="MV22" s="35"/>
      <c r="MW22" s="35"/>
      <c r="MX22" s="35"/>
      <c r="MY22" s="35"/>
      <c r="MZ22" s="35"/>
      <c r="NA22" s="35"/>
      <c r="NB22" s="35"/>
      <c r="NC22" s="35"/>
      <c r="ND22" s="35"/>
      <c r="NE22" s="35"/>
      <c r="NF22" s="35"/>
      <c r="NG22" s="35"/>
      <c r="NH22" s="35"/>
      <c r="NI22" s="35"/>
      <c r="NJ22" s="35"/>
      <c r="NK22" s="35"/>
      <c r="NL22" s="35"/>
      <c r="NM22" s="35"/>
      <c r="NN22" s="35"/>
      <c r="NO22" s="35"/>
      <c r="NP22" s="35"/>
      <c r="NQ22" s="35"/>
      <c r="NR22" s="35"/>
      <c r="NS22" s="35"/>
      <c r="NT22" s="35"/>
      <c r="NU22" s="35"/>
      <c r="NV22" s="35"/>
      <c r="NW22" s="35"/>
      <c r="NX22" s="35"/>
      <c r="NY22" s="35"/>
      <c r="NZ22" s="35"/>
      <c r="OA22" s="35"/>
      <c r="OB22" s="35"/>
      <c r="OC22" s="35"/>
      <c r="OD22" s="35"/>
      <c r="OE22" s="35"/>
      <c r="OF22" s="35"/>
      <c r="OG22" s="35"/>
      <c r="OH22" s="35"/>
      <c r="OI22" s="35"/>
      <c r="OJ22" s="35"/>
      <c r="OK22" s="35"/>
      <c r="OL22" s="35"/>
      <c r="OM22" s="35"/>
      <c r="ON22" s="35"/>
      <c r="OO22" s="35"/>
      <c r="OP22" s="35"/>
      <c r="OQ22" s="35"/>
      <c r="OR22" s="35"/>
      <c r="OS22" s="35"/>
      <c r="OT22" s="35"/>
      <c r="OU22" s="35"/>
      <c r="OV22" s="35"/>
    </row>
    <row r="23" ht="18.0" customHeight="1">
      <c r="A23" s="34">
        <v>22.0</v>
      </c>
      <c r="B23" s="35" t="s">
        <v>655</v>
      </c>
      <c r="C23" s="36" t="s">
        <v>1322</v>
      </c>
      <c r="D23" s="35" t="s">
        <v>876</v>
      </c>
      <c r="E23" s="34">
        <v>30.0</v>
      </c>
      <c r="F23" s="34" t="str">
        <f t="shared" si="1"/>
        <v>#REF!</v>
      </c>
      <c r="G23" s="34">
        <f t="shared" si="2"/>
        <v>0</v>
      </c>
      <c r="H23" s="34">
        <f t="shared" si="3"/>
        <v>0</v>
      </c>
      <c r="I23" s="34">
        <f t="shared" si="4"/>
        <v>0</v>
      </c>
      <c r="J23" s="37" t="s">
        <v>625</v>
      </c>
      <c r="K23" s="37" t="b">
        <v>0</v>
      </c>
      <c r="L23" s="38" t="s">
        <v>71</v>
      </c>
      <c r="M23" s="35" t="str">
        <f>IFERROR(__xludf.DUMMYFUNCTION("IFERROR(TOROW(CHOOSECOLS(SORT(FILTER({'Tổng hợp 75 trang đích'!$J$2:$J$3260,'Tổng hợp 75 trang đích'!$I$2:$I$3260,MATCH('Tổng hợp 75 trang đích'!$K$2:$K$3260,{""PHÙ HỢP CAO"",""CÓ THỂ ĐI"",""CẦN SOÁT""},0)},'Tổng hợp 75 trang đích'!$B$2:$B$3260=$D23),3,TR"&amp;"UE),1,2)),"""")"),"")</f>
        <v/>
      </c>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c r="BM23" s="35"/>
      <c r="BN23" s="35"/>
      <c r="BO23" s="35"/>
      <c r="BP23" s="35"/>
      <c r="BQ23" s="35"/>
      <c r="BR23" s="35"/>
      <c r="BS23" s="35"/>
      <c r="BT23" s="35"/>
      <c r="BU23" s="35"/>
      <c r="BV23" s="35"/>
      <c r="BW23" s="35"/>
      <c r="BX23" s="35"/>
      <c r="BY23" s="35"/>
      <c r="BZ23" s="35"/>
      <c r="CA23" s="35"/>
      <c r="CB23" s="35"/>
      <c r="CC23" s="35"/>
      <c r="CD23" s="35"/>
      <c r="CE23" s="35"/>
      <c r="CF23" s="35"/>
      <c r="CG23" s="35"/>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c r="EA23" s="35"/>
      <c r="EB23" s="35"/>
      <c r="EC23" s="35"/>
      <c r="ED23" s="35"/>
      <c r="EE23" s="35"/>
      <c r="EF23" s="35"/>
      <c r="EG23" s="35"/>
      <c r="EH23" s="35"/>
      <c r="EI23" s="35"/>
      <c r="EJ23" s="35"/>
      <c r="EK23" s="35"/>
      <c r="EL23" s="35"/>
      <c r="EM23" s="35"/>
      <c r="EN23" s="35"/>
      <c r="EO23" s="35"/>
      <c r="EP23" s="35"/>
      <c r="EQ23" s="35"/>
      <c r="ER23" s="35"/>
      <c r="ES23" s="35"/>
      <c r="ET23" s="35"/>
      <c r="EU23" s="35"/>
      <c r="EV23" s="35"/>
      <c r="EW23" s="35"/>
      <c r="EX23" s="35"/>
      <c r="EY23" s="35"/>
      <c r="EZ23" s="35"/>
      <c r="FA23" s="35"/>
      <c r="FB23" s="35"/>
      <c r="FC23" s="35"/>
      <c r="FD23" s="35"/>
      <c r="FE23" s="35"/>
      <c r="FF23" s="35"/>
      <c r="FG23" s="35"/>
      <c r="FH23" s="35"/>
      <c r="FI23" s="35"/>
      <c r="FJ23" s="35"/>
      <c r="FK23" s="35"/>
      <c r="FL23" s="35"/>
      <c r="FM23" s="35"/>
      <c r="FN23" s="35"/>
      <c r="FO23" s="35"/>
      <c r="FP23" s="35"/>
      <c r="FQ23" s="35"/>
      <c r="FR23" s="35"/>
      <c r="FS23" s="35"/>
      <c r="FT23" s="35"/>
      <c r="FU23" s="35"/>
      <c r="FV23" s="35"/>
      <c r="FW23" s="35"/>
      <c r="FX23" s="35"/>
      <c r="FY23" s="35"/>
      <c r="FZ23" s="35"/>
      <c r="GA23" s="35"/>
      <c r="GB23" s="35"/>
      <c r="GC23" s="35"/>
      <c r="GD23" s="35"/>
      <c r="GE23" s="35"/>
      <c r="GF23" s="35"/>
      <c r="GG23" s="35"/>
      <c r="GH23" s="35"/>
      <c r="GI23" s="35"/>
      <c r="GJ23" s="35"/>
      <c r="GK23" s="35"/>
      <c r="GL23" s="35"/>
      <c r="GM23" s="35"/>
      <c r="GN23" s="35"/>
      <c r="GO23" s="35"/>
      <c r="GP23" s="35"/>
      <c r="GQ23" s="35"/>
      <c r="GR23" s="35"/>
      <c r="GS23" s="35"/>
      <c r="GT23" s="35"/>
      <c r="GU23" s="35"/>
      <c r="GV23" s="35"/>
      <c r="GW23" s="35"/>
      <c r="GX23" s="35"/>
      <c r="GY23" s="35"/>
      <c r="GZ23" s="35"/>
      <c r="HA23" s="35"/>
      <c r="HB23" s="35"/>
      <c r="HC23" s="35"/>
      <c r="HD23" s="35"/>
      <c r="HE23" s="35"/>
      <c r="HF23" s="35"/>
      <c r="HG23" s="35"/>
      <c r="HH23" s="35"/>
      <c r="HI23" s="35"/>
      <c r="HJ23" s="35"/>
      <c r="HK23" s="35"/>
      <c r="HL23" s="35"/>
      <c r="HM23" s="35"/>
      <c r="HN23" s="35"/>
      <c r="HO23" s="35"/>
      <c r="HP23" s="35"/>
      <c r="HQ23" s="35"/>
      <c r="HR23" s="35"/>
      <c r="HS23" s="35"/>
      <c r="HT23" s="35"/>
      <c r="HU23" s="35"/>
      <c r="HV23" s="35"/>
      <c r="HW23" s="35"/>
      <c r="HX23" s="35"/>
      <c r="HY23" s="35"/>
      <c r="HZ23" s="35"/>
      <c r="IA23" s="35"/>
      <c r="IB23" s="35"/>
      <c r="IC23" s="35"/>
      <c r="ID23" s="35"/>
      <c r="IE23" s="35"/>
      <c r="IF23" s="35"/>
      <c r="IG23" s="35"/>
      <c r="IH23" s="35"/>
      <c r="II23" s="35"/>
      <c r="IJ23" s="35"/>
      <c r="IK23" s="35"/>
      <c r="IL23" s="35"/>
      <c r="IM23" s="35"/>
      <c r="IN23" s="35"/>
      <c r="IO23" s="35"/>
      <c r="IP23" s="35"/>
      <c r="IQ23" s="35"/>
      <c r="IR23" s="35"/>
      <c r="IS23" s="35"/>
      <c r="IT23" s="35"/>
      <c r="IU23" s="35"/>
      <c r="IV23" s="35"/>
      <c r="IW23" s="35"/>
      <c r="IX23" s="35"/>
      <c r="IY23" s="35"/>
      <c r="IZ23" s="35"/>
      <c r="JA23" s="35"/>
      <c r="JB23" s="35"/>
      <c r="JC23" s="35"/>
      <c r="JD23" s="35"/>
      <c r="JE23" s="35"/>
      <c r="JF23" s="35"/>
      <c r="JG23" s="35"/>
      <c r="JH23" s="35"/>
      <c r="JI23" s="35"/>
      <c r="JJ23" s="35"/>
      <c r="JK23" s="35"/>
      <c r="JL23" s="35"/>
      <c r="JM23" s="35"/>
      <c r="JN23" s="35"/>
      <c r="JO23" s="35"/>
      <c r="JP23" s="35"/>
      <c r="JQ23" s="35"/>
      <c r="JR23" s="35"/>
      <c r="JS23" s="35"/>
      <c r="JT23" s="35"/>
      <c r="JU23" s="35"/>
      <c r="JV23" s="35"/>
      <c r="JW23" s="35"/>
      <c r="JX23" s="35"/>
      <c r="JY23" s="35"/>
      <c r="JZ23" s="35"/>
      <c r="KA23" s="35"/>
      <c r="KB23" s="35"/>
      <c r="KC23" s="35"/>
      <c r="KD23" s="35"/>
      <c r="KE23" s="35"/>
      <c r="KF23" s="35"/>
      <c r="KG23" s="35"/>
      <c r="KH23" s="35"/>
      <c r="KI23" s="35"/>
      <c r="KJ23" s="35"/>
      <c r="KK23" s="35"/>
      <c r="KL23" s="35"/>
      <c r="KM23" s="35"/>
      <c r="KN23" s="35"/>
      <c r="KO23" s="35"/>
      <c r="KP23" s="35"/>
      <c r="KQ23" s="35"/>
      <c r="KR23" s="35"/>
      <c r="KS23" s="35"/>
      <c r="KT23" s="35"/>
      <c r="KU23" s="35"/>
      <c r="KV23" s="35"/>
      <c r="KW23" s="35"/>
      <c r="KX23" s="35"/>
      <c r="KY23" s="35"/>
      <c r="KZ23" s="35"/>
      <c r="LA23" s="35"/>
      <c r="LB23" s="35"/>
      <c r="LC23" s="35"/>
      <c r="LD23" s="35"/>
      <c r="LE23" s="35"/>
      <c r="LF23" s="35"/>
      <c r="LG23" s="35"/>
      <c r="LH23" s="35"/>
      <c r="LI23" s="35"/>
      <c r="LJ23" s="35"/>
      <c r="LK23" s="35"/>
      <c r="LL23" s="35"/>
      <c r="LM23" s="35"/>
      <c r="LN23" s="35"/>
      <c r="LO23" s="35"/>
      <c r="LP23" s="35"/>
      <c r="LQ23" s="35"/>
      <c r="LR23" s="35"/>
      <c r="LS23" s="35"/>
      <c r="LT23" s="35"/>
      <c r="LU23" s="35"/>
      <c r="LV23" s="35"/>
      <c r="LW23" s="35"/>
      <c r="LX23" s="35"/>
      <c r="LY23" s="35"/>
      <c r="LZ23" s="35"/>
      <c r="MA23" s="35"/>
      <c r="MB23" s="35"/>
      <c r="MC23" s="35"/>
      <c r="MD23" s="35"/>
      <c r="ME23" s="35"/>
      <c r="MF23" s="35"/>
      <c r="MG23" s="35"/>
      <c r="MH23" s="35"/>
      <c r="MI23" s="35"/>
      <c r="MJ23" s="35"/>
      <c r="MK23" s="35"/>
      <c r="ML23" s="35"/>
      <c r="MM23" s="35"/>
      <c r="MN23" s="35"/>
      <c r="MO23" s="35"/>
      <c r="MP23" s="35"/>
      <c r="MQ23" s="35"/>
      <c r="MR23" s="35"/>
      <c r="MS23" s="35"/>
      <c r="MT23" s="35"/>
      <c r="MU23" s="35"/>
      <c r="MV23" s="35"/>
      <c r="MW23" s="35"/>
      <c r="MX23" s="35"/>
      <c r="MY23" s="35"/>
      <c r="MZ23" s="35"/>
      <c r="NA23" s="35"/>
      <c r="NB23" s="35"/>
      <c r="NC23" s="35"/>
      <c r="ND23" s="35"/>
      <c r="NE23" s="35"/>
      <c r="NF23" s="35"/>
      <c r="NG23" s="35"/>
      <c r="NH23" s="35"/>
      <c r="NI23" s="35"/>
      <c r="NJ23" s="35"/>
      <c r="NK23" s="35"/>
      <c r="NL23" s="35"/>
      <c r="NM23" s="35"/>
      <c r="NN23" s="35"/>
      <c r="NO23" s="35"/>
      <c r="NP23" s="35"/>
      <c r="NQ23" s="35"/>
      <c r="NR23" s="35"/>
      <c r="NS23" s="35"/>
      <c r="NT23" s="35"/>
      <c r="NU23" s="35"/>
      <c r="NV23" s="35"/>
      <c r="NW23" s="35"/>
      <c r="NX23" s="35"/>
      <c r="NY23" s="35"/>
      <c r="NZ23" s="35"/>
      <c r="OA23" s="35"/>
      <c r="OB23" s="35"/>
      <c r="OC23" s="35"/>
      <c r="OD23" s="35"/>
      <c r="OE23" s="35"/>
      <c r="OF23" s="35"/>
      <c r="OG23" s="35"/>
      <c r="OH23" s="35"/>
      <c r="OI23" s="35"/>
      <c r="OJ23" s="35"/>
      <c r="OK23" s="35"/>
      <c r="OL23" s="35"/>
      <c r="OM23" s="35"/>
      <c r="ON23" s="35"/>
      <c r="OO23" s="35"/>
      <c r="OP23" s="35"/>
      <c r="OQ23" s="35"/>
      <c r="OR23" s="35"/>
      <c r="OS23" s="35"/>
      <c r="OT23" s="35"/>
      <c r="OU23" s="35"/>
      <c r="OV23" s="35"/>
    </row>
    <row r="24" ht="18.0" customHeight="1">
      <c r="A24" s="34">
        <v>23.0</v>
      </c>
      <c r="B24" s="35" t="s">
        <v>655</v>
      </c>
      <c r="C24" s="36" t="s">
        <v>1357</v>
      </c>
      <c r="D24" s="35" t="s">
        <v>885</v>
      </c>
      <c r="E24" s="34">
        <v>30.0</v>
      </c>
      <c r="F24" s="34" t="str">
        <f t="shared" si="1"/>
        <v>#REF!</v>
      </c>
      <c r="G24" s="34">
        <f t="shared" si="2"/>
        <v>0</v>
      </c>
      <c r="H24" s="34">
        <f t="shared" si="3"/>
        <v>0</v>
      </c>
      <c r="I24" s="34">
        <f t="shared" si="4"/>
        <v>0</v>
      </c>
      <c r="J24" s="37" t="s">
        <v>625</v>
      </c>
      <c r="K24" s="37" t="b">
        <v>0</v>
      </c>
      <c r="L24" s="38" t="s">
        <v>71</v>
      </c>
      <c r="M24" s="35" t="str">
        <f>IFERROR(__xludf.DUMMYFUNCTION("IFERROR(TOROW(CHOOSECOLS(SORT(FILTER({'Tổng hợp 75 trang đích'!$J$2:$J$3260,'Tổng hợp 75 trang đích'!$I$2:$I$3260,MATCH('Tổng hợp 75 trang đích'!$K$2:$K$3260,{""PHÙ HỢP CAO"",""CÓ THỂ ĐI"",""CẦN SOÁT""},0)},'Tổng hợp 75 trang đích'!$B$2:$B$3260=$D24),3,TR"&amp;"UE),1,2)),"""")"),"")</f>
        <v/>
      </c>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c r="BM24" s="35"/>
      <c r="BN24" s="35"/>
      <c r="BO24" s="35"/>
      <c r="BP24" s="35"/>
      <c r="BQ24" s="35"/>
      <c r="BR24" s="35"/>
      <c r="BS24" s="35"/>
      <c r="BT24" s="35"/>
      <c r="BU24" s="35"/>
      <c r="BV24" s="35"/>
      <c r="BW24" s="35"/>
      <c r="BX24" s="35"/>
      <c r="BY24" s="35"/>
      <c r="BZ24" s="35"/>
      <c r="CA24" s="35"/>
      <c r="CB24" s="35"/>
      <c r="CC24" s="35"/>
      <c r="CD24" s="35"/>
      <c r="CE24" s="35"/>
      <c r="CF24" s="35"/>
      <c r="CG24" s="35"/>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c r="EA24" s="35"/>
      <c r="EB24" s="35"/>
      <c r="EC24" s="35"/>
      <c r="ED24" s="35"/>
      <c r="EE24" s="35"/>
      <c r="EF24" s="35"/>
      <c r="EG24" s="35"/>
      <c r="EH24" s="35"/>
      <c r="EI24" s="35"/>
      <c r="EJ24" s="35"/>
      <c r="EK24" s="35"/>
      <c r="EL24" s="35"/>
      <c r="EM24" s="35"/>
      <c r="EN24" s="35"/>
      <c r="EO24" s="35"/>
      <c r="EP24" s="35"/>
      <c r="EQ24" s="35"/>
      <c r="ER24" s="35"/>
      <c r="ES24" s="35"/>
      <c r="ET24" s="35"/>
      <c r="EU24" s="35"/>
      <c r="EV24" s="35"/>
      <c r="EW24" s="35"/>
      <c r="EX24" s="35"/>
      <c r="EY24" s="35"/>
      <c r="EZ24" s="35"/>
      <c r="FA24" s="35"/>
      <c r="FB24" s="35"/>
      <c r="FC24" s="35"/>
      <c r="FD24" s="35"/>
      <c r="FE24" s="35"/>
      <c r="FF24" s="35"/>
      <c r="FG24" s="35"/>
      <c r="FH24" s="35"/>
      <c r="FI24" s="35"/>
      <c r="FJ24" s="35"/>
      <c r="FK24" s="35"/>
      <c r="FL24" s="35"/>
      <c r="FM24" s="35"/>
      <c r="FN24" s="35"/>
      <c r="FO24" s="35"/>
      <c r="FP24" s="35"/>
      <c r="FQ24" s="35"/>
      <c r="FR24" s="35"/>
      <c r="FS24" s="35"/>
      <c r="FT24" s="35"/>
      <c r="FU24" s="35"/>
      <c r="FV24" s="35"/>
      <c r="FW24" s="35"/>
      <c r="FX24" s="35"/>
      <c r="FY24" s="35"/>
      <c r="FZ24" s="35"/>
      <c r="GA24" s="35"/>
      <c r="GB24" s="35"/>
      <c r="GC24" s="35"/>
      <c r="GD24" s="35"/>
      <c r="GE24" s="35"/>
      <c r="GF24" s="35"/>
      <c r="GG24" s="35"/>
      <c r="GH24" s="35"/>
      <c r="GI24" s="35"/>
      <c r="GJ24" s="35"/>
      <c r="GK24" s="35"/>
      <c r="GL24" s="35"/>
      <c r="GM24" s="35"/>
      <c r="GN24" s="35"/>
      <c r="GO24" s="35"/>
      <c r="GP24" s="35"/>
      <c r="GQ24" s="35"/>
      <c r="GR24" s="35"/>
      <c r="GS24" s="35"/>
      <c r="GT24" s="35"/>
      <c r="GU24" s="35"/>
      <c r="GV24" s="35"/>
      <c r="GW24" s="35"/>
      <c r="GX24" s="35"/>
      <c r="GY24" s="35"/>
      <c r="GZ24" s="35"/>
      <c r="HA24" s="35"/>
      <c r="HB24" s="35"/>
      <c r="HC24" s="35"/>
      <c r="HD24" s="35"/>
      <c r="HE24" s="35"/>
      <c r="HF24" s="35"/>
      <c r="HG24" s="35"/>
      <c r="HH24" s="35"/>
      <c r="HI24" s="35"/>
      <c r="HJ24" s="35"/>
      <c r="HK24" s="35"/>
      <c r="HL24" s="35"/>
      <c r="HM24" s="35"/>
      <c r="HN24" s="35"/>
      <c r="HO24" s="35"/>
      <c r="HP24" s="35"/>
      <c r="HQ24" s="35"/>
      <c r="HR24" s="35"/>
      <c r="HS24" s="35"/>
      <c r="HT24" s="35"/>
      <c r="HU24" s="35"/>
      <c r="HV24" s="35"/>
      <c r="HW24" s="35"/>
      <c r="HX24" s="35"/>
      <c r="HY24" s="35"/>
      <c r="HZ24" s="35"/>
      <c r="IA24" s="35"/>
      <c r="IB24" s="35"/>
      <c r="IC24" s="35"/>
      <c r="ID24" s="35"/>
      <c r="IE24" s="35"/>
      <c r="IF24" s="35"/>
      <c r="IG24" s="35"/>
      <c r="IH24" s="35"/>
      <c r="II24" s="35"/>
      <c r="IJ24" s="35"/>
      <c r="IK24" s="35"/>
      <c r="IL24" s="35"/>
      <c r="IM24" s="35"/>
      <c r="IN24" s="35"/>
      <c r="IO24" s="35"/>
      <c r="IP24" s="35"/>
      <c r="IQ24" s="35"/>
      <c r="IR24" s="35"/>
      <c r="IS24" s="35"/>
      <c r="IT24" s="35"/>
      <c r="IU24" s="35"/>
      <c r="IV24" s="35"/>
      <c r="IW24" s="35"/>
      <c r="IX24" s="35"/>
      <c r="IY24" s="35"/>
      <c r="IZ24" s="35"/>
      <c r="JA24" s="35"/>
      <c r="JB24" s="35"/>
      <c r="JC24" s="35"/>
      <c r="JD24" s="35"/>
      <c r="JE24" s="35"/>
      <c r="JF24" s="35"/>
      <c r="JG24" s="35"/>
      <c r="JH24" s="35"/>
      <c r="JI24" s="35"/>
      <c r="JJ24" s="35"/>
      <c r="JK24" s="35"/>
      <c r="JL24" s="35"/>
      <c r="JM24" s="35"/>
      <c r="JN24" s="35"/>
      <c r="JO24" s="35"/>
      <c r="JP24" s="35"/>
      <c r="JQ24" s="35"/>
      <c r="JR24" s="35"/>
      <c r="JS24" s="35"/>
      <c r="JT24" s="35"/>
      <c r="JU24" s="35"/>
      <c r="JV24" s="35"/>
      <c r="JW24" s="35"/>
      <c r="JX24" s="35"/>
      <c r="JY24" s="35"/>
      <c r="JZ24" s="35"/>
      <c r="KA24" s="35"/>
      <c r="KB24" s="35"/>
      <c r="KC24" s="35"/>
      <c r="KD24" s="35"/>
      <c r="KE24" s="35"/>
      <c r="KF24" s="35"/>
      <c r="KG24" s="35"/>
      <c r="KH24" s="35"/>
      <c r="KI24" s="35"/>
      <c r="KJ24" s="35"/>
      <c r="KK24" s="35"/>
      <c r="KL24" s="35"/>
      <c r="KM24" s="35"/>
      <c r="KN24" s="35"/>
      <c r="KO24" s="35"/>
      <c r="KP24" s="35"/>
      <c r="KQ24" s="35"/>
      <c r="KR24" s="35"/>
      <c r="KS24" s="35"/>
      <c r="KT24" s="35"/>
      <c r="KU24" s="35"/>
      <c r="KV24" s="35"/>
      <c r="KW24" s="35"/>
      <c r="KX24" s="35"/>
      <c r="KY24" s="35"/>
      <c r="KZ24" s="35"/>
      <c r="LA24" s="35"/>
      <c r="LB24" s="35"/>
      <c r="LC24" s="35"/>
      <c r="LD24" s="35"/>
      <c r="LE24" s="35"/>
      <c r="LF24" s="35"/>
      <c r="LG24" s="35"/>
      <c r="LH24" s="35"/>
      <c r="LI24" s="35"/>
      <c r="LJ24" s="35"/>
      <c r="LK24" s="35"/>
      <c r="LL24" s="35"/>
      <c r="LM24" s="35"/>
      <c r="LN24" s="35"/>
      <c r="LO24" s="35"/>
      <c r="LP24" s="35"/>
      <c r="LQ24" s="35"/>
      <c r="LR24" s="35"/>
      <c r="LS24" s="35"/>
      <c r="LT24" s="35"/>
      <c r="LU24" s="35"/>
      <c r="LV24" s="35"/>
      <c r="LW24" s="35"/>
      <c r="LX24" s="35"/>
      <c r="LY24" s="35"/>
      <c r="LZ24" s="35"/>
      <c r="MA24" s="35"/>
      <c r="MB24" s="35"/>
      <c r="MC24" s="35"/>
      <c r="MD24" s="35"/>
      <c r="ME24" s="35"/>
      <c r="MF24" s="35"/>
      <c r="MG24" s="35"/>
      <c r="MH24" s="35"/>
      <c r="MI24" s="35"/>
      <c r="MJ24" s="35"/>
      <c r="MK24" s="35"/>
      <c r="ML24" s="35"/>
      <c r="MM24" s="35"/>
      <c r="MN24" s="35"/>
      <c r="MO24" s="35"/>
      <c r="MP24" s="35"/>
      <c r="MQ24" s="35"/>
      <c r="MR24" s="35"/>
      <c r="MS24" s="35"/>
      <c r="MT24" s="35"/>
      <c r="MU24" s="35"/>
      <c r="MV24" s="35"/>
      <c r="MW24" s="35"/>
      <c r="MX24" s="35"/>
      <c r="MY24" s="35"/>
      <c r="MZ24" s="35"/>
      <c r="NA24" s="35"/>
      <c r="NB24" s="35"/>
      <c r="NC24" s="35"/>
      <c r="ND24" s="35"/>
      <c r="NE24" s="35"/>
      <c r="NF24" s="35"/>
      <c r="NG24" s="35"/>
      <c r="NH24" s="35"/>
      <c r="NI24" s="35"/>
      <c r="NJ24" s="35"/>
      <c r="NK24" s="35"/>
      <c r="NL24" s="35"/>
      <c r="NM24" s="35"/>
      <c r="NN24" s="35"/>
      <c r="NO24" s="35"/>
      <c r="NP24" s="35"/>
      <c r="NQ24" s="35"/>
      <c r="NR24" s="35"/>
      <c r="NS24" s="35"/>
      <c r="NT24" s="35"/>
      <c r="NU24" s="35"/>
      <c r="NV24" s="35"/>
      <c r="NW24" s="35"/>
      <c r="NX24" s="35"/>
      <c r="NY24" s="35"/>
      <c r="NZ24" s="35"/>
      <c r="OA24" s="35"/>
      <c r="OB24" s="35"/>
      <c r="OC24" s="35"/>
      <c r="OD24" s="35"/>
      <c r="OE24" s="35"/>
      <c r="OF24" s="35"/>
      <c r="OG24" s="35"/>
      <c r="OH24" s="35"/>
      <c r="OI24" s="35"/>
      <c r="OJ24" s="35"/>
      <c r="OK24" s="35"/>
      <c r="OL24" s="35"/>
      <c r="OM24" s="35"/>
      <c r="ON24" s="35"/>
      <c r="OO24" s="35"/>
      <c r="OP24" s="35"/>
      <c r="OQ24" s="35"/>
      <c r="OR24" s="35"/>
      <c r="OS24" s="35"/>
      <c r="OT24" s="35"/>
      <c r="OU24" s="35"/>
      <c r="OV24" s="35"/>
    </row>
    <row r="25" ht="18.0" customHeight="1">
      <c r="A25" s="34">
        <v>24.0</v>
      </c>
      <c r="B25" s="35" t="s">
        <v>655</v>
      </c>
      <c r="C25" s="36" t="s">
        <v>1395</v>
      </c>
      <c r="D25" s="35" t="s">
        <v>403</v>
      </c>
      <c r="E25" s="34">
        <v>30.0</v>
      </c>
      <c r="F25" s="34" t="str">
        <f t="shared" si="1"/>
        <v>#REF!</v>
      </c>
      <c r="G25" s="34">
        <f t="shared" si="2"/>
        <v>0</v>
      </c>
      <c r="H25" s="34">
        <f t="shared" si="3"/>
        <v>0</v>
      </c>
      <c r="I25" s="34">
        <f t="shared" si="4"/>
        <v>0</v>
      </c>
      <c r="J25" s="37" t="s">
        <v>625</v>
      </c>
      <c r="K25" s="37" t="b">
        <v>0</v>
      </c>
      <c r="L25" s="38" t="s">
        <v>71</v>
      </c>
      <c r="M25" s="35" t="str">
        <f>IFERROR(__xludf.DUMMYFUNCTION("IFERROR(TOROW(CHOOSECOLS(SORT(FILTER({'Tổng hợp 75 trang đích'!$J$2:$J$3260,'Tổng hợp 75 trang đích'!$I$2:$I$3260,MATCH('Tổng hợp 75 trang đích'!$K$2:$K$3260,{""PHÙ HỢP CAO"",""CÓ THỂ ĐI"",""CẦN SOÁT""},0)},'Tổng hợp 75 trang đích'!$B$2:$B$3260=$D25),3,TR"&amp;"UE),1,2)),"""")"),"")</f>
        <v/>
      </c>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c r="BM25" s="35"/>
      <c r="BN25" s="35"/>
      <c r="BO25" s="35"/>
      <c r="BP25" s="35"/>
      <c r="BQ25" s="35"/>
      <c r="BR25" s="35"/>
      <c r="BS25" s="35"/>
      <c r="BT25" s="35"/>
      <c r="BU25" s="35"/>
      <c r="BV25" s="35"/>
      <c r="BW25" s="35"/>
      <c r="BX25" s="35"/>
      <c r="BY25" s="35"/>
      <c r="BZ25" s="35"/>
      <c r="CA25" s="35"/>
      <c r="CB25" s="35"/>
      <c r="CC25" s="35"/>
      <c r="CD25" s="35"/>
      <c r="CE25" s="35"/>
      <c r="CF25" s="35"/>
      <c r="CG25" s="35"/>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c r="EA25" s="35"/>
      <c r="EB25" s="35"/>
      <c r="EC25" s="35"/>
      <c r="ED25" s="35"/>
      <c r="EE25" s="35"/>
      <c r="EF25" s="35"/>
      <c r="EG25" s="35"/>
      <c r="EH25" s="35"/>
      <c r="EI25" s="35"/>
      <c r="EJ25" s="35"/>
      <c r="EK25" s="35"/>
      <c r="EL25" s="35"/>
      <c r="EM25" s="35"/>
      <c r="EN25" s="35"/>
      <c r="EO25" s="35"/>
      <c r="EP25" s="35"/>
      <c r="EQ25" s="35"/>
      <c r="ER25" s="35"/>
      <c r="ES25" s="35"/>
      <c r="ET25" s="35"/>
      <c r="EU25" s="35"/>
      <c r="EV25" s="35"/>
      <c r="EW25" s="35"/>
      <c r="EX25" s="35"/>
      <c r="EY25" s="35"/>
      <c r="EZ25" s="35"/>
      <c r="FA25" s="35"/>
      <c r="FB25" s="35"/>
      <c r="FC25" s="35"/>
      <c r="FD25" s="35"/>
      <c r="FE25" s="35"/>
      <c r="FF25" s="35"/>
      <c r="FG25" s="35"/>
      <c r="FH25" s="35"/>
      <c r="FI25" s="35"/>
      <c r="FJ25" s="35"/>
      <c r="FK25" s="35"/>
      <c r="FL25" s="35"/>
      <c r="FM25" s="35"/>
      <c r="FN25" s="35"/>
      <c r="FO25" s="35"/>
      <c r="FP25" s="35"/>
      <c r="FQ25" s="35"/>
      <c r="FR25" s="35"/>
      <c r="FS25" s="35"/>
      <c r="FT25" s="35"/>
      <c r="FU25" s="35"/>
      <c r="FV25" s="35"/>
      <c r="FW25" s="35"/>
      <c r="FX25" s="35"/>
      <c r="FY25" s="35"/>
      <c r="FZ25" s="35"/>
      <c r="GA25" s="35"/>
      <c r="GB25" s="35"/>
      <c r="GC25" s="35"/>
      <c r="GD25" s="35"/>
      <c r="GE25" s="35"/>
      <c r="GF25" s="35"/>
      <c r="GG25" s="35"/>
      <c r="GH25" s="35"/>
      <c r="GI25" s="35"/>
      <c r="GJ25" s="35"/>
      <c r="GK25" s="35"/>
      <c r="GL25" s="35"/>
      <c r="GM25" s="35"/>
      <c r="GN25" s="35"/>
      <c r="GO25" s="35"/>
      <c r="GP25" s="35"/>
      <c r="GQ25" s="35"/>
      <c r="GR25" s="35"/>
      <c r="GS25" s="35"/>
      <c r="GT25" s="35"/>
      <c r="GU25" s="35"/>
      <c r="GV25" s="35"/>
      <c r="GW25" s="35"/>
      <c r="GX25" s="35"/>
      <c r="GY25" s="35"/>
      <c r="GZ25" s="35"/>
      <c r="HA25" s="35"/>
      <c r="HB25" s="35"/>
      <c r="HC25" s="35"/>
      <c r="HD25" s="35"/>
      <c r="HE25" s="35"/>
      <c r="HF25" s="35"/>
      <c r="HG25" s="35"/>
      <c r="HH25" s="35"/>
      <c r="HI25" s="35"/>
      <c r="HJ25" s="35"/>
      <c r="HK25" s="35"/>
      <c r="HL25" s="35"/>
      <c r="HM25" s="35"/>
      <c r="HN25" s="35"/>
      <c r="HO25" s="35"/>
      <c r="HP25" s="35"/>
      <c r="HQ25" s="35"/>
      <c r="HR25" s="35"/>
      <c r="HS25" s="35"/>
      <c r="HT25" s="35"/>
      <c r="HU25" s="35"/>
      <c r="HV25" s="35"/>
      <c r="HW25" s="35"/>
      <c r="HX25" s="35"/>
      <c r="HY25" s="35"/>
      <c r="HZ25" s="35"/>
      <c r="IA25" s="35"/>
      <c r="IB25" s="35"/>
      <c r="IC25" s="35"/>
      <c r="ID25" s="35"/>
      <c r="IE25" s="35"/>
      <c r="IF25" s="35"/>
      <c r="IG25" s="35"/>
      <c r="IH25" s="35"/>
      <c r="II25" s="35"/>
      <c r="IJ25" s="35"/>
      <c r="IK25" s="35"/>
      <c r="IL25" s="35"/>
      <c r="IM25" s="35"/>
      <c r="IN25" s="35"/>
      <c r="IO25" s="35"/>
      <c r="IP25" s="35"/>
      <c r="IQ25" s="35"/>
      <c r="IR25" s="35"/>
      <c r="IS25" s="35"/>
      <c r="IT25" s="35"/>
      <c r="IU25" s="35"/>
      <c r="IV25" s="35"/>
      <c r="IW25" s="35"/>
      <c r="IX25" s="35"/>
      <c r="IY25" s="35"/>
      <c r="IZ25" s="35"/>
      <c r="JA25" s="35"/>
      <c r="JB25" s="35"/>
      <c r="JC25" s="35"/>
      <c r="JD25" s="35"/>
      <c r="JE25" s="35"/>
      <c r="JF25" s="35"/>
      <c r="JG25" s="35"/>
      <c r="JH25" s="35"/>
      <c r="JI25" s="35"/>
      <c r="JJ25" s="35"/>
      <c r="JK25" s="35"/>
      <c r="JL25" s="35"/>
      <c r="JM25" s="35"/>
      <c r="JN25" s="35"/>
      <c r="JO25" s="35"/>
      <c r="JP25" s="35"/>
      <c r="JQ25" s="35"/>
      <c r="JR25" s="35"/>
      <c r="JS25" s="35"/>
      <c r="JT25" s="35"/>
      <c r="JU25" s="35"/>
      <c r="JV25" s="35"/>
      <c r="JW25" s="35"/>
      <c r="JX25" s="35"/>
      <c r="JY25" s="35"/>
      <c r="JZ25" s="35"/>
      <c r="KA25" s="35"/>
      <c r="KB25" s="35"/>
      <c r="KC25" s="35"/>
      <c r="KD25" s="35"/>
      <c r="KE25" s="35"/>
      <c r="KF25" s="35"/>
      <c r="KG25" s="35"/>
      <c r="KH25" s="35"/>
      <c r="KI25" s="35"/>
      <c r="KJ25" s="35"/>
      <c r="KK25" s="35"/>
      <c r="KL25" s="35"/>
      <c r="KM25" s="35"/>
      <c r="KN25" s="35"/>
      <c r="KO25" s="35"/>
      <c r="KP25" s="35"/>
      <c r="KQ25" s="35"/>
      <c r="KR25" s="35"/>
      <c r="KS25" s="35"/>
      <c r="KT25" s="35"/>
      <c r="KU25" s="35"/>
      <c r="KV25" s="35"/>
      <c r="KW25" s="35"/>
      <c r="KX25" s="35"/>
      <c r="KY25" s="35"/>
      <c r="KZ25" s="35"/>
      <c r="LA25" s="35"/>
      <c r="LB25" s="35"/>
      <c r="LC25" s="35"/>
      <c r="LD25" s="35"/>
      <c r="LE25" s="35"/>
      <c r="LF25" s="35"/>
      <c r="LG25" s="35"/>
      <c r="LH25" s="35"/>
      <c r="LI25" s="35"/>
      <c r="LJ25" s="35"/>
      <c r="LK25" s="35"/>
      <c r="LL25" s="35"/>
      <c r="LM25" s="35"/>
      <c r="LN25" s="35"/>
      <c r="LO25" s="35"/>
      <c r="LP25" s="35"/>
      <c r="LQ25" s="35"/>
      <c r="LR25" s="35"/>
      <c r="LS25" s="35"/>
      <c r="LT25" s="35"/>
      <c r="LU25" s="35"/>
      <c r="LV25" s="35"/>
      <c r="LW25" s="35"/>
      <c r="LX25" s="35"/>
      <c r="LY25" s="35"/>
      <c r="LZ25" s="35"/>
      <c r="MA25" s="35"/>
      <c r="MB25" s="35"/>
      <c r="MC25" s="35"/>
      <c r="MD25" s="35"/>
      <c r="ME25" s="35"/>
      <c r="MF25" s="35"/>
      <c r="MG25" s="35"/>
      <c r="MH25" s="35"/>
      <c r="MI25" s="35"/>
      <c r="MJ25" s="35"/>
      <c r="MK25" s="35"/>
      <c r="ML25" s="35"/>
      <c r="MM25" s="35"/>
      <c r="MN25" s="35"/>
      <c r="MO25" s="35"/>
      <c r="MP25" s="35"/>
      <c r="MQ25" s="35"/>
      <c r="MR25" s="35"/>
      <c r="MS25" s="35"/>
      <c r="MT25" s="35"/>
      <c r="MU25" s="35"/>
      <c r="MV25" s="35"/>
      <c r="MW25" s="35"/>
      <c r="MX25" s="35"/>
      <c r="MY25" s="35"/>
      <c r="MZ25" s="35"/>
      <c r="NA25" s="35"/>
      <c r="NB25" s="35"/>
      <c r="NC25" s="35"/>
      <c r="ND25" s="35"/>
      <c r="NE25" s="35"/>
      <c r="NF25" s="35"/>
      <c r="NG25" s="35"/>
      <c r="NH25" s="35"/>
      <c r="NI25" s="35"/>
      <c r="NJ25" s="35"/>
      <c r="NK25" s="35"/>
      <c r="NL25" s="35"/>
      <c r="NM25" s="35"/>
      <c r="NN25" s="35"/>
      <c r="NO25" s="35"/>
      <c r="NP25" s="35"/>
      <c r="NQ25" s="35"/>
      <c r="NR25" s="35"/>
      <c r="NS25" s="35"/>
      <c r="NT25" s="35"/>
      <c r="NU25" s="35"/>
      <c r="NV25" s="35"/>
      <c r="NW25" s="35"/>
      <c r="NX25" s="35"/>
      <c r="NY25" s="35"/>
      <c r="NZ25" s="35"/>
      <c r="OA25" s="35"/>
      <c r="OB25" s="35"/>
      <c r="OC25" s="35"/>
      <c r="OD25" s="35"/>
      <c r="OE25" s="35"/>
      <c r="OF25" s="35"/>
      <c r="OG25" s="35"/>
      <c r="OH25" s="35"/>
      <c r="OI25" s="35"/>
      <c r="OJ25" s="35"/>
      <c r="OK25" s="35"/>
      <c r="OL25" s="35"/>
      <c r="OM25" s="35"/>
      <c r="ON25" s="35"/>
      <c r="OO25" s="35"/>
      <c r="OP25" s="35"/>
      <c r="OQ25" s="35"/>
      <c r="OR25" s="35"/>
      <c r="OS25" s="35"/>
      <c r="OT25" s="35"/>
      <c r="OU25" s="35"/>
      <c r="OV25" s="35"/>
    </row>
    <row r="26" ht="18.0" customHeight="1">
      <c r="A26" s="34">
        <v>25.0</v>
      </c>
      <c r="B26" s="35" t="s">
        <v>655</v>
      </c>
      <c r="C26" s="36" t="s">
        <v>1410</v>
      </c>
      <c r="D26" s="35" t="s">
        <v>893</v>
      </c>
      <c r="E26" s="34">
        <v>30.0</v>
      </c>
      <c r="F26" s="34" t="str">
        <f t="shared" si="1"/>
        <v>#REF!</v>
      </c>
      <c r="G26" s="34">
        <f t="shared" si="2"/>
        <v>0</v>
      </c>
      <c r="H26" s="34">
        <f t="shared" si="3"/>
        <v>0</v>
      </c>
      <c r="I26" s="34">
        <f t="shared" si="4"/>
        <v>0</v>
      </c>
      <c r="J26" s="37" t="s">
        <v>625</v>
      </c>
      <c r="K26" s="37" t="b">
        <v>0</v>
      </c>
      <c r="L26" s="38" t="s">
        <v>71</v>
      </c>
      <c r="M26" s="35" t="str">
        <f>IFERROR(__xludf.DUMMYFUNCTION("IFERROR(TOROW(CHOOSECOLS(SORT(FILTER({'Tổng hợp 75 trang đích'!$J$2:$J$3260,'Tổng hợp 75 trang đích'!$I$2:$I$3260,MATCH('Tổng hợp 75 trang đích'!$K$2:$K$3260,{""PHÙ HỢP CAO"",""CÓ THỂ ĐI"",""CẦN SOÁT""},0)},'Tổng hợp 75 trang đích'!$B$2:$B$3260=$D26),3,TR"&amp;"UE),1,2)),"""")"),"")</f>
        <v/>
      </c>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c r="BM26" s="35"/>
      <c r="BN26" s="35"/>
      <c r="BO26" s="35"/>
      <c r="BP26" s="35"/>
      <c r="BQ26" s="35"/>
      <c r="BR26" s="35"/>
      <c r="BS26" s="35"/>
      <c r="BT26" s="35"/>
      <c r="BU26" s="35"/>
      <c r="BV26" s="35"/>
      <c r="BW26" s="35"/>
      <c r="BX26" s="35"/>
      <c r="BY26" s="35"/>
      <c r="BZ26" s="35"/>
      <c r="CA26" s="35"/>
      <c r="CB26" s="35"/>
      <c r="CC26" s="35"/>
      <c r="CD26" s="35"/>
      <c r="CE26" s="35"/>
      <c r="CF26" s="35"/>
      <c r="CG26" s="35"/>
      <c r="CH26" s="35"/>
      <c r="CI26" s="35"/>
      <c r="CJ26" s="35"/>
      <c r="CK26" s="35"/>
      <c r="CL26" s="35"/>
      <c r="CM26" s="35"/>
      <c r="CN26" s="35"/>
      <c r="CO26" s="35"/>
      <c r="CP26" s="35"/>
      <c r="CQ26" s="35"/>
      <c r="CR26" s="35"/>
      <c r="CS26" s="35"/>
      <c r="CT26" s="35"/>
      <c r="CU26" s="35"/>
      <c r="CV26" s="35"/>
      <c r="CW26" s="35"/>
      <c r="CX26" s="35"/>
      <c r="CY26" s="35"/>
      <c r="CZ26" s="35"/>
      <c r="DA26" s="35"/>
      <c r="DB26" s="35"/>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c r="EE26" s="35"/>
      <c r="EF26" s="35"/>
      <c r="EG26" s="35"/>
      <c r="EH26" s="35"/>
      <c r="EI26" s="35"/>
      <c r="EJ26" s="35"/>
      <c r="EK26" s="35"/>
      <c r="EL26" s="35"/>
      <c r="EM26" s="35"/>
      <c r="EN26" s="35"/>
      <c r="EO26" s="35"/>
      <c r="EP26" s="35"/>
      <c r="EQ26" s="35"/>
      <c r="ER26" s="35"/>
      <c r="ES26" s="35"/>
      <c r="ET26" s="35"/>
      <c r="EU26" s="35"/>
      <c r="EV26" s="35"/>
      <c r="EW26" s="35"/>
      <c r="EX26" s="35"/>
      <c r="EY26" s="35"/>
      <c r="EZ26" s="35"/>
      <c r="FA26" s="35"/>
      <c r="FB26" s="35"/>
      <c r="FC26" s="35"/>
      <c r="FD26" s="35"/>
      <c r="FE26" s="35"/>
      <c r="FF26" s="35"/>
      <c r="FG26" s="35"/>
      <c r="FH26" s="35"/>
      <c r="FI26" s="35"/>
      <c r="FJ26" s="35"/>
      <c r="FK26" s="35"/>
      <c r="FL26" s="35"/>
      <c r="FM26" s="35"/>
      <c r="FN26" s="35"/>
      <c r="FO26" s="35"/>
      <c r="FP26" s="35"/>
      <c r="FQ26" s="35"/>
      <c r="FR26" s="35"/>
      <c r="FS26" s="35"/>
      <c r="FT26" s="35"/>
      <c r="FU26" s="35"/>
      <c r="FV26" s="35"/>
      <c r="FW26" s="35"/>
      <c r="FX26" s="35"/>
      <c r="FY26" s="35"/>
      <c r="FZ26" s="35"/>
      <c r="GA26" s="35"/>
      <c r="GB26" s="35"/>
      <c r="GC26" s="35"/>
      <c r="GD26" s="35"/>
      <c r="GE26" s="35"/>
      <c r="GF26" s="35"/>
      <c r="GG26" s="35"/>
      <c r="GH26" s="35"/>
      <c r="GI26" s="35"/>
      <c r="GJ26" s="35"/>
      <c r="GK26" s="35"/>
      <c r="GL26" s="35"/>
      <c r="GM26" s="35"/>
      <c r="GN26" s="35"/>
      <c r="GO26" s="35"/>
      <c r="GP26" s="35"/>
      <c r="GQ26" s="35"/>
      <c r="GR26" s="35"/>
      <c r="GS26" s="35"/>
      <c r="GT26" s="35"/>
      <c r="GU26" s="35"/>
      <c r="GV26" s="35"/>
      <c r="GW26" s="35"/>
      <c r="GX26" s="35"/>
      <c r="GY26" s="35"/>
      <c r="GZ26" s="35"/>
      <c r="HA26" s="35"/>
      <c r="HB26" s="35"/>
      <c r="HC26" s="35"/>
      <c r="HD26" s="35"/>
      <c r="HE26" s="35"/>
      <c r="HF26" s="35"/>
      <c r="HG26" s="35"/>
      <c r="HH26" s="35"/>
      <c r="HI26" s="35"/>
      <c r="HJ26" s="35"/>
      <c r="HK26" s="35"/>
      <c r="HL26" s="35"/>
      <c r="HM26" s="35"/>
      <c r="HN26" s="35"/>
      <c r="HO26" s="35"/>
      <c r="HP26" s="35"/>
      <c r="HQ26" s="35"/>
      <c r="HR26" s="35"/>
      <c r="HS26" s="35"/>
      <c r="HT26" s="35"/>
      <c r="HU26" s="35"/>
      <c r="HV26" s="35"/>
      <c r="HW26" s="35"/>
      <c r="HX26" s="35"/>
      <c r="HY26" s="35"/>
      <c r="HZ26" s="35"/>
      <c r="IA26" s="35"/>
      <c r="IB26" s="35"/>
      <c r="IC26" s="35"/>
      <c r="ID26" s="35"/>
      <c r="IE26" s="35"/>
      <c r="IF26" s="35"/>
      <c r="IG26" s="35"/>
      <c r="IH26" s="35"/>
      <c r="II26" s="35"/>
      <c r="IJ26" s="35"/>
      <c r="IK26" s="35"/>
      <c r="IL26" s="35"/>
      <c r="IM26" s="35"/>
      <c r="IN26" s="35"/>
      <c r="IO26" s="35"/>
      <c r="IP26" s="35"/>
      <c r="IQ26" s="35"/>
      <c r="IR26" s="35"/>
      <c r="IS26" s="35"/>
      <c r="IT26" s="35"/>
      <c r="IU26" s="35"/>
      <c r="IV26" s="35"/>
      <c r="IW26" s="35"/>
      <c r="IX26" s="35"/>
      <c r="IY26" s="35"/>
      <c r="IZ26" s="35"/>
      <c r="JA26" s="35"/>
      <c r="JB26" s="35"/>
      <c r="JC26" s="35"/>
      <c r="JD26" s="35"/>
      <c r="JE26" s="35"/>
      <c r="JF26" s="35"/>
      <c r="JG26" s="35"/>
      <c r="JH26" s="35"/>
      <c r="JI26" s="35"/>
      <c r="JJ26" s="35"/>
      <c r="JK26" s="35"/>
      <c r="JL26" s="35"/>
      <c r="JM26" s="35"/>
      <c r="JN26" s="35"/>
      <c r="JO26" s="35"/>
      <c r="JP26" s="35"/>
      <c r="JQ26" s="35"/>
      <c r="JR26" s="35"/>
      <c r="JS26" s="35"/>
      <c r="JT26" s="35"/>
      <c r="JU26" s="35"/>
      <c r="JV26" s="35"/>
      <c r="JW26" s="35"/>
      <c r="JX26" s="35"/>
      <c r="JY26" s="35"/>
      <c r="JZ26" s="35"/>
      <c r="KA26" s="35"/>
      <c r="KB26" s="35"/>
      <c r="KC26" s="35"/>
      <c r="KD26" s="35"/>
      <c r="KE26" s="35"/>
      <c r="KF26" s="35"/>
      <c r="KG26" s="35"/>
      <c r="KH26" s="35"/>
      <c r="KI26" s="35"/>
      <c r="KJ26" s="35"/>
      <c r="KK26" s="35"/>
      <c r="KL26" s="35"/>
      <c r="KM26" s="35"/>
      <c r="KN26" s="35"/>
      <c r="KO26" s="35"/>
      <c r="KP26" s="35"/>
      <c r="KQ26" s="35"/>
      <c r="KR26" s="35"/>
      <c r="KS26" s="35"/>
      <c r="KT26" s="35"/>
      <c r="KU26" s="35"/>
      <c r="KV26" s="35"/>
      <c r="KW26" s="35"/>
      <c r="KX26" s="35"/>
      <c r="KY26" s="35"/>
      <c r="KZ26" s="35"/>
      <c r="LA26" s="35"/>
      <c r="LB26" s="35"/>
      <c r="LC26" s="35"/>
      <c r="LD26" s="35"/>
      <c r="LE26" s="35"/>
      <c r="LF26" s="35"/>
      <c r="LG26" s="35"/>
      <c r="LH26" s="35"/>
      <c r="LI26" s="35"/>
      <c r="LJ26" s="35"/>
      <c r="LK26" s="35"/>
      <c r="LL26" s="35"/>
      <c r="LM26" s="35"/>
      <c r="LN26" s="35"/>
      <c r="LO26" s="35"/>
      <c r="LP26" s="35"/>
      <c r="LQ26" s="35"/>
      <c r="LR26" s="35"/>
      <c r="LS26" s="35"/>
      <c r="LT26" s="35"/>
      <c r="LU26" s="35"/>
      <c r="LV26" s="35"/>
      <c r="LW26" s="35"/>
      <c r="LX26" s="35"/>
      <c r="LY26" s="35"/>
      <c r="LZ26" s="35"/>
      <c r="MA26" s="35"/>
      <c r="MB26" s="35"/>
      <c r="MC26" s="35"/>
      <c r="MD26" s="35"/>
      <c r="ME26" s="35"/>
      <c r="MF26" s="35"/>
      <c r="MG26" s="35"/>
      <c r="MH26" s="35"/>
      <c r="MI26" s="35"/>
      <c r="MJ26" s="35"/>
      <c r="MK26" s="35"/>
      <c r="ML26" s="35"/>
      <c r="MM26" s="35"/>
      <c r="MN26" s="35"/>
      <c r="MO26" s="35"/>
      <c r="MP26" s="35"/>
      <c r="MQ26" s="35"/>
      <c r="MR26" s="35"/>
      <c r="MS26" s="35"/>
      <c r="MT26" s="35"/>
      <c r="MU26" s="35"/>
      <c r="MV26" s="35"/>
      <c r="MW26" s="35"/>
      <c r="MX26" s="35"/>
      <c r="MY26" s="35"/>
      <c r="MZ26" s="35"/>
      <c r="NA26" s="35"/>
      <c r="NB26" s="35"/>
      <c r="NC26" s="35"/>
      <c r="ND26" s="35"/>
      <c r="NE26" s="35"/>
      <c r="NF26" s="35"/>
      <c r="NG26" s="35"/>
      <c r="NH26" s="35"/>
      <c r="NI26" s="35"/>
      <c r="NJ26" s="35"/>
      <c r="NK26" s="35"/>
      <c r="NL26" s="35"/>
      <c r="NM26" s="35"/>
      <c r="NN26" s="35"/>
      <c r="NO26" s="35"/>
      <c r="NP26" s="35"/>
      <c r="NQ26" s="35"/>
      <c r="NR26" s="35"/>
      <c r="NS26" s="35"/>
      <c r="NT26" s="35"/>
      <c r="NU26" s="35"/>
      <c r="NV26" s="35"/>
      <c r="NW26" s="35"/>
      <c r="NX26" s="35"/>
      <c r="NY26" s="35"/>
      <c r="NZ26" s="35"/>
      <c r="OA26" s="35"/>
      <c r="OB26" s="35"/>
      <c r="OC26" s="35"/>
      <c r="OD26" s="35"/>
      <c r="OE26" s="35"/>
      <c r="OF26" s="35"/>
      <c r="OG26" s="35"/>
      <c r="OH26" s="35"/>
      <c r="OI26" s="35"/>
      <c r="OJ26" s="35"/>
      <c r="OK26" s="35"/>
      <c r="OL26" s="35"/>
      <c r="OM26" s="35"/>
      <c r="ON26" s="35"/>
      <c r="OO26" s="35"/>
      <c r="OP26" s="35"/>
      <c r="OQ26" s="35"/>
      <c r="OR26" s="35"/>
      <c r="OS26" s="35"/>
      <c r="OT26" s="35"/>
      <c r="OU26" s="35"/>
      <c r="OV26" s="35"/>
    </row>
    <row r="27" ht="18.0" customHeight="1">
      <c r="A27" s="34">
        <v>26.0</v>
      </c>
      <c r="B27" s="35" t="s">
        <v>655</v>
      </c>
      <c r="C27" s="36" t="s">
        <v>1417</v>
      </c>
      <c r="D27" s="35" t="s">
        <v>900</v>
      </c>
      <c r="E27" s="34">
        <v>30.0</v>
      </c>
      <c r="F27" s="34" t="str">
        <f t="shared" si="1"/>
        <v>#REF!</v>
      </c>
      <c r="G27" s="34">
        <f t="shared" si="2"/>
        <v>0</v>
      </c>
      <c r="H27" s="34">
        <f t="shared" si="3"/>
        <v>0</v>
      </c>
      <c r="I27" s="34">
        <f t="shared" si="4"/>
        <v>0</v>
      </c>
      <c r="J27" s="37" t="s">
        <v>625</v>
      </c>
      <c r="K27" s="37" t="b">
        <v>0</v>
      </c>
      <c r="L27" s="38" t="s">
        <v>71</v>
      </c>
      <c r="M27" s="35" t="str">
        <f>IFERROR(__xludf.DUMMYFUNCTION("IFERROR(TOROW(CHOOSECOLS(SORT(FILTER({'Tổng hợp 75 trang đích'!$J$2:$J$3260,'Tổng hợp 75 trang đích'!$I$2:$I$3260,MATCH('Tổng hợp 75 trang đích'!$K$2:$K$3260,{""PHÙ HỢP CAO"",""CÓ THỂ ĐI"",""CẦN SOÁT""},0)},'Tổng hợp 75 trang đích'!$B$2:$B$3260=$D27),3,TR"&amp;"UE),1,2)),"""")"),"")</f>
        <v/>
      </c>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c r="BM27" s="35"/>
      <c r="BN27" s="35"/>
      <c r="BO27" s="35"/>
      <c r="BP27" s="35"/>
      <c r="BQ27" s="35"/>
      <c r="BR27" s="35"/>
      <c r="BS27" s="35"/>
      <c r="BT27" s="35"/>
      <c r="BU27" s="35"/>
      <c r="BV27" s="35"/>
      <c r="BW27" s="35"/>
      <c r="BX27" s="35"/>
      <c r="BY27" s="35"/>
      <c r="BZ27" s="35"/>
      <c r="CA27" s="35"/>
      <c r="CB27" s="35"/>
      <c r="CC27" s="35"/>
      <c r="CD27" s="35"/>
      <c r="CE27" s="35"/>
      <c r="CF27" s="35"/>
      <c r="CG27" s="35"/>
      <c r="CH27" s="35"/>
      <c r="CI27" s="35"/>
      <c r="CJ27" s="35"/>
      <c r="CK27" s="35"/>
      <c r="CL27" s="35"/>
      <c r="CM27" s="35"/>
      <c r="CN27" s="35"/>
      <c r="CO27" s="35"/>
      <c r="CP27" s="35"/>
      <c r="CQ27" s="35"/>
      <c r="CR27" s="35"/>
      <c r="CS27" s="35"/>
      <c r="CT27" s="35"/>
      <c r="CU27" s="35"/>
      <c r="CV27" s="35"/>
      <c r="CW27" s="35"/>
      <c r="CX27" s="35"/>
      <c r="CY27" s="35"/>
      <c r="CZ27" s="35"/>
      <c r="DA27" s="35"/>
      <c r="DB27" s="35"/>
      <c r="DC27" s="35"/>
      <c r="DD27" s="35"/>
      <c r="DE27" s="35"/>
      <c r="DF27" s="35"/>
      <c r="DG27" s="35"/>
      <c r="DH27" s="35"/>
      <c r="DI27" s="35"/>
      <c r="DJ27" s="35"/>
      <c r="DK27" s="35"/>
      <c r="DL27" s="35"/>
      <c r="DM27" s="35"/>
      <c r="DN27" s="35"/>
      <c r="DO27" s="35"/>
      <c r="DP27" s="35"/>
      <c r="DQ27" s="35"/>
      <c r="DR27" s="35"/>
      <c r="DS27" s="35"/>
      <c r="DT27" s="35"/>
      <c r="DU27" s="35"/>
      <c r="DV27" s="35"/>
      <c r="DW27" s="35"/>
      <c r="DX27" s="35"/>
      <c r="DY27" s="35"/>
      <c r="DZ27" s="35"/>
      <c r="EA27" s="35"/>
      <c r="EB27" s="35"/>
      <c r="EC27" s="35"/>
      <c r="ED27" s="35"/>
      <c r="EE27" s="35"/>
      <c r="EF27" s="35"/>
      <c r="EG27" s="35"/>
      <c r="EH27" s="35"/>
      <c r="EI27" s="35"/>
      <c r="EJ27" s="35"/>
      <c r="EK27" s="35"/>
      <c r="EL27" s="35"/>
      <c r="EM27" s="35"/>
      <c r="EN27" s="35"/>
      <c r="EO27" s="35"/>
      <c r="EP27" s="35"/>
      <c r="EQ27" s="35"/>
      <c r="ER27" s="35"/>
      <c r="ES27" s="35"/>
      <c r="ET27" s="35"/>
      <c r="EU27" s="35"/>
      <c r="EV27" s="35"/>
      <c r="EW27" s="35"/>
      <c r="EX27" s="35"/>
      <c r="EY27" s="35"/>
      <c r="EZ27" s="35"/>
      <c r="FA27" s="35"/>
      <c r="FB27" s="35"/>
      <c r="FC27" s="35"/>
      <c r="FD27" s="35"/>
      <c r="FE27" s="35"/>
      <c r="FF27" s="35"/>
      <c r="FG27" s="35"/>
      <c r="FH27" s="35"/>
      <c r="FI27" s="35"/>
      <c r="FJ27" s="35"/>
      <c r="FK27" s="35"/>
      <c r="FL27" s="35"/>
      <c r="FM27" s="35"/>
      <c r="FN27" s="35"/>
      <c r="FO27" s="35"/>
      <c r="FP27" s="35"/>
      <c r="FQ27" s="35"/>
      <c r="FR27" s="35"/>
      <c r="FS27" s="35"/>
      <c r="FT27" s="35"/>
      <c r="FU27" s="35"/>
      <c r="FV27" s="35"/>
      <c r="FW27" s="35"/>
      <c r="FX27" s="35"/>
      <c r="FY27" s="35"/>
      <c r="FZ27" s="35"/>
      <c r="GA27" s="35"/>
      <c r="GB27" s="35"/>
      <c r="GC27" s="35"/>
      <c r="GD27" s="35"/>
      <c r="GE27" s="35"/>
      <c r="GF27" s="35"/>
      <c r="GG27" s="35"/>
      <c r="GH27" s="35"/>
      <c r="GI27" s="35"/>
      <c r="GJ27" s="35"/>
      <c r="GK27" s="35"/>
      <c r="GL27" s="35"/>
      <c r="GM27" s="35"/>
      <c r="GN27" s="35"/>
      <c r="GO27" s="35"/>
      <c r="GP27" s="35"/>
      <c r="GQ27" s="35"/>
      <c r="GR27" s="35"/>
      <c r="GS27" s="35"/>
      <c r="GT27" s="35"/>
      <c r="GU27" s="35"/>
      <c r="GV27" s="35"/>
      <c r="GW27" s="35"/>
      <c r="GX27" s="35"/>
      <c r="GY27" s="35"/>
      <c r="GZ27" s="35"/>
      <c r="HA27" s="35"/>
      <c r="HB27" s="35"/>
      <c r="HC27" s="35"/>
      <c r="HD27" s="35"/>
      <c r="HE27" s="35"/>
      <c r="HF27" s="35"/>
      <c r="HG27" s="35"/>
      <c r="HH27" s="35"/>
      <c r="HI27" s="35"/>
      <c r="HJ27" s="35"/>
      <c r="HK27" s="35"/>
      <c r="HL27" s="35"/>
      <c r="HM27" s="35"/>
      <c r="HN27" s="35"/>
      <c r="HO27" s="35"/>
      <c r="HP27" s="35"/>
      <c r="HQ27" s="35"/>
      <c r="HR27" s="35"/>
      <c r="HS27" s="35"/>
      <c r="HT27" s="35"/>
      <c r="HU27" s="35"/>
      <c r="HV27" s="35"/>
      <c r="HW27" s="35"/>
      <c r="HX27" s="35"/>
      <c r="HY27" s="35"/>
      <c r="HZ27" s="35"/>
      <c r="IA27" s="35"/>
      <c r="IB27" s="35"/>
      <c r="IC27" s="35"/>
      <c r="ID27" s="35"/>
      <c r="IE27" s="35"/>
      <c r="IF27" s="35"/>
      <c r="IG27" s="35"/>
      <c r="IH27" s="35"/>
      <c r="II27" s="35"/>
      <c r="IJ27" s="35"/>
      <c r="IK27" s="35"/>
      <c r="IL27" s="35"/>
      <c r="IM27" s="35"/>
      <c r="IN27" s="35"/>
      <c r="IO27" s="35"/>
      <c r="IP27" s="35"/>
      <c r="IQ27" s="35"/>
      <c r="IR27" s="35"/>
      <c r="IS27" s="35"/>
      <c r="IT27" s="35"/>
      <c r="IU27" s="35"/>
      <c r="IV27" s="35"/>
      <c r="IW27" s="35"/>
      <c r="IX27" s="35"/>
      <c r="IY27" s="35"/>
      <c r="IZ27" s="35"/>
      <c r="JA27" s="35"/>
      <c r="JB27" s="35"/>
      <c r="JC27" s="35"/>
      <c r="JD27" s="35"/>
      <c r="JE27" s="35"/>
      <c r="JF27" s="35"/>
      <c r="JG27" s="35"/>
      <c r="JH27" s="35"/>
      <c r="JI27" s="35"/>
      <c r="JJ27" s="35"/>
      <c r="JK27" s="35"/>
      <c r="JL27" s="35"/>
      <c r="JM27" s="35"/>
      <c r="JN27" s="35"/>
      <c r="JO27" s="35"/>
      <c r="JP27" s="35"/>
      <c r="JQ27" s="35"/>
      <c r="JR27" s="35"/>
      <c r="JS27" s="35"/>
      <c r="JT27" s="35"/>
      <c r="JU27" s="35"/>
      <c r="JV27" s="35"/>
      <c r="JW27" s="35"/>
      <c r="JX27" s="35"/>
      <c r="JY27" s="35"/>
      <c r="JZ27" s="35"/>
      <c r="KA27" s="35"/>
      <c r="KB27" s="35"/>
      <c r="KC27" s="35"/>
      <c r="KD27" s="35"/>
      <c r="KE27" s="35"/>
      <c r="KF27" s="35"/>
      <c r="KG27" s="35"/>
      <c r="KH27" s="35"/>
      <c r="KI27" s="35"/>
      <c r="KJ27" s="35"/>
      <c r="KK27" s="35"/>
      <c r="KL27" s="35"/>
      <c r="KM27" s="35"/>
      <c r="KN27" s="35"/>
      <c r="KO27" s="35"/>
      <c r="KP27" s="35"/>
      <c r="KQ27" s="35"/>
      <c r="KR27" s="35"/>
      <c r="KS27" s="35"/>
      <c r="KT27" s="35"/>
      <c r="KU27" s="35"/>
      <c r="KV27" s="35"/>
      <c r="KW27" s="35"/>
      <c r="KX27" s="35"/>
      <c r="KY27" s="35"/>
      <c r="KZ27" s="35"/>
      <c r="LA27" s="35"/>
      <c r="LB27" s="35"/>
      <c r="LC27" s="35"/>
      <c r="LD27" s="35"/>
      <c r="LE27" s="35"/>
      <c r="LF27" s="35"/>
      <c r="LG27" s="35"/>
      <c r="LH27" s="35"/>
      <c r="LI27" s="35"/>
      <c r="LJ27" s="35"/>
      <c r="LK27" s="35"/>
      <c r="LL27" s="35"/>
      <c r="LM27" s="35"/>
      <c r="LN27" s="35"/>
      <c r="LO27" s="35"/>
      <c r="LP27" s="35"/>
      <c r="LQ27" s="35"/>
      <c r="LR27" s="35"/>
      <c r="LS27" s="35"/>
      <c r="LT27" s="35"/>
      <c r="LU27" s="35"/>
      <c r="LV27" s="35"/>
      <c r="LW27" s="35"/>
      <c r="LX27" s="35"/>
      <c r="LY27" s="35"/>
      <c r="LZ27" s="35"/>
      <c r="MA27" s="35"/>
      <c r="MB27" s="35"/>
      <c r="MC27" s="35"/>
      <c r="MD27" s="35"/>
      <c r="ME27" s="35"/>
      <c r="MF27" s="35"/>
      <c r="MG27" s="35"/>
      <c r="MH27" s="35"/>
      <c r="MI27" s="35"/>
      <c r="MJ27" s="35"/>
      <c r="MK27" s="35"/>
      <c r="ML27" s="35"/>
      <c r="MM27" s="35"/>
      <c r="MN27" s="35"/>
      <c r="MO27" s="35"/>
      <c r="MP27" s="35"/>
      <c r="MQ27" s="35"/>
      <c r="MR27" s="35"/>
      <c r="MS27" s="35"/>
      <c r="MT27" s="35"/>
      <c r="MU27" s="35"/>
      <c r="MV27" s="35"/>
      <c r="MW27" s="35"/>
      <c r="MX27" s="35"/>
      <c r="MY27" s="35"/>
      <c r="MZ27" s="35"/>
      <c r="NA27" s="35"/>
      <c r="NB27" s="35"/>
      <c r="NC27" s="35"/>
      <c r="ND27" s="35"/>
      <c r="NE27" s="35"/>
      <c r="NF27" s="35"/>
      <c r="NG27" s="35"/>
      <c r="NH27" s="35"/>
      <c r="NI27" s="35"/>
      <c r="NJ27" s="35"/>
      <c r="NK27" s="35"/>
      <c r="NL27" s="35"/>
      <c r="NM27" s="35"/>
      <c r="NN27" s="35"/>
      <c r="NO27" s="35"/>
      <c r="NP27" s="35"/>
      <c r="NQ27" s="35"/>
      <c r="NR27" s="35"/>
      <c r="NS27" s="35"/>
      <c r="NT27" s="35"/>
      <c r="NU27" s="35"/>
      <c r="NV27" s="35"/>
      <c r="NW27" s="35"/>
      <c r="NX27" s="35"/>
      <c r="NY27" s="35"/>
      <c r="NZ27" s="35"/>
      <c r="OA27" s="35"/>
      <c r="OB27" s="35"/>
      <c r="OC27" s="35"/>
      <c r="OD27" s="35"/>
      <c r="OE27" s="35"/>
      <c r="OF27" s="35"/>
      <c r="OG27" s="35"/>
      <c r="OH27" s="35"/>
      <c r="OI27" s="35"/>
      <c r="OJ27" s="35"/>
      <c r="OK27" s="35"/>
      <c r="OL27" s="35"/>
      <c r="OM27" s="35"/>
      <c r="ON27" s="35"/>
      <c r="OO27" s="35"/>
      <c r="OP27" s="35"/>
      <c r="OQ27" s="35"/>
      <c r="OR27" s="35"/>
      <c r="OS27" s="35"/>
      <c r="OT27" s="35"/>
      <c r="OU27" s="35"/>
      <c r="OV27" s="35"/>
    </row>
    <row r="28" ht="18.0" customHeight="1">
      <c r="A28" s="34">
        <v>27.0</v>
      </c>
      <c r="B28" s="35" t="s">
        <v>655</v>
      </c>
      <c r="C28" s="36" t="s">
        <v>1446</v>
      </c>
      <c r="D28" s="35" t="s">
        <v>909</v>
      </c>
      <c r="E28" s="34">
        <v>30.0</v>
      </c>
      <c r="F28" s="34" t="str">
        <f t="shared" si="1"/>
        <v>#REF!</v>
      </c>
      <c r="G28" s="34">
        <f t="shared" si="2"/>
        <v>0</v>
      </c>
      <c r="H28" s="34">
        <f t="shared" si="3"/>
        <v>0</v>
      </c>
      <c r="I28" s="34">
        <f t="shared" si="4"/>
        <v>0</v>
      </c>
      <c r="J28" s="37" t="s">
        <v>625</v>
      </c>
      <c r="K28" s="37" t="b">
        <v>0</v>
      </c>
      <c r="L28" s="38" t="s">
        <v>71</v>
      </c>
      <c r="M28" s="35" t="str">
        <f>IFERROR(__xludf.DUMMYFUNCTION("IFERROR(TOROW(CHOOSECOLS(SORT(FILTER({'Tổng hợp 75 trang đích'!$J$2:$J$3260,'Tổng hợp 75 trang đích'!$I$2:$I$3260,MATCH('Tổng hợp 75 trang đích'!$K$2:$K$3260,{""PHÙ HỢP CAO"",""CÓ THỂ ĐI"",""CẦN SOÁT""},0)},'Tổng hợp 75 trang đích'!$B$2:$B$3260=$D28),3,TR"&amp;"UE),1,2)),"""")"),"")</f>
        <v/>
      </c>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c r="BM28" s="35"/>
      <c r="BN28" s="35"/>
      <c r="BO28" s="35"/>
      <c r="BP28" s="35"/>
      <c r="BQ28" s="35"/>
      <c r="BR28" s="35"/>
      <c r="BS28" s="35"/>
      <c r="BT28" s="35"/>
      <c r="BU28" s="35"/>
      <c r="BV28" s="35"/>
      <c r="BW28" s="35"/>
      <c r="BX28" s="35"/>
      <c r="BY28" s="35"/>
      <c r="BZ28" s="35"/>
      <c r="CA28" s="35"/>
      <c r="CB28" s="35"/>
      <c r="CC28" s="35"/>
      <c r="CD28" s="35"/>
      <c r="CE28" s="35"/>
      <c r="CF28" s="35"/>
      <c r="CG28" s="35"/>
      <c r="CH28" s="35"/>
      <c r="CI28" s="35"/>
      <c r="CJ28" s="35"/>
      <c r="CK28" s="35"/>
      <c r="CL28" s="35"/>
      <c r="CM28" s="35"/>
      <c r="CN28" s="35"/>
      <c r="CO28" s="35"/>
      <c r="CP28" s="35"/>
      <c r="CQ28" s="35"/>
      <c r="CR28" s="35"/>
      <c r="CS28" s="35"/>
      <c r="CT28" s="35"/>
      <c r="CU28" s="35"/>
      <c r="CV28" s="35"/>
      <c r="CW28" s="35"/>
      <c r="CX28" s="35"/>
      <c r="CY28" s="35"/>
      <c r="CZ28" s="35"/>
      <c r="DA28" s="35"/>
      <c r="DB28" s="35"/>
      <c r="DC28" s="35"/>
      <c r="DD28" s="35"/>
      <c r="DE28" s="35"/>
      <c r="DF28" s="35"/>
      <c r="DG28" s="35"/>
      <c r="DH28" s="35"/>
      <c r="DI28" s="35"/>
      <c r="DJ28" s="35"/>
      <c r="DK28" s="35"/>
      <c r="DL28" s="35"/>
      <c r="DM28" s="35"/>
      <c r="DN28" s="35"/>
      <c r="DO28" s="35"/>
      <c r="DP28" s="35"/>
      <c r="DQ28" s="35"/>
      <c r="DR28" s="35"/>
      <c r="DS28" s="35"/>
      <c r="DT28" s="35"/>
      <c r="DU28" s="35"/>
      <c r="DV28" s="35"/>
      <c r="DW28" s="35"/>
      <c r="DX28" s="35"/>
      <c r="DY28" s="35"/>
      <c r="DZ28" s="35"/>
      <c r="EA28" s="35"/>
      <c r="EB28" s="35"/>
      <c r="EC28" s="35"/>
      <c r="ED28" s="35"/>
      <c r="EE28" s="35"/>
      <c r="EF28" s="35"/>
      <c r="EG28" s="35"/>
      <c r="EH28" s="35"/>
      <c r="EI28" s="35"/>
      <c r="EJ28" s="35"/>
      <c r="EK28" s="35"/>
      <c r="EL28" s="35"/>
      <c r="EM28" s="35"/>
      <c r="EN28" s="35"/>
      <c r="EO28" s="35"/>
      <c r="EP28" s="35"/>
      <c r="EQ28" s="35"/>
      <c r="ER28" s="35"/>
      <c r="ES28" s="35"/>
      <c r="ET28" s="35"/>
      <c r="EU28" s="35"/>
      <c r="EV28" s="35"/>
      <c r="EW28" s="35"/>
      <c r="EX28" s="35"/>
      <c r="EY28" s="35"/>
      <c r="EZ28" s="35"/>
      <c r="FA28" s="35"/>
      <c r="FB28" s="35"/>
      <c r="FC28" s="35"/>
      <c r="FD28" s="35"/>
      <c r="FE28" s="35"/>
      <c r="FF28" s="35"/>
      <c r="FG28" s="35"/>
      <c r="FH28" s="35"/>
      <c r="FI28" s="35"/>
      <c r="FJ28" s="35"/>
      <c r="FK28" s="35"/>
      <c r="FL28" s="35"/>
      <c r="FM28" s="35"/>
      <c r="FN28" s="35"/>
      <c r="FO28" s="35"/>
      <c r="FP28" s="35"/>
      <c r="FQ28" s="35"/>
      <c r="FR28" s="35"/>
      <c r="FS28" s="35"/>
      <c r="FT28" s="35"/>
      <c r="FU28" s="35"/>
      <c r="FV28" s="35"/>
      <c r="FW28" s="35"/>
      <c r="FX28" s="35"/>
      <c r="FY28" s="35"/>
      <c r="FZ28" s="35"/>
      <c r="GA28" s="35"/>
      <c r="GB28" s="35"/>
      <c r="GC28" s="35"/>
      <c r="GD28" s="35"/>
      <c r="GE28" s="35"/>
      <c r="GF28" s="35"/>
      <c r="GG28" s="35"/>
      <c r="GH28" s="35"/>
      <c r="GI28" s="35"/>
      <c r="GJ28" s="35"/>
      <c r="GK28" s="35"/>
      <c r="GL28" s="35"/>
      <c r="GM28" s="35"/>
      <c r="GN28" s="35"/>
      <c r="GO28" s="35"/>
      <c r="GP28" s="35"/>
      <c r="GQ28" s="35"/>
      <c r="GR28" s="35"/>
      <c r="GS28" s="35"/>
      <c r="GT28" s="35"/>
      <c r="GU28" s="35"/>
      <c r="GV28" s="35"/>
      <c r="GW28" s="35"/>
      <c r="GX28" s="35"/>
      <c r="GY28" s="35"/>
      <c r="GZ28" s="35"/>
      <c r="HA28" s="35"/>
      <c r="HB28" s="35"/>
      <c r="HC28" s="35"/>
      <c r="HD28" s="35"/>
      <c r="HE28" s="35"/>
      <c r="HF28" s="35"/>
      <c r="HG28" s="35"/>
      <c r="HH28" s="35"/>
      <c r="HI28" s="35"/>
      <c r="HJ28" s="35"/>
      <c r="HK28" s="35"/>
      <c r="HL28" s="35"/>
      <c r="HM28" s="35"/>
      <c r="HN28" s="35"/>
      <c r="HO28" s="35"/>
      <c r="HP28" s="35"/>
      <c r="HQ28" s="35"/>
      <c r="HR28" s="35"/>
      <c r="HS28" s="35"/>
      <c r="HT28" s="35"/>
      <c r="HU28" s="35"/>
      <c r="HV28" s="35"/>
      <c r="HW28" s="35"/>
      <c r="HX28" s="35"/>
      <c r="HY28" s="35"/>
      <c r="HZ28" s="35"/>
      <c r="IA28" s="35"/>
      <c r="IB28" s="35"/>
      <c r="IC28" s="35"/>
      <c r="ID28" s="35"/>
      <c r="IE28" s="35"/>
      <c r="IF28" s="35"/>
      <c r="IG28" s="35"/>
      <c r="IH28" s="35"/>
      <c r="II28" s="35"/>
      <c r="IJ28" s="35"/>
      <c r="IK28" s="35"/>
      <c r="IL28" s="35"/>
      <c r="IM28" s="35"/>
      <c r="IN28" s="35"/>
      <c r="IO28" s="35"/>
      <c r="IP28" s="35"/>
      <c r="IQ28" s="35"/>
      <c r="IR28" s="35"/>
      <c r="IS28" s="35"/>
      <c r="IT28" s="35"/>
      <c r="IU28" s="35"/>
      <c r="IV28" s="35"/>
      <c r="IW28" s="35"/>
      <c r="IX28" s="35"/>
      <c r="IY28" s="35"/>
      <c r="IZ28" s="35"/>
      <c r="JA28" s="35"/>
      <c r="JB28" s="35"/>
      <c r="JC28" s="35"/>
      <c r="JD28" s="35"/>
      <c r="JE28" s="35"/>
      <c r="JF28" s="35"/>
      <c r="JG28" s="35"/>
      <c r="JH28" s="35"/>
      <c r="JI28" s="35"/>
      <c r="JJ28" s="35"/>
      <c r="JK28" s="35"/>
      <c r="JL28" s="35"/>
      <c r="JM28" s="35"/>
      <c r="JN28" s="35"/>
      <c r="JO28" s="35"/>
      <c r="JP28" s="35"/>
      <c r="JQ28" s="35"/>
      <c r="JR28" s="35"/>
      <c r="JS28" s="35"/>
      <c r="JT28" s="35"/>
      <c r="JU28" s="35"/>
      <c r="JV28" s="35"/>
      <c r="JW28" s="35"/>
      <c r="JX28" s="35"/>
      <c r="JY28" s="35"/>
      <c r="JZ28" s="35"/>
      <c r="KA28" s="35"/>
      <c r="KB28" s="35"/>
      <c r="KC28" s="35"/>
      <c r="KD28" s="35"/>
      <c r="KE28" s="35"/>
      <c r="KF28" s="35"/>
      <c r="KG28" s="35"/>
      <c r="KH28" s="35"/>
      <c r="KI28" s="35"/>
      <c r="KJ28" s="35"/>
      <c r="KK28" s="35"/>
      <c r="KL28" s="35"/>
      <c r="KM28" s="35"/>
      <c r="KN28" s="35"/>
      <c r="KO28" s="35"/>
      <c r="KP28" s="35"/>
      <c r="KQ28" s="35"/>
      <c r="KR28" s="35"/>
      <c r="KS28" s="35"/>
      <c r="KT28" s="35"/>
      <c r="KU28" s="35"/>
      <c r="KV28" s="35"/>
      <c r="KW28" s="35"/>
      <c r="KX28" s="35"/>
      <c r="KY28" s="35"/>
      <c r="KZ28" s="35"/>
      <c r="LA28" s="35"/>
      <c r="LB28" s="35"/>
      <c r="LC28" s="35"/>
      <c r="LD28" s="35"/>
      <c r="LE28" s="35"/>
      <c r="LF28" s="35"/>
      <c r="LG28" s="35"/>
      <c r="LH28" s="35"/>
      <c r="LI28" s="35"/>
      <c r="LJ28" s="35"/>
      <c r="LK28" s="35"/>
      <c r="LL28" s="35"/>
      <c r="LM28" s="35"/>
      <c r="LN28" s="35"/>
      <c r="LO28" s="35"/>
      <c r="LP28" s="35"/>
      <c r="LQ28" s="35"/>
      <c r="LR28" s="35"/>
      <c r="LS28" s="35"/>
      <c r="LT28" s="35"/>
      <c r="LU28" s="35"/>
      <c r="LV28" s="35"/>
      <c r="LW28" s="35"/>
      <c r="LX28" s="35"/>
      <c r="LY28" s="35"/>
      <c r="LZ28" s="35"/>
      <c r="MA28" s="35"/>
      <c r="MB28" s="35"/>
      <c r="MC28" s="35"/>
      <c r="MD28" s="35"/>
      <c r="ME28" s="35"/>
      <c r="MF28" s="35"/>
      <c r="MG28" s="35"/>
      <c r="MH28" s="35"/>
      <c r="MI28" s="35"/>
      <c r="MJ28" s="35"/>
      <c r="MK28" s="35"/>
      <c r="ML28" s="35"/>
      <c r="MM28" s="35"/>
      <c r="MN28" s="35"/>
      <c r="MO28" s="35"/>
      <c r="MP28" s="35"/>
      <c r="MQ28" s="35"/>
      <c r="MR28" s="35"/>
      <c r="MS28" s="35"/>
      <c r="MT28" s="35"/>
      <c r="MU28" s="35"/>
      <c r="MV28" s="35"/>
      <c r="MW28" s="35"/>
      <c r="MX28" s="35"/>
      <c r="MY28" s="35"/>
      <c r="MZ28" s="35"/>
      <c r="NA28" s="35"/>
      <c r="NB28" s="35"/>
      <c r="NC28" s="35"/>
      <c r="ND28" s="35"/>
      <c r="NE28" s="35"/>
      <c r="NF28" s="35"/>
      <c r="NG28" s="35"/>
      <c r="NH28" s="35"/>
      <c r="NI28" s="35"/>
      <c r="NJ28" s="35"/>
      <c r="NK28" s="35"/>
      <c r="NL28" s="35"/>
      <c r="NM28" s="35"/>
      <c r="NN28" s="35"/>
      <c r="NO28" s="35"/>
      <c r="NP28" s="35"/>
      <c r="NQ28" s="35"/>
      <c r="NR28" s="35"/>
      <c r="NS28" s="35"/>
      <c r="NT28" s="35"/>
      <c r="NU28" s="35"/>
      <c r="NV28" s="35"/>
      <c r="NW28" s="35"/>
      <c r="NX28" s="35"/>
      <c r="NY28" s="35"/>
      <c r="NZ28" s="35"/>
      <c r="OA28" s="35"/>
      <c r="OB28" s="35"/>
      <c r="OC28" s="35"/>
      <c r="OD28" s="35"/>
      <c r="OE28" s="35"/>
      <c r="OF28" s="35"/>
      <c r="OG28" s="35"/>
      <c r="OH28" s="35"/>
      <c r="OI28" s="35"/>
      <c r="OJ28" s="35"/>
      <c r="OK28" s="35"/>
      <c r="OL28" s="35"/>
      <c r="OM28" s="35"/>
      <c r="ON28" s="35"/>
      <c r="OO28" s="35"/>
      <c r="OP28" s="35"/>
      <c r="OQ28" s="35"/>
      <c r="OR28" s="35"/>
      <c r="OS28" s="35"/>
      <c r="OT28" s="35"/>
      <c r="OU28" s="35"/>
      <c r="OV28" s="35"/>
    </row>
    <row r="29" ht="18.0" customHeight="1">
      <c r="A29" s="34">
        <v>28.0</v>
      </c>
      <c r="B29" s="35" t="s">
        <v>97</v>
      </c>
      <c r="C29" s="36" t="s">
        <v>1471</v>
      </c>
      <c r="D29" s="35" t="s">
        <v>93</v>
      </c>
      <c r="E29" s="34">
        <v>200.0</v>
      </c>
      <c r="F29" s="34" t="str">
        <f t="shared" si="1"/>
        <v>#REF!</v>
      </c>
      <c r="G29" s="34">
        <f t="shared" si="2"/>
        <v>0</v>
      </c>
      <c r="H29" s="34">
        <f t="shared" si="3"/>
        <v>0</v>
      </c>
      <c r="I29" s="34">
        <f t="shared" si="4"/>
        <v>0</v>
      </c>
      <c r="J29" s="37" t="s">
        <v>625</v>
      </c>
      <c r="K29" s="37" t="b">
        <v>0</v>
      </c>
      <c r="L29" s="38" t="s">
        <v>71</v>
      </c>
      <c r="M29" s="35" t="str">
        <f>IFERROR(__xludf.DUMMYFUNCTION("IFERROR(TOROW(CHOOSECOLS(SORT(FILTER({'Tổng hợp 75 trang đích'!$J$2:$J$3260,'Tổng hợp 75 trang đích'!$I$2:$I$3260,MATCH('Tổng hợp 75 trang đích'!$K$2:$K$3260,{""PHÙ HỢP CAO"",""CÓ THỂ ĐI"",""CẦN SOÁT""},0)},'Tổng hợp 75 trang đích'!$B$2:$B$3260=$D29),3,TR"&amp;"UE),1,2)),"""")"),"")</f>
        <v/>
      </c>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c r="BM29" s="35"/>
      <c r="BN29" s="35"/>
      <c r="BO29" s="35"/>
      <c r="BP29" s="35"/>
      <c r="BQ29" s="35"/>
      <c r="BR29" s="35"/>
      <c r="BS29" s="35"/>
      <c r="BT29" s="35"/>
      <c r="BU29" s="35"/>
      <c r="BV29" s="35"/>
      <c r="BW29" s="35"/>
      <c r="BX29" s="35"/>
      <c r="BY29" s="35"/>
      <c r="BZ29" s="35"/>
      <c r="CA29" s="35"/>
      <c r="CB29" s="35"/>
      <c r="CC29" s="35"/>
      <c r="CD29" s="35"/>
      <c r="CE29" s="35"/>
      <c r="CF29" s="35"/>
      <c r="CG29" s="35"/>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c r="EA29" s="35"/>
      <c r="EB29" s="35"/>
      <c r="EC29" s="35"/>
      <c r="ED29" s="35"/>
      <c r="EE29" s="35"/>
      <c r="EF29" s="35"/>
      <c r="EG29" s="35"/>
      <c r="EH29" s="35"/>
      <c r="EI29" s="35"/>
      <c r="EJ29" s="35"/>
      <c r="EK29" s="35"/>
      <c r="EL29" s="35"/>
      <c r="EM29" s="35"/>
      <c r="EN29" s="35"/>
      <c r="EO29" s="35"/>
      <c r="EP29" s="35"/>
      <c r="EQ29" s="35"/>
      <c r="ER29" s="35"/>
      <c r="ES29" s="35"/>
      <c r="ET29" s="35"/>
      <c r="EU29" s="35"/>
      <c r="EV29" s="35"/>
      <c r="EW29" s="35"/>
      <c r="EX29" s="35"/>
      <c r="EY29" s="35"/>
      <c r="EZ29" s="35"/>
      <c r="FA29" s="35"/>
      <c r="FB29" s="35"/>
      <c r="FC29" s="35"/>
      <c r="FD29" s="35"/>
      <c r="FE29" s="35"/>
      <c r="FF29" s="35"/>
      <c r="FG29" s="35"/>
      <c r="FH29" s="35"/>
      <c r="FI29" s="35"/>
      <c r="FJ29" s="35"/>
      <c r="FK29" s="35"/>
      <c r="FL29" s="35"/>
      <c r="FM29" s="35"/>
      <c r="FN29" s="35"/>
      <c r="FO29" s="35"/>
      <c r="FP29" s="35"/>
      <c r="FQ29" s="35"/>
      <c r="FR29" s="35"/>
      <c r="FS29" s="35"/>
      <c r="FT29" s="35"/>
      <c r="FU29" s="35"/>
      <c r="FV29" s="35"/>
      <c r="FW29" s="35"/>
      <c r="FX29" s="35"/>
      <c r="FY29" s="35"/>
      <c r="FZ29" s="35"/>
      <c r="GA29" s="35"/>
      <c r="GB29" s="35"/>
      <c r="GC29" s="35"/>
      <c r="GD29" s="35"/>
      <c r="GE29" s="35"/>
      <c r="GF29" s="35"/>
      <c r="GG29" s="35"/>
      <c r="GH29" s="35"/>
      <c r="GI29" s="35"/>
      <c r="GJ29" s="35"/>
      <c r="GK29" s="35"/>
      <c r="GL29" s="35"/>
      <c r="GM29" s="35"/>
      <c r="GN29" s="35"/>
      <c r="GO29" s="35"/>
      <c r="GP29" s="35"/>
      <c r="GQ29" s="35"/>
      <c r="GR29" s="35"/>
      <c r="GS29" s="35"/>
      <c r="GT29" s="35"/>
      <c r="GU29" s="35"/>
      <c r="GV29" s="35"/>
      <c r="GW29" s="35"/>
      <c r="GX29" s="35"/>
      <c r="GY29" s="35"/>
      <c r="GZ29" s="35"/>
      <c r="HA29" s="35"/>
      <c r="HB29" s="35"/>
      <c r="HC29" s="35"/>
      <c r="HD29" s="35"/>
      <c r="HE29" s="35"/>
      <c r="HF29" s="35"/>
      <c r="HG29" s="35"/>
      <c r="HH29" s="35"/>
      <c r="HI29" s="35"/>
      <c r="HJ29" s="35"/>
      <c r="HK29" s="35"/>
      <c r="HL29" s="35"/>
      <c r="HM29" s="35"/>
      <c r="HN29" s="35"/>
      <c r="HO29" s="35"/>
      <c r="HP29" s="35"/>
      <c r="HQ29" s="35"/>
      <c r="HR29" s="35"/>
      <c r="HS29" s="35"/>
      <c r="HT29" s="35"/>
      <c r="HU29" s="35"/>
      <c r="HV29" s="35"/>
      <c r="HW29" s="35"/>
      <c r="HX29" s="35"/>
      <c r="HY29" s="35"/>
      <c r="HZ29" s="35"/>
      <c r="IA29" s="35"/>
      <c r="IB29" s="35"/>
      <c r="IC29" s="35"/>
      <c r="ID29" s="35"/>
      <c r="IE29" s="35"/>
      <c r="IF29" s="35"/>
      <c r="IG29" s="35"/>
      <c r="IH29" s="35"/>
      <c r="II29" s="35"/>
      <c r="IJ29" s="35"/>
      <c r="IK29" s="35"/>
      <c r="IL29" s="35"/>
      <c r="IM29" s="35"/>
      <c r="IN29" s="35"/>
      <c r="IO29" s="35"/>
      <c r="IP29" s="35"/>
      <c r="IQ29" s="35"/>
      <c r="IR29" s="35"/>
      <c r="IS29" s="35"/>
      <c r="IT29" s="35"/>
      <c r="IU29" s="35"/>
      <c r="IV29" s="35"/>
      <c r="IW29" s="35"/>
      <c r="IX29" s="35"/>
      <c r="IY29" s="35"/>
      <c r="IZ29" s="35"/>
      <c r="JA29" s="35"/>
      <c r="JB29" s="35"/>
      <c r="JC29" s="35"/>
      <c r="JD29" s="35"/>
      <c r="JE29" s="35"/>
      <c r="JF29" s="35"/>
      <c r="JG29" s="35"/>
      <c r="JH29" s="35"/>
      <c r="JI29" s="35"/>
      <c r="JJ29" s="35"/>
      <c r="JK29" s="35"/>
      <c r="JL29" s="35"/>
      <c r="JM29" s="35"/>
      <c r="JN29" s="35"/>
      <c r="JO29" s="35"/>
      <c r="JP29" s="35"/>
      <c r="JQ29" s="35"/>
      <c r="JR29" s="35"/>
      <c r="JS29" s="35"/>
      <c r="JT29" s="35"/>
      <c r="JU29" s="35"/>
      <c r="JV29" s="35"/>
      <c r="JW29" s="35"/>
      <c r="JX29" s="35"/>
      <c r="JY29" s="35"/>
      <c r="JZ29" s="35"/>
      <c r="KA29" s="35"/>
      <c r="KB29" s="35"/>
      <c r="KC29" s="35"/>
      <c r="KD29" s="35"/>
      <c r="KE29" s="35"/>
      <c r="KF29" s="35"/>
      <c r="KG29" s="35"/>
      <c r="KH29" s="35"/>
      <c r="KI29" s="35"/>
      <c r="KJ29" s="35"/>
      <c r="KK29" s="35"/>
      <c r="KL29" s="35"/>
      <c r="KM29" s="35"/>
      <c r="KN29" s="35"/>
      <c r="KO29" s="35"/>
      <c r="KP29" s="35"/>
      <c r="KQ29" s="35"/>
      <c r="KR29" s="35"/>
      <c r="KS29" s="35"/>
      <c r="KT29" s="35"/>
      <c r="KU29" s="35"/>
      <c r="KV29" s="35"/>
      <c r="KW29" s="35"/>
      <c r="KX29" s="35"/>
      <c r="KY29" s="35"/>
      <c r="KZ29" s="35"/>
      <c r="LA29" s="35"/>
      <c r="LB29" s="35"/>
      <c r="LC29" s="35"/>
      <c r="LD29" s="35"/>
      <c r="LE29" s="35"/>
      <c r="LF29" s="35"/>
      <c r="LG29" s="35"/>
      <c r="LH29" s="35"/>
      <c r="LI29" s="35"/>
      <c r="LJ29" s="35"/>
      <c r="LK29" s="35"/>
      <c r="LL29" s="35"/>
      <c r="LM29" s="35"/>
      <c r="LN29" s="35"/>
      <c r="LO29" s="35"/>
      <c r="LP29" s="35"/>
      <c r="LQ29" s="35"/>
      <c r="LR29" s="35"/>
      <c r="LS29" s="35"/>
      <c r="LT29" s="35"/>
      <c r="LU29" s="35"/>
      <c r="LV29" s="35"/>
      <c r="LW29" s="35"/>
      <c r="LX29" s="35"/>
      <c r="LY29" s="35"/>
      <c r="LZ29" s="35"/>
      <c r="MA29" s="35"/>
      <c r="MB29" s="35"/>
      <c r="MC29" s="35"/>
      <c r="MD29" s="35"/>
      <c r="ME29" s="35"/>
      <c r="MF29" s="35"/>
      <c r="MG29" s="35"/>
      <c r="MH29" s="35"/>
      <c r="MI29" s="35"/>
      <c r="MJ29" s="35"/>
      <c r="MK29" s="35"/>
      <c r="ML29" s="35"/>
      <c r="MM29" s="35"/>
      <c r="MN29" s="35"/>
      <c r="MO29" s="35"/>
      <c r="MP29" s="35"/>
      <c r="MQ29" s="35"/>
      <c r="MR29" s="35"/>
      <c r="MS29" s="35"/>
      <c r="MT29" s="35"/>
      <c r="MU29" s="35"/>
      <c r="MV29" s="35"/>
      <c r="MW29" s="35"/>
      <c r="MX29" s="35"/>
      <c r="MY29" s="35"/>
      <c r="MZ29" s="35"/>
      <c r="NA29" s="35"/>
      <c r="NB29" s="35"/>
      <c r="NC29" s="35"/>
      <c r="ND29" s="35"/>
      <c r="NE29" s="35"/>
      <c r="NF29" s="35"/>
      <c r="NG29" s="35"/>
      <c r="NH29" s="35"/>
      <c r="NI29" s="35"/>
      <c r="NJ29" s="35"/>
      <c r="NK29" s="35"/>
      <c r="NL29" s="35"/>
      <c r="NM29" s="35"/>
      <c r="NN29" s="35"/>
      <c r="NO29" s="35"/>
      <c r="NP29" s="35"/>
      <c r="NQ29" s="35"/>
      <c r="NR29" s="35"/>
      <c r="NS29" s="35"/>
      <c r="NT29" s="35"/>
      <c r="NU29" s="35"/>
      <c r="NV29" s="35"/>
      <c r="NW29" s="35"/>
      <c r="NX29" s="35"/>
      <c r="NY29" s="35"/>
      <c r="NZ29" s="35"/>
      <c r="OA29" s="35"/>
      <c r="OB29" s="35"/>
      <c r="OC29" s="35"/>
      <c r="OD29" s="35"/>
      <c r="OE29" s="35"/>
      <c r="OF29" s="35"/>
      <c r="OG29" s="35"/>
      <c r="OH29" s="35"/>
      <c r="OI29" s="35"/>
      <c r="OJ29" s="35"/>
      <c r="OK29" s="35"/>
      <c r="OL29" s="35"/>
      <c r="OM29" s="35"/>
      <c r="ON29" s="35"/>
      <c r="OO29" s="35"/>
      <c r="OP29" s="35"/>
      <c r="OQ29" s="35"/>
      <c r="OR29" s="35"/>
      <c r="OS29" s="35"/>
      <c r="OT29" s="35"/>
      <c r="OU29" s="35"/>
      <c r="OV29" s="35"/>
    </row>
    <row r="30" ht="18.0" customHeight="1">
      <c r="A30" s="34">
        <v>29.0</v>
      </c>
      <c r="B30" s="35" t="s">
        <v>97</v>
      </c>
      <c r="C30" s="36" t="s">
        <v>1483</v>
      </c>
      <c r="D30" s="35" t="s">
        <v>682</v>
      </c>
      <c r="E30" s="34">
        <v>50.0</v>
      </c>
      <c r="F30" s="34" t="str">
        <f t="shared" si="1"/>
        <v>#REF!</v>
      </c>
      <c r="G30" s="34">
        <f t="shared" si="2"/>
        <v>0</v>
      </c>
      <c r="H30" s="34">
        <f t="shared" si="3"/>
        <v>0</v>
      </c>
      <c r="I30" s="34">
        <f t="shared" si="4"/>
        <v>0</v>
      </c>
      <c r="J30" s="37" t="s">
        <v>625</v>
      </c>
      <c r="K30" s="37" t="b">
        <v>0</v>
      </c>
      <c r="L30" s="38" t="s">
        <v>71</v>
      </c>
      <c r="M30" s="35" t="str">
        <f>IFERROR(__xludf.DUMMYFUNCTION("IFERROR(TOROW(CHOOSECOLS(SORT(FILTER({'Tổng hợp 75 trang đích'!$J$2:$J$3260,'Tổng hợp 75 trang đích'!$I$2:$I$3260,MATCH('Tổng hợp 75 trang đích'!$K$2:$K$3260,{""PHÙ HỢP CAO"",""CÓ THỂ ĐI"",""CẦN SOÁT""},0)},'Tổng hợp 75 trang đích'!$B$2:$B$3260=$D30),3,TR"&amp;"UE),1,2)),"""")"),"")</f>
        <v/>
      </c>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c r="BM30" s="35"/>
      <c r="BN30" s="35"/>
      <c r="BO30" s="35"/>
      <c r="BP30" s="35"/>
      <c r="BQ30" s="35"/>
      <c r="BR30" s="35"/>
      <c r="BS30" s="35"/>
      <c r="BT30" s="35"/>
      <c r="BU30" s="35"/>
      <c r="BV30" s="35"/>
      <c r="BW30" s="35"/>
      <c r="BX30" s="35"/>
      <c r="BY30" s="35"/>
      <c r="BZ30" s="35"/>
      <c r="CA30" s="35"/>
      <c r="CB30" s="35"/>
      <c r="CC30" s="35"/>
      <c r="CD30" s="35"/>
      <c r="CE30" s="35"/>
      <c r="CF30" s="35"/>
      <c r="CG30" s="35"/>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c r="EA30" s="35"/>
      <c r="EB30" s="35"/>
      <c r="EC30" s="35"/>
      <c r="ED30" s="35"/>
      <c r="EE30" s="35"/>
      <c r="EF30" s="35"/>
      <c r="EG30" s="35"/>
      <c r="EH30" s="35"/>
      <c r="EI30" s="35"/>
      <c r="EJ30" s="35"/>
      <c r="EK30" s="35"/>
      <c r="EL30" s="35"/>
      <c r="EM30" s="35"/>
      <c r="EN30" s="35"/>
      <c r="EO30" s="35"/>
      <c r="EP30" s="35"/>
      <c r="EQ30" s="35"/>
      <c r="ER30" s="35"/>
      <c r="ES30" s="35"/>
      <c r="ET30" s="35"/>
      <c r="EU30" s="35"/>
      <c r="EV30" s="35"/>
      <c r="EW30" s="35"/>
      <c r="EX30" s="35"/>
      <c r="EY30" s="35"/>
      <c r="EZ30" s="35"/>
      <c r="FA30" s="35"/>
      <c r="FB30" s="35"/>
      <c r="FC30" s="35"/>
      <c r="FD30" s="35"/>
      <c r="FE30" s="35"/>
      <c r="FF30" s="35"/>
      <c r="FG30" s="35"/>
      <c r="FH30" s="35"/>
      <c r="FI30" s="35"/>
      <c r="FJ30" s="35"/>
      <c r="FK30" s="35"/>
      <c r="FL30" s="35"/>
      <c r="FM30" s="35"/>
      <c r="FN30" s="35"/>
      <c r="FO30" s="35"/>
      <c r="FP30" s="35"/>
      <c r="FQ30" s="35"/>
      <c r="FR30" s="35"/>
      <c r="FS30" s="35"/>
      <c r="FT30" s="35"/>
      <c r="FU30" s="35"/>
      <c r="FV30" s="35"/>
      <c r="FW30" s="35"/>
      <c r="FX30" s="35"/>
      <c r="FY30" s="35"/>
      <c r="FZ30" s="35"/>
      <c r="GA30" s="35"/>
      <c r="GB30" s="35"/>
      <c r="GC30" s="35"/>
      <c r="GD30" s="35"/>
      <c r="GE30" s="35"/>
      <c r="GF30" s="35"/>
      <c r="GG30" s="35"/>
      <c r="GH30" s="35"/>
      <c r="GI30" s="35"/>
      <c r="GJ30" s="35"/>
      <c r="GK30" s="35"/>
      <c r="GL30" s="35"/>
      <c r="GM30" s="35"/>
      <c r="GN30" s="35"/>
      <c r="GO30" s="35"/>
      <c r="GP30" s="35"/>
      <c r="GQ30" s="35"/>
      <c r="GR30" s="35"/>
      <c r="GS30" s="35"/>
      <c r="GT30" s="35"/>
      <c r="GU30" s="35"/>
      <c r="GV30" s="35"/>
      <c r="GW30" s="35"/>
      <c r="GX30" s="35"/>
      <c r="GY30" s="35"/>
      <c r="GZ30" s="35"/>
      <c r="HA30" s="35"/>
      <c r="HB30" s="35"/>
      <c r="HC30" s="35"/>
      <c r="HD30" s="35"/>
      <c r="HE30" s="35"/>
      <c r="HF30" s="35"/>
      <c r="HG30" s="35"/>
      <c r="HH30" s="35"/>
      <c r="HI30" s="35"/>
      <c r="HJ30" s="35"/>
      <c r="HK30" s="35"/>
      <c r="HL30" s="35"/>
      <c r="HM30" s="35"/>
      <c r="HN30" s="35"/>
      <c r="HO30" s="35"/>
      <c r="HP30" s="35"/>
      <c r="HQ30" s="35"/>
      <c r="HR30" s="35"/>
      <c r="HS30" s="35"/>
      <c r="HT30" s="35"/>
      <c r="HU30" s="35"/>
      <c r="HV30" s="35"/>
      <c r="HW30" s="35"/>
      <c r="HX30" s="35"/>
      <c r="HY30" s="35"/>
      <c r="HZ30" s="35"/>
      <c r="IA30" s="35"/>
      <c r="IB30" s="35"/>
      <c r="IC30" s="35"/>
      <c r="ID30" s="35"/>
      <c r="IE30" s="35"/>
      <c r="IF30" s="35"/>
      <c r="IG30" s="35"/>
      <c r="IH30" s="35"/>
      <c r="II30" s="35"/>
      <c r="IJ30" s="35"/>
      <c r="IK30" s="35"/>
      <c r="IL30" s="35"/>
      <c r="IM30" s="35"/>
      <c r="IN30" s="35"/>
      <c r="IO30" s="35"/>
      <c r="IP30" s="35"/>
      <c r="IQ30" s="35"/>
      <c r="IR30" s="35"/>
      <c r="IS30" s="35"/>
      <c r="IT30" s="35"/>
      <c r="IU30" s="35"/>
      <c r="IV30" s="35"/>
      <c r="IW30" s="35"/>
      <c r="IX30" s="35"/>
      <c r="IY30" s="35"/>
      <c r="IZ30" s="35"/>
      <c r="JA30" s="35"/>
      <c r="JB30" s="35"/>
      <c r="JC30" s="35"/>
      <c r="JD30" s="35"/>
      <c r="JE30" s="35"/>
      <c r="JF30" s="35"/>
      <c r="JG30" s="35"/>
      <c r="JH30" s="35"/>
      <c r="JI30" s="35"/>
      <c r="JJ30" s="35"/>
      <c r="JK30" s="35"/>
      <c r="JL30" s="35"/>
      <c r="JM30" s="35"/>
      <c r="JN30" s="35"/>
      <c r="JO30" s="35"/>
      <c r="JP30" s="35"/>
      <c r="JQ30" s="35"/>
      <c r="JR30" s="35"/>
      <c r="JS30" s="35"/>
      <c r="JT30" s="35"/>
      <c r="JU30" s="35"/>
      <c r="JV30" s="35"/>
      <c r="JW30" s="35"/>
      <c r="JX30" s="35"/>
      <c r="JY30" s="35"/>
      <c r="JZ30" s="35"/>
      <c r="KA30" s="35"/>
      <c r="KB30" s="35"/>
      <c r="KC30" s="35"/>
      <c r="KD30" s="35"/>
      <c r="KE30" s="35"/>
      <c r="KF30" s="35"/>
      <c r="KG30" s="35"/>
      <c r="KH30" s="35"/>
      <c r="KI30" s="35"/>
      <c r="KJ30" s="35"/>
      <c r="KK30" s="35"/>
      <c r="KL30" s="35"/>
      <c r="KM30" s="35"/>
      <c r="KN30" s="35"/>
      <c r="KO30" s="35"/>
      <c r="KP30" s="35"/>
      <c r="KQ30" s="35"/>
      <c r="KR30" s="35"/>
      <c r="KS30" s="35"/>
      <c r="KT30" s="35"/>
      <c r="KU30" s="35"/>
      <c r="KV30" s="35"/>
      <c r="KW30" s="35"/>
      <c r="KX30" s="35"/>
      <c r="KY30" s="35"/>
      <c r="KZ30" s="35"/>
      <c r="LA30" s="35"/>
      <c r="LB30" s="35"/>
      <c r="LC30" s="35"/>
      <c r="LD30" s="35"/>
      <c r="LE30" s="35"/>
      <c r="LF30" s="35"/>
      <c r="LG30" s="35"/>
      <c r="LH30" s="35"/>
      <c r="LI30" s="35"/>
      <c r="LJ30" s="35"/>
      <c r="LK30" s="35"/>
      <c r="LL30" s="35"/>
      <c r="LM30" s="35"/>
      <c r="LN30" s="35"/>
      <c r="LO30" s="35"/>
      <c r="LP30" s="35"/>
      <c r="LQ30" s="35"/>
      <c r="LR30" s="35"/>
      <c r="LS30" s="35"/>
      <c r="LT30" s="35"/>
      <c r="LU30" s="35"/>
      <c r="LV30" s="35"/>
      <c r="LW30" s="35"/>
      <c r="LX30" s="35"/>
      <c r="LY30" s="35"/>
      <c r="LZ30" s="35"/>
      <c r="MA30" s="35"/>
      <c r="MB30" s="35"/>
      <c r="MC30" s="35"/>
      <c r="MD30" s="35"/>
      <c r="ME30" s="35"/>
      <c r="MF30" s="35"/>
      <c r="MG30" s="35"/>
      <c r="MH30" s="35"/>
      <c r="MI30" s="35"/>
      <c r="MJ30" s="35"/>
      <c r="MK30" s="35"/>
      <c r="ML30" s="35"/>
      <c r="MM30" s="35"/>
      <c r="MN30" s="35"/>
      <c r="MO30" s="35"/>
      <c r="MP30" s="35"/>
      <c r="MQ30" s="35"/>
      <c r="MR30" s="35"/>
      <c r="MS30" s="35"/>
      <c r="MT30" s="35"/>
      <c r="MU30" s="35"/>
      <c r="MV30" s="35"/>
      <c r="MW30" s="35"/>
      <c r="MX30" s="35"/>
      <c r="MY30" s="35"/>
      <c r="MZ30" s="35"/>
      <c r="NA30" s="35"/>
      <c r="NB30" s="35"/>
      <c r="NC30" s="35"/>
      <c r="ND30" s="35"/>
      <c r="NE30" s="35"/>
      <c r="NF30" s="35"/>
      <c r="NG30" s="35"/>
      <c r="NH30" s="35"/>
      <c r="NI30" s="35"/>
      <c r="NJ30" s="35"/>
      <c r="NK30" s="35"/>
      <c r="NL30" s="35"/>
      <c r="NM30" s="35"/>
      <c r="NN30" s="35"/>
      <c r="NO30" s="35"/>
      <c r="NP30" s="35"/>
      <c r="NQ30" s="35"/>
      <c r="NR30" s="35"/>
      <c r="NS30" s="35"/>
      <c r="NT30" s="35"/>
      <c r="NU30" s="35"/>
      <c r="NV30" s="35"/>
      <c r="NW30" s="35"/>
      <c r="NX30" s="35"/>
      <c r="NY30" s="35"/>
      <c r="NZ30" s="35"/>
      <c r="OA30" s="35"/>
      <c r="OB30" s="35"/>
      <c r="OC30" s="35"/>
      <c r="OD30" s="35"/>
      <c r="OE30" s="35"/>
      <c r="OF30" s="35"/>
      <c r="OG30" s="35"/>
      <c r="OH30" s="35"/>
      <c r="OI30" s="35"/>
      <c r="OJ30" s="35"/>
      <c r="OK30" s="35"/>
      <c r="OL30" s="35"/>
      <c r="OM30" s="35"/>
      <c r="ON30" s="35"/>
      <c r="OO30" s="35"/>
      <c r="OP30" s="35"/>
      <c r="OQ30" s="35"/>
      <c r="OR30" s="35"/>
      <c r="OS30" s="35"/>
      <c r="OT30" s="35"/>
      <c r="OU30" s="35"/>
      <c r="OV30" s="35"/>
    </row>
    <row r="31" ht="18.0" customHeight="1">
      <c r="A31" s="34">
        <v>30.0</v>
      </c>
      <c r="B31" s="35" t="s">
        <v>97</v>
      </c>
      <c r="C31" s="36" t="s">
        <v>1494</v>
      </c>
      <c r="D31" s="35" t="s">
        <v>918</v>
      </c>
      <c r="E31" s="34">
        <v>30.0</v>
      </c>
      <c r="F31" s="34" t="str">
        <f t="shared" si="1"/>
        <v>#REF!</v>
      </c>
      <c r="G31" s="34">
        <f t="shared" si="2"/>
        <v>0</v>
      </c>
      <c r="H31" s="34">
        <f t="shared" si="3"/>
        <v>0</v>
      </c>
      <c r="I31" s="34">
        <f t="shared" si="4"/>
        <v>0</v>
      </c>
      <c r="J31" s="37" t="s">
        <v>625</v>
      </c>
      <c r="K31" s="37" t="b">
        <v>0</v>
      </c>
      <c r="L31" s="38" t="s">
        <v>71</v>
      </c>
      <c r="M31" s="35" t="str">
        <f>IFERROR(__xludf.DUMMYFUNCTION("IFERROR(TOROW(CHOOSECOLS(SORT(FILTER({'Tổng hợp 75 trang đích'!$J$2:$J$3260,'Tổng hợp 75 trang đích'!$I$2:$I$3260,MATCH('Tổng hợp 75 trang đích'!$K$2:$K$3260,{""PHÙ HỢP CAO"",""CÓ THỂ ĐI"",""CẦN SOÁT""},0)},'Tổng hợp 75 trang đích'!$B$2:$B$3260=$D31),3,TR"&amp;"UE),1,2)),"""")"),"")</f>
        <v/>
      </c>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c r="BM31" s="35"/>
      <c r="BN31" s="35"/>
      <c r="BO31" s="35"/>
      <c r="BP31" s="35"/>
      <c r="BQ31" s="35"/>
      <c r="BR31" s="35"/>
      <c r="BS31" s="35"/>
      <c r="BT31" s="35"/>
      <c r="BU31" s="35"/>
      <c r="BV31" s="35"/>
      <c r="BW31" s="35"/>
      <c r="BX31" s="35"/>
      <c r="BY31" s="35"/>
      <c r="BZ31" s="35"/>
      <c r="CA31" s="35"/>
      <c r="CB31" s="35"/>
      <c r="CC31" s="35"/>
      <c r="CD31" s="35"/>
      <c r="CE31" s="35"/>
      <c r="CF31" s="35"/>
      <c r="CG31" s="35"/>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c r="ED31" s="35"/>
      <c r="EE31" s="35"/>
      <c r="EF31" s="35"/>
      <c r="EG31" s="35"/>
      <c r="EH31" s="35"/>
      <c r="EI31" s="35"/>
      <c r="EJ31" s="35"/>
      <c r="EK31" s="35"/>
      <c r="EL31" s="35"/>
      <c r="EM31" s="35"/>
      <c r="EN31" s="35"/>
      <c r="EO31" s="35"/>
      <c r="EP31" s="35"/>
      <c r="EQ31" s="35"/>
      <c r="ER31" s="35"/>
      <c r="ES31" s="35"/>
      <c r="ET31" s="35"/>
      <c r="EU31" s="35"/>
      <c r="EV31" s="35"/>
      <c r="EW31" s="35"/>
      <c r="EX31" s="35"/>
      <c r="EY31" s="35"/>
      <c r="EZ31" s="35"/>
      <c r="FA31" s="35"/>
      <c r="FB31" s="35"/>
      <c r="FC31" s="35"/>
      <c r="FD31" s="35"/>
      <c r="FE31" s="35"/>
      <c r="FF31" s="35"/>
      <c r="FG31" s="35"/>
      <c r="FH31" s="35"/>
      <c r="FI31" s="35"/>
      <c r="FJ31" s="35"/>
      <c r="FK31" s="35"/>
      <c r="FL31" s="35"/>
      <c r="FM31" s="35"/>
      <c r="FN31" s="35"/>
      <c r="FO31" s="35"/>
      <c r="FP31" s="35"/>
      <c r="FQ31" s="35"/>
      <c r="FR31" s="35"/>
      <c r="FS31" s="35"/>
      <c r="FT31" s="35"/>
      <c r="FU31" s="35"/>
      <c r="FV31" s="35"/>
      <c r="FW31" s="35"/>
      <c r="FX31" s="35"/>
      <c r="FY31" s="35"/>
      <c r="FZ31" s="35"/>
      <c r="GA31" s="35"/>
      <c r="GB31" s="35"/>
      <c r="GC31" s="35"/>
      <c r="GD31" s="35"/>
      <c r="GE31" s="35"/>
      <c r="GF31" s="35"/>
      <c r="GG31" s="35"/>
      <c r="GH31" s="35"/>
      <c r="GI31" s="35"/>
      <c r="GJ31" s="35"/>
      <c r="GK31" s="35"/>
      <c r="GL31" s="35"/>
      <c r="GM31" s="35"/>
      <c r="GN31" s="35"/>
      <c r="GO31" s="35"/>
      <c r="GP31" s="35"/>
      <c r="GQ31" s="35"/>
      <c r="GR31" s="35"/>
      <c r="GS31" s="35"/>
      <c r="GT31" s="35"/>
      <c r="GU31" s="35"/>
      <c r="GV31" s="35"/>
      <c r="GW31" s="35"/>
      <c r="GX31" s="35"/>
      <c r="GY31" s="35"/>
      <c r="GZ31" s="35"/>
      <c r="HA31" s="35"/>
      <c r="HB31" s="35"/>
      <c r="HC31" s="35"/>
      <c r="HD31" s="35"/>
      <c r="HE31" s="35"/>
      <c r="HF31" s="35"/>
      <c r="HG31" s="35"/>
      <c r="HH31" s="35"/>
      <c r="HI31" s="35"/>
      <c r="HJ31" s="35"/>
      <c r="HK31" s="35"/>
      <c r="HL31" s="35"/>
      <c r="HM31" s="35"/>
      <c r="HN31" s="35"/>
      <c r="HO31" s="35"/>
      <c r="HP31" s="35"/>
      <c r="HQ31" s="35"/>
      <c r="HR31" s="35"/>
      <c r="HS31" s="35"/>
      <c r="HT31" s="35"/>
      <c r="HU31" s="35"/>
      <c r="HV31" s="35"/>
      <c r="HW31" s="35"/>
      <c r="HX31" s="35"/>
      <c r="HY31" s="35"/>
      <c r="HZ31" s="35"/>
      <c r="IA31" s="35"/>
      <c r="IB31" s="35"/>
      <c r="IC31" s="35"/>
      <c r="ID31" s="35"/>
      <c r="IE31" s="35"/>
      <c r="IF31" s="35"/>
      <c r="IG31" s="35"/>
      <c r="IH31" s="35"/>
      <c r="II31" s="35"/>
      <c r="IJ31" s="35"/>
      <c r="IK31" s="35"/>
      <c r="IL31" s="35"/>
      <c r="IM31" s="35"/>
      <c r="IN31" s="35"/>
      <c r="IO31" s="35"/>
      <c r="IP31" s="35"/>
      <c r="IQ31" s="35"/>
      <c r="IR31" s="35"/>
      <c r="IS31" s="35"/>
      <c r="IT31" s="35"/>
      <c r="IU31" s="35"/>
      <c r="IV31" s="35"/>
      <c r="IW31" s="35"/>
      <c r="IX31" s="35"/>
      <c r="IY31" s="35"/>
      <c r="IZ31" s="35"/>
      <c r="JA31" s="35"/>
      <c r="JB31" s="35"/>
      <c r="JC31" s="35"/>
      <c r="JD31" s="35"/>
      <c r="JE31" s="35"/>
      <c r="JF31" s="35"/>
      <c r="JG31" s="35"/>
      <c r="JH31" s="35"/>
      <c r="JI31" s="35"/>
      <c r="JJ31" s="35"/>
      <c r="JK31" s="35"/>
      <c r="JL31" s="35"/>
      <c r="JM31" s="35"/>
      <c r="JN31" s="35"/>
      <c r="JO31" s="35"/>
      <c r="JP31" s="35"/>
      <c r="JQ31" s="35"/>
      <c r="JR31" s="35"/>
      <c r="JS31" s="35"/>
      <c r="JT31" s="35"/>
      <c r="JU31" s="35"/>
      <c r="JV31" s="35"/>
      <c r="JW31" s="35"/>
      <c r="JX31" s="35"/>
      <c r="JY31" s="35"/>
      <c r="JZ31" s="35"/>
      <c r="KA31" s="35"/>
      <c r="KB31" s="35"/>
      <c r="KC31" s="35"/>
      <c r="KD31" s="35"/>
      <c r="KE31" s="35"/>
      <c r="KF31" s="35"/>
      <c r="KG31" s="35"/>
      <c r="KH31" s="35"/>
      <c r="KI31" s="35"/>
      <c r="KJ31" s="35"/>
      <c r="KK31" s="35"/>
      <c r="KL31" s="35"/>
      <c r="KM31" s="35"/>
      <c r="KN31" s="35"/>
      <c r="KO31" s="35"/>
      <c r="KP31" s="35"/>
      <c r="KQ31" s="35"/>
      <c r="KR31" s="35"/>
      <c r="KS31" s="35"/>
      <c r="KT31" s="35"/>
      <c r="KU31" s="35"/>
      <c r="KV31" s="35"/>
      <c r="KW31" s="35"/>
      <c r="KX31" s="35"/>
      <c r="KY31" s="35"/>
      <c r="KZ31" s="35"/>
      <c r="LA31" s="35"/>
      <c r="LB31" s="35"/>
      <c r="LC31" s="35"/>
      <c r="LD31" s="35"/>
      <c r="LE31" s="35"/>
      <c r="LF31" s="35"/>
      <c r="LG31" s="35"/>
      <c r="LH31" s="35"/>
      <c r="LI31" s="35"/>
      <c r="LJ31" s="35"/>
      <c r="LK31" s="35"/>
      <c r="LL31" s="35"/>
      <c r="LM31" s="35"/>
      <c r="LN31" s="35"/>
      <c r="LO31" s="35"/>
      <c r="LP31" s="35"/>
      <c r="LQ31" s="35"/>
      <c r="LR31" s="35"/>
      <c r="LS31" s="35"/>
      <c r="LT31" s="35"/>
      <c r="LU31" s="35"/>
      <c r="LV31" s="35"/>
      <c r="LW31" s="35"/>
      <c r="LX31" s="35"/>
      <c r="LY31" s="35"/>
      <c r="LZ31" s="35"/>
      <c r="MA31" s="35"/>
      <c r="MB31" s="35"/>
      <c r="MC31" s="35"/>
      <c r="MD31" s="35"/>
      <c r="ME31" s="35"/>
      <c r="MF31" s="35"/>
      <c r="MG31" s="35"/>
      <c r="MH31" s="35"/>
      <c r="MI31" s="35"/>
      <c r="MJ31" s="35"/>
      <c r="MK31" s="35"/>
      <c r="ML31" s="35"/>
      <c r="MM31" s="35"/>
      <c r="MN31" s="35"/>
      <c r="MO31" s="35"/>
      <c r="MP31" s="35"/>
      <c r="MQ31" s="35"/>
      <c r="MR31" s="35"/>
      <c r="MS31" s="35"/>
      <c r="MT31" s="35"/>
      <c r="MU31" s="35"/>
      <c r="MV31" s="35"/>
      <c r="MW31" s="35"/>
      <c r="MX31" s="35"/>
      <c r="MY31" s="35"/>
      <c r="MZ31" s="35"/>
      <c r="NA31" s="35"/>
      <c r="NB31" s="35"/>
      <c r="NC31" s="35"/>
      <c r="ND31" s="35"/>
      <c r="NE31" s="35"/>
      <c r="NF31" s="35"/>
      <c r="NG31" s="35"/>
      <c r="NH31" s="35"/>
      <c r="NI31" s="35"/>
      <c r="NJ31" s="35"/>
      <c r="NK31" s="35"/>
      <c r="NL31" s="35"/>
      <c r="NM31" s="35"/>
      <c r="NN31" s="35"/>
      <c r="NO31" s="35"/>
      <c r="NP31" s="35"/>
      <c r="NQ31" s="35"/>
      <c r="NR31" s="35"/>
      <c r="NS31" s="35"/>
      <c r="NT31" s="35"/>
      <c r="NU31" s="35"/>
      <c r="NV31" s="35"/>
      <c r="NW31" s="35"/>
      <c r="NX31" s="35"/>
      <c r="NY31" s="35"/>
      <c r="NZ31" s="35"/>
      <c r="OA31" s="35"/>
      <c r="OB31" s="35"/>
      <c r="OC31" s="35"/>
      <c r="OD31" s="35"/>
      <c r="OE31" s="35"/>
      <c r="OF31" s="35"/>
      <c r="OG31" s="35"/>
      <c r="OH31" s="35"/>
      <c r="OI31" s="35"/>
      <c r="OJ31" s="35"/>
      <c r="OK31" s="35"/>
      <c r="OL31" s="35"/>
      <c r="OM31" s="35"/>
      <c r="ON31" s="35"/>
      <c r="OO31" s="35"/>
      <c r="OP31" s="35"/>
      <c r="OQ31" s="35"/>
      <c r="OR31" s="35"/>
      <c r="OS31" s="35"/>
      <c r="OT31" s="35"/>
      <c r="OU31" s="35"/>
      <c r="OV31" s="35"/>
    </row>
    <row r="32" ht="18.0" customHeight="1">
      <c r="A32" s="34">
        <v>31.0</v>
      </c>
      <c r="B32" s="35" t="s">
        <v>97</v>
      </c>
      <c r="C32" s="36" t="s">
        <v>1507</v>
      </c>
      <c r="D32" s="35" t="s">
        <v>922</v>
      </c>
      <c r="E32" s="34">
        <v>30.0</v>
      </c>
      <c r="F32" s="34" t="str">
        <f t="shared" si="1"/>
        <v>#REF!</v>
      </c>
      <c r="G32" s="34">
        <f t="shared" si="2"/>
        <v>0</v>
      </c>
      <c r="H32" s="34">
        <f t="shared" si="3"/>
        <v>0</v>
      </c>
      <c r="I32" s="34">
        <f t="shared" si="4"/>
        <v>0</v>
      </c>
      <c r="J32" s="37" t="s">
        <v>625</v>
      </c>
      <c r="K32" s="37" t="b">
        <v>0</v>
      </c>
      <c r="L32" s="38" t="s">
        <v>71</v>
      </c>
      <c r="M32" s="35" t="str">
        <f>IFERROR(__xludf.DUMMYFUNCTION("IFERROR(TOROW(CHOOSECOLS(SORT(FILTER({'Tổng hợp 75 trang đích'!$J$2:$J$3260,'Tổng hợp 75 trang đích'!$I$2:$I$3260,MATCH('Tổng hợp 75 trang đích'!$K$2:$K$3260,{""PHÙ HỢP CAO"",""CÓ THỂ ĐI"",""CẦN SOÁT""},0)},'Tổng hợp 75 trang đích'!$B$2:$B$3260=$D32),3,TR"&amp;"UE),1,2)),"""")"),"")</f>
        <v/>
      </c>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c r="BM32" s="35"/>
      <c r="BN32" s="35"/>
      <c r="BO32" s="35"/>
      <c r="BP32" s="35"/>
      <c r="BQ32" s="35"/>
      <c r="BR32" s="35"/>
      <c r="BS32" s="35"/>
      <c r="BT32" s="35"/>
      <c r="BU32" s="35"/>
      <c r="BV32" s="35"/>
      <c r="BW32" s="35"/>
      <c r="BX32" s="35"/>
      <c r="BY32" s="35"/>
      <c r="BZ32" s="35"/>
      <c r="CA32" s="35"/>
      <c r="CB32" s="35"/>
      <c r="CC32" s="35"/>
      <c r="CD32" s="35"/>
      <c r="CE32" s="35"/>
      <c r="CF32" s="35"/>
      <c r="CG32" s="35"/>
      <c r="CH32" s="35"/>
      <c r="CI32" s="35"/>
      <c r="CJ32" s="35"/>
      <c r="CK32" s="35"/>
      <c r="CL32" s="35"/>
      <c r="CM32" s="35"/>
      <c r="CN32" s="35"/>
      <c r="CO32" s="35"/>
      <c r="CP32" s="35"/>
      <c r="CQ32" s="35"/>
      <c r="CR32" s="35"/>
      <c r="CS32" s="35"/>
      <c r="CT32" s="35"/>
      <c r="CU32" s="35"/>
      <c r="CV32" s="35"/>
      <c r="CW32" s="35"/>
      <c r="CX32" s="35"/>
      <c r="CY32" s="35"/>
      <c r="CZ32" s="35"/>
      <c r="DA32" s="35"/>
      <c r="DB32" s="35"/>
      <c r="DC32" s="35"/>
      <c r="DD32" s="35"/>
      <c r="DE32" s="35"/>
      <c r="DF32" s="35"/>
      <c r="DG32" s="35"/>
      <c r="DH32" s="35"/>
      <c r="DI32" s="35"/>
      <c r="DJ32" s="35"/>
      <c r="DK32" s="35"/>
      <c r="DL32" s="35"/>
      <c r="DM32" s="35"/>
      <c r="DN32" s="35"/>
      <c r="DO32" s="35"/>
      <c r="DP32" s="35"/>
      <c r="DQ32" s="35"/>
      <c r="DR32" s="35"/>
      <c r="DS32" s="35"/>
      <c r="DT32" s="35"/>
      <c r="DU32" s="35"/>
      <c r="DV32" s="35"/>
      <c r="DW32" s="35"/>
      <c r="DX32" s="35"/>
      <c r="DY32" s="35"/>
      <c r="DZ32" s="35"/>
      <c r="EA32" s="35"/>
      <c r="EB32" s="35"/>
      <c r="EC32" s="35"/>
      <c r="ED32" s="35"/>
      <c r="EE32" s="35"/>
      <c r="EF32" s="35"/>
      <c r="EG32" s="35"/>
      <c r="EH32" s="35"/>
      <c r="EI32" s="35"/>
      <c r="EJ32" s="35"/>
      <c r="EK32" s="35"/>
      <c r="EL32" s="35"/>
      <c r="EM32" s="35"/>
      <c r="EN32" s="35"/>
      <c r="EO32" s="35"/>
      <c r="EP32" s="35"/>
      <c r="EQ32" s="35"/>
      <c r="ER32" s="35"/>
      <c r="ES32" s="35"/>
      <c r="ET32" s="35"/>
      <c r="EU32" s="35"/>
      <c r="EV32" s="35"/>
      <c r="EW32" s="35"/>
      <c r="EX32" s="35"/>
      <c r="EY32" s="35"/>
      <c r="EZ32" s="35"/>
      <c r="FA32" s="35"/>
      <c r="FB32" s="35"/>
      <c r="FC32" s="35"/>
      <c r="FD32" s="35"/>
      <c r="FE32" s="35"/>
      <c r="FF32" s="35"/>
      <c r="FG32" s="35"/>
      <c r="FH32" s="35"/>
      <c r="FI32" s="35"/>
      <c r="FJ32" s="35"/>
      <c r="FK32" s="35"/>
      <c r="FL32" s="35"/>
      <c r="FM32" s="35"/>
      <c r="FN32" s="35"/>
      <c r="FO32" s="35"/>
      <c r="FP32" s="35"/>
      <c r="FQ32" s="35"/>
      <c r="FR32" s="35"/>
      <c r="FS32" s="35"/>
      <c r="FT32" s="35"/>
      <c r="FU32" s="35"/>
      <c r="FV32" s="35"/>
      <c r="FW32" s="35"/>
      <c r="FX32" s="35"/>
      <c r="FY32" s="35"/>
      <c r="FZ32" s="35"/>
      <c r="GA32" s="35"/>
      <c r="GB32" s="35"/>
      <c r="GC32" s="35"/>
      <c r="GD32" s="35"/>
      <c r="GE32" s="35"/>
      <c r="GF32" s="35"/>
      <c r="GG32" s="35"/>
      <c r="GH32" s="35"/>
      <c r="GI32" s="35"/>
      <c r="GJ32" s="35"/>
      <c r="GK32" s="35"/>
      <c r="GL32" s="35"/>
      <c r="GM32" s="35"/>
      <c r="GN32" s="35"/>
      <c r="GO32" s="35"/>
      <c r="GP32" s="35"/>
      <c r="GQ32" s="35"/>
      <c r="GR32" s="35"/>
      <c r="GS32" s="35"/>
      <c r="GT32" s="35"/>
      <c r="GU32" s="35"/>
      <c r="GV32" s="35"/>
      <c r="GW32" s="35"/>
      <c r="GX32" s="35"/>
      <c r="GY32" s="35"/>
      <c r="GZ32" s="35"/>
      <c r="HA32" s="35"/>
      <c r="HB32" s="35"/>
      <c r="HC32" s="35"/>
      <c r="HD32" s="35"/>
      <c r="HE32" s="35"/>
      <c r="HF32" s="35"/>
      <c r="HG32" s="35"/>
      <c r="HH32" s="35"/>
      <c r="HI32" s="35"/>
      <c r="HJ32" s="35"/>
      <c r="HK32" s="35"/>
      <c r="HL32" s="35"/>
      <c r="HM32" s="35"/>
      <c r="HN32" s="35"/>
      <c r="HO32" s="35"/>
      <c r="HP32" s="35"/>
      <c r="HQ32" s="35"/>
      <c r="HR32" s="35"/>
      <c r="HS32" s="35"/>
      <c r="HT32" s="35"/>
      <c r="HU32" s="35"/>
      <c r="HV32" s="35"/>
      <c r="HW32" s="35"/>
      <c r="HX32" s="35"/>
      <c r="HY32" s="35"/>
      <c r="HZ32" s="35"/>
      <c r="IA32" s="35"/>
      <c r="IB32" s="35"/>
      <c r="IC32" s="35"/>
      <c r="ID32" s="35"/>
      <c r="IE32" s="35"/>
      <c r="IF32" s="35"/>
      <c r="IG32" s="35"/>
      <c r="IH32" s="35"/>
      <c r="II32" s="35"/>
      <c r="IJ32" s="35"/>
      <c r="IK32" s="35"/>
      <c r="IL32" s="35"/>
      <c r="IM32" s="35"/>
      <c r="IN32" s="35"/>
      <c r="IO32" s="35"/>
      <c r="IP32" s="35"/>
      <c r="IQ32" s="35"/>
      <c r="IR32" s="35"/>
      <c r="IS32" s="35"/>
      <c r="IT32" s="35"/>
      <c r="IU32" s="35"/>
      <c r="IV32" s="35"/>
      <c r="IW32" s="35"/>
      <c r="IX32" s="35"/>
      <c r="IY32" s="35"/>
      <c r="IZ32" s="35"/>
      <c r="JA32" s="35"/>
      <c r="JB32" s="35"/>
      <c r="JC32" s="35"/>
      <c r="JD32" s="35"/>
      <c r="JE32" s="35"/>
      <c r="JF32" s="35"/>
      <c r="JG32" s="35"/>
      <c r="JH32" s="35"/>
      <c r="JI32" s="35"/>
      <c r="JJ32" s="35"/>
      <c r="JK32" s="35"/>
      <c r="JL32" s="35"/>
      <c r="JM32" s="35"/>
      <c r="JN32" s="35"/>
      <c r="JO32" s="35"/>
      <c r="JP32" s="35"/>
      <c r="JQ32" s="35"/>
      <c r="JR32" s="35"/>
      <c r="JS32" s="35"/>
      <c r="JT32" s="35"/>
      <c r="JU32" s="35"/>
      <c r="JV32" s="35"/>
      <c r="JW32" s="35"/>
      <c r="JX32" s="35"/>
      <c r="JY32" s="35"/>
      <c r="JZ32" s="35"/>
      <c r="KA32" s="35"/>
      <c r="KB32" s="35"/>
      <c r="KC32" s="35"/>
      <c r="KD32" s="35"/>
      <c r="KE32" s="35"/>
      <c r="KF32" s="35"/>
      <c r="KG32" s="35"/>
      <c r="KH32" s="35"/>
      <c r="KI32" s="35"/>
      <c r="KJ32" s="35"/>
      <c r="KK32" s="35"/>
      <c r="KL32" s="35"/>
      <c r="KM32" s="35"/>
      <c r="KN32" s="35"/>
      <c r="KO32" s="35"/>
      <c r="KP32" s="35"/>
      <c r="KQ32" s="35"/>
      <c r="KR32" s="35"/>
      <c r="KS32" s="35"/>
      <c r="KT32" s="35"/>
      <c r="KU32" s="35"/>
      <c r="KV32" s="35"/>
      <c r="KW32" s="35"/>
      <c r="KX32" s="35"/>
      <c r="KY32" s="35"/>
      <c r="KZ32" s="35"/>
      <c r="LA32" s="35"/>
      <c r="LB32" s="35"/>
      <c r="LC32" s="35"/>
      <c r="LD32" s="35"/>
      <c r="LE32" s="35"/>
      <c r="LF32" s="35"/>
      <c r="LG32" s="35"/>
      <c r="LH32" s="35"/>
      <c r="LI32" s="35"/>
      <c r="LJ32" s="35"/>
      <c r="LK32" s="35"/>
      <c r="LL32" s="35"/>
      <c r="LM32" s="35"/>
      <c r="LN32" s="35"/>
      <c r="LO32" s="35"/>
      <c r="LP32" s="35"/>
      <c r="LQ32" s="35"/>
      <c r="LR32" s="35"/>
      <c r="LS32" s="35"/>
      <c r="LT32" s="35"/>
      <c r="LU32" s="35"/>
      <c r="LV32" s="35"/>
      <c r="LW32" s="35"/>
      <c r="LX32" s="35"/>
      <c r="LY32" s="35"/>
      <c r="LZ32" s="35"/>
      <c r="MA32" s="35"/>
      <c r="MB32" s="35"/>
      <c r="MC32" s="35"/>
      <c r="MD32" s="35"/>
      <c r="ME32" s="35"/>
      <c r="MF32" s="35"/>
      <c r="MG32" s="35"/>
      <c r="MH32" s="35"/>
      <c r="MI32" s="35"/>
      <c r="MJ32" s="35"/>
      <c r="MK32" s="35"/>
      <c r="ML32" s="35"/>
      <c r="MM32" s="35"/>
      <c r="MN32" s="35"/>
      <c r="MO32" s="35"/>
      <c r="MP32" s="35"/>
      <c r="MQ32" s="35"/>
      <c r="MR32" s="35"/>
      <c r="MS32" s="35"/>
      <c r="MT32" s="35"/>
      <c r="MU32" s="35"/>
      <c r="MV32" s="35"/>
      <c r="MW32" s="35"/>
      <c r="MX32" s="35"/>
      <c r="MY32" s="35"/>
      <c r="MZ32" s="35"/>
      <c r="NA32" s="35"/>
      <c r="NB32" s="35"/>
      <c r="NC32" s="35"/>
      <c r="ND32" s="35"/>
      <c r="NE32" s="35"/>
      <c r="NF32" s="35"/>
      <c r="NG32" s="35"/>
      <c r="NH32" s="35"/>
      <c r="NI32" s="35"/>
      <c r="NJ32" s="35"/>
      <c r="NK32" s="35"/>
      <c r="NL32" s="35"/>
      <c r="NM32" s="35"/>
      <c r="NN32" s="35"/>
      <c r="NO32" s="35"/>
      <c r="NP32" s="35"/>
      <c r="NQ32" s="35"/>
      <c r="NR32" s="35"/>
      <c r="NS32" s="35"/>
      <c r="NT32" s="35"/>
      <c r="NU32" s="35"/>
      <c r="NV32" s="35"/>
      <c r="NW32" s="35"/>
      <c r="NX32" s="35"/>
      <c r="NY32" s="35"/>
      <c r="NZ32" s="35"/>
      <c r="OA32" s="35"/>
      <c r="OB32" s="35"/>
      <c r="OC32" s="35"/>
      <c r="OD32" s="35"/>
      <c r="OE32" s="35"/>
      <c r="OF32" s="35"/>
      <c r="OG32" s="35"/>
      <c r="OH32" s="35"/>
      <c r="OI32" s="35"/>
      <c r="OJ32" s="35"/>
      <c r="OK32" s="35"/>
      <c r="OL32" s="35"/>
      <c r="OM32" s="35"/>
      <c r="ON32" s="35"/>
      <c r="OO32" s="35"/>
      <c r="OP32" s="35"/>
      <c r="OQ32" s="35"/>
      <c r="OR32" s="35"/>
      <c r="OS32" s="35"/>
      <c r="OT32" s="35"/>
      <c r="OU32" s="35"/>
      <c r="OV32" s="35"/>
    </row>
    <row r="33" ht="18.0" customHeight="1">
      <c r="A33" s="34">
        <v>32.0</v>
      </c>
      <c r="B33" s="35" t="s">
        <v>97</v>
      </c>
      <c r="C33" s="36" t="s">
        <v>1528</v>
      </c>
      <c r="D33" s="35" t="s">
        <v>925</v>
      </c>
      <c r="E33" s="34">
        <v>30.0</v>
      </c>
      <c r="F33" s="34" t="str">
        <f t="shared" si="1"/>
        <v>#REF!</v>
      </c>
      <c r="G33" s="34">
        <f t="shared" si="2"/>
        <v>0</v>
      </c>
      <c r="H33" s="34">
        <f t="shared" si="3"/>
        <v>0</v>
      </c>
      <c r="I33" s="34">
        <f t="shared" si="4"/>
        <v>0</v>
      </c>
      <c r="J33" s="37" t="s">
        <v>625</v>
      </c>
      <c r="K33" s="37" t="b">
        <v>0</v>
      </c>
      <c r="L33" s="38" t="s">
        <v>71</v>
      </c>
      <c r="M33" s="35" t="str">
        <f>IFERROR(__xludf.DUMMYFUNCTION("IFERROR(TOROW(CHOOSECOLS(SORT(FILTER({'Tổng hợp 75 trang đích'!$J$2:$J$3260,'Tổng hợp 75 trang đích'!$I$2:$I$3260,MATCH('Tổng hợp 75 trang đích'!$K$2:$K$3260,{""PHÙ HỢP CAO"",""CÓ THỂ ĐI"",""CẦN SOÁT""},0)},'Tổng hợp 75 trang đích'!$B$2:$B$3260=$D33),3,TR"&amp;"UE),1,2)),"""")"),"")</f>
        <v/>
      </c>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c r="BM33" s="35"/>
      <c r="BN33" s="35"/>
      <c r="BO33" s="35"/>
      <c r="BP33" s="35"/>
      <c r="BQ33" s="35"/>
      <c r="BR33" s="35"/>
      <c r="BS33" s="35"/>
      <c r="BT33" s="35"/>
      <c r="BU33" s="35"/>
      <c r="BV33" s="35"/>
      <c r="BW33" s="35"/>
      <c r="BX33" s="35"/>
      <c r="BY33" s="35"/>
      <c r="BZ33" s="35"/>
      <c r="CA33" s="35"/>
      <c r="CB33" s="35"/>
      <c r="CC33" s="35"/>
      <c r="CD33" s="35"/>
      <c r="CE33" s="35"/>
      <c r="CF33" s="35"/>
      <c r="CG33" s="35"/>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c r="EA33" s="35"/>
      <c r="EB33" s="35"/>
      <c r="EC33" s="35"/>
      <c r="ED33" s="35"/>
      <c r="EE33" s="35"/>
      <c r="EF33" s="35"/>
      <c r="EG33" s="35"/>
      <c r="EH33" s="35"/>
      <c r="EI33" s="35"/>
      <c r="EJ33" s="35"/>
      <c r="EK33" s="35"/>
      <c r="EL33" s="35"/>
      <c r="EM33" s="35"/>
      <c r="EN33" s="35"/>
      <c r="EO33" s="35"/>
      <c r="EP33" s="35"/>
      <c r="EQ33" s="35"/>
      <c r="ER33" s="35"/>
      <c r="ES33" s="35"/>
      <c r="ET33" s="35"/>
      <c r="EU33" s="35"/>
      <c r="EV33" s="35"/>
      <c r="EW33" s="35"/>
      <c r="EX33" s="35"/>
      <c r="EY33" s="35"/>
      <c r="EZ33" s="35"/>
      <c r="FA33" s="35"/>
      <c r="FB33" s="35"/>
      <c r="FC33" s="35"/>
      <c r="FD33" s="35"/>
      <c r="FE33" s="35"/>
      <c r="FF33" s="35"/>
      <c r="FG33" s="35"/>
      <c r="FH33" s="35"/>
      <c r="FI33" s="35"/>
      <c r="FJ33" s="35"/>
      <c r="FK33" s="35"/>
      <c r="FL33" s="35"/>
      <c r="FM33" s="35"/>
      <c r="FN33" s="35"/>
      <c r="FO33" s="35"/>
      <c r="FP33" s="35"/>
      <c r="FQ33" s="35"/>
      <c r="FR33" s="35"/>
      <c r="FS33" s="35"/>
      <c r="FT33" s="35"/>
      <c r="FU33" s="35"/>
      <c r="FV33" s="35"/>
      <c r="FW33" s="35"/>
      <c r="FX33" s="35"/>
      <c r="FY33" s="35"/>
      <c r="FZ33" s="35"/>
      <c r="GA33" s="35"/>
      <c r="GB33" s="35"/>
      <c r="GC33" s="35"/>
      <c r="GD33" s="35"/>
      <c r="GE33" s="35"/>
      <c r="GF33" s="35"/>
      <c r="GG33" s="35"/>
      <c r="GH33" s="35"/>
      <c r="GI33" s="35"/>
      <c r="GJ33" s="35"/>
      <c r="GK33" s="35"/>
      <c r="GL33" s="35"/>
      <c r="GM33" s="35"/>
      <c r="GN33" s="35"/>
      <c r="GO33" s="35"/>
      <c r="GP33" s="35"/>
      <c r="GQ33" s="35"/>
      <c r="GR33" s="35"/>
      <c r="GS33" s="35"/>
      <c r="GT33" s="35"/>
      <c r="GU33" s="35"/>
      <c r="GV33" s="35"/>
      <c r="GW33" s="35"/>
      <c r="GX33" s="35"/>
      <c r="GY33" s="35"/>
      <c r="GZ33" s="35"/>
      <c r="HA33" s="35"/>
      <c r="HB33" s="35"/>
      <c r="HC33" s="35"/>
      <c r="HD33" s="35"/>
      <c r="HE33" s="35"/>
      <c r="HF33" s="35"/>
      <c r="HG33" s="35"/>
      <c r="HH33" s="35"/>
      <c r="HI33" s="35"/>
      <c r="HJ33" s="35"/>
      <c r="HK33" s="35"/>
      <c r="HL33" s="35"/>
      <c r="HM33" s="35"/>
      <c r="HN33" s="35"/>
      <c r="HO33" s="35"/>
      <c r="HP33" s="35"/>
      <c r="HQ33" s="35"/>
      <c r="HR33" s="35"/>
      <c r="HS33" s="35"/>
      <c r="HT33" s="35"/>
      <c r="HU33" s="35"/>
      <c r="HV33" s="35"/>
      <c r="HW33" s="35"/>
      <c r="HX33" s="35"/>
      <c r="HY33" s="35"/>
      <c r="HZ33" s="35"/>
      <c r="IA33" s="35"/>
      <c r="IB33" s="35"/>
      <c r="IC33" s="35"/>
      <c r="ID33" s="35"/>
      <c r="IE33" s="35"/>
      <c r="IF33" s="35"/>
      <c r="IG33" s="35"/>
      <c r="IH33" s="35"/>
      <c r="II33" s="35"/>
      <c r="IJ33" s="35"/>
      <c r="IK33" s="35"/>
      <c r="IL33" s="35"/>
      <c r="IM33" s="35"/>
      <c r="IN33" s="35"/>
      <c r="IO33" s="35"/>
      <c r="IP33" s="35"/>
      <c r="IQ33" s="35"/>
      <c r="IR33" s="35"/>
      <c r="IS33" s="35"/>
      <c r="IT33" s="35"/>
      <c r="IU33" s="35"/>
      <c r="IV33" s="35"/>
      <c r="IW33" s="35"/>
      <c r="IX33" s="35"/>
      <c r="IY33" s="35"/>
      <c r="IZ33" s="35"/>
      <c r="JA33" s="35"/>
      <c r="JB33" s="35"/>
      <c r="JC33" s="35"/>
      <c r="JD33" s="35"/>
      <c r="JE33" s="35"/>
      <c r="JF33" s="35"/>
      <c r="JG33" s="35"/>
      <c r="JH33" s="35"/>
      <c r="JI33" s="35"/>
      <c r="JJ33" s="35"/>
      <c r="JK33" s="35"/>
      <c r="JL33" s="35"/>
      <c r="JM33" s="35"/>
      <c r="JN33" s="35"/>
      <c r="JO33" s="35"/>
      <c r="JP33" s="35"/>
      <c r="JQ33" s="35"/>
      <c r="JR33" s="35"/>
      <c r="JS33" s="35"/>
      <c r="JT33" s="35"/>
      <c r="JU33" s="35"/>
      <c r="JV33" s="35"/>
      <c r="JW33" s="35"/>
      <c r="JX33" s="35"/>
      <c r="JY33" s="35"/>
      <c r="JZ33" s="35"/>
      <c r="KA33" s="35"/>
      <c r="KB33" s="35"/>
      <c r="KC33" s="35"/>
      <c r="KD33" s="35"/>
      <c r="KE33" s="35"/>
      <c r="KF33" s="35"/>
      <c r="KG33" s="35"/>
      <c r="KH33" s="35"/>
      <c r="KI33" s="35"/>
      <c r="KJ33" s="35"/>
      <c r="KK33" s="35"/>
      <c r="KL33" s="35"/>
      <c r="KM33" s="35"/>
      <c r="KN33" s="35"/>
      <c r="KO33" s="35"/>
      <c r="KP33" s="35"/>
      <c r="KQ33" s="35"/>
      <c r="KR33" s="35"/>
      <c r="KS33" s="35"/>
      <c r="KT33" s="35"/>
      <c r="KU33" s="35"/>
      <c r="KV33" s="35"/>
      <c r="KW33" s="35"/>
      <c r="KX33" s="35"/>
      <c r="KY33" s="35"/>
      <c r="KZ33" s="35"/>
      <c r="LA33" s="35"/>
      <c r="LB33" s="35"/>
      <c r="LC33" s="35"/>
      <c r="LD33" s="35"/>
      <c r="LE33" s="35"/>
      <c r="LF33" s="35"/>
      <c r="LG33" s="35"/>
      <c r="LH33" s="35"/>
      <c r="LI33" s="35"/>
      <c r="LJ33" s="35"/>
      <c r="LK33" s="35"/>
      <c r="LL33" s="35"/>
      <c r="LM33" s="35"/>
      <c r="LN33" s="35"/>
      <c r="LO33" s="35"/>
      <c r="LP33" s="35"/>
      <c r="LQ33" s="35"/>
      <c r="LR33" s="35"/>
      <c r="LS33" s="35"/>
      <c r="LT33" s="35"/>
      <c r="LU33" s="35"/>
      <c r="LV33" s="35"/>
      <c r="LW33" s="35"/>
      <c r="LX33" s="35"/>
      <c r="LY33" s="35"/>
      <c r="LZ33" s="35"/>
      <c r="MA33" s="35"/>
      <c r="MB33" s="35"/>
      <c r="MC33" s="35"/>
      <c r="MD33" s="35"/>
      <c r="ME33" s="35"/>
      <c r="MF33" s="35"/>
      <c r="MG33" s="35"/>
      <c r="MH33" s="35"/>
      <c r="MI33" s="35"/>
      <c r="MJ33" s="35"/>
      <c r="MK33" s="35"/>
      <c r="ML33" s="35"/>
      <c r="MM33" s="35"/>
      <c r="MN33" s="35"/>
      <c r="MO33" s="35"/>
      <c r="MP33" s="35"/>
      <c r="MQ33" s="35"/>
      <c r="MR33" s="35"/>
      <c r="MS33" s="35"/>
      <c r="MT33" s="35"/>
      <c r="MU33" s="35"/>
      <c r="MV33" s="35"/>
      <c r="MW33" s="35"/>
      <c r="MX33" s="35"/>
      <c r="MY33" s="35"/>
      <c r="MZ33" s="35"/>
      <c r="NA33" s="35"/>
      <c r="NB33" s="35"/>
      <c r="NC33" s="35"/>
      <c r="ND33" s="35"/>
      <c r="NE33" s="35"/>
      <c r="NF33" s="35"/>
      <c r="NG33" s="35"/>
      <c r="NH33" s="35"/>
      <c r="NI33" s="35"/>
      <c r="NJ33" s="35"/>
      <c r="NK33" s="35"/>
      <c r="NL33" s="35"/>
      <c r="NM33" s="35"/>
      <c r="NN33" s="35"/>
      <c r="NO33" s="35"/>
      <c r="NP33" s="35"/>
      <c r="NQ33" s="35"/>
      <c r="NR33" s="35"/>
      <c r="NS33" s="35"/>
      <c r="NT33" s="35"/>
      <c r="NU33" s="35"/>
      <c r="NV33" s="35"/>
      <c r="NW33" s="35"/>
      <c r="NX33" s="35"/>
      <c r="NY33" s="35"/>
      <c r="NZ33" s="35"/>
      <c r="OA33" s="35"/>
      <c r="OB33" s="35"/>
      <c r="OC33" s="35"/>
      <c r="OD33" s="35"/>
      <c r="OE33" s="35"/>
      <c r="OF33" s="35"/>
      <c r="OG33" s="35"/>
      <c r="OH33" s="35"/>
      <c r="OI33" s="35"/>
      <c r="OJ33" s="35"/>
      <c r="OK33" s="35"/>
      <c r="OL33" s="35"/>
      <c r="OM33" s="35"/>
      <c r="ON33" s="35"/>
      <c r="OO33" s="35"/>
      <c r="OP33" s="35"/>
      <c r="OQ33" s="35"/>
      <c r="OR33" s="35"/>
      <c r="OS33" s="35"/>
      <c r="OT33" s="35"/>
      <c r="OU33" s="35"/>
      <c r="OV33" s="35"/>
    </row>
    <row r="34" ht="18.0" customHeight="1">
      <c r="A34" s="34">
        <v>33.0</v>
      </c>
      <c r="B34" s="35" t="s">
        <v>97</v>
      </c>
      <c r="C34" s="36" t="s">
        <v>1537</v>
      </c>
      <c r="D34" s="35" t="s">
        <v>700</v>
      </c>
      <c r="E34" s="34">
        <v>50.0</v>
      </c>
      <c r="F34" s="34" t="str">
        <f t="shared" si="1"/>
        <v>#REF!</v>
      </c>
      <c r="G34" s="34">
        <f t="shared" si="2"/>
        <v>0</v>
      </c>
      <c r="H34" s="34">
        <f t="shared" si="3"/>
        <v>0</v>
      </c>
      <c r="I34" s="34">
        <f t="shared" si="4"/>
        <v>0</v>
      </c>
      <c r="J34" s="37" t="s">
        <v>625</v>
      </c>
      <c r="K34" s="37" t="b">
        <v>0</v>
      </c>
      <c r="L34" s="38" t="s">
        <v>71</v>
      </c>
      <c r="M34" s="35" t="str">
        <f>IFERROR(__xludf.DUMMYFUNCTION("IFERROR(TOROW(CHOOSECOLS(SORT(FILTER({'Tổng hợp 75 trang đích'!$J$2:$J$3260,'Tổng hợp 75 trang đích'!$I$2:$I$3260,MATCH('Tổng hợp 75 trang đích'!$K$2:$K$3260,{""PHÙ HỢP CAO"",""CÓ THỂ ĐI"",""CẦN SOÁT""},0)},'Tổng hợp 75 trang đích'!$B$2:$B$3260=$D34),3,TR"&amp;"UE),1,2)),"""")"),"")</f>
        <v/>
      </c>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c r="BM34" s="35"/>
      <c r="BN34" s="35"/>
      <c r="BO34" s="35"/>
      <c r="BP34" s="35"/>
      <c r="BQ34" s="35"/>
      <c r="BR34" s="35"/>
      <c r="BS34" s="35"/>
      <c r="BT34" s="35"/>
      <c r="BU34" s="35"/>
      <c r="BV34" s="35"/>
      <c r="BW34" s="35"/>
      <c r="BX34" s="35"/>
      <c r="BY34" s="35"/>
      <c r="BZ34" s="35"/>
      <c r="CA34" s="35"/>
      <c r="CB34" s="35"/>
      <c r="CC34" s="35"/>
      <c r="CD34" s="35"/>
      <c r="CE34" s="35"/>
      <c r="CF34" s="35"/>
      <c r="CG34" s="35"/>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c r="EA34" s="35"/>
      <c r="EB34" s="35"/>
      <c r="EC34" s="35"/>
      <c r="ED34" s="35"/>
      <c r="EE34" s="35"/>
      <c r="EF34" s="35"/>
      <c r="EG34" s="35"/>
      <c r="EH34" s="35"/>
      <c r="EI34" s="35"/>
      <c r="EJ34" s="35"/>
      <c r="EK34" s="35"/>
      <c r="EL34" s="35"/>
      <c r="EM34" s="35"/>
      <c r="EN34" s="35"/>
      <c r="EO34" s="35"/>
      <c r="EP34" s="35"/>
      <c r="EQ34" s="35"/>
      <c r="ER34" s="35"/>
      <c r="ES34" s="35"/>
      <c r="ET34" s="35"/>
      <c r="EU34" s="35"/>
      <c r="EV34" s="35"/>
      <c r="EW34" s="35"/>
      <c r="EX34" s="35"/>
      <c r="EY34" s="35"/>
      <c r="EZ34" s="35"/>
      <c r="FA34" s="35"/>
      <c r="FB34" s="35"/>
      <c r="FC34" s="35"/>
      <c r="FD34" s="35"/>
      <c r="FE34" s="35"/>
      <c r="FF34" s="35"/>
      <c r="FG34" s="35"/>
      <c r="FH34" s="35"/>
      <c r="FI34" s="35"/>
      <c r="FJ34" s="35"/>
      <c r="FK34" s="35"/>
      <c r="FL34" s="35"/>
      <c r="FM34" s="35"/>
      <c r="FN34" s="35"/>
      <c r="FO34" s="35"/>
      <c r="FP34" s="35"/>
      <c r="FQ34" s="35"/>
      <c r="FR34" s="35"/>
      <c r="FS34" s="35"/>
      <c r="FT34" s="35"/>
      <c r="FU34" s="35"/>
      <c r="FV34" s="35"/>
      <c r="FW34" s="35"/>
      <c r="FX34" s="35"/>
      <c r="FY34" s="35"/>
      <c r="FZ34" s="35"/>
      <c r="GA34" s="35"/>
      <c r="GB34" s="35"/>
      <c r="GC34" s="35"/>
      <c r="GD34" s="35"/>
      <c r="GE34" s="35"/>
      <c r="GF34" s="35"/>
      <c r="GG34" s="35"/>
      <c r="GH34" s="35"/>
      <c r="GI34" s="35"/>
      <c r="GJ34" s="35"/>
      <c r="GK34" s="35"/>
      <c r="GL34" s="35"/>
      <c r="GM34" s="35"/>
      <c r="GN34" s="35"/>
      <c r="GO34" s="35"/>
      <c r="GP34" s="35"/>
      <c r="GQ34" s="35"/>
      <c r="GR34" s="35"/>
      <c r="GS34" s="35"/>
      <c r="GT34" s="35"/>
      <c r="GU34" s="35"/>
      <c r="GV34" s="35"/>
      <c r="GW34" s="35"/>
      <c r="GX34" s="35"/>
      <c r="GY34" s="35"/>
      <c r="GZ34" s="35"/>
      <c r="HA34" s="35"/>
      <c r="HB34" s="35"/>
      <c r="HC34" s="35"/>
      <c r="HD34" s="35"/>
      <c r="HE34" s="35"/>
      <c r="HF34" s="35"/>
      <c r="HG34" s="35"/>
      <c r="HH34" s="35"/>
      <c r="HI34" s="35"/>
      <c r="HJ34" s="35"/>
      <c r="HK34" s="35"/>
      <c r="HL34" s="35"/>
      <c r="HM34" s="35"/>
      <c r="HN34" s="35"/>
      <c r="HO34" s="35"/>
      <c r="HP34" s="35"/>
      <c r="HQ34" s="35"/>
      <c r="HR34" s="35"/>
      <c r="HS34" s="35"/>
      <c r="HT34" s="35"/>
      <c r="HU34" s="35"/>
      <c r="HV34" s="35"/>
      <c r="HW34" s="35"/>
      <c r="HX34" s="35"/>
      <c r="HY34" s="35"/>
      <c r="HZ34" s="35"/>
      <c r="IA34" s="35"/>
      <c r="IB34" s="35"/>
      <c r="IC34" s="35"/>
      <c r="ID34" s="35"/>
      <c r="IE34" s="35"/>
      <c r="IF34" s="35"/>
      <c r="IG34" s="35"/>
      <c r="IH34" s="35"/>
      <c r="II34" s="35"/>
      <c r="IJ34" s="35"/>
      <c r="IK34" s="35"/>
      <c r="IL34" s="35"/>
      <c r="IM34" s="35"/>
      <c r="IN34" s="35"/>
      <c r="IO34" s="35"/>
      <c r="IP34" s="35"/>
      <c r="IQ34" s="35"/>
      <c r="IR34" s="35"/>
      <c r="IS34" s="35"/>
      <c r="IT34" s="35"/>
      <c r="IU34" s="35"/>
      <c r="IV34" s="35"/>
      <c r="IW34" s="35"/>
      <c r="IX34" s="35"/>
      <c r="IY34" s="35"/>
      <c r="IZ34" s="35"/>
      <c r="JA34" s="35"/>
      <c r="JB34" s="35"/>
      <c r="JC34" s="35"/>
      <c r="JD34" s="35"/>
      <c r="JE34" s="35"/>
      <c r="JF34" s="35"/>
      <c r="JG34" s="35"/>
      <c r="JH34" s="35"/>
      <c r="JI34" s="35"/>
      <c r="JJ34" s="35"/>
      <c r="JK34" s="35"/>
      <c r="JL34" s="35"/>
      <c r="JM34" s="35"/>
      <c r="JN34" s="35"/>
      <c r="JO34" s="35"/>
      <c r="JP34" s="35"/>
      <c r="JQ34" s="35"/>
      <c r="JR34" s="35"/>
      <c r="JS34" s="35"/>
      <c r="JT34" s="35"/>
      <c r="JU34" s="35"/>
      <c r="JV34" s="35"/>
      <c r="JW34" s="35"/>
      <c r="JX34" s="35"/>
      <c r="JY34" s="35"/>
      <c r="JZ34" s="35"/>
      <c r="KA34" s="35"/>
      <c r="KB34" s="35"/>
      <c r="KC34" s="35"/>
      <c r="KD34" s="35"/>
      <c r="KE34" s="35"/>
      <c r="KF34" s="35"/>
      <c r="KG34" s="35"/>
      <c r="KH34" s="35"/>
      <c r="KI34" s="35"/>
      <c r="KJ34" s="35"/>
      <c r="KK34" s="35"/>
      <c r="KL34" s="35"/>
      <c r="KM34" s="35"/>
      <c r="KN34" s="35"/>
      <c r="KO34" s="35"/>
      <c r="KP34" s="35"/>
      <c r="KQ34" s="35"/>
      <c r="KR34" s="35"/>
      <c r="KS34" s="35"/>
      <c r="KT34" s="35"/>
      <c r="KU34" s="35"/>
      <c r="KV34" s="35"/>
      <c r="KW34" s="35"/>
      <c r="KX34" s="35"/>
      <c r="KY34" s="35"/>
      <c r="KZ34" s="35"/>
      <c r="LA34" s="35"/>
      <c r="LB34" s="35"/>
      <c r="LC34" s="35"/>
      <c r="LD34" s="35"/>
      <c r="LE34" s="35"/>
      <c r="LF34" s="35"/>
      <c r="LG34" s="35"/>
      <c r="LH34" s="35"/>
      <c r="LI34" s="35"/>
      <c r="LJ34" s="35"/>
      <c r="LK34" s="35"/>
      <c r="LL34" s="35"/>
      <c r="LM34" s="35"/>
      <c r="LN34" s="35"/>
      <c r="LO34" s="35"/>
      <c r="LP34" s="35"/>
      <c r="LQ34" s="35"/>
      <c r="LR34" s="35"/>
      <c r="LS34" s="35"/>
      <c r="LT34" s="35"/>
      <c r="LU34" s="35"/>
      <c r="LV34" s="35"/>
      <c r="LW34" s="35"/>
      <c r="LX34" s="35"/>
      <c r="LY34" s="35"/>
      <c r="LZ34" s="35"/>
      <c r="MA34" s="35"/>
      <c r="MB34" s="35"/>
      <c r="MC34" s="35"/>
      <c r="MD34" s="35"/>
      <c r="ME34" s="35"/>
      <c r="MF34" s="35"/>
      <c r="MG34" s="35"/>
      <c r="MH34" s="35"/>
      <c r="MI34" s="35"/>
      <c r="MJ34" s="35"/>
      <c r="MK34" s="35"/>
      <c r="ML34" s="35"/>
      <c r="MM34" s="35"/>
      <c r="MN34" s="35"/>
      <c r="MO34" s="35"/>
      <c r="MP34" s="35"/>
      <c r="MQ34" s="35"/>
      <c r="MR34" s="35"/>
      <c r="MS34" s="35"/>
      <c r="MT34" s="35"/>
      <c r="MU34" s="35"/>
      <c r="MV34" s="35"/>
      <c r="MW34" s="35"/>
      <c r="MX34" s="35"/>
      <c r="MY34" s="35"/>
      <c r="MZ34" s="35"/>
      <c r="NA34" s="35"/>
      <c r="NB34" s="35"/>
      <c r="NC34" s="35"/>
      <c r="ND34" s="35"/>
      <c r="NE34" s="35"/>
      <c r="NF34" s="35"/>
      <c r="NG34" s="35"/>
      <c r="NH34" s="35"/>
      <c r="NI34" s="35"/>
      <c r="NJ34" s="35"/>
      <c r="NK34" s="35"/>
      <c r="NL34" s="35"/>
      <c r="NM34" s="35"/>
      <c r="NN34" s="35"/>
      <c r="NO34" s="35"/>
      <c r="NP34" s="35"/>
      <c r="NQ34" s="35"/>
      <c r="NR34" s="35"/>
      <c r="NS34" s="35"/>
      <c r="NT34" s="35"/>
      <c r="NU34" s="35"/>
      <c r="NV34" s="35"/>
      <c r="NW34" s="35"/>
      <c r="NX34" s="35"/>
      <c r="NY34" s="35"/>
      <c r="NZ34" s="35"/>
      <c r="OA34" s="35"/>
      <c r="OB34" s="35"/>
      <c r="OC34" s="35"/>
      <c r="OD34" s="35"/>
      <c r="OE34" s="35"/>
      <c r="OF34" s="35"/>
      <c r="OG34" s="35"/>
      <c r="OH34" s="35"/>
      <c r="OI34" s="35"/>
      <c r="OJ34" s="35"/>
      <c r="OK34" s="35"/>
      <c r="OL34" s="35"/>
      <c r="OM34" s="35"/>
      <c r="ON34" s="35"/>
      <c r="OO34" s="35"/>
      <c r="OP34" s="35"/>
      <c r="OQ34" s="35"/>
      <c r="OR34" s="35"/>
      <c r="OS34" s="35"/>
      <c r="OT34" s="35"/>
      <c r="OU34" s="35"/>
      <c r="OV34" s="35"/>
    </row>
    <row r="35" ht="18.0" customHeight="1">
      <c r="A35" s="34">
        <v>34.0</v>
      </c>
      <c r="B35" s="35" t="s">
        <v>97</v>
      </c>
      <c r="C35" s="36" t="s">
        <v>1552</v>
      </c>
      <c r="D35" s="35" t="s">
        <v>934</v>
      </c>
      <c r="E35" s="34">
        <v>30.0</v>
      </c>
      <c r="F35" s="34" t="str">
        <f t="shared" si="1"/>
        <v>#REF!</v>
      </c>
      <c r="G35" s="34">
        <f t="shared" si="2"/>
        <v>0</v>
      </c>
      <c r="H35" s="34">
        <f t="shared" si="3"/>
        <v>0</v>
      </c>
      <c r="I35" s="34">
        <f t="shared" si="4"/>
        <v>0</v>
      </c>
      <c r="J35" s="37" t="s">
        <v>625</v>
      </c>
      <c r="K35" s="37" t="b">
        <v>0</v>
      </c>
      <c r="L35" s="38" t="s">
        <v>71</v>
      </c>
      <c r="M35" s="35" t="str">
        <f>IFERROR(__xludf.DUMMYFUNCTION("IFERROR(TOROW(CHOOSECOLS(SORT(FILTER({'Tổng hợp 75 trang đích'!$J$2:$J$3260,'Tổng hợp 75 trang đích'!$I$2:$I$3260,MATCH('Tổng hợp 75 trang đích'!$K$2:$K$3260,{""PHÙ HỢP CAO"",""CÓ THỂ ĐI"",""CẦN SOÁT""},0)},'Tổng hợp 75 trang đích'!$B$2:$B$3260=$D35),3,TR"&amp;"UE),1,2)),"""")"),"")</f>
        <v/>
      </c>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c r="BM35" s="35"/>
      <c r="BN35" s="35"/>
      <c r="BO35" s="35"/>
      <c r="BP35" s="35"/>
      <c r="BQ35" s="35"/>
      <c r="BR35" s="35"/>
      <c r="BS35" s="35"/>
      <c r="BT35" s="35"/>
      <c r="BU35" s="35"/>
      <c r="BV35" s="35"/>
      <c r="BW35" s="35"/>
      <c r="BX35" s="35"/>
      <c r="BY35" s="35"/>
      <c r="BZ35" s="35"/>
      <c r="CA35" s="35"/>
      <c r="CB35" s="35"/>
      <c r="CC35" s="35"/>
      <c r="CD35" s="35"/>
      <c r="CE35" s="35"/>
      <c r="CF35" s="35"/>
      <c r="CG35" s="35"/>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c r="EA35" s="35"/>
      <c r="EB35" s="35"/>
      <c r="EC35" s="35"/>
      <c r="ED35" s="35"/>
      <c r="EE35" s="35"/>
      <c r="EF35" s="35"/>
      <c r="EG35" s="35"/>
      <c r="EH35" s="35"/>
      <c r="EI35" s="35"/>
      <c r="EJ35" s="35"/>
      <c r="EK35" s="35"/>
      <c r="EL35" s="35"/>
      <c r="EM35" s="35"/>
      <c r="EN35" s="35"/>
      <c r="EO35" s="35"/>
      <c r="EP35" s="35"/>
      <c r="EQ35" s="35"/>
      <c r="ER35" s="35"/>
      <c r="ES35" s="35"/>
      <c r="ET35" s="35"/>
      <c r="EU35" s="35"/>
      <c r="EV35" s="35"/>
      <c r="EW35" s="35"/>
      <c r="EX35" s="35"/>
      <c r="EY35" s="35"/>
      <c r="EZ35" s="35"/>
      <c r="FA35" s="35"/>
      <c r="FB35" s="35"/>
      <c r="FC35" s="35"/>
      <c r="FD35" s="35"/>
      <c r="FE35" s="35"/>
      <c r="FF35" s="35"/>
      <c r="FG35" s="35"/>
      <c r="FH35" s="35"/>
      <c r="FI35" s="35"/>
      <c r="FJ35" s="35"/>
      <c r="FK35" s="35"/>
      <c r="FL35" s="35"/>
      <c r="FM35" s="35"/>
      <c r="FN35" s="35"/>
      <c r="FO35" s="35"/>
      <c r="FP35" s="35"/>
      <c r="FQ35" s="35"/>
      <c r="FR35" s="35"/>
      <c r="FS35" s="35"/>
      <c r="FT35" s="35"/>
      <c r="FU35" s="35"/>
      <c r="FV35" s="35"/>
      <c r="FW35" s="35"/>
      <c r="FX35" s="35"/>
      <c r="FY35" s="35"/>
      <c r="FZ35" s="35"/>
      <c r="GA35" s="35"/>
      <c r="GB35" s="35"/>
      <c r="GC35" s="35"/>
      <c r="GD35" s="35"/>
      <c r="GE35" s="35"/>
      <c r="GF35" s="35"/>
      <c r="GG35" s="35"/>
      <c r="GH35" s="35"/>
      <c r="GI35" s="35"/>
      <c r="GJ35" s="35"/>
      <c r="GK35" s="35"/>
      <c r="GL35" s="35"/>
      <c r="GM35" s="35"/>
      <c r="GN35" s="35"/>
      <c r="GO35" s="35"/>
      <c r="GP35" s="35"/>
      <c r="GQ35" s="35"/>
      <c r="GR35" s="35"/>
      <c r="GS35" s="35"/>
      <c r="GT35" s="35"/>
      <c r="GU35" s="35"/>
      <c r="GV35" s="35"/>
      <c r="GW35" s="35"/>
      <c r="GX35" s="35"/>
      <c r="GY35" s="35"/>
      <c r="GZ35" s="35"/>
      <c r="HA35" s="35"/>
      <c r="HB35" s="35"/>
      <c r="HC35" s="35"/>
      <c r="HD35" s="35"/>
      <c r="HE35" s="35"/>
      <c r="HF35" s="35"/>
      <c r="HG35" s="35"/>
      <c r="HH35" s="35"/>
      <c r="HI35" s="35"/>
      <c r="HJ35" s="35"/>
      <c r="HK35" s="35"/>
      <c r="HL35" s="35"/>
      <c r="HM35" s="35"/>
      <c r="HN35" s="35"/>
      <c r="HO35" s="35"/>
      <c r="HP35" s="35"/>
      <c r="HQ35" s="35"/>
      <c r="HR35" s="35"/>
      <c r="HS35" s="35"/>
      <c r="HT35" s="35"/>
      <c r="HU35" s="35"/>
      <c r="HV35" s="35"/>
      <c r="HW35" s="35"/>
      <c r="HX35" s="35"/>
      <c r="HY35" s="35"/>
      <c r="HZ35" s="35"/>
      <c r="IA35" s="35"/>
      <c r="IB35" s="35"/>
      <c r="IC35" s="35"/>
      <c r="ID35" s="35"/>
      <c r="IE35" s="35"/>
      <c r="IF35" s="35"/>
      <c r="IG35" s="35"/>
      <c r="IH35" s="35"/>
      <c r="II35" s="35"/>
      <c r="IJ35" s="35"/>
      <c r="IK35" s="35"/>
      <c r="IL35" s="35"/>
      <c r="IM35" s="35"/>
      <c r="IN35" s="35"/>
      <c r="IO35" s="35"/>
      <c r="IP35" s="35"/>
      <c r="IQ35" s="35"/>
      <c r="IR35" s="35"/>
      <c r="IS35" s="35"/>
      <c r="IT35" s="35"/>
      <c r="IU35" s="35"/>
      <c r="IV35" s="35"/>
      <c r="IW35" s="35"/>
      <c r="IX35" s="35"/>
      <c r="IY35" s="35"/>
      <c r="IZ35" s="35"/>
      <c r="JA35" s="35"/>
      <c r="JB35" s="35"/>
      <c r="JC35" s="35"/>
      <c r="JD35" s="35"/>
      <c r="JE35" s="35"/>
      <c r="JF35" s="35"/>
      <c r="JG35" s="35"/>
      <c r="JH35" s="35"/>
      <c r="JI35" s="35"/>
      <c r="JJ35" s="35"/>
      <c r="JK35" s="35"/>
      <c r="JL35" s="35"/>
      <c r="JM35" s="35"/>
      <c r="JN35" s="35"/>
      <c r="JO35" s="35"/>
      <c r="JP35" s="35"/>
      <c r="JQ35" s="35"/>
      <c r="JR35" s="35"/>
      <c r="JS35" s="35"/>
      <c r="JT35" s="35"/>
      <c r="JU35" s="35"/>
      <c r="JV35" s="35"/>
      <c r="JW35" s="35"/>
      <c r="JX35" s="35"/>
      <c r="JY35" s="35"/>
      <c r="JZ35" s="35"/>
      <c r="KA35" s="35"/>
      <c r="KB35" s="35"/>
      <c r="KC35" s="35"/>
      <c r="KD35" s="35"/>
      <c r="KE35" s="35"/>
      <c r="KF35" s="35"/>
      <c r="KG35" s="35"/>
      <c r="KH35" s="35"/>
      <c r="KI35" s="35"/>
      <c r="KJ35" s="35"/>
      <c r="KK35" s="35"/>
      <c r="KL35" s="35"/>
      <c r="KM35" s="35"/>
      <c r="KN35" s="35"/>
      <c r="KO35" s="35"/>
      <c r="KP35" s="35"/>
      <c r="KQ35" s="35"/>
      <c r="KR35" s="35"/>
      <c r="KS35" s="35"/>
      <c r="KT35" s="35"/>
      <c r="KU35" s="35"/>
      <c r="KV35" s="35"/>
      <c r="KW35" s="35"/>
      <c r="KX35" s="35"/>
      <c r="KY35" s="35"/>
      <c r="KZ35" s="35"/>
      <c r="LA35" s="35"/>
      <c r="LB35" s="35"/>
      <c r="LC35" s="35"/>
      <c r="LD35" s="35"/>
      <c r="LE35" s="35"/>
      <c r="LF35" s="35"/>
      <c r="LG35" s="35"/>
      <c r="LH35" s="35"/>
      <c r="LI35" s="35"/>
      <c r="LJ35" s="35"/>
      <c r="LK35" s="35"/>
      <c r="LL35" s="35"/>
      <c r="LM35" s="35"/>
      <c r="LN35" s="35"/>
      <c r="LO35" s="35"/>
      <c r="LP35" s="35"/>
      <c r="LQ35" s="35"/>
      <c r="LR35" s="35"/>
      <c r="LS35" s="35"/>
      <c r="LT35" s="35"/>
      <c r="LU35" s="35"/>
      <c r="LV35" s="35"/>
      <c r="LW35" s="35"/>
      <c r="LX35" s="35"/>
      <c r="LY35" s="35"/>
      <c r="LZ35" s="35"/>
      <c r="MA35" s="35"/>
      <c r="MB35" s="35"/>
      <c r="MC35" s="35"/>
      <c r="MD35" s="35"/>
      <c r="ME35" s="35"/>
      <c r="MF35" s="35"/>
      <c r="MG35" s="35"/>
      <c r="MH35" s="35"/>
      <c r="MI35" s="35"/>
      <c r="MJ35" s="35"/>
      <c r="MK35" s="35"/>
      <c r="ML35" s="35"/>
      <c r="MM35" s="35"/>
      <c r="MN35" s="35"/>
      <c r="MO35" s="35"/>
      <c r="MP35" s="35"/>
      <c r="MQ35" s="35"/>
      <c r="MR35" s="35"/>
      <c r="MS35" s="35"/>
      <c r="MT35" s="35"/>
      <c r="MU35" s="35"/>
      <c r="MV35" s="35"/>
      <c r="MW35" s="35"/>
      <c r="MX35" s="35"/>
      <c r="MY35" s="35"/>
      <c r="MZ35" s="35"/>
      <c r="NA35" s="35"/>
      <c r="NB35" s="35"/>
      <c r="NC35" s="35"/>
      <c r="ND35" s="35"/>
      <c r="NE35" s="35"/>
      <c r="NF35" s="35"/>
      <c r="NG35" s="35"/>
      <c r="NH35" s="35"/>
      <c r="NI35" s="35"/>
      <c r="NJ35" s="35"/>
      <c r="NK35" s="35"/>
      <c r="NL35" s="35"/>
      <c r="NM35" s="35"/>
      <c r="NN35" s="35"/>
      <c r="NO35" s="35"/>
      <c r="NP35" s="35"/>
      <c r="NQ35" s="35"/>
      <c r="NR35" s="35"/>
      <c r="NS35" s="35"/>
      <c r="NT35" s="35"/>
      <c r="NU35" s="35"/>
      <c r="NV35" s="35"/>
      <c r="NW35" s="35"/>
      <c r="NX35" s="35"/>
      <c r="NY35" s="35"/>
      <c r="NZ35" s="35"/>
      <c r="OA35" s="35"/>
      <c r="OB35" s="35"/>
      <c r="OC35" s="35"/>
      <c r="OD35" s="35"/>
      <c r="OE35" s="35"/>
      <c r="OF35" s="35"/>
      <c r="OG35" s="35"/>
      <c r="OH35" s="35"/>
      <c r="OI35" s="35"/>
      <c r="OJ35" s="35"/>
      <c r="OK35" s="35"/>
      <c r="OL35" s="35"/>
      <c r="OM35" s="35"/>
      <c r="ON35" s="35"/>
      <c r="OO35" s="35"/>
      <c r="OP35" s="35"/>
      <c r="OQ35" s="35"/>
      <c r="OR35" s="35"/>
      <c r="OS35" s="35"/>
      <c r="OT35" s="35"/>
      <c r="OU35" s="35"/>
      <c r="OV35" s="35"/>
    </row>
    <row r="36" ht="18.0" customHeight="1">
      <c r="A36" s="34">
        <v>35.0</v>
      </c>
      <c r="B36" s="35" t="s">
        <v>97</v>
      </c>
      <c r="C36" s="36" t="s">
        <v>1558</v>
      </c>
      <c r="D36" s="35" t="s">
        <v>941</v>
      </c>
      <c r="E36" s="34">
        <v>30.0</v>
      </c>
      <c r="F36" s="34" t="str">
        <f t="shared" si="1"/>
        <v>#REF!</v>
      </c>
      <c r="G36" s="34">
        <f t="shared" si="2"/>
        <v>0</v>
      </c>
      <c r="H36" s="34">
        <f t="shared" si="3"/>
        <v>0</v>
      </c>
      <c r="I36" s="34">
        <f t="shared" si="4"/>
        <v>0</v>
      </c>
      <c r="J36" s="37" t="s">
        <v>625</v>
      </c>
      <c r="K36" s="37" t="b">
        <v>0</v>
      </c>
      <c r="L36" s="38" t="s">
        <v>71</v>
      </c>
      <c r="M36" s="35" t="str">
        <f>IFERROR(__xludf.DUMMYFUNCTION("IFERROR(TOROW(CHOOSECOLS(SORT(FILTER({'Tổng hợp 75 trang đích'!$J$2:$J$3260,'Tổng hợp 75 trang đích'!$I$2:$I$3260,MATCH('Tổng hợp 75 trang đích'!$K$2:$K$3260,{""PHÙ HỢP CAO"",""CÓ THỂ ĐI"",""CẦN SOÁT""},0)},'Tổng hợp 75 trang đích'!$B$2:$B$3260=$D36),3,TR"&amp;"UE),1,2)),"""")"),"")</f>
        <v/>
      </c>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c r="BM36" s="35"/>
      <c r="BN36" s="35"/>
      <c r="BO36" s="35"/>
      <c r="BP36" s="35"/>
      <c r="BQ36" s="35"/>
      <c r="BR36" s="35"/>
      <c r="BS36" s="35"/>
      <c r="BT36" s="35"/>
      <c r="BU36" s="35"/>
      <c r="BV36" s="35"/>
      <c r="BW36" s="35"/>
      <c r="BX36" s="35"/>
      <c r="BY36" s="35"/>
      <c r="BZ36" s="35"/>
      <c r="CA36" s="35"/>
      <c r="CB36" s="35"/>
      <c r="CC36" s="35"/>
      <c r="CD36" s="35"/>
      <c r="CE36" s="35"/>
      <c r="CF36" s="35"/>
      <c r="CG36" s="35"/>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c r="EA36" s="35"/>
      <c r="EB36" s="35"/>
      <c r="EC36" s="35"/>
      <c r="ED36" s="35"/>
      <c r="EE36" s="35"/>
      <c r="EF36" s="35"/>
      <c r="EG36" s="35"/>
      <c r="EH36" s="35"/>
      <c r="EI36" s="35"/>
      <c r="EJ36" s="35"/>
      <c r="EK36" s="35"/>
      <c r="EL36" s="35"/>
      <c r="EM36" s="35"/>
      <c r="EN36" s="35"/>
      <c r="EO36" s="35"/>
      <c r="EP36" s="35"/>
      <c r="EQ36" s="35"/>
      <c r="ER36" s="35"/>
      <c r="ES36" s="35"/>
      <c r="ET36" s="35"/>
      <c r="EU36" s="35"/>
      <c r="EV36" s="35"/>
      <c r="EW36" s="35"/>
      <c r="EX36" s="35"/>
      <c r="EY36" s="35"/>
      <c r="EZ36" s="35"/>
      <c r="FA36" s="35"/>
      <c r="FB36" s="35"/>
      <c r="FC36" s="35"/>
      <c r="FD36" s="35"/>
      <c r="FE36" s="35"/>
      <c r="FF36" s="35"/>
      <c r="FG36" s="35"/>
      <c r="FH36" s="35"/>
      <c r="FI36" s="35"/>
      <c r="FJ36" s="35"/>
      <c r="FK36" s="35"/>
      <c r="FL36" s="35"/>
      <c r="FM36" s="35"/>
      <c r="FN36" s="35"/>
      <c r="FO36" s="35"/>
      <c r="FP36" s="35"/>
      <c r="FQ36" s="35"/>
      <c r="FR36" s="35"/>
      <c r="FS36" s="35"/>
      <c r="FT36" s="35"/>
      <c r="FU36" s="35"/>
      <c r="FV36" s="35"/>
      <c r="FW36" s="35"/>
      <c r="FX36" s="35"/>
      <c r="FY36" s="35"/>
      <c r="FZ36" s="35"/>
      <c r="GA36" s="35"/>
      <c r="GB36" s="35"/>
      <c r="GC36" s="35"/>
      <c r="GD36" s="35"/>
      <c r="GE36" s="35"/>
      <c r="GF36" s="35"/>
      <c r="GG36" s="35"/>
      <c r="GH36" s="35"/>
      <c r="GI36" s="35"/>
      <c r="GJ36" s="35"/>
      <c r="GK36" s="35"/>
      <c r="GL36" s="35"/>
      <c r="GM36" s="35"/>
      <c r="GN36" s="35"/>
      <c r="GO36" s="35"/>
      <c r="GP36" s="35"/>
      <c r="GQ36" s="35"/>
      <c r="GR36" s="35"/>
      <c r="GS36" s="35"/>
      <c r="GT36" s="35"/>
      <c r="GU36" s="35"/>
      <c r="GV36" s="35"/>
      <c r="GW36" s="35"/>
      <c r="GX36" s="35"/>
      <c r="GY36" s="35"/>
      <c r="GZ36" s="35"/>
      <c r="HA36" s="35"/>
      <c r="HB36" s="35"/>
      <c r="HC36" s="35"/>
      <c r="HD36" s="35"/>
      <c r="HE36" s="35"/>
      <c r="HF36" s="35"/>
      <c r="HG36" s="35"/>
      <c r="HH36" s="35"/>
      <c r="HI36" s="35"/>
      <c r="HJ36" s="35"/>
      <c r="HK36" s="35"/>
      <c r="HL36" s="35"/>
      <c r="HM36" s="35"/>
      <c r="HN36" s="35"/>
      <c r="HO36" s="35"/>
      <c r="HP36" s="35"/>
      <c r="HQ36" s="35"/>
      <c r="HR36" s="35"/>
      <c r="HS36" s="35"/>
      <c r="HT36" s="35"/>
      <c r="HU36" s="35"/>
      <c r="HV36" s="35"/>
      <c r="HW36" s="35"/>
      <c r="HX36" s="35"/>
      <c r="HY36" s="35"/>
      <c r="HZ36" s="35"/>
      <c r="IA36" s="35"/>
      <c r="IB36" s="35"/>
      <c r="IC36" s="35"/>
      <c r="ID36" s="35"/>
      <c r="IE36" s="35"/>
      <c r="IF36" s="35"/>
      <c r="IG36" s="35"/>
      <c r="IH36" s="35"/>
      <c r="II36" s="35"/>
      <c r="IJ36" s="35"/>
      <c r="IK36" s="35"/>
      <c r="IL36" s="35"/>
      <c r="IM36" s="35"/>
      <c r="IN36" s="35"/>
      <c r="IO36" s="35"/>
      <c r="IP36" s="35"/>
      <c r="IQ36" s="35"/>
      <c r="IR36" s="35"/>
      <c r="IS36" s="35"/>
      <c r="IT36" s="35"/>
      <c r="IU36" s="35"/>
      <c r="IV36" s="35"/>
      <c r="IW36" s="35"/>
      <c r="IX36" s="35"/>
      <c r="IY36" s="35"/>
      <c r="IZ36" s="35"/>
      <c r="JA36" s="35"/>
      <c r="JB36" s="35"/>
      <c r="JC36" s="35"/>
      <c r="JD36" s="35"/>
      <c r="JE36" s="35"/>
      <c r="JF36" s="35"/>
      <c r="JG36" s="35"/>
      <c r="JH36" s="35"/>
      <c r="JI36" s="35"/>
      <c r="JJ36" s="35"/>
      <c r="JK36" s="35"/>
      <c r="JL36" s="35"/>
      <c r="JM36" s="35"/>
      <c r="JN36" s="35"/>
      <c r="JO36" s="35"/>
      <c r="JP36" s="35"/>
      <c r="JQ36" s="35"/>
      <c r="JR36" s="35"/>
      <c r="JS36" s="35"/>
      <c r="JT36" s="35"/>
      <c r="JU36" s="35"/>
      <c r="JV36" s="35"/>
      <c r="JW36" s="35"/>
      <c r="JX36" s="35"/>
      <c r="JY36" s="35"/>
      <c r="JZ36" s="35"/>
      <c r="KA36" s="35"/>
      <c r="KB36" s="35"/>
      <c r="KC36" s="35"/>
      <c r="KD36" s="35"/>
      <c r="KE36" s="35"/>
      <c r="KF36" s="35"/>
      <c r="KG36" s="35"/>
      <c r="KH36" s="35"/>
      <c r="KI36" s="35"/>
      <c r="KJ36" s="35"/>
      <c r="KK36" s="35"/>
      <c r="KL36" s="35"/>
      <c r="KM36" s="35"/>
      <c r="KN36" s="35"/>
      <c r="KO36" s="35"/>
      <c r="KP36" s="35"/>
      <c r="KQ36" s="35"/>
      <c r="KR36" s="35"/>
      <c r="KS36" s="35"/>
      <c r="KT36" s="35"/>
      <c r="KU36" s="35"/>
      <c r="KV36" s="35"/>
      <c r="KW36" s="35"/>
      <c r="KX36" s="35"/>
      <c r="KY36" s="35"/>
      <c r="KZ36" s="35"/>
      <c r="LA36" s="35"/>
      <c r="LB36" s="35"/>
      <c r="LC36" s="35"/>
      <c r="LD36" s="35"/>
      <c r="LE36" s="35"/>
      <c r="LF36" s="35"/>
      <c r="LG36" s="35"/>
      <c r="LH36" s="35"/>
      <c r="LI36" s="35"/>
      <c r="LJ36" s="35"/>
      <c r="LK36" s="35"/>
      <c r="LL36" s="35"/>
      <c r="LM36" s="35"/>
      <c r="LN36" s="35"/>
      <c r="LO36" s="35"/>
      <c r="LP36" s="35"/>
      <c r="LQ36" s="35"/>
      <c r="LR36" s="35"/>
      <c r="LS36" s="35"/>
      <c r="LT36" s="35"/>
      <c r="LU36" s="35"/>
      <c r="LV36" s="35"/>
      <c r="LW36" s="35"/>
      <c r="LX36" s="35"/>
      <c r="LY36" s="35"/>
      <c r="LZ36" s="35"/>
      <c r="MA36" s="35"/>
      <c r="MB36" s="35"/>
      <c r="MC36" s="35"/>
      <c r="MD36" s="35"/>
      <c r="ME36" s="35"/>
      <c r="MF36" s="35"/>
      <c r="MG36" s="35"/>
      <c r="MH36" s="35"/>
      <c r="MI36" s="35"/>
      <c r="MJ36" s="35"/>
      <c r="MK36" s="35"/>
      <c r="ML36" s="35"/>
      <c r="MM36" s="35"/>
      <c r="MN36" s="35"/>
      <c r="MO36" s="35"/>
      <c r="MP36" s="35"/>
      <c r="MQ36" s="35"/>
      <c r="MR36" s="35"/>
      <c r="MS36" s="35"/>
      <c r="MT36" s="35"/>
      <c r="MU36" s="35"/>
      <c r="MV36" s="35"/>
      <c r="MW36" s="35"/>
      <c r="MX36" s="35"/>
      <c r="MY36" s="35"/>
      <c r="MZ36" s="35"/>
      <c r="NA36" s="35"/>
      <c r="NB36" s="35"/>
      <c r="NC36" s="35"/>
      <c r="ND36" s="35"/>
      <c r="NE36" s="35"/>
      <c r="NF36" s="35"/>
      <c r="NG36" s="35"/>
      <c r="NH36" s="35"/>
      <c r="NI36" s="35"/>
      <c r="NJ36" s="35"/>
      <c r="NK36" s="35"/>
      <c r="NL36" s="35"/>
      <c r="NM36" s="35"/>
      <c r="NN36" s="35"/>
      <c r="NO36" s="35"/>
      <c r="NP36" s="35"/>
      <c r="NQ36" s="35"/>
      <c r="NR36" s="35"/>
      <c r="NS36" s="35"/>
      <c r="NT36" s="35"/>
      <c r="NU36" s="35"/>
      <c r="NV36" s="35"/>
      <c r="NW36" s="35"/>
      <c r="NX36" s="35"/>
      <c r="NY36" s="35"/>
      <c r="NZ36" s="35"/>
      <c r="OA36" s="35"/>
      <c r="OB36" s="35"/>
      <c r="OC36" s="35"/>
      <c r="OD36" s="35"/>
      <c r="OE36" s="35"/>
      <c r="OF36" s="35"/>
      <c r="OG36" s="35"/>
      <c r="OH36" s="35"/>
      <c r="OI36" s="35"/>
      <c r="OJ36" s="35"/>
      <c r="OK36" s="35"/>
      <c r="OL36" s="35"/>
      <c r="OM36" s="35"/>
      <c r="ON36" s="35"/>
      <c r="OO36" s="35"/>
      <c r="OP36" s="35"/>
      <c r="OQ36" s="35"/>
      <c r="OR36" s="35"/>
      <c r="OS36" s="35"/>
      <c r="OT36" s="35"/>
      <c r="OU36" s="35"/>
      <c r="OV36" s="35"/>
    </row>
    <row r="37" ht="18.0" customHeight="1">
      <c r="A37" s="34">
        <v>36.0</v>
      </c>
      <c r="B37" s="35" t="s">
        <v>950</v>
      </c>
      <c r="C37" s="36" t="s">
        <v>1572</v>
      </c>
      <c r="D37" s="35" t="s">
        <v>949</v>
      </c>
      <c r="E37" s="34">
        <v>30.0</v>
      </c>
      <c r="F37" s="34" t="str">
        <f t="shared" si="1"/>
        <v>#REF!</v>
      </c>
      <c r="G37" s="34">
        <f t="shared" si="2"/>
        <v>0</v>
      </c>
      <c r="H37" s="34">
        <f t="shared" si="3"/>
        <v>0</v>
      </c>
      <c r="I37" s="34">
        <f t="shared" si="4"/>
        <v>0</v>
      </c>
      <c r="J37" s="37" t="s">
        <v>625</v>
      </c>
      <c r="K37" s="37" t="b">
        <v>0</v>
      </c>
      <c r="L37" s="38" t="s">
        <v>71</v>
      </c>
      <c r="M37" s="35" t="str">
        <f>IFERROR(__xludf.DUMMYFUNCTION("IFERROR(TOROW(CHOOSECOLS(SORT(FILTER({'Tổng hợp 75 trang đích'!$J$2:$J$3260,'Tổng hợp 75 trang đích'!$I$2:$I$3260,MATCH('Tổng hợp 75 trang đích'!$K$2:$K$3260,{""PHÙ HỢP CAO"",""CÓ THỂ ĐI"",""CẦN SOÁT""},0)},'Tổng hợp 75 trang đích'!$B$2:$B$3260=$D37),3,TR"&amp;"UE),1,2)),"""")"),"")</f>
        <v/>
      </c>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c r="BM37" s="35"/>
      <c r="BN37" s="35"/>
      <c r="BO37" s="35"/>
      <c r="BP37" s="35"/>
      <c r="BQ37" s="35"/>
      <c r="BR37" s="35"/>
      <c r="BS37" s="35"/>
      <c r="BT37" s="35"/>
      <c r="BU37" s="35"/>
      <c r="BV37" s="35"/>
      <c r="BW37" s="35"/>
      <c r="BX37" s="35"/>
      <c r="BY37" s="35"/>
      <c r="BZ37" s="35"/>
      <c r="CA37" s="35"/>
      <c r="CB37" s="35"/>
      <c r="CC37" s="35"/>
      <c r="CD37" s="35"/>
      <c r="CE37" s="35"/>
      <c r="CF37" s="35"/>
      <c r="CG37" s="35"/>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c r="EA37" s="35"/>
      <c r="EB37" s="35"/>
      <c r="EC37" s="35"/>
      <c r="ED37" s="35"/>
      <c r="EE37" s="35"/>
      <c r="EF37" s="35"/>
      <c r="EG37" s="35"/>
      <c r="EH37" s="35"/>
      <c r="EI37" s="35"/>
      <c r="EJ37" s="35"/>
      <c r="EK37" s="35"/>
      <c r="EL37" s="35"/>
      <c r="EM37" s="35"/>
      <c r="EN37" s="35"/>
      <c r="EO37" s="35"/>
      <c r="EP37" s="35"/>
      <c r="EQ37" s="35"/>
      <c r="ER37" s="35"/>
      <c r="ES37" s="35"/>
      <c r="ET37" s="35"/>
      <c r="EU37" s="35"/>
      <c r="EV37" s="35"/>
      <c r="EW37" s="35"/>
      <c r="EX37" s="35"/>
      <c r="EY37" s="35"/>
      <c r="EZ37" s="35"/>
      <c r="FA37" s="35"/>
      <c r="FB37" s="35"/>
      <c r="FC37" s="35"/>
      <c r="FD37" s="35"/>
      <c r="FE37" s="35"/>
      <c r="FF37" s="35"/>
      <c r="FG37" s="35"/>
      <c r="FH37" s="35"/>
      <c r="FI37" s="35"/>
      <c r="FJ37" s="35"/>
      <c r="FK37" s="35"/>
      <c r="FL37" s="35"/>
      <c r="FM37" s="35"/>
      <c r="FN37" s="35"/>
      <c r="FO37" s="35"/>
      <c r="FP37" s="35"/>
      <c r="FQ37" s="35"/>
      <c r="FR37" s="35"/>
      <c r="FS37" s="35"/>
      <c r="FT37" s="35"/>
      <c r="FU37" s="35"/>
      <c r="FV37" s="35"/>
      <c r="FW37" s="35"/>
      <c r="FX37" s="35"/>
      <c r="FY37" s="35"/>
      <c r="FZ37" s="35"/>
      <c r="GA37" s="35"/>
      <c r="GB37" s="35"/>
      <c r="GC37" s="35"/>
      <c r="GD37" s="35"/>
      <c r="GE37" s="35"/>
      <c r="GF37" s="35"/>
      <c r="GG37" s="35"/>
      <c r="GH37" s="35"/>
      <c r="GI37" s="35"/>
      <c r="GJ37" s="35"/>
      <c r="GK37" s="35"/>
      <c r="GL37" s="35"/>
      <c r="GM37" s="35"/>
      <c r="GN37" s="35"/>
      <c r="GO37" s="35"/>
      <c r="GP37" s="35"/>
      <c r="GQ37" s="35"/>
      <c r="GR37" s="35"/>
      <c r="GS37" s="35"/>
      <c r="GT37" s="35"/>
      <c r="GU37" s="35"/>
      <c r="GV37" s="35"/>
      <c r="GW37" s="35"/>
      <c r="GX37" s="35"/>
      <c r="GY37" s="35"/>
      <c r="GZ37" s="35"/>
      <c r="HA37" s="35"/>
      <c r="HB37" s="35"/>
      <c r="HC37" s="35"/>
      <c r="HD37" s="35"/>
      <c r="HE37" s="35"/>
      <c r="HF37" s="35"/>
      <c r="HG37" s="35"/>
      <c r="HH37" s="35"/>
      <c r="HI37" s="35"/>
      <c r="HJ37" s="35"/>
      <c r="HK37" s="35"/>
      <c r="HL37" s="35"/>
      <c r="HM37" s="35"/>
      <c r="HN37" s="35"/>
      <c r="HO37" s="35"/>
      <c r="HP37" s="35"/>
      <c r="HQ37" s="35"/>
      <c r="HR37" s="35"/>
      <c r="HS37" s="35"/>
      <c r="HT37" s="35"/>
      <c r="HU37" s="35"/>
      <c r="HV37" s="35"/>
      <c r="HW37" s="35"/>
      <c r="HX37" s="35"/>
      <c r="HY37" s="35"/>
      <c r="HZ37" s="35"/>
      <c r="IA37" s="35"/>
      <c r="IB37" s="35"/>
      <c r="IC37" s="35"/>
      <c r="ID37" s="35"/>
      <c r="IE37" s="35"/>
      <c r="IF37" s="35"/>
      <c r="IG37" s="35"/>
      <c r="IH37" s="35"/>
      <c r="II37" s="35"/>
      <c r="IJ37" s="35"/>
      <c r="IK37" s="35"/>
      <c r="IL37" s="35"/>
      <c r="IM37" s="35"/>
      <c r="IN37" s="35"/>
      <c r="IO37" s="35"/>
      <c r="IP37" s="35"/>
      <c r="IQ37" s="35"/>
      <c r="IR37" s="35"/>
      <c r="IS37" s="35"/>
      <c r="IT37" s="35"/>
      <c r="IU37" s="35"/>
      <c r="IV37" s="35"/>
      <c r="IW37" s="35"/>
      <c r="IX37" s="35"/>
      <c r="IY37" s="35"/>
      <c r="IZ37" s="35"/>
      <c r="JA37" s="35"/>
      <c r="JB37" s="35"/>
      <c r="JC37" s="35"/>
      <c r="JD37" s="35"/>
      <c r="JE37" s="35"/>
      <c r="JF37" s="35"/>
      <c r="JG37" s="35"/>
      <c r="JH37" s="35"/>
      <c r="JI37" s="35"/>
      <c r="JJ37" s="35"/>
      <c r="JK37" s="35"/>
      <c r="JL37" s="35"/>
      <c r="JM37" s="35"/>
      <c r="JN37" s="35"/>
      <c r="JO37" s="35"/>
      <c r="JP37" s="35"/>
      <c r="JQ37" s="35"/>
      <c r="JR37" s="35"/>
      <c r="JS37" s="35"/>
      <c r="JT37" s="35"/>
      <c r="JU37" s="35"/>
      <c r="JV37" s="35"/>
      <c r="JW37" s="35"/>
      <c r="JX37" s="35"/>
      <c r="JY37" s="35"/>
      <c r="JZ37" s="35"/>
      <c r="KA37" s="35"/>
      <c r="KB37" s="35"/>
      <c r="KC37" s="35"/>
      <c r="KD37" s="35"/>
      <c r="KE37" s="35"/>
      <c r="KF37" s="35"/>
      <c r="KG37" s="35"/>
      <c r="KH37" s="35"/>
      <c r="KI37" s="35"/>
      <c r="KJ37" s="35"/>
      <c r="KK37" s="35"/>
      <c r="KL37" s="35"/>
      <c r="KM37" s="35"/>
      <c r="KN37" s="35"/>
      <c r="KO37" s="35"/>
      <c r="KP37" s="35"/>
      <c r="KQ37" s="35"/>
      <c r="KR37" s="35"/>
      <c r="KS37" s="35"/>
      <c r="KT37" s="35"/>
      <c r="KU37" s="35"/>
      <c r="KV37" s="35"/>
      <c r="KW37" s="35"/>
      <c r="KX37" s="35"/>
      <c r="KY37" s="35"/>
      <c r="KZ37" s="35"/>
      <c r="LA37" s="35"/>
      <c r="LB37" s="35"/>
      <c r="LC37" s="35"/>
      <c r="LD37" s="35"/>
      <c r="LE37" s="35"/>
      <c r="LF37" s="35"/>
      <c r="LG37" s="35"/>
      <c r="LH37" s="35"/>
      <c r="LI37" s="35"/>
      <c r="LJ37" s="35"/>
      <c r="LK37" s="35"/>
      <c r="LL37" s="35"/>
      <c r="LM37" s="35"/>
      <c r="LN37" s="35"/>
      <c r="LO37" s="35"/>
      <c r="LP37" s="35"/>
      <c r="LQ37" s="35"/>
      <c r="LR37" s="35"/>
      <c r="LS37" s="35"/>
      <c r="LT37" s="35"/>
      <c r="LU37" s="35"/>
      <c r="LV37" s="35"/>
      <c r="LW37" s="35"/>
      <c r="LX37" s="35"/>
      <c r="LY37" s="35"/>
      <c r="LZ37" s="35"/>
      <c r="MA37" s="35"/>
      <c r="MB37" s="35"/>
      <c r="MC37" s="35"/>
      <c r="MD37" s="35"/>
      <c r="ME37" s="35"/>
      <c r="MF37" s="35"/>
      <c r="MG37" s="35"/>
      <c r="MH37" s="35"/>
      <c r="MI37" s="35"/>
      <c r="MJ37" s="35"/>
      <c r="MK37" s="35"/>
      <c r="ML37" s="35"/>
      <c r="MM37" s="35"/>
      <c r="MN37" s="35"/>
      <c r="MO37" s="35"/>
      <c r="MP37" s="35"/>
      <c r="MQ37" s="35"/>
      <c r="MR37" s="35"/>
      <c r="MS37" s="35"/>
      <c r="MT37" s="35"/>
      <c r="MU37" s="35"/>
      <c r="MV37" s="35"/>
      <c r="MW37" s="35"/>
      <c r="MX37" s="35"/>
      <c r="MY37" s="35"/>
      <c r="MZ37" s="35"/>
      <c r="NA37" s="35"/>
      <c r="NB37" s="35"/>
      <c r="NC37" s="35"/>
      <c r="ND37" s="35"/>
      <c r="NE37" s="35"/>
      <c r="NF37" s="35"/>
      <c r="NG37" s="35"/>
      <c r="NH37" s="35"/>
      <c r="NI37" s="35"/>
      <c r="NJ37" s="35"/>
      <c r="NK37" s="35"/>
      <c r="NL37" s="35"/>
      <c r="NM37" s="35"/>
      <c r="NN37" s="35"/>
      <c r="NO37" s="35"/>
      <c r="NP37" s="35"/>
      <c r="NQ37" s="35"/>
      <c r="NR37" s="35"/>
      <c r="NS37" s="35"/>
      <c r="NT37" s="35"/>
      <c r="NU37" s="35"/>
      <c r="NV37" s="35"/>
      <c r="NW37" s="35"/>
      <c r="NX37" s="35"/>
      <c r="NY37" s="35"/>
      <c r="NZ37" s="35"/>
      <c r="OA37" s="35"/>
      <c r="OB37" s="35"/>
      <c r="OC37" s="35"/>
      <c r="OD37" s="35"/>
      <c r="OE37" s="35"/>
      <c r="OF37" s="35"/>
      <c r="OG37" s="35"/>
      <c r="OH37" s="35"/>
      <c r="OI37" s="35"/>
      <c r="OJ37" s="35"/>
      <c r="OK37" s="35"/>
      <c r="OL37" s="35"/>
      <c r="OM37" s="35"/>
      <c r="ON37" s="35"/>
      <c r="OO37" s="35"/>
      <c r="OP37" s="35"/>
      <c r="OQ37" s="35"/>
      <c r="OR37" s="35"/>
      <c r="OS37" s="35"/>
      <c r="OT37" s="35"/>
      <c r="OU37" s="35"/>
      <c r="OV37" s="35"/>
    </row>
    <row r="38" ht="18.0" customHeight="1">
      <c r="A38" s="34">
        <v>37.0</v>
      </c>
      <c r="B38" s="35" t="s">
        <v>950</v>
      </c>
      <c r="C38" s="36" t="s">
        <v>1601</v>
      </c>
      <c r="D38" s="35" t="s">
        <v>961</v>
      </c>
      <c r="E38" s="34">
        <v>30.0</v>
      </c>
      <c r="F38" s="34" t="str">
        <f t="shared" si="1"/>
        <v>#REF!</v>
      </c>
      <c r="G38" s="34">
        <f t="shared" si="2"/>
        <v>0</v>
      </c>
      <c r="H38" s="34">
        <f t="shared" si="3"/>
        <v>0</v>
      </c>
      <c r="I38" s="34">
        <f t="shared" si="4"/>
        <v>0</v>
      </c>
      <c r="J38" s="37" t="s">
        <v>625</v>
      </c>
      <c r="K38" s="37" t="b">
        <v>0</v>
      </c>
      <c r="L38" s="38" t="s">
        <v>71</v>
      </c>
      <c r="M38" s="35" t="str">
        <f>IFERROR(__xludf.DUMMYFUNCTION("IFERROR(TOROW(CHOOSECOLS(SORT(FILTER({'Tổng hợp 75 trang đích'!$J$2:$J$3260,'Tổng hợp 75 trang đích'!$I$2:$I$3260,MATCH('Tổng hợp 75 trang đích'!$K$2:$K$3260,{""PHÙ HỢP CAO"",""CÓ THỂ ĐI"",""CẦN SOÁT""},0)},'Tổng hợp 75 trang đích'!$B$2:$B$3260=$D38),3,TR"&amp;"UE),1,2)),"""")"),"")</f>
        <v/>
      </c>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c r="BM38" s="35"/>
      <c r="BN38" s="35"/>
      <c r="BO38" s="35"/>
      <c r="BP38" s="35"/>
      <c r="BQ38" s="35"/>
      <c r="BR38" s="35"/>
      <c r="BS38" s="35"/>
      <c r="BT38" s="35"/>
      <c r="BU38" s="35"/>
      <c r="BV38" s="35"/>
      <c r="BW38" s="35"/>
      <c r="BX38" s="35"/>
      <c r="BY38" s="35"/>
      <c r="BZ38" s="35"/>
      <c r="CA38" s="35"/>
      <c r="CB38" s="35"/>
      <c r="CC38" s="35"/>
      <c r="CD38" s="35"/>
      <c r="CE38" s="35"/>
      <c r="CF38" s="35"/>
      <c r="CG38" s="35"/>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c r="EA38" s="35"/>
      <c r="EB38" s="35"/>
      <c r="EC38" s="35"/>
      <c r="ED38" s="35"/>
      <c r="EE38" s="35"/>
      <c r="EF38" s="35"/>
      <c r="EG38" s="35"/>
      <c r="EH38" s="35"/>
      <c r="EI38" s="35"/>
      <c r="EJ38" s="35"/>
      <c r="EK38" s="35"/>
      <c r="EL38" s="35"/>
      <c r="EM38" s="35"/>
      <c r="EN38" s="35"/>
      <c r="EO38" s="35"/>
      <c r="EP38" s="35"/>
      <c r="EQ38" s="35"/>
      <c r="ER38" s="35"/>
      <c r="ES38" s="35"/>
      <c r="ET38" s="35"/>
      <c r="EU38" s="35"/>
      <c r="EV38" s="35"/>
      <c r="EW38" s="35"/>
      <c r="EX38" s="35"/>
      <c r="EY38" s="35"/>
      <c r="EZ38" s="35"/>
      <c r="FA38" s="35"/>
      <c r="FB38" s="35"/>
      <c r="FC38" s="35"/>
      <c r="FD38" s="35"/>
      <c r="FE38" s="35"/>
      <c r="FF38" s="35"/>
      <c r="FG38" s="35"/>
      <c r="FH38" s="35"/>
      <c r="FI38" s="35"/>
      <c r="FJ38" s="35"/>
      <c r="FK38" s="35"/>
      <c r="FL38" s="35"/>
      <c r="FM38" s="35"/>
      <c r="FN38" s="35"/>
      <c r="FO38" s="35"/>
      <c r="FP38" s="35"/>
      <c r="FQ38" s="35"/>
      <c r="FR38" s="35"/>
      <c r="FS38" s="35"/>
      <c r="FT38" s="35"/>
      <c r="FU38" s="35"/>
      <c r="FV38" s="35"/>
      <c r="FW38" s="35"/>
      <c r="FX38" s="35"/>
      <c r="FY38" s="35"/>
      <c r="FZ38" s="35"/>
      <c r="GA38" s="35"/>
      <c r="GB38" s="35"/>
      <c r="GC38" s="35"/>
      <c r="GD38" s="35"/>
      <c r="GE38" s="35"/>
      <c r="GF38" s="35"/>
      <c r="GG38" s="35"/>
      <c r="GH38" s="35"/>
      <c r="GI38" s="35"/>
      <c r="GJ38" s="35"/>
      <c r="GK38" s="35"/>
      <c r="GL38" s="35"/>
      <c r="GM38" s="35"/>
      <c r="GN38" s="35"/>
      <c r="GO38" s="35"/>
      <c r="GP38" s="35"/>
      <c r="GQ38" s="35"/>
      <c r="GR38" s="35"/>
      <c r="GS38" s="35"/>
      <c r="GT38" s="35"/>
      <c r="GU38" s="35"/>
      <c r="GV38" s="35"/>
      <c r="GW38" s="35"/>
      <c r="GX38" s="35"/>
      <c r="GY38" s="35"/>
      <c r="GZ38" s="35"/>
      <c r="HA38" s="35"/>
      <c r="HB38" s="35"/>
      <c r="HC38" s="35"/>
      <c r="HD38" s="35"/>
      <c r="HE38" s="35"/>
      <c r="HF38" s="35"/>
      <c r="HG38" s="35"/>
      <c r="HH38" s="35"/>
      <c r="HI38" s="35"/>
      <c r="HJ38" s="35"/>
      <c r="HK38" s="35"/>
      <c r="HL38" s="35"/>
      <c r="HM38" s="35"/>
      <c r="HN38" s="35"/>
      <c r="HO38" s="35"/>
      <c r="HP38" s="35"/>
      <c r="HQ38" s="35"/>
      <c r="HR38" s="35"/>
      <c r="HS38" s="35"/>
      <c r="HT38" s="35"/>
      <c r="HU38" s="35"/>
      <c r="HV38" s="35"/>
      <c r="HW38" s="35"/>
      <c r="HX38" s="35"/>
      <c r="HY38" s="35"/>
      <c r="HZ38" s="35"/>
      <c r="IA38" s="35"/>
      <c r="IB38" s="35"/>
      <c r="IC38" s="35"/>
      <c r="ID38" s="35"/>
      <c r="IE38" s="35"/>
      <c r="IF38" s="35"/>
      <c r="IG38" s="35"/>
      <c r="IH38" s="35"/>
      <c r="II38" s="35"/>
      <c r="IJ38" s="35"/>
      <c r="IK38" s="35"/>
      <c r="IL38" s="35"/>
      <c r="IM38" s="35"/>
      <c r="IN38" s="35"/>
      <c r="IO38" s="35"/>
      <c r="IP38" s="35"/>
      <c r="IQ38" s="35"/>
      <c r="IR38" s="35"/>
      <c r="IS38" s="35"/>
      <c r="IT38" s="35"/>
      <c r="IU38" s="35"/>
      <c r="IV38" s="35"/>
      <c r="IW38" s="35"/>
      <c r="IX38" s="35"/>
      <c r="IY38" s="35"/>
      <c r="IZ38" s="35"/>
      <c r="JA38" s="35"/>
      <c r="JB38" s="35"/>
      <c r="JC38" s="35"/>
      <c r="JD38" s="35"/>
      <c r="JE38" s="35"/>
      <c r="JF38" s="35"/>
      <c r="JG38" s="35"/>
      <c r="JH38" s="35"/>
      <c r="JI38" s="35"/>
      <c r="JJ38" s="35"/>
      <c r="JK38" s="35"/>
      <c r="JL38" s="35"/>
      <c r="JM38" s="35"/>
      <c r="JN38" s="35"/>
      <c r="JO38" s="35"/>
      <c r="JP38" s="35"/>
      <c r="JQ38" s="35"/>
      <c r="JR38" s="35"/>
      <c r="JS38" s="35"/>
      <c r="JT38" s="35"/>
      <c r="JU38" s="35"/>
      <c r="JV38" s="35"/>
      <c r="JW38" s="35"/>
      <c r="JX38" s="35"/>
      <c r="JY38" s="35"/>
      <c r="JZ38" s="35"/>
      <c r="KA38" s="35"/>
      <c r="KB38" s="35"/>
      <c r="KC38" s="35"/>
      <c r="KD38" s="35"/>
      <c r="KE38" s="35"/>
      <c r="KF38" s="35"/>
      <c r="KG38" s="35"/>
      <c r="KH38" s="35"/>
      <c r="KI38" s="35"/>
      <c r="KJ38" s="35"/>
      <c r="KK38" s="35"/>
      <c r="KL38" s="35"/>
      <c r="KM38" s="35"/>
      <c r="KN38" s="35"/>
      <c r="KO38" s="35"/>
      <c r="KP38" s="35"/>
      <c r="KQ38" s="35"/>
      <c r="KR38" s="35"/>
      <c r="KS38" s="35"/>
      <c r="KT38" s="35"/>
      <c r="KU38" s="35"/>
      <c r="KV38" s="35"/>
      <c r="KW38" s="35"/>
      <c r="KX38" s="35"/>
      <c r="KY38" s="35"/>
      <c r="KZ38" s="35"/>
      <c r="LA38" s="35"/>
      <c r="LB38" s="35"/>
      <c r="LC38" s="35"/>
      <c r="LD38" s="35"/>
      <c r="LE38" s="35"/>
      <c r="LF38" s="35"/>
      <c r="LG38" s="35"/>
      <c r="LH38" s="35"/>
      <c r="LI38" s="35"/>
      <c r="LJ38" s="35"/>
      <c r="LK38" s="35"/>
      <c r="LL38" s="35"/>
      <c r="LM38" s="35"/>
      <c r="LN38" s="35"/>
      <c r="LO38" s="35"/>
      <c r="LP38" s="35"/>
      <c r="LQ38" s="35"/>
      <c r="LR38" s="35"/>
      <c r="LS38" s="35"/>
      <c r="LT38" s="35"/>
      <c r="LU38" s="35"/>
      <c r="LV38" s="35"/>
      <c r="LW38" s="35"/>
      <c r="LX38" s="35"/>
      <c r="LY38" s="35"/>
      <c r="LZ38" s="35"/>
      <c r="MA38" s="35"/>
      <c r="MB38" s="35"/>
      <c r="MC38" s="35"/>
      <c r="MD38" s="35"/>
      <c r="ME38" s="35"/>
      <c r="MF38" s="35"/>
      <c r="MG38" s="35"/>
      <c r="MH38" s="35"/>
      <c r="MI38" s="35"/>
      <c r="MJ38" s="35"/>
      <c r="MK38" s="35"/>
      <c r="ML38" s="35"/>
      <c r="MM38" s="35"/>
      <c r="MN38" s="35"/>
      <c r="MO38" s="35"/>
      <c r="MP38" s="35"/>
      <c r="MQ38" s="35"/>
      <c r="MR38" s="35"/>
      <c r="MS38" s="35"/>
      <c r="MT38" s="35"/>
      <c r="MU38" s="35"/>
      <c r="MV38" s="35"/>
      <c r="MW38" s="35"/>
      <c r="MX38" s="35"/>
      <c r="MY38" s="35"/>
      <c r="MZ38" s="35"/>
      <c r="NA38" s="35"/>
      <c r="NB38" s="35"/>
      <c r="NC38" s="35"/>
      <c r="ND38" s="35"/>
      <c r="NE38" s="35"/>
      <c r="NF38" s="35"/>
      <c r="NG38" s="35"/>
      <c r="NH38" s="35"/>
      <c r="NI38" s="35"/>
      <c r="NJ38" s="35"/>
      <c r="NK38" s="35"/>
      <c r="NL38" s="35"/>
      <c r="NM38" s="35"/>
      <c r="NN38" s="35"/>
      <c r="NO38" s="35"/>
      <c r="NP38" s="35"/>
      <c r="NQ38" s="35"/>
      <c r="NR38" s="35"/>
      <c r="NS38" s="35"/>
      <c r="NT38" s="35"/>
      <c r="NU38" s="35"/>
      <c r="NV38" s="35"/>
      <c r="NW38" s="35"/>
      <c r="NX38" s="35"/>
      <c r="NY38" s="35"/>
      <c r="NZ38" s="35"/>
      <c r="OA38" s="35"/>
      <c r="OB38" s="35"/>
      <c r="OC38" s="35"/>
      <c r="OD38" s="35"/>
      <c r="OE38" s="35"/>
      <c r="OF38" s="35"/>
      <c r="OG38" s="35"/>
      <c r="OH38" s="35"/>
      <c r="OI38" s="35"/>
      <c r="OJ38" s="35"/>
      <c r="OK38" s="35"/>
      <c r="OL38" s="35"/>
      <c r="OM38" s="35"/>
      <c r="ON38" s="35"/>
      <c r="OO38" s="35"/>
      <c r="OP38" s="35"/>
      <c r="OQ38" s="35"/>
      <c r="OR38" s="35"/>
      <c r="OS38" s="35"/>
      <c r="OT38" s="35"/>
      <c r="OU38" s="35"/>
      <c r="OV38" s="35"/>
    </row>
    <row r="39" ht="18.0" customHeight="1">
      <c r="A39" s="34">
        <v>38.0</v>
      </c>
      <c r="B39" s="35" t="s">
        <v>971</v>
      </c>
      <c r="C39" s="36" t="s">
        <v>1620</v>
      </c>
      <c r="D39" s="35" t="s">
        <v>732</v>
      </c>
      <c r="E39" s="34">
        <v>30.0</v>
      </c>
      <c r="F39" s="34" t="str">
        <f t="shared" si="1"/>
        <v>#REF!</v>
      </c>
      <c r="G39" s="34">
        <f t="shared" si="2"/>
        <v>0</v>
      </c>
      <c r="H39" s="34">
        <f t="shared" si="3"/>
        <v>0</v>
      </c>
      <c r="I39" s="34">
        <f t="shared" si="4"/>
        <v>0</v>
      </c>
      <c r="J39" s="37" t="s">
        <v>625</v>
      </c>
      <c r="K39" s="37" t="b">
        <v>0</v>
      </c>
      <c r="L39" s="38" t="s">
        <v>71</v>
      </c>
      <c r="M39" s="35" t="str">
        <f>IFERROR(__xludf.DUMMYFUNCTION("IFERROR(TOROW(CHOOSECOLS(SORT(FILTER({'Tổng hợp 75 trang đích'!$J$2:$J$3260,'Tổng hợp 75 trang đích'!$I$2:$I$3260,MATCH('Tổng hợp 75 trang đích'!$K$2:$K$3260,{""PHÙ HỢP CAO"",""CÓ THỂ ĐI"",""CẦN SOÁT""},0)},'Tổng hợp 75 trang đích'!$B$2:$B$3260=$D39),3,TR"&amp;"UE),1,2)),"""")"),"")</f>
        <v/>
      </c>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c r="BM39" s="35"/>
      <c r="BN39" s="35"/>
      <c r="BO39" s="35"/>
      <c r="BP39" s="35"/>
      <c r="BQ39" s="35"/>
      <c r="BR39" s="35"/>
      <c r="BS39" s="35"/>
      <c r="BT39" s="35"/>
      <c r="BU39" s="35"/>
      <c r="BV39" s="35"/>
      <c r="BW39" s="35"/>
      <c r="BX39" s="35"/>
      <c r="BY39" s="35"/>
      <c r="BZ39" s="35"/>
      <c r="CA39" s="35"/>
      <c r="CB39" s="35"/>
      <c r="CC39" s="35"/>
      <c r="CD39" s="35"/>
      <c r="CE39" s="35"/>
      <c r="CF39" s="35"/>
      <c r="CG39" s="35"/>
      <c r="CH39" s="35"/>
      <c r="CI39" s="35"/>
      <c r="CJ39" s="35"/>
      <c r="CK39" s="35"/>
      <c r="CL39" s="35"/>
      <c r="CM39" s="35"/>
      <c r="CN39" s="35"/>
      <c r="CO39" s="35"/>
      <c r="CP39" s="35"/>
      <c r="CQ39" s="35"/>
      <c r="CR39" s="35"/>
      <c r="CS39" s="35"/>
      <c r="CT39" s="35"/>
      <c r="CU39" s="35"/>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35"/>
      <c r="DY39" s="35"/>
      <c r="DZ39" s="35"/>
      <c r="EA39" s="35"/>
      <c r="EB39" s="35"/>
      <c r="EC39" s="35"/>
      <c r="ED39" s="35"/>
      <c r="EE39" s="35"/>
      <c r="EF39" s="35"/>
      <c r="EG39" s="35"/>
      <c r="EH39" s="35"/>
      <c r="EI39" s="35"/>
      <c r="EJ39" s="35"/>
      <c r="EK39" s="35"/>
      <c r="EL39" s="35"/>
      <c r="EM39" s="35"/>
      <c r="EN39" s="35"/>
      <c r="EO39" s="35"/>
      <c r="EP39" s="35"/>
      <c r="EQ39" s="35"/>
      <c r="ER39" s="35"/>
      <c r="ES39" s="35"/>
      <c r="ET39" s="35"/>
      <c r="EU39" s="35"/>
      <c r="EV39" s="35"/>
      <c r="EW39" s="35"/>
      <c r="EX39" s="35"/>
      <c r="EY39" s="35"/>
      <c r="EZ39" s="35"/>
      <c r="FA39" s="35"/>
      <c r="FB39" s="35"/>
      <c r="FC39" s="35"/>
      <c r="FD39" s="35"/>
      <c r="FE39" s="35"/>
      <c r="FF39" s="35"/>
      <c r="FG39" s="35"/>
      <c r="FH39" s="35"/>
      <c r="FI39" s="35"/>
      <c r="FJ39" s="35"/>
      <c r="FK39" s="35"/>
      <c r="FL39" s="35"/>
      <c r="FM39" s="35"/>
      <c r="FN39" s="35"/>
      <c r="FO39" s="35"/>
      <c r="FP39" s="35"/>
      <c r="FQ39" s="35"/>
      <c r="FR39" s="35"/>
      <c r="FS39" s="35"/>
      <c r="FT39" s="35"/>
      <c r="FU39" s="35"/>
      <c r="FV39" s="35"/>
      <c r="FW39" s="35"/>
      <c r="FX39" s="35"/>
      <c r="FY39" s="35"/>
      <c r="FZ39" s="35"/>
      <c r="GA39" s="35"/>
      <c r="GB39" s="35"/>
      <c r="GC39" s="35"/>
      <c r="GD39" s="35"/>
      <c r="GE39" s="35"/>
      <c r="GF39" s="35"/>
      <c r="GG39" s="35"/>
      <c r="GH39" s="35"/>
      <c r="GI39" s="35"/>
      <c r="GJ39" s="35"/>
      <c r="GK39" s="35"/>
      <c r="GL39" s="35"/>
      <c r="GM39" s="35"/>
      <c r="GN39" s="35"/>
      <c r="GO39" s="35"/>
      <c r="GP39" s="35"/>
      <c r="GQ39" s="35"/>
      <c r="GR39" s="35"/>
      <c r="GS39" s="35"/>
      <c r="GT39" s="35"/>
      <c r="GU39" s="35"/>
      <c r="GV39" s="35"/>
      <c r="GW39" s="35"/>
      <c r="GX39" s="35"/>
      <c r="GY39" s="35"/>
      <c r="GZ39" s="35"/>
      <c r="HA39" s="35"/>
      <c r="HB39" s="35"/>
      <c r="HC39" s="35"/>
      <c r="HD39" s="35"/>
      <c r="HE39" s="35"/>
      <c r="HF39" s="35"/>
      <c r="HG39" s="35"/>
      <c r="HH39" s="35"/>
      <c r="HI39" s="35"/>
      <c r="HJ39" s="35"/>
      <c r="HK39" s="35"/>
      <c r="HL39" s="35"/>
      <c r="HM39" s="35"/>
      <c r="HN39" s="35"/>
      <c r="HO39" s="35"/>
      <c r="HP39" s="35"/>
      <c r="HQ39" s="35"/>
      <c r="HR39" s="35"/>
      <c r="HS39" s="35"/>
      <c r="HT39" s="35"/>
      <c r="HU39" s="35"/>
      <c r="HV39" s="35"/>
      <c r="HW39" s="35"/>
      <c r="HX39" s="35"/>
      <c r="HY39" s="35"/>
      <c r="HZ39" s="35"/>
      <c r="IA39" s="35"/>
      <c r="IB39" s="35"/>
      <c r="IC39" s="35"/>
      <c r="ID39" s="35"/>
      <c r="IE39" s="35"/>
      <c r="IF39" s="35"/>
      <c r="IG39" s="35"/>
      <c r="IH39" s="35"/>
      <c r="II39" s="35"/>
      <c r="IJ39" s="35"/>
      <c r="IK39" s="35"/>
      <c r="IL39" s="35"/>
      <c r="IM39" s="35"/>
      <c r="IN39" s="35"/>
      <c r="IO39" s="35"/>
      <c r="IP39" s="35"/>
      <c r="IQ39" s="35"/>
      <c r="IR39" s="35"/>
      <c r="IS39" s="35"/>
      <c r="IT39" s="35"/>
      <c r="IU39" s="35"/>
      <c r="IV39" s="35"/>
      <c r="IW39" s="35"/>
      <c r="IX39" s="35"/>
      <c r="IY39" s="35"/>
      <c r="IZ39" s="35"/>
      <c r="JA39" s="35"/>
      <c r="JB39" s="35"/>
      <c r="JC39" s="35"/>
      <c r="JD39" s="35"/>
      <c r="JE39" s="35"/>
      <c r="JF39" s="35"/>
      <c r="JG39" s="35"/>
      <c r="JH39" s="35"/>
      <c r="JI39" s="35"/>
      <c r="JJ39" s="35"/>
      <c r="JK39" s="35"/>
      <c r="JL39" s="35"/>
      <c r="JM39" s="35"/>
      <c r="JN39" s="35"/>
      <c r="JO39" s="35"/>
      <c r="JP39" s="35"/>
      <c r="JQ39" s="35"/>
      <c r="JR39" s="35"/>
      <c r="JS39" s="35"/>
      <c r="JT39" s="35"/>
      <c r="JU39" s="35"/>
      <c r="JV39" s="35"/>
      <c r="JW39" s="35"/>
      <c r="JX39" s="35"/>
      <c r="JY39" s="35"/>
      <c r="JZ39" s="35"/>
      <c r="KA39" s="35"/>
      <c r="KB39" s="35"/>
      <c r="KC39" s="35"/>
      <c r="KD39" s="35"/>
      <c r="KE39" s="35"/>
      <c r="KF39" s="35"/>
      <c r="KG39" s="35"/>
      <c r="KH39" s="35"/>
      <c r="KI39" s="35"/>
      <c r="KJ39" s="35"/>
      <c r="KK39" s="35"/>
      <c r="KL39" s="35"/>
      <c r="KM39" s="35"/>
      <c r="KN39" s="35"/>
      <c r="KO39" s="35"/>
      <c r="KP39" s="35"/>
      <c r="KQ39" s="35"/>
      <c r="KR39" s="35"/>
      <c r="KS39" s="35"/>
      <c r="KT39" s="35"/>
      <c r="KU39" s="35"/>
      <c r="KV39" s="35"/>
      <c r="KW39" s="35"/>
      <c r="KX39" s="35"/>
      <c r="KY39" s="35"/>
      <c r="KZ39" s="35"/>
      <c r="LA39" s="35"/>
      <c r="LB39" s="35"/>
      <c r="LC39" s="35"/>
      <c r="LD39" s="35"/>
      <c r="LE39" s="35"/>
      <c r="LF39" s="35"/>
      <c r="LG39" s="35"/>
      <c r="LH39" s="35"/>
      <c r="LI39" s="35"/>
      <c r="LJ39" s="35"/>
      <c r="LK39" s="35"/>
      <c r="LL39" s="35"/>
      <c r="LM39" s="35"/>
      <c r="LN39" s="35"/>
      <c r="LO39" s="35"/>
      <c r="LP39" s="35"/>
      <c r="LQ39" s="35"/>
      <c r="LR39" s="35"/>
      <c r="LS39" s="35"/>
      <c r="LT39" s="35"/>
      <c r="LU39" s="35"/>
      <c r="LV39" s="35"/>
      <c r="LW39" s="35"/>
      <c r="LX39" s="35"/>
      <c r="LY39" s="35"/>
      <c r="LZ39" s="35"/>
      <c r="MA39" s="35"/>
      <c r="MB39" s="35"/>
      <c r="MC39" s="35"/>
      <c r="MD39" s="35"/>
      <c r="ME39" s="35"/>
      <c r="MF39" s="35"/>
      <c r="MG39" s="35"/>
      <c r="MH39" s="35"/>
      <c r="MI39" s="35"/>
      <c r="MJ39" s="35"/>
      <c r="MK39" s="35"/>
      <c r="ML39" s="35"/>
      <c r="MM39" s="35"/>
      <c r="MN39" s="35"/>
      <c r="MO39" s="35"/>
      <c r="MP39" s="35"/>
      <c r="MQ39" s="35"/>
      <c r="MR39" s="35"/>
      <c r="MS39" s="35"/>
      <c r="MT39" s="35"/>
      <c r="MU39" s="35"/>
      <c r="MV39" s="35"/>
      <c r="MW39" s="35"/>
      <c r="MX39" s="35"/>
      <c r="MY39" s="35"/>
      <c r="MZ39" s="35"/>
      <c r="NA39" s="35"/>
      <c r="NB39" s="35"/>
      <c r="NC39" s="35"/>
      <c r="ND39" s="35"/>
      <c r="NE39" s="35"/>
      <c r="NF39" s="35"/>
      <c r="NG39" s="35"/>
      <c r="NH39" s="35"/>
      <c r="NI39" s="35"/>
      <c r="NJ39" s="35"/>
      <c r="NK39" s="35"/>
      <c r="NL39" s="35"/>
      <c r="NM39" s="35"/>
      <c r="NN39" s="35"/>
      <c r="NO39" s="35"/>
      <c r="NP39" s="35"/>
      <c r="NQ39" s="35"/>
      <c r="NR39" s="35"/>
      <c r="NS39" s="35"/>
      <c r="NT39" s="35"/>
      <c r="NU39" s="35"/>
      <c r="NV39" s="35"/>
      <c r="NW39" s="35"/>
      <c r="NX39" s="35"/>
      <c r="NY39" s="35"/>
      <c r="NZ39" s="35"/>
      <c r="OA39" s="35"/>
      <c r="OB39" s="35"/>
      <c r="OC39" s="35"/>
      <c r="OD39" s="35"/>
      <c r="OE39" s="35"/>
      <c r="OF39" s="35"/>
      <c r="OG39" s="35"/>
      <c r="OH39" s="35"/>
      <c r="OI39" s="35"/>
      <c r="OJ39" s="35"/>
      <c r="OK39" s="35"/>
      <c r="OL39" s="35"/>
      <c r="OM39" s="35"/>
      <c r="ON39" s="35"/>
      <c r="OO39" s="35"/>
      <c r="OP39" s="35"/>
      <c r="OQ39" s="35"/>
      <c r="OR39" s="35"/>
      <c r="OS39" s="35"/>
      <c r="OT39" s="35"/>
      <c r="OU39" s="35"/>
      <c r="OV39" s="35"/>
    </row>
    <row r="40" ht="18.0" customHeight="1">
      <c r="A40" s="34">
        <v>39.0</v>
      </c>
      <c r="B40" s="35" t="s">
        <v>971</v>
      </c>
      <c r="C40" s="36" t="s">
        <v>1654</v>
      </c>
      <c r="D40" s="35" t="s">
        <v>597</v>
      </c>
      <c r="E40" s="34">
        <v>30.0</v>
      </c>
      <c r="F40" s="34" t="str">
        <f t="shared" si="1"/>
        <v>#REF!</v>
      </c>
      <c r="G40" s="34">
        <f t="shared" si="2"/>
        <v>0</v>
      </c>
      <c r="H40" s="34">
        <f t="shared" si="3"/>
        <v>0</v>
      </c>
      <c r="I40" s="34">
        <f t="shared" si="4"/>
        <v>0</v>
      </c>
      <c r="J40" s="37" t="s">
        <v>625</v>
      </c>
      <c r="K40" s="37" t="b">
        <v>0</v>
      </c>
      <c r="L40" s="38" t="s">
        <v>71</v>
      </c>
      <c r="M40" s="35" t="str">
        <f>IFERROR(__xludf.DUMMYFUNCTION("IFERROR(TOROW(CHOOSECOLS(SORT(FILTER({'Tổng hợp 75 trang đích'!$J$2:$J$3260,'Tổng hợp 75 trang đích'!$I$2:$I$3260,MATCH('Tổng hợp 75 trang đích'!$K$2:$K$3260,{""PHÙ HỢP CAO"",""CÓ THỂ ĐI"",""CẦN SOÁT""},0)},'Tổng hợp 75 trang đích'!$B$2:$B$3260=$D40),3,TR"&amp;"UE),1,2)),"""")"),"")</f>
        <v/>
      </c>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c r="BM40" s="35"/>
      <c r="BN40" s="35"/>
      <c r="BO40" s="35"/>
      <c r="BP40" s="35"/>
      <c r="BQ40" s="35"/>
      <c r="BR40" s="35"/>
      <c r="BS40" s="35"/>
      <c r="BT40" s="35"/>
      <c r="BU40" s="35"/>
      <c r="BV40" s="35"/>
      <c r="BW40" s="35"/>
      <c r="BX40" s="35"/>
      <c r="BY40" s="35"/>
      <c r="BZ40" s="35"/>
      <c r="CA40" s="35"/>
      <c r="CB40" s="35"/>
      <c r="CC40" s="35"/>
      <c r="CD40" s="35"/>
      <c r="CE40" s="35"/>
      <c r="CF40" s="35"/>
      <c r="CG40" s="35"/>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c r="EA40" s="35"/>
      <c r="EB40" s="35"/>
      <c r="EC40" s="35"/>
      <c r="ED40" s="35"/>
      <c r="EE40" s="35"/>
      <c r="EF40" s="35"/>
      <c r="EG40" s="35"/>
      <c r="EH40" s="35"/>
      <c r="EI40" s="35"/>
      <c r="EJ40" s="35"/>
      <c r="EK40" s="35"/>
      <c r="EL40" s="35"/>
      <c r="EM40" s="35"/>
      <c r="EN40" s="35"/>
      <c r="EO40" s="35"/>
      <c r="EP40" s="35"/>
      <c r="EQ40" s="35"/>
      <c r="ER40" s="35"/>
      <c r="ES40" s="35"/>
      <c r="ET40" s="35"/>
      <c r="EU40" s="35"/>
      <c r="EV40" s="35"/>
      <c r="EW40" s="35"/>
      <c r="EX40" s="35"/>
      <c r="EY40" s="35"/>
      <c r="EZ40" s="35"/>
      <c r="FA40" s="35"/>
      <c r="FB40" s="35"/>
      <c r="FC40" s="35"/>
      <c r="FD40" s="35"/>
      <c r="FE40" s="35"/>
      <c r="FF40" s="35"/>
      <c r="FG40" s="35"/>
      <c r="FH40" s="35"/>
      <c r="FI40" s="35"/>
      <c r="FJ40" s="35"/>
      <c r="FK40" s="35"/>
      <c r="FL40" s="35"/>
      <c r="FM40" s="35"/>
      <c r="FN40" s="35"/>
      <c r="FO40" s="35"/>
      <c r="FP40" s="35"/>
      <c r="FQ40" s="35"/>
      <c r="FR40" s="35"/>
      <c r="FS40" s="35"/>
      <c r="FT40" s="35"/>
      <c r="FU40" s="35"/>
      <c r="FV40" s="35"/>
      <c r="FW40" s="35"/>
      <c r="FX40" s="35"/>
      <c r="FY40" s="35"/>
      <c r="FZ40" s="35"/>
      <c r="GA40" s="35"/>
      <c r="GB40" s="35"/>
      <c r="GC40" s="35"/>
      <c r="GD40" s="35"/>
      <c r="GE40" s="35"/>
      <c r="GF40" s="35"/>
      <c r="GG40" s="35"/>
      <c r="GH40" s="35"/>
      <c r="GI40" s="35"/>
      <c r="GJ40" s="35"/>
      <c r="GK40" s="35"/>
      <c r="GL40" s="35"/>
      <c r="GM40" s="35"/>
      <c r="GN40" s="35"/>
      <c r="GO40" s="35"/>
      <c r="GP40" s="35"/>
      <c r="GQ40" s="35"/>
      <c r="GR40" s="35"/>
      <c r="GS40" s="35"/>
      <c r="GT40" s="35"/>
      <c r="GU40" s="35"/>
      <c r="GV40" s="35"/>
      <c r="GW40" s="35"/>
      <c r="GX40" s="35"/>
      <c r="GY40" s="35"/>
      <c r="GZ40" s="35"/>
      <c r="HA40" s="35"/>
      <c r="HB40" s="35"/>
      <c r="HC40" s="35"/>
      <c r="HD40" s="35"/>
      <c r="HE40" s="35"/>
      <c r="HF40" s="35"/>
      <c r="HG40" s="35"/>
      <c r="HH40" s="35"/>
      <c r="HI40" s="35"/>
      <c r="HJ40" s="35"/>
      <c r="HK40" s="35"/>
      <c r="HL40" s="35"/>
      <c r="HM40" s="35"/>
      <c r="HN40" s="35"/>
      <c r="HO40" s="35"/>
      <c r="HP40" s="35"/>
      <c r="HQ40" s="35"/>
      <c r="HR40" s="35"/>
      <c r="HS40" s="35"/>
      <c r="HT40" s="35"/>
      <c r="HU40" s="35"/>
      <c r="HV40" s="35"/>
      <c r="HW40" s="35"/>
      <c r="HX40" s="35"/>
      <c r="HY40" s="35"/>
      <c r="HZ40" s="35"/>
      <c r="IA40" s="35"/>
      <c r="IB40" s="35"/>
      <c r="IC40" s="35"/>
      <c r="ID40" s="35"/>
      <c r="IE40" s="35"/>
      <c r="IF40" s="35"/>
      <c r="IG40" s="35"/>
      <c r="IH40" s="35"/>
      <c r="II40" s="35"/>
      <c r="IJ40" s="35"/>
      <c r="IK40" s="35"/>
      <c r="IL40" s="35"/>
      <c r="IM40" s="35"/>
      <c r="IN40" s="35"/>
      <c r="IO40" s="35"/>
      <c r="IP40" s="35"/>
      <c r="IQ40" s="35"/>
      <c r="IR40" s="35"/>
      <c r="IS40" s="35"/>
      <c r="IT40" s="35"/>
      <c r="IU40" s="35"/>
      <c r="IV40" s="35"/>
      <c r="IW40" s="35"/>
      <c r="IX40" s="35"/>
      <c r="IY40" s="35"/>
      <c r="IZ40" s="35"/>
      <c r="JA40" s="35"/>
      <c r="JB40" s="35"/>
      <c r="JC40" s="35"/>
      <c r="JD40" s="35"/>
      <c r="JE40" s="35"/>
      <c r="JF40" s="35"/>
      <c r="JG40" s="35"/>
      <c r="JH40" s="35"/>
      <c r="JI40" s="35"/>
      <c r="JJ40" s="35"/>
      <c r="JK40" s="35"/>
      <c r="JL40" s="35"/>
      <c r="JM40" s="35"/>
      <c r="JN40" s="35"/>
      <c r="JO40" s="35"/>
      <c r="JP40" s="35"/>
      <c r="JQ40" s="35"/>
      <c r="JR40" s="35"/>
      <c r="JS40" s="35"/>
      <c r="JT40" s="35"/>
      <c r="JU40" s="35"/>
      <c r="JV40" s="35"/>
      <c r="JW40" s="35"/>
      <c r="JX40" s="35"/>
      <c r="JY40" s="35"/>
      <c r="JZ40" s="35"/>
      <c r="KA40" s="35"/>
      <c r="KB40" s="35"/>
      <c r="KC40" s="35"/>
      <c r="KD40" s="35"/>
      <c r="KE40" s="35"/>
      <c r="KF40" s="35"/>
      <c r="KG40" s="35"/>
      <c r="KH40" s="35"/>
      <c r="KI40" s="35"/>
      <c r="KJ40" s="35"/>
      <c r="KK40" s="35"/>
      <c r="KL40" s="35"/>
      <c r="KM40" s="35"/>
      <c r="KN40" s="35"/>
      <c r="KO40" s="35"/>
      <c r="KP40" s="35"/>
      <c r="KQ40" s="35"/>
      <c r="KR40" s="35"/>
      <c r="KS40" s="35"/>
      <c r="KT40" s="35"/>
      <c r="KU40" s="35"/>
      <c r="KV40" s="35"/>
      <c r="KW40" s="35"/>
      <c r="KX40" s="35"/>
      <c r="KY40" s="35"/>
      <c r="KZ40" s="35"/>
      <c r="LA40" s="35"/>
      <c r="LB40" s="35"/>
      <c r="LC40" s="35"/>
      <c r="LD40" s="35"/>
      <c r="LE40" s="35"/>
      <c r="LF40" s="35"/>
      <c r="LG40" s="35"/>
      <c r="LH40" s="35"/>
      <c r="LI40" s="35"/>
      <c r="LJ40" s="35"/>
      <c r="LK40" s="35"/>
      <c r="LL40" s="35"/>
      <c r="LM40" s="35"/>
      <c r="LN40" s="35"/>
      <c r="LO40" s="35"/>
      <c r="LP40" s="35"/>
      <c r="LQ40" s="35"/>
      <c r="LR40" s="35"/>
      <c r="LS40" s="35"/>
      <c r="LT40" s="35"/>
      <c r="LU40" s="35"/>
      <c r="LV40" s="35"/>
      <c r="LW40" s="35"/>
      <c r="LX40" s="35"/>
      <c r="LY40" s="35"/>
      <c r="LZ40" s="35"/>
      <c r="MA40" s="35"/>
      <c r="MB40" s="35"/>
      <c r="MC40" s="35"/>
      <c r="MD40" s="35"/>
      <c r="ME40" s="35"/>
      <c r="MF40" s="35"/>
      <c r="MG40" s="35"/>
      <c r="MH40" s="35"/>
      <c r="MI40" s="35"/>
      <c r="MJ40" s="35"/>
      <c r="MK40" s="35"/>
      <c r="ML40" s="35"/>
      <c r="MM40" s="35"/>
      <c r="MN40" s="35"/>
      <c r="MO40" s="35"/>
      <c r="MP40" s="35"/>
      <c r="MQ40" s="35"/>
      <c r="MR40" s="35"/>
      <c r="MS40" s="35"/>
      <c r="MT40" s="35"/>
      <c r="MU40" s="35"/>
      <c r="MV40" s="35"/>
      <c r="MW40" s="35"/>
      <c r="MX40" s="35"/>
      <c r="MY40" s="35"/>
      <c r="MZ40" s="35"/>
      <c r="NA40" s="35"/>
      <c r="NB40" s="35"/>
      <c r="NC40" s="35"/>
      <c r="ND40" s="35"/>
      <c r="NE40" s="35"/>
      <c r="NF40" s="35"/>
      <c r="NG40" s="35"/>
      <c r="NH40" s="35"/>
      <c r="NI40" s="35"/>
      <c r="NJ40" s="35"/>
      <c r="NK40" s="35"/>
      <c r="NL40" s="35"/>
      <c r="NM40" s="35"/>
      <c r="NN40" s="35"/>
      <c r="NO40" s="35"/>
      <c r="NP40" s="35"/>
      <c r="NQ40" s="35"/>
      <c r="NR40" s="35"/>
      <c r="NS40" s="35"/>
      <c r="NT40" s="35"/>
      <c r="NU40" s="35"/>
      <c r="NV40" s="35"/>
      <c r="NW40" s="35"/>
      <c r="NX40" s="35"/>
      <c r="NY40" s="35"/>
      <c r="NZ40" s="35"/>
      <c r="OA40" s="35"/>
      <c r="OB40" s="35"/>
      <c r="OC40" s="35"/>
      <c r="OD40" s="35"/>
      <c r="OE40" s="35"/>
      <c r="OF40" s="35"/>
      <c r="OG40" s="35"/>
      <c r="OH40" s="35"/>
      <c r="OI40" s="35"/>
      <c r="OJ40" s="35"/>
      <c r="OK40" s="35"/>
      <c r="OL40" s="35"/>
      <c r="OM40" s="35"/>
      <c r="ON40" s="35"/>
      <c r="OO40" s="35"/>
      <c r="OP40" s="35"/>
      <c r="OQ40" s="35"/>
      <c r="OR40" s="35"/>
      <c r="OS40" s="35"/>
      <c r="OT40" s="35"/>
      <c r="OU40" s="35"/>
      <c r="OV40" s="35"/>
    </row>
    <row r="41" ht="18.0" customHeight="1">
      <c r="A41" s="34">
        <v>40.0</v>
      </c>
      <c r="B41" s="35" t="s">
        <v>971</v>
      </c>
      <c r="C41" s="36" t="s">
        <v>1674</v>
      </c>
      <c r="D41" s="35" t="s">
        <v>979</v>
      </c>
      <c r="E41" s="34">
        <v>30.0</v>
      </c>
      <c r="F41" s="34" t="str">
        <f t="shared" si="1"/>
        <v>#REF!</v>
      </c>
      <c r="G41" s="34">
        <f t="shared" si="2"/>
        <v>0</v>
      </c>
      <c r="H41" s="34">
        <f t="shared" si="3"/>
        <v>0</v>
      </c>
      <c r="I41" s="34">
        <f t="shared" si="4"/>
        <v>0</v>
      </c>
      <c r="J41" s="37" t="s">
        <v>625</v>
      </c>
      <c r="K41" s="37" t="b">
        <v>0</v>
      </c>
      <c r="L41" s="38" t="s">
        <v>71</v>
      </c>
      <c r="M41" s="35" t="str">
        <f>IFERROR(__xludf.DUMMYFUNCTION("IFERROR(TOROW(CHOOSECOLS(SORT(FILTER({'Tổng hợp 75 trang đích'!$J$2:$J$3260,'Tổng hợp 75 trang đích'!$I$2:$I$3260,MATCH('Tổng hợp 75 trang đích'!$K$2:$K$3260,{""PHÙ HỢP CAO"",""CÓ THỂ ĐI"",""CẦN SOÁT""},0)},'Tổng hợp 75 trang đích'!$B$2:$B$3260=$D41),3,TR"&amp;"UE),1,2)),"""")"),"")</f>
        <v/>
      </c>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c r="BM41" s="35"/>
      <c r="BN41" s="35"/>
      <c r="BO41" s="35"/>
      <c r="BP41" s="35"/>
      <c r="BQ41" s="35"/>
      <c r="BR41" s="35"/>
      <c r="BS41" s="35"/>
      <c r="BT41" s="35"/>
      <c r="BU41" s="35"/>
      <c r="BV41" s="35"/>
      <c r="BW41" s="35"/>
      <c r="BX41" s="35"/>
      <c r="BY41" s="35"/>
      <c r="BZ41" s="35"/>
      <c r="CA41" s="35"/>
      <c r="CB41" s="35"/>
      <c r="CC41" s="35"/>
      <c r="CD41" s="35"/>
      <c r="CE41" s="35"/>
      <c r="CF41" s="35"/>
      <c r="CG41" s="35"/>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c r="EA41" s="35"/>
      <c r="EB41" s="35"/>
      <c r="EC41" s="35"/>
      <c r="ED41" s="35"/>
      <c r="EE41" s="35"/>
      <c r="EF41" s="35"/>
      <c r="EG41" s="35"/>
      <c r="EH41" s="35"/>
      <c r="EI41" s="35"/>
      <c r="EJ41" s="35"/>
      <c r="EK41" s="35"/>
      <c r="EL41" s="35"/>
      <c r="EM41" s="35"/>
      <c r="EN41" s="35"/>
      <c r="EO41" s="35"/>
      <c r="EP41" s="35"/>
      <c r="EQ41" s="35"/>
      <c r="ER41" s="35"/>
      <c r="ES41" s="35"/>
      <c r="ET41" s="35"/>
      <c r="EU41" s="35"/>
      <c r="EV41" s="35"/>
      <c r="EW41" s="35"/>
      <c r="EX41" s="35"/>
      <c r="EY41" s="35"/>
      <c r="EZ41" s="35"/>
      <c r="FA41" s="35"/>
      <c r="FB41" s="35"/>
      <c r="FC41" s="35"/>
      <c r="FD41" s="35"/>
      <c r="FE41" s="35"/>
      <c r="FF41" s="35"/>
      <c r="FG41" s="35"/>
      <c r="FH41" s="35"/>
      <c r="FI41" s="35"/>
      <c r="FJ41" s="35"/>
      <c r="FK41" s="35"/>
      <c r="FL41" s="35"/>
      <c r="FM41" s="35"/>
      <c r="FN41" s="35"/>
      <c r="FO41" s="35"/>
      <c r="FP41" s="35"/>
      <c r="FQ41" s="35"/>
      <c r="FR41" s="35"/>
      <c r="FS41" s="35"/>
      <c r="FT41" s="35"/>
      <c r="FU41" s="35"/>
      <c r="FV41" s="35"/>
      <c r="FW41" s="35"/>
      <c r="FX41" s="35"/>
      <c r="FY41" s="35"/>
      <c r="FZ41" s="35"/>
      <c r="GA41" s="35"/>
      <c r="GB41" s="35"/>
      <c r="GC41" s="35"/>
      <c r="GD41" s="35"/>
      <c r="GE41" s="35"/>
      <c r="GF41" s="35"/>
      <c r="GG41" s="35"/>
      <c r="GH41" s="35"/>
      <c r="GI41" s="35"/>
      <c r="GJ41" s="35"/>
      <c r="GK41" s="35"/>
      <c r="GL41" s="35"/>
      <c r="GM41" s="35"/>
      <c r="GN41" s="35"/>
      <c r="GO41" s="35"/>
      <c r="GP41" s="35"/>
      <c r="GQ41" s="35"/>
      <c r="GR41" s="35"/>
      <c r="GS41" s="35"/>
      <c r="GT41" s="35"/>
      <c r="GU41" s="35"/>
      <c r="GV41" s="35"/>
      <c r="GW41" s="35"/>
      <c r="GX41" s="35"/>
      <c r="GY41" s="35"/>
      <c r="GZ41" s="35"/>
      <c r="HA41" s="35"/>
      <c r="HB41" s="35"/>
      <c r="HC41" s="35"/>
      <c r="HD41" s="35"/>
      <c r="HE41" s="35"/>
      <c r="HF41" s="35"/>
      <c r="HG41" s="35"/>
      <c r="HH41" s="35"/>
      <c r="HI41" s="35"/>
      <c r="HJ41" s="35"/>
      <c r="HK41" s="35"/>
      <c r="HL41" s="35"/>
      <c r="HM41" s="35"/>
      <c r="HN41" s="35"/>
      <c r="HO41" s="35"/>
      <c r="HP41" s="35"/>
      <c r="HQ41" s="35"/>
      <c r="HR41" s="35"/>
      <c r="HS41" s="35"/>
      <c r="HT41" s="35"/>
      <c r="HU41" s="35"/>
      <c r="HV41" s="35"/>
      <c r="HW41" s="35"/>
      <c r="HX41" s="35"/>
      <c r="HY41" s="35"/>
      <c r="HZ41" s="35"/>
      <c r="IA41" s="35"/>
      <c r="IB41" s="35"/>
      <c r="IC41" s="35"/>
      <c r="ID41" s="35"/>
      <c r="IE41" s="35"/>
      <c r="IF41" s="35"/>
      <c r="IG41" s="35"/>
      <c r="IH41" s="35"/>
      <c r="II41" s="35"/>
      <c r="IJ41" s="35"/>
      <c r="IK41" s="35"/>
      <c r="IL41" s="35"/>
      <c r="IM41" s="35"/>
      <c r="IN41" s="35"/>
      <c r="IO41" s="35"/>
      <c r="IP41" s="35"/>
      <c r="IQ41" s="35"/>
      <c r="IR41" s="35"/>
      <c r="IS41" s="35"/>
      <c r="IT41" s="35"/>
      <c r="IU41" s="35"/>
      <c r="IV41" s="35"/>
      <c r="IW41" s="35"/>
      <c r="IX41" s="35"/>
      <c r="IY41" s="35"/>
      <c r="IZ41" s="35"/>
      <c r="JA41" s="35"/>
      <c r="JB41" s="35"/>
      <c r="JC41" s="35"/>
      <c r="JD41" s="35"/>
      <c r="JE41" s="35"/>
      <c r="JF41" s="35"/>
      <c r="JG41" s="35"/>
      <c r="JH41" s="35"/>
      <c r="JI41" s="35"/>
      <c r="JJ41" s="35"/>
      <c r="JK41" s="35"/>
      <c r="JL41" s="35"/>
      <c r="JM41" s="35"/>
      <c r="JN41" s="35"/>
      <c r="JO41" s="35"/>
      <c r="JP41" s="35"/>
      <c r="JQ41" s="35"/>
      <c r="JR41" s="35"/>
      <c r="JS41" s="35"/>
      <c r="JT41" s="35"/>
      <c r="JU41" s="35"/>
      <c r="JV41" s="35"/>
      <c r="JW41" s="35"/>
      <c r="JX41" s="35"/>
      <c r="JY41" s="35"/>
      <c r="JZ41" s="35"/>
      <c r="KA41" s="35"/>
      <c r="KB41" s="35"/>
      <c r="KC41" s="35"/>
      <c r="KD41" s="35"/>
      <c r="KE41" s="35"/>
      <c r="KF41" s="35"/>
      <c r="KG41" s="35"/>
      <c r="KH41" s="35"/>
      <c r="KI41" s="35"/>
      <c r="KJ41" s="35"/>
      <c r="KK41" s="35"/>
      <c r="KL41" s="35"/>
      <c r="KM41" s="35"/>
      <c r="KN41" s="35"/>
      <c r="KO41" s="35"/>
      <c r="KP41" s="35"/>
      <c r="KQ41" s="35"/>
      <c r="KR41" s="35"/>
      <c r="KS41" s="35"/>
      <c r="KT41" s="35"/>
      <c r="KU41" s="35"/>
      <c r="KV41" s="35"/>
      <c r="KW41" s="35"/>
      <c r="KX41" s="35"/>
      <c r="KY41" s="35"/>
      <c r="KZ41" s="35"/>
      <c r="LA41" s="35"/>
      <c r="LB41" s="35"/>
      <c r="LC41" s="35"/>
      <c r="LD41" s="35"/>
      <c r="LE41" s="35"/>
      <c r="LF41" s="35"/>
      <c r="LG41" s="35"/>
      <c r="LH41" s="35"/>
      <c r="LI41" s="35"/>
      <c r="LJ41" s="35"/>
      <c r="LK41" s="35"/>
      <c r="LL41" s="35"/>
      <c r="LM41" s="35"/>
      <c r="LN41" s="35"/>
      <c r="LO41" s="35"/>
      <c r="LP41" s="35"/>
      <c r="LQ41" s="35"/>
      <c r="LR41" s="35"/>
      <c r="LS41" s="35"/>
      <c r="LT41" s="35"/>
      <c r="LU41" s="35"/>
      <c r="LV41" s="35"/>
      <c r="LW41" s="35"/>
      <c r="LX41" s="35"/>
      <c r="LY41" s="35"/>
      <c r="LZ41" s="35"/>
      <c r="MA41" s="35"/>
      <c r="MB41" s="35"/>
      <c r="MC41" s="35"/>
      <c r="MD41" s="35"/>
      <c r="ME41" s="35"/>
      <c r="MF41" s="35"/>
      <c r="MG41" s="35"/>
      <c r="MH41" s="35"/>
      <c r="MI41" s="35"/>
      <c r="MJ41" s="35"/>
      <c r="MK41" s="35"/>
      <c r="ML41" s="35"/>
      <c r="MM41" s="35"/>
      <c r="MN41" s="35"/>
      <c r="MO41" s="35"/>
      <c r="MP41" s="35"/>
      <c r="MQ41" s="35"/>
      <c r="MR41" s="35"/>
      <c r="MS41" s="35"/>
      <c r="MT41" s="35"/>
      <c r="MU41" s="35"/>
      <c r="MV41" s="35"/>
      <c r="MW41" s="35"/>
      <c r="MX41" s="35"/>
      <c r="MY41" s="35"/>
      <c r="MZ41" s="35"/>
      <c r="NA41" s="35"/>
      <c r="NB41" s="35"/>
      <c r="NC41" s="35"/>
      <c r="ND41" s="35"/>
      <c r="NE41" s="35"/>
      <c r="NF41" s="35"/>
      <c r="NG41" s="35"/>
      <c r="NH41" s="35"/>
      <c r="NI41" s="35"/>
      <c r="NJ41" s="35"/>
      <c r="NK41" s="35"/>
      <c r="NL41" s="35"/>
      <c r="NM41" s="35"/>
      <c r="NN41" s="35"/>
      <c r="NO41" s="35"/>
      <c r="NP41" s="35"/>
      <c r="NQ41" s="35"/>
      <c r="NR41" s="35"/>
      <c r="NS41" s="35"/>
      <c r="NT41" s="35"/>
      <c r="NU41" s="35"/>
      <c r="NV41" s="35"/>
      <c r="NW41" s="35"/>
      <c r="NX41" s="35"/>
      <c r="NY41" s="35"/>
      <c r="NZ41" s="35"/>
      <c r="OA41" s="35"/>
      <c r="OB41" s="35"/>
      <c r="OC41" s="35"/>
      <c r="OD41" s="35"/>
      <c r="OE41" s="35"/>
      <c r="OF41" s="35"/>
      <c r="OG41" s="35"/>
      <c r="OH41" s="35"/>
      <c r="OI41" s="35"/>
      <c r="OJ41" s="35"/>
      <c r="OK41" s="35"/>
      <c r="OL41" s="35"/>
      <c r="OM41" s="35"/>
      <c r="ON41" s="35"/>
      <c r="OO41" s="35"/>
      <c r="OP41" s="35"/>
      <c r="OQ41" s="35"/>
      <c r="OR41" s="35"/>
      <c r="OS41" s="35"/>
      <c r="OT41" s="35"/>
      <c r="OU41" s="35"/>
      <c r="OV41" s="35"/>
    </row>
    <row r="42" ht="18.0" customHeight="1">
      <c r="A42" s="34">
        <v>41.0</v>
      </c>
      <c r="B42" s="35" t="s">
        <v>971</v>
      </c>
      <c r="C42" s="36" t="s">
        <v>1688</v>
      </c>
      <c r="D42" s="35" t="s">
        <v>841</v>
      </c>
      <c r="E42" s="34">
        <v>30.0</v>
      </c>
      <c r="F42" s="34" t="str">
        <f t="shared" si="1"/>
        <v>#REF!</v>
      </c>
      <c r="G42" s="34">
        <f t="shared" si="2"/>
        <v>0</v>
      </c>
      <c r="H42" s="34">
        <f t="shared" si="3"/>
        <v>0</v>
      </c>
      <c r="I42" s="34">
        <f t="shared" si="4"/>
        <v>0</v>
      </c>
      <c r="J42" s="37" t="s">
        <v>625</v>
      </c>
      <c r="K42" s="37" t="b">
        <v>0</v>
      </c>
      <c r="L42" s="38" t="s">
        <v>71</v>
      </c>
      <c r="M42" s="35" t="str">
        <f>IFERROR(__xludf.DUMMYFUNCTION("IFERROR(TOROW(CHOOSECOLS(SORT(FILTER({'Tổng hợp 75 trang đích'!$J$2:$J$3260,'Tổng hợp 75 trang đích'!$I$2:$I$3260,MATCH('Tổng hợp 75 trang đích'!$K$2:$K$3260,{""PHÙ HỢP CAO"",""CÓ THỂ ĐI"",""CẦN SOÁT""},0)},'Tổng hợp 75 trang đích'!$B$2:$B$3260=$D42),3,TR"&amp;"UE),1,2)),"""")"),"")</f>
        <v/>
      </c>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c r="BM42" s="35"/>
      <c r="BN42" s="35"/>
      <c r="BO42" s="35"/>
      <c r="BP42" s="35"/>
      <c r="BQ42" s="35"/>
      <c r="BR42" s="35"/>
      <c r="BS42" s="35"/>
      <c r="BT42" s="35"/>
      <c r="BU42" s="35"/>
      <c r="BV42" s="35"/>
      <c r="BW42" s="35"/>
      <c r="BX42" s="35"/>
      <c r="BY42" s="35"/>
      <c r="BZ42" s="35"/>
      <c r="CA42" s="35"/>
      <c r="CB42" s="35"/>
      <c r="CC42" s="35"/>
      <c r="CD42" s="35"/>
      <c r="CE42" s="35"/>
      <c r="CF42" s="35"/>
      <c r="CG42" s="35"/>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c r="EA42" s="35"/>
      <c r="EB42" s="35"/>
      <c r="EC42" s="35"/>
      <c r="ED42" s="35"/>
      <c r="EE42" s="35"/>
      <c r="EF42" s="35"/>
      <c r="EG42" s="35"/>
      <c r="EH42" s="35"/>
      <c r="EI42" s="35"/>
      <c r="EJ42" s="35"/>
      <c r="EK42" s="35"/>
      <c r="EL42" s="35"/>
      <c r="EM42" s="35"/>
      <c r="EN42" s="35"/>
      <c r="EO42" s="35"/>
      <c r="EP42" s="35"/>
      <c r="EQ42" s="35"/>
      <c r="ER42" s="35"/>
      <c r="ES42" s="35"/>
      <c r="ET42" s="35"/>
      <c r="EU42" s="35"/>
      <c r="EV42" s="35"/>
      <c r="EW42" s="35"/>
      <c r="EX42" s="35"/>
      <c r="EY42" s="35"/>
      <c r="EZ42" s="35"/>
      <c r="FA42" s="35"/>
      <c r="FB42" s="35"/>
      <c r="FC42" s="35"/>
      <c r="FD42" s="35"/>
      <c r="FE42" s="35"/>
      <c r="FF42" s="35"/>
      <c r="FG42" s="35"/>
      <c r="FH42" s="35"/>
      <c r="FI42" s="35"/>
      <c r="FJ42" s="35"/>
      <c r="FK42" s="35"/>
      <c r="FL42" s="35"/>
      <c r="FM42" s="35"/>
      <c r="FN42" s="35"/>
      <c r="FO42" s="35"/>
      <c r="FP42" s="35"/>
      <c r="FQ42" s="35"/>
      <c r="FR42" s="35"/>
      <c r="FS42" s="35"/>
      <c r="FT42" s="35"/>
      <c r="FU42" s="35"/>
      <c r="FV42" s="35"/>
      <c r="FW42" s="35"/>
      <c r="FX42" s="35"/>
      <c r="FY42" s="35"/>
      <c r="FZ42" s="35"/>
      <c r="GA42" s="35"/>
      <c r="GB42" s="35"/>
      <c r="GC42" s="35"/>
      <c r="GD42" s="35"/>
      <c r="GE42" s="35"/>
      <c r="GF42" s="35"/>
      <c r="GG42" s="35"/>
      <c r="GH42" s="35"/>
      <c r="GI42" s="35"/>
      <c r="GJ42" s="35"/>
      <c r="GK42" s="35"/>
      <c r="GL42" s="35"/>
      <c r="GM42" s="35"/>
      <c r="GN42" s="35"/>
      <c r="GO42" s="35"/>
      <c r="GP42" s="35"/>
      <c r="GQ42" s="35"/>
      <c r="GR42" s="35"/>
      <c r="GS42" s="35"/>
      <c r="GT42" s="35"/>
      <c r="GU42" s="35"/>
      <c r="GV42" s="35"/>
      <c r="GW42" s="35"/>
      <c r="GX42" s="35"/>
      <c r="GY42" s="35"/>
      <c r="GZ42" s="35"/>
      <c r="HA42" s="35"/>
      <c r="HB42" s="35"/>
      <c r="HC42" s="35"/>
      <c r="HD42" s="35"/>
      <c r="HE42" s="35"/>
      <c r="HF42" s="35"/>
      <c r="HG42" s="35"/>
      <c r="HH42" s="35"/>
      <c r="HI42" s="35"/>
      <c r="HJ42" s="35"/>
      <c r="HK42" s="35"/>
      <c r="HL42" s="35"/>
      <c r="HM42" s="35"/>
      <c r="HN42" s="35"/>
      <c r="HO42" s="35"/>
      <c r="HP42" s="35"/>
      <c r="HQ42" s="35"/>
      <c r="HR42" s="35"/>
      <c r="HS42" s="35"/>
      <c r="HT42" s="35"/>
      <c r="HU42" s="35"/>
      <c r="HV42" s="35"/>
      <c r="HW42" s="35"/>
      <c r="HX42" s="35"/>
      <c r="HY42" s="35"/>
      <c r="HZ42" s="35"/>
      <c r="IA42" s="35"/>
      <c r="IB42" s="35"/>
      <c r="IC42" s="35"/>
      <c r="ID42" s="35"/>
      <c r="IE42" s="35"/>
      <c r="IF42" s="35"/>
      <c r="IG42" s="35"/>
      <c r="IH42" s="35"/>
      <c r="II42" s="35"/>
      <c r="IJ42" s="35"/>
      <c r="IK42" s="35"/>
      <c r="IL42" s="35"/>
      <c r="IM42" s="35"/>
      <c r="IN42" s="35"/>
      <c r="IO42" s="35"/>
      <c r="IP42" s="35"/>
      <c r="IQ42" s="35"/>
      <c r="IR42" s="35"/>
      <c r="IS42" s="35"/>
      <c r="IT42" s="35"/>
      <c r="IU42" s="35"/>
      <c r="IV42" s="35"/>
      <c r="IW42" s="35"/>
      <c r="IX42" s="35"/>
      <c r="IY42" s="35"/>
      <c r="IZ42" s="35"/>
      <c r="JA42" s="35"/>
      <c r="JB42" s="35"/>
      <c r="JC42" s="35"/>
      <c r="JD42" s="35"/>
      <c r="JE42" s="35"/>
      <c r="JF42" s="35"/>
      <c r="JG42" s="35"/>
      <c r="JH42" s="35"/>
      <c r="JI42" s="35"/>
      <c r="JJ42" s="35"/>
      <c r="JK42" s="35"/>
      <c r="JL42" s="35"/>
      <c r="JM42" s="35"/>
      <c r="JN42" s="35"/>
      <c r="JO42" s="35"/>
      <c r="JP42" s="35"/>
      <c r="JQ42" s="35"/>
      <c r="JR42" s="35"/>
      <c r="JS42" s="35"/>
      <c r="JT42" s="35"/>
      <c r="JU42" s="35"/>
      <c r="JV42" s="35"/>
      <c r="JW42" s="35"/>
      <c r="JX42" s="35"/>
      <c r="JY42" s="35"/>
      <c r="JZ42" s="35"/>
      <c r="KA42" s="35"/>
      <c r="KB42" s="35"/>
      <c r="KC42" s="35"/>
      <c r="KD42" s="35"/>
      <c r="KE42" s="35"/>
      <c r="KF42" s="35"/>
      <c r="KG42" s="35"/>
      <c r="KH42" s="35"/>
      <c r="KI42" s="35"/>
      <c r="KJ42" s="35"/>
      <c r="KK42" s="35"/>
      <c r="KL42" s="35"/>
      <c r="KM42" s="35"/>
      <c r="KN42" s="35"/>
      <c r="KO42" s="35"/>
      <c r="KP42" s="35"/>
      <c r="KQ42" s="35"/>
      <c r="KR42" s="35"/>
      <c r="KS42" s="35"/>
      <c r="KT42" s="35"/>
      <c r="KU42" s="35"/>
      <c r="KV42" s="35"/>
      <c r="KW42" s="35"/>
      <c r="KX42" s="35"/>
      <c r="KY42" s="35"/>
      <c r="KZ42" s="35"/>
      <c r="LA42" s="35"/>
      <c r="LB42" s="35"/>
      <c r="LC42" s="35"/>
      <c r="LD42" s="35"/>
      <c r="LE42" s="35"/>
      <c r="LF42" s="35"/>
      <c r="LG42" s="35"/>
      <c r="LH42" s="35"/>
      <c r="LI42" s="35"/>
      <c r="LJ42" s="35"/>
      <c r="LK42" s="35"/>
      <c r="LL42" s="35"/>
      <c r="LM42" s="35"/>
      <c r="LN42" s="35"/>
      <c r="LO42" s="35"/>
      <c r="LP42" s="35"/>
      <c r="LQ42" s="35"/>
      <c r="LR42" s="35"/>
      <c r="LS42" s="35"/>
      <c r="LT42" s="35"/>
      <c r="LU42" s="35"/>
      <c r="LV42" s="35"/>
      <c r="LW42" s="35"/>
      <c r="LX42" s="35"/>
      <c r="LY42" s="35"/>
      <c r="LZ42" s="35"/>
      <c r="MA42" s="35"/>
      <c r="MB42" s="35"/>
      <c r="MC42" s="35"/>
      <c r="MD42" s="35"/>
      <c r="ME42" s="35"/>
      <c r="MF42" s="35"/>
      <c r="MG42" s="35"/>
      <c r="MH42" s="35"/>
      <c r="MI42" s="35"/>
      <c r="MJ42" s="35"/>
      <c r="MK42" s="35"/>
      <c r="ML42" s="35"/>
      <c r="MM42" s="35"/>
      <c r="MN42" s="35"/>
      <c r="MO42" s="35"/>
      <c r="MP42" s="35"/>
      <c r="MQ42" s="35"/>
      <c r="MR42" s="35"/>
      <c r="MS42" s="35"/>
      <c r="MT42" s="35"/>
      <c r="MU42" s="35"/>
      <c r="MV42" s="35"/>
      <c r="MW42" s="35"/>
      <c r="MX42" s="35"/>
      <c r="MY42" s="35"/>
      <c r="MZ42" s="35"/>
      <c r="NA42" s="35"/>
      <c r="NB42" s="35"/>
      <c r="NC42" s="35"/>
      <c r="ND42" s="35"/>
      <c r="NE42" s="35"/>
      <c r="NF42" s="35"/>
      <c r="NG42" s="35"/>
      <c r="NH42" s="35"/>
      <c r="NI42" s="35"/>
      <c r="NJ42" s="35"/>
      <c r="NK42" s="35"/>
      <c r="NL42" s="35"/>
      <c r="NM42" s="35"/>
      <c r="NN42" s="35"/>
      <c r="NO42" s="35"/>
      <c r="NP42" s="35"/>
      <c r="NQ42" s="35"/>
      <c r="NR42" s="35"/>
      <c r="NS42" s="35"/>
      <c r="NT42" s="35"/>
      <c r="NU42" s="35"/>
      <c r="NV42" s="35"/>
      <c r="NW42" s="35"/>
      <c r="NX42" s="35"/>
      <c r="NY42" s="35"/>
      <c r="NZ42" s="35"/>
      <c r="OA42" s="35"/>
      <c r="OB42" s="35"/>
      <c r="OC42" s="35"/>
      <c r="OD42" s="35"/>
      <c r="OE42" s="35"/>
      <c r="OF42" s="35"/>
      <c r="OG42" s="35"/>
      <c r="OH42" s="35"/>
      <c r="OI42" s="35"/>
      <c r="OJ42" s="35"/>
      <c r="OK42" s="35"/>
      <c r="OL42" s="35"/>
      <c r="OM42" s="35"/>
      <c r="ON42" s="35"/>
      <c r="OO42" s="35"/>
      <c r="OP42" s="35"/>
      <c r="OQ42" s="35"/>
      <c r="OR42" s="35"/>
      <c r="OS42" s="35"/>
      <c r="OT42" s="35"/>
      <c r="OU42" s="35"/>
      <c r="OV42" s="35"/>
    </row>
    <row r="43" ht="18.0" customHeight="1">
      <c r="A43" s="34">
        <v>42.0</v>
      </c>
      <c r="B43" s="35" t="s">
        <v>971</v>
      </c>
      <c r="C43" s="36" t="s">
        <v>1706</v>
      </c>
      <c r="D43" s="35" t="s">
        <v>830</v>
      </c>
      <c r="E43" s="34">
        <v>30.0</v>
      </c>
      <c r="F43" s="34" t="str">
        <f t="shared" si="1"/>
        <v>#REF!</v>
      </c>
      <c r="G43" s="34">
        <f t="shared" si="2"/>
        <v>0</v>
      </c>
      <c r="H43" s="34">
        <f t="shared" si="3"/>
        <v>0</v>
      </c>
      <c r="I43" s="34">
        <f t="shared" si="4"/>
        <v>0</v>
      </c>
      <c r="J43" s="37" t="s">
        <v>625</v>
      </c>
      <c r="K43" s="37" t="b">
        <v>0</v>
      </c>
      <c r="L43" s="38" t="s">
        <v>71</v>
      </c>
      <c r="M43" s="35" t="str">
        <f>IFERROR(__xludf.DUMMYFUNCTION("IFERROR(TOROW(CHOOSECOLS(SORT(FILTER({'Tổng hợp 75 trang đích'!$J$2:$J$3260,'Tổng hợp 75 trang đích'!$I$2:$I$3260,MATCH('Tổng hợp 75 trang đích'!$K$2:$K$3260,{""PHÙ HỢP CAO"",""CÓ THỂ ĐI"",""CẦN SOÁT""},0)},'Tổng hợp 75 trang đích'!$B$2:$B$3260=$D43),3,TR"&amp;"UE),1,2)),"""")"),"")</f>
        <v/>
      </c>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c r="BM43" s="35"/>
      <c r="BN43" s="35"/>
      <c r="BO43" s="35"/>
      <c r="BP43" s="35"/>
      <c r="BQ43" s="35"/>
      <c r="BR43" s="35"/>
      <c r="BS43" s="35"/>
      <c r="BT43" s="35"/>
      <c r="BU43" s="35"/>
      <c r="BV43" s="35"/>
      <c r="BW43" s="35"/>
      <c r="BX43" s="35"/>
      <c r="BY43" s="35"/>
      <c r="BZ43" s="35"/>
      <c r="CA43" s="35"/>
      <c r="CB43" s="35"/>
      <c r="CC43" s="35"/>
      <c r="CD43" s="35"/>
      <c r="CE43" s="35"/>
      <c r="CF43" s="35"/>
      <c r="CG43" s="35"/>
      <c r="CH43" s="35"/>
      <c r="CI43" s="35"/>
      <c r="CJ43" s="35"/>
      <c r="CK43" s="35"/>
      <c r="CL43" s="35"/>
      <c r="CM43" s="35"/>
      <c r="CN43" s="35"/>
      <c r="CO43" s="35"/>
      <c r="CP43" s="35"/>
      <c r="CQ43" s="35"/>
      <c r="CR43" s="35"/>
      <c r="CS43" s="35"/>
      <c r="CT43" s="35"/>
      <c r="CU43" s="35"/>
      <c r="CV43" s="35"/>
      <c r="CW43" s="35"/>
      <c r="CX43" s="35"/>
      <c r="CY43" s="35"/>
      <c r="CZ43" s="35"/>
      <c r="DA43" s="35"/>
      <c r="DB43" s="35"/>
      <c r="DC43" s="35"/>
      <c r="DD43" s="35"/>
      <c r="DE43" s="35"/>
      <c r="DF43" s="35"/>
      <c r="DG43" s="35"/>
      <c r="DH43" s="35"/>
      <c r="DI43" s="35"/>
      <c r="DJ43" s="35"/>
      <c r="DK43" s="35"/>
      <c r="DL43" s="35"/>
      <c r="DM43" s="35"/>
      <c r="DN43" s="35"/>
      <c r="DO43" s="35"/>
      <c r="DP43" s="35"/>
      <c r="DQ43" s="35"/>
      <c r="DR43" s="35"/>
      <c r="DS43" s="35"/>
      <c r="DT43" s="35"/>
      <c r="DU43" s="35"/>
      <c r="DV43" s="35"/>
      <c r="DW43" s="35"/>
      <c r="DX43" s="35"/>
      <c r="DY43" s="35"/>
      <c r="DZ43" s="35"/>
      <c r="EA43" s="35"/>
      <c r="EB43" s="35"/>
      <c r="EC43" s="35"/>
      <c r="ED43" s="35"/>
      <c r="EE43" s="35"/>
      <c r="EF43" s="35"/>
      <c r="EG43" s="35"/>
      <c r="EH43" s="35"/>
      <c r="EI43" s="35"/>
      <c r="EJ43" s="35"/>
      <c r="EK43" s="35"/>
      <c r="EL43" s="35"/>
      <c r="EM43" s="35"/>
      <c r="EN43" s="35"/>
      <c r="EO43" s="35"/>
      <c r="EP43" s="35"/>
      <c r="EQ43" s="35"/>
      <c r="ER43" s="35"/>
      <c r="ES43" s="35"/>
      <c r="ET43" s="35"/>
      <c r="EU43" s="35"/>
      <c r="EV43" s="35"/>
      <c r="EW43" s="35"/>
      <c r="EX43" s="35"/>
      <c r="EY43" s="35"/>
      <c r="EZ43" s="35"/>
      <c r="FA43" s="35"/>
      <c r="FB43" s="35"/>
      <c r="FC43" s="35"/>
      <c r="FD43" s="35"/>
      <c r="FE43" s="35"/>
      <c r="FF43" s="35"/>
      <c r="FG43" s="35"/>
      <c r="FH43" s="35"/>
      <c r="FI43" s="35"/>
      <c r="FJ43" s="35"/>
      <c r="FK43" s="35"/>
      <c r="FL43" s="35"/>
      <c r="FM43" s="35"/>
      <c r="FN43" s="35"/>
      <c r="FO43" s="35"/>
      <c r="FP43" s="35"/>
      <c r="FQ43" s="35"/>
      <c r="FR43" s="35"/>
      <c r="FS43" s="35"/>
      <c r="FT43" s="35"/>
      <c r="FU43" s="35"/>
      <c r="FV43" s="35"/>
      <c r="FW43" s="35"/>
      <c r="FX43" s="35"/>
      <c r="FY43" s="35"/>
      <c r="FZ43" s="35"/>
      <c r="GA43" s="35"/>
      <c r="GB43" s="35"/>
      <c r="GC43" s="35"/>
      <c r="GD43" s="35"/>
      <c r="GE43" s="35"/>
      <c r="GF43" s="35"/>
      <c r="GG43" s="35"/>
      <c r="GH43" s="35"/>
      <c r="GI43" s="35"/>
      <c r="GJ43" s="35"/>
      <c r="GK43" s="35"/>
      <c r="GL43" s="35"/>
      <c r="GM43" s="35"/>
      <c r="GN43" s="35"/>
      <c r="GO43" s="35"/>
      <c r="GP43" s="35"/>
      <c r="GQ43" s="35"/>
      <c r="GR43" s="35"/>
      <c r="GS43" s="35"/>
      <c r="GT43" s="35"/>
      <c r="GU43" s="35"/>
      <c r="GV43" s="35"/>
      <c r="GW43" s="35"/>
      <c r="GX43" s="35"/>
      <c r="GY43" s="35"/>
      <c r="GZ43" s="35"/>
      <c r="HA43" s="35"/>
      <c r="HB43" s="35"/>
      <c r="HC43" s="35"/>
      <c r="HD43" s="35"/>
      <c r="HE43" s="35"/>
      <c r="HF43" s="35"/>
      <c r="HG43" s="35"/>
      <c r="HH43" s="35"/>
      <c r="HI43" s="35"/>
      <c r="HJ43" s="35"/>
      <c r="HK43" s="35"/>
      <c r="HL43" s="35"/>
      <c r="HM43" s="35"/>
      <c r="HN43" s="35"/>
      <c r="HO43" s="35"/>
      <c r="HP43" s="35"/>
      <c r="HQ43" s="35"/>
      <c r="HR43" s="35"/>
      <c r="HS43" s="35"/>
      <c r="HT43" s="35"/>
      <c r="HU43" s="35"/>
      <c r="HV43" s="35"/>
      <c r="HW43" s="35"/>
      <c r="HX43" s="35"/>
      <c r="HY43" s="35"/>
      <c r="HZ43" s="35"/>
      <c r="IA43" s="35"/>
      <c r="IB43" s="35"/>
      <c r="IC43" s="35"/>
      <c r="ID43" s="35"/>
      <c r="IE43" s="35"/>
      <c r="IF43" s="35"/>
      <c r="IG43" s="35"/>
      <c r="IH43" s="35"/>
      <c r="II43" s="35"/>
      <c r="IJ43" s="35"/>
      <c r="IK43" s="35"/>
      <c r="IL43" s="35"/>
      <c r="IM43" s="35"/>
      <c r="IN43" s="35"/>
      <c r="IO43" s="35"/>
      <c r="IP43" s="35"/>
      <c r="IQ43" s="35"/>
      <c r="IR43" s="35"/>
      <c r="IS43" s="35"/>
      <c r="IT43" s="35"/>
      <c r="IU43" s="35"/>
      <c r="IV43" s="35"/>
      <c r="IW43" s="35"/>
      <c r="IX43" s="35"/>
      <c r="IY43" s="35"/>
      <c r="IZ43" s="35"/>
      <c r="JA43" s="35"/>
      <c r="JB43" s="35"/>
      <c r="JC43" s="35"/>
      <c r="JD43" s="35"/>
      <c r="JE43" s="35"/>
      <c r="JF43" s="35"/>
      <c r="JG43" s="35"/>
      <c r="JH43" s="35"/>
      <c r="JI43" s="35"/>
      <c r="JJ43" s="35"/>
      <c r="JK43" s="35"/>
      <c r="JL43" s="35"/>
      <c r="JM43" s="35"/>
      <c r="JN43" s="35"/>
      <c r="JO43" s="35"/>
      <c r="JP43" s="35"/>
      <c r="JQ43" s="35"/>
      <c r="JR43" s="35"/>
      <c r="JS43" s="35"/>
      <c r="JT43" s="35"/>
      <c r="JU43" s="35"/>
      <c r="JV43" s="35"/>
      <c r="JW43" s="35"/>
      <c r="JX43" s="35"/>
      <c r="JY43" s="35"/>
      <c r="JZ43" s="35"/>
      <c r="KA43" s="35"/>
      <c r="KB43" s="35"/>
      <c r="KC43" s="35"/>
      <c r="KD43" s="35"/>
      <c r="KE43" s="35"/>
      <c r="KF43" s="35"/>
      <c r="KG43" s="35"/>
      <c r="KH43" s="35"/>
      <c r="KI43" s="35"/>
      <c r="KJ43" s="35"/>
      <c r="KK43" s="35"/>
      <c r="KL43" s="35"/>
      <c r="KM43" s="35"/>
      <c r="KN43" s="35"/>
      <c r="KO43" s="35"/>
      <c r="KP43" s="35"/>
      <c r="KQ43" s="35"/>
      <c r="KR43" s="35"/>
      <c r="KS43" s="35"/>
      <c r="KT43" s="35"/>
      <c r="KU43" s="35"/>
      <c r="KV43" s="35"/>
      <c r="KW43" s="35"/>
      <c r="KX43" s="35"/>
      <c r="KY43" s="35"/>
      <c r="KZ43" s="35"/>
      <c r="LA43" s="35"/>
      <c r="LB43" s="35"/>
      <c r="LC43" s="35"/>
      <c r="LD43" s="35"/>
      <c r="LE43" s="35"/>
      <c r="LF43" s="35"/>
      <c r="LG43" s="35"/>
      <c r="LH43" s="35"/>
      <c r="LI43" s="35"/>
      <c r="LJ43" s="35"/>
      <c r="LK43" s="35"/>
      <c r="LL43" s="35"/>
      <c r="LM43" s="35"/>
      <c r="LN43" s="35"/>
      <c r="LO43" s="35"/>
      <c r="LP43" s="35"/>
      <c r="LQ43" s="35"/>
      <c r="LR43" s="35"/>
      <c r="LS43" s="35"/>
      <c r="LT43" s="35"/>
      <c r="LU43" s="35"/>
      <c r="LV43" s="35"/>
      <c r="LW43" s="35"/>
      <c r="LX43" s="35"/>
      <c r="LY43" s="35"/>
      <c r="LZ43" s="35"/>
      <c r="MA43" s="35"/>
      <c r="MB43" s="35"/>
      <c r="MC43" s="35"/>
      <c r="MD43" s="35"/>
      <c r="ME43" s="35"/>
      <c r="MF43" s="35"/>
      <c r="MG43" s="35"/>
      <c r="MH43" s="35"/>
      <c r="MI43" s="35"/>
      <c r="MJ43" s="35"/>
      <c r="MK43" s="35"/>
      <c r="ML43" s="35"/>
      <c r="MM43" s="35"/>
      <c r="MN43" s="35"/>
      <c r="MO43" s="35"/>
      <c r="MP43" s="35"/>
      <c r="MQ43" s="35"/>
      <c r="MR43" s="35"/>
      <c r="MS43" s="35"/>
      <c r="MT43" s="35"/>
      <c r="MU43" s="35"/>
      <c r="MV43" s="35"/>
      <c r="MW43" s="35"/>
      <c r="MX43" s="35"/>
      <c r="MY43" s="35"/>
      <c r="MZ43" s="35"/>
      <c r="NA43" s="35"/>
      <c r="NB43" s="35"/>
      <c r="NC43" s="35"/>
      <c r="ND43" s="35"/>
      <c r="NE43" s="35"/>
      <c r="NF43" s="35"/>
      <c r="NG43" s="35"/>
      <c r="NH43" s="35"/>
      <c r="NI43" s="35"/>
      <c r="NJ43" s="35"/>
      <c r="NK43" s="35"/>
      <c r="NL43" s="35"/>
      <c r="NM43" s="35"/>
      <c r="NN43" s="35"/>
      <c r="NO43" s="35"/>
      <c r="NP43" s="35"/>
      <c r="NQ43" s="35"/>
      <c r="NR43" s="35"/>
      <c r="NS43" s="35"/>
      <c r="NT43" s="35"/>
      <c r="NU43" s="35"/>
      <c r="NV43" s="35"/>
      <c r="NW43" s="35"/>
      <c r="NX43" s="35"/>
      <c r="NY43" s="35"/>
      <c r="NZ43" s="35"/>
      <c r="OA43" s="35"/>
      <c r="OB43" s="35"/>
      <c r="OC43" s="35"/>
      <c r="OD43" s="35"/>
      <c r="OE43" s="35"/>
      <c r="OF43" s="35"/>
      <c r="OG43" s="35"/>
      <c r="OH43" s="35"/>
      <c r="OI43" s="35"/>
      <c r="OJ43" s="35"/>
      <c r="OK43" s="35"/>
      <c r="OL43" s="35"/>
      <c r="OM43" s="35"/>
      <c r="ON43" s="35"/>
      <c r="OO43" s="35"/>
      <c r="OP43" s="35"/>
      <c r="OQ43" s="35"/>
      <c r="OR43" s="35"/>
      <c r="OS43" s="35"/>
      <c r="OT43" s="35"/>
      <c r="OU43" s="35"/>
      <c r="OV43" s="35"/>
    </row>
    <row r="44" ht="18.0" customHeight="1">
      <c r="A44" s="34">
        <v>43.0</v>
      </c>
      <c r="B44" s="35" t="s">
        <v>971</v>
      </c>
      <c r="C44" s="36" t="s">
        <v>1734</v>
      </c>
      <c r="D44" s="35" t="s">
        <v>1002</v>
      </c>
      <c r="E44" s="34">
        <v>30.0</v>
      </c>
      <c r="F44" s="34" t="str">
        <f t="shared" si="1"/>
        <v>#REF!</v>
      </c>
      <c r="G44" s="34">
        <f t="shared" si="2"/>
        <v>0</v>
      </c>
      <c r="H44" s="34">
        <f t="shared" si="3"/>
        <v>0</v>
      </c>
      <c r="I44" s="34">
        <f t="shared" si="4"/>
        <v>0</v>
      </c>
      <c r="J44" s="37" t="s">
        <v>625</v>
      </c>
      <c r="K44" s="37" t="b">
        <v>0</v>
      </c>
      <c r="L44" s="38" t="s">
        <v>71</v>
      </c>
      <c r="M44" s="35" t="str">
        <f>IFERROR(__xludf.DUMMYFUNCTION("IFERROR(TOROW(CHOOSECOLS(SORT(FILTER({'Tổng hợp 75 trang đích'!$J$2:$J$3260,'Tổng hợp 75 trang đích'!$I$2:$I$3260,MATCH('Tổng hợp 75 trang đích'!$K$2:$K$3260,{""PHÙ HỢP CAO"",""CÓ THỂ ĐI"",""CẦN SOÁT""},0)},'Tổng hợp 75 trang đích'!$B$2:$B$3260=$D44),3,TR"&amp;"UE),1,2)),"""")"),"")</f>
        <v/>
      </c>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c r="BM44" s="35"/>
      <c r="BN44" s="35"/>
      <c r="BO44" s="35"/>
      <c r="BP44" s="35"/>
      <c r="BQ44" s="35"/>
      <c r="BR44" s="35"/>
      <c r="BS44" s="35"/>
      <c r="BT44" s="35"/>
      <c r="BU44" s="35"/>
      <c r="BV44" s="35"/>
      <c r="BW44" s="35"/>
      <c r="BX44" s="35"/>
      <c r="BY44" s="35"/>
      <c r="BZ44" s="35"/>
      <c r="CA44" s="35"/>
      <c r="CB44" s="35"/>
      <c r="CC44" s="35"/>
      <c r="CD44" s="35"/>
      <c r="CE44" s="35"/>
      <c r="CF44" s="35"/>
      <c r="CG44" s="35"/>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c r="EA44" s="35"/>
      <c r="EB44" s="35"/>
      <c r="EC44" s="35"/>
      <c r="ED44" s="35"/>
      <c r="EE44" s="35"/>
      <c r="EF44" s="35"/>
      <c r="EG44" s="35"/>
      <c r="EH44" s="35"/>
      <c r="EI44" s="35"/>
      <c r="EJ44" s="35"/>
      <c r="EK44" s="35"/>
      <c r="EL44" s="35"/>
      <c r="EM44" s="35"/>
      <c r="EN44" s="35"/>
      <c r="EO44" s="35"/>
      <c r="EP44" s="35"/>
      <c r="EQ44" s="35"/>
      <c r="ER44" s="35"/>
      <c r="ES44" s="35"/>
      <c r="ET44" s="35"/>
      <c r="EU44" s="35"/>
      <c r="EV44" s="35"/>
      <c r="EW44" s="35"/>
      <c r="EX44" s="35"/>
      <c r="EY44" s="35"/>
      <c r="EZ44" s="35"/>
      <c r="FA44" s="35"/>
      <c r="FB44" s="35"/>
      <c r="FC44" s="35"/>
      <c r="FD44" s="35"/>
      <c r="FE44" s="35"/>
      <c r="FF44" s="35"/>
      <c r="FG44" s="35"/>
      <c r="FH44" s="35"/>
      <c r="FI44" s="35"/>
      <c r="FJ44" s="35"/>
      <c r="FK44" s="35"/>
      <c r="FL44" s="35"/>
      <c r="FM44" s="35"/>
      <c r="FN44" s="35"/>
      <c r="FO44" s="35"/>
      <c r="FP44" s="35"/>
      <c r="FQ44" s="35"/>
      <c r="FR44" s="35"/>
      <c r="FS44" s="35"/>
      <c r="FT44" s="35"/>
      <c r="FU44" s="35"/>
      <c r="FV44" s="35"/>
      <c r="FW44" s="35"/>
      <c r="FX44" s="35"/>
      <c r="FY44" s="35"/>
      <c r="FZ44" s="35"/>
      <c r="GA44" s="35"/>
      <c r="GB44" s="35"/>
      <c r="GC44" s="35"/>
      <c r="GD44" s="35"/>
      <c r="GE44" s="35"/>
      <c r="GF44" s="35"/>
      <c r="GG44" s="35"/>
      <c r="GH44" s="35"/>
      <c r="GI44" s="35"/>
      <c r="GJ44" s="35"/>
      <c r="GK44" s="35"/>
      <c r="GL44" s="35"/>
      <c r="GM44" s="35"/>
      <c r="GN44" s="35"/>
      <c r="GO44" s="35"/>
      <c r="GP44" s="35"/>
      <c r="GQ44" s="35"/>
      <c r="GR44" s="35"/>
      <c r="GS44" s="35"/>
      <c r="GT44" s="35"/>
      <c r="GU44" s="35"/>
      <c r="GV44" s="35"/>
      <c r="GW44" s="35"/>
      <c r="GX44" s="35"/>
      <c r="GY44" s="35"/>
      <c r="GZ44" s="35"/>
      <c r="HA44" s="35"/>
      <c r="HB44" s="35"/>
      <c r="HC44" s="35"/>
      <c r="HD44" s="35"/>
      <c r="HE44" s="35"/>
      <c r="HF44" s="35"/>
      <c r="HG44" s="35"/>
      <c r="HH44" s="35"/>
      <c r="HI44" s="35"/>
      <c r="HJ44" s="35"/>
      <c r="HK44" s="35"/>
      <c r="HL44" s="35"/>
      <c r="HM44" s="35"/>
      <c r="HN44" s="35"/>
      <c r="HO44" s="35"/>
      <c r="HP44" s="35"/>
      <c r="HQ44" s="35"/>
      <c r="HR44" s="35"/>
      <c r="HS44" s="35"/>
      <c r="HT44" s="35"/>
      <c r="HU44" s="35"/>
      <c r="HV44" s="35"/>
      <c r="HW44" s="35"/>
      <c r="HX44" s="35"/>
      <c r="HY44" s="35"/>
      <c r="HZ44" s="35"/>
      <c r="IA44" s="35"/>
      <c r="IB44" s="35"/>
      <c r="IC44" s="35"/>
      <c r="ID44" s="35"/>
      <c r="IE44" s="35"/>
      <c r="IF44" s="35"/>
      <c r="IG44" s="35"/>
      <c r="IH44" s="35"/>
      <c r="II44" s="35"/>
      <c r="IJ44" s="35"/>
      <c r="IK44" s="35"/>
      <c r="IL44" s="35"/>
      <c r="IM44" s="35"/>
      <c r="IN44" s="35"/>
      <c r="IO44" s="35"/>
      <c r="IP44" s="35"/>
      <c r="IQ44" s="35"/>
      <c r="IR44" s="35"/>
      <c r="IS44" s="35"/>
      <c r="IT44" s="35"/>
      <c r="IU44" s="35"/>
      <c r="IV44" s="35"/>
      <c r="IW44" s="35"/>
      <c r="IX44" s="35"/>
      <c r="IY44" s="35"/>
      <c r="IZ44" s="35"/>
      <c r="JA44" s="35"/>
      <c r="JB44" s="35"/>
      <c r="JC44" s="35"/>
      <c r="JD44" s="35"/>
      <c r="JE44" s="35"/>
      <c r="JF44" s="35"/>
      <c r="JG44" s="35"/>
      <c r="JH44" s="35"/>
      <c r="JI44" s="35"/>
      <c r="JJ44" s="35"/>
      <c r="JK44" s="35"/>
      <c r="JL44" s="35"/>
      <c r="JM44" s="35"/>
      <c r="JN44" s="35"/>
      <c r="JO44" s="35"/>
      <c r="JP44" s="35"/>
      <c r="JQ44" s="35"/>
      <c r="JR44" s="35"/>
      <c r="JS44" s="35"/>
      <c r="JT44" s="35"/>
      <c r="JU44" s="35"/>
      <c r="JV44" s="35"/>
      <c r="JW44" s="35"/>
      <c r="JX44" s="35"/>
      <c r="JY44" s="35"/>
      <c r="JZ44" s="35"/>
      <c r="KA44" s="35"/>
      <c r="KB44" s="35"/>
      <c r="KC44" s="35"/>
      <c r="KD44" s="35"/>
      <c r="KE44" s="35"/>
      <c r="KF44" s="35"/>
      <c r="KG44" s="35"/>
      <c r="KH44" s="35"/>
      <c r="KI44" s="35"/>
      <c r="KJ44" s="35"/>
      <c r="KK44" s="35"/>
      <c r="KL44" s="35"/>
      <c r="KM44" s="35"/>
      <c r="KN44" s="35"/>
      <c r="KO44" s="35"/>
      <c r="KP44" s="35"/>
      <c r="KQ44" s="35"/>
      <c r="KR44" s="35"/>
      <c r="KS44" s="35"/>
      <c r="KT44" s="35"/>
      <c r="KU44" s="35"/>
      <c r="KV44" s="35"/>
      <c r="KW44" s="35"/>
      <c r="KX44" s="35"/>
      <c r="KY44" s="35"/>
      <c r="KZ44" s="35"/>
      <c r="LA44" s="35"/>
      <c r="LB44" s="35"/>
      <c r="LC44" s="35"/>
      <c r="LD44" s="35"/>
      <c r="LE44" s="35"/>
      <c r="LF44" s="35"/>
      <c r="LG44" s="35"/>
      <c r="LH44" s="35"/>
      <c r="LI44" s="35"/>
      <c r="LJ44" s="35"/>
      <c r="LK44" s="35"/>
      <c r="LL44" s="35"/>
      <c r="LM44" s="35"/>
      <c r="LN44" s="35"/>
      <c r="LO44" s="35"/>
      <c r="LP44" s="35"/>
      <c r="LQ44" s="35"/>
      <c r="LR44" s="35"/>
      <c r="LS44" s="35"/>
      <c r="LT44" s="35"/>
      <c r="LU44" s="35"/>
      <c r="LV44" s="35"/>
      <c r="LW44" s="35"/>
      <c r="LX44" s="35"/>
      <c r="LY44" s="35"/>
      <c r="LZ44" s="35"/>
      <c r="MA44" s="35"/>
      <c r="MB44" s="35"/>
      <c r="MC44" s="35"/>
      <c r="MD44" s="35"/>
      <c r="ME44" s="35"/>
      <c r="MF44" s="35"/>
      <c r="MG44" s="35"/>
      <c r="MH44" s="35"/>
      <c r="MI44" s="35"/>
      <c r="MJ44" s="35"/>
      <c r="MK44" s="35"/>
      <c r="ML44" s="35"/>
      <c r="MM44" s="35"/>
      <c r="MN44" s="35"/>
      <c r="MO44" s="35"/>
      <c r="MP44" s="35"/>
      <c r="MQ44" s="35"/>
      <c r="MR44" s="35"/>
      <c r="MS44" s="35"/>
      <c r="MT44" s="35"/>
      <c r="MU44" s="35"/>
      <c r="MV44" s="35"/>
      <c r="MW44" s="35"/>
      <c r="MX44" s="35"/>
      <c r="MY44" s="35"/>
      <c r="MZ44" s="35"/>
      <c r="NA44" s="35"/>
      <c r="NB44" s="35"/>
      <c r="NC44" s="35"/>
      <c r="ND44" s="35"/>
      <c r="NE44" s="35"/>
      <c r="NF44" s="35"/>
      <c r="NG44" s="35"/>
      <c r="NH44" s="35"/>
      <c r="NI44" s="35"/>
      <c r="NJ44" s="35"/>
      <c r="NK44" s="35"/>
      <c r="NL44" s="35"/>
      <c r="NM44" s="35"/>
      <c r="NN44" s="35"/>
      <c r="NO44" s="35"/>
      <c r="NP44" s="35"/>
      <c r="NQ44" s="35"/>
      <c r="NR44" s="35"/>
      <c r="NS44" s="35"/>
      <c r="NT44" s="35"/>
      <c r="NU44" s="35"/>
      <c r="NV44" s="35"/>
      <c r="NW44" s="35"/>
      <c r="NX44" s="35"/>
      <c r="NY44" s="35"/>
      <c r="NZ44" s="35"/>
      <c r="OA44" s="35"/>
      <c r="OB44" s="35"/>
      <c r="OC44" s="35"/>
      <c r="OD44" s="35"/>
      <c r="OE44" s="35"/>
      <c r="OF44" s="35"/>
      <c r="OG44" s="35"/>
      <c r="OH44" s="35"/>
      <c r="OI44" s="35"/>
      <c r="OJ44" s="35"/>
      <c r="OK44" s="35"/>
      <c r="OL44" s="35"/>
      <c r="OM44" s="35"/>
      <c r="ON44" s="35"/>
      <c r="OO44" s="35"/>
      <c r="OP44" s="35"/>
      <c r="OQ44" s="35"/>
      <c r="OR44" s="35"/>
      <c r="OS44" s="35"/>
      <c r="OT44" s="35"/>
      <c r="OU44" s="35"/>
      <c r="OV44" s="35"/>
    </row>
    <row r="45" ht="18.0" customHeight="1">
      <c r="A45" s="34">
        <v>44.0</v>
      </c>
      <c r="B45" s="35" t="s">
        <v>971</v>
      </c>
      <c r="C45" s="36" t="s">
        <v>1764</v>
      </c>
      <c r="D45" s="35" t="s">
        <v>641</v>
      </c>
      <c r="E45" s="34">
        <v>30.0</v>
      </c>
      <c r="F45" s="34" t="str">
        <f t="shared" si="1"/>
        <v>#REF!</v>
      </c>
      <c r="G45" s="34">
        <f t="shared" si="2"/>
        <v>0</v>
      </c>
      <c r="H45" s="34">
        <f t="shared" si="3"/>
        <v>0</v>
      </c>
      <c r="I45" s="34">
        <f t="shared" si="4"/>
        <v>0</v>
      </c>
      <c r="J45" s="37" t="s">
        <v>625</v>
      </c>
      <c r="K45" s="37" t="b">
        <v>0</v>
      </c>
      <c r="L45" s="38" t="s">
        <v>71</v>
      </c>
      <c r="M45" s="35" t="str">
        <f>IFERROR(__xludf.DUMMYFUNCTION("IFERROR(TOROW(CHOOSECOLS(SORT(FILTER({'Tổng hợp 75 trang đích'!$J$2:$J$3260,'Tổng hợp 75 trang đích'!$I$2:$I$3260,MATCH('Tổng hợp 75 trang đích'!$K$2:$K$3260,{""PHÙ HỢP CAO"",""CÓ THỂ ĐI"",""CẦN SOÁT""},0)},'Tổng hợp 75 trang đích'!$B$2:$B$3260=$D45),3,TR"&amp;"UE),1,2)),"""")"),"")</f>
        <v/>
      </c>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c r="BM45" s="35"/>
      <c r="BN45" s="35"/>
      <c r="BO45" s="35"/>
      <c r="BP45" s="35"/>
      <c r="BQ45" s="35"/>
      <c r="BR45" s="35"/>
      <c r="BS45" s="35"/>
      <c r="BT45" s="35"/>
      <c r="BU45" s="35"/>
      <c r="BV45" s="35"/>
      <c r="BW45" s="35"/>
      <c r="BX45" s="35"/>
      <c r="BY45" s="35"/>
      <c r="BZ45" s="35"/>
      <c r="CA45" s="35"/>
      <c r="CB45" s="35"/>
      <c r="CC45" s="35"/>
      <c r="CD45" s="35"/>
      <c r="CE45" s="35"/>
      <c r="CF45" s="35"/>
      <c r="CG45" s="35"/>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c r="EA45" s="35"/>
      <c r="EB45" s="35"/>
      <c r="EC45" s="35"/>
      <c r="ED45" s="35"/>
      <c r="EE45" s="35"/>
      <c r="EF45" s="35"/>
      <c r="EG45" s="35"/>
      <c r="EH45" s="35"/>
      <c r="EI45" s="35"/>
      <c r="EJ45" s="35"/>
      <c r="EK45" s="35"/>
      <c r="EL45" s="35"/>
      <c r="EM45" s="35"/>
      <c r="EN45" s="35"/>
      <c r="EO45" s="35"/>
      <c r="EP45" s="35"/>
      <c r="EQ45" s="35"/>
      <c r="ER45" s="35"/>
      <c r="ES45" s="35"/>
      <c r="ET45" s="35"/>
      <c r="EU45" s="35"/>
      <c r="EV45" s="35"/>
      <c r="EW45" s="35"/>
      <c r="EX45" s="35"/>
      <c r="EY45" s="35"/>
      <c r="EZ45" s="35"/>
      <c r="FA45" s="35"/>
      <c r="FB45" s="35"/>
      <c r="FC45" s="35"/>
      <c r="FD45" s="35"/>
      <c r="FE45" s="35"/>
      <c r="FF45" s="35"/>
      <c r="FG45" s="35"/>
      <c r="FH45" s="35"/>
      <c r="FI45" s="35"/>
      <c r="FJ45" s="35"/>
      <c r="FK45" s="35"/>
      <c r="FL45" s="35"/>
      <c r="FM45" s="35"/>
      <c r="FN45" s="35"/>
      <c r="FO45" s="35"/>
      <c r="FP45" s="35"/>
      <c r="FQ45" s="35"/>
      <c r="FR45" s="35"/>
      <c r="FS45" s="35"/>
      <c r="FT45" s="35"/>
      <c r="FU45" s="35"/>
      <c r="FV45" s="35"/>
      <c r="FW45" s="35"/>
      <c r="FX45" s="35"/>
      <c r="FY45" s="35"/>
      <c r="FZ45" s="35"/>
      <c r="GA45" s="35"/>
      <c r="GB45" s="35"/>
      <c r="GC45" s="35"/>
      <c r="GD45" s="35"/>
      <c r="GE45" s="35"/>
      <c r="GF45" s="35"/>
      <c r="GG45" s="35"/>
      <c r="GH45" s="35"/>
      <c r="GI45" s="35"/>
      <c r="GJ45" s="35"/>
      <c r="GK45" s="35"/>
      <c r="GL45" s="35"/>
      <c r="GM45" s="35"/>
      <c r="GN45" s="35"/>
      <c r="GO45" s="35"/>
      <c r="GP45" s="35"/>
      <c r="GQ45" s="35"/>
      <c r="GR45" s="35"/>
      <c r="GS45" s="35"/>
      <c r="GT45" s="35"/>
      <c r="GU45" s="35"/>
      <c r="GV45" s="35"/>
      <c r="GW45" s="35"/>
      <c r="GX45" s="35"/>
      <c r="GY45" s="35"/>
      <c r="GZ45" s="35"/>
      <c r="HA45" s="35"/>
      <c r="HB45" s="35"/>
      <c r="HC45" s="35"/>
      <c r="HD45" s="35"/>
      <c r="HE45" s="35"/>
      <c r="HF45" s="35"/>
      <c r="HG45" s="35"/>
      <c r="HH45" s="35"/>
      <c r="HI45" s="35"/>
      <c r="HJ45" s="35"/>
      <c r="HK45" s="35"/>
      <c r="HL45" s="35"/>
      <c r="HM45" s="35"/>
      <c r="HN45" s="35"/>
      <c r="HO45" s="35"/>
      <c r="HP45" s="35"/>
      <c r="HQ45" s="35"/>
      <c r="HR45" s="35"/>
      <c r="HS45" s="35"/>
      <c r="HT45" s="35"/>
      <c r="HU45" s="35"/>
      <c r="HV45" s="35"/>
      <c r="HW45" s="35"/>
      <c r="HX45" s="35"/>
      <c r="HY45" s="35"/>
      <c r="HZ45" s="35"/>
      <c r="IA45" s="35"/>
      <c r="IB45" s="35"/>
      <c r="IC45" s="35"/>
      <c r="ID45" s="35"/>
      <c r="IE45" s="35"/>
      <c r="IF45" s="35"/>
      <c r="IG45" s="35"/>
      <c r="IH45" s="35"/>
      <c r="II45" s="35"/>
      <c r="IJ45" s="35"/>
      <c r="IK45" s="35"/>
      <c r="IL45" s="35"/>
      <c r="IM45" s="35"/>
      <c r="IN45" s="35"/>
      <c r="IO45" s="35"/>
      <c r="IP45" s="35"/>
      <c r="IQ45" s="35"/>
      <c r="IR45" s="35"/>
      <c r="IS45" s="35"/>
      <c r="IT45" s="35"/>
      <c r="IU45" s="35"/>
      <c r="IV45" s="35"/>
      <c r="IW45" s="35"/>
      <c r="IX45" s="35"/>
      <c r="IY45" s="35"/>
      <c r="IZ45" s="35"/>
      <c r="JA45" s="35"/>
      <c r="JB45" s="35"/>
      <c r="JC45" s="35"/>
      <c r="JD45" s="35"/>
      <c r="JE45" s="35"/>
      <c r="JF45" s="35"/>
      <c r="JG45" s="35"/>
      <c r="JH45" s="35"/>
      <c r="JI45" s="35"/>
      <c r="JJ45" s="35"/>
      <c r="JK45" s="35"/>
      <c r="JL45" s="35"/>
      <c r="JM45" s="35"/>
      <c r="JN45" s="35"/>
      <c r="JO45" s="35"/>
      <c r="JP45" s="35"/>
      <c r="JQ45" s="35"/>
      <c r="JR45" s="35"/>
      <c r="JS45" s="35"/>
      <c r="JT45" s="35"/>
      <c r="JU45" s="35"/>
      <c r="JV45" s="35"/>
      <c r="JW45" s="35"/>
      <c r="JX45" s="35"/>
      <c r="JY45" s="35"/>
      <c r="JZ45" s="35"/>
      <c r="KA45" s="35"/>
      <c r="KB45" s="35"/>
      <c r="KC45" s="35"/>
      <c r="KD45" s="35"/>
      <c r="KE45" s="35"/>
      <c r="KF45" s="35"/>
      <c r="KG45" s="35"/>
      <c r="KH45" s="35"/>
      <c r="KI45" s="35"/>
      <c r="KJ45" s="35"/>
      <c r="KK45" s="35"/>
      <c r="KL45" s="35"/>
      <c r="KM45" s="35"/>
      <c r="KN45" s="35"/>
      <c r="KO45" s="35"/>
      <c r="KP45" s="35"/>
      <c r="KQ45" s="35"/>
      <c r="KR45" s="35"/>
      <c r="KS45" s="35"/>
      <c r="KT45" s="35"/>
      <c r="KU45" s="35"/>
      <c r="KV45" s="35"/>
      <c r="KW45" s="35"/>
      <c r="KX45" s="35"/>
      <c r="KY45" s="35"/>
      <c r="KZ45" s="35"/>
      <c r="LA45" s="35"/>
      <c r="LB45" s="35"/>
      <c r="LC45" s="35"/>
      <c r="LD45" s="35"/>
      <c r="LE45" s="35"/>
      <c r="LF45" s="35"/>
      <c r="LG45" s="35"/>
      <c r="LH45" s="35"/>
      <c r="LI45" s="35"/>
      <c r="LJ45" s="35"/>
      <c r="LK45" s="35"/>
      <c r="LL45" s="35"/>
      <c r="LM45" s="35"/>
      <c r="LN45" s="35"/>
      <c r="LO45" s="35"/>
      <c r="LP45" s="35"/>
      <c r="LQ45" s="35"/>
      <c r="LR45" s="35"/>
      <c r="LS45" s="35"/>
      <c r="LT45" s="35"/>
      <c r="LU45" s="35"/>
      <c r="LV45" s="35"/>
      <c r="LW45" s="35"/>
      <c r="LX45" s="35"/>
      <c r="LY45" s="35"/>
      <c r="LZ45" s="35"/>
      <c r="MA45" s="35"/>
      <c r="MB45" s="35"/>
      <c r="MC45" s="35"/>
      <c r="MD45" s="35"/>
      <c r="ME45" s="35"/>
      <c r="MF45" s="35"/>
      <c r="MG45" s="35"/>
      <c r="MH45" s="35"/>
      <c r="MI45" s="35"/>
      <c r="MJ45" s="35"/>
      <c r="MK45" s="35"/>
      <c r="ML45" s="35"/>
      <c r="MM45" s="35"/>
      <c r="MN45" s="35"/>
      <c r="MO45" s="35"/>
      <c r="MP45" s="35"/>
      <c r="MQ45" s="35"/>
      <c r="MR45" s="35"/>
      <c r="MS45" s="35"/>
      <c r="MT45" s="35"/>
      <c r="MU45" s="35"/>
      <c r="MV45" s="35"/>
      <c r="MW45" s="35"/>
      <c r="MX45" s="35"/>
      <c r="MY45" s="35"/>
      <c r="MZ45" s="35"/>
      <c r="NA45" s="35"/>
      <c r="NB45" s="35"/>
      <c r="NC45" s="35"/>
      <c r="ND45" s="35"/>
      <c r="NE45" s="35"/>
      <c r="NF45" s="35"/>
      <c r="NG45" s="35"/>
      <c r="NH45" s="35"/>
      <c r="NI45" s="35"/>
      <c r="NJ45" s="35"/>
      <c r="NK45" s="35"/>
      <c r="NL45" s="35"/>
      <c r="NM45" s="35"/>
      <c r="NN45" s="35"/>
      <c r="NO45" s="35"/>
      <c r="NP45" s="35"/>
      <c r="NQ45" s="35"/>
      <c r="NR45" s="35"/>
      <c r="NS45" s="35"/>
      <c r="NT45" s="35"/>
      <c r="NU45" s="35"/>
      <c r="NV45" s="35"/>
      <c r="NW45" s="35"/>
      <c r="NX45" s="35"/>
      <c r="NY45" s="35"/>
      <c r="NZ45" s="35"/>
      <c r="OA45" s="35"/>
      <c r="OB45" s="35"/>
      <c r="OC45" s="35"/>
      <c r="OD45" s="35"/>
      <c r="OE45" s="35"/>
      <c r="OF45" s="35"/>
      <c r="OG45" s="35"/>
      <c r="OH45" s="35"/>
      <c r="OI45" s="35"/>
      <c r="OJ45" s="35"/>
      <c r="OK45" s="35"/>
      <c r="OL45" s="35"/>
      <c r="OM45" s="35"/>
      <c r="ON45" s="35"/>
      <c r="OO45" s="35"/>
      <c r="OP45" s="35"/>
      <c r="OQ45" s="35"/>
      <c r="OR45" s="35"/>
      <c r="OS45" s="35"/>
      <c r="OT45" s="35"/>
      <c r="OU45" s="35"/>
      <c r="OV45" s="35"/>
    </row>
    <row r="46" ht="18.0" customHeight="1">
      <c r="A46" s="34">
        <v>45.0</v>
      </c>
      <c r="B46" s="35" t="s">
        <v>971</v>
      </c>
      <c r="C46" s="36" t="s">
        <v>1797</v>
      </c>
      <c r="D46" s="35" t="s">
        <v>1020</v>
      </c>
      <c r="E46" s="34">
        <v>30.0</v>
      </c>
      <c r="F46" s="34" t="str">
        <f t="shared" si="1"/>
        <v>#REF!</v>
      </c>
      <c r="G46" s="34">
        <f t="shared" si="2"/>
        <v>0</v>
      </c>
      <c r="H46" s="34">
        <f t="shared" si="3"/>
        <v>0</v>
      </c>
      <c r="I46" s="34">
        <f t="shared" si="4"/>
        <v>0</v>
      </c>
      <c r="J46" s="37" t="s">
        <v>625</v>
      </c>
      <c r="K46" s="37" t="b">
        <v>0</v>
      </c>
      <c r="L46" s="38" t="s">
        <v>71</v>
      </c>
      <c r="M46" s="35" t="str">
        <f>IFERROR(__xludf.DUMMYFUNCTION("IFERROR(TOROW(CHOOSECOLS(SORT(FILTER({'Tổng hợp 75 trang đích'!$J$2:$J$3260,'Tổng hợp 75 trang đích'!$I$2:$I$3260,MATCH('Tổng hợp 75 trang đích'!$K$2:$K$3260,{""PHÙ HỢP CAO"",""CÓ THỂ ĐI"",""CẦN SOÁT""},0)},'Tổng hợp 75 trang đích'!$B$2:$B$3260=$D46),3,TR"&amp;"UE),1,2)),"""")"),"")</f>
        <v/>
      </c>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c r="BM46" s="35"/>
      <c r="BN46" s="35"/>
      <c r="BO46" s="35"/>
      <c r="BP46" s="35"/>
      <c r="BQ46" s="35"/>
      <c r="BR46" s="35"/>
      <c r="BS46" s="35"/>
      <c r="BT46" s="35"/>
      <c r="BU46" s="35"/>
      <c r="BV46" s="35"/>
      <c r="BW46" s="35"/>
      <c r="BX46" s="35"/>
      <c r="BY46" s="35"/>
      <c r="BZ46" s="35"/>
      <c r="CA46" s="35"/>
      <c r="CB46" s="35"/>
      <c r="CC46" s="35"/>
      <c r="CD46" s="35"/>
      <c r="CE46" s="35"/>
      <c r="CF46" s="35"/>
      <c r="CG46" s="35"/>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c r="EA46" s="35"/>
      <c r="EB46" s="35"/>
      <c r="EC46" s="35"/>
      <c r="ED46" s="35"/>
      <c r="EE46" s="35"/>
      <c r="EF46" s="35"/>
      <c r="EG46" s="35"/>
      <c r="EH46" s="35"/>
      <c r="EI46" s="35"/>
      <c r="EJ46" s="35"/>
      <c r="EK46" s="35"/>
      <c r="EL46" s="35"/>
      <c r="EM46" s="35"/>
      <c r="EN46" s="35"/>
      <c r="EO46" s="35"/>
      <c r="EP46" s="35"/>
      <c r="EQ46" s="35"/>
      <c r="ER46" s="35"/>
      <c r="ES46" s="35"/>
      <c r="ET46" s="35"/>
      <c r="EU46" s="35"/>
      <c r="EV46" s="35"/>
      <c r="EW46" s="35"/>
      <c r="EX46" s="35"/>
      <c r="EY46" s="35"/>
      <c r="EZ46" s="35"/>
      <c r="FA46" s="35"/>
      <c r="FB46" s="35"/>
      <c r="FC46" s="35"/>
      <c r="FD46" s="35"/>
      <c r="FE46" s="35"/>
      <c r="FF46" s="35"/>
      <c r="FG46" s="35"/>
      <c r="FH46" s="35"/>
      <c r="FI46" s="35"/>
      <c r="FJ46" s="35"/>
      <c r="FK46" s="35"/>
      <c r="FL46" s="35"/>
      <c r="FM46" s="35"/>
      <c r="FN46" s="35"/>
      <c r="FO46" s="35"/>
      <c r="FP46" s="35"/>
      <c r="FQ46" s="35"/>
      <c r="FR46" s="35"/>
      <c r="FS46" s="35"/>
      <c r="FT46" s="35"/>
      <c r="FU46" s="35"/>
      <c r="FV46" s="35"/>
      <c r="FW46" s="35"/>
      <c r="FX46" s="35"/>
      <c r="FY46" s="35"/>
      <c r="FZ46" s="35"/>
      <c r="GA46" s="35"/>
      <c r="GB46" s="35"/>
      <c r="GC46" s="35"/>
      <c r="GD46" s="35"/>
      <c r="GE46" s="35"/>
      <c r="GF46" s="35"/>
      <c r="GG46" s="35"/>
      <c r="GH46" s="35"/>
      <c r="GI46" s="35"/>
      <c r="GJ46" s="35"/>
      <c r="GK46" s="35"/>
      <c r="GL46" s="35"/>
      <c r="GM46" s="35"/>
      <c r="GN46" s="35"/>
      <c r="GO46" s="35"/>
      <c r="GP46" s="35"/>
      <c r="GQ46" s="35"/>
      <c r="GR46" s="35"/>
      <c r="GS46" s="35"/>
      <c r="GT46" s="35"/>
      <c r="GU46" s="35"/>
      <c r="GV46" s="35"/>
      <c r="GW46" s="35"/>
      <c r="GX46" s="35"/>
      <c r="GY46" s="35"/>
      <c r="GZ46" s="35"/>
      <c r="HA46" s="35"/>
      <c r="HB46" s="35"/>
      <c r="HC46" s="35"/>
      <c r="HD46" s="35"/>
      <c r="HE46" s="35"/>
      <c r="HF46" s="35"/>
      <c r="HG46" s="35"/>
      <c r="HH46" s="35"/>
      <c r="HI46" s="35"/>
      <c r="HJ46" s="35"/>
      <c r="HK46" s="35"/>
      <c r="HL46" s="35"/>
      <c r="HM46" s="35"/>
      <c r="HN46" s="35"/>
      <c r="HO46" s="35"/>
      <c r="HP46" s="35"/>
      <c r="HQ46" s="35"/>
      <c r="HR46" s="35"/>
      <c r="HS46" s="35"/>
      <c r="HT46" s="35"/>
      <c r="HU46" s="35"/>
      <c r="HV46" s="35"/>
      <c r="HW46" s="35"/>
      <c r="HX46" s="35"/>
      <c r="HY46" s="35"/>
      <c r="HZ46" s="35"/>
      <c r="IA46" s="35"/>
      <c r="IB46" s="35"/>
      <c r="IC46" s="35"/>
      <c r="ID46" s="35"/>
      <c r="IE46" s="35"/>
      <c r="IF46" s="35"/>
      <c r="IG46" s="35"/>
      <c r="IH46" s="35"/>
      <c r="II46" s="35"/>
      <c r="IJ46" s="35"/>
      <c r="IK46" s="35"/>
      <c r="IL46" s="35"/>
      <c r="IM46" s="35"/>
      <c r="IN46" s="35"/>
      <c r="IO46" s="35"/>
      <c r="IP46" s="35"/>
      <c r="IQ46" s="35"/>
      <c r="IR46" s="35"/>
      <c r="IS46" s="35"/>
      <c r="IT46" s="35"/>
      <c r="IU46" s="35"/>
      <c r="IV46" s="35"/>
      <c r="IW46" s="35"/>
      <c r="IX46" s="35"/>
      <c r="IY46" s="35"/>
      <c r="IZ46" s="35"/>
      <c r="JA46" s="35"/>
      <c r="JB46" s="35"/>
      <c r="JC46" s="35"/>
      <c r="JD46" s="35"/>
      <c r="JE46" s="35"/>
      <c r="JF46" s="35"/>
      <c r="JG46" s="35"/>
      <c r="JH46" s="35"/>
      <c r="JI46" s="35"/>
      <c r="JJ46" s="35"/>
      <c r="JK46" s="35"/>
      <c r="JL46" s="35"/>
      <c r="JM46" s="35"/>
      <c r="JN46" s="35"/>
      <c r="JO46" s="35"/>
      <c r="JP46" s="35"/>
      <c r="JQ46" s="35"/>
      <c r="JR46" s="35"/>
      <c r="JS46" s="35"/>
      <c r="JT46" s="35"/>
      <c r="JU46" s="35"/>
      <c r="JV46" s="35"/>
      <c r="JW46" s="35"/>
      <c r="JX46" s="35"/>
      <c r="JY46" s="35"/>
      <c r="JZ46" s="35"/>
      <c r="KA46" s="35"/>
      <c r="KB46" s="35"/>
      <c r="KC46" s="35"/>
      <c r="KD46" s="35"/>
      <c r="KE46" s="35"/>
      <c r="KF46" s="35"/>
      <c r="KG46" s="35"/>
      <c r="KH46" s="35"/>
      <c r="KI46" s="35"/>
      <c r="KJ46" s="35"/>
      <c r="KK46" s="35"/>
      <c r="KL46" s="35"/>
      <c r="KM46" s="35"/>
      <c r="KN46" s="35"/>
      <c r="KO46" s="35"/>
      <c r="KP46" s="35"/>
      <c r="KQ46" s="35"/>
      <c r="KR46" s="35"/>
      <c r="KS46" s="35"/>
      <c r="KT46" s="35"/>
      <c r="KU46" s="35"/>
      <c r="KV46" s="35"/>
      <c r="KW46" s="35"/>
      <c r="KX46" s="35"/>
      <c r="KY46" s="35"/>
      <c r="KZ46" s="35"/>
      <c r="LA46" s="35"/>
      <c r="LB46" s="35"/>
      <c r="LC46" s="35"/>
      <c r="LD46" s="35"/>
      <c r="LE46" s="35"/>
      <c r="LF46" s="35"/>
      <c r="LG46" s="35"/>
      <c r="LH46" s="35"/>
      <c r="LI46" s="35"/>
      <c r="LJ46" s="35"/>
      <c r="LK46" s="35"/>
      <c r="LL46" s="35"/>
      <c r="LM46" s="35"/>
      <c r="LN46" s="35"/>
      <c r="LO46" s="35"/>
      <c r="LP46" s="35"/>
      <c r="LQ46" s="35"/>
      <c r="LR46" s="35"/>
      <c r="LS46" s="35"/>
      <c r="LT46" s="35"/>
      <c r="LU46" s="35"/>
      <c r="LV46" s="35"/>
      <c r="LW46" s="35"/>
      <c r="LX46" s="35"/>
      <c r="LY46" s="35"/>
      <c r="LZ46" s="35"/>
      <c r="MA46" s="35"/>
      <c r="MB46" s="35"/>
      <c r="MC46" s="35"/>
      <c r="MD46" s="35"/>
      <c r="ME46" s="35"/>
      <c r="MF46" s="35"/>
      <c r="MG46" s="35"/>
      <c r="MH46" s="35"/>
      <c r="MI46" s="35"/>
      <c r="MJ46" s="35"/>
      <c r="MK46" s="35"/>
      <c r="ML46" s="35"/>
      <c r="MM46" s="35"/>
      <c r="MN46" s="35"/>
      <c r="MO46" s="35"/>
      <c r="MP46" s="35"/>
      <c r="MQ46" s="35"/>
      <c r="MR46" s="35"/>
      <c r="MS46" s="35"/>
      <c r="MT46" s="35"/>
      <c r="MU46" s="35"/>
      <c r="MV46" s="35"/>
      <c r="MW46" s="35"/>
      <c r="MX46" s="35"/>
      <c r="MY46" s="35"/>
      <c r="MZ46" s="35"/>
      <c r="NA46" s="35"/>
      <c r="NB46" s="35"/>
      <c r="NC46" s="35"/>
      <c r="ND46" s="35"/>
      <c r="NE46" s="35"/>
      <c r="NF46" s="35"/>
      <c r="NG46" s="35"/>
      <c r="NH46" s="35"/>
      <c r="NI46" s="35"/>
      <c r="NJ46" s="35"/>
      <c r="NK46" s="35"/>
      <c r="NL46" s="35"/>
      <c r="NM46" s="35"/>
      <c r="NN46" s="35"/>
      <c r="NO46" s="35"/>
      <c r="NP46" s="35"/>
      <c r="NQ46" s="35"/>
      <c r="NR46" s="35"/>
      <c r="NS46" s="35"/>
      <c r="NT46" s="35"/>
      <c r="NU46" s="35"/>
      <c r="NV46" s="35"/>
      <c r="NW46" s="35"/>
      <c r="NX46" s="35"/>
      <c r="NY46" s="35"/>
      <c r="NZ46" s="35"/>
      <c r="OA46" s="35"/>
      <c r="OB46" s="35"/>
      <c r="OC46" s="35"/>
      <c r="OD46" s="35"/>
      <c r="OE46" s="35"/>
      <c r="OF46" s="35"/>
      <c r="OG46" s="35"/>
      <c r="OH46" s="35"/>
      <c r="OI46" s="35"/>
      <c r="OJ46" s="35"/>
      <c r="OK46" s="35"/>
      <c r="OL46" s="35"/>
      <c r="OM46" s="35"/>
      <c r="ON46" s="35"/>
      <c r="OO46" s="35"/>
      <c r="OP46" s="35"/>
      <c r="OQ46" s="35"/>
      <c r="OR46" s="35"/>
      <c r="OS46" s="35"/>
      <c r="OT46" s="35"/>
      <c r="OU46" s="35"/>
      <c r="OV46" s="35"/>
    </row>
    <row r="47" ht="18.0" customHeight="1">
      <c r="A47" s="34">
        <v>46.0</v>
      </c>
      <c r="B47" s="35" t="s">
        <v>971</v>
      </c>
      <c r="C47" s="36" t="s">
        <v>1822</v>
      </c>
      <c r="D47" s="35" t="s">
        <v>757</v>
      </c>
      <c r="E47" s="34">
        <v>30.0</v>
      </c>
      <c r="F47" s="34" t="str">
        <f t="shared" si="1"/>
        <v>#REF!</v>
      </c>
      <c r="G47" s="34">
        <f t="shared" si="2"/>
        <v>0</v>
      </c>
      <c r="H47" s="34">
        <f t="shared" si="3"/>
        <v>0</v>
      </c>
      <c r="I47" s="34">
        <f t="shared" si="4"/>
        <v>0</v>
      </c>
      <c r="J47" s="37" t="s">
        <v>625</v>
      </c>
      <c r="K47" s="37" t="b">
        <v>0</v>
      </c>
      <c r="L47" s="38" t="s">
        <v>71</v>
      </c>
      <c r="M47" s="35" t="str">
        <f>IFERROR(__xludf.DUMMYFUNCTION("IFERROR(TOROW(CHOOSECOLS(SORT(FILTER({'Tổng hợp 75 trang đích'!$J$2:$J$3260,'Tổng hợp 75 trang đích'!$I$2:$I$3260,MATCH('Tổng hợp 75 trang đích'!$K$2:$K$3260,{""PHÙ HỢP CAO"",""CÓ THỂ ĐI"",""CẦN SOÁT""},0)},'Tổng hợp 75 trang đích'!$B$2:$B$3260=$D47),3,TR"&amp;"UE),1,2)),"""")"),"")</f>
        <v/>
      </c>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c r="BM47" s="35"/>
      <c r="BN47" s="35"/>
      <c r="BO47" s="35"/>
      <c r="BP47" s="35"/>
      <c r="BQ47" s="35"/>
      <c r="BR47" s="35"/>
      <c r="BS47" s="35"/>
      <c r="BT47" s="35"/>
      <c r="BU47" s="35"/>
      <c r="BV47" s="35"/>
      <c r="BW47" s="35"/>
      <c r="BX47" s="35"/>
      <c r="BY47" s="35"/>
      <c r="BZ47" s="35"/>
      <c r="CA47" s="35"/>
      <c r="CB47" s="35"/>
      <c r="CC47" s="35"/>
      <c r="CD47" s="35"/>
      <c r="CE47" s="35"/>
      <c r="CF47" s="35"/>
      <c r="CG47" s="35"/>
      <c r="CH47" s="35"/>
      <c r="CI47" s="35"/>
      <c r="CJ47" s="35"/>
      <c r="CK47" s="35"/>
      <c r="CL47" s="35"/>
      <c r="CM47" s="35"/>
      <c r="CN47" s="35"/>
      <c r="CO47" s="35"/>
      <c r="CP47" s="35"/>
      <c r="CQ47" s="35"/>
      <c r="CR47" s="35"/>
      <c r="CS47" s="35"/>
      <c r="CT47" s="35"/>
      <c r="CU47" s="35"/>
      <c r="CV47" s="35"/>
      <c r="CW47" s="35"/>
      <c r="CX47" s="35"/>
      <c r="CY47" s="35"/>
      <c r="CZ47" s="35"/>
      <c r="DA47" s="35"/>
      <c r="DB47" s="35"/>
      <c r="DC47" s="35"/>
      <c r="DD47" s="35"/>
      <c r="DE47" s="35"/>
      <c r="DF47" s="35"/>
      <c r="DG47" s="35"/>
      <c r="DH47" s="35"/>
      <c r="DI47" s="35"/>
      <c r="DJ47" s="35"/>
      <c r="DK47" s="35"/>
      <c r="DL47" s="35"/>
      <c r="DM47" s="35"/>
      <c r="DN47" s="35"/>
      <c r="DO47" s="35"/>
      <c r="DP47" s="35"/>
      <c r="DQ47" s="35"/>
      <c r="DR47" s="35"/>
      <c r="DS47" s="35"/>
      <c r="DT47" s="35"/>
      <c r="DU47" s="35"/>
      <c r="DV47" s="35"/>
      <c r="DW47" s="35"/>
      <c r="DX47" s="35"/>
      <c r="DY47" s="35"/>
      <c r="DZ47" s="35"/>
      <c r="EA47" s="35"/>
      <c r="EB47" s="35"/>
      <c r="EC47" s="35"/>
      <c r="ED47" s="35"/>
      <c r="EE47" s="35"/>
      <c r="EF47" s="35"/>
      <c r="EG47" s="35"/>
      <c r="EH47" s="35"/>
      <c r="EI47" s="35"/>
      <c r="EJ47" s="35"/>
      <c r="EK47" s="35"/>
      <c r="EL47" s="35"/>
      <c r="EM47" s="35"/>
      <c r="EN47" s="35"/>
      <c r="EO47" s="35"/>
      <c r="EP47" s="35"/>
      <c r="EQ47" s="35"/>
      <c r="ER47" s="35"/>
      <c r="ES47" s="35"/>
      <c r="ET47" s="35"/>
      <c r="EU47" s="35"/>
      <c r="EV47" s="35"/>
      <c r="EW47" s="35"/>
      <c r="EX47" s="35"/>
      <c r="EY47" s="35"/>
      <c r="EZ47" s="35"/>
      <c r="FA47" s="35"/>
      <c r="FB47" s="35"/>
      <c r="FC47" s="35"/>
      <c r="FD47" s="35"/>
      <c r="FE47" s="35"/>
      <c r="FF47" s="35"/>
      <c r="FG47" s="35"/>
      <c r="FH47" s="35"/>
      <c r="FI47" s="35"/>
      <c r="FJ47" s="35"/>
      <c r="FK47" s="35"/>
      <c r="FL47" s="35"/>
      <c r="FM47" s="35"/>
      <c r="FN47" s="35"/>
      <c r="FO47" s="35"/>
      <c r="FP47" s="35"/>
      <c r="FQ47" s="35"/>
      <c r="FR47" s="35"/>
      <c r="FS47" s="35"/>
      <c r="FT47" s="35"/>
      <c r="FU47" s="35"/>
      <c r="FV47" s="35"/>
      <c r="FW47" s="35"/>
      <c r="FX47" s="35"/>
      <c r="FY47" s="35"/>
      <c r="FZ47" s="35"/>
      <c r="GA47" s="35"/>
      <c r="GB47" s="35"/>
      <c r="GC47" s="35"/>
      <c r="GD47" s="35"/>
      <c r="GE47" s="35"/>
      <c r="GF47" s="35"/>
      <c r="GG47" s="35"/>
      <c r="GH47" s="35"/>
      <c r="GI47" s="35"/>
      <c r="GJ47" s="35"/>
      <c r="GK47" s="35"/>
      <c r="GL47" s="35"/>
      <c r="GM47" s="35"/>
      <c r="GN47" s="35"/>
      <c r="GO47" s="35"/>
      <c r="GP47" s="35"/>
      <c r="GQ47" s="35"/>
      <c r="GR47" s="35"/>
      <c r="GS47" s="35"/>
      <c r="GT47" s="35"/>
      <c r="GU47" s="35"/>
      <c r="GV47" s="35"/>
      <c r="GW47" s="35"/>
      <c r="GX47" s="35"/>
      <c r="GY47" s="35"/>
      <c r="GZ47" s="35"/>
      <c r="HA47" s="35"/>
      <c r="HB47" s="35"/>
      <c r="HC47" s="35"/>
      <c r="HD47" s="35"/>
      <c r="HE47" s="35"/>
      <c r="HF47" s="35"/>
      <c r="HG47" s="35"/>
      <c r="HH47" s="35"/>
      <c r="HI47" s="35"/>
      <c r="HJ47" s="35"/>
      <c r="HK47" s="35"/>
      <c r="HL47" s="35"/>
      <c r="HM47" s="35"/>
      <c r="HN47" s="35"/>
      <c r="HO47" s="35"/>
      <c r="HP47" s="35"/>
      <c r="HQ47" s="35"/>
      <c r="HR47" s="35"/>
      <c r="HS47" s="35"/>
      <c r="HT47" s="35"/>
      <c r="HU47" s="35"/>
      <c r="HV47" s="35"/>
      <c r="HW47" s="35"/>
      <c r="HX47" s="35"/>
      <c r="HY47" s="35"/>
      <c r="HZ47" s="35"/>
      <c r="IA47" s="35"/>
      <c r="IB47" s="35"/>
      <c r="IC47" s="35"/>
      <c r="ID47" s="35"/>
      <c r="IE47" s="35"/>
      <c r="IF47" s="35"/>
      <c r="IG47" s="35"/>
      <c r="IH47" s="35"/>
      <c r="II47" s="35"/>
      <c r="IJ47" s="35"/>
      <c r="IK47" s="35"/>
      <c r="IL47" s="35"/>
      <c r="IM47" s="35"/>
      <c r="IN47" s="35"/>
      <c r="IO47" s="35"/>
      <c r="IP47" s="35"/>
      <c r="IQ47" s="35"/>
      <c r="IR47" s="35"/>
      <c r="IS47" s="35"/>
      <c r="IT47" s="35"/>
      <c r="IU47" s="35"/>
      <c r="IV47" s="35"/>
      <c r="IW47" s="35"/>
      <c r="IX47" s="35"/>
      <c r="IY47" s="35"/>
      <c r="IZ47" s="35"/>
      <c r="JA47" s="35"/>
      <c r="JB47" s="35"/>
      <c r="JC47" s="35"/>
      <c r="JD47" s="35"/>
      <c r="JE47" s="35"/>
      <c r="JF47" s="35"/>
      <c r="JG47" s="35"/>
      <c r="JH47" s="35"/>
      <c r="JI47" s="35"/>
      <c r="JJ47" s="35"/>
      <c r="JK47" s="35"/>
      <c r="JL47" s="35"/>
      <c r="JM47" s="35"/>
      <c r="JN47" s="35"/>
      <c r="JO47" s="35"/>
      <c r="JP47" s="35"/>
      <c r="JQ47" s="35"/>
      <c r="JR47" s="35"/>
      <c r="JS47" s="35"/>
      <c r="JT47" s="35"/>
      <c r="JU47" s="35"/>
      <c r="JV47" s="35"/>
      <c r="JW47" s="35"/>
      <c r="JX47" s="35"/>
      <c r="JY47" s="35"/>
      <c r="JZ47" s="35"/>
      <c r="KA47" s="35"/>
      <c r="KB47" s="35"/>
      <c r="KC47" s="35"/>
      <c r="KD47" s="35"/>
      <c r="KE47" s="35"/>
      <c r="KF47" s="35"/>
      <c r="KG47" s="35"/>
      <c r="KH47" s="35"/>
      <c r="KI47" s="35"/>
      <c r="KJ47" s="35"/>
      <c r="KK47" s="35"/>
      <c r="KL47" s="35"/>
      <c r="KM47" s="35"/>
      <c r="KN47" s="35"/>
      <c r="KO47" s="35"/>
      <c r="KP47" s="35"/>
      <c r="KQ47" s="35"/>
      <c r="KR47" s="35"/>
      <c r="KS47" s="35"/>
      <c r="KT47" s="35"/>
      <c r="KU47" s="35"/>
      <c r="KV47" s="35"/>
      <c r="KW47" s="35"/>
      <c r="KX47" s="35"/>
      <c r="KY47" s="35"/>
      <c r="KZ47" s="35"/>
      <c r="LA47" s="35"/>
      <c r="LB47" s="35"/>
      <c r="LC47" s="35"/>
      <c r="LD47" s="35"/>
      <c r="LE47" s="35"/>
      <c r="LF47" s="35"/>
      <c r="LG47" s="35"/>
      <c r="LH47" s="35"/>
      <c r="LI47" s="35"/>
      <c r="LJ47" s="35"/>
      <c r="LK47" s="35"/>
      <c r="LL47" s="35"/>
      <c r="LM47" s="35"/>
      <c r="LN47" s="35"/>
      <c r="LO47" s="35"/>
      <c r="LP47" s="35"/>
      <c r="LQ47" s="35"/>
      <c r="LR47" s="35"/>
      <c r="LS47" s="35"/>
      <c r="LT47" s="35"/>
      <c r="LU47" s="35"/>
      <c r="LV47" s="35"/>
      <c r="LW47" s="35"/>
      <c r="LX47" s="35"/>
      <c r="LY47" s="35"/>
      <c r="LZ47" s="35"/>
      <c r="MA47" s="35"/>
      <c r="MB47" s="35"/>
      <c r="MC47" s="35"/>
      <c r="MD47" s="35"/>
      <c r="ME47" s="35"/>
      <c r="MF47" s="35"/>
      <c r="MG47" s="35"/>
      <c r="MH47" s="35"/>
      <c r="MI47" s="35"/>
      <c r="MJ47" s="35"/>
      <c r="MK47" s="35"/>
      <c r="ML47" s="35"/>
      <c r="MM47" s="35"/>
      <c r="MN47" s="35"/>
      <c r="MO47" s="35"/>
      <c r="MP47" s="35"/>
      <c r="MQ47" s="35"/>
      <c r="MR47" s="35"/>
      <c r="MS47" s="35"/>
      <c r="MT47" s="35"/>
      <c r="MU47" s="35"/>
      <c r="MV47" s="35"/>
      <c r="MW47" s="35"/>
      <c r="MX47" s="35"/>
      <c r="MY47" s="35"/>
      <c r="MZ47" s="35"/>
      <c r="NA47" s="35"/>
      <c r="NB47" s="35"/>
      <c r="NC47" s="35"/>
      <c r="ND47" s="35"/>
      <c r="NE47" s="35"/>
      <c r="NF47" s="35"/>
      <c r="NG47" s="35"/>
      <c r="NH47" s="35"/>
      <c r="NI47" s="35"/>
      <c r="NJ47" s="35"/>
      <c r="NK47" s="35"/>
      <c r="NL47" s="35"/>
      <c r="NM47" s="35"/>
      <c r="NN47" s="35"/>
      <c r="NO47" s="35"/>
      <c r="NP47" s="35"/>
      <c r="NQ47" s="35"/>
      <c r="NR47" s="35"/>
      <c r="NS47" s="35"/>
      <c r="NT47" s="35"/>
      <c r="NU47" s="35"/>
      <c r="NV47" s="35"/>
      <c r="NW47" s="35"/>
      <c r="NX47" s="35"/>
      <c r="NY47" s="35"/>
      <c r="NZ47" s="35"/>
      <c r="OA47" s="35"/>
      <c r="OB47" s="35"/>
      <c r="OC47" s="35"/>
      <c r="OD47" s="35"/>
      <c r="OE47" s="35"/>
      <c r="OF47" s="35"/>
      <c r="OG47" s="35"/>
      <c r="OH47" s="35"/>
      <c r="OI47" s="35"/>
      <c r="OJ47" s="35"/>
      <c r="OK47" s="35"/>
      <c r="OL47" s="35"/>
      <c r="OM47" s="35"/>
      <c r="ON47" s="35"/>
      <c r="OO47" s="35"/>
      <c r="OP47" s="35"/>
      <c r="OQ47" s="35"/>
      <c r="OR47" s="35"/>
      <c r="OS47" s="35"/>
      <c r="OT47" s="35"/>
      <c r="OU47" s="35"/>
      <c r="OV47" s="35"/>
    </row>
    <row r="48" ht="18.0" customHeight="1">
      <c r="A48" s="34">
        <v>47.0</v>
      </c>
      <c r="B48" s="35" t="s">
        <v>971</v>
      </c>
      <c r="C48" s="36" t="s">
        <v>1861</v>
      </c>
      <c r="D48" s="35" t="s">
        <v>908</v>
      </c>
      <c r="E48" s="34">
        <v>30.0</v>
      </c>
      <c r="F48" s="34" t="str">
        <f t="shared" si="1"/>
        <v>#REF!</v>
      </c>
      <c r="G48" s="34">
        <f t="shared" si="2"/>
        <v>0</v>
      </c>
      <c r="H48" s="34">
        <f t="shared" si="3"/>
        <v>0</v>
      </c>
      <c r="I48" s="34">
        <f t="shared" si="4"/>
        <v>0</v>
      </c>
      <c r="J48" s="37" t="s">
        <v>625</v>
      </c>
      <c r="K48" s="37" t="b">
        <v>0</v>
      </c>
      <c r="L48" s="38" t="s">
        <v>71</v>
      </c>
      <c r="M48" s="35" t="str">
        <f>IFERROR(__xludf.DUMMYFUNCTION("IFERROR(TOROW(CHOOSECOLS(SORT(FILTER({'Tổng hợp 75 trang đích'!$J$2:$J$3260,'Tổng hợp 75 trang đích'!$I$2:$I$3260,MATCH('Tổng hợp 75 trang đích'!$K$2:$K$3260,{""PHÙ HỢP CAO"",""CÓ THỂ ĐI"",""CẦN SOÁT""},0)},'Tổng hợp 75 trang đích'!$B$2:$B$3260=$D48),3,TR"&amp;"UE),1,2)),"""")"),"")</f>
        <v/>
      </c>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c r="BM48" s="35"/>
      <c r="BN48" s="35"/>
      <c r="BO48" s="35"/>
      <c r="BP48" s="35"/>
      <c r="BQ48" s="35"/>
      <c r="BR48" s="35"/>
      <c r="BS48" s="35"/>
      <c r="BT48" s="35"/>
      <c r="BU48" s="35"/>
      <c r="BV48" s="35"/>
      <c r="BW48" s="35"/>
      <c r="BX48" s="35"/>
      <c r="BY48" s="35"/>
      <c r="BZ48" s="35"/>
      <c r="CA48" s="35"/>
      <c r="CB48" s="35"/>
      <c r="CC48" s="35"/>
      <c r="CD48" s="35"/>
      <c r="CE48" s="35"/>
      <c r="CF48" s="35"/>
      <c r="CG48" s="35"/>
      <c r="CH48" s="35"/>
      <c r="CI48" s="35"/>
      <c r="CJ48" s="35"/>
      <c r="CK48" s="35"/>
      <c r="CL48" s="35"/>
      <c r="CM48" s="35"/>
      <c r="CN48" s="35"/>
      <c r="CO48" s="35"/>
      <c r="CP48" s="35"/>
      <c r="CQ48" s="35"/>
      <c r="CR48" s="35"/>
      <c r="CS48" s="35"/>
      <c r="CT48" s="35"/>
      <c r="CU48" s="35"/>
      <c r="CV48" s="35"/>
      <c r="CW48" s="35"/>
      <c r="CX48" s="35"/>
      <c r="CY48" s="35"/>
      <c r="CZ48" s="35"/>
      <c r="DA48" s="35"/>
      <c r="DB48" s="35"/>
      <c r="DC48" s="35"/>
      <c r="DD48" s="35"/>
      <c r="DE48" s="35"/>
      <c r="DF48" s="35"/>
      <c r="DG48" s="35"/>
      <c r="DH48" s="35"/>
      <c r="DI48" s="35"/>
      <c r="DJ48" s="35"/>
      <c r="DK48" s="35"/>
      <c r="DL48" s="35"/>
      <c r="DM48" s="35"/>
      <c r="DN48" s="35"/>
      <c r="DO48" s="35"/>
      <c r="DP48" s="35"/>
      <c r="DQ48" s="35"/>
      <c r="DR48" s="35"/>
      <c r="DS48" s="35"/>
      <c r="DT48" s="35"/>
      <c r="DU48" s="35"/>
      <c r="DV48" s="35"/>
      <c r="DW48" s="35"/>
      <c r="DX48" s="35"/>
      <c r="DY48" s="35"/>
      <c r="DZ48" s="35"/>
      <c r="EA48" s="35"/>
      <c r="EB48" s="35"/>
      <c r="EC48" s="35"/>
      <c r="ED48" s="35"/>
      <c r="EE48" s="35"/>
      <c r="EF48" s="35"/>
      <c r="EG48" s="35"/>
      <c r="EH48" s="35"/>
      <c r="EI48" s="35"/>
      <c r="EJ48" s="35"/>
      <c r="EK48" s="35"/>
      <c r="EL48" s="35"/>
      <c r="EM48" s="35"/>
      <c r="EN48" s="35"/>
      <c r="EO48" s="35"/>
      <c r="EP48" s="35"/>
      <c r="EQ48" s="35"/>
      <c r="ER48" s="35"/>
      <c r="ES48" s="35"/>
      <c r="ET48" s="35"/>
      <c r="EU48" s="35"/>
      <c r="EV48" s="35"/>
      <c r="EW48" s="35"/>
      <c r="EX48" s="35"/>
      <c r="EY48" s="35"/>
      <c r="EZ48" s="35"/>
      <c r="FA48" s="35"/>
      <c r="FB48" s="35"/>
      <c r="FC48" s="35"/>
      <c r="FD48" s="35"/>
      <c r="FE48" s="35"/>
      <c r="FF48" s="35"/>
      <c r="FG48" s="35"/>
      <c r="FH48" s="35"/>
      <c r="FI48" s="35"/>
      <c r="FJ48" s="35"/>
      <c r="FK48" s="35"/>
      <c r="FL48" s="35"/>
      <c r="FM48" s="35"/>
      <c r="FN48" s="35"/>
      <c r="FO48" s="35"/>
      <c r="FP48" s="35"/>
      <c r="FQ48" s="35"/>
      <c r="FR48" s="35"/>
      <c r="FS48" s="35"/>
      <c r="FT48" s="35"/>
      <c r="FU48" s="35"/>
      <c r="FV48" s="35"/>
      <c r="FW48" s="35"/>
      <c r="FX48" s="35"/>
      <c r="FY48" s="35"/>
      <c r="FZ48" s="35"/>
      <c r="GA48" s="35"/>
      <c r="GB48" s="35"/>
      <c r="GC48" s="35"/>
      <c r="GD48" s="35"/>
      <c r="GE48" s="35"/>
      <c r="GF48" s="35"/>
      <c r="GG48" s="35"/>
      <c r="GH48" s="35"/>
      <c r="GI48" s="35"/>
      <c r="GJ48" s="35"/>
      <c r="GK48" s="35"/>
      <c r="GL48" s="35"/>
      <c r="GM48" s="35"/>
      <c r="GN48" s="35"/>
      <c r="GO48" s="35"/>
      <c r="GP48" s="35"/>
      <c r="GQ48" s="35"/>
      <c r="GR48" s="35"/>
      <c r="GS48" s="35"/>
      <c r="GT48" s="35"/>
      <c r="GU48" s="35"/>
      <c r="GV48" s="35"/>
      <c r="GW48" s="35"/>
      <c r="GX48" s="35"/>
      <c r="GY48" s="35"/>
      <c r="GZ48" s="35"/>
      <c r="HA48" s="35"/>
      <c r="HB48" s="35"/>
      <c r="HC48" s="35"/>
      <c r="HD48" s="35"/>
      <c r="HE48" s="35"/>
      <c r="HF48" s="35"/>
      <c r="HG48" s="35"/>
      <c r="HH48" s="35"/>
      <c r="HI48" s="35"/>
      <c r="HJ48" s="35"/>
      <c r="HK48" s="35"/>
      <c r="HL48" s="35"/>
      <c r="HM48" s="35"/>
      <c r="HN48" s="35"/>
      <c r="HO48" s="35"/>
      <c r="HP48" s="35"/>
      <c r="HQ48" s="35"/>
      <c r="HR48" s="35"/>
      <c r="HS48" s="35"/>
      <c r="HT48" s="35"/>
      <c r="HU48" s="35"/>
      <c r="HV48" s="35"/>
      <c r="HW48" s="35"/>
      <c r="HX48" s="35"/>
      <c r="HY48" s="35"/>
      <c r="HZ48" s="35"/>
      <c r="IA48" s="35"/>
      <c r="IB48" s="35"/>
      <c r="IC48" s="35"/>
      <c r="ID48" s="35"/>
      <c r="IE48" s="35"/>
      <c r="IF48" s="35"/>
      <c r="IG48" s="35"/>
      <c r="IH48" s="35"/>
      <c r="II48" s="35"/>
      <c r="IJ48" s="35"/>
      <c r="IK48" s="35"/>
      <c r="IL48" s="35"/>
      <c r="IM48" s="35"/>
      <c r="IN48" s="35"/>
      <c r="IO48" s="35"/>
      <c r="IP48" s="35"/>
      <c r="IQ48" s="35"/>
      <c r="IR48" s="35"/>
      <c r="IS48" s="35"/>
      <c r="IT48" s="35"/>
      <c r="IU48" s="35"/>
      <c r="IV48" s="35"/>
      <c r="IW48" s="35"/>
      <c r="IX48" s="35"/>
      <c r="IY48" s="35"/>
      <c r="IZ48" s="35"/>
      <c r="JA48" s="35"/>
      <c r="JB48" s="35"/>
      <c r="JC48" s="35"/>
      <c r="JD48" s="35"/>
      <c r="JE48" s="35"/>
      <c r="JF48" s="35"/>
      <c r="JG48" s="35"/>
      <c r="JH48" s="35"/>
      <c r="JI48" s="35"/>
      <c r="JJ48" s="35"/>
      <c r="JK48" s="35"/>
      <c r="JL48" s="35"/>
      <c r="JM48" s="35"/>
      <c r="JN48" s="35"/>
      <c r="JO48" s="35"/>
      <c r="JP48" s="35"/>
      <c r="JQ48" s="35"/>
      <c r="JR48" s="35"/>
      <c r="JS48" s="35"/>
      <c r="JT48" s="35"/>
      <c r="JU48" s="35"/>
      <c r="JV48" s="35"/>
      <c r="JW48" s="35"/>
      <c r="JX48" s="35"/>
      <c r="JY48" s="35"/>
      <c r="JZ48" s="35"/>
      <c r="KA48" s="35"/>
      <c r="KB48" s="35"/>
      <c r="KC48" s="35"/>
      <c r="KD48" s="35"/>
      <c r="KE48" s="35"/>
      <c r="KF48" s="35"/>
      <c r="KG48" s="35"/>
      <c r="KH48" s="35"/>
      <c r="KI48" s="35"/>
      <c r="KJ48" s="35"/>
      <c r="KK48" s="35"/>
      <c r="KL48" s="35"/>
      <c r="KM48" s="35"/>
      <c r="KN48" s="35"/>
      <c r="KO48" s="35"/>
      <c r="KP48" s="35"/>
      <c r="KQ48" s="35"/>
      <c r="KR48" s="35"/>
      <c r="KS48" s="35"/>
      <c r="KT48" s="35"/>
      <c r="KU48" s="35"/>
      <c r="KV48" s="35"/>
      <c r="KW48" s="35"/>
      <c r="KX48" s="35"/>
      <c r="KY48" s="35"/>
      <c r="KZ48" s="35"/>
      <c r="LA48" s="35"/>
      <c r="LB48" s="35"/>
      <c r="LC48" s="35"/>
      <c r="LD48" s="35"/>
      <c r="LE48" s="35"/>
      <c r="LF48" s="35"/>
      <c r="LG48" s="35"/>
      <c r="LH48" s="35"/>
      <c r="LI48" s="35"/>
      <c r="LJ48" s="35"/>
      <c r="LK48" s="35"/>
      <c r="LL48" s="35"/>
      <c r="LM48" s="35"/>
      <c r="LN48" s="35"/>
      <c r="LO48" s="35"/>
      <c r="LP48" s="35"/>
      <c r="LQ48" s="35"/>
      <c r="LR48" s="35"/>
      <c r="LS48" s="35"/>
      <c r="LT48" s="35"/>
      <c r="LU48" s="35"/>
      <c r="LV48" s="35"/>
      <c r="LW48" s="35"/>
      <c r="LX48" s="35"/>
      <c r="LY48" s="35"/>
      <c r="LZ48" s="35"/>
      <c r="MA48" s="35"/>
      <c r="MB48" s="35"/>
      <c r="MC48" s="35"/>
      <c r="MD48" s="35"/>
      <c r="ME48" s="35"/>
      <c r="MF48" s="35"/>
      <c r="MG48" s="35"/>
      <c r="MH48" s="35"/>
      <c r="MI48" s="35"/>
      <c r="MJ48" s="35"/>
      <c r="MK48" s="35"/>
      <c r="ML48" s="35"/>
      <c r="MM48" s="35"/>
      <c r="MN48" s="35"/>
      <c r="MO48" s="35"/>
      <c r="MP48" s="35"/>
      <c r="MQ48" s="35"/>
      <c r="MR48" s="35"/>
      <c r="MS48" s="35"/>
      <c r="MT48" s="35"/>
      <c r="MU48" s="35"/>
      <c r="MV48" s="35"/>
      <c r="MW48" s="35"/>
      <c r="MX48" s="35"/>
      <c r="MY48" s="35"/>
      <c r="MZ48" s="35"/>
      <c r="NA48" s="35"/>
      <c r="NB48" s="35"/>
      <c r="NC48" s="35"/>
      <c r="ND48" s="35"/>
      <c r="NE48" s="35"/>
      <c r="NF48" s="35"/>
      <c r="NG48" s="35"/>
      <c r="NH48" s="35"/>
      <c r="NI48" s="35"/>
      <c r="NJ48" s="35"/>
      <c r="NK48" s="35"/>
      <c r="NL48" s="35"/>
      <c r="NM48" s="35"/>
      <c r="NN48" s="35"/>
      <c r="NO48" s="35"/>
      <c r="NP48" s="35"/>
      <c r="NQ48" s="35"/>
      <c r="NR48" s="35"/>
      <c r="NS48" s="35"/>
      <c r="NT48" s="35"/>
      <c r="NU48" s="35"/>
      <c r="NV48" s="35"/>
      <c r="NW48" s="35"/>
      <c r="NX48" s="35"/>
      <c r="NY48" s="35"/>
      <c r="NZ48" s="35"/>
      <c r="OA48" s="35"/>
      <c r="OB48" s="35"/>
      <c r="OC48" s="35"/>
      <c r="OD48" s="35"/>
      <c r="OE48" s="35"/>
      <c r="OF48" s="35"/>
      <c r="OG48" s="35"/>
      <c r="OH48" s="35"/>
      <c r="OI48" s="35"/>
      <c r="OJ48" s="35"/>
      <c r="OK48" s="35"/>
      <c r="OL48" s="35"/>
      <c r="OM48" s="35"/>
      <c r="ON48" s="35"/>
      <c r="OO48" s="35"/>
      <c r="OP48" s="35"/>
      <c r="OQ48" s="35"/>
      <c r="OR48" s="35"/>
      <c r="OS48" s="35"/>
      <c r="OT48" s="35"/>
      <c r="OU48" s="35"/>
      <c r="OV48" s="35"/>
    </row>
    <row r="49" ht="18.0" customHeight="1">
      <c r="A49" s="34">
        <v>48.0</v>
      </c>
      <c r="B49" s="35" t="s">
        <v>971</v>
      </c>
      <c r="C49" s="36" t="s">
        <v>1874</v>
      </c>
      <c r="D49" s="35" t="s">
        <v>1038</v>
      </c>
      <c r="E49" s="34">
        <v>30.0</v>
      </c>
      <c r="F49" s="34" t="str">
        <f t="shared" si="1"/>
        <v>#REF!</v>
      </c>
      <c r="G49" s="34">
        <f t="shared" si="2"/>
        <v>0</v>
      </c>
      <c r="H49" s="34">
        <f t="shared" si="3"/>
        <v>0</v>
      </c>
      <c r="I49" s="34">
        <f t="shared" si="4"/>
        <v>0</v>
      </c>
      <c r="J49" s="37" t="s">
        <v>625</v>
      </c>
      <c r="K49" s="37" t="b">
        <v>0</v>
      </c>
      <c r="L49" s="38" t="s">
        <v>71</v>
      </c>
      <c r="M49" s="35" t="str">
        <f>IFERROR(__xludf.DUMMYFUNCTION("IFERROR(TOROW(CHOOSECOLS(SORT(FILTER({'Tổng hợp 75 trang đích'!$J$2:$J$3260,'Tổng hợp 75 trang đích'!$I$2:$I$3260,MATCH('Tổng hợp 75 trang đích'!$K$2:$K$3260,{""PHÙ HỢP CAO"",""CÓ THỂ ĐI"",""CẦN SOÁT""},0)},'Tổng hợp 75 trang đích'!$B$2:$B$3260=$D49),3,TR"&amp;"UE),1,2)),"""")"),"")</f>
        <v/>
      </c>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c r="BM49" s="35"/>
      <c r="BN49" s="35"/>
      <c r="BO49" s="35"/>
      <c r="BP49" s="35"/>
      <c r="BQ49" s="35"/>
      <c r="BR49" s="35"/>
      <c r="BS49" s="35"/>
      <c r="BT49" s="35"/>
      <c r="BU49" s="35"/>
      <c r="BV49" s="35"/>
      <c r="BW49" s="35"/>
      <c r="BX49" s="35"/>
      <c r="BY49" s="35"/>
      <c r="BZ49" s="35"/>
      <c r="CA49" s="35"/>
      <c r="CB49" s="35"/>
      <c r="CC49" s="35"/>
      <c r="CD49" s="35"/>
      <c r="CE49" s="35"/>
      <c r="CF49" s="35"/>
      <c r="CG49" s="35"/>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c r="EA49" s="35"/>
      <c r="EB49" s="35"/>
      <c r="EC49" s="35"/>
      <c r="ED49" s="35"/>
      <c r="EE49" s="35"/>
      <c r="EF49" s="35"/>
      <c r="EG49" s="35"/>
      <c r="EH49" s="35"/>
      <c r="EI49" s="35"/>
      <c r="EJ49" s="35"/>
      <c r="EK49" s="35"/>
      <c r="EL49" s="35"/>
      <c r="EM49" s="35"/>
      <c r="EN49" s="35"/>
      <c r="EO49" s="35"/>
      <c r="EP49" s="35"/>
      <c r="EQ49" s="35"/>
      <c r="ER49" s="35"/>
      <c r="ES49" s="35"/>
      <c r="ET49" s="35"/>
      <c r="EU49" s="35"/>
      <c r="EV49" s="35"/>
      <c r="EW49" s="35"/>
      <c r="EX49" s="35"/>
      <c r="EY49" s="35"/>
      <c r="EZ49" s="35"/>
      <c r="FA49" s="35"/>
      <c r="FB49" s="35"/>
      <c r="FC49" s="35"/>
      <c r="FD49" s="35"/>
      <c r="FE49" s="35"/>
      <c r="FF49" s="35"/>
      <c r="FG49" s="35"/>
      <c r="FH49" s="35"/>
      <c r="FI49" s="35"/>
      <c r="FJ49" s="35"/>
      <c r="FK49" s="35"/>
      <c r="FL49" s="35"/>
      <c r="FM49" s="35"/>
      <c r="FN49" s="35"/>
      <c r="FO49" s="35"/>
      <c r="FP49" s="35"/>
      <c r="FQ49" s="35"/>
      <c r="FR49" s="35"/>
      <c r="FS49" s="35"/>
      <c r="FT49" s="35"/>
      <c r="FU49" s="35"/>
      <c r="FV49" s="35"/>
      <c r="FW49" s="35"/>
      <c r="FX49" s="35"/>
      <c r="FY49" s="35"/>
      <c r="FZ49" s="35"/>
      <c r="GA49" s="35"/>
      <c r="GB49" s="35"/>
      <c r="GC49" s="35"/>
      <c r="GD49" s="35"/>
      <c r="GE49" s="35"/>
      <c r="GF49" s="35"/>
      <c r="GG49" s="35"/>
      <c r="GH49" s="35"/>
      <c r="GI49" s="35"/>
      <c r="GJ49" s="35"/>
      <c r="GK49" s="35"/>
      <c r="GL49" s="35"/>
      <c r="GM49" s="35"/>
      <c r="GN49" s="35"/>
      <c r="GO49" s="35"/>
      <c r="GP49" s="35"/>
      <c r="GQ49" s="35"/>
      <c r="GR49" s="35"/>
      <c r="GS49" s="35"/>
      <c r="GT49" s="35"/>
      <c r="GU49" s="35"/>
      <c r="GV49" s="35"/>
      <c r="GW49" s="35"/>
      <c r="GX49" s="35"/>
      <c r="GY49" s="35"/>
      <c r="GZ49" s="35"/>
      <c r="HA49" s="35"/>
      <c r="HB49" s="35"/>
      <c r="HC49" s="35"/>
      <c r="HD49" s="35"/>
      <c r="HE49" s="35"/>
      <c r="HF49" s="35"/>
      <c r="HG49" s="35"/>
      <c r="HH49" s="35"/>
      <c r="HI49" s="35"/>
      <c r="HJ49" s="35"/>
      <c r="HK49" s="35"/>
      <c r="HL49" s="35"/>
      <c r="HM49" s="35"/>
      <c r="HN49" s="35"/>
      <c r="HO49" s="35"/>
      <c r="HP49" s="35"/>
      <c r="HQ49" s="35"/>
      <c r="HR49" s="35"/>
      <c r="HS49" s="35"/>
      <c r="HT49" s="35"/>
      <c r="HU49" s="35"/>
      <c r="HV49" s="35"/>
      <c r="HW49" s="35"/>
      <c r="HX49" s="35"/>
      <c r="HY49" s="35"/>
      <c r="HZ49" s="35"/>
      <c r="IA49" s="35"/>
      <c r="IB49" s="35"/>
      <c r="IC49" s="35"/>
      <c r="ID49" s="35"/>
      <c r="IE49" s="35"/>
      <c r="IF49" s="35"/>
      <c r="IG49" s="35"/>
      <c r="IH49" s="35"/>
      <c r="II49" s="35"/>
      <c r="IJ49" s="35"/>
      <c r="IK49" s="35"/>
      <c r="IL49" s="35"/>
      <c r="IM49" s="35"/>
      <c r="IN49" s="35"/>
      <c r="IO49" s="35"/>
      <c r="IP49" s="35"/>
      <c r="IQ49" s="35"/>
      <c r="IR49" s="35"/>
      <c r="IS49" s="35"/>
      <c r="IT49" s="35"/>
      <c r="IU49" s="35"/>
      <c r="IV49" s="35"/>
      <c r="IW49" s="35"/>
      <c r="IX49" s="35"/>
      <c r="IY49" s="35"/>
      <c r="IZ49" s="35"/>
      <c r="JA49" s="35"/>
      <c r="JB49" s="35"/>
      <c r="JC49" s="35"/>
      <c r="JD49" s="35"/>
      <c r="JE49" s="35"/>
      <c r="JF49" s="35"/>
      <c r="JG49" s="35"/>
      <c r="JH49" s="35"/>
      <c r="JI49" s="35"/>
      <c r="JJ49" s="35"/>
      <c r="JK49" s="35"/>
      <c r="JL49" s="35"/>
      <c r="JM49" s="35"/>
      <c r="JN49" s="35"/>
      <c r="JO49" s="35"/>
      <c r="JP49" s="35"/>
      <c r="JQ49" s="35"/>
      <c r="JR49" s="35"/>
      <c r="JS49" s="35"/>
      <c r="JT49" s="35"/>
      <c r="JU49" s="35"/>
      <c r="JV49" s="35"/>
      <c r="JW49" s="35"/>
      <c r="JX49" s="35"/>
      <c r="JY49" s="35"/>
      <c r="JZ49" s="35"/>
      <c r="KA49" s="35"/>
      <c r="KB49" s="35"/>
      <c r="KC49" s="35"/>
      <c r="KD49" s="35"/>
      <c r="KE49" s="35"/>
      <c r="KF49" s="35"/>
      <c r="KG49" s="35"/>
      <c r="KH49" s="35"/>
      <c r="KI49" s="35"/>
      <c r="KJ49" s="35"/>
      <c r="KK49" s="35"/>
      <c r="KL49" s="35"/>
      <c r="KM49" s="35"/>
      <c r="KN49" s="35"/>
      <c r="KO49" s="35"/>
      <c r="KP49" s="35"/>
      <c r="KQ49" s="35"/>
      <c r="KR49" s="35"/>
      <c r="KS49" s="35"/>
      <c r="KT49" s="35"/>
      <c r="KU49" s="35"/>
      <c r="KV49" s="35"/>
      <c r="KW49" s="35"/>
      <c r="KX49" s="35"/>
      <c r="KY49" s="35"/>
      <c r="KZ49" s="35"/>
      <c r="LA49" s="35"/>
      <c r="LB49" s="35"/>
      <c r="LC49" s="35"/>
      <c r="LD49" s="35"/>
      <c r="LE49" s="35"/>
      <c r="LF49" s="35"/>
      <c r="LG49" s="35"/>
      <c r="LH49" s="35"/>
      <c r="LI49" s="35"/>
      <c r="LJ49" s="35"/>
      <c r="LK49" s="35"/>
      <c r="LL49" s="35"/>
      <c r="LM49" s="35"/>
      <c r="LN49" s="35"/>
      <c r="LO49" s="35"/>
      <c r="LP49" s="35"/>
      <c r="LQ49" s="35"/>
      <c r="LR49" s="35"/>
      <c r="LS49" s="35"/>
      <c r="LT49" s="35"/>
      <c r="LU49" s="35"/>
      <c r="LV49" s="35"/>
      <c r="LW49" s="35"/>
      <c r="LX49" s="35"/>
      <c r="LY49" s="35"/>
      <c r="LZ49" s="35"/>
      <c r="MA49" s="35"/>
      <c r="MB49" s="35"/>
      <c r="MC49" s="35"/>
      <c r="MD49" s="35"/>
      <c r="ME49" s="35"/>
      <c r="MF49" s="35"/>
      <c r="MG49" s="35"/>
      <c r="MH49" s="35"/>
      <c r="MI49" s="35"/>
      <c r="MJ49" s="35"/>
      <c r="MK49" s="35"/>
      <c r="ML49" s="35"/>
      <c r="MM49" s="35"/>
      <c r="MN49" s="35"/>
      <c r="MO49" s="35"/>
      <c r="MP49" s="35"/>
      <c r="MQ49" s="35"/>
      <c r="MR49" s="35"/>
      <c r="MS49" s="35"/>
      <c r="MT49" s="35"/>
      <c r="MU49" s="35"/>
      <c r="MV49" s="35"/>
      <c r="MW49" s="35"/>
      <c r="MX49" s="35"/>
      <c r="MY49" s="35"/>
      <c r="MZ49" s="35"/>
      <c r="NA49" s="35"/>
      <c r="NB49" s="35"/>
      <c r="NC49" s="35"/>
      <c r="ND49" s="35"/>
      <c r="NE49" s="35"/>
      <c r="NF49" s="35"/>
      <c r="NG49" s="35"/>
      <c r="NH49" s="35"/>
      <c r="NI49" s="35"/>
      <c r="NJ49" s="35"/>
      <c r="NK49" s="35"/>
      <c r="NL49" s="35"/>
      <c r="NM49" s="35"/>
      <c r="NN49" s="35"/>
      <c r="NO49" s="35"/>
      <c r="NP49" s="35"/>
      <c r="NQ49" s="35"/>
      <c r="NR49" s="35"/>
      <c r="NS49" s="35"/>
      <c r="NT49" s="35"/>
      <c r="NU49" s="35"/>
      <c r="NV49" s="35"/>
      <c r="NW49" s="35"/>
      <c r="NX49" s="35"/>
      <c r="NY49" s="35"/>
      <c r="NZ49" s="35"/>
      <c r="OA49" s="35"/>
      <c r="OB49" s="35"/>
      <c r="OC49" s="35"/>
      <c r="OD49" s="35"/>
      <c r="OE49" s="35"/>
      <c r="OF49" s="35"/>
      <c r="OG49" s="35"/>
      <c r="OH49" s="35"/>
      <c r="OI49" s="35"/>
      <c r="OJ49" s="35"/>
      <c r="OK49" s="35"/>
      <c r="OL49" s="35"/>
      <c r="OM49" s="35"/>
      <c r="ON49" s="35"/>
      <c r="OO49" s="35"/>
      <c r="OP49" s="35"/>
      <c r="OQ49" s="35"/>
      <c r="OR49" s="35"/>
      <c r="OS49" s="35"/>
      <c r="OT49" s="35"/>
      <c r="OU49" s="35"/>
      <c r="OV49" s="35"/>
    </row>
    <row r="50" ht="18.0" customHeight="1">
      <c r="A50" s="34">
        <v>49.0</v>
      </c>
      <c r="B50" s="35" t="s">
        <v>971</v>
      </c>
      <c r="C50" s="36" t="s">
        <v>1904</v>
      </c>
      <c r="D50" s="35" t="s">
        <v>1047</v>
      </c>
      <c r="E50" s="34">
        <v>30.0</v>
      </c>
      <c r="F50" s="34" t="str">
        <f t="shared" si="1"/>
        <v>#REF!</v>
      </c>
      <c r="G50" s="34">
        <f t="shared" si="2"/>
        <v>0</v>
      </c>
      <c r="H50" s="34">
        <f t="shared" si="3"/>
        <v>0</v>
      </c>
      <c r="I50" s="34">
        <f t="shared" si="4"/>
        <v>0</v>
      </c>
      <c r="J50" s="37" t="s">
        <v>625</v>
      </c>
      <c r="K50" s="37" t="b">
        <v>0</v>
      </c>
      <c r="L50" s="38" t="s">
        <v>71</v>
      </c>
      <c r="M50" s="35" t="str">
        <f>IFERROR(__xludf.DUMMYFUNCTION("IFERROR(TOROW(CHOOSECOLS(SORT(FILTER({'Tổng hợp 75 trang đích'!$J$2:$J$3260,'Tổng hợp 75 trang đích'!$I$2:$I$3260,MATCH('Tổng hợp 75 trang đích'!$K$2:$K$3260,{""PHÙ HỢP CAO"",""CÓ THỂ ĐI"",""CẦN SOÁT""},0)},'Tổng hợp 75 trang đích'!$B$2:$B$3260=$D50),3,TR"&amp;"UE),1,2)),"""")"),"")</f>
        <v/>
      </c>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c r="BM50" s="35"/>
      <c r="BN50" s="35"/>
      <c r="BO50" s="35"/>
      <c r="BP50" s="35"/>
      <c r="BQ50" s="35"/>
      <c r="BR50" s="35"/>
      <c r="BS50" s="35"/>
      <c r="BT50" s="35"/>
      <c r="BU50" s="35"/>
      <c r="BV50" s="35"/>
      <c r="BW50" s="35"/>
      <c r="BX50" s="35"/>
      <c r="BY50" s="35"/>
      <c r="BZ50" s="35"/>
      <c r="CA50" s="35"/>
      <c r="CB50" s="35"/>
      <c r="CC50" s="35"/>
      <c r="CD50" s="35"/>
      <c r="CE50" s="35"/>
      <c r="CF50" s="35"/>
      <c r="CG50" s="35"/>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c r="EA50" s="35"/>
      <c r="EB50" s="35"/>
      <c r="EC50" s="35"/>
      <c r="ED50" s="35"/>
      <c r="EE50" s="35"/>
      <c r="EF50" s="35"/>
      <c r="EG50" s="35"/>
      <c r="EH50" s="35"/>
      <c r="EI50" s="35"/>
      <c r="EJ50" s="35"/>
      <c r="EK50" s="35"/>
      <c r="EL50" s="35"/>
      <c r="EM50" s="35"/>
      <c r="EN50" s="35"/>
      <c r="EO50" s="35"/>
      <c r="EP50" s="35"/>
      <c r="EQ50" s="35"/>
      <c r="ER50" s="35"/>
      <c r="ES50" s="35"/>
      <c r="ET50" s="35"/>
      <c r="EU50" s="35"/>
      <c r="EV50" s="35"/>
      <c r="EW50" s="35"/>
      <c r="EX50" s="35"/>
      <c r="EY50" s="35"/>
      <c r="EZ50" s="35"/>
      <c r="FA50" s="35"/>
      <c r="FB50" s="35"/>
      <c r="FC50" s="35"/>
      <c r="FD50" s="35"/>
      <c r="FE50" s="35"/>
      <c r="FF50" s="35"/>
      <c r="FG50" s="35"/>
      <c r="FH50" s="35"/>
      <c r="FI50" s="35"/>
      <c r="FJ50" s="35"/>
      <c r="FK50" s="35"/>
      <c r="FL50" s="35"/>
      <c r="FM50" s="35"/>
      <c r="FN50" s="35"/>
      <c r="FO50" s="35"/>
      <c r="FP50" s="35"/>
      <c r="FQ50" s="35"/>
      <c r="FR50" s="35"/>
      <c r="FS50" s="35"/>
      <c r="FT50" s="35"/>
      <c r="FU50" s="35"/>
      <c r="FV50" s="35"/>
      <c r="FW50" s="35"/>
      <c r="FX50" s="35"/>
      <c r="FY50" s="35"/>
      <c r="FZ50" s="35"/>
      <c r="GA50" s="35"/>
      <c r="GB50" s="35"/>
      <c r="GC50" s="35"/>
      <c r="GD50" s="35"/>
      <c r="GE50" s="35"/>
      <c r="GF50" s="35"/>
      <c r="GG50" s="35"/>
      <c r="GH50" s="35"/>
      <c r="GI50" s="35"/>
      <c r="GJ50" s="35"/>
      <c r="GK50" s="35"/>
      <c r="GL50" s="35"/>
      <c r="GM50" s="35"/>
      <c r="GN50" s="35"/>
      <c r="GO50" s="35"/>
      <c r="GP50" s="35"/>
      <c r="GQ50" s="35"/>
      <c r="GR50" s="35"/>
      <c r="GS50" s="35"/>
      <c r="GT50" s="35"/>
      <c r="GU50" s="35"/>
      <c r="GV50" s="35"/>
      <c r="GW50" s="35"/>
      <c r="GX50" s="35"/>
      <c r="GY50" s="35"/>
      <c r="GZ50" s="35"/>
      <c r="HA50" s="35"/>
      <c r="HB50" s="35"/>
      <c r="HC50" s="35"/>
      <c r="HD50" s="35"/>
      <c r="HE50" s="35"/>
      <c r="HF50" s="35"/>
      <c r="HG50" s="35"/>
      <c r="HH50" s="35"/>
      <c r="HI50" s="35"/>
      <c r="HJ50" s="35"/>
      <c r="HK50" s="35"/>
      <c r="HL50" s="35"/>
      <c r="HM50" s="35"/>
      <c r="HN50" s="35"/>
      <c r="HO50" s="35"/>
      <c r="HP50" s="35"/>
      <c r="HQ50" s="35"/>
      <c r="HR50" s="35"/>
      <c r="HS50" s="35"/>
      <c r="HT50" s="35"/>
      <c r="HU50" s="35"/>
      <c r="HV50" s="35"/>
      <c r="HW50" s="35"/>
      <c r="HX50" s="35"/>
      <c r="HY50" s="35"/>
      <c r="HZ50" s="35"/>
      <c r="IA50" s="35"/>
      <c r="IB50" s="35"/>
      <c r="IC50" s="35"/>
      <c r="ID50" s="35"/>
      <c r="IE50" s="35"/>
      <c r="IF50" s="35"/>
      <c r="IG50" s="35"/>
      <c r="IH50" s="35"/>
      <c r="II50" s="35"/>
      <c r="IJ50" s="35"/>
      <c r="IK50" s="35"/>
      <c r="IL50" s="35"/>
      <c r="IM50" s="35"/>
      <c r="IN50" s="35"/>
      <c r="IO50" s="35"/>
      <c r="IP50" s="35"/>
      <c r="IQ50" s="35"/>
      <c r="IR50" s="35"/>
      <c r="IS50" s="35"/>
      <c r="IT50" s="35"/>
      <c r="IU50" s="35"/>
      <c r="IV50" s="35"/>
      <c r="IW50" s="35"/>
      <c r="IX50" s="35"/>
      <c r="IY50" s="35"/>
      <c r="IZ50" s="35"/>
      <c r="JA50" s="35"/>
      <c r="JB50" s="35"/>
      <c r="JC50" s="35"/>
      <c r="JD50" s="35"/>
      <c r="JE50" s="35"/>
      <c r="JF50" s="35"/>
      <c r="JG50" s="35"/>
      <c r="JH50" s="35"/>
      <c r="JI50" s="35"/>
      <c r="JJ50" s="35"/>
      <c r="JK50" s="35"/>
      <c r="JL50" s="35"/>
      <c r="JM50" s="35"/>
      <c r="JN50" s="35"/>
      <c r="JO50" s="35"/>
      <c r="JP50" s="35"/>
      <c r="JQ50" s="35"/>
      <c r="JR50" s="35"/>
      <c r="JS50" s="35"/>
      <c r="JT50" s="35"/>
      <c r="JU50" s="35"/>
      <c r="JV50" s="35"/>
      <c r="JW50" s="35"/>
      <c r="JX50" s="35"/>
      <c r="JY50" s="35"/>
      <c r="JZ50" s="35"/>
      <c r="KA50" s="35"/>
      <c r="KB50" s="35"/>
      <c r="KC50" s="35"/>
      <c r="KD50" s="35"/>
      <c r="KE50" s="35"/>
      <c r="KF50" s="35"/>
      <c r="KG50" s="35"/>
      <c r="KH50" s="35"/>
      <c r="KI50" s="35"/>
      <c r="KJ50" s="35"/>
      <c r="KK50" s="35"/>
      <c r="KL50" s="35"/>
      <c r="KM50" s="35"/>
      <c r="KN50" s="35"/>
      <c r="KO50" s="35"/>
      <c r="KP50" s="35"/>
      <c r="KQ50" s="35"/>
      <c r="KR50" s="35"/>
      <c r="KS50" s="35"/>
      <c r="KT50" s="35"/>
      <c r="KU50" s="35"/>
      <c r="KV50" s="35"/>
      <c r="KW50" s="35"/>
      <c r="KX50" s="35"/>
      <c r="KY50" s="35"/>
      <c r="KZ50" s="35"/>
      <c r="LA50" s="35"/>
      <c r="LB50" s="35"/>
      <c r="LC50" s="35"/>
      <c r="LD50" s="35"/>
      <c r="LE50" s="35"/>
      <c r="LF50" s="35"/>
      <c r="LG50" s="35"/>
      <c r="LH50" s="35"/>
      <c r="LI50" s="35"/>
      <c r="LJ50" s="35"/>
      <c r="LK50" s="35"/>
      <c r="LL50" s="35"/>
      <c r="LM50" s="35"/>
      <c r="LN50" s="35"/>
      <c r="LO50" s="35"/>
      <c r="LP50" s="35"/>
      <c r="LQ50" s="35"/>
      <c r="LR50" s="35"/>
      <c r="LS50" s="35"/>
      <c r="LT50" s="35"/>
      <c r="LU50" s="35"/>
      <c r="LV50" s="35"/>
      <c r="LW50" s="35"/>
      <c r="LX50" s="35"/>
      <c r="LY50" s="35"/>
      <c r="LZ50" s="35"/>
      <c r="MA50" s="35"/>
      <c r="MB50" s="35"/>
      <c r="MC50" s="35"/>
      <c r="MD50" s="35"/>
      <c r="ME50" s="35"/>
      <c r="MF50" s="35"/>
      <c r="MG50" s="35"/>
      <c r="MH50" s="35"/>
      <c r="MI50" s="35"/>
      <c r="MJ50" s="35"/>
      <c r="MK50" s="35"/>
      <c r="ML50" s="35"/>
      <c r="MM50" s="35"/>
      <c r="MN50" s="35"/>
      <c r="MO50" s="35"/>
      <c r="MP50" s="35"/>
      <c r="MQ50" s="35"/>
      <c r="MR50" s="35"/>
      <c r="MS50" s="35"/>
      <c r="MT50" s="35"/>
      <c r="MU50" s="35"/>
      <c r="MV50" s="35"/>
      <c r="MW50" s="35"/>
      <c r="MX50" s="35"/>
      <c r="MY50" s="35"/>
      <c r="MZ50" s="35"/>
      <c r="NA50" s="35"/>
      <c r="NB50" s="35"/>
      <c r="NC50" s="35"/>
      <c r="ND50" s="35"/>
      <c r="NE50" s="35"/>
      <c r="NF50" s="35"/>
      <c r="NG50" s="35"/>
      <c r="NH50" s="35"/>
      <c r="NI50" s="35"/>
      <c r="NJ50" s="35"/>
      <c r="NK50" s="35"/>
      <c r="NL50" s="35"/>
      <c r="NM50" s="35"/>
      <c r="NN50" s="35"/>
      <c r="NO50" s="35"/>
      <c r="NP50" s="35"/>
      <c r="NQ50" s="35"/>
      <c r="NR50" s="35"/>
      <c r="NS50" s="35"/>
      <c r="NT50" s="35"/>
      <c r="NU50" s="35"/>
      <c r="NV50" s="35"/>
      <c r="NW50" s="35"/>
      <c r="NX50" s="35"/>
      <c r="NY50" s="35"/>
      <c r="NZ50" s="35"/>
      <c r="OA50" s="35"/>
      <c r="OB50" s="35"/>
      <c r="OC50" s="35"/>
      <c r="OD50" s="35"/>
      <c r="OE50" s="35"/>
      <c r="OF50" s="35"/>
      <c r="OG50" s="35"/>
      <c r="OH50" s="35"/>
      <c r="OI50" s="35"/>
      <c r="OJ50" s="35"/>
      <c r="OK50" s="35"/>
      <c r="OL50" s="35"/>
      <c r="OM50" s="35"/>
      <c r="ON50" s="35"/>
      <c r="OO50" s="35"/>
      <c r="OP50" s="35"/>
      <c r="OQ50" s="35"/>
      <c r="OR50" s="35"/>
      <c r="OS50" s="35"/>
      <c r="OT50" s="35"/>
      <c r="OU50" s="35"/>
      <c r="OV50" s="35"/>
    </row>
    <row r="51" ht="18.0" customHeight="1">
      <c r="A51" s="34">
        <v>50.0</v>
      </c>
      <c r="B51" s="35" t="s">
        <v>1057</v>
      </c>
      <c r="C51" s="36" t="s">
        <v>1928</v>
      </c>
      <c r="D51" s="35" t="s">
        <v>1056</v>
      </c>
      <c r="E51" s="34">
        <v>30.0</v>
      </c>
      <c r="F51" s="34" t="str">
        <f t="shared" si="1"/>
        <v>#REF!</v>
      </c>
      <c r="G51" s="34">
        <f t="shared" si="2"/>
        <v>0</v>
      </c>
      <c r="H51" s="34">
        <f t="shared" si="3"/>
        <v>0</v>
      </c>
      <c r="I51" s="34">
        <f t="shared" si="4"/>
        <v>0</v>
      </c>
      <c r="J51" s="37" t="s">
        <v>625</v>
      </c>
      <c r="K51" s="37" t="b">
        <v>0</v>
      </c>
      <c r="L51" s="38" t="s">
        <v>71</v>
      </c>
      <c r="M51" s="35" t="str">
        <f>IFERROR(__xludf.DUMMYFUNCTION("IFERROR(TOROW(CHOOSECOLS(SORT(FILTER({'Tổng hợp 75 trang đích'!$J$2:$J$3260,'Tổng hợp 75 trang đích'!$I$2:$I$3260,MATCH('Tổng hợp 75 trang đích'!$K$2:$K$3260,{""PHÙ HỢP CAO"",""CÓ THỂ ĐI"",""CẦN SOÁT""},0)},'Tổng hợp 75 trang đích'!$B$2:$B$3260=$D51),3,TR"&amp;"UE),1,2)),"""")"),"")</f>
        <v/>
      </c>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c r="BM51" s="35"/>
      <c r="BN51" s="35"/>
      <c r="BO51" s="35"/>
      <c r="BP51" s="35"/>
      <c r="BQ51" s="35"/>
      <c r="BR51" s="35"/>
      <c r="BS51" s="35"/>
      <c r="BT51" s="35"/>
      <c r="BU51" s="35"/>
      <c r="BV51" s="35"/>
      <c r="BW51" s="35"/>
      <c r="BX51" s="35"/>
      <c r="BY51" s="35"/>
      <c r="BZ51" s="35"/>
      <c r="CA51" s="35"/>
      <c r="CB51" s="35"/>
      <c r="CC51" s="35"/>
      <c r="CD51" s="35"/>
      <c r="CE51" s="35"/>
      <c r="CF51" s="35"/>
      <c r="CG51" s="35"/>
      <c r="CH51" s="35"/>
      <c r="CI51" s="35"/>
      <c r="CJ51" s="35"/>
      <c r="CK51" s="35"/>
      <c r="CL51" s="35"/>
      <c r="CM51" s="35"/>
      <c r="CN51" s="35"/>
      <c r="CO51" s="35"/>
      <c r="CP51" s="35"/>
      <c r="CQ51" s="35"/>
      <c r="CR51" s="35"/>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5"/>
      <c r="EG51" s="35"/>
      <c r="EH51" s="35"/>
      <c r="EI51" s="35"/>
      <c r="EJ51" s="35"/>
      <c r="EK51" s="35"/>
      <c r="EL51" s="35"/>
      <c r="EM51" s="35"/>
      <c r="EN51" s="35"/>
      <c r="EO51" s="35"/>
      <c r="EP51" s="35"/>
      <c r="EQ51" s="35"/>
      <c r="ER51" s="35"/>
      <c r="ES51" s="35"/>
      <c r="ET51" s="35"/>
      <c r="EU51" s="35"/>
      <c r="EV51" s="35"/>
      <c r="EW51" s="35"/>
      <c r="EX51" s="35"/>
      <c r="EY51" s="35"/>
      <c r="EZ51" s="35"/>
      <c r="FA51" s="35"/>
      <c r="FB51" s="35"/>
      <c r="FC51" s="35"/>
      <c r="FD51" s="35"/>
      <c r="FE51" s="35"/>
      <c r="FF51" s="35"/>
      <c r="FG51" s="35"/>
      <c r="FH51" s="35"/>
      <c r="FI51" s="35"/>
      <c r="FJ51" s="35"/>
      <c r="FK51" s="35"/>
      <c r="FL51" s="35"/>
      <c r="FM51" s="35"/>
      <c r="FN51" s="35"/>
      <c r="FO51" s="35"/>
      <c r="FP51" s="35"/>
      <c r="FQ51" s="35"/>
      <c r="FR51" s="35"/>
      <c r="FS51" s="35"/>
      <c r="FT51" s="35"/>
      <c r="FU51" s="35"/>
      <c r="FV51" s="35"/>
      <c r="FW51" s="35"/>
      <c r="FX51" s="35"/>
      <c r="FY51" s="35"/>
      <c r="FZ51" s="35"/>
      <c r="GA51" s="35"/>
      <c r="GB51" s="35"/>
      <c r="GC51" s="35"/>
      <c r="GD51" s="35"/>
      <c r="GE51" s="35"/>
      <c r="GF51" s="35"/>
      <c r="GG51" s="35"/>
      <c r="GH51" s="35"/>
      <c r="GI51" s="35"/>
      <c r="GJ51" s="35"/>
      <c r="GK51" s="35"/>
      <c r="GL51" s="35"/>
      <c r="GM51" s="35"/>
      <c r="GN51" s="35"/>
      <c r="GO51" s="35"/>
      <c r="GP51" s="35"/>
      <c r="GQ51" s="35"/>
      <c r="GR51" s="35"/>
      <c r="GS51" s="35"/>
      <c r="GT51" s="35"/>
      <c r="GU51" s="35"/>
      <c r="GV51" s="35"/>
      <c r="GW51" s="35"/>
      <c r="GX51" s="35"/>
      <c r="GY51" s="35"/>
      <c r="GZ51" s="35"/>
      <c r="HA51" s="35"/>
      <c r="HB51" s="35"/>
      <c r="HC51" s="35"/>
      <c r="HD51" s="35"/>
      <c r="HE51" s="35"/>
      <c r="HF51" s="35"/>
      <c r="HG51" s="35"/>
      <c r="HH51" s="35"/>
      <c r="HI51" s="35"/>
      <c r="HJ51" s="35"/>
      <c r="HK51" s="35"/>
      <c r="HL51" s="35"/>
      <c r="HM51" s="35"/>
      <c r="HN51" s="35"/>
      <c r="HO51" s="35"/>
      <c r="HP51" s="35"/>
      <c r="HQ51" s="35"/>
      <c r="HR51" s="35"/>
      <c r="HS51" s="35"/>
      <c r="HT51" s="35"/>
      <c r="HU51" s="35"/>
      <c r="HV51" s="35"/>
      <c r="HW51" s="35"/>
      <c r="HX51" s="35"/>
      <c r="HY51" s="35"/>
      <c r="HZ51" s="35"/>
      <c r="IA51" s="35"/>
      <c r="IB51" s="35"/>
      <c r="IC51" s="35"/>
      <c r="ID51" s="35"/>
      <c r="IE51" s="35"/>
      <c r="IF51" s="35"/>
      <c r="IG51" s="35"/>
      <c r="IH51" s="35"/>
      <c r="II51" s="35"/>
      <c r="IJ51" s="35"/>
      <c r="IK51" s="35"/>
      <c r="IL51" s="35"/>
      <c r="IM51" s="35"/>
      <c r="IN51" s="35"/>
      <c r="IO51" s="35"/>
      <c r="IP51" s="35"/>
      <c r="IQ51" s="35"/>
      <c r="IR51" s="35"/>
      <c r="IS51" s="35"/>
      <c r="IT51" s="35"/>
      <c r="IU51" s="35"/>
      <c r="IV51" s="35"/>
      <c r="IW51" s="35"/>
      <c r="IX51" s="35"/>
      <c r="IY51" s="35"/>
      <c r="IZ51" s="35"/>
      <c r="JA51" s="35"/>
      <c r="JB51" s="35"/>
      <c r="JC51" s="35"/>
      <c r="JD51" s="35"/>
      <c r="JE51" s="35"/>
      <c r="JF51" s="35"/>
      <c r="JG51" s="35"/>
      <c r="JH51" s="35"/>
      <c r="JI51" s="35"/>
      <c r="JJ51" s="35"/>
      <c r="JK51" s="35"/>
      <c r="JL51" s="35"/>
      <c r="JM51" s="35"/>
      <c r="JN51" s="35"/>
      <c r="JO51" s="35"/>
      <c r="JP51" s="35"/>
      <c r="JQ51" s="35"/>
      <c r="JR51" s="35"/>
      <c r="JS51" s="35"/>
      <c r="JT51" s="35"/>
      <c r="JU51" s="35"/>
      <c r="JV51" s="35"/>
      <c r="JW51" s="35"/>
      <c r="JX51" s="35"/>
      <c r="JY51" s="35"/>
      <c r="JZ51" s="35"/>
      <c r="KA51" s="35"/>
      <c r="KB51" s="35"/>
      <c r="KC51" s="35"/>
      <c r="KD51" s="35"/>
      <c r="KE51" s="35"/>
      <c r="KF51" s="35"/>
      <c r="KG51" s="35"/>
      <c r="KH51" s="35"/>
      <c r="KI51" s="35"/>
      <c r="KJ51" s="35"/>
      <c r="KK51" s="35"/>
      <c r="KL51" s="35"/>
      <c r="KM51" s="35"/>
      <c r="KN51" s="35"/>
      <c r="KO51" s="35"/>
      <c r="KP51" s="35"/>
      <c r="KQ51" s="35"/>
      <c r="KR51" s="35"/>
      <c r="KS51" s="35"/>
      <c r="KT51" s="35"/>
      <c r="KU51" s="35"/>
      <c r="KV51" s="35"/>
      <c r="KW51" s="35"/>
      <c r="KX51" s="35"/>
      <c r="KY51" s="35"/>
      <c r="KZ51" s="35"/>
      <c r="LA51" s="35"/>
      <c r="LB51" s="35"/>
      <c r="LC51" s="35"/>
      <c r="LD51" s="35"/>
      <c r="LE51" s="35"/>
      <c r="LF51" s="35"/>
      <c r="LG51" s="35"/>
      <c r="LH51" s="35"/>
      <c r="LI51" s="35"/>
      <c r="LJ51" s="35"/>
      <c r="LK51" s="35"/>
      <c r="LL51" s="35"/>
      <c r="LM51" s="35"/>
      <c r="LN51" s="35"/>
      <c r="LO51" s="35"/>
      <c r="LP51" s="35"/>
      <c r="LQ51" s="35"/>
      <c r="LR51" s="35"/>
      <c r="LS51" s="35"/>
      <c r="LT51" s="35"/>
      <c r="LU51" s="35"/>
      <c r="LV51" s="35"/>
      <c r="LW51" s="35"/>
      <c r="LX51" s="35"/>
      <c r="LY51" s="35"/>
      <c r="LZ51" s="35"/>
      <c r="MA51" s="35"/>
      <c r="MB51" s="35"/>
      <c r="MC51" s="35"/>
      <c r="MD51" s="35"/>
      <c r="ME51" s="35"/>
      <c r="MF51" s="35"/>
      <c r="MG51" s="35"/>
      <c r="MH51" s="35"/>
      <c r="MI51" s="35"/>
      <c r="MJ51" s="35"/>
      <c r="MK51" s="35"/>
      <c r="ML51" s="35"/>
      <c r="MM51" s="35"/>
      <c r="MN51" s="35"/>
      <c r="MO51" s="35"/>
      <c r="MP51" s="35"/>
      <c r="MQ51" s="35"/>
      <c r="MR51" s="35"/>
      <c r="MS51" s="35"/>
      <c r="MT51" s="35"/>
      <c r="MU51" s="35"/>
      <c r="MV51" s="35"/>
      <c r="MW51" s="35"/>
      <c r="MX51" s="35"/>
      <c r="MY51" s="35"/>
      <c r="MZ51" s="35"/>
      <c r="NA51" s="35"/>
      <c r="NB51" s="35"/>
      <c r="NC51" s="35"/>
      <c r="ND51" s="35"/>
      <c r="NE51" s="35"/>
      <c r="NF51" s="35"/>
      <c r="NG51" s="35"/>
      <c r="NH51" s="35"/>
      <c r="NI51" s="35"/>
      <c r="NJ51" s="35"/>
      <c r="NK51" s="35"/>
      <c r="NL51" s="35"/>
      <c r="NM51" s="35"/>
      <c r="NN51" s="35"/>
      <c r="NO51" s="35"/>
      <c r="NP51" s="35"/>
      <c r="NQ51" s="35"/>
      <c r="NR51" s="35"/>
      <c r="NS51" s="35"/>
      <c r="NT51" s="35"/>
      <c r="NU51" s="35"/>
      <c r="NV51" s="35"/>
      <c r="NW51" s="35"/>
      <c r="NX51" s="35"/>
      <c r="NY51" s="35"/>
      <c r="NZ51" s="35"/>
      <c r="OA51" s="35"/>
      <c r="OB51" s="35"/>
      <c r="OC51" s="35"/>
      <c r="OD51" s="35"/>
      <c r="OE51" s="35"/>
      <c r="OF51" s="35"/>
      <c r="OG51" s="35"/>
      <c r="OH51" s="35"/>
      <c r="OI51" s="35"/>
      <c r="OJ51" s="35"/>
      <c r="OK51" s="35"/>
      <c r="OL51" s="35"/>
      <c r="OM51" s="35"/>
      <c r="ON51" s="35"/>
      <c r="OO51" s="35"/>
      <c r="OP51" s="35"/>
      <c r="OQ51" s="35"/>
      <c r="OR51" s="35"/>
      <c r="OS51" s="35"/>
      <c r="OT51" s="35"/>
      <c r="OU51" s="35"/>
      <c r="OV51" s="35"/>
    </row>
    <row r="52" ht="18.0" customHeight="1">
      <c r="A52" s="34">
        <v>51.0</v>
      </c>
      <c r="B52" s="35" t="s">
        <v>1065</v>
      </c>
      <c r="C52" s="36" t="s">
        <v>1961</v>
      </c>
      <c r="D52" s="35" t="s">
        <v>1064</v>
      </c>
      <c r="E52" s="34">
        <v>30.0</v>
      </c>
      <c r="F52" s="34" t="str">
        <f t="shared" si="1"/>
        <v>#REF!</v>
      </c>
      <c r="G52" s="34">
        <f t="shared" si="2"/>
        <v>0</v>
      </c>
      <c r="H52" s="34">
        <f t="shared" si="3"/>
        <v>0</v>
      </c>
      <c r="I52" s="34">
        <f t="shared" si="4"/>
        <v>0</v>
      </c>
      <c r="J52" s="37" t="s">
        <v>625</v>
      </c>
      <c r="K52" s="37" t="b">
        <v>0</v>
      </c>
      <c r="L52" s="38" t="s">
        <v>71</v>
      </c>
      <c r="M52" s="35" t="str">
        <f>IFERROR(__xludf.DUMMYFUNCTION("IFERROR(TOROW(CHOOSECOLS(SORT(FILTER({'Tổng hợp 75 trang đích'!$J$2:$J$3260,'Tổng hợp 75 trang đích'!$I$2:$I$3260,MATCH('Tổng hợp 75 trang đích'!$K$2:$K$3260,{""PHÙ HỢP CAO"",""CÓ THỂ ĐI"",""CẦN SOÁT""},0)},'Tổng hợp 75 trang đích'!$B$2:$B$3260=$D52),3,TR"&amp;"UE),1,2)),"""")"),"")</f>
        <v/>
      </c>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c r="BM52" s="35"/>
      <c r="BN52" s="35"/>
      <c r="BO52" s="35"/>
      <c r="BP52" s="35"/>
      <c r="BQ52" s="35"/>
      <c r="BR52" s="35"/>
      <c r="BS52" s="35"/>
      <c r="BT52" s="35"/>
      <c r="BU52" s="35"/>
      <c r="BV52" s="35"/>
      <c r="BW52" s="35"/>
      <c r="BX52" s="35"/>
      <c r="BY52" s="35"/>
      <c r="BZ52" s="35"/>
      <c r="CA52" s="35"/>
      <c r="CB52" s="35"/>
      <c r="CC52" s="35"/>
      <c r="CD52" s="35"/>
      <c r="CE52" s="35"/>
      <c r="CF52" s="35"/>
      <c r="CG52" s="35"/>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c r="EA52" s="35"/>
      <c r="EB52" s="35"/>
      <c r="EC52" s="35"/>
      <c r="ED52" s="35"/>
      <c r="EE52" s="35"/>
      <c r="EF52" s="35"/>
      <c r="EG52" s="35"/>
      <c r="EH52" s="35"/>
      <c r="EI52" s="35"/>
      <c r="EJ52" s="35"/>
      <c r="EK52" s="35"/>
      <c r="EL52" s="35"/>
      <c r="EM52" s="35"/>
      <c r="EN52" s="35"/>
      <c r="EO52" s="35"/>
      <c r="EP52" s="35"/>
      <c r="EQ52" s="35"/>
      <c r="ER52" s="35"/>
      <c r="ES52" s="35"/>
      <c r="ET52" s="35"/>
      <c r="EU52" s="35"/>
      <c r="EV52" s="35"/>
      <c r="EW52" s="35"/>
      <c r="EX52" s="35"/>
      <c r="EY52" s="35"/>
      <c r="EZ52" s="35"/>
      <c r="FA52" s="35"/>
      <c r="FB52" s="35"/>
      <c r="FC52" s="35"/>
      <c r="FD52" s="35"/>
      <c r="FE52" s="35"/>
      <c r="FF52" s="35"/>
      <c r="FG52" s="35"/>
      <c r="FH52" s="35"/>
      <c r="FI52" s="35"/>
      <c r="FJ52" s="35"/>
      <c r="FK52" s="35"/>
      <c r="FL52" s="35"/>
      <c r="FM52" s="35"/>
      <c r="FN52" s="35"/>
      <c r="FO52" s="35"/>
      <c r="FP52" s="35"/>
      <c r="FQ52" s="35"/>
      <c r="FR52" s="35"/>
      <c r="FS52" s="35"/>
      <c r="FT52" s="35"/>
      <c r="FU52" s="35"/>
      <c r="FV52" s="35"/>
      <c r="FW52" s="35"/>
      <c r="FX52" s="35"/>
      <c r="FY52" s="35"/>
      <c r="FZ52" s="35"/>
      <c r="GA52" s="35"/>
      <c r="GB52" s="35"/>
      <c r="GC52" s="35"/>
      <c r="GD52" s="35"/>
      <c r="GE52" s="35"/>
      <c r="GF52" s="35"/>
      <c r="GG52" s="35"/>
      <c r="GH52" s="35"/>
      <c r="GI52" s="35"/>
      <c r="GJ52" s="35"/>
      <c r="GK52" s="35"/>
      <c r="GL52" s="35"/>
      <c r="GM52" s="35"/>
      <c r="GN52" s="35"/>
      <c r="GO52" s="35"/>
      <c r="GP52" s="35"/>
      <c r="GQ52" s="35"/>
      <c r="GR52" s="35"/>
      <c r="GS52" s="35"/>
      <c r="GT52" s="35"/>
      <c r="GU52" s="35"/>
      <c r="GV52" s="35"/>
      <c r="GW52" s="35"/>
      <c r="GX52" s="35"/>
      <c r="GY52" s="35"/>
      <c r="GZ52" s="35"/>
      <c r="HA52" s="35"/>
      <c r="HB52" s="35"/>
      <c r="HC52" s="35"/>
      <c r="HD52" s="35"/>
      <c r="HE52" s="35"/>
      <c r="HF52" s="35"/>
      <c r="HG52" s="35"/>
      <c r="HH52" s="35"/>
      <c r="HI52" s="35"/>
      <c r="HJ52" s="35"/>
      <c r="HK52" s="35"/>
      <c r="HL52" s="35"/>
      <c r="HM52" s="35"/>
      <c r="HN52" s="35"/>
      <c r="HO52" s="35"/>
      <c r="HP52" s="35"/>
      <c r="HQ52" s="35"/>
      <c r="HR52" s="35"/>
      <c r="HS52" s="35"/>
      <c r="HT52" s="35"/>
      <c r="HU52" s="35"/>
      <c r="HV52" s="35"/>
      <c r="HW52" s="35"/>
      <c r="HX52" s="35"/>
      <c r="HY52" s="35"/>
      <c r="HZ52" s="35"/>
      <c r="IA52" s="35"/>
      <c r="IB52" s="35"/>
      <c r="IC52" s="35"/>
      <c r="ID52" s="35"/>
      <c r="IE52" s="35"/>
      <c r="IF52" s="35"/>
      <c r="IG52" s="35"/>
      <c r="IH52" s="35"/>
      <c r="II52" s="35"/>
      <c r="IJ52" s="35"/>
      <c r="IK52" s="35"/>
      <c r="IL52" s="35"/>
      <c r="IM52" s="35"/>
      <c r="IN52" s="35"/>
      <c r="IO52" s="35"/>
      <c r="IP52" s="35"/>
      <c r="IQ52" s="35"/>
      <c r="IR52" s="35"/>
      <c r="IS52" s="35"/>
      <c r="IT52" s="35"/>
      <c r="IU52" s="35"/>
      <c r="IV52" s="35"/>
      <c r="IW52" s="35"/>
      <c r="IX52" s="35"/>
      <c r="IY52" s="35"/>
      <c r="IZ52" s="35"/>
      <c r="JA52" s="35"/>
      <c r="JB52" s="35"/>
      <c r="JC52" s="35"/>
      <c r="JD52" s="35"/>
      <c r="JE52" s="35"/>
      <c r="JF52" s="35"/>
      <c r="JG52" s="35"/>
      <c r="JH52" s="35"/>
      <c r="JI52" s="35"/>
      <c r="JJ52" s="35"/>
      <c r="JK52" s="35"/>
      <c r="JL52" s="35"/>
      <c r="JM52" s="35"/>
      <c r="JN52" s="35"/>
      <c r="JO52" s="35"/>
      <c r="JP52" s="35"/>
      <c r="JQ52" s="35"/>
      <c r="JR52" s="35"/>
      <c r="JS52" s="35"/>
      <c r="JT52" s="35"/>
      <c r="JU52" s="35"/>
      <c r="JV52" s="35"/>
      <c r="JW52" s="35"/>
      <c r="JX52" s="35"/>
      <c r="JY52" s="35"/>
      <c r="JZ52" s="35"/>
      <c r="KA52" s="35"/>
      <c r="KB52" s="35"/>
      <c r="KC52" s="35"/>
      <c r="KD52" s="35"/>
      <c r="KE52" s="35"/>
      <c r="KF52" s="35"/>
      <c r="KG52" s="35"/>
      <c r="KH52" s="35"/>
      <c r="KI52" s="35"/>
      <c r="KJ52" s="35"/>
      <c r="KK52" s="35"/>
      <c r="KL52" s="35"/>
      <c r="KM52" s="35"/>
      <c r="KN52" s="35"/>
      <c r="KO52" s="35"/>
      <c r="KP52" s="35"/>
      <c r="KQ52" s="35"/>
      <c r="KR52" s="35"/>
      <c r="KS52" s="35"/>
      <c r="KT52" s="35"/>
      <c r="KU52" s="35"/>
      <c r="KV52" s="35"/>
      <c r="KW52" s="35"/>
      <c r="KX52" s="35"/>
      <c r="KY52" s="35"/>
      <c r="KZ52" s="35"/>
      <c r="LA52" s="35"/>
      <c r="LB52" s="35"/>
      <c r="LC52" s="35"/>
      <c r="LD52" s="35"/>
      <c r="LE52" s="35"/>
      <c r="LF52" s="35"/>
      <c r="LG52" s="35"/>
      <c r="LH52" s="35"/>
      <c r="LI52" s="35"/>
      <c r="LJ52" s="35"/>
      <c r="LK52" s="35"/>
      <c r="LL52" s="35"/>
      <c r="LM52" s="35"/>
      <c r="LN52" s="35"/>
      <c r="LO52" s="35"/>
      <c r="LP52" s="35"/>
      <c r="LQ52" s="35"/>
      <c r="LR52" s="35"/>
      <c r="LS52" s="35"/>
      <c r="LT52" s="35"/>
      <c r="LU52" s="35"/>
      <c r="LV52" s="35"/>
      <c r="LW52" s="35"/>
      <c r="LX52" s="35"/>
      <c r="LY52" s="35"/>
      <c r="LZ52" s="35"/>
      <c r="MA52" s="35"/>
      <c r="MB52" s="35"/>
      <c r="MC52" s="35"/>
      <c r="MD52" s="35"/>
      <c r="ME52" s="35"/>
      <c r="MF52" s="35"/>
      <c r="MG52" s="35"/>
      <c r="MH52" s="35"/>
      <c r="MI52" s="35"/>
      <c r="MJ52" s="35"/>
      <c r="MK52" s="35"/>
      <c r="ML52" s="35"/>
      <c r="MM52" s="35"/>
      <c r="MN52" s="35"/>
      <c r="MO52" s="35"/>
      <c r="MP52" s="35"/>
      <c r="MQ52" s="35"/>
      <c r="MR52" s="35"/>
      <c r="MS52" s="35"/>
      <c r="MT52" s="35"/>
      <c r="MU52" s="35"/>
      <c r="MV52" s="35"/>
      <c r="MW52" s="35"/>
      <c r="MX52" s="35"/>
      <c r="MY52" s="35"/>
      <c r="MZ52" s="35"/>
      <c r="NA52" s="35"/>
      <c r="NB52" s="35"/>
      <c r="NC52" s="35"/>
      <c r="ND52" s="35"/>
      <c r="NE52" s="35"/>
      <c r="NF52" s="35"/>
      <c r="NG52" s="35"/>
      <c r="NH52" s="35"/>
      <c r="NI52" s="35"/>
      <c r="NJ52" s="35"/>
      <c r="NK52" s="35"/>
      <c r="NL52" s="35"/>
      <c r="NM52" s="35"/>
      <c r="NN52" s="35"/>
      <c r="NO52" s="35"/>
      <c r="NP52" s="35"/>
      <c r="NQ52" s="35"/>
      <c r="NR52" s="35"/>
      <c r="NS52" s="35"/>
      <c r="NT52" s="35"/>
      <c r="NU52" s="35"/>
      <c r="NV52" s="35"/>
      <c r="NW52" s="35"/>
      <c r="NX52" s="35"/>
      <c r="NY52" s="35"/>
      <c r="NZ52" s="35"/>
      <c r="OA52" s="35"/>
      <c r="OB52" s="35"/>
      <c r="OC52" s="35"/>
      <c r="OD52" s="35"/>
      <c r="OE52" s="35"/>
      <c r="OF52" s="35"/>
      <c r="OG52" s="35"/>
      <c r="OH52" s="35"/>
      <c r="OI52" s="35"/>
      <c r="OJ52" s="35"/>
      <c r="OK52" s="35"/>
      <c r="OL52" s="35"/>
      <c r="OM52" s="35"/>
      <c r="ON52" s="35"/>
      <c r="OO52" s="35"/>
      <c r="OP52" s="35"/>
      <c r="OQ52" s="35"/>
      <c r="OR52" s="35"/>
      <c r="OS52" s="35"/>
      <c r="OT52" s="35"/>
      <c r="OU52" s="35"/>
      <c r="OV52" s="35"/>
    </row>
    <row r="53" ht="18.0" customHeight="1">
      <c r="A53" s="34">
        <v>52.0</v>
      </c>
      <c r="B53" s="35" t="s">
        <v>708</v>
      </c>
      <c r="C53" s="36" t="s">
        <v>1920</v>
      </c>
      <c r="D53" s="35" t="s">
        <v>591</v>
      </c>
      <c r="E53" s="34">
        <v>50.0</v>
      </c>
      <c r="F53" s="34" t="str">
        <f t="shared" si="1"/>
        <v>#REF!</v>
      </c>
      <c r="G53" s="34">
        <f t="shared" si="2"/>
        <v>0</v>
      </c>
      <c r="H53" s="34">
        <f t="shared" si="3"/>
        <v>0</v>
      </c>
      <c r="I53" s="34">
        <f t="shared" si="4"/>
        <v>0</v>
      </c>
      <c r="J53" s="37" t="s">
        <v>625</v>
      </c>
      <c r="K53" s="37" t="b">
        <v>0</v>
      </c>
      <c r="L53" s="38" t="s">
        <v>71</v>
      </c>
      <c r="M53" s="35" t="str">
        <f>IFERROR(__xludf.DUMMYFUNCTION("IFERROR(TOROW(CHOOSECOLS(SORT(FILTER({'Tổng hợp 75 trang đích'!$J$2:$J$3260,'Tổng hợp 75 trang đích'!$I$2:$I$3260,MATCH('Tổng hợp 75 trang đích'!$K$2:$K$3260,{""PHÙ HỢP CAO"",""CÓ THỂ ĐI"",""CẦN SOÁT""},0)},'Tổng hợp 75 trang đích'!$B$2:$B$3260=$D53),3,TR"&amp;"UE),1,2)),"""")"),"")</f>
        <v/>
      </c>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c r="BM53" s="35"/>
      <c r="BN53" s="35"/>
      <c r="BO53" s="35"/>
      <c r="BP53" s="35"/>
      <c r="BQ53" s="35"/>
      <c r="BR53" s="35"/>
      <c r="BS53" s="35"/>
      <c r="BT53" s="35"/>
      <c r="BU53" s="35"/>
      <c r="BV53" s="35"/>
      <c r="BW53" s="35"/>
      <c r="BX53" s="35"/>
      <c r="BY53" s="35"/>
      <c r="BZ53" s="35"/>
      <c r="CA53" s="35"/>
      <c r="CB53" s="35"/>
      <c r="CC53" s="35"/>
      <c r="CD53" s="35"/>
      <c r="CE53" s="35"/>
      <c r="CF53" s="35"/>
      <c r="CG53" s="35"/>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c r="EA53" s="35"/>
      <c r="EB53" s="35"/>
      <c r="EC53" s="35"/>
      <c r="ED53" s="35"/>
      <c r="EE53" s="35"/>
      <c r="EF53" s="35"/>
      <c r="EG53" s="35"/>
      <c r="EH53" s="35"/>
      <c r="EI53" s="35"/>
      <c r="EJ53" s="35"/>
      <c r="EK53" s="35"/>
      <c r="EL53" s="35"/>
      <c r="EM53" s="35"/>
      <c r="EN53" s="35"/>
      <c r="EO53" s="35"/>
      <c r="EP53" s="35"/>
      <c r="EQ53" s="35"/>
      <c r="ER53" s="35"/>
      <c r="ES53" s="35"/>
      <c r="ET53" s="35"/>
      <c r="EU53" s="35"/>
      <c r="EV53" s="35"/>
      <c r="EW53" s="35"/>
      <c r="EX53" s="35"/>
      <c r="EY53" s="35"/>
      <c r="EZ53" s="35"/>
      <c r="FA53" s="35"/>
      <c r="FB53" s="35"/>
      <c r="FC53" s="35"/>
      <c r="FD53" s="35"/>
      <c r="FE53" s="35"/>
      <c r="FF53" s="35"/>
      <c r="FG53" s="35"/>
      <c r="FH53" s="35"/>
      <c r="FI53" s="35"/>
      <c r="FJ53" s="35"/>
      <c r="FK53" s="35"/>
      <c r="FL53" s="35"/>
      <c r="FM53" s="35"/>
      <c r="FN53" s="35"/>
      <c r="FO53" s="35"/>
      <c r="FP53" s="35"/>
      <c r="FQ53" s="35"/>
      <c r="FR53" s="35"/>
      <c r="FS53" s="35"/>
      <c r="FT53" s="35"/>
      <c r="FU53" s="35"/>
      <c r="FV53" s="35"/>
      <c r="FW53" s="35"/>
      <c r="FX53" s="35"/>
      <c r="FY53" s="35"/>
      <c r="FZ53" s="35"/>
      <c r="GA53" s="35"/>
      <c r="GB53" s="35"/>
      <c r="GC53" s="35"/>
      <c r="GD53" s="35"/>
      <c r="GE53" s="35"/>
      <c r="GF53" s="35"/>
      <c r="GG53" s="35"/>
      <c r="GH53" s="35"/>
      <c r="GI53" s="35"/>
      <c r="GJ53" s="35"/>
      <c r="GK53" s="35"/>
      <c r="GL53" s="35"/>
      <c r="GM53" s="35"/>
      <c r="GN53" s="35"/>
      <c r="GO53" s="35"/>
      <c r="GP53" s="35"/>
      <c r="GQ53" s="35"/>
      <c r="GR53" s="35"/>
      <c r="GS53" s="35"/>
      <c r="GT53" s="35"/>
      <c r="GU53" s="35"/>
      <c r="GV53" s="35"/>
      <c r="GW53" s="35"/>
      <c r="GX53" s="35"/>
      <c r="GY53" s="35"/>
      <c r="GZ53" s="35"/>
      <c r="HA53" s="35"/>
      <c r="HB53" s="35"/>
      <c r="HC53" s="35"/>
      <c r="HD53" s="35"/>
      <c r="HE53" s="35"/>
      <c r="HF53" s="35"/>
      <c r="HG53" s="35"/>
      <c r="HH53" s="35"/>
      <c r="HI53" s="35"/>
      <c r="HJ53" s="35"/>
      <c r="HK53" s="35"/>
      <c r="HL53" s="35"/>
      <c r="HM53" s="35"/>
      <c r="HN53" s="35"/>
      <c r="HO53" s="35"/>
      <c r="HP53" s="35"/>
      <c r="HQ53" s="35"/>
      <c r="HR53" s="35"/>
      <c r="HS53" s="35"/>
      <c r="HT53" s="35"/>
      <c r="HU53" s="35"/>
      <c r="HV53" s="35"/>
      <c r="HW53" s="35"/>
      <c r="HX53" s="35"/>
      <c r="HY53" s="35"/>
      <c r="HZ53" s="35"/>
      <c r="IA53" s="35"/>
      <c r="IB53" s="35"/>
      <c r="IC53" s="35"/>
      <c r="ID53" s="35"/>
      <c r="IE53" s="35"/>
      <c r="IF53" s="35"/>
      <c r="IG53" s="35"/>
      <c r="IH53" s="35"/>
      <c r="II53" s="35"/>
      <c r="IJ53" s="35"/>
      <c r="IK53" s="35"/>
      <c r="IL53" s="35"/>
      <c r="IM53" s="35"/>
      <c r="IN53" s="35"/>
      <c r="IO53" s="35"/>
      <c r="IP53" s="35"/>
      <c r="IQ53" s="35"/>
      <c r="IR53" s="35"/>
      <c r="IS53" s="35"/>
      <c r="IT53" s="35"/>
      <c r="IU53" s="35"/>
      <c r="IV53" s="35"/>
      <c r="IW53" s="35"/>
      <c r="IX53" s="35"/>
      <c r="IY53" s="35"/>
      <c r="IZ53" s="35"/>
      <c r="JA53" s="35"/>
      <c r="JB53" s="35"/>
      <c r="JC53" s="35"/>
      <c r="JD53" s="35"/>
      <c r="JE53" s="35"/>
      <c r="JF53" s="35"/>
      <c r="JG53" s="35"/>
      <c r="JH53" s="35"/>
      <c r="JI53" s="35"/>
      <c r="JJ53" s="35"/>
      <c r="JK53" s="35"/>
      <c r="JL53" s="35"/>
      <c r="JM53" s="35"/>
      <c r="JN53" s="35"/>
      <c r="JO53" s="35"/>
      <c r="JP53" s="35"/>
      <c r="JQ53" s="35"/>
      <c r="JR53" s="35"/>
      <c r="JS53" s="35"/>
      <c r="JT53" s="35"/>
      <c r="JU53" s="35"/>
      <c r="JV53" s="35"/>
      <c r="JW53" s="35"/>
      <c r="JX53" s="35"/>
      <c r="JY53" s="35"/>
      <c r="JZ53" s="35"/>
      <c r="KA53" s="35"/>
      <c r="KB53" s="35"/>
      <c r="KC53" s="35"/>
      <c r="KD53" s="35"/>
      <c r="KE53" s="35"/>
      <c r="KF53" s="35"/>
      <c r="KG53" s="35"/>
      <c r="KH53" s="35"/>
      <c r="KI53" s="35"/>
      <c r="KJ53" s="35"/>
      <c r="KK53" s="35"/>
      <c r="KL53" s="35"/>
      <c r="KM53" s="35"/>
      <c r="KN53" s="35"/>
      <c r="KO53" s="35"/>
      <c r="KP53" s="35"/>
      <c r="KQ53" s="35"/>
      <c r="KR53" s="35"/>
      <c r="KS53" s="35"/>
      <c r="KT53" s="35"/>
      <c r="KU53" s="35"/>
      <c r="KV53" s="35"/>
      <c r="KW53" s="35"/>
      <c r="KX53" s="35"/>
      <c r="KY53" s="35"/>
      <c r="KZ53" s="35"/>
      <c r="LA53" s="35"/>
      <c r="LB53" s="35"/>
      <c r="LC53" s="35"/>
      <c r="LD53" s="35"/>
      <c r="LE53" s="35"/>
      <c r="LF53" s="35"/>
      <c r="LG53" s="35"/>
      <c r="LH53" s="35"/>
      <c r="LI53" s="35"/>
      <c r="LJ53" s="35"/>
      <c r="LK53" s="35"/>
      <c r="LL53" s="35"/>
      <c r="LM53" s="35"/>
      <c r="LN53" s="35"/>
      <c r="LO53" s="35"/>
      <c r="LP53" s="35"/>
      <c r="LQ53" s="35"/>
      <c r="LR53" s="35"/>
      <c r="LS53" s="35"/>
      <c r="LT53" s="35"/>
      <c r="LU53" s="35"/>
      <c r="LV53" s="35"/>
      <c r="LW53" s="35"/>
      <c r="LX53" s="35"/>
      <c r="LY53" s="35"/>
      <c r="LZ53" s="35"/>
      <c r="MA53" s="35"/>
      <c r="MB53" s="35"/>
      <c r="MC53" s="35"/>
      <c r="MD53" s="35"/>
      <c r="ME53" s="35"/>
      <c r="MF53" s="35"/>
      <c r="MG53" s="35"/>
      <c r="MH53" s="35"/>
      <c r="MI53" s="35"/>
      <c r="MJ53" s="35"/>
      <c r="MK53" s="35"/>
      <c r="ML53" s="35"/>
      <c r="MM53" s="35"/>
      <c r="MN53" s="35"/>
      <c r="MO53" s="35"/>
      <c r="MP53" s="35"/>
      <c r="MQ53" s="35"/>
      <c r="MR53" s="35"/>
      <c r="MS53" s="35"/>
      <c r="MT53" s="35"/>
      <c r="MU53" s="35"/>
      <c r="MV53" s="35"/>
      <c r="MW53" s="35"/>
      <c r="MX53" s="35"/>
      <c r="MY53" s="35"/>
      <c r="MZ53" s="35"/>
      <c r="NA53" s="35"/>
      <c r="NB53" s="35"/>
      <c r="NC53" s="35"/>
      <c r="ND53" s="35"/>
      <c r="NE53" s="35"/>
      <c r="NF53" s="35"/>
      <c r="NG53" s="35"/>
      <c r="NH53" s="35"/>
      <c r="NI53" s="35"/>
      <c r="NJ53" s="35"/>
      <c r="NK53" s="35"/>
      <c r="NL53" s="35"/>
      <c r="NM53" s="35"/>
      <c r="NN53" s="35"/>
      <c r="NO53" s="35"/>
      <c r="NP53" s="35"/>
      <c r="NQ53" s="35"/>
      <c r="NR53" s="35"/>
      <c r="NS53" s="35"/>
      <c r="NT53" s="35"/>
      <c r="NU53" s="35"/>
      <c r="NV53" s="35"/>
      <c r="NW53" s="35"/>
      <c r="NX53" s="35"/>
      <c r="NY53" s="35"/>
      <c r="NZ53" s="35"/>
      <c r="OA53" s="35"/>
      <c r="OB53" s="35"/>
      <c r="OC53" s="35"/>
      <c r="OD53" s="35"/>
      <c r="OE53" s="35"/>
      <c r="OF53" s="35"/>
      <c r="OG53" s="35"/>
      <c r="OH53" s="35"/>
      <c r="OI53" s="35"/>
      <c r="OJ53" s="35"/>
      <c r="OK53" s="35"/>
      <c r="OL53" s="35"/>
      <c r="OM53" s="35"/>
      <c r="ON53" s="35"/>
      <c r="OO53" s="35"/>
      <c r="OP53" s="35"/>
      <c r="OQ53" s="35"/>
      <c r="OR53" s="35"/>
      <c r="OS53" s="35"/>
      <c r="OT53" s="35"/>
      <c r="OU53" s="35"/>
      <c r="OV53" s="35"/>
    </row>
    <row r="54" ht="18.0" customHeight="1">
      <c r="A54" s="34">
        <v>53.0</v>
      </c>
      <c r="B54" s="35" t="s">
        <v>708</v>
      </c>
      <c r="C54" s="36" t="s">
        <v>2011</v>
      </c>
      <c r="D54" s="35" t="s">
        <v>1074</v>
      </c>
      <c r="E54" s="34">
        <v>30.0</v>
      </c>
      <c r="F54" s="34" t="str">
        <f t="shared" si="1"/>
        <v>#REF!</v>
      </c>
      <c r="G54" s="34">
        <f t="shared" si="2"/>
        <v>0</v>
      </c>
      <c r="H54" s="34">
        <f t="shared" si="3"/>
        <v>0</v>
      </c>
      <c r="I54" s="34">
        <f t="shared" si="4"/>
        <v>0</v>
      </c>
      <c r="J54" s="37" t="s">
        <v>625</v>
      </c>
      <c r="K54" s="37" t="b">
        <v>0</v>
      </c>
      <c r="L54" s="38" t="s">
        <v>71</v>
      </c>
      <c r="M54" s="35" t="str">
        <f>IFERROR(__xludf.DUMMYFUNCTION("IFERROR(TOROW(CHOOSECOLS(SORT(FILTER({'Tổng hợp 75 trang đích'!$J$2:$J$3260,'Tổng hợp 75 trang đích'!$I$2:$I$3260,MATCH('Tổng hợp 75 trang đích'!$K$2:$K$3260,{""PHÙ HỢP CAO"",""CÓ THỂ ĐI"",""CẦN SOÁT""},0)},'Tổng hợp 75 trang đích'!$B$2:$B$3260=$D54),3,TR"&amp;"UE),1,2)),"""")"),"")</f>
        <v/>
      </c>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c r="BM54" s="35"/>
      <c r="BN54" s="35"/>
      <c r="BO54" s="35"/>
      <c r="BP54" s="35"/>
      <c r="BQ54" s="35"/>
      <c r="BR54" s="35"/>
      <c r="BS54" s="35"/>
      <c r="BT54" s="35"/>
      <c r="BU54" s="35"/>
      <c r="BV54" s="35"/>
      <c r="BW54" s="35"/>
      <c r="BX54" s="35"/>
      <c r="BY54" s="35"/>
      <c r="BZ54" s="35"/>
      <c r="CA54" s="35"/>
      <c r="CB54" s="35"/>
      <c r="CC54" s="35"/>
      <c r="CD54" s="35"/>
      <c r="CE54" s="35"/>
      <c r="CF54" s="35"/>
      <c r="CG54" s="35"/>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c r="EA54" s="35"/>
      <c r="EB54" s="35"/>
      <c r="EC54" s="35"/>
      <c r="ED54" s="35"/>
      <c r="EE54" s="35"/>
      <c r="EF54" s="35"/>
      <c r="EG54" s="35"/>
      <c r="EH54" s="35"/>
      <c r="EI54" s="35"/>
      <c r="EJ54" s="35"/>
      <c r="EK54" s="35"/>
      <c r="EL54" s="35"/>
      <c r="EM54" s="35"/>
      <c r="EN54" s="35"/>
      <c r="EO54" s="35"/>
      <c r="EP54" s="35"/>
      <c r="EQ54" s="35"/>
      <c r="ER54" s="35"/>
      <c r="ES54" s="35"/>
      <c r="ET54" s="35"/>
      <c r="EU54" s="35"/>
      <c r="EV54" s="35"/>
      <c r="EW54" s="35"/>
      <c r="EX54" s="35"/>
      <c r="EY54" s="35"/>
      <c r="EZ54" s="35"/>
      <c r="FA54" s="35"/>
      <c r="FB54" s="35"/>
      <c r="FC54" s="35"/>
      <c r="FD54" s="35"/>
      <c r="FE54" s="35"/>
      <c r="FF54" s="35"/>
      <c r="FG54" s="35"/>
      <c r="FH54" s="35"/>
      <c r="FI54" s="35"/>
      <c r="FJ54" s="35"/>
      <c r="FK54" s="35"/>
      <c r="FL54" s="35"/>
      <c r="FM54" s="35"/>
      <c r="FN54" s="35"/>
      <c r="FO54" s="35"/>
      <c r="FP54" s="35"/>
      <c r="FQ54" s="35"/>
      <c r="FR54" s="35"/>
      <c r="FS54" s="35"/>
      <c r="FT54" s="35"/>
      <c r="FU54" s="35"/>
      <c r="FV54" s="35"/>
      <c r="FW54" s="35"/>
      <c r="FX54" s="35"/>
      <c r="FY54" s="35"/>
      <c r="FZ54" s="35"/>
      <c r="GA54" s="35"/>
      <c r="GB54" s="35"/>
      <c r="GC54" s="35"/>
      <c r="GD54" s="35"/>
      <c r="GE54" s="35"/>
      <c r="GF54" s="35"/>
      <c r="GG54" s="35"/>
      <c r="GH54" s="35"/>
      <c r="GI54" s="35"/>
      <c r="GJ54" s="35"/>
      <c r="GK54" s="35"/>
      <c r="GL54" s="35"/>
      <c r="GM54" s="35"/>
      <c r="GN54" s="35"/>
      <c r="GO54" s="35"/>
      <c r="GP54" s="35"/>
      <c r="GQ54" s="35"/>
      <c r="GR54" s="35"/>
      <c r="GS54" s="35"/>
      <c r="GT54" s="35"/>
      <c r="GU54" s="35"/>
      <c r="GV54" s="35"/>
      <c r="GW54" s="35"/>
      <c r="GX54" s="35"/>
      <c r="GY54" s="35"/>
      <c r="GZ54" s="35"/>
      <c r="HA54" s="35"/>
      <c r="HB54" s="35"/>
      <c r="HC54" s="35"/>
      <c r="HD54" s="35"/>
      <c r="HE54" s="35"/>
      <c r="HF54" s="35"/>
      <c r="HG54" s="35"/>
      <c r="HH54" s="35"/>
      <c r="HI54" s="35"/>
      <c r="HJ54" s="35"/>
      <c r="HK54" s="35"/>
      <c r="HL54" s="35"/>
      <c r="HM54" s="35"/>
      <c r="HN54" s="35"/>
      <c r="HO54" s="35"/>
      <c r="HP54" s="35"/>
      <c r="HQ54" s="35"/>
      <c r="HR54" s="35"/>
      <c r="HS54" s="35"/>
      <c r="HT54" s="35"/>
      <c r="HU54" s="35"/>
      <c r="HV54" s="35"/>
      <c r="HW54" s="35"/>
      <c r="HX54" s="35"/>
      <c r="HY54" s="35"/>
      <c r="HZ54" s="35"/>
      <c r="IA54" s="35"/>
      <c r="IB54" s="35"/>
      <c r="IC54" s="35"/>
      <c r="ID54" s="35"/>
      <c r="IE54" s="35"/>
      <c r="IF54" s="35"/>
      <c r="IG54" s="35"/>
      <c r="IH54" s="35"/>
      <c r="II54" s="35"/>
      <c r="IJ54" s="35"/>
      <c r="IK54" s="35"/>
      <c r="IL54" s="35"/>
      <c r="IM54" s="35"/>
      <c r="IN54" s="35"/>
      <c r="IO54" s="35"/>
      <c r="IP54" s="35"/>
      <c r="IQ54" s="35"/>
      <c r="IR54" s="35"/>
      <c r="IS54" s="35"/>
      <c r="IT54" s="35"/>
      <c r="IU54" s="35"/>
      <c r="IV54" s="35"/>
      <c r="IW54" s="35"/>
      <c r="IX54" s="35"/>
      <c r="IY54" s="35"/>
      <c r="IZ54" s="35"/>
      <c r="JA54" s="35"/>
      <c r="JB54" s="35"/>
      <c r="JC54" s="35"/>
      <c r="JD54" s="35"/>
      <c r="JE54" s="35"/>
      <c r="JF54" s="35"/>
      <c r="JG54" s="35"/>
      <c r="JH54" s="35"/>
      <c r="JI54" s="35"/>
      <c r="JJ54" s="35"/>
      <c r="JK54" s="35"/>
      <c r="JL54" s="35"/>
      <c r="JM54" s="35"/>
      <c r="JN54" s="35"/>
      <c r="JO54" s="35"/>
      <c r="JP54" s="35"/>
      <c r="JQ54" s="35"/>
      <c r="JR54" s="35"/>
      <c r="JS54" s="35"/>
      <c r="JT54" s="35"/>
      <c r="JU54" s="35"/>
      <c r="JV54" s="35"/>
      <c r="JW54" s="35"/>
      <c r="JX54" s="35"/>
      <c r="JY54" s="35"/>
      <c r="JZ54" s="35"/>
      <c r="KA54" s="35"/>
      <c r="KB54" s="35"/>
      <c r="KC54" s="35"/>
      <c r="KD54" s="35"/>
      <c r="KE54" s="35"/>
      <c r="KF54" s="35"/>
      <c r="KG54" s="35"/>
      <c r="KH54" s="35"/>
      <c r="KI54" s="35"/>
      <c r="KJ54" s="35"/>
      <c r="KK54" s="35"/>
      <c r="KL54" s="35"/>
      <c r="KM54" s="35"/>
      <c r="KN54" s="35"/>
      <c r="KO54" s="35"/>
      <c r="KP54" s="35"/>
      <c r="KQ54" s="35"/>
      <c r="KR54" s="35"/>
      <c r="KS54" s="35"/>
      <c r="KT54" s="35"/>
      <c r="KU54" s="35"/>
      <c r="KV54" s="35"/>
      <c r="KW54" s="35"/>
      <c r="KX54" s="35"/>
      <c r="KY54" s="35"/>
      <c r="KZ54" s="35"/>
      <c r="LA54" s="35"/>
      <c r="LB54" s="35"/>
      <c r="LC54" s="35"/>
      <c r="LD54" s="35"/>
      <c r="LE54" s="35"/>
      <c r="LF54" s="35"/>
      <c r="LG54" s="35"/>
      <c r="LH54" s="35"/>
      <c r="LI54" s="35"/>
      <c r="LJ54" s="35"/>
      <c r="LK54" s="35"/>
      <c r="LL54" s="35"/>
      <c r="LM54" s="35"/>
      <c r="LN54" s="35"/>
      <c r="LO54" s="35"/>
      <c r="LP54" s="35"/>
      <c r="LQ54" s="35"/>
      <c r="LR54" s="35"/>
      <c r="LS54" s="35"/>
      <c r="LT54" s="35"/>
      <c r="LU54" s="35"/>
      <c r="LV54" s="35"/>
      <c r="LW54" s="35"/>
      <c r="LX54" s="35"/>
      <c r="LY54" s="35"/>
      <c r="LZ54" s="35"/>
      <c r="MA54" s="35"/>
      <c r="MB54" s="35"/>
      <c r="MC54" s="35"/>
      <c r="MD54" s="35"/>
      <c r="ME54" s="35"/>
      <c r="MF54" s="35"/>
      <c r="MG54" s="35"/>
      <c r="MH54" s="35"/>
      <c r="MI54" s="35"/>
      <c r="MJ54" s="35"/>
      <c r="MK54" s="35"/>
      <c r="ML54" s="35"/>
      <c r="MM54" s="35"/>
      <c r="MN54" s="35"/>
      <c r="MO54" s="35"/>
      <c r="MP54" s="35"/>
      <c r="MQ54" s="35"/>
      <c r="MR54" s="35"/>
      <c r="MS54" s="35"/>
      <c r="MT54" s="35"/>
      <c r="MU54" s="35"/>
      <c r="MV54" s="35"/>
      <c r="MW54" s="35"/>
      <c r="MX54" s="35"/>
      <c r="MY54" s="35"/>
      <c r="MZ54" s="35"/>
      <c r="NA54" s="35"/>
      <c r="NB54" s="35"/>
      <c r="NC54" s="35"/>
      <c r="ND54" s="35"/>
      <c r="NE54" s="35"/>
      <c r="NF54" s="35"/>
      <c r="NG54" s="35"/>
      <c r="NH54" s="35"/>
      <c r="NI54" s="35"/>
      <c r="NJ54" s="35"/>
      <c r="NK54" s="35"/>
      <c r="NL54" s="35"/>
      <c r="NM54" s="35"/>
      <c r="NN54" s="35"/>
      <c r="NO54" s="35"/>
      <c r="NP54" s="35"/>
      <c r="NQ54" s="35"/>
      <c r="NR54" s="35"/>
      <c r="NS54" s="35"/>
      <c r="NT54" s="35"/>
      <c r="NU54" s="35"/>
      <c r="NV54" s="35"/>
      <c r="NW54" s="35"/>
      <c r="NX54" s="35"/>
      <c r="NY54" s="35"/>
      <c r="NZ54" s="35"/>
      <c r="OA54" s="35"/>
      <c r="OB54" s="35"/>
      <c r="OC54" s="35"/>
      <c r="OD54" s="35"/>
      <c r="OE54" s="35"/>
      <c r="OF54" s="35"/>
      <c r="OG54" s="35"/>
      <c r="OH54" s="35"/>
      <c r="OI54" s="35"/>
      <c r="OJ54" s="35"/>
      <c r="OK54" s="35"/>
      <c r="OL54" s="35"/>
      <c r="OM54" s="35"/>
      <c r="ON54" s="35"/>
      <c r="OO54" s="35"/>
      <c r="OP54" s="35"/>
      <c r="OQ54" s="35"/>
      <c r="OR54" s="35"/>
      <c r="OS54" s="35"/>
      <c r="OT54" s="35"/>
      <c r="OU54" s="35"/>
      <c r="OV54" s="35"/>
    </row>
    <row r="55" ht="18.0" customHeight="1">
      <c r="A55" s="34">
        <v>54.0</v>
      </c>
      <c r="B55" s="35" t="s">
        <v>708</v>
      </c>
      <c r="C55" s="36" t="s">
        <v>2035</v>
      </c>
      <c r="D55" s="35" t="s">
        <v>1090</v>
      </c>
      <c r="E55" s="34">
        <v>30.0</v>
      </c>
      <c r="F55" s="34" t="str">
        <f t="shared" si="1"/>
        <v>#REF!</v>
      </c>
      <c r="G55" s="34">
        <f t="shared" si="2"/>
        <v>0</v>
      </c>
      <c r="H55" s="34">
        <f t="shared" si="3"/>
        <v>0</v>
      </c>
      <c r="I55" s="34">
        <f t="shared" si="4"/>
        <v>0</v>
      </c>
      <c r="J55" s="37" t="s">
        <v>625</v>
      </c>
      <c r="K55" s="37" t="b">
        <v>0</v>
      </c>
      <c r="L55" s="38" t="s">
        <v>71</v>
      </c>
      <c r="M55" s="35" t="str">
        <f>IFERROR(__xludf.DUMMYFUNCTION("IFERROR(TOROW(CHOOSECOLS(SORT(FILTER({'Tổng hợp 75 trang đích'!$J$2:$J$3260,'Tổng hợp 75 trang đích'!$I$2:$I$3260,MATCH('Tổng hợp 75 trang đích'!$K$2:$K$3260,{""PHÙ HỢP CAO"",""CÓ THỂ ĐI"",""CẦN SOÁT""},0)},'Tổng hợp 75 trang đích'!$B$2:$B$3260=$D55),3,TR"&amp;"UE),1,2)),"""")"),"")</f>
        <v/>
      </c>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c r="BM55" s="35"/>
      <c r="BN55" s="35"/>
      <c r="BO55" s="35"/>
      <c r="BP55" s="35"/>
      <c r="BQ55" s="35"/>
      <c r="BR55" s="35"/>
      <c r="BS55" s="35"/>
      <c r="BT55" s="35"/>
      <c r="BU55" s="35"/>
      <c r="BV55" s="35"/>
      <c r="BW55" s="35"/>
      <c r="BX55" s="35"/>
      <c r="BY55" s="35"/>
      <c r="BZ55" s="35"/>
      <c r="CA55" s="35"/>
      <c r="CB55" s="35"/>
      <c r="CC55" s="35"/>
      <c r="CD55" s="35"/>
      <c r="CE55" s="35"/>
      <c r="CF55" s="35"/>
      <c r="CG55" s="35"/>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c r="EA55" s="35"/>
      <c r="EB55" s="35"/>
      <c r="EC55" s="35"/>
      <c r="ED55" s="35"/>
      <c r="EE55" s="35"/>
      <c r="EF55" s="35"/>
      <c r="EG55" s="35"/>
      <c r="EH55" s="35"/>
      <c r="EI55" s="35"/>
      <c r="EJ55" s="35"/>
      <c r="EK55" s="35"/>
      <c r="EL55" s="35"/>
      <c r="EM55" s="35"/>
      <c r="EN55" s="35"/>
      <c r="EO55" s="35"/>
      <c r="EP55" s="35"/>
      <c r="EQ55" s="35"/>
      <c r="ER55" s="35"/>
      <c r="ES55" s="35"/>
      <c r="ET55" s="35"/>
      <c r="EU55" s="35"/>
      <c r="EV55" s="35"/>
      <c r="EW55" s="35"/>
      <c r="EX55" s="35"/>
      <c r="EY55" s="35"/>
      <c r="EZ55" s="35"/>
      <c r="FA55" s="35"/>
      <c r="FB55" s="35"/>
      <c r="FC55" s="35"/>
      <c r="FD55" s="35"/>
      <c r="FE55" s="35"/>
      <c r="FF55" s="35"/>
      <c r="FG55" s="35"/>
      <c r="FH55" s="35"/>
      <c r="FI55" s="35"/>
      <c r="FJ55" s="35"/>
      <c r="FK55" s="35"/>
      <c r="FL55" s="35"/>
      <c r="FM55" s="35"/>
      <c r="FN55" s="35"/>
      <c r="FO55" s="35"/>
      <c r="FP55" s="35"/>
      <c r="FQ55" s="35"/>
      <c r="FR55" s="35"/>
      <c r="FS55" s="35"/>
      <c r="FT55" s="35"/>
      <c r="FU55" s="35"/>
      <c r="FV55" s="35"/>
      <c r="FW55" s="35"/>
      <c r="FX55" s="35"/>
      <c r="FY55" s="35"/>
      <c r="FZ55" s="35"/>
      <c r="GA55" s="35"/>
      <c r="GB55" s="35"/>
      <c r="GC55" s="35"/>
      <c r="GD55" s="35"/>
      <c r="GE55" s="35"/>
      <c r="GF55" s="35"/>
      <c r="GG55" s="35"/>
      <c r="GH55" s="35"/>
      <c r="GI55" s="35"/>
      <c r="GJ55" s="35"/>
      <c r="GK55" s="35"/>
      <c r="GL55" s="35"/>
      <c r="GM55" s="35"/>
      <c r="GN55" s="35"/>
      <c r="GO55" s="35"/>
      <c r="GP55" s="35"/>
      <c r="GQ55" s="35"/>
      <c r="GR55" s="35"/>
      <c r="GS55" s="35"/>
      <c r="GT55" s="35"/>
      <c r="GU55" s="35"/>
      <c r="GV55" s="35"/>
      <c r="GW55" s="35"/>
      <c r="GX55" s="35"/>
      <c r="GY55" s="35"/>
      <c r="GZ55" s="35"/>
      <c r="HA55" s="35"/>
      <c r="HB55" s="35"/>
      <c r="HC55" s="35"/>
      <c r="HD55" s="35"/>
      <c r="HE55" s="35"/>
      <c r="HF55" s="35"/>
      <c r="HG55" s="35"/>
      <c r="HH55" s="35"/>
      <c r="HI55" s="35"/>
      <c r="HJ55" s="35"/>
      <c r="HK55" s="35"/>
      <c r="HL55" s="35"/>
      <c r="HM55" s="35"/>
      <c r="HN55" s="35"/>
      <c r="HO55" s="35"/>
      <c r="HP55" s="35"/>
      <c r="HQ55" s="35"/>
      <c r="HR55" s="35"/>
      <c r="HS55" s="35"/>
      <c r="HT55" s="35"/>
      <c r="HU55" s="35"/>
      <c r="HV55" s="35"/>
      <c r="HW55" s="35"/>
      <c r="HX55" s="35"/>
      <c r="HY55" s="35"/>
      <c r="HZ55" s="35"/>
      <c r="IA55" s="35"/>
      <c r="IB55" s="35"/>
      <c r="IC55" s="35"/>
      <c r="ID55" s="35"/>
      <c r="IE55" s="35"/>
      <c r="IF55" s="35"/>
      <c r="IG55" s="35"/>
      <c r="IH55" s="35"/>
      <c r="II55" s="35"/>
      <c r="IJ55" s="35"/>
      <c r="IK55" s="35"/>
      <c r="IL55" s="35"/>
      <c r="IM55" s="35"/>
      <c r="IN55" s="35"/>
      <c r="IO55" s="35"/>
      <c r="IP55" s="35"/>
      <c r="IQ55" s="35"/>
      <c r="IR55" s="35"/>
      <c r="IS55" s="35"/>
      <c r="IT55" s="35"/>
      <c r="IU55" s="35"/>
      <c r="IV55" s="35"/>
      <c r="IW55" s="35"/>
      <c r="IX55" s="35"/>
      <c r="IY55" s="35"/>
      <c r="IZ55" s="35"/>
      <c r="JA55" s="35"/>
      <c r="JB55" s="35"/>
      <c r="JC55" s="35"/>
      <c r="JD55" s="35"/>
      <c r="JE55" s="35"/>
      <c r="JF55" s="35"/>
      <c r="JG55" s="35"/>
      <c r="JH55" s="35"/>
      <c r="JI55" s="35"/>
      <c r="JJ55" s="35"/>
      <c r="JK55" s="35"/>
      <c r="JL55" s="35"/>
      <c r="JM55" s="35"/>
      <c r="JN55" s="35"/>
      <c r="JO55" s="35"/>
      <c r="JP55" s="35"/>
      <c r="JQ55" s="35"/>
      <c r="JR55" s="35"/>
      <c r="JS55" s="35"/>
      <c r="JT55" s="35"/>
      <c r="JU55" s="35"/>
      <c r="JV55" s="35"/>
      <c r="JW55" s="35"/>
      <c r="JX55" s="35"/>
      <c r="JY55" s="35"/>
      <c r="JZ55" s="35"/>
      <c r="KA55" s="35"/>
      <c r="KB55" s="35"/>
      <c r="KC55" s="35"/>
      <c r="KD55" s="35"/>
      <c r="KE55" s="35"/>
      <c r="KF55" s="35"/>
      <c r="KG55" s="35"/>
      <c r="KH55" s="35"/>
      <c r="KI55" s="35"/>
      <c r="KJ55" s="35"/>
      <c r="KK55" s="35"/>
      <c r="KL55" s="35"/>
      <c r="KM55" s="35"/>
      <c r="KN55" s="35"/>
      <c r="KO55" s="35"/>
      <c r="KP55" s="35"/>
      <c r="KQ55" s="35"/>
      <c r="KR55" s="35"/>
      <c r="KS55" s="35"/>
      <c r="KT55" s="35"/>
      <c r="KU55" s="35"/>
      <c r="KV55" s="35"/>
      <c r="KW55" s="35"/>
      <c r="KX55" s="35"/>
      <c r="KY55" s="35"/>
      <c r="KZ55" s="35"/>
      <c r="LA55" s="35"/>
      <c r="LB55" s="35"/>
      <c r="LC55" s="35"/>
      <c r="LD55" s="35"/>
      <c r="LE55" s="35"/>
      <c r="LF55" s="35"/>
      <c r="LG55" s="35"/>
      <c r="LH55" s="35"/>
      <c r="LI55" s="35"/>
      <c r="LJ55" s="35"/>
      <c r="LK55" s="35"/>
      <c r="LL55" s="35"/>
      <c r="LM55" s="35"/>
      <c r="LN55" s="35"/>
      <c r="LO55" s="35"/>
      <c r="LP55" s="35"/>
      <c r="LQ55" s="35"/>
      <c r="LR55" s="35"/>
      <c r="LS55" s="35"/>
      <c r="LT55" s="35"/>
      <c r="LU55" s="35"/>
      <c r="LV55" s="35"/>
      <c r="LW55" s="35"/>
      <c r="LX55" s="35"/>
      <c r="LY55" s="35"/>
      <c r="LZ55" s="35"/>
      <c r="MA55" s="35"/>
      <c r="MB55" s="35"/>
      <c r="MC55" s="35"/>
      <c r="MD55" s="35"/>
      <c r="ME55" s="35"/>
      <c r="MF55" s="35"/>
      <c r="MG55" s="35"/>
      <c r="MH55" s="35"/>
      <c r="MI55" s="35"/>
      <c r="MJ55" s="35"/>
      <c r="MK55" s="35"/>
      <c r="ML55" s="35"/>
      <c r="MM55" s="35"/>
      <c r="MN55" s="35"/>
      <c r="MO55" s="35"/>
      <c r="MP55" s="35"/>
      <c r="MQ55" s="35"/>
      <c r="MR55" s="35"/>
      <c r="MS55" s="35"/>
      <c r="MT55" s="35"/>
      <c r="MU55" s="35"/>
      <c r="MV55" s="35"/>
      <c r="MW55" s="35"/>
      <c r="MX55" s="35"/>
      <c r="MY55" s="35"/>
      <c r="MZ55" s="35"/>
      <c r="NA55" s="35"/>
      <c r="NB55" s="35"/>
      <c r="NC55" s="35"/>
      <c r="ND55" s="35"/>
      <c r="NE55" s="35"/>
      <c r="NF55" s="35"/>
      <c r="NG55" s="35"/>
      <c r="NH55" s="35"/>
      <c r="NI55" s="35"/>
      <c r="NJ55" s="35"/>
      <c r="NK55" s="35"/>
      <c r="NL55" s="35"/>
      <c r="NM55" s="35"/>
      <c r="NN55" s="35"/>
      <c r="NO55" s="35"/>
      <c r="NP55" s="35"/>
      <c r="NQ55" s="35"/>
      <c r="NR55" s="35"/>
      <c r="NS55" s="35"/>
      <c r="NT55" s="35"/>
      <c r="NU55" s="35"/>
      <c r="NV55" s="35"/>
      <c r="NW55" s="35"/>
      <c r="NX55" s="35"/>
      <c r="NY55" s="35"/>
      <c r="NZ55" s="35"/>
      <c r="OA55" s="35"/>
      <c r="OB55" s="35"/>
      <c r="OC55" s="35"/>
      <c r="OD55" s="35"/>
      <c r="OE55" s="35"/>
      <c r="OF55" s="35"/>
      <c r="OG55" s="35"/>
      <c r="OH55" s="35"/>
      <c r="OI55" s="35"/>
      <c r="OJ55" s="35"/>
      <c r="OK55" s="35"/>
      <c r="OL55" s="35"/>
      <c r="OM55" s="35"/>
      <c r="ON55" s="35"/>
      <c r="OO55" s="35"/>
      <c r="OP55" s="35"/>
      <c r="OQ55" s="35"/>
      <c r="OR55" s="35"/>
      <c r="OS55" s="35"/>
      <c r="OT55" s="35"/>
      <c r="OU55" s="35"/>
      <c r="OV55" s="35"/>
    </row>
    <row r="56" ht="18.0" customHeight="1">
      <c r="A56" s="34">
        <v>55.0</v>
      </c>
      <c r="B56" s="35" t="s">
        <v>708</v>
      </c>
      <c r="C56" s="36" t="s">
        <v>2057</v>
      </c>
      <c r="D56" s="35" t="s">
        <v>1100</v>
      </c>
      <c r="E56" s="34">
        <v>30.0</v>
      </c>
      <c r="F56" s="34" t="str">
        <f t="shared" si="1"/>
        <v>#REF!</v>
      </c>
      <c r="G56" s="34">
        <f t="shared" si="2"/>
        <v>0</v>
      </c>
      <c r="H56" s="34">
        <f t="shared" si="3"/>
        <v>0</v>
      </c>
      <c r="I56" s="34">
        <f t="shared" si="4"/>
        <v>0</v>
      </c>
      <c r="J56" s="37" t="s">
        <v>625</v>
      </c>
      <c r="K56" s="37" t="b">
        <v>0</v>
      </c>
      <c r="L56" s="38" t="s">
        <v>71</v>
      </c>
      <c r="M56" s="35" t="str">
        <f>IFERROR(__xludf.DUMMYFUNCTION("IFERROR(TOROW(CHOOSECOLS(SORT(FILTER({'Tổng hợp 75 trang đích'!$J$2:$J$3260,'Tổng hợp 75 trang đích'!$I$2:$I$3260,MATCH('Tổng hợp 75 trang đích'!$K$2:$K$3260,{""PHÙ HỢP CAO"",""CÓ THỂ ĐI"",""CẦN SOÁT""},0)},'Tổng hợp 75 trang đích'!$B$2:$B$3260=$D56),3,TR"&amp;"UE),1,2)),"""")"),"")</f>
        <v/>
      </c>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c r="BM56" s="35"/>
      <c r="BN56" s="35"/>
      <c r="BO56" s="35"/>
      <c r="BP56" s="35"/>
      <c r="BQ56" s="35"/>
      <c r="BR56" s="35"/>
      <c r="BS56" s="35"/>
      <c r="BT56" s="35"/>
      <c r="BU56" s="35"/>
      <c r="BV56" s="35"/>
      <c r="BW56" s="35"/>
      <c r="BX56" s="35"/>
      <c r="BY56" s="35"/>
      <c r="BZ56" s="35"/>
      <c r="CA56" s="35"/>
      <c r="CB56" s="35"/>
      <c r="CC56" s="35"/>
      <c r="CD56" s="35"/>
      <c r="CE56" s="35"/>
      <c r="CF56" s="35"/>
      <c r="CG56" s="35"/>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c r="EA56" s="35"/>
      <c r="EB56" s="35"/>
      <c r="EC56" s="35"/>
      <c r="ED56" s="35"/>
      <c r="EE56" s="35"/>
      <c r="EF56" s="35"/>
      <c r="EG56" s="35"/>
      <c r="EH56" s="35"/>
      <c r="EI56" s="35"/>
      <c r="EJ56" s="35"/>
      <c r="EK56" s="35"/>
      <c r="EL56" s="35"/>
      <c r="EM56" s="35"/>
      <c r="EN56" s="35"/>
      <c r="EO56" s="35"/>
      <c r="EP56" s="35"/>
      <c r="EQ56" s="35"/>
      <c r="ER56" s="35"/>
      <c r="ES56" s="35"/>
      <c r="ET56" s="35"/>
      <c r="EU56" s="35"/>
      <c r="EV56" s="35"/>
      <c r="EW56" s="35"/>
      <c r="EX56" s="35"/>
      <c r="EY56" s="35"/>
      <c r="EZ56" s="35"/>
      <c r="FA56" s="35"/>
      <c r="FB56" s="35"/>
      <c r="FC56" s="35"/>
      <c r="FD56" s="35"/>
      <c r="FE56" s="35"/>
      <c r="FF56" s="35"/>
      <c r="FG56" s="35"/>
      <c r="FH56" s="35"/>
      <c r="FI56" s="35"/>
      <c r="FJ56" s="35"/>
      <c r="FK56" s="35"/>
      <c r="FL56" s="35"/>
      <c r="FM56" s="35"/>
      <c r="FN56" s="35"/>
      <c r="FO56" s="35"/>
      <c r="FP56" s="35"/>
      <c r="FQ56" s="35"/>
      <c r="FR56" s="35"/>
      <c r="FS56" s="35"/>
      <c r="FT56" s="35"/>
      <c r="FU56" s="35"/>
      <c r="FV56" s="35"/>
      <c r="FW56" s="35"/>
      <c r="FX56" s="35"/>
      <c r="FY56" s="35"/>
      <c r="FZ56" s="35"/>
      <c r="GA56" s="35"/>
      <c r="GB56" s="35"/>
      <c r="GC56" s="35"/>
      <c r="GD56" s="35"/>
      <c r="GE56" s="35"/>
      <c r="GF56" s="35"/>
      <c r="GG56" s="35"/>
      <c r="GH56" s="35"/>
      <c r="GI56" s="35"/>
      <c r="GJ56" s="35"/>
      <c r="GK56" s="35"/>
      <c r="GL56" s="35"/>
      <c r="GM56" s="35"/>
      <c r="GN56" s="35"/>
      <c r="GO56" s="35"/>
      <c r="GP56" s="35"/>
      <c r="GQ56" s="35"/>
      <c r="GR56" s="35"/>
      <c r="GS56" s="35"/>
      <c r="GT56" s="35"/>
      <c r="GU56" s="35"/>
      <c r="GV56" s="35"/>
      <c r="GW56" s="35"/>
      <c r="GX56" s="35"/>
      <c r="GY56" s="35"/>
      <c r="GZ56" s="35"/>
      <c r="HA56" s="35"/>
      <c r="HB56" s="35"/>
      <c r="HC56" s="35"/>
      <c r="HD56" s="35"/>
      <c r="HE56" s="35"/>
      <c r="HF56" s="35"/>
      <c r="HG56" s="35"/>
      <c r="HH56" s="35"/>
      <c r="HI56" s="35"/>
      <c r="HJ56" s="35"/>
      <c r="HK56" s="35"/>
      <c r="HL56" s="35"/>
      <c r="HM56" s="35"/>
      <c r="HN56" s="35"/>
      <c r="HO56" s="35"/>
      <c r="HP56" s="35"/>
      <c r="HQ56" s="35"/>
      <c r="HR56" s="35"/>
      <c r="HS56" s="35"/>
      <c r="HT56" s="35"/>
      <c r="HU56" s="35"/>
      <c r="HV56" s="35"/>
      <c r="HW56" s="35"/>
      <c r="HX56" s="35"/>
      <c r="HY56" s="35"/>
      <c r="HZ56" s="35"/>
      <c r="IA56" s="35"/>
      <c r="IB56" s="35"/>
      <c r="IC56" s="35"/>
      <c r="ID56" s="35"/>
      <c r="IE56" s="35"/>
      <c r="IF56" s="35"/>
      <c r="IG56" s="35"/>
      <c r="IH56" s="35"/>
      <c r="II56" s="35"/>
      <c r="IJ56" s="35"/>
      <c r="IK56" s="35"/>
      <c r="IL56" s="35"/>
      <c r="IM56" s="35"/>
      <c r="IN56" s="35"/>
      <c r="IO56" s="35"/>
      <c r="IP56" s="35"/>
      <c r="IQ56" s="35"/>
      <c r="IR56" s="35"/>
      <c r="IS56" s="35"/>
      <c r="IT56" s="35"/>
      <c r="IU56" s="35"/>
      <c r="IV56" s="35"/>
      <c r="IW56" s="35"/>
      <c r="IX56" s="35"/>
      <c r="IY56" s="35"/>
      <c r="IZ56" s="35"/>
      <c r="JA56" s="35"/>
      <c r="JB56" s="35"/>
      <c r="JC56" s="35"/>
      <c r="JD56" s="35"/>
      <c r="JE56" s="35"/>
      <c r="JF56" s="35"/>
      <c r="JG56" s="35"/>
      <c r="JH56" s="35"/>
      <c r="JI56" s="35"/>
      <c r="JJ56" s="35"/>
      <c r="JK56" s="35"/>
      <c r="JL56" s="35"/>
      <c r="JM56" s="35"/>
      <c r="JN56" s="35"/>
      <c r="JO56" s="35"/>
      <c r="JP56" s="35"/>
      <c r="JQ56" s="35"/>
      <c r="JR56" s="35"/>
      <c r="JS56" s="35"/>
      <c r="JT56" s="35"/>
      <c r="JU56" s="35"/>
      <c r="JV56" s="35"/>
      <c r="JW56" s="35"/>
      <c r="JX56" s="35"/>
      <c r="JY56" s="35"/>
      <c r="JZ56" s="35"/>
      <c r="KA56" s="35"/>
      <c r="KB56" s="35"/>
      <c r="KC56" s="35"/>
      <c r="KD56" s="35"/>
      <c r="KE56" s="35"/>
      <c r="KF56" s="35"/>
      <c r="KG56" s="35"/>
      <c r="KH56" s="35"/>
      <c r="KI56" s="35"/>
      <c r="KJ56" s="35"/>
      <c r="KK56" s="35"/>
      <c r="KL56" s="35"/>
      <c r="KM56" s="35"/>
      <c r="KN56" s="35"/>
      <c r="KO56" s="35"/>
      <c r="KP56" s="35"/>
      <c r="KQ56" s="35"/>
      <c r="KR56" s="35"/>
      <c r="KS56" s="35"/>
      <c r="KT56" s="35"/>
      <c r="KU56" s="35"/>
      <c r="KV56" s="35"/>
      <c r="KW56" s="35"/>
      <c r="KX56" s="35"/>
      <c r="KY56" s="35"/>
      <c r="KZ56" s="35"/>
      <c r="LA56" s="35"/>
      <c r="LB56" s="35"/>
      <c r="LC56" s="35"/>
      <c r="LD56" s="35"/>
      <c r="LE56" s="35"/>
      <c r="LF56" s="35"/>
      <c r="LG56" s="35"/>
      <c r="LH56" s="35"/>
      <c r="LI56" s="35"/>
      <c r="LJ56" s="35"/>
      <c r="LK56" s="35"/>
      <c r="LL56" s="35"/>
      <c r="LM56" s="35"/>
      <c r="LN56" s="35"/>
      <c r="LO56" s="35"/>
      <c r="LP56" s="35"/>
      <c r="LQ56" s="35"/>
      <c r="LR56" s="35"/>
      <c r="LS56" s="35"/>
      <c r="LT56" s="35"/>
      <c r="LU56" s="35"/>
      <c r="LV56" s="35"/>
      <c r="LW56" s="35"/>
      <c r="LX56" s="35"/>
      <c r="LY56" s="35"/>
      <c r="LZ56" s="35"/>
      <c r="MA56" s="35"/>
      <c r="MB56" s="35"/>
      <c r="MC56" s="35"/>
      <c r="MD56" s="35"/>
      <c r="ME56" s="35"/>
      <c r="MF56" s="35"/>
      <c r="MG56" s="35"/>
      <c r="MH56" s="35"/>
      <c r="MI56" s="35"/>
      <c r="MJ56" s="35"/>
      <c r="MK56" s="35"/>
      <c r="ML56" s="35"/>
      <c r="MM56" s="35"/>
      <c r="MN56" s="35"/>
      <c r="MO56" s="35"/>
      <c r="MP56" s="35"/>
      <c r="MQ56" s="35"/>
      <c r="MR56" s="35"/>
      <c r="MS56" s="35"/>
      <c r="MT56" s="35"/>
      <c r="MU56" s="35"/>
      <c r="MV56" s="35"/>
      <c r="MW56" s="35"/>
      <c r="MX56" s="35"/>
      <c r="MY56" s="35"/>
      <c r="MZ56" s="35"/>
      <c r="NA56" s="35"/>
      <c r="NB56" s="35"/>
      <c r="NC56" s="35"/>
      <c r="ND56" s="35"/>
      <c r="NE56" s="35"/>
      <c r="NF56" s="35"/>
      <c r="NG56" s="35"/>
      <c r="NH56" s="35"/>
      <c r="NI56" s="35"/>
      <c r="NJ56" s="35"/>
      <c r="NK56" s="35"/>
      <c r="NL56" s="35"/>
      <c r="NM56" s="35"/>
      <c r="NN56" s="35"/>
      <c r="NO56" s="35"/>
      <c r="NP56" s="35"/>
      <c r="NQ56" s="35"/>
      <c r="NR56" s="35"/>
      <c r="NS56" s="35"/>
      <c r="NT56" s="35"/>
      <c r="NU56" s="35"/>
      <c r="NV56" s="35"/>
      <c r="NW56" s="35"/>
      <c r="NX56" s="35"/>
      <c r="NY56" s="35"/>
      <c r="NZ56" s="35"/>
      <c r="OA56" s="35"/>
      <c r="OB56" s="35"/>
      <c r="OC56" s="35"/>
      <c r="OD56" s="35"/>
      <c r="OE56" s="35"/>
      <c r="OF56" s="35"/>
      <c r="OG56" s="35"/>
      <c r="OH56" s="35"/>
      <c r="OI56" s="35"/>
      <c r="OJ56" s="35"/>
      <c r="OK56" s="35"/>
      <c r="OL56" s="35"/>
      <c r="OM56" s="35"/>
      <c r="ON56" s="35"/>
      <c r="OO56" s="35"/>
      <c r="OP56" s="35"/>
      <c r="OQ56" s="35"/>
      <c r="OR56" s="35"/>
      <c r="OS56" s="35"/>
      <c r="OT56" s="35"/>
      <c r="OU56" s="35"/>
      <c r="OV56" s="35"/>
    </row>
    <row r="57" ht="18.0" customHeight="1">
      <c r="A57" s="34">
        <v>56.0</v>
      </c>
      <c r="B57" s="35" t="s">
        <v>708</v>
      </c>
      <c r="C57" s="36" t="s">
        <v>2071</v>
      </c>
      <c r="D57" s="35" t="s">
        <v>1105</v>
      </c>
      <c r="E57" s="34">
        <v>30.0</v>
      </c>
      <c r="F57" s="34" t="str">
        <f t="shared" si="1"/>
        <v>#REF!</v>
      </c>
      <c r="G57" s="34">
        <f t="shared" si="2"/>
        <v>0</v>
      </c>
      <c r="H57" s="34">
        <f t="shared" si="3"/>
        <v>0</v>
      </c>
      <c r="I57" s="34">
        <f t="shared" si="4"/>
        <v>0</v>
      </c>
      <c r="J57" s="37" t="s">
        <v>625</v>
      </c>
      <c r="K57" s="37" t="b">
        <v>0</v>
      </c>
      <c r="L57" s="38" t="s">
        <v>71</v>
      </c>
      <c r="M57" s="35" t="str">
        <f>IFERROR(__xludf.DUMMYFUNCTION("IFERROR(TOROW(CHOOSECOLS(SORT(FILTER({'Tổng hợp 75 trang đích'!$J$2:$J$3260,'Tổng hợp 75 trang đích'!$I$2:$I$3260,MATCH('Tổng hợp 75 trang đích'!$K$2:$K$3260,{""PHÙ HỢP CAO"",""CÓ THỂ ĐI"",""CẦN SOÁT""},0)},'Tổng hợp 75 trang đích'!$B$2:$B$3260=$D57),3,TR"&amp;"UE),1,2)),"""")"),"")</f>
        <v/>
      </c>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c r="BM57" s="35"/>
      <c r="BN57" s="35"/>
      <c r="BO57" s="35"/>
      <c r="BP57" s="35"/>
      <c r="BQ57" s="35"/>
      <c r="BR57" s="35"/>
      <c r="BS57" s="35"/>
      <c r="BT57" s="35"/>
      <c r="BU57" s="35"/>
      <c r="BV57" s="35"/>
      <c r="BW57" s="35"/>
      <c r="BX57" s="35"/>
      <c r="BY57" s="35"/>
      <c r="BZ57" s="35"/>
      <c r="CA57" s="35"/>
      <c r="CB57" s="35"/>
      <c r="CC57" s="35"/>
      <c r="CD57" s="35"/>
      <c r="CE57" s="35"/>
      <c r="CF57" s="35"/>
      <c r="CG57" s="35"/>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5"/>
      <c r="EG57" s="35"/>
      <c r="EH57" s="35"/>
      <c r="EI57" s="35"/>
      <c r="EJ57" s="35"/>
      <c r="EK57" s="35"/>
      <c r="EL57" s="35"/>
      <c r="EM57" s="35"/>
      <c r="EN57" s="35"/>
      <c r="EO57" s="35"/>
      <c r="EP57" s="35"/>
      <c r="EQ57" s="35"/>
      <c r="ER57" s="35"/>
      <c r="ES57" s="35"/>
      <c r="ET57" s="35"/>
      <c r="EU57" s="35"/>
      <c r="EV57" s="35"/>
      <c r="EW57" s="35"/>
      <c r="EX57" s="35"/>
      <c r="EY57" s="35"/>
      <c r="EZ57" s="35"/>
      <c r="FA57" s="35"/>
      <c r="FB57" s="35"/>
      <c r="FC57" s="35"/>
      <c r="FD57" s="35"/>
      <c r="FE57" s="35"/>
      <c r="FF57" s="35"/>
      <c r="FG57" s="35"/>
      <c r="FH57" s="35"/>
      <c r="FI57" s="35"/>
      <c r="FJ57" s="35"/>
      <c r="FK57" s="35"/>
      <c r="FL57" s="35"/>
      <c r="FM57" s="35"/>
      <c r="FN57" s="35"/>
      <c r="FO57" s="35"/>
      <c r="FP57" s="35"/>
      <c r="FQ57" s="35"/>
      <c r="FR57" s="35"/>
      <c r="FS57" s="35"/>
      <c r="FT57" s="35"/>
      <c r="FU57" s="35"/>
      <c r="FV57" s="35"/>
      <c r="FW57" s="35"/>
      <c r="FX57" s="35"/>
      <c r="FY57" s="35"/>
      <c r="FZ57" s="35"/>
      <c r="GA57" s="35"/>
      <c r="GB57" s="35"/>
      <c r="GC57" s="35"/>
      <c r="GD57" s="35"/>
      <c r="GE57" s="35"/>
      <c r="GF57" s="35"/>
      <c r="GG57" s="35"/>
      <c r="GH57" s="35"/>
      <c r="GI57" s="35"/>
      <c r="GJ57" s="35"/>
      <c r="GK57" s="35"/>
      <c r="GL57" s="35"/>
      <c r="GM57" s="35"/>
      <c r="GN57" s="35"/>
      <c r="GO57" s="35"/>
      <c r="GP57" s="35"/>
      <c r="GQ57" s="35"/>
      <c r="GR57" s="35"/>
      <c r="GS57" s="35"/>
      <c r="GT57" s="35"/>
      <c r="GU57" s="35"/>
      <c r="GV57" s="35"/>
      <c r="GW57" s="35"/>
      <c r="GX57" s="35"/>
      <c r="GY57" s="35"/>
      <c r="GZ57" s="35"/>
      <c r="HA57" s="35"/>
      <c r="HB57" s="35"/>
      <c r="HC57" s="35"/>
      <c r="HD57" s="35"/>
      <c r="HE57" s="35"/>
      <c r="HF57" s="35"/>
      <c r="HG57" s="35"/>
      <c r="HH57" s="35"/>
      <c r="HI57" s="35"/>
      <c r="HJ57" s="35"/>
      <c r="HK57" s="35"/>
      <c r="HL57" s="35"/>
      <c r="HM57" s="35"/>
      <c r="HN57" s="35"/>
      <c r="HO57" s="35"/>
      <c r="HP57" s="35"/>
      <c r="HQ57" s="35"/>
      <c r="HR57" s="35"/>
      <c r="HS57" s="35"/>
      <c r="HT57" s="35"/>
      <c r="HU57" s="35"/>
      <c r="HV57" s="35"/>
      <c r="HW57" s="35"/>
      <c r="HX57" s="35"/>
      <c r="HY57" s="35"/>
      <c r="HZ57" s="35"/>
      <c r="IA57" s="35"/>
      <c r="IB57" s="35"/>
      <c r="IC57" s="35"/>
      <c r="ID57" s="35"/>
      <c r="IE57" s="35"/>
      <c r="IF57" s="35"/>
      <c r="IG57" s="35"/>
      <c r="IH57" s="35"/>
      <c r="II57" s="35"/>
      <c r="IJ57" s="35"/>
      <c r="IK57" s="35"/>
      <c r="IL57" s="35"/>
      <c r="IM57" s="35"/>
      <c r="IN57" s="35"/>
      <c r="IO57" s="35"/>
      <c r="IP57" s="35"/>
      <c r="IQ57" s="35"/>
      <c r="IR57" s="35"/>
      <c r="IS57" s="35"/>
      <c r="IT57" s="35"/>
      <c r="IU57" s="35"/>
      <c r="IV57" s="35"/>
      <c r="IW57" s="35"/>
      <c r="IX57" s="35"/>
      <c r="IY57" s="35"/>
      <c r="IZ57" s="35"/>
      <c r="JA57" s="35"/>
      <c r="JB57" s="35"/>
      <c r="JC57" s="35"/>
      <c r="JD57" s="35"/>
      <c r="JE57" s="35"/>
      <c r="JF57" s="35"/>
      <c r="JG57" s="35"/>
      <c r="JH57" s="35"/>
      <c r="JI57" s="35"/>
      <c r="JJ57" s="35"/>
      <c r="JK57" s="35"/>
      <c r="JL57" s="35"/>
      <c r="JM57" s="35"/>
      <c r="JN57" s="35"/>
      <c r="JO57" s="35"/>
      <c r="JP57" s="35"/>
      <c r="JQ57" s="35"/>
      <c r="JR57" s="35"/>
      <c r="JS57" s="35"/>
      <c r="JT57" s="35"/>
      <c r="JU57" s="35"/>
      <c r="JV57" s="35"/>
      <c r="JW57" s="35"/>
      <c r="JX57" s="35"/>
      <c r="JY57" s="35"/>
      <c r="JZ57" s="35"/>
      <c r="KA57" s="35"/>
      <c r="KB57" s="35"/>
      <c r="KC57" s="35"/>
      <c r="KD57" s="35"/>
      <c r="KE57" s="35"/>
      <c r="KF57" s="35"/>
      <c r="KG57" s="35"/>
      <c r="KH57" s="35"/>
      <c r="KI57" s="35"/>
      <c r="KJ57" s="35"/>
      <c r="KK57" s="35"/>
      <c r="KL57" s="35"/>
      <c r="KM57" s="35"/>
      <c r="KN57" s="35"/>
      <c r="KO57" s="35"/>
      <c r="KP57" s="35"/>
      <c r="KQ57" s="35"/>
      <c r="KR57" s="35"/>
      <c r="KS57" s="35"/>
      <c r="KT57" s="35"/>
      <c r="KU57" s="35"/>
      <c r="KV57" s="35"/>
      <c r="KW57" s="35"/>
      <c r="KX57" s="35"/>
      <c r="KY57" s="35"/>
      <c r="KZ57" s="35"/>
      <c r="LA57" s="35"/>
      <c r="LB57" s="35"/>
      <c r="LC57" s="35"/>
      <c r="LD57" s="35"/>
      <c r="LE57" s="35"/>
      <c r="LF57" s="35"/>
      <c r="LG57" s="35"/>
      <c r="LH57" s="35"/>
      <c r="LI57" s="35"/>
      <c r="LJ57" s="35"/>
      <c r="LK57" s="35"/>
      <c r="LL57" s="35"/>
      <c r="LM57" s="35"/>
      <c r="LN57" s="35"/>
      <c r="LO57" s="35"/>
      <c r="LP57" s="35"/>
      <c r="LQ57" s="35"/>
      <c r="LR57" s="35"/>
      <c r="LS57" s="35"/>
      <c r="LT57" s="35"/>
      <c r="LU57" s="35"/>
      <c r="LV57" s="35"/>
      <c r="LW57" s="35"/>
      <c r="LX57" s="35"/>
      <c r="LY57" s="35"/>
      <c r="LZ57" s="35"/>
      <c r="MA57" s="35"/>
      <c r="MB57" s="35"/>
      <c r="MC57" s="35"/>
      <c r="MD57" s="35"/>
      <c r="ME57" s="35"/>
      <c r="MF57" s="35"/>
      <c r="MG57" s="35"/>
      <c r="MH57" s="35"/>
      <c r="MI57" s="35"/>
      <c r="MJ57" s="35"/>
      <c r="MK57" s="35"/>
      <c r="ML57" s="35"/>
      <c r="MM57" s="35"/>
      <c r="MN57" s="35"/>
      <c r="MO57" s="35"/>
      <c r="MP57" s="35"/>
      <c r="MQ57" s="35"/>
      <c r="MR57" s="35"/>
      <c r="MS57" s="35"/>
      <c r="MT57" s="35"/>
      <c r="MU57" s="35"/>
      <c r="MV57" s="35"/>
      <c r="MW57" s="35"/>
      <c r="MX57" s="35"/>
      <c r="MY57" s="35"/>
      <c r="MZ57" s="35"/>
      <c r="NA57" s="35"/>
      <c r="NB57" s="35"/>
      <c r="NC57" s="35"/>
      <c r="ND57" s="35"/>
      <c r="NE57" s="35"/>
      <c r="NF57" s="35"/>
      <c r="NG57" s="35"/>
      <c r="NH57" s="35"/>
      <c r="NI57" s="35"/>
      <c r="NJ57" s="35"/>
      <c r="NK57" s="35"/>
      <c r="NL57" s="35"/>
      <c r="NM57" s="35"/>
      <c r="NN57" s="35"/>
      <c r="NO57" s="35"/>
      <c r="NP57" s="35"/>
      <c r="NQ57" s="35"/>
      <c r="NR57" s="35"/>
      <c r="NS57" s="35"/>
      <c r="NT57" s="35"/>
      <c r="NU57" s="35"/>
      <c r="NV57" s="35"/>
      <c r="NW57" s="35"/>
      <c r="NX57" s="35"/>
      <c r="NY57" s="35"/>
      <c r="NZ57" s="35"/>
      <c r="OA57" s="35"/>
      <c r="OB57" s="35"/>
      <c r="OC57" s="35"/>
      <c r="OD57" s="35"/>
      <c r="OE57" s="35"/>
      <c r="OF57" s="35"/>
      <c r="OG57" s="35"/>
      <c r="OH57" s="35"/>
      <c r="OI57" s="35"/>
      <c r="OJ57" s="35"/>
      <c r="OK57" s="35"/>
      <c r="OL57" s="35"/>
      <c r="OM57" s="35"/>
      <c r="ON57" s="35"/>
      <c r="OO57" s="35"/>
      <c r="OP57" s="35"/>
      <c r="OQ57" s="35"/>
      <c r="OR57" s="35"/>
      <c r="OS57" s="35"/>
      <c r="OT57" s="35"/>
      <c r="OU57" s="35"/>
      <c r="OV57" s="35"/>
    </row>
    <row r="58" ht="18.0" customHeight="1">
      <c r="A58" s="34">
        <v>57.0</v>
      </c>
      <c r="B58" s="35" t="s">
        <v>724</v>
      </c>
      <c r="C58" s="36" t="s">
        <v>2090</v>
      </c>
      <c r="D58" s="35" t="s">
        <v>723</v>
      </c>
      <c r="E58" s="34">
        <v>50.0</v>
      </c>
      <c r="F58" s="34" t="str">
        <f t="shared" si="1"/>
        <v>#REF!</v>
      </c>
      <c r="G58" s="34">
        <f t="shared" si="2"/>
        <v>0</v>
      </c>
      <c r="H58" s="34">
        <f t="shared" si="3"/>
        <v>0</v>
      </c>
      <c r="I58" s="34">
        <f t="shared" si="4"/>
        <v>0</v>
      </c>
      <c r="J58" s="37" t="s">
        <v>625</v>
      </c>
      <c r="K58" s="37" t="b">
        <v>0</v>
      </c>
      <c r="L58" s="38" t="s">
        <v>71</v>
      </c>
      <c r="M58" s="35" t="str">
        <f>IFERROR(__xludf.DUMMYFUNCTION("IFERROR(TOROW(CHOOSECOLS(SORT(FILTER({'Tổng hợp 75 trang đích'!$J$2:$J$3260,'Tổng hợp 75 trang đích'!$I$2:$I$3260,MATCH('Tổng hợp 75 trang đích'!$K$2:$K$3260,{""PHÙ HỢP CAO"",""CÓ THỂ ĐI"",""CẦN SOÁT""},0)},'Tổng hợp 75 trang đích'!$B$2:$B$3260=$D58),3,TR"&amp;"UE),1,2)),"""")"),"")</f>
        <v/>
      </c>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c r="BM58" s="35"/>
      <c r="BN58" s="35"/>
      <c r="BO58" s="35"/>
      <c r="BP58" s="35"/>
      <c r="BQ58" s="35"/>
      <c r="BR58" s="35"/>
      <c r="BS58" s="35"/>
      <c r="BT58" s="35"/>
      <c r="BU58" s="35"/>
      <c r="BV58" s="35"/>
      <c r="BW58" s="35"/>
      <c r="BX58" s="35"/>
      <c r="BY58" s="35"/>
      <c r="BZ58" s="35"/>
      <c r="CA58" s="35"/>
      <c r="CB58" s="35"/>
      <c r="CC58" s="35"/>
      <c r="CD58" s="35"/>
      <c r="CE58" s="35"/>
      <c r="CF58" s="35"/>
      <c r="CG58" s="35"/>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c r="EA58" s="35"/>
      <c r="EB58" s="35"/>
      <c r="EC58" s="35"/>
      <c r="ED58" s="35"/>
      <c r="EE58" s="35"/>
      <c r="EF58" s="35"/>
      <c r="EG58" s="35"/>
      <c r="EH58" s="35"/>
      <c r="EI58" s="35"/>
      <c r="EJ58" s="35"/>
      <c r="EK58" s="35"/>
      <c r="EL58" s="35"/>
      <c r="EM58" s="35"/>
      <c r="EN58" s="35"/>
      <c r="EO58" s="35"/>
      <c r="EP58" s="35"/>
      <c r="EQ58" s="35"/>
      <c r="ER58" s="35"/>
      <c r="ES58" s="35"/>
      <c r="ET58" s="35"/>
      <c r="EU58" s="35"/>
      <c r="EV58" s="35"/>
      <c r="EW58" s="35"/>
      <c r="EX58" s="35"/>
      <c r="EY58" s="35"/>
      <c r="EZ58" s="35"/>
      <c r="FA58" s="35"/>
      <c r="FB58" s="35"/>
      <c r="FC58" s="35"/>
      <c r="FD58" s="35"/>
      <c r="FE58" s="35"/>
      <c r="FF58" s="35"/>
      <c r="FG58" s="35"/>
      <c r="FH58" s="35"/>
      <c r="FI58" s="35"/>
      <c r="FJ58" s="35"/>
      <c r="FK58" s="35"/>
      <c r="FL58" s="35"/>
      <c r="FM58" s="35"/>
      <c r="FN58" s="35"/>
      <c r="FO58" s="35"/>
      <c r="FP58" s="35"/>
      <c r="FQ58" s="35"/>
      <c r="FR58" s="35"/>
      <c r="FS58" s="35"/>
      <c r="FT58" s="35"/>
      <c r="FU58" s="35"/>
      <c r="FV58" s="35"/>
      <c r="FW58" s="35"/>
      <c r="FX58" s="35"/>
      <c r="FY58" s="35"/>
      <c r="FZ58" s="35"/>
      <c r="GA58" s="35"/>
      <c r="GB58" s="35"/>
      <c r="GC58" s="35"/>
      <c r="GD58" s="35"/>
      <c r="GE58" s="35"/>
      <c r="GF58" s="35"/>
      <c r="GG58" s="35"/>
      <c r="GH58" s="35"/>
      <c r="GI58" s="35"/>
      <c r="GJ58" s="35"/>
      <c r="GK58" s="35"/>
      <c r="GL58" s="35"/>
      <c r="GM58" s="35"/>
      <c r="GN58" s="35"/>
      <c r="GO58" s="35"/>
      <c r="GP58" s="35"/>
      <c r="GQ58" s="35"/>
      <c r="GR58" s="35"/>
      <c r="GS58" s="35"/>
      <c r="GT58" s="35"/>
      <c r="GU58" s="35"/>
      <c r="GV58" s="35"/>
      <c r="GW58" s="35"/>
      <c r="GX58" s="35"/>
      <c r="GY58" s="35"/>
      <c r="GZ58" s="35"/>
      <c r="HA58" s="35"/>
      <c r="HB58" s="35"/>
      <c r="HC58" s="35"/>
      <c r="HD58" s="35"/>
      <c r="HE58" s="35"/>
      <c r="HF58" s="35"/>
      <c r="HG58" s="35"/>
      <c r="HH58" s="35"/>
      <c r="HI58" s="35"/>
      <c r="HJ58" s="35"/>
      <c r="HK58" s="35"/>
      <c r="HL58" s="35"/>
      <c r="HM58" s="35"/>
      <c r="HN58" s="35"/>
      <c r="HO58" s="35"/>
      <c r="HP58" s="35"/>
      <c r="HQ58" s="35"/>
      <c r="HR58" s="35"/>
      <c r="HS58" s="35"/>
      <c r="HT58" s="35"/>
      <c r="HU58" s="35"/>
      <c r="HV58" s="35"/>
      <c r="HW58" s="35"/>
      <c r="HX58" s="35"/>
      <c r="HY58" s="35"/>
      <c r="HZ58" s="35"/>
      <c r="IA58" s="35"/>
      <c r="IB58" s="35"/>
      <c r="IC58" s="35"/>
      <c r="ID58" s="35"/>
      <c r="IE58" s="35"/>
      <c r="IF58" s="35"/>
      <c r="IG58" s="35"/>
      <c r="IH58" s="35"/>
      <c r="II58" s="35"/>
      <c r="IJ58" s="35"/>
      <c r="IK58" s="35"/>
      <c r="IL58" s="35"/>
      <c r="IM58" s="35"/>
      <c r="IN58" s="35"/>
      <c r="IO58" s="35"/>
      <c r="IP58" s="35"/>
      <c r="IQ58" s="35"/>
      <c r="IR58" s="35"/>
      <c r="IS58" s="35"/>
      <c r="IT58" s="35"/>
      <c r="IU58" s="35"/>
      <c r="IV58" s="35"/>
      <c r="IW58" s="35"/>
      <c r="IX58" s="35"/>
      <c r="IY58" s="35"/>
      <c r="IZ58" s="35"/>
      <c r="JA58" s="35"/>
      <c r="JB58" s="35"/>
      <c r="JC58" s="35"/>
      <c r="JD58" s="35"/>
      <c r="JE58" s="35"/>
      <c r="JF58" s="35"/>
      <c r="JG58" s="35"/>
      <c r="JH58" s="35"/>
      <c r="JI58" s="35"/>
      <c r="JJ58" s="35"/>
      <c r="JK58" s="35"/>
      <c r="JL58" s="35"/>
      <c r="JM58" s="35"/>
      <c r="JN58" s="35"/>
      <c r="JO58" s="35"/>
      <c r="JP58" s="35"/>
      <c r="JQ58" s="35"/>
      <c r="JR58" s="35"/>
      <c r="JS58" s="35"/>
      <c r="JT58" s="35"/>
      <c r="JU58" s="35"/>
      <c r="JV58" s="35"/>
      <c r="JW58" s="35"/>
      <c r="JX58" s="35"/>
      <c r="JY58" s="35"/>
      <c r="JZ58" s="35"/>
      <c r="KA58" s="35"/>
      <c r="KB58" s="35"/>
      <c r="KC58" s="35"/>
      <c r="KD58" s="35"/>
      <c r="KE58" s="35"/>
      <c r="KF58" s="35"/>
      <c r="KG58" s="35"/>
      <c r="KH58" s="35"/>
      <c r="KI58" s="35"/>
      <c r="KJ58" s="35"/>
      <c r="KK58" s="35"/>
      <c r="KL58" s="35"/>
      <c r="KM58" s="35"/>
      <c r="KN58" s="35"/>
      <c r="KO58" s="35"/>
      <c r="KP58" s="35"/>
      <c r="KQ58" s="35"/>
      <c r="KR58" s="35"/>
      <c r="KS58" s="35"/>
      <c r="KT58" s="35"/>
      <c r="KU58" s="35"/>
      <c r="KV58" s="35"/>
      <c r="KW58" s="35"/>
      <c r="KX58" s="35"/>
      <c r="KY58" s="35"/>
      <c r="KZ58" s="35"/>
      <c r="LA58" s="35"/>
      <c r="LB58" s="35"/>
      <c r="LC58" s="35"/>
      <c r="LD58" s="35"/>
      <c r="LE58" s="35"/>
      <c r="LF58" s="35"/>
      <c r="LG58" s="35"/>
      <c r="LH58" s="35"/>
      <c r="LI58" s="35"/>
      <c r="LJ58" s="35"/>
      <c r="LK58" s="35"/>
      <c r="LL58" s="35"/>
      <c r="LM58" s="35"/>
      <c r="LN58" s="35"/>
      <c r="LO58" s="35"/>
      <c r="LP58" s="35"/>
      <c r="LQ58" s="35"/>
      <c r="LR58" s="35"/>
      <c r="LS58" s="35"/>
      <c r="LT58" s="35"/>
      <c r="LU58" s="35"/>
      <c r="LV58" s="35"/>
      <c r="LW58" s="35"/>
      <c r="LX58" s="35"/>
      <c r="LY58" s="35"/>
      <c r="LZ58" s="35"/>
      <c r="MA58" s="35"/>
      <c r="MB58" s="35"/>
      <c r="MC58" s="35"/>
      <c r="MD58" s="35"/>
      <c r="ME58" s="35"/>
      <c r="MF58" s="35"/>
      <c r="MG58" s="35"/>
      <c r="MH58" s="35"/>
      <c r="MI58" s="35"/>
      <c r="MJ58" s="35"/>
      <c r="MK58" s="35"/>
      <c r="ML58" s="35"/>
      <c r="MM58" s="35"/>
      <c r="MN58" s="35"/>
      <c r="MO58" s="35"/>
      <c r="MP58" s="35"/>
      <c r="MQ58" s="35"/>
      <c r="MR58" s="35"/>
      <c r="MS58" s="35"/>
      <c r="MT58" s="35"/>
      <c r="MU58" s="35"/>
      <c r="MV58" s="35"/>
      <c r="MW58" s="35"/>
      <c r="MX58" s="35"/>
      <c r="MY58" s="35"/>
      <c r="MZ58" s="35"/>
      <c r="NA58" s="35"/>
      <c r="NB58" s="35"/>
      <c r="NC58" s="35"/>
      <c r="ND58" s="35"/>
      <c r="NE58" s="35"/>
      <c r="NF58" s="35"/>
      <c r="NG58" s="35"/>
      <c r="NH58" s="35"/>
      <c r="NI58" s="35"/>
      <c r="NJ58" s="35"/>
      <c r="NK58" s="35"/>
      <c r="NL58" s="35"/>
      <c r="NM58" s="35"/>
      <c r="NN58" s="35"/>
      <c r="NO58" s="35"/>
      <c r="NP58" s="35"/>
      <c r="NQ58" s="35"/>
      <c r="NR58" s="35"/>
      <c r="NS58" s="35"/>
      <c r="NT58" s="35"/>
      <c r="NU58" s="35"/>
      <c r="NV58" s="35"/>
      <c r="NW58" s="35"/>
      <c r="NX58" s="35"/>
      <c r="NY58" s="35"/>
      <c r="NZ58" s="35"/>
      <c r="OA58" s="35"/>
      <c r="OB58" s="35"/>
      <c r="OC58" s="35"/>
      <c r="OD58" s="35"/>
      <c r="OE58" s="35"/>
      <c r="OF58" s="35"/>
      <c r="OG58" s="35"/>
      <c r="OH58" s="35"/>
      <c r="OI58" s="35"/>
      <c r="OJ58" s="35"/>
      <c r="OK58" s="35"/>
      <c r="OL58" s="35"/>
      <c r="OM58" s="35"/>
      <c r="ON58" s="35"/>
      <c r="OO58" s="35"/>
      <c r="OP58" s="35"/>
      <c r="OQ58" s="35"/>
      <c r="OR58" s="35"/>
      <c r="OS58" s="35"/>
      <c r="OT58" s="35"/>
      <c r="OU58" s="35"/>
      <c r="OV58" s="35"/>
    </row>
    <row r="59" ht="18.0" customHeight="1">
      <c r="A59" s="34">
        <v>58.0</v>
      </c>
      <c r="B59" s="35" t="s">
        <v>724</v>
      </c>
      <c r="C59" s="36" t="s">
        <v>2117</v>
      </c>
      <c r="D59" s="35" t="s">
        <v>236</v>
      </c>
      <c r="E59" s="34">
        <v>30.0</v>
      </c>
      <c r="F59" s="34" t="str">
        <f t="shared" si="1"/>
        <v>#REF!</v>
      </c>
      <c r="G59" s="34">
        <f t="shared" si="2"/>
        <v>0</v>
      </c>
      <c r="H59" s="34">
        <f t="shared" si="3"/>
        <v>0</v>
      </c>
      <c r="I59" s="34">
        <f t="shared" si="4"/>
        <v>0</v>
      </c>
      <c r="J59" s="37" t="s">
        <v>625</v>
      </c>
      <c r="K59" s="37" t="b">
        <v>0</v>
      </c>
      <c r="L59" s="38" t="s">
        <v>71</v>
      </c>
      <c r="M59" s="35" t="str">
        <f>IFERROR(__xludf.DUMMYFUNCTION("IFERROR(TOROW(CHOOSECOLS(SORT(FILTER({'Tổng hợp 75 trang đích'!$J$2:$J$3260,'Tổng hợp 75 trang đích'!$I$2:$I$3260,MATCH('Tổng hợp 75 trang đích'!$K$2:$K$3260,{""PHÙ HỢP CAO"",""CÓ THỂ ĐI"",""CẦN SOÁT""},0)},'Tổng hợp 75 trang đích'!$B$2:$B$3260=$D59),3,TR"&amp;"UE),1,2)),"""")"),"")</f>
        <v/>
      </c>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c r="BM59" s="35"/>
      <c r="BN59" s="35"/>
      <c r="BO59" s="35"/>
      <c r="BP59" s="35"/>
      <c r="BQ59" s="35"/>
      <c r="BR59" s="35"/>
      <c r="BS59" s="35"/>
      <c r="BT59" s="35"/>
      <c r="BU59" s="35"/>
      <c r="BV59" s="35"/>
      <c r="BW59" s="35"/>
      <c r="BX59" s="35"/>
      <c r="BY59" s="35"/>
      <c r="BZ59" s="35"/>
      <c r="CA59" s="35"/>
      <c r="CB59" s="35"/>
      <c r="CC59" s="35"/>
      <c r="CD59" s="35"/>
      <c r="CE59" s="35"/>
      <c r="CF59" s="35"/>
      <c r="CG59" s="35"/>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c r="EA59" s="35"/>
      <c r="EB59" s="35"/>
      <c r="EC59" s="35"/>
      <c r="ED59" s="35"/>
      <c r="EE59" s="35"/>
      <c r="EF59" s="35"/>
      <c r="EG59" s="35"/>
      <c r="EH59" s="35"/>
      <c r="EI59" s="35"/>
      <c r="EJ59" s="35"/>
      <c r="EK59" s="35"/>
      <c r="EL59" s="35"/>
      <c r="EM59" s="35"/>
      <c r="EN59" s="35"/>
      <c r="EO59" s="35"/>
      <c r="EP59" s="35"/>
      <c r="EQ59" s="35"/>
      <c r="ER59" s="35"/>
      <c r="ES59" s="35"/>
      <c r="ET59" s="35"/>
      <c r="EU59" s="35"/>
      <c r="EV59" s="35"/>
      <c r="EW59" s="35"/>
      <c r="EX59" s="35"/>
      <c r="EY59" s="35"/>
      <c r="EZ59" s="35"/>
      <c r="FA59" s="35"/>
      <c r="FB59" s="35"/>
      <c r="FC59" s="35"/>
      <c r="FD59" s="35"/>
      <c r="FE59" s="35"/>
      <c r="FF59" s="35"/>
      <c r="FG59" s="35"/>
      <c r="FH59" s="35"/>
      <c r="FI59" s="35"/>
      <c r="FJ59" s="35"/>
      <c r="FK59" s="35"/>
      <c r="FL59" s="35"/>
      <c r="FM59" s="35"/>
      <c r="FN59" s="35"/>
      <c r="FO59" s="35"/>
      <c r="FP59" s="35"/>
      <c r="FQ59" s="35"/>
      <c r="FR59" s="35"/>
      <c r="FS59" s="35"/>
      <c r="FT59" s="35"/>
      <c r="FU59" s="35"/>
      <c r="FV59" s="35"/>
      <c r="FW59" s="35"/>
      <c r="FX59" s="35"/>
      <c r="FY59" s="35"/>
      <c r="FZ59" s="35"/>
      <c r="GA59" s="35"/>
      <c r="GB59" s="35"/>
      <c r="GC59" s="35"/>
      <c r="GD59" s="35"/>
      <c r="GE59" s="35"/>
      <c r="GF59" s="35"/>
      <c r="GG59" s="35"/>
      <c r="GH59" s="35"/>
      <c r="GI59" s="35"/>
      <c r="GJ59" s="35"/>
      <c r="GK59" s="35"/>
      <c r="GL59" s="35"/>
      <c r="GM59" s="35"/>
      <c r="GN59" s="35"/>
      <c r="GO59" s="35"/>
      <c r="GP59" s="35"/>
      <c r="GQ59" s="35"/>
      <c r="GR59" s="35"/>
      <c r="GS59" s="35"/>
      <c r="GT59" s="35"/>
      <c r="GU59" s="35"/>
      <c r="GV59" s="35"/>
      <c r="GW59" s="35"/>
      <c r="GX59" s="35"/>
      <c r="GY59" s="35"/>
      <c r="GZ59" s="35"/>
      <c r="HA59" s="35"/>
      <c r="HB59" s="35"/>
      <c r="HC59" s="35"/>
      <c r="HD59" s="35"/>
      <c r="HE59" s="35"/>
      <c r="HF59" s="35"/>
      <c r="HG59" s="35"/>
      <c r="HH59" s="35"/>
      <c r="HI59" s="35"/>
      <c r="HJ59" s="35"/>
      <c r="HK59" s="35"/>
      <c r="HL59" s="35"/>
      <c r="HM59" s="35"/>
      <c r="HN59" s="35"/>
      <c r="HO59" s="35"/>
      <c r="HP59" s="35"/>
      <c r="HQ59" s="35"/>
      <c r="HR59" s="35"/>
      <c r="HS59" s="35"/>
      <c r="HT59" s="35"/>
      <c r="HU59" s="35"/>
      <c r="HV59" s="35"/>
      <c r="HW59" s="35"/>
      <c r="HX59" s="35"/>
      <c r="HY59" s="35"/>
      <c r="HZ59" s="35"/>
      <c r="IA59" s="35"/>
      <c r="IB59" s="35"/>
      <c r="IC59" s="35"/>
      <c r="ID59" s="35"/>
      <c r="IE59" s="35"/>
      <c r="IF59" s="35"/>
      <c r="IG59" s="35"/>
      <c r="IH59" s="35"/>
      <c r="II59" s="35"/>
      <c r="IJ59" s="35"/>
      <c r="IK59" s="35"/>
      <c r="IL59" s="35"/>
      <c r="IM59" s="35"/>
      <c r="IN59" s="35"/>
      <c r="IO59" s="35"/>
      <c r="IP59" s="35"/>
      <c r="IQ59" s="35"/>
      <c r="IR59" s="35"/>
      <c r="IS59" s="35"/>
      <c r="IT59" s="35"/>
      <c r="IU59" s="35"/>
      <c r="IV59" s="35"/>
      <c r="IW59" s="35"/>
      <c r="IX59" s="35"/>
      <c r="IY59" s="35"/>
      <c r="IZ59" s="35"/>
      <c r="JA59" s="35"/>
      <c r="JB59" s="35"/>
      <c r="JC59" s="35"/>
      <c r="JD59" s="35"/>
      <c r="JE59" s="35"/>
      <c r="JF59" s="35"/>
      <c r="JG59" s="35"/>
      <c r="JH59" s="35"/>
      <c r="JI59" s="35"/>
      <c r="JJ59" s="35"/>
      <c r="JK59" s="35"/>
      <c r="JL59" s="35"/>
      <c r="JM59" s="35"/>
      <c r="JN59" s="35"/>
      <c r="JO59" s="35"/>
      <c r="JP59" s="35"/>
      <c r="JQ59" s="35"/>
      <c r="JR59" s="35"/>
      <c r="JS59" s="35"/>
      <c r="JT59" s="35"/>
      <c r="JU59" s="35"/>
      <c r="JV59" s="35"/>
      <c r="JW59" s="35"/>
      <c r="JX59" s="35"/>
      <c r="JY59" s="35"/>
      <c r="JZ59" s="35"/>
      <c r="KA59" s="35"/>
      <c r="KB59" s="35"/>
      <c r="KC59" s="35"/>
      <c r="KD59" s="35"/>
      <c r="KE59" s="35"/>
      <c r="KF59" s="35"/>
      <c r="KG59" s="35"/>
      <c r="KH59" s="35"/>
      <c r="KI59" s="35"/>
      <c r="KJ59" s="35"/>
      <c r="KK59" s="35"/>
      <c r="KL59" s="35"/>
      <c r="KM59" s="35"/>
      <c r="KN59" s="35"/>
      <c r="KO59" s="35"/>
      <c r="KP59" s="35"/>
      <c r="KQ59" s="35"/>
      <c r="KR59" s="35"/>
      <c r="KS59" s="35"/>
      <c r="KT59" s="35"/>
      <c r="KU59" s="35"/>
      <c r="KV59" s="35"/>
      <c r="KW59" s="35"/>
      <c r="KX59" s="35"/>
      <c r="KY59" s="35"/>
      <c r="KZ59" s="35"/>
      <c r="LA59" s="35"/>
      <c r="LB59" s="35"/>
      <c r="LC59" s="35"/>
      <c r="LD59" s="35"/>
      <c r="LE59" s="35"/>
      <c r="LF59" s="35"/>
      <c r="LG59" s="35"/>
      <c r="LH59" s="35"/>
      <c r="LI59" s="35"/>
      <c r="LJ59" s="35"/>
      <c r="LK59" s="35"/>
      <c r="LL59" s="35"/>
      <c r="LM59" s="35"/>
      <c r="LN59" s="35"/>
      <c r="LO59" s="35"/>
      <c r="LP59" s="35"/>
      <c r="LQ59" s="35"/>
      <c r="LR59" s="35"/>
      <c r="LS59" s="35"/>
      <c r="LT59" s="35"/>
      <c r="LU59" s="35"/>
      <c r="LV59" s="35"/>
      <c r="LW59" s="35"/>
      <c r="LX59" s="35"/>
      <c r="LY59" s="35"/>
      <c r="LZ59" s="35"/>
      <c r="MA59" s="35"/>
      <c r="MB59" s="35"/>
      <c r="MC59" s="35"/>
      <c r="MD59" s="35"/>
      <c r="ME59" s="35"/>
      <c r="MF59" s="35"/>
      <c r="MG59" s="35"/>
      <c r="MH59" s="35"/>
      <c r="MI59" s="35"/>
      <c r="MJ59" s="35"/>
      <c r="MK59" s="35"/>
      <c r="ML59" s="35"/>
      <c r="MM59" s="35"/>
      <c r="MN59" s="35"/>
      <c r="MO59" s="35"/>
      <c r="MP59" s="35"/>
      <c r="MQ59" s="35"/>
      <c r="MR59" s="35"/>
      <c r="MS59" s="35"/>
      <c r="MT59" s="35"/>
      <c r="MU59" s="35"/>
      <c r="MV59" s="35"/>
      <c r="MW59" s="35"/>
      <c r="MX59" s="35"/>
      <c r="MY59" s="35"/>
      <c r="MZ59" s="35"/>
      <c r="NA59" s="35"/>
      <c r="NB59" s="35"/>
      <c r="NC59" s="35"/>
      <c r="ND59" s="35"/>
      <c r="NE59" s="35"/>
      <c r="NF59" s="35"/>
      <c r="NG59" s="35"/>
      <c r="NH59" s="35"/>
      <c r="NI59" s="35"/>
      <c r="NJ59" s="35"/>
      <c r="NK59" s="35"/>
      <c r="NL59" s="35"/>
      <c r="NM59" s="35"/>
      <c r="NN59" s="35"/>
      <c r="NO59" s="35"/>
      <c r="NP59" s="35"/>
      <c r="NQ59" s="35"/>
      <c r="NR59" s="35"/>
      <c r="NS59" s="35"/>
      <c r="NT59" s="35"/>
      <c r="NU59" s="35"/>
      <c r="NV59" s="35"/>
      <c r="NW59" s="35"/>
      <c r="NX59" s="35"/>
      <c r="NY59" s="35"/>
      <c r="NZ59" s="35"/>
      <c r="OA59" s="35"/>
      <c r="OB59" s="35"/>
      <c r="OC59" s="35"/>
      <c r="OD59" s="35"/>
      <c r="OE59" s="35"/>
      <c r="OF59" s="35"/>
      <c r="OG59" s="35"/>
      <c r="OH59" s="35"/>
      <c r="OI59" s="35"/>
      <c r="OJ59" s="35"/>
      <c r="OK59" s="35"/>
      <c r="OL59" s="35"/>
      <c r="OM59" s="35"/>
      <c r="ON59" s="35"/>
      <c r="OO59" s="35"/>
      <c r="OP59" s="35"/>
      <c r="OQ59" s="35"/>
      <c r="OR59" s="35"/>
      <c r="OS59" s="35"/>
      <c r="OT59" s="35"/>
      <c r="OU59" s="35"/>
      <c r="OV59" s="35"/>
    </row>
    <row r="60" ht="18.0" customHeight="1">
      <c r="A60" s="34">
        <v>59.0</v>
      </c>
      <c r="B60" s="35" t="s">
        <v>724</v>
      </c>
      <c r="C60" s="36" t="s">
        <v>2135</v>
      </c>
      <c r="D60" s="35" t="s">
        <v>1116</v>
      </c>
      <c r="E60" s="34">
        <v>30.0</v>
      </c>
      <c r="F60" s="34" t="str">
        <f t="shared" si="1"/>
        <v>#REF!</v>
      </c>
      <c r="G60" s="34">
        <f t="shared" si="2"/>
        <v>0</v>
      </c>
      <c r="H60" s="34">
        <f t="shared" si="3"/>
        <v>0</v>
      </c>
      <c r="I60" s="34">
        <f t="shared" si="4"/>
        <v>0</v>
      </c>
      <c r="J60" s="37" t="s">
        <v>625</v>
      </c>
      <c r="K60" s="37" t="b">
        <v>0</v>
      </c>
      <c r="L60" s="38" t="s">
        <v>71</v>
      </c>
      <c r="M60" s="35" t="str">
        <f>IFERROR(__xludf.DUMMYFUNCTION("IFERROR(TOROW(CHOOSECOLS(SORT(FILTER({'Tổng hợp 75 trang đích'!$J$2:$J$3260,'Tổng hợp 75 trang đích'!$I$2:$I$3260,MATCH('Tổng hợp 75 trang đích'!$K$2:$K$3260,{""PHÙ HỢP CAO"",""CÓ THỂ ĐI"",""CẦN SOÁT""},0)},'Tổng hợp 75 trang đích'!$B$2:$B$3260=$D60),3,TR"&amp;"UE),1,2)),"""")"),"")</f>
        <v/>
      </c>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c r="BM60" s="35"/>
      <c r="BN60" s="35"/>
      <c r="BO60" s="35"/>
      <c r="BP60" s="35"/>
      <c r="BQ60" s="35"/>
      <c r="BR60" s="35"/>
      <c r="BS60" s="35"/>
      <c r="BT60" s="35"/>
      <c r="BU60" s="35"/>
      <c r="BV60" s="35"/>
      <c r="BW60" s="35"/>
      <c r="BX60" s="35"/>
      <c r="BY60" s="35"/>
      <c r="BZ60" s="35"/>
      <c r="CA60" s="35"/>
      <c r="CB60" s="35"/>
      <c r="CC60" s="35"/>
      <c r="CD60" s="35"/>
      <c r="CE60" s="35"/>
      <c r="CF60" s="35"/>
      <c r="CG60" s="35"/>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5"/>
      <c r="EG60" s="35"/>
      <c r="EH60" s="35"/>
      <c r="EI60" s="35"/>
      <c r="EJ60" s="35"/>
      <c r="EK60" s="35"/>
      <c r="EL60" s="35"/>
      <c r="EM60" s="35"/>
      <c r="EN60" s="35"/>
      <c r="EO60" s="35"/>
      <c r="EP60" s="35"/>
      <c r="EQ60" s="35"/>
      <c r="ER60" s="35"/>
      <c r="ES60" s="35"/>
      <c r="ET60" s="35"/>
      <c r="EU60" s="35"/>
      <c r="EV60" s="35"/>
      <c r="EW60" s="35"/>
      <c r="EX60" s="35"/>
      <c r="EY60" s="35"/>
      <c r="EZ60" s="35"/>
      <c r="FA60" s="35"/>
      <c r="FB60" s="35"/>
      <c r="FC60" s="35"/>
      <c r="FD60" s="35"/>
      <c r="FE60" s="35"/>
      <c r="FF60" s="35"/>
      <c r="FG60" s="35"/>
      <c r="FH60" s="35"/>
      <c r="FI60" s="35"/>
      <c r="FJ60" s="35"/>
      <c r="FK60" s="35"/>
      <c r="FL60" s="35"/>
      <c r="FM60" s="35"/>
      <c r="FN60" s="35"/>
      <c r="FO60" s="35"/>
      <c r="FP60" s="35"/>
      <c r="FQ60" s="35"/>
      <c r="FR60" s="35"/>
      <c r="FS60" s="35"/>
      <c r="FT60" s="35"/>
      <c r="FU60" s="35"/>
      <c r="FV60" s="35"/>
      <c r="FW60" s="35"/>
      <c r="FX60" s="35"/>
      <c r="FY60" s="35"/>
      <c r="FZ60" s="35"/>
      <c r="GA60" s="35"/>
      <c r="GB60" s="35"/>
      <c r="GC60" s="35"/>
      <c r="GD60" s="35"/>
      <c r="GE60" s="35"/>
      <c r="GF60" s="35"/>
      <c r="GG60" s="35"/>
      <c r="GH60" s="35"/>
      <c r="GI60" s="35"/>
      <c r="GJ60" s="35"/>
      <c r="GK60" s="35"/>
      <c r="GL60" s="35"/>
      <c r="GM60" s="35"/>
      <c r="GN60" s="35"/>
      <c r="GO60" s="35"/>
      <c r="GP60" s="35"/>
      <c r="GQ60" s="35"/>
      <c r="GR60" s="35"/>
      <c r="GS60" s="35"/>
      <c r="GT60" s="35"/>
      <c r="GU60" s="35"/>
      <c r="GV60" s="35"/>
      <c r="GW60" s="35"/>
      <c r="GX60" s="35"/>
      <c r="GY60" s="35"/>
      <c r="GZ60" s="35"/>
      <c r="HA60" s="35"/>
      <c r="HB60" s="35"/>
      <c r="HC60" s="35"/>
      <c r="HD60" s="35"/>
      <c r="HE60" s="35"/>
      <c r="HF60" s="35"/>
      <c r="HG60" s="35"/>
      <c r="HH60" s="35"/>
      <c r="HI60" s="35"/>
      <c r="HJ60" s="35"/>
      <c r="HK60" s="35"/>
      <c r="HL60" s="35"/>
      <c r="HM60" s="35"/>
      <c r="HN60" s="35"/>
      <c r="HO60" s="35"/>
      <c r="HP60" s="35"/>
      <c r="HQ60" s="35"/>
      <c r="HR60" s="35"/>
      <c r="HS60" s="35"/>
      <c r="HT60" s="35"/>
      <c r="HU60" s="35"/>
      <c r="HV60" s="35"/>
      <c r="HW60" s="35"/>
      <c r="HX60" s="35"/>
      <c r="HY60" s="35"/>
      <c r="HZ60" s="35"/>
      <c r="IA60" s="35"/>
      <c r="IB60" s="35"/>
      <c r="IC60" s="35"/>
      <c r="ID60" s="35"/>
      <c r="IE60" s="35"/>
      <c r="IF60" s="35"/>
      <c r="IG60" s="35"/>
      <c r="IH60" s="35"/>
      <c r="II60" s="35"/>
      <c r="IJ60" s="35"/>
      <c r="IK60" s="35"/>
      <c r="IL60" s="35"/>
      <c r="IM60" s="35"/>
      <c r="IN60" s="35"/>
      <c r="IO60" s="35"/>
      <c r="IP60" s="35"/>
      <c r="IQ60" s="35"/>
      <c r="IR60" s="35"/>
      <c r="IS60" s="35"/>
      <c r="IT60" s="35"/>
      <c r="IU60" s="35"/>
      <c r="IV60" s="35"/>
      <c r="IW60" s="35"/>
      <c r="IX60" s="35"/>
      <c r="IY60" s="35"/>
      <c r="IZ60" s="35"/>
      <c r="JA60" s="35"/>
      <c r="JB60" s="35"/>
      <c r="JC60" s="35"/>
      <c r="JD60" s="35"/>
      <c r="JE60" s="35"/>
      <c r="JF60" s="35"/>
      <c r="JG60" s="35"/>
      <c r="JH60" s="35"/>
      <c r="JI60" s="35"/>
      <c r="JJ60" s="35"/>
      <c r="JK60" s="35"/>
      <c r="JL60" s="35"/>
      <c r="JM60" s="35"/>
      <c r="JN60" s="35"/>
      <c r="JO60" s="35"/>
      <c r="JP60" s="35"/>
      <c r="JQ60" s="35"/>
      <c r="JR60" s="35"/>
      <c r="JS60" s="35"/>
      <c r="JT60" s="35"/>
      <c r="JU60" s="35"/>
      <c r="JV60" s="35"/>
      <c r="JW60" s="35"/>
      <c r="JX60" s="35"/>
      <c r="JY60" s="35"/>
      <c r="JZ60" s="35"/>
      <c r="KA60" s="35"/>
      <c r="KB60" s="35"/>
      <c r="KC60" s="35"/>
      <c r="KD60" s="35"/>
      <c r="KE60" s="35"/>
      <c r="KF60" s="35"/>
      <c r="KG60" s="35"/>
      <c r="KH60" s="35"/>
      <c r="KI60" s="35"/>
      <c r="KJ60" s="35"/>
      <c r="KK60" s="35"/>
      <c r="KL60" s="35"/>
      <c r="KM60" s="35"/>
      <c r="KN60" s="35"/>
      <c r="KO60" s="35"/>
      <c r="KP60" s="35"/>
      <c r="KQ60" s="35"/>
      <c r="KR60" s="35"/>
      <c r="KS60" s="35"/>
      <c r="KT60" s="35"/>
      <c r="KU60" s="35"/>
      <c r="KV60" s="35"/>
      <c r="KW60" s="35"/>
      <c r="KX60" s="35"/>
      <c r="KY60" s="35"/>
      <c r="KZ60" s="35"/>
      <c r="LA60" s="35"/>
      <c r="LB60" s="35"/>
      <c r="LC60" s="35"/>
      <c r="LD60" s="35"/>
      <c r="LE60" s="35"/>
      <c r="LF60" s="35"/>
      <c r="LG60" s="35"/>
      <c r="LH60" s="35"/>
      <c r="LI60" s="35"/>
      <c r="LJ60" s="35"/>
      <c r="LK60" s="35"/>
      <c r="LL60" s="35"/>
      <c r="LM60" s="35"/>
      <c r="LN60" s="35"/>
      <c r="LO60" s="35"/>
      <c r="LP60" s="35"/>
      <c r="LQ60" s="35"/>
      <c r="LR60" s="35"/>
      <c r="LS60" s="35"/>
      <c r="LT60" s="35"/>
      <c r="LU60" s="35"/>
      <c r="LV60" s="35"/>
      <c r="LW60" s="35"/>
      <c r="LX60" s="35"/>
      <c r="LY60" s="35"/>
      <c r="LZ60" s="35"/>
      <c r="MA60" s="35"/>
      <c r="MB60" s="35"/>
      <c r="MC60" s="35"/>
      <c r="MD60" s="35"/>
      <c r="ME60" s="35"/>
      <c r="MF60" s="35"/>
      <c r="MG60" s="35"/>
      <c r="MH60" s="35"/>
      <c r="MI60" s="35"/>
      <c r="MJ60" s="35"/>
      <c r="MK60" s="35"/>
      <c r="ML60" s="35"/>
      <c r="MM60" s="35"/>
      <c r="MN60" s="35"/>
      <c r="MO60" s="35"/>
      <c r="MP60" s="35"/>
      <c r="MQ60" s="35"/>
      <c r="MR60" s="35"/>
      <c r="MS60" s="35"/>
      <c r="MT60" s="35"/>
      <c r="MU60" s="35"/>
      <c r="MV60" s="35"/>
      <c r="MW60" s="35"/>
      <c r="MX60" s="35"/>
      <c r="MY60" s="35"/>
      <c r="MZ60" s="35"/>
      <c r="NA60" s="35"/>
      <c r="NB60" s="35"/>
      <c r="NC60" s="35"/>
      <c r="ND60" s="35"/>
      <c r="NE60" s="35"/>
      <c r="NF60" s="35"/>
      <c r="NG60" s="35"/>
      <c r="NH60" s="35"/>
      <c r="NI60" s="35"/>
      <c r="NJ60" s="35"/>
      <c r="NK60" s="35"/>
      <c r="NL60" s="35"/>
      <c r="NM60" s="35"/>
      <c r="NN60" s="35"/>
      <c r="NO60" s="35"/>
      <c r="NP60" s="35"/>
      <c r="NQ60" s="35"/>
      <c r="NR60" s="35"/>
      <c r="NS60" s="35"/>
      <c r="NT60" s="35"/>
      <c r="NU60" s="35"/>
      <c r="NV60" s="35"/>
      <c r="NW60" s="35"/>
      <c r="NX60" s="35"/>
      <c r="NY60" s="35"/>
      <c r="NZ60" s="35"/>
      <c r="OA60" s="35"/>
      <c r="OB60" s="35"/>
      <c r="OC60" s="35"/>
      <c r="OD60" s="35"/>
      <c r="OE60" s="35"/>
      <c r="OF60" s="35"/>
      <c r="OG60" s="35"/>
      <c r="OH60" s="35"/>
      <c r="OI60" s="35"/>
      <c r="OJ60" s="35"/>
      <c r="OK60" s="35"/>
      <c r="OL60" s="35"/>
      <c r="OM60" s="35"/>
      <c r="ON60" s="35"/>
      <c r="OO60" s="35"/>
      <c r="OP60" s="35"/>
      <c r="OQ60" s="35"/>
      <c r="OR60" s="35"/>
      <c r="OS60" s="35"/>
      <c r="OT60" s="35"/>
      <c r="OU60" s="35"/>
      <c r="OV60" s="35"/>
    </row>
    <row r="61" ht="18.0" customHeight="1">
      <c r="A61" s="34">
        <v>60.0</v>
      </c>
      <c r="B61" s="35" t="s">
        <v>233</v>
      </c>
      <c r="C61" s="36" t="s">
        <v>2152</v>
      </c>
      <c r="D61" s="35" t="s">
        <v>231</v>
      </c>
      <c r="E61" s="34">
        <v>200.0</v>
      </c>
      <c r="F61" s="34" t="str">
        <f t="shared" si="1"/>
        <v>#REF!</v>
      </c>
      <c r="G61" s="34">
        <f t="shared" si="2"/>
        <v>0</v>
      </c>
      <c r="H61" s="34">
        <f t="shared" si="3"/>
        <v>0</v>
      </c>
      <c r="I61" s="34">
        <f t="shared" si="4"/>
        <v>0</v>
      </c>
      <c r="J61" s="37" t="s">
        <v>625</v>
      </c>
      <c r="K61" s="37" t="b">
        <v>0</v>
      </c>
      <c r="L61" s="38" t="s">
        <v>71</v>
      </c>
      <c r="M61" s="35" t="str">
        <f>IFERROR(__xludf.DUMMYFUNCTION("IFERROR(TOROW(CHOOSECOLS(SORT(FILTER({'Tổng hợp 75 trang đích'!$J$2:$J$3260,'Tổng hợp 75 trang đích'!$I$2:$I$3260,MATCH('Tổng hợp 75 trang đích'!$K$2:$K$3260,{""PHÙ HỢP CAO"",""CÓ THỂ ĐI"",""CẦN SOÁT""},0)},'Tổng hợp 75 trang đích'!$B$2:$B$3260=$D61),3,TR"&amp;"UE),1,2)),"""")"),"")</f>
        <v/>
      </c>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c r="BM61" s="35"/>
      <c r="BN61" s="35"/>
      <c r="BO61" s="35"/>
      <c r="BP61" s="35"/>
      <c r="BQ61" s="35"/>
      <c r="BR61" s="35"/>
      <c r="BS61" s="35"/>
      <c r="BT61" s="35"/>
      <c r="BU61" s="35"/>
      <c r="BV61" s="35"/>
      <c r="BW61" s="35"/>
      <c r="BX61" s="35"/>
      <c r="BY61" s="35"/>
      <c r="BZ61" s="35"/>
      <c r="CA61" s="35"/>
      <c r="CB61" s="35"/>
      <c r="CC61" s="35"/>
      <c r="CD61" s="35"/>
      <c r="CE61" s="35"/>
      <c r="CF61" s="35"/>
      <c r="CG61" s="35"/>
      <c r="CH61" s="35"/>
      <c r="CI61" s="35"/>
      <c r="CJ61" s="35"/>
      <c r="CK61" s="35"/>
      <c r="CL61" s="35"/>
      <c r="CM61" s="35"/>
      <c r="CN61" s="35"/>
      <c r="CO61" s="35"/>
      <c r="CP61" s="35"/>
      <c r="CQ61" s="35"/>
      <c r="CR61" s="35"/>
      <c r="CS61" s="35"/>
      <c r="CT61" s="35"/>
      <c r="CU61" s="35"/>
      <c r="CV61" s="35"/>
      <c r="CW61" s="35"/>
      <c r="CX61" s="35"/>
      <c r="CY61" s="35"/>
      <c r="CZ61" s="35"/>
      <c r="DA61" s="35"/>
      <c r="DB61" s="35"/>
      <c r="DC61" s="35"/>
      <c r="DD61" s="35"/>
      <c r="DE61" s="35"/>
      <c r="DF61" s="35"/>
      <c r="DG61" s="35"/>
      <c r="DH61" s="35"/>
      <c r="DI61" s="35"/>
      <c r="DJ61" s="35"/>
      <c r="DK61" s="35"/>
      <c r="DL61" s="35"/>
      <c r="DM61" s="35"/>
      <c r="DN61" s="35"/>
      <c r="DO61" s="35"/>
      <c r="DP61" s="35"/>
      <c r="DQ61" s="35"/>
      <c r="DR61" s="35"/>
      <c r="DS61" s="35"/>
      <c r="DT61" s="35"/>
      <c r="DU61" s="35"/>
      <c r="DV61" s="35"/>
      <c r="DW61" s="35"/>
      <c r="DX61" s="35"/>
      <c r="DY61" s="35"/>
      <c r="DZ61" s="35"/>
      <c r="EA61" s="35"/>
      <c r="EB61" s="35"/>
      <c r="EC61" s="35"/>
      <c r="ED61" s="35"/>
      <c r="EE61" s="35"/>
      <c r="EF61" s="35"/>
      <c r="EG61" s="35"/>
      <c r="EH61" s="35"/>
      <c r="EI61" s="35"/>
      <c r="EJ61" s="35"/>
      <c r="EK61" s="35"/>
      <c r="EL61" s="35"/>
      <c r="EM61" s="35"/>
      <c r="EN61" s="35"/>
      <c r="EO61" s="35"/>
      <c r="EP61" s="35"/>
      <c r="EQ61" s="35"/>
      <c r="ER61" s="35"/>
      <c r="ES61" s="35"/>
      <c r="ET61" s="35"/>
      <c r="EU61" s="35"/>
      <c r="EV61" s="35"/>
      <c r="EW61" s="35"/>
      <c r="EX61" s="35"/>
      <c r="EY61" s="35"/>
      <c r="EZ61" s="35"/>
      <c r="FA61" s="35"/>
      <c r="FB61" s="35"/>
      <c r="FC61" s="35"/>
      <c r="FD61" s="35"/>
      <c r="FE61" s="35"/>
      <c r="FF61" s="35"/>
      <c r="FG61" s="35"/>
      <c r="FH61" s="35"/>
      <c r="FI61" s="35"/>
      <c r="FJ61" s="35"/>
      <c r="FK61" s="35"/>
      <c r="FL61" s="35"/>
      <c r="FM61" s="35"/>
      <c r="FN61" s="35"/>
      <c r="FO61" s="35"/>
      <c r="FP61" s="35"/>
      <c r="FQ61" s="35"/>
      <c r="FR61" s="35"/>
      <c r="FS61" s="35"/>
      <c r="FT61" s="35"/>
      <c r="FU61" s="35"/>
      <c r="FV61" s="35"/>
      <c r="FW61" s="35"/>
      <c r="FX61" s="35"/>
      <c r="FY61" s="35"/>
      <c r="FZ61" s="35"/>
      <c r="GA61" s="35"/>
      <c r="GB61" s="35"/>
      <c r="GC61" s="35"/>
      <c r="GD61" s="35"/>
      <c r="GE61" s="35"/>
      <c r="GF61" s="35"/>
      <c r="GG61" s="35"/>
      <c r="GH61" s="35"/>
      <c r="GI61" s="35"/>
      <c r="GJ61" s="35"/>
      <c r="GK61" s="35"/>
      <c r="GL61" s="35"/>
      <c r="GM61" s="35"/>
      <c r="GN61" s="35"/>
      <c r="GO61" s="35"/>
      <c r="GP61" s="35"/>
      <c r="GQ61" s="35"/>
      <c r="GR61" s="35"/>
      <c r="GS61" s="35"/>
      <c r="GT61" s="35"/>
      <c r="GU61" s="35"/>
      <c r="GV61" s="35"/>
      <c r="GW61" s="35"/>
      <c r="GX61" s="35"/>
      <c r="GY61" s="35"/>
      <c r="GZ61" s="35"/>
      <c r="HA61" s="35"/>
      <c r="HB61" s="35"/>
      <c r="HC61" s="35"/>
      <c r="HD61" s="35"/>
      <c r="HE61" s="35"/>
      <c r="HF61" s="35"/>
      <c r="HG61" s="35"/>
      <c r="HH61" s="35"/>
      <c r="HI61" s="35"/>
      <c r="HJ61" s="35"/>
      <c r="HK61" s="35"/>
      <c r="HL61" s="35"/>
      <c r="HM61" s="35"/>
      <c r="HN61" s="35"/>
      <c r="HO61" s="35"/>
      <c r="HP61" s="35"/>
      <c r="HQ61" s="35"/>
      <c r="HR61" s="35"/>
      <c r="HS61" s="35"/>
      <c r="HT61" s="35"/>
      <c r="HU61" s="35"/>
      <c r="HV61" s="35"/>
      <c r="HW61" s="35"/>
      <c r="HX61" s="35"/>
      <c r="HY61" s="35"/>
      <c r="HZ61" s="35"/>
      <c r="IA61" s="35"/>
      <c r="IB61" s="35"/>
      <c r="IC61" s="35"/>
      <c r="ID61" s="35"/>
      <c r="IE61" s="35"/>
      <c r="IF61" s="35"/>
      <c r="IG61" s="35"/>
      <c r="IH61" s="35"/>
      <c r="II61" s="35"/>
      <c r="IJ61" s="35"/>
      <c r="IK61" s="35"/>
      <c r="IL61" s="35"/>
      <c r="IM61" s="35"/>
      <c r="IN61" s="35"/>
      <c r="IO61" s="35"/>
      <c r="IP61" s="35"/>
      <c r="IQ61" s="35"/>
      <c r="IR61" s="35"/>
      <c r="IS61" s="35"/>
      <c r="IT61" s="35"/>
      <c r="IU61" s="35"/>
      <c r="IV61" s="35"/>
      <c r="IW61" s="35"/>
      <c r="IX61" s="35"/>
      <c r="IY61" s="35"/>
      <c r="IZ61" s="35"/>
      <c r="JA61" s="35"/>
      <c r="JB61" s="35"/>
      <c r="JC61" s="35"/>
      <c r="JD61" s="35"/>
      <c r="JE61" s="35"/>
      <c r="JF61" s="35"/>
      <c r="JG61" s="35"/>
      <c r="JH61" s="35"/>
      <c r="JI61" s="35"/>
      <c r="JJ61" s="35"/>
      <c r="JK61" s="35"/>
      <c r="JL61" s="35"/>
      <c r="JM61" s="35"/>
      <c r="JN61" s="35"/>
      <c r="JO61" s="35"/>
      <c r="JP61" s="35"/>
      <c r="JQ61" s="35"/>
      <c r="JR61" s="35"/>
      <c r="JS61" s="35"/>
      <c r="JT61" s="35"/>
      <c r="JU61" s="35"/>
      <c r="JV61" s="35"/>
      <c r="JW61" s="35"/>
      <c r="JX61" s="35"/>
      <c r="JY61" s="35"/>
      <c r="JZ61" s="35"/>
      <c r="KA61" s="35"/>
      <c r="KB61" s="35"/>
      <c r="KC61" s="35"/>
      <c r="KD61" s="35"/>
      <c r="KE61" s="35"/>
      <c r="KF61" s="35"/>
      <c r="KG61" s="35"/>
      <c r="KH61" s="35"/>
      <c r="KI61" s="35"/>
      <c r="KJ61" s="35"/>
      <c r="KK61" s="35"/>
      <c r="KL61" s="35"/>
      <c r="KM61" s="35"/>
      <c r="KN61" s="35"/>
      <c r="KO61" s="35"/>
      <c r="KP61" s="35"/>
      <c r="KQ61" s="35"/>
      <c r="KR61" s="35"/>
      <c r="KS61" s="35"/>
      <c r="KT61" s="35"/>
      <c r="KU61" s="35"/>
      <c r="KV61" s="35"/>
      <c r="KW61" s="35"/>
      <c r="KX61" s="35"/>
      <c r="KY61" s="35"/>
      <c r="KZ61" s="35"/>
      <c r="LA61" s="35"/>
      <c r="LB61" s="35"/>
      <c r="LC61" s="35"/>
      <c r="LD61" s="35"/>
      <c r="LE61" s="35"/>
      <c r="LF61" s="35"/>
      <c r="LG61" s="35"/>
      <c r="LH61" s="35"/>
      <c r="LI61" s="35"/>
      <c r="LJ61" s="35"/>
      <c r="LK61" s="35"/>
      <c r="LL61" s="35"/>
      <c r="LM61" s="35"/>
      <c r="LN61" s="35"/>
      <c r="LO61" s="35"/>
      <c r="LP61" s="35"/>
      <c r="LQ61" s="35"/>
      <c r="LR61" s="35"/>
      <c r="LS61" s="35"/>
      <c r="LT61" s="35"/>
      <c r="LU61" s="35"/>
      <c r="LV61" s="35"/>
      <c r="LW61" s="35"/>
      <c r="LX61" s="35"/>
      <c r="LY61" s="35"/>
      <c r="LZ61" s="35"/>
      <c r="MA61" s="35"/>
      <c r="MB61" s="35"/>
      <c r="MC61" s="35"/>
      <c r="MD61" s="35"/>
      <c r="ME61" s="35"/>
      <c r="MF61" s="35"/>
      <c r="MG61" s="35"/>
      <c r="MH61" s="35"/>
      <c r="MI61" s="35"/>
      <c r="MJ61" s="35"/>
      <c r="MK61" s="35"/>
      <c r="ML61" s="35"/>
      <c r="MM61" s="35"/>
      <c r="MN61" s="35"/>
      <c r="MO61" s="35"/>
      <c r="MP61" s="35"/>
      <c r="MQ61" s="35"/>
      <c r="MR61" s="35"/>
      <c r="MS61" s="35"/>
      <c r="MT61" s="35"/>
      <c r="MU61" s="35"/>
      <c r="MV61" s="35"/>
      <c r="MW61" s="35"/>
      <c r="MX61" s="35"/>
      <c r="MY61" s="35"/>
      <c r="MZ61" s="35"/>
      <c r="NA61" s="35"/>
      <c r="NB61" s="35"/>
      <c r="NC61" s="35"/>
      <c r="ND61" s="35"/>
      <c r="NE61" s="35"/>
      <c r="NF61" s="35"/>
      <c r="NG61" s="35"/>
      <c r="NH61" s="35"/>
      <c r="NI61" s="35"/>
      <c r="NJ61" s="35"/>
      <c r="NK61" s="35"/>
      <c r="NL61" s="35"/>
      <c r="NM61" s="35"/>
      <c r="NN61" s="35"/>
      <c r="NO61" s="35"/>
      <c r="NP61" s="35"/>
      <c r="NQ61" s="35"/>
      <c r="NR61" s="35"/>
      <c r="NS61" s="35"/>
      <c r="NT61" s="35"/>
      <c r="NU61" s="35"/>
      <c r="NV61" s="35"/>
      <c r="NW61" s="35"/>
      <c r="NX61" s="35"/>
      <c r="NY61" s="35"/>
      <c r="NZ61" s="35"/>
      <c r="OA61" s="35"/>
      <c r="OB61" s="35"/>
      <c r="OC61" s="35"/>
      <c r="OD61" s="35"/>
      <c r="OE61" s="35"/>
      <c r="OF61" s="35"/>
      <c r="OG61" s="35"/>
      <c r="OH61" s="35"/>
      <c r="OI61" s="35"/>
      <c r="OJ61" s="35"/>
      <c r="OK61" s="35"/>
      <c r="OL61" s="35"/>
      <c r="OM61" s="35"/>
      <c r="ON61" s="35"/>
      <c r="OO61" s="35"/>
      <c r="OP61" s="35"/>
      <c r="OQ61" s="35"/>
      <c r="OR61" s="35"/>
      <c r="OS61" s="35"/>
      <c r="OT61" s="35"/>
      <c r="OU61" s="35"/>
      <c r="OV61" s="35"/>
    </row>
    <row r="62" ht="18.0" customHeight="1">
      <c r="A62" s="34">
        <v>61.0</v>
      </c>
      <c r="B62" s="35" t="s">
        <v>233</v>
      </c>
      <c r="C62" s="36" t="s">
        <v>2168</v>
      </c>
      <c r="D62" s="35" t="s">
        <v>464</v>
      </c>
      <c r="E62" s="34">
        <v>150.0</v>
      </c>
      <c r="F62" s="34" t="str">
        <f t="shared" si="1"/>
        <v>#REF!</v>
      </c>
      <c r="G62" s="34">
        <f t="shared" si="2"/>
        <v>0</v>
      </c>
      <c r="H62" s="34">
        <f t="shared" si="3"/>
        <v>0</v>
      </c>
      <c r="I62" s="34">
        <f t="shared" si="4"/>
        <v>0</v>
      </c>
      <c r="J62" s="37" t="s">
        <v>625</v>
      </c>
      <c r="K62" s="37" t="b">
        <v>0</v>
      </c>
      <c r="L62" s="38" t="s">
        <v>71</v>
      </c>
      <c r="M62" s="35" t="str">
        <f>IFERROR(__xludf.DUMMYFUNCTION("IFERROR(TOROW(CHOOSECOLS(SORT(FILTER({'Tổng hợp 75 trang đích'!$J$2:$J$3260,'Tổng hợp 75 trang đích'!$I$2:$I$3260,MATCH('Tổng hợp 75 trang đích'!$K$2:$K$3260,{""PHÙ HỢP CAO"",""CÓ THỂ ĐI"",""CẦN SOÁT""},0)},'Tổng hợp 75 trang đích'!$B$2:$B$3260=$D62),3,TR"&amp;"UE),1,2)),"""")"),"")</f>
        <v/>
      </c>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c r="BM62" s="35"/>
      <c r="BN62" s="35"/>
      <c r="BO62" s="35"/>
      <c r="BP62" s="35"/>
      <c r="BQ62" s="35"/>
      <c r="BR62" s="35"/>
      <c r="BS62" s="35"/>
      <c r="BT62" s="35"/>
      <c r="BU62" s="35"/>
      <c r="BV62" s="35"/>
      <c r="BW62" s="35"/>
      <c r="BX62" s="35"/>
      <c r="BY62" s="35"/>
      <c r="BZ62" s="35"/>
      <c r="CA62" s="35"/>
      <c r="CB62" s="35"/>
      <c r="CC62" s="35"/>
      <c r="CD62" s="35"/>
      <c r="CE62" s="35"/>
      <c r="CF62" s="35"/>
      <c r="CG62" s="35"/>
      <c r="CH62" s="35"/>
      <c r="CI62" s="35"/>
      <c r="CJ62" s="35"/>
      <c r="CK62" s="35"/>
      <c r="CL62" s="35"/>
      <c r="CM62" s="35"/>
      <c r="CN62" s="35"/>
      <c r="CO62" s="35"/>
      <c r="CP62" s="35"/>
      <c r="CQ62" s="35"/>
      <c r="CR62" s="35"/>
      <c r="CS62" s="35"/>
      <c r="CT62" s="35"/>
      <c r="CU62" s="35"/>
      <c r="CV62" s="35"/>
      <c r="CW62" s="35"/>
      <c r="CX62" s="35"/>
      <c r="CY62" s="35"/>
      <c r="CZ62" s="35"/>
      <c r="DA62" s="35"/>
      <c r="DB62" s="35"/>
      <c r="DC62" s="35"/>
      <c r="DD62" s="35"/>
      <c r="DE62" s="35"/>
      <c r="DF62" s="35"/>
      <c r="DG62" s="35"/>
      <c r="DH62" s="35"/>
      <c r="DI62" s="35"/>
      <c r="DJ62" s="35"/>
      <c r="DK62" s="35"/>
      <c r="DL62" s="35"/>
      <c r="DM62" s="35"/>
      <c r="DN62" s="35"/>
      <c r="DO62" s="35"/>
      <c r="DP62" s="35"/>
      <c r="DQ62" s="35"/>
      <c r="DR62" s="35"/>
      <c r="DS62" s="35"/>
      <c r="DT62" s="35"/>
      <c r="DU62" s="35"/>
      <c r="DV62" s="35"/>
      <c r="DW62" s="35"/>
      <c r="DX62" s="35"/>
      <c r="DY62" s="35"/>
      <c r="DZ62" s="35"/>
      <c r="EA62" s="35"/>
      <c r="EB62" s="35"/>
      <c r="EC62" s="35"/>
      <c r="ED62" s="35"/>
      <c r="EE62" s="35"/>
      <c r="EF62" s="35"/>
      <c r="EG62" s="35"/>
      <c r="EH62" s="35"/>
      <c r="EI62" s="35"/>
      <c r="EJ62" s="35"/>
      <c r="EK62" s="35"/>
      <c r="EL62" s="35"/>
      <c r="EM62" s="35"/>
      <c r="EN62" s="35"/>
      <c r="EO62" s="35"/>
      <c r="EP62" s="35"/>
      <c r="EQ62" s="35"/>
      <c r="ER62" s="35"/>
      <c r="ES62" s="35"/>
      <c r="ET62" s="35"/>
      <c r="EU62" s="35"/>
      <c r="EV62" s="35"/>
      <c r="EW62" s="35"/>
      <c r="EX62" s="35"/>
      <c r="EY62" s="35"/>
      <c r="EZ62" s="35"/>
      <c r="FA62" s="35"/>
      <c r="FB62" s="35"/>
      <c r="FC62" s="35"/>
      <c r="FD62" s="35"/>
      <c r="FE62" s="35"/>
      <c r="FF62" s="35"/>
      <c r="FG62" s="35"/>
      <c r="FH62" s="35"/>
      <c r="FI62" s="35"/>
      <c r="FJ62" s="35"/>
      <c r="FK62" s="35"/>
      <c r="FL62" s="35"/>
      <c r="FM62" s="35"/>
      <c r="FN62" s="35"/>
      <c r="FO62" s="35"/>
      <c r="FP62" s="35"/>
      <c r="FQ62" s="35"/>
      <c r="FR62" s="35"/>
      <c r="FS62" s="35"/>
      <c r="FT62" s="35"/>
      <c r="FU62" s="35"/>
      <c r="FV62" s="35"/>
      <c r="FW62" s="35"/>
      <c r="FX62" s="35"/>
      <c r="FY62" s="35"/>
      <c r="FZ62" s="35"/>
      <c r="GA62" s="35"/>
      <c r="GB62" s="35"/>
      <c r="GC62" s="35"/>
      <c r="GD62" s="35"/>
      <c r="GE62" s="35"/>
      <c r="GF62" s="35"/>
      <c r="GG62" s="35"/>
      <c r="GH62" s="35"/>
      <c r="GI62" s="35"/>
      <c r="GJ62" s="35"/>
      <c r="GK62" s="35"/>
      <c r="GL62" s="35"/>
      <c r="GM62" s="35"/>
      <c r="GN62" s="35"/>
      <c r="GO62" s="35"/>
      <c r="GP62" s="35"/>
      <c r="GQ62" s="35"/>
      <c r="GR62" s="35"/>
      <c r="GS62" s="35"/>
      <c r="GT62" s="35"/>
      <c r="GU62" s="35"/>
      <c r="GV62" s="35"/>
      <c r="GW62" s="35"/>
      <c r="GX62" s="35"/>
      <c r="GY62" s="35"/>
      <c r="GZ62" s="35"/>
      <c r="HA62" s="35"/>
      <c r="HB62" s="35"/>
      <c r="HC62" s="35"/>
      <c r="HD62" s="35"/>
      <c r="HE62" s="35"/>
      <c r="HF62" s="35"/>
      <c r="HG62" s="35"/>
      <c r="HH62" s="35"/>
      <c r="HI62" s="35"/>
      <c r="HJ62" s="35"/>
      <c r="HK62" s="35"/>
      <c r="HL62" s="35"/>
      <c r="HM62" s="35"/>
      <c r="HN62" s="35"/>
      <c r="HO62" s="35"/>
      <c r="HP62" s="35"/>
      <c r="HQ62" s="35"/>
      <c r="HR62" s="35"/>
      <c r="HS62" s="35"/>
      <c r="HT62" s="35"/>
      <c r="HU62" s="35"/>
      <c r="HV62" s="35"/>
      <c r="HW62" s="35"/>
      <c r="HX62" s="35"/>
      <c r="HY62" s="35"/>
      <c r="HZ62" s="35"/>
      <c r="IA62" s="35"/>
      <c r="IB62" s="35"/>
      <c r="IC62" s="35"/>
      <c r="ID62" s="35"/>
      <c r="IE62" s="35"/>
      <c r="IF62" s="35"/>
      <c r="IG62" s="35"/>
      <c r="IH62" s="35"/>
      <c r="II62" s="35"/>
      <c r="IJ62" s="35"/>
      <c r="IK62" s="35"/>
      <c r="IL62" s="35"/>
      <c r="IM62" s="35"/>
      <c r="IN62" s="35"/>
      <c r="IO62" s="35"/>
      <c r="IP62" s="35"/>
      <c r="IQ62" s="35"/>
      <c r="IR62" s="35"/>
      <c r="IS62" s="35"/>
      <c r="IT62" s="35"/>
      <c r="IU62" s="35"/>
      <c r="IV62" s="35"/>
      <c r="IW62" s="35"/>
      <c r="IX62" s="35"/>
      <c r="IY62" s="35"/>
      <c r="IZ62" s="35"/>
      <c r="JA62" s="35"/>
      <c r="JB62" s="35"/>
      <c r="JC62" s="35"/>
      <c r="JD62" s="35"/>
      <c r="JE62" s="35"/>
      <c r="JF62" s="35"/>
      <c r="JG62" s="35"/>
      <c r="JH62" s="35"/>
      <c r="JI62" s="35"/>
      <c r="JJ62" s="35"/>
      <c r="JK62" s="35"/>
      <c r="JL62" s="35"/>
      <c r="JM62" s="35"/>
      <c r="JN62" s="35"/>
      <c r="JO62" s="35"/>
      <c r="JP62" s="35"/>
      <c r="JQ62" s="35"/>
      <c r="JR62" s="35"/>
      <c r="JS62" s="35"/>
      <c r="JT62" s="35"/>
      <c r="JU62" s="35"/>
      <c r="JV62" s="35"/>
      <c r="JW62" s="35"/>
      <c r="JX62" s="35"/>
      <c r="JY62" s="35"/>
      <c r="JZ62" s="35"/>
      <c r="KA62" s="35"/>
      <c r="KB62" s="35"/>
      <c r="KC62" s="35"/>
      <c r="KD62" s="35"/>
      <c r="KE62" s="35"/>
      <c r="KF62" s="35"/>
      <c r="KG62" s="35"/>
      <c r="KH62" s="35"/>
      <c r="KI62" s="35"/>
      <c r="KJ62" s="35"/>
      <c r="KK62" s="35"/>
      <c r="KL62" s="35"/>
      <c r="KM62" s="35"/>
      <c r="KN62" s="35"/>
      <c r="KO62" s="35"/>
      <c r="KP62" s="35"/>
      <c r="KQ62" s="35"/>
      <c r="KR62" s="35"/>
      <c r="KS62" s="35"/>
      <c r="KT62" s="35"/>
      <c r="KU62" s="35"/>
      <c r="KV62" s="35"/>
      <c r="KW62" s="35"/>
      <c r="KX62" s="35"/>
      <c r="KY62" s="35"/>
      <c r="KZ62" s="35"/>
      <c r="LA62" s="35"/>
      <c r="LB62" s="35"/>
      <c r="LC62" s="35"/>
      <c r="LD62" s="35"/>
      <c r="LE62" s="35"/>
      <c r="LF62" s="35"/>
      <c r="LG62" s="35"/>
      <c r="LH62" s="35"/>
      <c r="LI62" s="35"/>
      <c r="LJ62" s="35"/>
      <c r="LK62" s="35"/>
      <c r="LL62" s="35"/>
      <c r="LM62" s="35"/>
      <c r="LN62" s="35"/>
      <c r="LO62" s="35"/>
      <c r="LP62" s="35"/>
      <c r="LQ62" s="35"/>
      <c r="LR62" s="35"/>
      <c r="LS62" s="35"/>
      <c r="LT62" s="35"/>
      <c r="LU62" s="35"/>
      <c r="LV62" s="35"/>
      <c r="LW62" s="35"/>
      <c r="LX62" s="35"/>
      <c r="LY62" s="35"/>
      <c r="LZ62" s="35"/>
      <c r="MA62" s="35"/>
      <c r="MB62" s="35"/>
      <c r="MC62" s="35"/>
      <c r="MD62" s="35"/>
      <c r="ME62" s="35"/>
      <c r="MF62" s="35"/>
      <c r="MG62" s="35"/>
      <c r="MH62" s="35"/>
      <c r="MI62" s="35"/>
      <c r="MJ62" s="35"/>
      <c r="MK62" s="35"/>
      <c r="ML62" s="35"/>
      <c r="MM62" s="35"/>
      <c r="MN62" s="35"/>
      <c r="MO62" s="35"/>
      <c r="MP62" s="35"/>
      <c r="MQ62" s="35"/>
      <c r="MR62" s="35"/>
      <c r="MS62" s="35"/>
      <c r="MT62" s="35"/>
      <c r="MU62" s="35"/>
      <c r="MV62" s="35"/>
      <c r="MW62" s="35"/>
      <c r="MX62" s="35"/>
      <c r="MY62" s="35"/>
      <c r="MZ62" s="35"/>
      <c r="NA62" s="35"/>
      <c r="NB62" s="35"/>
      <c r="NC62" s="35"/>
      <c r="ND62" s="35"/>
      <c r="NE62" s="35"/>
      <c r="NF62" s="35"/>
      <c r="NG62" s="35"/>
      <c r="NH62" s="35"/>
      <c r="NI62" s="35"/>
      <c r="NJ62" s="35"/>
      <c r="NK62" s="35"/>
      <c r="NL62" s="35"/>
      <c r="NM62" s="35"/>
      <c r="NN62" s="35"/>
      <c r="NO62" s="35"/>
      <c r="NP62" s="35"/>
      <c r="NQ62" s="35"/>
      <c r="NR62" s="35"/>
      <c r="NS62" s="35"/>
      <c r="NT62" s="35"/>
      <c r="NU62" s="35"/>
      <c r="NV62" s="35"/>
      <c r="NW62" s="35"/>
      <c r="NX62" s="35"/>
      <c r="NY62" s="35"/>
      <c r="NZ62" s="35"/>
      <c r="OA62" s="35"/>
      <c r="OB62" s="35"/>
      <c r="OC62" s="35"/>
      <c r="OD62" s="35"/>
      <c r="OE62" s="35"/>
      <c r="OF62" s="35"/>
      <c r="OG62" s="35"/>
      <c r="OH62" s="35"/>
      <c r="OI62" s="35"/>
      <c r="OJ62" s="35"/>
      <c r="OK62" s="35"/>
      <c r="OL62" s="35"/>
      <c r="OM62" s="35"/>
      <c r="ON62" s="35"/>
      <c r="OO62" s="35"/>
      <c r="OP62" s="35"/>
      <c r="OQ62" s="35"/>
      <c r="OR62" s="35"/>
      <c r="OS62" s="35"/>
      <c r="OT62" s="35"/>
      <c r="OU62" s="35"/>
      <c r="OV62" s="35"/>
    </row>
    <row r="63" ht="18.0" customHeight="1">
      <c r="A63" s="34">
        <v>62.0</v>
      </c>
      <c r="B63" s="35" t="s">
        <v>233</v>
      </c>
      <c r="C63" s="36" t="s">
        <v>2190</v>
      </c>
      <c r="D63" s="35" t="s">
        <v>1122</v>
      </c>
      <c r="E63" s="34">
        <v>30.0</v>
      </c>
      <c r="F63" s="34" t="str">
        <f t="shared" si="1"/>
        <v>#REF!</v>
      </c>
      <c r="G63" s="34">
        <f t="shared" si="2"/>
        <v>0</v>
      </c>
      <c r="H63" s="34">
        <f t="shared" si="3"/>
        <v>0</v>
      </c>
      <c r="I63" s="34">
        <f t="shared" si="4"/>
        <v>0</v>
      </c>
      <c r="J63" s="37" t="s">
        <v>625</v>
      </c>
      <c r="K63" s="37" t="b">
        <v>0</v>
      </c>
      <c r="L63" s="38" t="s">
        <v>71</v>
      </c>
      <c r="M63" s="35" t="str">
        <f>IFERROR(__xludf.DUMMYFUNCTION("IFERROR(TOROW(CHOOSECOLS(SORT(FILTER({'Tổng hợp 75 trang đích'!$J$2:$J$3260,'Tổng hợp 75 trang đích'!$I$2:$I$3260,MATCH('Tổng hợp 75 trang đích'!$K$2:$K$3260,{""PHÙ HỢP CAO"",""CÓ THỂ ĐI"",""CẦN SOÁT""},0)},'Tổng hợp 75 trang đích'!$B$2:$B$3260=$D63),3,TR"&amp;"UE),1,2)),"""")"),"")</f>
        <v/>
      </c>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c r="BM63" s="35"/>
      <c r="BN63" s="35"/>
      <c r="BO63" s="35"/>
      <c r="BP63" s="35"/>
      <c r="BQ63" s="35"/>
      <c r="BR63" s="35"/>
      <c r="BS63" s="35"/>
      <c r="BT63" s="35"/>
      <c r="BU63" s="35"/>
      <c r="BV63" s="35"/>
      <c r="BW63" s="35"/>
      <c r="BX63" s="35"/>
      <c r="BY63" s="35"/>
      <c r="BZ63" s="35"/>
      <c r="CA63" s="35"/>
      <c r="CB63" s="35"/>
      <c r="CC63" s="35"/>
      <c r="CD63" s="35"/>
      <c r="CE63" s="35"/>
      <c r="CF63" s="35"/>
      <c r="CG63" s="35"/>
      <c r="CH63" s="35"/>
      <c r="CI63" s="35"/>
      <c r="CJ63" s="35"/>
      <c r="CK63" s="35"/>
      <c r="CL63" s="35"/>
      <c r="CM63" s="35"/>
      <c r="CN63" s="35"/>
      <c r="CO63" s="35"/>
      <c r="CP63" s="35"/>
      <c r="CQ63" s="35"/>
      <c r="CR63" s="35"/>
      <c r="CS63" s="35"/>
      <c r="CT63" s="35"/>
      <c r="CU63" s="35"/>
      <c r="CV63" s="35"/>
      <c r="CW63" s="35"/>
      <c r="CX63" s="35"/>
      <c r="CY63" s="35"/>
      <c r="CZ63" s="35"/>
      <c r="DA63" s="35"/>
      <c r="DB63" s="35"/>
      <c r="DC63" s="35"/>
      <c r="DD63" s="35"/>
      <c r="DE63" s="35"/>
      <c r="DF63" s="35"/>
      <c r="DG63" s="35"/>
      <c r="DH63" s="35"/>
      <c r="DI63" s="35"/>
      <c r="DJ63" s="35"/>
      <c r="DK63" s="35"/>
      <c r="DL63" s="35"/>
      <c r="DM63" s="35"/>
      <c r="DN63" s="35"/>
      <c r="DO63" s="35"/>
      <c r="DP63" s="35"/>
      <c r="DQ63" s="35"/>
      <c r="DR63" s="35"/>
      <c r="DS63" s="35"/>
      <c r="DT63" s="35"/>
      <c r="DU63" s="35"/>
      <c r="DV63" s="35"/>
      <c r="DW63" s="35"/>
      <c r="DX63" s="35"/>
      <c r="DY63" s="35"/>
      <c r="DZ63" s="35"/>
      <c r="EA63" s="35"/>
      <c r="EB63" s="35"/>
      <c r="EC63" s="35"/>
      <c r="ED63" s="35"/>
      <c r="EE63" s="35"/>
      <c r="EF63" s="35"/>
      <c r="EG63" s="35"/>
      <c r="EH63" s="35"/>
      <c r="EI63" s="35"/>
      <c r="EJ63" s="35"/>
      <c r="EK63" s="35"/>
      <c r="EL63" s="35"/>
      <c r="EM63" s="35"/>
      <c r="EN63" s="35"/>
      <c r="EO63" s="35"/>
      <c r="EP63" s="35"/>
      <c r="EQ63" s="35"/>
      <c r="ER63" s="35"/>
      <c r="ES63" s="35"/>
      <c r="ET63" s="35"/>
      <c r="EU63" s="35"/>
      <c r="EV63" s="35"/>
      <c r="EW63" s="35"/>
      <c r="EX63" s="35"/>
      <c r="EY63" s="35"/>
      <c r="EZ63" s="35"/>
      <c r="FA63" s="35"/>
      <c r="FB63" s="35"/>
      <c r="FC63" s="35"/>
      <c r="FD63" s="35"/>
      <c r="FE63" s="35"/>
      <c r="FF63" s="35"/>
      <c r="FG63" s="35"/>
      <c r="FH63" s="35"/>
      <c r="FI63" s="35"/>
      <c r="FJ63" s="35"/>
      <c r="FK63" s="35"/>
      <c r="FL63" s="35"/>
      <c r="FM63" s="35"/>
      <c r="FN63" s="35"/>
      <c r="FO63" s="35"/>
      <c r="FP63" s="35"/>
      <c r="FQ63" s="35"/>
      <c r="FR63" s="35"/>
      <c r="FS63" s="35"/>
      <c r="FT63" s="35"/>
      <c r="FU63" s="35"/>
      <c r="FV63" s="35"/>
      <c r="FW63" s="35"/>
      <c r="FX63" s="35"/>
      <c r="FY63" s="35"/>
      <c r="FZ63" s="35"/>
      <c r="GA63" s="35"/>
      <c r="GB63" s="35"/>
      <c r="GC63" s="35"/>
      <c r="GD63" s="35"/>
      <c r="GE63" s="35"/>
      <c r="GF63" s="35"/>
      <c r="GG63" s="35"/>
      <c r="GH63" s="35"/>
      <c r="GI63" s="35"/>
      <c r="GJ63" s="35"/>
      <c r="GK63" s="35"/>
      <c r="GL63" s="35"/>
      <c r="GM63" s="35"/>
      <c r="GN63" s="35"/>
      <c r="GO63" s="35"/>
      <c r="GP63" s="35"/>
      <c r="GQ63" s="35"/>
      <c r="GR63" s="35"/>
      <c r="GS63" s="35"/>
      <c r="GT63" s="35"/>
      <c r="GU63" s="35"/>
      <c r="GV63" s="35"/>
      <c r="GW63" s="35"/>
      <c r="GX63" s="35"/>
      <c r="GY63" s="35"/>
      <c r="GZ63" s="35"/>
      <c r="HA63" s="35"/>
      <c r="HB63" s="35"/>
      <c r="HC63" s="35"/>
      <c r="HD63" s="35"/>
      <c r="HE63" s="35"/>
      <c r="HF63" s="35"/>
      <c r="HG63" s="35"/>
      <c r="HH63" s="35"/>
      <c r="HI63" s="35"/>
      <c r="HJ63" s="35"/>
      <c r="HK63" s="35"/>
      <c r="HL63" s="35"/>
      <c r="HM63" s="35"/>
      <c r="HN63" s="35"/>
      <c r="HO63" s="35"/>
      <c r="HP63" s="35"/>
      <c r="HQ63" s="35"/>
      <c r="HR63" s="35"/>
      <c r="HS63" s="35"/>
      <c r="HT63" s="35"/>
      <c r="HU63" s="35"/>
      <c r="HV63" s="35"/>
      <c r="HW63" s="35"/>
      <c r="HX63" s="35"/>
      <c r="HY63" s="35"/>
      <c r="HZ63" s="35"/>
      <c r="IA63" s="35"/>
      <c r="IB63" s="35"/>
      <c r="IC63" s="35"/>
      <c r="ID63" s="35"/>
      <c r="IE63" s="35"/>
      <c r="IF63" s="35"/>
      <c r="IG63" s="35"/>
      <c r="IH63" s="35"/>
      <c r="II63" s="35"/>
      <c r="IJ63" s="35"/>
      <c r="IK63" s="35"/>
      <c r="IL63" s="35"/>
      <c r="IM63" s="35"/>
      <c r="IN63" s="35"/>
      <c r="IO63" s="35"/>
      <c r="IP63" s="35"/>
      <c r="IQ63" s="35"/>
      <c r="IR63" s="35"/>
      <c r="IS63" s="35"/>
      <c r="IT63" s="35"/>
      <c r="IU63" s="35"/>
      <c r="IV63" s="35"/>
      <c r="IW63" s="35"/>
      <c r="IX63" s="35"/>
      <c r="IY63" s="35"/>
      <c r="IZ63" s="35"/>
      <c r="JA63" s="35"/>
      <c r="JB63" s="35"/>
      <c r="JC63" s="35"/>
      <c r="JD63" s="35"/>
      <c r="JE63" s="35"/>
      <c r="JF63" s="35"/>
      <c r="JG63" s="35"/>
      <c r="JH63" s="35"/>
      <c r="JI63" s="35"/>
      <c r="JJ63" s="35"/>
      <c r="JK63" s="35"/>
      <c r="JL63" s="35"/>
      <c r="JM63" s="35"/>
      <c r="JN63" s="35"/>
      <c r="JO63" s="35"/>
      <c r="JP63" s="35"/>
      <c r="JQ63" s="35"/>
      <c r="JR63" s="35"/>
      <c r="JS63" s="35"/>
      <c r="JT63" s="35"/>
      <c r="JU63" s="35"/>
      <c r="JV63" s="35"/>
      <c r="JW63" s="35"/>
      <c r="JX63" s="35"/>
      <c r="JY63" s="35"/>
      <c r="JZ63" s="35"/>
      <c r="KA63" s="35"/>
      <c r="KB63" s="35"/>
      <c r="KC63" s="35"/>
      <c r="KD63" s="35"/>
      <c r="KE63" s="35"/>
      <c r="KF63" s="35"/>
      <c r="KG63" s="35"/>
      <c r="KH63" s="35"/>
      <c r="KI63" s="35"/>
      <c r="KJ63" s="35"/>
      <c r="KK63" s="35"/>
      <c r="KL63" s="35"/>
      <c r="KM63" s="35"/>
      <c r="KN63" s="35"/>
      <c r="KO63" s="35"/>
      <c r="KP63" s="35"/>
      <c r="KQ63" s="35"/>
      <c r="KR63" s="35"/>
      <c r="KS63" s="35"/>
      <c r="KT63" s="35"/>
      <c r="KU63" s="35"/>
      <c r="KV63" s="35"/>
      <c r="KW63" s="35"/>
      <c r="KX63" s="35"/>
      <c r="KY63" s="35"/>
      <c r="KZ63" s="35"/>
      <c r="LA63" s="35"/>
      <c r="LB63" s="35"/>
      <c r="LC63" s="35"/>
      <c r="LD63" s="35"/>
      <c r="LE63" s="35"/>
      <c r="LF63" s="35"/>
      <c r="LG63" s="35"/>
      <c r="LH63" s="35"/>
      <c r="LI63" s="35"/>
      <c r="LJ63" s="35"/>
      <c r="LK63" s="35"/>
      <c r="LL63" s="35"/>
      <c r="LM63" s="35"/>
      <c r="LN63" s="35"/>
      <c r="LO63" s="35"/>
      <c r="LP63" s="35"/>
      <c r="LQ63" s="35"/>
      <c r="LR63" s="35"/>
      <c r="LS63" s="35"/>
      <c r="LT63" s="35"/>
      <c r="LU63" s="35"/>
      <c r="LV63" s="35"/>
      <c r="LW63" s="35"/>
      <c r="LX63" s="35"/>
      <c r="LY63" s="35"/>
      <c r="LZ63" s="35"/>
      <c r="MA63" s="35"/>
      <c r="MB63" s="35"/>
      <c r="MC63" s="35"/>
      <c r="MD63" s="35"/>
      <c r="ME63" s="35"/>
      <c r="MF63" s="35"/>
      <c r="MG63" s="35"/>
      <c r="MH63" s="35"/>
      <c r="MI63" s="35"/>
      <c r="MJ63" s="35"/>
      <c r="MK63" s="35"/>
      <c r="ML63" s="35"/>
      <c r="MM63" s="35"/>
      <c r="MN63" s="35"/>
      <c r="MO63" s="35"/>
      <c r="MP63" s="35"/>
      <c r="MQ63" s="35"/>
      <c r="MR63" s="35"/>
      <c r="MS63" s="35"/>
      <c r="MT63" s="35"/>
      <c r="MU63" s="35"/>
      <c r="MV63" s="35"/>
      <c r="MW63" s="35"/>
      <c r="MX63" s="35"/>
      <c r="MY63" s="35"/>
      <c r="MZ63" s="35"/>
      <c r="NA63" s="35"/>
      <c r="NB63" s="35"/>
      <c r="NC63" s="35"/>
      <c r="ND63" s="35"/>
      <c r="NE63" s="35"/>
      <c r="NF63" s="35"/>
      <c r="NG63" s="35"/>
      <c r="NH63" s="35"/>
      <c r="NI63" s="35"/>
      <c r="NJ63" s="35"/>
      <c r="NK63" s="35"/>
      <c r="NL63" s="35"/>
      <c r="NM63" s="35"/>
      <c r="NN63" s="35"/>
      <c r="NO63" s="35"/>
      <c r="NP63" s="35"/>
      <c r="NQ63" s="35"/>
      <c r="NR63" s="35"/>
      <c r="NS63" s="35"/>
      <c r="NT63" s="35"/>
      <c r="NU63" s="35"/>
      <c r="NV63" s="35"/>
      <c r="NW63" s="35"/>
      <c r="NX63" s="35"/>
      <c r="NY63" s="35"/>
      <c r="NZ63" s="35"/>
      <c r="OA63" s="35"/>
      <c r="OB63" s="35"/>
      <c r="OC63" s="35"/>
      <c r="OD63" s="35"/>
      <c r="OE63" s="35"/>
      <c r="OF63" s="35"/>
      <c r="OG63" s="35"/>
      <c r="OH63" s="35"/>
      <c r="OI63" s="35"/>
      <c r="OJ63" s="35"/>
      <c r="OK63" s="35"/>
      <c r="OL63" s="35"/>
      <c r="OM63" s="35"/>
      <c r="ON63" s="35"/>
      <c r="OO63" s="35"/>
      <c r="OP63" s="35"/>
      <c r="OQ63" s="35"/>
      <c r="OR63" s="35"/>
      <c r="OS63" s="35"/>
      <c r="OT63" s="35"/>
      <c r="OU63" s="35"/>
      <c r="OV63" s="35"/>
    </row>
    <row r="64" ht="18.0" customHeight="1">
      <c r="A64" s="34">
        <v>63.0</v>
      </c>
      <c r="B64" s="35" t="s">
        <v>233</v>
      </c>
      <c r="C64" s="36" t="s">
        <v>2206</v>
      </c>
      <c r="D64" s="35" t="s">
        <v>1128</v>
      </c>
      <c r="E64" s="34">
        <v>30.0</v>
      </c>
      <c r="F64" s="34" t="str">
        <f t="shared" si="1"/>
        <v>#REF!</v>
      </c>
      <c r="G64" s="34">
        <f t="shared" si="2"/>
        <v>0</v>
      </c>
      <c r="H64" s="34">
        <f t="shared" si="3"/>
        <v>0</v>
      </c>
      <c r="I64" s="34">
        <f t="shared" si="4"/>
        <v>0</v>
      </c>
      <c r="J64" s="37" t="s">
        <v>625</v>
      </c>
      <c r="K64" s="37" t="b">
        <v>0</v>
      </c>
      <c r="L64" s="38" t="s">
        <v>71</v>
      </c>
      <c r="M64" s="35" t="str">
        <f>IFERROR(__xludf.DUMMYFUNCTION("IFERROR(TOROW(CHOOSECOLS(SORT(FILTER({'Tổng hợp 75 trang đích'!$J$2:$J$3260,'Tổng hợp 75 trang đích'!$I$2:$I$3260,MATCH('Tổng hợp 75 trang đích'!$K$2:$K$3260,{""PHÙ HỢP CAO"",""CÓ THỂ ĐI"",""CẦN SOÁT""},0)},'Tổng hợp 75 trang đích'!$B$2:$B$3260=$D64),3,TR"&amp;"UE),1,2)),"""")"),"")</f>
        <v/>
      </c>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c r="BM64" s="35"/>
      <c r="BN64" s="35"/>
      <c r="BO64" s="35"/>
      <c r="BP64" s="35"/>
      <c r="BQ64" s="35"/>
      <c r="BR64" s="35"/>
      <c r="BS64" s="35"/>
      <c r="BT64" s="35"/>
      <c r="BU64" s="35"/>
      <c r="BV64" s="35"/>
      <c r="BW64" s="35"/>
      <c r="BX64" s="35"/>
      <c r="BY64" s="35"/>
      <c r="BZ64" s="35"/>
      <c r="CA64" s="35"/>
      <c r="CB64" s="35"/>
      <c r="CC64" s="35"/>
      <c r="CD64" s="35"/>
      <c r="CE64" s="35"/>
      <c r="CF64" s="35"/>
      <c r="CG64" s="35"/>
      <c r="CH64" s="35"/>
      <c r="CI64" s="35"/>
      <c r="CJ64" s="35"/>
      <c r="CK64" s="35"/>
      <c r="CL64" s="35"/>
      <c r="CM64" s="35"/>
      <c r="CN64" s="35"/>
      <c r="CO64" s="35"/>
      <c r="CP64" s="35"/>
      <c r="CQ64" s="35"/>
      <c r="CR64" s="35"/>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35"/>
      <c r="DY64" s="35"/>
      <c r="DZ64" s="35"/>
      <c r="EA64" s="35"/>
      <c r="EB64" s="35"/>
      <c r="EC64" s="35"/>
      <c r="ED64" s="35"/>
      <c r="EE64" s="35"/>
      <c r="EF64" s="35"/>
      <c r="EG64" s="35"/>
      <c r="EH64" s="35"/>
      <c r="EI64" s="35"/>
      <c r="EJ64" s="35"/>
      <c r="EK64" s="35"/>
      <c r="EL64" s="35"/>
      <c r="EM64" s="35"/>
      <c r="EN64" s="35"/>
      <c r="EO64" s="35"/>
      <c r="EP64" s="35"/>
      <c r="EQ64" s="35"/>
      <c r="ER64" s="35"/>
      <c r="ES64" s="35"/>
      <c r="ET64" s="35"/>
      <c r="EU64" s="35"/>
      <c r="EV64" s="35"/>
      <c r="EW64" s="35"/>
      <c r="EX64" s="35"/>
      <c r="EY64" s="35"/>
      <c r="EZ64" s="35"/>
      <c r="FA64" s="35"/>
      <c r="FB64" s="35"/>
      <c r="FC64" s="35"/>
      <c r="FD64" s="35"/>
      <c r="FE64" s="35"/>
      <c r="FF64" s="35"/>
      <c r="FG64" s="35"/>
      <c r="FH64" s="35"/>
      <c r="FI64" s="35"/>
      <c r="FJ64" s="35"/>
      <c r="FK64" s="35"/>
      <c r="FL64" s="35"/>
      <c r="FM64" s="35"/>
      <c r="FN64" s="35"/>
      <c r="FO64" s="35"/>
      <c r="FP64" s="35"/>
      <c r="FQ64" s="35"/>
      <c r="FR64" s="35"/>
      <c r="FS64" s="35"/>
      <c r="FT64" s="35"/>
      <c r="FU64" s="35"/>
      <c r="FV64" s="35"/>
      <c r="FW64" s="35"/>
      <c r="FX64" s="35"/>
      <c r="FY64" s="35"/>
      <c r="FZ64" s="35"/>
      <c r="GA64" s="35"/>
      <c r="GB64" s="35"/>
      <c r="GC64" s="35"/>
      <c r="GD64" s="35"/>
      <c r="GE64" s="35"/>
      <c r="GF64" s="35"/>
      <c r="GG64" s="35"/>
      <c r="GH64" s="35"/>
      <c r="GI64" s="35"/>
      <c r="GJ64" s="35"/>
      <c r="GK64" s="35"/>
      <c r="GL64" s="35"/>
      <c r="GM64" s="35"/>
      <c r="GN64" s="35"/>
      <c r="GO64" s="35"/>
      <c r="GP64" s="35"/>
      <c r="GQ64" s="35"/>
      <c r="GR64" s="35"/>
      <c r="GS64" s="35"/>
      <c r="GT64" s="35"/>
      <c r="GU64" s="35"/>
      <c r="GV64" s="35"/>
      <c r="GW64" s="35"/>
      <c r="GX64" s="35"/>
      <c r="GY64" s="35"/>
      <c r="GZ64" s="35"/>
      <c r="HA64" s="35"/>
      <c r="HB64" s="35"/>
      <c r="HC64" s="35"/>
      <c r="HD64" s="35"/>
      <c r="HE64" s="35"/>
      <c r="HF64" s="35"/>
      <c r="HG64" s="35"/>
      <c r="HH64" s="35"/>
      <c r="HI64" s="35"/>
      <c r="HJ64" s="35"/>
      <c r="HK64" s="35"/>
      <c r="HL64" s="35"/>
      <c r="HM64" s="35"/>
      <c r="HN64" s="35"/>
      <c r="HO64" s="35"/>
      <c r="HP64" s="35"/>
      <c r="HQ64" s="35"/>
      <c r="HR64" s="35"/>
      <c r="HS64" s="35"/>
      <c r="HT64" s="35"/>
      <c r="HU64" s="35"/>
      <c r="HV64" s="35"/>
      <c r="HW64" s="35"/>
      <c r="HX64" s="35"/>
      <c r="HY64" s="35"/>
      <c r="HZ64" s="35"/>
      <c r="IA64" s="35"/>
      <c r="IB64" s="35"/>
      <c r="IC64" s="35"/>
      <c r="ID64" s="35"/>
      <c r="IE64" s="35"/>
      <c r="IF64" s="35"/>
      <c r="IG64" s="35"/>
      <c r="IH64" s="35"/>
      <c r="II64" s="35"/>
      <c r="IJ64" s="35"/>
      <c r="IK64" s="35"/>
      <c r="IL64" s="35"/>
      <c r="IM64" s="35"/>
      <c r="IN64" s="35"/>
      <c r="IO64" s="35"/>
      <c r="IP64" s="35"/>
      <c r="IQ64" s="35"/>
      <c r="IR64" s="35"/>
      <c r="IS64" s="35"/>
      <c r="IT64" s="35"/>
      <c r="IU64" s="35"/>
      <c r="IV64" s="35"/>
      <c r="IW64" s="35"/>
      <c r="IX64" s="35"/>
      <c r="IY64" s="35"/>
      <c r="IZ64" s="35"/>
      <c r="JA64" s="35"/>
      <c r="JB64" s="35"/>
      <c r="JC64" s="35"/>
      <c r="JD64" s="35"/>
      <c r="JE64" s="35"/>
      <c r="JF64" s="35"/>
      <c r="JG64" s="35"/>
      <c r="JH64" s="35"/>
      <c r="JI64" s="35"/>
      <c r="JJ64" s="35"/>
      <c r="JK64" s="35"/>
      <c r="JL64" s="35"/>
      <c r="JM64" s="35"/>
      <c r="JN64" s="35"/>
      <c r="JO64" s="35"/>
      <c r="JP64" s="35"/>
      <c r="JQ64" s="35"/>
      <c r="JR64" s="35"/>
      <c r="JS64" s="35"/>
      <c r="JT64" s="35"/>
      <c r="JU64" s="35"/>
      <c r="JV64" s="35"/>
      <c r="JW64" s="35"/>
      <c r="JX64" s="35"/>
      <c r="JY64" s="35"/>
      <c r="JZ64" s="35"/>
      <c r="KA64" s="35"/>
      <c r="KB64" s="35"/>
      <c r="KC64" s="35"/>
      <c r="KD64" s="35"/>
      <c r="KE64" s="35"/>
      <c r="KF64" s="35"/>
      <c r="KG64" s="35"/>
      <c r="KH64" s="35"/>
      <c r="KI64" s="35"/>
      <c r="KJ64" s="35"/>
      <c r="KK64" s="35"/>
      <c r="KL64" s="35"/>
      <c r="KM64" s="35"/>
      <c r="KN64" s="35"/>
      <c r="KO64" s="35"/>
      <c r="KP64" s="35"/>
      <c r="KQ64" s="35"/>
      <c r="KR64" s="35"/>
      <c r="KS64" s="35"/>
      <c r="KT64" s="35"/>
      <c r="KU64" s="35"/>
      <c r="KV64" s="35"/>
      <c r="KW64" s="35"/>
      <c r="KX64" s="35"/>
      <c r="KY64" s="35"/>
      <c r="KZ64" s="35"/>
      <c r="LA64" s="35"/>
      <c r="LB64" s="35"/>
      <c r="LC64" s="35"/>
      <c r="LD64" s="35"/>
      <c r="LE64" s="35"/>
      <c r="LF64" s="35"/>
      <c r="LG64" s="35"/>
      <c r="LH64" s="35"/>
      <c r="LI64" s="35"/>
      <c r="LJ64" s="35"/>
      <c r="LK64" s="35"/>
      <c r="LL64" s="35"/>
      <c r="LM64" s="35"/>
      <c r="LN64" s="35"/>
      <c r="LO64" s="35"/>
      <c r="LP64" s="35"/>
      <c r="LQ64" s="35"/>
      <c r="LR64" s="35"/>
      <c r="LS64" s="35"/>
      <c r="LT64" s="35"/>
      <c r="LU64" s="35"/>
      <c r="LV64" s="35"/>
      <c r="LW64" s="35"/>
      <c r="LX64" s="35"/>
      <c r="LY64" s="35"/>
      <c r="LZ64" s="35"/>
      <c r="MA64" s="35"/>
      <c r="MB64" s="35"/>
      <c r="MC64" s="35"/>
      <c r="MD64" s="35"/>
      <c r="ME64" s="35"/>
      <c r="MF64" s="35"/>
      <c r="MG64" s="35"/>
      <c r="MH64" s="35"/>
      <c r="MI64" s="35"/>
      <c r="MJ64" s="35"/>
      <c r="MK64" s="35"/>
      <c r="ML64" s="35"/>
      <c r="MM64" s="35"/>
      <c r="MN64" s="35"/>
      <c r="MO64" s="35"/>
      <c r="MP64" s="35"/>
      <c r="MQ64" s="35"/>
      <c r="MR64" s="35"/>
      <c r="MS64" s="35"/>
      <c r="MT64" s="35"/>
      <c r="MU64" s="35"/>
      <c r="MV64" s="35"/>
      <c r="MW64" s="35"/>
      <c r="MX64" s="35"/>
      <c r="MY64" s="35"/>
      <c r="MZ64" s="35"/>
      <c r="NA64" s="35"/>
      <c r="NB64" s="35"/>
      <c r="NC64" s="35"/>
      <c r="ND64" s="35"/>
      <c r="NE64" s="35"/>
      <c r="NF64" s="35"/>
      <c r="NG64" s="35"/>
      <c r="NH64" s="35"/>
      <c r="NI64" s="35"/>
      <c r="NJ64" s="35"/>
      <c r="NK64" s="35"/>
      <c r="NL64" s="35"/>
      <c r="NM64" s="35"/>
      <c r="NN64" s="35"/>
      <c r="NO64" s="35"/>
      <c r="NP64" s="35"/>
      <c r="NQ64" s="35"/>
      <c r="NR64" s="35"/>
      <c r="NS64" s="35"/>
      <c r="NT64" s="35"/>
      <c r="NU64" s="35"/>
      <c r="NV64" s="35"/>
      <c r="NW64" s="35"/>
      <c r="NX64" s="35"/>
      <c r="NY64" s="35"/>
      <c r="NZ64" s="35"/>
      <c r="OA64" s="35"/>
      <c r="OB64" s="35"/>
      <c r="OC64" s="35"/>
      <c r="OD64" s="35"/>
      <c r="OE64" s="35"/>
      <c r="OF64" s="35"/>
      <c r="OG64" s="35"/>
      <c r="OH64" s="35"/>
      <c r="OI64" s="35"/>
      <c r="OJ64" s="35"/>
      <c r="OK64" s="35"/>
      <c r="OL64" s="35"/>
      <c r="OM64" s="35"/>
      <c r="ON64" s="35"/>
      <c r="OO64" s="35"/>
      <c r="OP64" s="35"/>
      <c r="OQ64" s="35"/>
      <c r="OR64" s="35"/>
      <c r="OS64" s="35"/>
      <c r="OT64" s="35"/>
      <c r="OU64" s="35"/>
      <c r="OV64" s="35"/>
    </row>
    <row r="65" ht="18.0" customHeight="1">
      <c r="A65" s="34">
        <v>64.0</v>
      </c>
      <c r="B65" s="35" t="s">
        <v>233</v>
      </c>
      <c r="C65" s="36" t="s">
        <v>2240</v>
      </c>
      <c r="D65" s="35" t="s">
        <v>1137</v>
      </c>
      <c r="E65" s="34">
        <v>30.0</v>
      </c>
      <c r="F65" s="34" t="str">
        <f t="shared" si="1"/>
        <v>#REF!</v>
      </c>
      <c r="G65" s="34">
        <f t="shared" si="2"/>
        <v>0</v>
      </c>
      <c r="H65" s="34">
        <f t="shared" si="3"/>
        <v>0</v>
      </c>
      <c r="I65" s="34">
        <f t="shared" si="4"/>
        <v>0</v>
      </c>
      <c r="J65" s="37" t="s">
        <v>625</v>
      </c>
      <c r="K65" s="37" t="b">
        <v>0</v>
      </c>
      <c r="L65" s="38" t="s">
        <v>71</v>
      </c>
      <c r="M65" s="35" t="str">
        <f>IFERROR(__xludf.DUMMYFUNCTION("IFERROR(TOROW(CHOOSECOLS(SORT(FILTER({'Tổng hợp 75 trang đích'!$J$2:$J$3260,'Tổng hợp 75 trang đích'!$I$2:$I$3260,MATCH('Tổng hợp 75 trang đích'!$K$2:$K$3260,{""PHÙ HỢP CAO"",""CÓ THỂ ĐI"",""CẦN SOÁT""},0)},'Tổng hợp 75 trang đích'!$B$2:$B$3260=$D65),3,TR"&amp;"UE),1,2)),"""")"),"")</f>
        <v/>
      </c>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c r="BM65" s="35"/>
      <c r="BN65" s="35"/>
      <c r="BO65" s="35"/>
      <c r="BP65" s="35"/>
      <c r="BQ65" s="35"/>
      <c r="BR65" s="35"/>
      <c r="BS65" s="35"/>
      <c r="BT65" s="35"/>
      <c r="BU65" s="35"/>
      <c r="BV65" s="35"/>
      <c r="BW65" s="35"/>
      <c r="BX65" s="35"/>
      <c r="BY65" s="35"/>
      <c r="BZ65" s="35"/>
      <c r="CA65" s="35"/>
      <c r="CB65" s="35"/>
      <c r="CC65" s="35"/>
      <c r="CD65" s="35"/>
      <c r="CE65" s="35"/>
      <c r="CF65" s="35"/>
      <c r="CG65" s="35"/>
      <c r="CH65" s="35"/>
      <c r="CI65" s="35"/>
      <c r="CJ65" s="35"/>
      <c r="CK65" s="35"/>
      <c r="CL65" s="35"/>
      <c r="CM65" s="35"/>
      <c r="CN65" s="35"/>
      <c r="CO65" s="35"/>
      <c r="CP65" s="35"/>
      <c r="CQ65" s="35"/>
      <c r="CR65" s="35"/>
      <c r="CS65" s="35"/>
      <c r="CT65" s="35"/>
      <c r="CU65" s="35"/>
      <c r="CV65" s="35"/>
      <c r="CW65" s="35"/>
      <c r="CX65" s="35"/>
      <c r="CY65" s="35"/>
      <c r="CZ65" s="35"/>
      <c r="DA65" s="35"/>
      <c r="DB65" s="35"/>
      <c r="DC65" s="35"/>
      <c r="DD65" s="35"/>
      <c r="DE65" s="35"/>
      <c r="DF65" s="35"/>
      <c r="DG65" s="35"/>
      <c r="DH65" s="35"/>
      <c r="DI65" s="35"/>
      <c r="DJ65" s="35"/>
      <c r="DK65" s="35"/>
      <c r="DL65" s="35"/>
      <c r="DM65" s="35"/>
      <c r="DN65" s="35"/>
      <c r="DO65" s="35"/>
      <c r="DP65" s="35"/>
      <c r="DQ65" s="35"/>
      <c r="DR65" s="35"/>
      <c r="DS65" s="35"/>
      <c r="DT65" s="35"/>
      <c r="DU65" s="35"/>
      <c r="DV65" s="35"/>
      <c r="DW65" s="35"/>
      <c r="DX65" s="35"/>
      <c r="DY65" s="35"/>
      <c r="DZ65" s="35"/>
      <c r="EA65" s="35"/>
      <c r="EB65" s="35"/>
      <c r="EC65" s="35"/>
      <c r="ED65" s="35"/>
      <c r="EE65" s="35"/>
      <c r="EF65" s="35"/>
      <c r="EG65" s="35"/>
      <c r="EH65" s="35"/>
      <c r="EI65" s="35"/>
      <c r="EJ65" s="35"/>
      <c r="EK65" s="35"/>
      <c r="EL65" s="35"/>
      <c r="EM65" s="35"/>
      <c r="EN65" s="35"/>
      <c r="EO65" s="35"/>
      <c r="EP65" s="35"/>
      <c r="EQ65" s="35"/>
      <c r="ER65" s="35"/>
      <c r="ES65" s="35"/>
      <c r="ET65" s="35"/>
      <c r="EU65" s="35"/>
      <c r="EV65" s="35"/>
      <c r="EW65" s="35"/>
      <c r="EX65" s="35"/>
      <c r="EY65" s="35"/>
      <c r="EZ65" s="35"/>
      <c r="FA65" s="35"/>
      <c r="FB65" s="35"/>
      <c r="FC65" s="35"/>
      <c r="FD65" s="35"/>
      <c r="FE65" s="35"/>
      <c r="FF65" s="35"/>
      <c r="FG65" s="35"/>
      <c r="FH65" s="35"/>
      <c r="FI65" s="35"/>
      <c r="FJ65" s="35"/>
      <c r="FK65" s="35"/>
      <c r="FL65" s="35"/>
      <c r="FM65" s="35"/>
      <c r="FN65" s="35"/>
      <c r="FO65" s="35"/>
      <c r="FP65" s="35"/>
      <c r="FQ65" s="35"/>
      <c r="FR65" s="35"/>
      <c r="FS65" s="35"/>
      <c r="FT65" s="35"/>
      <c r="FU65" s="35"/>
      <c r="FV65" s="35"/>
      <c r="FW65" s="35"/>
      <c r="FX65" s="35"/>
      <c r="FY65" s="35"/>
      <c r="FZ65" s="35"/>
      <c r="GA65" s="35"/>
      <c r="GB65" s="35"/>
      <c r="GC65" s="35"/>
      <c r="GD65" s="35"/>
      <c r="GE65" s="35"/>
      <c r="GF65" s="35"/>
      <c r="GG65" s="35"/>
      <c r="GH65" s="35"/>
      <c r="GI65" s="35"/>
      <c r="GJ65" s="35"/>
      <c r="GK65" s="35"/>
      <c r="GL65" s="35"/>
      <c r="GM65" s="35"/>
      <c r="GN65" s="35"/>
      <c r="GO65" s="35"/>
      <c r="GP65" s="35"/>
      <c r="GQ65" s="35"/>
      <c r="GR65" s="35"/>
      <c r="GS65" s="35"/>
      <c r="GT65" s="35"/>
      <c r="GU65" s="35"/>
      <c r="GV65" s="35"/>
      <c r="GW65" s="35"/>
      <c r="GX65" s="35"/>
      <c r="GY65" s="35"/>
      <c r="GZ65" s="35"/>
      <c r="HA65" s="35"/>
      <c r="HB65" s="35"/>
      <c r="HC65" s="35"/>
      <c r="HD65" s="35"/>
      <c r="HE65" s="35"/>
      <c r="HF65" s="35"/>
      <c r="HG65" s="35"/>
      <c r="HH65" s="35"/>
      <c r="HI65" s="35"/>
      <c r="HJ65" s="35"/>
      <c r="HK65" s="35"/>
      <c r="HL65" s="35"/>
      <c r="HM65" s="35"/>
      <c r="HN65" s="35"/>
      <c r="HO65" s="35"/>
      <c r="HP65" s="35"/>
      <c r="HQ65" s="35"/>
      <c r="HR65" s="35"/>
      <c r="HS65" s="35"/>
      <c r="HT65" s="35"/>
      <c r="HU65" s="35"/>
      <c r="HV65" s="35"/>
      <c r="HW65" s="35"/>
      <c r="HX65" s="35"/>
      <c r="HY65" s="35"/>
      <c r="HZ65" s="35"/>
      <c r="IA65" s="35"/>
      <c r="IB65" s="35"/>
      <c r="IC65" s="35"/>
      <c r="ID65" s="35"/>
      <c r="IE65" s="35"/>
      <c r="IF65" s="35"/>
      <c r="IG65" s="35"/>
      <c r="IH65" s="35"/>
      <c r="II65" s="35"/>
      <c r="IJ65" s="35"/>
      <c r="IK65" s="35"/>
      <c r="IL65" s="35"/>
      <c r="IM65" s="35"/>
      <c r="IN65" s="35"/>
      <c r="IO65" s="35"/>
      <c r="IP65" s="35"/>
      <c r="IQ65" s="35"/>
      <c r="IR65" s="35"/>
      <c r="IS65" s="35"/>
      <c r="IT65" s="35"/>
      <c r="IU65" s="35"/>
      <c r="IV65" s="35"/>
      <c r="IW65" s="35"/>
      <c r="IX65" s="35"/>
      <c r="IY65" s="35"/>
      <c r="IZ65" s="35"/>
      <c r="JA65" s="35"/>
      <c r="JB65" s="35"/>
      <c r="JC65" s="35"/>
      <c r="JD65" s="35"/>
      <c r="JE65" s="35"/>
      <c r="JF65" s="35"/>
      <c r="JG65" s="35"/>
      <c r="JH65" s="35"/>
      <c r="JI65" s="35"/>
      <c r="JJ65" s="35"/>
      <c r="JK65" s="35"/>
      <c r="JL65" s="35"/>
      <c r="JM65" s="35"/>
      <c r="JN65" s="35"/>
      <c r="JO65" s="35"/>
      <c r="JP65" s="35"/>
      <c r="JQ65" s="35"/>
      <c r="JR65" s="35"/>
      <c r="JS65" s="35"/>
      <c r="JT65" s="35"/>
      <c r="JU65" s="35"/>
      <c r="JV65" s="35"/>
      <c r="JW65" s="35"/>
      <c r="JX65" s="35"/>
      <c r="JY65" s="35"/>
      <c r="JZ65" s="35"/>
      <c r="KA65" s="35"/>
      <c r="KB65" s="35"/>
      <c r="KC65" s="35"/>
      <c r="KD65" s="35"/>
      <c r="KE65" s="35"/>
      <c r="KF65" s="35"/>
      <c r="KG65" s="35"/>
      <c r="KH65" s="35"/>
      <c r="KI65" s="35"/>
      <c r="KJ65" s="35"/>
      <c r="KK65" s="35"/>
      <c r="KL65" s="35"/>
      <c r="KM65" s="35"/>
      <c r="KN65" s="35"/>
      <c r="KO65" s="35"/>
      <c r="KP65" s="35"/>
      <c r="KQ65" s="35"/>
      <c r="KR65" s="35"/>
      <c r="KS65" s="35"/>
      <c r="KT65" s="35"/>
      <c r="KU65" s="35"/>
      <c r="KV65" s="35"/>
      <c r="KW65" s="35"/>
      <c r="KX65" s="35"/>
      <c r="KY65" s="35"/>
      <c r="KZ65" s="35"/>
      <c r="LA65" s="35"/>
      <c r="LB65" s="35"/>
      <c r="LC65" s="35"/>
      <c r="LD65" s="35"/>
      <c r="LE65" s="35"/>
      <c r="LF65" s="35"/>
      <c r="LG65" s="35"/>
      <c r="LH65" s="35"/>
      <c r="LI65" s="35"/>
      <c r="LJ65" s="35"/>
      <c r="LK65" s="35"/>
      <c r="LL65" s="35"/>
      <c r="LM65" s="35"/>
      <c r="LN65" s="35"/>
      <c r="LO65" s="35"/>
      <c r="LP65" s="35"/>
      <c r="LQ65" s="35"/>
      <c r="LR65" s="35"/>
      <c r="LS65" s="35"/>
      <c r="LT65" s="35"/>
      <c r="LU65" s="35"/>
      <c r="LV65" s="35"/>
      <c r="LW65" s="35"/>
      <c r="LX65" s="35"/>
      <c r="LY65" s="35"/>
      <c r="LZ65" s="35"/>
      <c r="MA65" s="35"/>
      <c r="MB65" s="35"/>
      <c r="MC65" s="35"/>
      <c r="MD65" s="35"/>
      <c r="ME65" s="35"/>
      <c r="MF65" s="35"/>
      <c r="MG65" s="35"/>
      <c r="MH65" s="35"/>
      <c r="MI65" s="35"/>
      <c r="MJ65" s="35"/>
      <c r="MK65" s="35"/>
      <c r="ML65" s="35"/>
      <c r="MM65" s="35"/>
      <c r="MN65" s="35"/>
      <c r="MO65" s="35"/>
      <c r="MP65" s="35"/>
      <c r="MQ65" s="35"/>
      <c r="MR65" s="35"/>
      <c r="MS65" s="35"/>
      <c r="MT65" s="35"/>
      <c r="MU65" s="35"/>
      <c r="MV65" s="35"/>
      <c r="MW65" s="35"/>
      <c r="MX65" s="35"/>
      <c r="MY65" s="35"/>
      <c r="MZ65" s="35"/>
      <c r="NA65" s="35"/>
      <c r="NB65" s="35"/>
      <c r="NC65" s="35"/>
      <c r="ND65" s="35"/>
      <c r="NE65" s="35"/>
      <c r="NF65" s="35"/>
      <c r="NG65" s="35"/>
      <c r="NH65" s="35"/>
      <c r="NI65" s="35"/>
      <c r="NJ65" s="35"/>
      <c r="NK65" s="35"/>
      <c r="NL65" s="35"/>
      <c r="NM65" s="35"/>
      <c r="NN65" s="35"/>
      <c r="NO65" s="35"/>
      <c r="NP65" s="35"/>
      <c r="NQ65" s="35"/>
      <c r="NR65" s="35"/>
      <c r="NS65" s="35"/>
      <c r="NT65" s="35"/>
      <c r="NU65" s="35"/>
      <c r="NV65" s="35"/>
      <c r="NW65" s="35"/>
      <c r="NX65" s="35"/>
      <c r="NY65" s="35"/>
      <c r="NZ65" s="35"/>
      <c r="OA65" s="35"/>
      <c r="OB65" s="35"/>
      <c r="OC65" s="35"/>
      <c r="OD65" s="35"/>
      <c r="OE65" s="35"/>
      <c r="OF65" s="35"/>
      <c r="OG65" s="35"/>
      <c r="OH65" s="35"/>
      <c r="OI65" s="35"/>
      <c r="OJ65" s="35"/>
      <c r="OK65" s="35"/>
      <c r="OL65" s="35"/>
      <c r="OM65" s="35"/>
      <c r="ON65" s="35"/>
      <c r="OO65" s="35"/>
      <c r="OP65" s="35"/>
      <c r="OQ65" s="35"/>
      <c r="OR65" s="35"/>
      <c r="OS65" s="35"/>
      <c r="OT65" s="35"/>
      <c r="OU65" s="35"/>
      <c r="OV65" s="35"/>
    </row>
    <row r="66" ht="18.0" customHeight="1">
      <c r="A66" s="34">
        <v>65.0</v>
      </c>
      <c r="B66" s="35" t="s">
        <v>233</v>
      </c>
      <c r="C66" s="36" t="s">
        <v>2258</v>
      </c>
      <c r="D66" s="35" t="s">
        <v>1145</v>
      </c>
      <c r="E66" s="34">
        <v>30.0</v>
      </c>
      <c r="F66" s="34" t="str">
        <f t="shared" si="1"/>
        <v>#REF!</v>
      </c>
      <c r="G66" s="34">
        <f t="shared" si="2"/>
        <v>0</v>
      </c>
      <c r="H66" s="34">
        <f t="shared" si="3"/>
        <v>0</v>
      </c>
      <c r="I66" s="34">
        <f t="shared" si="4"/>
        <v>0</v>
      </c>
      <c r="J66" s="37" t="s">
        <v>625</v>
      </c>
      <c r="K66" s="37" t="b">
        <v>0</v>
      </c>
      <c r="L66" s="38" t="s">
        <v>71</v>
      </c>
      <c r="M66" s="35" t="str">
        <f>IFERROR(__xludf.DUMMYFUNCTION("IFERROR(TOROW(CHOOSECOLS(SORT(FILTER({'Tổng hợp 75 trang đích'!$J$2:$J$3260,'Tổng hợp 75 trang đích'!$I$2:$I$3260,MATCH('Tổng hợp 75 trang đích'!$K$2:$K$3260,{""PHÙ HỢP CAO"",""CÓ THỂ ĐI"",""CẦN SOÁT""},0)},'Tổng hợp 75 trang đích'!$B$2:$B$3260=$D66),3,TR"&amp;"UE),1,2)),"""")"),"")</f>
        <v/>
      </c>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c r="BM66" s="35"/>
      <c r="BN66" s="35"/>
      <c r="BO66" s="35"/>
      <c r="BP66" s="35"/>
      <c r="BQ66" s="35"/>
      <c r="BR66" s="35"/>
      <c r="BS66" s="35"/>
      <c r="BT66" s="35"/>
      <c r="BU66" s="35"/>
      <c r="BV66" s="35"/>
      <c r="BW66" s="35"/>
      <c r="BX66" s="35"/>
      <c r="BY66" s="35"/>
      <c r="BZ66" s="35"/>
      <c r="CA66" s="35"/>
      <c r="CB66" s="35"/>
      <c r="CC66" s="35"/>
      <c r="CD66" s="35"/>
      <c r="CE66" s="35"/>
      <c r="CF66" s="35"/>
      <c r="CG66" s="35"/>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c r="EA66" s="35"/>
      <c r="EB66" s="35"/>
      <c r="EC66" s="35"/>
      <c r="ED66" s="35"/>
      <c r="EE66" s="35"/>
      <c r="EF66" s="35"/>
      <c r="EG66" s="35"/>
      <c r="EH66" s="35"/>
      <c r="EI66" s="35"/>
      <c r="EJ66" s="35"/>
      <c r="EK66" s="35"/>
      <c r="EL66" s="35"/>
      <c r="EM66" s="35"/>
      <c r="EN66" s="35"/>
      <c r="EO66" s="35"/>
      <c r="EP66" s="35"/>
      <c r="EQ66" s="35"/>
      <c r="ER66" s="35"/>
      <c r="ES66" s="35"/>
      <c r="ET66" s="35"/>
      <c r="EU66" s="35"/>
      <c r="EV66" s="35"/>
      <c r="EW66" s="35"/>
      <c r="EX66" s="35"/>
      <c r="EY66" s="35"/>
      <c r="EZ66" s="35"/>
      <c r="FA66" s="35"/>
      <c r="FB66" s="35"/>
      <c r="FC66" s="35"/>
      <c r="FD66" s="35"/>
      <c r="FE66" s="35"/>
      <c r="FF66" s="35"/>
      <c r="FG66" s="35"/>
      <c r="FH66" s="35"/>
      <c r="FI66" s="35"/>
      <c r="FJ66" s="35"/>
      <c r="FK66" s="35"/>
      <c r="FL66" s="35"/>
      <c r="FM66" s="35"/>
      <c r="FN66" s="35"/>
      <c r="FO66" s="35"/>
      <c r="FP66" s="35"/>
      <c r="FQ66" s="35"/>
      <c r="FR66" s="35"/>
      <c r="FS66" s="35"/>
      <c r="FT66" s="35"/>
      <c r="FU66" s="35"/>
      <c r="FV66" s="35"/>
      <c r="FW66" s="35"/>
      <c r="FX66" s="35"/>
      <c r="FY66" s="35"/>
      <c r="FZ66" s="35"/>
      <c r="GA66" s="35"/>
      <c r="GB66" s="35"/>
      <c r="GC66" s="35"/>
      <c r="GD66" s="35"/>
      <c r="GE66" s="35"/>
      <c r="GF66" s="35"/>
      <c r="GG66" s="35"/>
      <c r="GH66" s="35"/>
      <c r="GI66" s="35"/>
      <c r="GJ66" s="35"/>
      <c r="GK66" s="35"/>
      <c r="GL66" s="35"/>
      <c r="GM66" s="35"/>
      <c r="GN66" s="35"/>
      <c r="GO66" s="35"/>
      <c r="GP66" s="35"/>
      <c r="GQ66" s="35"/>
      <c r="GR66" s="35"/>
      <c r="GS66" s="35"/>
      <c r="GT66" s="35"/>
      <c r="GU66" s="35"/>
      <c r="GV66" s="35"/>
      <c r="GW66" s="35"/>
      <c r="GX66" s="35"/>
      <c r="GY66" s="35"/>
      <c r="GZ66" s="35"/>
      <c r="HA66" s="35"/>
      <c r="HB66" s="35"/>
      <c r="HC66" s="35"/>
      <c r="HD66" s="35"/>
      <c r="HE66" s="35"/>
      <c r="HF66" s="35"/>
      <c r="HG66" s="35"/>
      <c r="HH66" s="35"/>
      <c r="HI66" s="35"/>
      <c r="HJ66" s="35"/>
      <c r="HK66" s="35"/>
      <c r="HL66" s="35"/>
      <c r="HM66" s="35"/>
      <c r="HN66" s="35"/>
      <c r="HO66" s="35"/>
      <c r="HP66" s="35"/>
      <c r="HQ66" s="35"/>
      <c r="HR66" s="35"/>
      <c r="HS66" s="35"/>
      <c r="HT66" s="35"/>
      <c r="HU66" s="35"/>
      <c r="HV66" s="35"/>
      <c r="HW66" s="35"/>
      <c r="HX66" s="35"/>
      <c r="HY66" s="35"/>
      <c r="HZ66" s="35"/>
      <c r="IA66" s="35"/>
      <c r="IB66" s="35"/>
      <c r="IC66" s="35"/>
      <c r="ID66" s="35"/>
      <c r="IE66" s="35"/>
      <c r="IF66" s="35"/>
      <c r="IG66" s="35"/>
      <c r="IH66" s="35"/>
      <c r="II66" s="35"/>
      <c r="IJ66" s="35"/>
      <c r="IK66" s="35"/>
      <c r="IL66" s="35"/>
      <c r="IM66" s="35"/>
      <c r="IN66" s="35"/>
      <c r="IO66" s="35"/>
      <c r="IP66" s="35"/>
      <c r="IQ66" s="35"/>
      <c r="IR66" s="35"/>
      <c r="IS66" s="35"/>
      <c r="IT66" s="35"/>
      <c r="IU66" s="35"/>
      <c r="IV66" s="35"/>
      <c r="IW66" s="35"/>
      <c r="IX66" s="35"/>
      <c r="IY66" s="35"/>
      <c r="IZ66" s="35"/>
      <c r="JA66" s="35"/>
      <c r="JB66" s="35"/>
      <c r="JC66" s="35"/>
      <c r="JD66" s="35"/>
      <c r="JE66" s="35"/>
      <c r="JF66" s="35"/>
      <c r="JG66" s="35"/>
      <c r="JH66" s="35"/>
      <c r="JI66" s="35"/>
      <c r="JJ66" s="35"/>
      <c r="JK66" s="35"/>
      <c r="JL66" s="35"/>
      <c r="JM66" s="35"/>
      <c r="JN66" s="35"/>
      <c r="JO66" s="35"/>
      <c r="JP66" s="35"/>
      <c r="JQ66" s="35"/>
      <c r="JR66" s="35"/>
      <c r="JS66" s="35"/>
      <c r="JT66" s="35"/>
      <c r="JU66" s="35"/>
      <c r="JV66" s="35"/>
      <c r="JW66" s="35"/>
      <c r="JX66" s="35"/>
      <c r="JY66" s="35"/>
      <c r="JZ66" s="35"/>
      <c r="KA66" s="35"/>
      <c r="KB66" s="35"/>
      <c r="KC66" s="35"/>
      <c r="KD66" s="35"/>
      <c r="KE66" s="35"/>
      <c r="KF66" s="35"/>
      <c r="KG66" s="35"/>
      <c r="KH66" s="35"/>
      <c r="KI66" s="35"/>
      <c r="KJ66" s="35"/>
      <c r="KK66" s="35"/>
      <c r="KL66" s="35"/>
      <c r="KM66" s="35"/>
      <c r="KN66" s="35"/>
      <c r="KO66" s="35"/>
      <c r="KP66" s="35"/>
      <c r="KQ66" s="35"/>
      <c r="KR66" s="35"/>
      <c r="KS66" s="35"/>
      <c r="KT66" s="35"/>
      <c r="KU66" s="35"/>
      <c r="KV66" s="35"/>
      <c r="KW66" s="35"/>
      <c r="KX66" s="35"/>
      <c r="KY66" s="35"/>
      <c r="KZ66" s="35"/>
      <c r="LA66" s="35"/>
      <c r="LB66" s="35"/>
      <c r="LC66" s="35"/>
      <c r="LD66" s="35"/>
      <c r="LE66" s="35"/>
      <c r="LF66" s="35"/>
      <c r="LG66" s="35"/>
      <c r="LH66" s="35"/>
      <c r="LI66" s="35"/>
      <c r="LJ66" s="35"/>
      <c r="LK66" s="35"/>
      <c r="LL66" s="35"/>
      <c r="LM66" s="35"/>
      <c r="LN66" s="35"/>
      <c r="LO66" s="35"/>
      <c r="LP66" s="35"/>
      <c r="LQ66" s="35"/>
      <c r="LR66" s="35"/>
      <c r="LS66" s="35"/>
      <c r="LT66" s="35"/>
      <c r="LU66" s="35"/>
      <c r="LV66" s="35"/>
      <c r="LW66" s="35"/>
      <c r="LX66" s="35"/>
      <c r="LY66" s="35"/>
      <c r="LZ66" s="35"/>
      <c r="MA66" s="35"/>
      <c r="MB66" s="35"/>
      <c r="MC66" s="35"/>
      <c r="MD66" s="35"/>
      <c r="ME66" s="35"/>
      <c r="MF66" s="35"/>
      <c r="MG66" s="35"/>
      <c r="MH66" s="35"/>
      <c r="MI66" s="35"/>
      <c r="MJ66" s="35"/>
      <c r="MK66" s="35"/>
      <c r="ML66" s="35"/>
      <c r="MM66" s="35"/>
      <c r="MN66" s="35"/>
      <c r="MO66" s="35"/>
      <c r="MP66" s="35"/>
      <c r="MQ66" s="35"/>
      <c r="MR66" s="35"/>
      <c r="MS66" s="35"/>
      <c r="MT66" s="35"/>
      <c r="MU66" s="35"/>
      <c r="MV66" s="35"/>
      <c r="MW66" s="35"/>
      <c r="MX66" s="35"/>
      <c r="MY66" s="35"/>
      <c r="MZ66" s="35"/>
      <c r="NA66" s="35"/>
      <c r="NB66" s="35"/>
      <c r="NC66" s="35"/>
      <c r="ND66" s="35"/>
      <c r="NE66" s="35"/>
      <c r="NF66" s="35"/>
      <c r="NG66" s="35"/>
      <c r="NH66" s="35"/>
      <c r="NI66" s="35"/>
      <c r="NJ66" s="35"/>
      <c r="NK66" s="35"/>
      <c r="NL66" s="35"/>
      <c r="NM66" s="35"/>
      <c r="NN66" s="35"/>
      <c r="NO66" s="35"/>
      <c r="NP66" s="35"/>
      <c r="NQ66" s="35"/>
      <c r="NR66" s="35"/>
      <c r="NS66" s="35"/>
      <c r="NT66" s="35"/>
      <c r="NU66" s="35"/>
      <c r="NV66" s="35"/>
      <c r="NW66" s="35"/>
      <c r="NX66" s="35"/>
      <c r="NY66" s="35"/>
      <c r="NZ66" s="35"/>
      <c r="OA66" s="35"/>
      <c r="OB66" s="35"/>
      <c r="OC66" s="35"/>
      <c r="OD66" s="35"/>
      <c r="OE66" s="35"/>
      <c r="OF66" s="35"/>
      <c r="OG66" s="35"/>
      <c r="OH66" s="35"/>
      <c r="OI66" s="35"/>
      <c r="OJ66" s="35"/>
      <c r="OK66" s="35"/>
      <c r="OL66" s="35"/>
      <c r="OM66" s="35"/>
      <c r="ON66" s="35"/>
      <c r="OO66" s="35"/>
      <c r="OP66" s="35"/>
      <c r="OQ66" s="35"/>
      <c r="OR66" s="35"/>
      <c r="OS66" s="35"/>
      <c r="OT66" s="35"/>
      <c r="OU66" s="35"/>
      <c r="OV66" s="35"/>
    </row>
    <row r="67" ht="18.0" customHeight="1">
      <c r="A67" s="34">
        <v>66.0</v>
      </c>
      <c r="B67" s="35" t="s">
        <v>553</v>
      </c>
      <c r="C67" s="36" t="s">
        <v>2297</v>
      </c>
      <c r="D67" s="35" t="s">
        <v>551</v>
      </c>
      <c r="E67" s="34">
        <v>150.0</v>
      </c>
      <c r="F67" s="34" t="str">
        <f t="shared" si="1"/>
        <v>#REF!</v>
      </c>
      <c r="G67" s="34">
        <f t="shared" si="2"/>
        <v>0</v>
      </c>
      <c r="H67" s="34">
        <f t="shared" si="3"/>
        <v>0</v>
      </c>
      <c r="I67" s="34">
        <f t="shared" si="4"/>
        <v>0</v>
      </c>
      <c r="J67" s="37" t="s">
        <v>625</v>
      </c>
      <c r="K67" s="37" t="b">
        <v>0</v>
      </c>
      <c r="L67" s="38" t="s">
        <v>71</v>
      </c>
      <c r="M67" s="35" t="str">
        <f>IFERROR(__xludf.DUMMYFUNCTION("IFERROR(TOROW(CHOOSECOLS(SORT(FILTER({'Tổng hợp 75 trang đích'!$J$2:$J$3260,'Tổng hợp 75 trang đích'!$I$2:$I$3260,MATCH('Tổng hợp 75 trang đích'!$K$2:$K$3260,{""PHÙ HỢP CAO"",""CÓ THỂ ĐI"",""CẦN SOÁT""},0)},'Tổng hợp 75 trang đích'!$B$2:$B$3260=$D67),3,TR"&amp;"UE),1,2)),"""")"),"")</f>
        <v/>
      </c>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c r="BM67" s="35"/>
      <c r="BN67" s="35"/>
      <c r="BO67" s="35"/>
      <c r="BP67" s="35"/>
      <c r="BQ67" s="35"/>
      <c r="BR67" s="35"/>
      <c r="BS67" s="35"/>
      <c r="BT67" s="35"/>
      <c r="BU67" s="35"/>
      <c r="BV67" s="35"/>
      <c r="BW67" s="35"/>
      <c r="BX67" s="35"/>
      <c r="BY67" s="35"/>
      <c r="BZ67" s="35"/>
      <c r="CA67" s="35"/>
      <c r="CB67" s="35"/>
      <c r="CC67" s="35"/>
      <c r="CD67" s="35"/>
      <c r="CE67" s="35"/>
      <c r="CF67" s="35"/>
      <c r="CG67" s="35"/>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c r="EA67" s="35"/>
      <c r="EB67" s="35"/>
      <c r="EC67" s="35"/>
      <c r="ED67" s="35"/>
      <c r="EE67" s="35"/>
      <c r="EF67" s="35"/>
      <c r="EG67" s="35"/>
      <c r="EH67" s="35"/>
      <c r="EI67" s="35"/>
      <c r="EJ67" s="35"/>
      <c r="EK67" s="35"/>
      <c r="EL67" s="35"/>
      <c r="EM67" s="35"/>
      <c r="EN67" s="35"/>
      <c r="EO67" s="35"/>
      <c r="EP67" s="35"/>
      <c r="EQ67" s="35"/>
      <c r="ER67" s="35"/>
      <c r="ES67" s="35"/>
      <c r="ET67" s="35"/>
      <c r="EU67" s="35"/>
      <c r="EV67" s="35"/>
      <c r="EW67" s="35"/>
      <c r="EX67" s="35"/>
      <c r="EY67" s="35"/>
      <c r="EZ67" s="35"/>
      <c r="FA67" s="35"/>
      <c r="FB67" s="35"/>
      <c r="FC67" s="35"/>
      <c r="FD67" s="35"/>
      <c r="FE67" s="35"/>
      <c r="FF67" s="35"/>
      <c r="FG67" s="35"/>
      <c r="FH67" s="35"/>
      <c r="FI67" s="35"/>
      <c r="FJ67" s="35"/>
      <c r="FK67" s="35"/>
      <c r="FL67" s="35"/>
      <c r="FM67" s="35"/>
      <c r="FN67" s="35"/>
      <c r="FO67" s="35"/>
      <c r="FP67" s="35"/>
      <c r="FQ67" s="35"/>
      <c r="FR67" s="35"/>
      <c r="FS67" s="35"/>
      <c r="FT67" s="35"/>
      <c r="FU67" s="35"/>
      <c r="FV67" s="35"/>
      <c r="FW67" s="35"/>
      <c r="FX67" s="35"/>
      <c r="FY67" s="35"/>
      <c r="FZ67" s="35"/>
      <c r="GA67" s="35"/>
      <c r="GB67" s="35"/>
      <c r="GC67" s="35"/>
      <c r="GD67" s="35"/>
      <c r="GE67" s="35"/>
      <c r="GF67" s="35"/>
      <c r="GG67" s="35"/>
      <c r="GH67" s="35"/>
      <c r="GI67" s="35"/>
      <c r="GJ67" s="35"/>
      <c r="GK67" s="35"/>
      <c r="GL67" s="35"/>
      <c r="GM67" s="35"/>
      <c r="GN67" s="35"/>
      <c r="GO67" s="35"/>
      <c r="GP67" s="35"/>
      <c r="GQ67" s="35"/>
      <c r="GR67" s="35"/>
      <c r="GS67" s="35"/>
      <c r="GT67" s="35"/>
      <c r="GU67" s="35"/>
      <c r="GV67" s="35"/>
      <c r="GW67" s="35"/>
      <c r="GX67" s="35"/>
      <c r="GY67" s="35"/>
      <c r="GZ67" s="35"/>
      <c r="HA67" s="35"/>
      <c r="HB67" s="35"/>
      <c r="HC67" s="35"/>
      <c r="HD67" s="35"/>
      <c r="HE67" s="35"/>
      <c r="HF67" s="35"/>
      <c r="HG67" s="35"/>
      <c r="HH67" s="35"/>
      <c r="HI67" s="35"/>
      <c r="HJ67" s="35"/>
      <c r="HK67" s="35"/>
      <c r="HL67" s="35"/>
      <c r="HM67" s="35"/>
      <c r="HN67" s="35"/>
      <c r="HO67" s="35"/>
      <c r="HP67" s="35"/>
      <c r="HQ67" s="35"/>
      <c r="HR67" s="35"/>
      <c r="HS67" s="35"/>
      <c r="HT67" s="35"/>
      <c r="HU67" s="35"/>
      <c r="HV67" s="35"/>
      <c r="HW67" s="35"/>
      <c r="HX67" s="35"/>
      <c r="HY67" s="35"/>
      <c r="HZ67" s="35"/>
      <c r="IA67" s="35"/>
      <c r="IB67" s="35"/>
      <c r="IC67" s="35"/>
      <c r="ID67" s="35"/>
      <c r="IE67" s="35"/>
      <c r="IF67" s="35"/>
      <c r="IG67" s="35"/>
      <c r="IH67" s="35"/>
      <c r="II67" s="35"/>
      <c r="IJ67" s="35"/>
      <c r="IK67" s="35"/>
      <c r="IL67" s="35"/>
      <c r="IM67" s="35"/>
      <c r="IN67" s="35"/>
      <c r="IO67" s="35"/>
      <c r="IP67" s="35"/>
      <c r="IQ67" s="35"/>
      <c r="IR67" s="35"/>
      <c r="IS67" s="35"/>
      <c r="IT67" s="35"/>
      <c r="IU67" s="35"/>
      <c r="IV67" s="35"/>
      <c r="IW67" s="35"/>
      <c r="IX67" s="35"/>
      <c r="IY67" s="35"/>
      <c r="IZ67" s="35"/>
      <c r="JA67" s="35"/>
      <c r="JB67" s="35"/>
      <c r="JC67" s="35"/>
      <c r="JD67" s="35"/>
      <c r="JE67" s="35"/>
      <c r="JF67" s="35"/>
      <c r="JG67" s="35"/>
      <c r="JH67" s="35"/>
      <c r="JI67" s="35"/>
      <c r="JJ67" s="35"/>
      <c r="JK67" s="35"/>
      <c r="JL67" s="35"/>
      <c r="JM67" s="35"/>
      <c r="JN67" s="35"/>
      <c r="JO67" s="35"/>
      <c r="JP67" s="35"/>
      <c r="JQ67" s="35"/>
      <c r="JR67" s="35"/>
      <c r="JS67" s="35"/>
      <c r="JT67" s="35"/>
      <c r="JU67" s="35"/>
      <c r="JV67" s="35"/>
      <c r="JW67" s="35"/>
      <c r="JX67" s="35"/>
      <c r="JY67" s="35"/>
      <c r="JZ67" s="35"/>
      <c r="KA67" s="35"/>
      <c r="KB67" s="35"/>
      <c r="KC67" s="35"/>
      <c r="KD67" s="35"/>
      <c r="KE67" s="35"/>
      <c r="KF67" s="35"/>
      <c r="KG67" s="35"/>
      <c r="KH67" s="35"/>
      <c r="KI67" s="35"/>
      <c r="KJ67" s="35"/>
      <c r="KK67" s="35"/>
      <c r="KL67" s="35"/>
      <c r="KM67" s="35"/>
      <c r="KN67" s="35"/>
      <c r="KO67" s="35"/>
      <c r="KP67" s="35"/>
      <c r="KQ67" s="35"/>
      <c r="KR67" s="35"/>
      <c r="KS67" s="35"/>
      <c r="KT67" s="35"/>
      <c r="KU67" s="35"/>
      <c r="KV67" s="35"/>
      <c r="KW67" s="35"/>
      <c r="KX67" s="35"/>
      <c r="KY67" s="35"/>
      <c r="KZ67" s="35"/>
      <c r="LA67" s="35"/>
      <c r="LB67" s="35"/>
      <c r="LC67" s="35"/>
      <c r="LD67" s="35"/>
      <c r="LE67" s="35"/>
      <c r="LF67" s="35"/>
      <c r="LG67" s="35"/>
      <c r="LH67" s="35"/>
      <c r="LI67" s="35"/>
      <c r="LJ67" s="35"/>
      <c r="LK67" s="35"/>
      <c r="LL67" s="35"/>
      <c r="LM67" s="35"/>
      <c r="LN67" s="35"/>
      <c r="LO67" s="35"/>
      <c r="LP67" s="35"/>
      <c r="LQ67" s="35"/>
      <c r="LR67" s="35"/>
      <c r="LS67" s="35"/>
      <c r="LT67" s="35"/>
      <c r="LU67" s="35"/>
      <c r="LV67" s="35"/>
      <c r="LW67" s="35"/>
      <c r="LX67" s="35"/>
      <c r="LY67" s="35"/>
      <c r="LZ67" s="35"/>
      <c r="MA67" s="35"/>
      <c r="MB67" s="35"/>
      <c r="MC67" s="35"/>
      <c r="MD67" s="35"/>
      <c r="ME67" s="35"/>
      <c r="MF67" s="35"/>
      <c r="MG67" s="35"/>
      <c r="MH67" s="35"/>
      <c r="MI67" s="35"/>
      <c r="MJ67" s="35"/>
      <c r="MK67" s="35"/>
      <c r="ML67" s="35"/>
      <c r="MM67" s="35"/>
      <c r="MN67" s="35"/>
      <c r="MO67" s="35"/>
      <c r="MP67" s="35"/>
      <c r="MQ67" s="35"/>
      <c r="MR67" s="35"/>
      <c r="MS67" s="35"/>
      <c r="MT67" s="35"/>
      <c r="MU67" s="35"/>
      <c r="MV67" s="35"/>
      <c r="MW67" s="35"/>
      <c r="MX67" s="35"/>
      <c r="MY67" s="35"/>
      <c r="MZ67" s="35"/>
      <c r="NA67" s="35"/>
      <c r="NB67" s="35"/>
      <c r="NC67" s="35"/>
      <c r="ND67" s="35"/>
      <c r="NE67" s="35"/>
      <c r="NF67" s="35"/>
      <c r="NG67" s="35"/>
      <c r="NH67" s="35"/>
      <c r="NI67" s="35"/>
      <c r="NJ67" s="35"/>
      <c r="NK67" s="35"/>
      <c r="NL67" s="35"/>
      <c r="NM67" s="35"/>
      <c r="NN67" s="35"/>
      <c r="NO67" s="35"/>
      <c r="NP67" s="35"/>
      <c r="NQ67" s="35"/>
      <c r="NR67" s="35"/>
      <c r="NS67" s="35"/>
      <c r="NT67" s="35"/>
      <c r="NU67" s="35"/>
      <c r="NV67" s="35"/>
      <c r="NW67" s="35"/>
      <c r="NX67" s="35"/>
      <c r="NY67" s="35"/>
      <c r="NZ67" s="35"/>
      <c r="OA67" s="35"/>
      <c r="OB67" s="35"/>
      <c r="OC67" s="35"/>
      <c r="OD67" s="35"/>
      <c r="OE67" s="35"/>
      <c r="OF67" s="35"/>
      <c r="OG67" s="35"/>
      <c r="OH67" s="35"/>
      <c r="OI67" s="35"/>
      <c r="OJ67" s="35"/>
      <c r="OK67" s="35"/>
      <c r="OL67" s="35"/>
      <c r="OM67" s="35"/>
      <c r="ON67" s="35"/>
      <c r="OO67" s="35"/>
      <c r="OP67" s="35"/>
      <c r="OQ67" s="35"/>
      <c r="OR67" s="35"/>
      <c r="OS67" s="35"/>
      <c r="OT67" s="35"/>
      <c r="OU67" s="35"/>
      <c r="OV67" s="35"/>
    </row>
    <row r="68" ht="18.0" customHeight="1">
      <c r="A68" s="34">
        <v>67.0</v>
      </c>
      <c r="B68" s="35" t="s">
        <v>553</v>
      </c>
      <c r="C68" s="36" t="s">
        <v>2325</v>
      </c>
      <c r="D68" s="35" t="s">
        <v>614</v>
      </c>
      <c r="E68" s="34">
        <v>100.0</v>
      </c>
      <c r="F68" s="34" t="str">
        <f t="shared" si="1"/>
        <v>#REF!</v>
      </c>
      <c r="G68" s="34">
        <f t="shared" si="2"/>
        <v>0</v>
      </c>
      <c r="H68" s="34">
        <f t="shared" si="3"/>
        <v>0</v>
      </c>
      <c r="I68" s="34">
        <f t="shared" si="4"/>
        <v>0</v>
      </c>
      <c r="J68" s="37" t="s">
        <v>625</v>
      </c>
      <c r="K68" s="37" t="b">
        <v>0</v>
      </c>
      <c r="L68" s="38" t="s">
        <v>71</v>
      </c>
      <c r="M68" s="35" t="str">
        <f>IFERROR(__xludf.DUMMYFUNCTION("IFERROR(TOROW(CHOOSECOLS(SORT(FILTER({'Tổng hợp 75 trang đích'!$J$2:$J$3260,'Tổng hợp 75 trang đích'!$I$2:$I$3260,MATCH('Tổng hợp 75 trang đích'!$K$2:$K$3260,{""PHÙ HỢP CAO"",""CÓ THỂ ĐI"",""CẦN SOÁT""},0)},'Tổng hợp 75 trang đích'!$B$2:$B$3260=$D68),3,TR"&amp;"UE),1,2)),"""")"),"")</f>
        <v/>
      </c>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c r="BM68" s="35"/>
      <c r="BN68" s="35"/>
      <c r="BO68" s="35"/>
      <c r="BP68" s="35"/>
      <c r="BQ68" s="35"/>
      <c r="BR68" s="35"/>
      <c r="BS68" s="35"/>
      <c r="BT68" s="35"/>
      <c r="BU68" s="35"/>
      <c r="BV68" s="35"/>
      <c r="BW68" s="35"/>
      <c r="BX68" s="35"/>
      <c r="BY68" s="35"/>
      <c r="BZ68" s="35"/>
      <c r="CA68" s="35"/>
      <c r="CB68" s="35"/>
      <c r="CC68" s="35"/>
      <c r="CD68" s="35"/>
      <c r="CE68" s="35"/>
      <c r="CF68" s="35"/>
      <c r="CG68" s="35"/>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c r="EA68" s="35"/>
      <c r="EB68" s="35"/>
      <c r="EC68" s="35"/>
      <c r="ED68" s="35"/>
      <c r="EE68" s="35"/>
      <c r="EF68" s="35"/>
      <c r="EG68" s="35"/>
      <c r="EH68" s="35"/>
      <c r="EI68" s="35"/>
      <c r="EJ68" s="35"/>
      <c r="EK68" s="35"/>
      <c r="EL68" s="35"/>
      <c r="EM68" s="35"/>
      <c r="EN68" s="35"/>
      <c r="EO68" s="35"/>
      <c r="EP68" s="35"/>
      <c r="EQ68" s="35"/>
      <c r="ER68" s="35"/>
      <c r="ES68" s="35"/>
      <c r="ET68" s="35"/>
      <c r="EU68" s="35"/>
      <c r="EV68" s="35"/>
      <c r="EW68" s="35"/>
      <c r="EX68" s="35"/>
      <c r="EY68" s="35"/>
      <c r="EZ68" s="35"/>
      <c r="FA68" s="35"/>
      <c r="FB68" s="35"/>
      <c r="FC68" s="35"/>
      <c r="FD68" s="35"/>
      <c r="FE68" s="35"/>
      <c r="FF68" s="35"/>
      <c r="FG68" s="35"/>
      <c r="FH68" s="35"/>
      <c r="FI68" s="35"/>
      <c r="FJ68" s="35"/>
      <c r="FK68" s="35"/>
      <c r="FL68" s="35"/>
      <c r="FM68" s="35"/>
      <c r="FN68" s="35"/>
      <c r="FO68" s="35"/>
      <c r="FP68" s="35"/>
      <c r="FQ68" s="35"/>
      <c r="FR68" s="35"/>
      <c r="FS68" s="35"/>
      <c r="FT68" s="35"/>
      <c r="FU68" s="35"/>
      <c r="FV68" s="35"/>
      <c r="FW68" s="35"/>
      <c r="FX68" s="35"/>
      <c r="FY68" s="35"/>
      <c r="FZ68" s="35"/>
      <c r="GA68" s="35"/>
      <c r="GB68" s="35"/>
      <c r="GC68" s="35"/>
      <c r="GD68" s="35"/>
      <c r="GE68" s="35"/>
      <c r="GF68" s="35"/>
      <c r="GG68" s="35"/>
      <c r="GH68" s="35"/>
      <c r="GI68" s="35"/>
      <c r="GJ68" s="35"/>
      <c r="GK68" s="35"/>
      <c r="GL68" s="35"/>
      <c r="GM68" s="35"/>
      <c r="GN68" s="35"/>
      <c r="GO68" s="35"/>
      <c r="GP68" s="35"/>
      <c r="GQ68" s="35"/>
      <c r="GR68" s="35"/>
      <c r="GS68" s="35"/>
      <c r="GT68" s="35"/>
      <c r="GU68" s="35"/>
      <c r="GV68" s="35"/>
      <c r="GW68" s="35"/>
      <c r="GX68" s="35"/>
      <c r="GY68" s="35"/>
      <c r="GZ68" s="35"/>
      <c r="HA68" s="35"/>
      <c r="HB68" s="35"/>
      <c r="HC68" s="35"/>
      <c r="HD68" s="35"/>
      <c r="HE68" s="35"/>
      <c r="HF68" s="35"/>
      <c r="HG68" s="35"/>
      <c r="HH68" s="35"/>
      <c r="HI68" s="35"/>
      <c r="HJ68" s="35"/>
      <c r="HK68" s="35"/>
      <c r="HL68" s="35"/>
      <c r="HM68" s="35"/>
      <c r="HN68" s="35"/>
      <c r="HO68" s="35"/>
      <c r="HP68" s="35"/>
      <c r="HQ68" s="35"/>
      <c r="HR68" s="35"/>
      <c r="HS68" s="35"/>
      <c r="HT68" s="35"/>
      <c r="HU68" s="35"/>
      <c r="HV68" s="35"/>
      <c r="HW68" s="35"/>
      <c r="HX68" s="35"/>
      <c r="HY68" s="35"/>
      <c r="HZ68" s="35"/>
      <c r="IA68" s="35"/>
      <c r="IB68" s="35"/>
      <c r="IC68" s="35"/>
      <c r="ID68" s="35"/>
      <c r="IE68" s="35"/>
      <c r="IF68" s="35"/>
      <c r="IG68" s="35"/>
      <c r="IH68" s="35"/>
      <c r="II68" s="35"/>
      <c r="IJ68" s="35"/>
      <c r="IK68" s="35"/>
      <c r="IL68" s="35"/>
      <c r="IM68" s="35"/>
      <c r="IN68" s="35"/>
      <c r="IO68" s="35"/>
      <c r="IP68" s="35"/>
      <c r="IQ68" s="35"/>
      <c r="IR68" s="35"/>
      <c r="IS68" s="35"/>
      <c r="IT68" s="35"/>
      <c r="IU68" s="35"/>
      <c r="IV68" s="35"/>
      <c r="IW68" s="35"/>
      <c r="IX68" s="35"/>
      <c r="IY68" s="35"/>
      <c r="IZ68" s="35"/>
      <c r="JA68" s="35"/>
      <c r="JB68" s="35"/>
      <c r="JC68" s="35"/>
      <c r="JD68" s="35"/>
      <c r="JE68" s="35"/>
      <c r="JF68" s="35"/>
      <c r="JG68" s="35"/>
      <c r="JH68" s="35"/>
      <c r="JI68" s="35"/>
      <c r="JJ68" s="35"/>
      <c r="JK68" s="35"/>
      <c r="JL68" s="35"/>
      <c r="JM68" s="35"/>
      <c r="JN68" s="35"/>
      <c r="JO68" s="35"/>
      <c r="JP68" s="35"/>
      <c r="JQ68" s="35"/>
      <c r="JR68" s="35"/>
      <c r="JS68" s="35"/>
      <c r="JT68" s="35"/>
      <c r="JU68" s="35"/>
      <c r="JV68" s="35"/>
      <c r="JW68" s="35"/>
      <c r="JX68" s="35"/>
      <c r="JY68" s="35"/>
      <c r="JZ68" s="35"/>
      <c r="KA68" s="35"/>
      <c r="KB68" s="35"/>
      <c r="KC68" s="35"/>
      <c r="KD68" s="35"/>
      <c r="KE68" s="35"/>
      <c r="KF68" s="35"/>
      <c r="KG68" s="35"/>
      <c r="KH68" s="35"/>
      <c r="KI68" s="35"/>
      <c r="KJ68" s="35"/>
      <c r="KK68" s="35"/>
      <c r="KL68" s="35"/>
      <c r="KM68" s="35"/>
      <c r="KN68" s="35"/>
      <c r="KO68" s="35"/>
      <c r="KP68" s="35"/>
      <c r="KQ68" s="35"/>
      <c r="KR68" s="35"/>
      <c r="KS68" s="35"/>
      <c r="KT68" s="35"/>
      <c r="KU68" s="35"/>
      <c r="KV68" s="35"/>
      <c r="KW68" s="35"/>
      <c r="KX68" s="35"/>
      <c r="KY68" s="35"/>
      <c r="KZ68" s="35"/>
      <c r="LA68" s="35"/>
      <c r="LB68" s="35"/>
      <c r="LC68" s="35"/>
      <c r="LD68" s="35"/>
      <c r="LE68" s="35"/>
      <c r="LF68" s="35"/>
      <c r="LG68" s="35"/>
      <c r="LH68" s="35"/>
      <c r="LI68" s="35"/>
      <c r="LJ68" s="35"/>
      <c r="LK68" s="35"/>
      <c r="LL68" s="35"/>
      <c r="LM68" s="35"/>
      <c r="LN68" s="35"/>
      <c r="LO68" s="35"/>
      <c r="LP68" s="35"/>
      <c r="LQ68" s="35"/>
      <c r="LR68" s="35"/>
      <c r="LS68" s="35"/>
      <c r="LT68" s="35"/>
      <c r="LU68" s="35"/>
      <c r="LV68" s="35"/>
      <c r="LW68" s="35"/>
      <c r="LX68" s="35"/>
      <c r="LY68" s="35"/>
      <c r="LZ68" s="35"/>
      <c r="MA68" s="35"/>
      <c r="MB68" s="35"/>
      <c r="MC68" s="35"/>
      <c r="MD68" s="35"/>
      <c r="ME68" s="35"/>
      <c r="MF68" s="35"/>
      <c r="MG68" s="35"/>
      <c r="MH68" s="35"/>
      <c r="MI68" s="35"/>
      <c r="MJ68" s="35"/>
      <c r="MK68" s="35"/>
      <c r="ML68" s="35"/>
      <c r="MM68" s="35"/>
      <c r="MN68" s="35"/>
      <c r="MO68" s="35"/>
      <c r="MP68" s="35"/>
      <c r="MQ68" s="35"/>
      <c r="MR68" s="35"/>
      <c r="MS68" s="35"/>
      <c r="MT68" s="35"/>
      <c r="MU68" s="35"/>
      <c r="MV68" s="35"/>
      <c r="MW68" s="35"/>
      <c r="MX68" s="35"/>
      <c r="MY68" s="35"/>
      <c r="MZ68" s="35"/>
      <c r="NA68" s="35"/>
      <c r="NB68" s="35"/>
      <c r="NC68" s="35"/>
      <c r="ND68" s="35"/>
      <c r="NE68" s="35"/>
      <c r="NF68" s="35"/>
      <c r="NG68" s="35"/>
      <c r="NH68" s="35"/>
      <c r="NI68" s="35"/>
      <c r="NJ68" s="35"/>
      <c r="NK68" s="35"/>
      <c r="NL68" s="35"/>
      <c r="NM68" s="35"/>
      <c r="NN68" s="35"/>
      <c r="NO68" s="35"/>
      <c r="NP68" s="35"/>
      <c r="NQ68" s="35"/>
      <c r="NR68" s="35"/>
      <c r="NS68" s="35"/>
      <c r="NT68" s="35"/>
      <c r="NU68" s="35"/>
      <c r="NV68" s="35"/>
      <c r="NW68" s="35"/>
      <c r="NX68" s="35"/>
      <c r="NY68" s="35"/>
      <c r="NZ68" s="35"/>
      <c r="OA68" s="35"/>
      <c r="OB68" s="35"/>
      <c r="OC68" s="35"/>
      <c r="OD68" s="35"/>
      <c r="OE68" s="35"/>
      <c r="OF68" s="35"/>
      <c r="OG68" s="35"/>
      <c r="OH68" s="35"/>
      <c r="OI68" s="35"/>
      <c r="OJ68" s="35"/>
      <c r="OK68" s="35"/>
      <c r="OL68" s="35"/>
      <c r="OM68" s="35"/>
      <c r="ON68" s="35"/>
      <c r="OO68" s="35"/>
      <c r="OP68" s="35"/>
      <c r="OQ68" s="35"/>
      <c r="OR68" s="35"/>
      <c r="OS68" s="35"/>
      <c r="OT68" s="35"/>
      <c r="OU68" s="35"/>
      <c r="OV68" s="35"/>
    </row>
    <row r="69" ht="18.0" customHeight="1">
      <c r="A69" s="34">
        <v>68.0</v>
      </c>
      <c r="B69" s="35" t="s">
        <v>377</v>
      </c>
      <c r="C69" s="36" t="s">
        <v>1811</v>
      </c>
      <c r="D69" s="35" t="s">
        <v>374</v>
      </c>
      <c r="E69" s="34">
        <v>200.0</v>
      </c>
      <c r="F69" s="34" t="str">
        <f t="shared" si="1"/>
        <v>#REF!</v>
      </c>
      <c r="G69" s="34">
        <f t="shared" si="2"/>
        <v>0</v>
      </c>
      <c r="H69" s="34">
        <f t="shared" si="3"/>
        <v>0</v>
      </c>
      <c r="I69" s="34">
        <f t="shared" si="4"/>
        <v>0</v>
      </c>
      <c r="J69" s="37" t="s">
        <v>625</v>
      </c>
      <c r="K69" s="37" t="b">
        <v>0</v>
      </c>
      <c r="L69" s="52"/>
      <c r="M69" s="35" t="str">
        <f>IFERROR(__xludf.DUMMYFUNCTION("IFERROR(TOROW(CHOOSECOLS(SORT(FILTER({'Tổng hợp 75 trang đích'!$J$2:$J$3260,'Tổng hợp 75 trang đích'!$I$2:$I$3260,MATCH('Tổng hợp 75 trang đích'!$K$2:$K$3260,{""PHÙ HỢP CAO"",""CÓ THỂ ĐI"",""CẦN SOÁT""},0)},'Tổng hợp 75 trang đích'!$B$2:$B$3260=$D69),3,TR"&amp;"UE),1,2)),"""")"),"")</f>
        <v/>
      </c>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c r="BM69" s="35"/>
      <c r="BN69" s="35"/>
      <c r="BO69" s="35"/>
      <c r="BP69" s="35"/>
      <c r="BQ69" s="35"/>
      <c r="BR69" s="35"/>
      <c r="BS69" s="35"/>
      <c r="BT69" s="35"/>
      <c r="BU69" s="35"/>
      <c r="BV69" s="35"/>
      <c r="BW69" s="35"/>
      <c r="BX69" s="35"/>
      <c r="BY69" s="35"/>
      <c r="BZ69" s="35"/>
      <c r="CA69" s="35"/>
      <c r="CB69" s="35"/>
      <c r="CC69" s="35"/>
      <c r="CD69" s="35"/>
      <c r="CE69" s="35"/>
      <c r="CF69" s="35"/>
      <c r="CG69" s="35"/>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c r="EA69" s="35"/>
      <c r="EB69" s="35"/>
      <c r="EC69" s="35"/>
      <c r="ED69" s="35"/>
      <c r="EE69" s="35"/>
      <c r="EF69" s="35"/>
      <c r="EG69" s="35"/>
      <c r="EH69" s="35"/>
      <c r="EI69" s="35"/>
      <c r="EJ69" s="35"/>
      <c r="EK69" s="35"/>
      <c r="EL69" s="35"/>
      <c r="EM69" s="35"/>
      <c r="EN69" s="35"/>
      <c r="EO69" s="35"/>
      <c r="EP69" s="35"/>
      <c r="EQ69" s="35"/>
      <c r="ER69" s="35"/>
      <c r="ES69" s="35"/>
      <c r="ET69" s="35"/>
      <c r="EU69" s="35"/>
      <c r="EV69" s="35"/>
      <c r="EW69" s="35"/>
      <c r="EX69" s="35"/>
      <c r="EY69" s="35"/>
      <c r="EZ69" s="35"/>
      <c r="FA69" s="35"/>
      <c r="FB69" s="35"/>
      <c r="FC69" s="35"/>
      <c r="FD69" s="35"/>
      <c r="FE69" s="35"/>
      <c r="FF69" s="35"/>
      <c r="FG69" s="35"/>
      <c r="FH69" s="35"/>
      <c r="FI69" s="35"/>
      <c r="FJ69" s="35"/>
      <c r="FK69" s="35"/>
      <c r="FL69" s="35"/>
      <c r="FM69" s="35"/>
      <c r="FN69" s="35"/>
      <c r="FO69" s="35"/>
      <c r="FP69" s="35"/>
      <c r="FQ69" s="35"/>
      <c r="FR69" s="35"/>
      <c r="FS69" s="35"/>
      <c r="FT69" s="35"/>
      <c r="FU69" s="35"/>
      <c r="FV69" s="35"/>
      <c r="FW69" s="35"/>
      <c r="FX69" s="35"/>
      <c r="FY69" s="35"/>
      <c r="FZ69" s="35"/>
      <c r="GA69" s="35"/>
      <c r="GB69" s="35"/>
      <c r="GC69" s="35"/>
      <c r="GD69" s="35"/>
      <c r="GE69" s="35"/>
      <c r="GF69" s="35"/>
      <c r="GG69" s="35"/>
      <c r="GH69" s="35"/>
      <c r="GI69" s="35"/>
      <c r="GJ69" s="35"/>
      <c r="GK69" s="35"/>
      <c r="GL69" s="35"/>
      <c r="GM69" s="35"/>
      <c r="GN69" s="35"/>
      <c r="GO69" s="35"/>
      <c r="GP69" s="35"/>
      <c r="GQ69" s="35"/>
      <c r="GR69" s="35"/>
      <c r="GS69" s="35"/>
      <c r="GT69" s="35"/>
      <c r="GU69" s="35"/>
      <c r="GV69" s="35"/>
      <c r="GW69" s="35"/>
      <c r="GX69" s="35"/>
      <c r="GY69" s="35"/>
      <c r="GZ69" s="35"/>
      <c r="HA69" s="35"/>
      <c r="HB69" s="35"/>
      <c r="HC69" s="35"/>
      <c r="HD69" s="35"/>
      <c r="HE69" s="35"/>
      <c r="HF69" s="35"/>
      <c r="HG69" s="35"/>
      <c r="HH69" s="35"/>
      <c r="HI69" s="35"/>
      <c r="HJ69" s="35"/>
      <c r="HK69" s="35"/>
      <c r="HL69" s="35"/>
      <c r="HM69" s="35"/>
      <c r="HN69" s="35"/>
      <c r="HO69" s="35"/>
      <c r="HP69" s="35"/>
      <c r="HQ69" s="35"/>
      <c r="HR69" s="35"/>
      <c r="HS69" s="35"/>
      <c r="HT69" s="35"/>
      <c r="HU69" s="35"/>
      <c r="HV69" s="35"/>
      <c r="HW69" s="35"/>
      <c r="HX69" s="35"/>
      <c r="HY69" s="35"/>
      <c r="HZ69" s="35"/>
      <c r="IA69" s="35"/>
      <c r="IB69" s="35"/>
      <c r="IC69" s="35"/>
      <c r="ID69" s="35"/>
      <c r="IE69" s="35"/>
      <c r="IF69" s="35"/>
      <c r="IG69" s="35"/>
      <c r="IH69" s="35"/>
      <c r="II69" s="35"/>
      <c r="IJ69" s="35"/>
      <c r="IK69" s="35"/>
      <c r="IL69" s="35"/>
      <c r="IM69" s="35"/>
      <c r="IN69" s="35"/>
      <c r="IO69" s="35"/>
      <c r="IP69" s="35"/>
      <c r="IQ69" s="35"/>
      <c r="IR69" s="35"/>
      <c r="IS69" s="35"/>
      <c r="IT69" s="35"/>
      <c r="IU69" s="35"/>
      <c r="IV69" s="35"/>
      <c r="IW69" s="35"/>
      <c r="IX69" s="35"/>
      <c r="IY69" s="35"/>
      <c r="IZ69" s="35"/>
      <c r="JA69" s="35"/>
      <c r="JB69" s="35"/>
      <c r="JC69" s="35"/>
      <c r="JD69" s="35"/>
      <c r="JE69" s="35"/>
      <c r="JF69" s="35"/>
      <c r="JG69" s="35"/>
      <c r="JH69" s="35"/>
      <c r="JI69" s="35"/>
      <c r="JJ69" s="35"/>
      <c r="JK69" s="35"/>
      <c r="JL69" s="35"/>
      <c r="JM69" s="35"/>
      <c r="JN69" s="35"/>
      <c r="JO69" s="35"/>
      <c r="JP69" s="35"/>
      <c r="JQ69" s="35"/>
      <c r="JR69" s="35"/>
      <c r="JS69" s="35"/>
      <c r="JT69" s="35"/>
      <c r="JU69" s="35"/>
      <c r="JV69" s="35"/>
      <c r="JW69" s="35"/>
      <c r="JX69" s="35"/>
      <c r="JY69" s="35"/>
      <c r="JZ69" s="35"/>
      <c r="KA69" s="35"/>
      <c r="KB69" s="35"/>
      <c r="KC69" s="35"/>
      <c r="KD69" s="35"/>
      <c r="KE69" s="35"/>
      <c r="KF69" s="35"/>
      <c r="KG69" s="35"/>
      <c r="KH69" s="35"/>
      <c r="KI69" s="35"/>
      <c r="KJ69" s="35"/>
      <c r="KK69" s="35"/>
      <c r="KL69" s="35"/>
      <c r="KM69" s="35"/>
      <c r="KN69" s="35"/>
      <c r="KO69" s="35"/>
      <c r="KP69" s="35"/>
      <c r="KQ69" s="35"/>
      <c r="KR69" s="35"/>
      <c r="KS69" s="35"/>
      <c r="KT69" s="35"/>
      <c r="KU69" s="35"/>
      <c r="KV69" s="35"/>
      <c r="KW69" s="35"/>
      <c r="KX69" s="35"/>
      <c r="KY69" s="35"/>
      <c r="KZ69" s="35"/>
      <c r="LA69" s="35"/>
      <c r="LB69" s="35"/>
      <c r="LC69" s="35"/>
      <c r="LD69" s="35"/>
      <c r="LE69" s="35"/>
      <c r="LF69" s="35"/>
      <c r="LG69" s="35"/>
      <c r="LH69" s="35"/>
      <c r="LI69" s="35"/>
      <c r="LJ69" s="35"/>
      <c r="LK69" s="35"/>
      <c r="LL69" s="35"/>
      <c r="LM69" s="35"/>
      <c r="LN69" s="35"/>
      <c r="LO69" s="35"/>
      <c r="LP69" s="35"/>
      <c r="LQ69" s="35"/>
      <c r="LR69" s="35"/>
      <c r="LS69" s="35"/>
      <c r="LT69" s="35"/>
      <c r="LU69" s="35"/>
      <c r="LV69" s="35"/>
      <c r="LW69" s="35"/>
      <c r="LX69" s="35"/>
      <c r="LY69" s="35"/>
      <c r="LZ69" s="35"/>
      <c r="MA69" s="35"/>
      <c r="MB69" s="35"/>
      <c r="MC69" s="35"/>
      <c r="MD69" s="35"/>
      <c r="ME69" s="35"/>
      <c r="MF69" s="35"/>
      <c r="MG69" s="35"/>
      <c r="MH69" s="35"/>
      <c r="MI69" s="35"/>
      <c r="MJ69" s="35"/>
      <c r="MK69" s="35"/>
      <c r="ML69" s="35"/>
      <c r="MM69" s="35"/>
      <c r="MN69" s="35"/>
      <c r="MO69" s="35"/>
      <c r="MP69" s="35"/>
      <c r="MQ69" s="35"/>
      <c r="MR69" s="35"/>
      <c r="MS69" s="35"/>
      <c r="MT69" s="35"/>
      <c r="MU69" s="35"/>
      <c r="MV69" s="35"/>
      <c r="MW69" s="35"/>
      <c r="MX69" s="35"/>
      <c r="MY69" s="35"/>
      <c r="MZ69" s="35"/>
      <c r="NA69" s="35"/>
      <c r="NB69" s="35"/>
      <c r="NC69" s="35"/>
      <c r="ND69" s="35"/>
      <c r="NE69" s="35"/>
      <c r="NF69" s="35"/>
      <c r="NG69" s="35"/>
      <c r="NH69" s="35"/>
      <c r="NI69" s="35"/>
      <c r="NJ69" s="35"/>
      <c r="NK69" s="35"/>
      <c r="NL69" s="35"/>
      <c r="NM69" s="35"/>
      <c r="NN69" s="35"/>
      <c r="NO69" s="35"/>
      <c r="NP69" s="35"/>
      <c r="NQ69" s="35"/>
      <c r="NR69" s="35"/>
      <c r="NS69" s="35"/>
      <c r="NT69" s="35"/>
      <c r="NU69" s="35"/>
      <c r="NV69" s="35"/>
      <c r="NW69" s="35"/>
      <c r="NX69" s="35"/>
      <c r="NY69" s="35"/>
      <c r="NZ69" s="35"/>
      <c r="OA69" s="35"/>
      <c r="OB69" s="35"/>
      <c r="OC69" s="35"/>
      <c r="OD69" s="35"/>
      <c r="OE69" s="35"/>
      <c r="OF69" s="35"/>
      <c r="OG69" s="35"/>
      <c r="OH69" s="35"/>
      <c r="OI69" s="35"/>
      <c r="OJ69" s="35"/>
      <c r="OK69" s="35"/>
      <c r="OL69" s="35"/>
      <c r="OM69" s="35"/>
      <c r="ON69" s="35"/>
      <c r="OO69" s="35"/>
      <c r="OP69" s="35"/>
      <c r="OQ69" s="35"/>
      <c r="OR69" s="35"/>
      <c r="OS69" s="35"/>
      <c r="OT69" s="35"/>
      <c r="OU69" s="35"/>
      <c r="OV69" s="35"/>
    </row>
    <row r="70" ht="18.0" customHeight="1">
      <c r="A70" s="34">
        <v>69.0</v>
      </c>
      <c r="B70" s="35" t="s">
        <v>377</v>
      </c>
      <c r="C70" s="36" t="s">
        <v>1865</v>
      </c>
      <c r="D70" s="35" t="s">
        <v>624</v>
      </c>
      <c r="E70" s="34">
        <v>100.0</v>
      </c>
      <c r="F70" s="34" t="str">
        <f t="shared" si="1"/>
        <v>#REF!</v>
      </c>
      <c r="G70" s="34">
        <f t="shared" si="2"/>
        <v>0</v>
      </c>
      <c r="H70" s="34">
        <f t="shared" si="3"/>
        <v>0</v>
      </c>
      <c r="I70" s="34">
        <f t="shared" si="4"/>
        <v>0</v>
      </c>
      <c r="J70" s="37" t="s">
        <v>625</v>
      </c>
      <c r="K70" s="37" t="b">
        <v>0</v>
      </c>
      <c r="L70" s="38" t="s">
        <v>71</v>
      </c>
      <c r="M70" s="35" t="str">
        <f>IFERROR(__xludf.DUMMYFUNCTION("IFERROR(TOROW(CHOOSECOLS(SORT(FILTER({'Tổng hợp 75 trang đích'!$J$2:$J$3260,'Tổng hợp 75 trang đích'!$I$2:$I$3260,MATCH('Tổng hợp 75 trang đích'!$K$2:$K$3260,{""PHÙ HỢP CAO"",""CÓ THỂ ĐI"",""CẦN SOÁT""},0)},'Tổng hợp 75 trang đích'!$B$2:$B$3260=$D70),3,TR"&amp;"UE),1,2)),"""")"),"")</f>
        <v/>
      </c>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c r="BM70" s="35"/>
      <c r="BN70" s="35"/>
      <c r="BO70" s="35"/>
      <c r="BP70" s="35"/>
      <c r="BQ70" s="35"/>
      <c r="BR70" s="35"/>
      <c r="BS70" s="35"/>
      <c r="BT70" s="35"/>
      <c r="BU70" s="35"/>
      <c r="BV70" s="35"/>
      <c r="BW70" s="35"/>
      <c r="BX70" s="35"/>
      <c r="BY70" s="35"/>
      <c r="BZ70" s="35"/>
      <c r="CA70" s="35"/>
      <c r="CB70" s="35"/>
      <c r="CC70" s="35"/>
      <c r="CD70" s="35"/>
      <c r="CE70" s="35"/>
      <c r="CF70" s="35"/>
      <c r="CG70" s="35"/>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c r="EA70" s="35"/>
      <c r="EB70" s="35"/>
      <c r="EC70" s="35"/>
      <c r="ED70" s="35"/>
      <c r="EE70" s="35"/>
      <c r="EF70" s="35"/>
      <c r="EG70" s="35"/>
      <c r="EH70" s="35"/>
      <c r="EI70" s="35"/>
      <c r="EJ70" s="35"/>
      <c r="EK70" s="35"/>
      <c r="EL70" s="35"/>
      <c r="EM70" s="35"/>
      <c r="EN70" s="35"/>
      <c r="EO70" s="35"/>
      <c r="EP70" s="35"/>
      <c r="EQ70" s="35"/>
      <c r="ER70" s="35"/>
      <c r="ES70" s="35"/>
      <c r="ET70" s="35"/>
      <c r="EU70" s="35"/>
      <c r="EV70" s="35"/>
      <c r="EW70" s="35"/>
      <c r="EX70" s="35"/>
      <c r="EY70" s="35"/>
      <c r="EZ70" s="35"/>
      <c r="FA70" s="35"/>
      <c r="FB70" s="35"/>
      <c r="FC70" s="35"/>
      <c r="FD70" s="35"/>
      <c r="FE70" s="35"/>
      <c r="FF70" s="35"/>
      <c r="FG70" s="35"/>
      <c r="FH70" s="35"/>
      <c r="FI70" s="35"/>
      <c r="FJ70" s="35"/>
      <c r="FK70" s="35"/>
      <c r="FL70" s="35"/>
      <c r="FM70" s="35"/>
      <c r="FN70" s="35"/>
      <c r="FO70" s="35"/>
      <c r="FP70" s="35"/>
      <c r="FQ70" s="35"/>
      <c r="FR70" s="35"/>
      <c r="FS70" s="35"/>
      <c r="FT70" s="35"/>
      <c r="FU70" s="35"/>
      <c r="FV70" s="35"/>
      <c r="FW70" s="35"/>
      <c r="FX70" s="35"/>
      <c r="FY70" s="35"/>
      <c r="FZ70" s="35"/>
      <c r="GA70" s="35"/>
      <c r="GB70" s="35"/>
      <c r="GC70" s="35"/>
      <c r="GD70" s="35"/>
      <c r="GE70" s="35"/>
      <c r="GF70" s="35"/>
      <c r="GG70" s="35"/>
      <c r="GH70" s="35"/>
      <c r="GI70" s="35"/>
      <c r="GJ70" s="35"/>
      <c r="GK70" s="35"/>
      <c r="GL70" s="35"/>
      <c r="GM70" s="35"/>
      <c r="GN70" s="35"/>
      <c r="GO70" s="35"/>
      <c r="GP70" s="35"/>
      <c r="GQ70" s="35"/>
      <c r="GR70" s="35"/>
      <c r="GS70" s="35"/>
      <c r="GT70" s="35"/>
      <c r="GU70" s="35"/>
      <c r="GV70" s="35"/>
      <c r="GW70" s="35"/>
      <c r="GX70" s="35"/>
      <c r="GY70" s="35"/>
      <c r="GZ70" s="35"/>
      <c r="HA70" s="35"/>
      <c r="HB70" s="35"/>
      <c r="HC70" s="35"/>
      <c r="HD70" s="35"/>
      <c r="HE70" s="35"/>
      <c r="HF70" s="35"/>
      <c r="HG70" s="35"/>
      <c r="HH70" s="35"/>
      <c r="HI70" s="35"/>
      <c r="HJ70" s="35"/>
      <c r="HK70" s="35"/>
      <c r="HL70" s="35"/>
      <c r="HM70" s="35"/>
      <c r="HN70" s="35"/>
      <c r="HO70" s="35"/>
      <c r="HP70" s="35"/>
      <c r="HQ70" s="35"/>
      <c r="HR70" s="35"/>
      <c r="HS70" s="35"/>
      <c r="HT70" s="35"/>
      <c r="HU70" s="35"/>
      <c r="HV70" s="35"/>
      <c r="HW70" s="35"/>
      <c r="HX70" s="35"/>
      <c r="HY70" s="35"/>
      <c r="HZ70" s="35"/>
      <c r="IA70" s="35"/>
      <c r="IB70" s="35"/>
      <c r="IC70" s="35"/>
      <c r="ID70" s="35"/>
      <c r="IE70" s="35"/>
      <c r="IF70" s="35"/>
      <c r="IG70" s="35"/>
      <c r="IH70" s="35"/>
      <c r="II70" s="35"/>
      <c r="IJ70" s="35"/>
      <c r="IK70" s="35"/>
      <c r="IL70" s="35"/>
      <c r="IM70" s="35"/>
      <c r="IN70" s="35"/>
      <c r="IO70" s="35"/>
      <c r="IP70" s="35"/>
      <c r="IQ70" s="35"/>
      <c r="IR70" s="35"/>
      <c r="IS70" s="35"/>
      <c r="IT70" s="35"/>
      <c r="IU70" s="35"/>
      <c r="IV70" s="35"/>
      <c r="IW70" s="35"/>
      <c r="IX70" s="35"/>
      <c r="IY70" s="35"/>
      <c r="IZ70" s="35"/>
      <c r="JA70" s="35"/>
      <c r="JB70" s="35"/>
      <c r="JC70" s="35"/>
      <c r="JD70" s="35"/>
      <c r="JE70" s="35"/>
      <c r="JF70" s="35"/>
      <c r="JG70" s="35"/>
      <c r="JH70" s="35"/>
      <c r="JI70" s="35"/>
      <c r="JJ70" s="35"/>
      <c r="JK70" s="35"/>
      <c r="JL70" s="35"/>
      <c r="JM70" s="35"/>
      <c r="JN70" s="35"/>
      <c r="JO70" s="35"/>
      <c r="JP70" s="35"/>
      <c r="JQ70" s="35"/>
      <c r="JR70" s="35"/>
      <c r="JS70" s="35"/>
      <c r="JT70" s="35"/>
      <c r="JU70" s="35"/>
      <c r="JV70" s="35"/>
      <c r="JW70" s="35"/>
      <c r="JX70" s="35"/>
      <c r="JY70" s="35"/>
      <c r="JZ70" s="35"/>
      <c r="KA70" s="35"/>
      <c r="KB70" s="35"/>
      <c r="KC70" s="35"/>
      <c r="KD70" s="35"/>
      <c r="KE70" s="35"/>
      <c r="KF70" s="35"/>
      <c r="KG70" s="35"/>
      <c r="KH70" s="35"/>
      <c r="KI70" s="35"/>
      <c r="KJ70" s="35"/>
      <c r="KK70" s="35"/>
      <c r="KL70" s="35"/>
      <c r="KM70" s="35"/>
      <c r="KN70" s="35"/>
      <c r="KO70" s="35"/>
      <c r="KP70" s="35"/>
      <c r="KQ70" s="35"/>
      <c r="KR70" s="35"/>
      <c r="KS70" s="35"/>
      <c r="KT70" s="35"/>
      <c r="KU70" s="35"/>
      <c r="KV70" s="35"/>
      <c r="KW70" s="35"/>
      <c r="KX70" s="35"/>
      <c r="KY70" s="35"/>
      <c r="KZ70" s="35"/>
      <c r="LA70" s="35"/>
      <c r="LB70" s="35"/>
      <c r="LC70" s="35"/>
      <c r="LD70" s="35"/>
      <c r="LE70" s="35"/>
      <c r="LF70" s="35"/>
      <c r="LG70" s="35"/>
      <c r="LH70" s="35"/>
      <c r="LI70" s="35"/>
      <c r="LJ70" s="35"/>
      <c r="LK70" s="35"/>
      <c r="LL70" s="35"/>
      <c r="LM70" s="35"/>
      <c r="LN70" s="35"/>
      <c r="LO70" s="35"/>
      <c r="LP70" s="35"/>
      <c r="LQ70" s="35"/>
      <c r="LR70" s="35"/>
      <c r="LS70" s="35"/>
      <c r="LT70" s="35"/>
      <c r="LU70" s="35"/>
      <c r="LV70" s="35"/>
      <c r="LW70" s="35"/>
      <c r="LX70" s="35"/>
      <c r="LY70" s="35"/>
      <c r="LZ70" s="35"/>
      <c r="MA70" s="35"/>
      <c r="MB70" s="35"/>
      <c r="MC70" s="35"/>
      <c r="MD70" s="35"/>
      <c r="ME70" s="35"/>
      <c r="MF70" s="35"/>
      <c r="MG70" s="35"/>
      <c r="MH70" s="35"/>
      <c r="MI70" s="35"/>
      <c r="MJ70" s="35"/>
      <c r="MK70" s="35"/>
      <c r="ML70" s="35"/>
      <c r="MM70" s="35"/>
      <c r="MN70" s="35"/>
      <c r="MO70" s="35"/>
      <c r="MP70" s="35"/>
      <c r="MQ70" s="35"/>
      <c r="MR70" s="35"/>
      <c r="MS70" s="35"/>
      <c r="MT70" s="35"/>
      <c r="MU70" s="35"/>
      <c r="MV70" s="35"/>
      <c r="MW70" s="35"/>
      <c r="MX70" s="35"/>
      <c r="MY70" s="35"/>
      <c r="MZ70" s="35"/>
      <c r="NA70" s="35"/>
      <c r="NB70" s="35"/>
      <c r="NC70" s="35"/>
      <c r="ND70" s="35"/>
      <c r="NE70" s="35"/>
      <c r="NF70" s="35"/>
      <c r="NG70" s="35"/>
      <c r="NH70" s="35"/>
      <c r="NI70" s="35"/>
      <c r="NJ70" s="35"/>
      <c r="NK70" s="35"/>
      <c r="NL70" s="35"/>
      <c r="NM70" s="35"/>
      <c r="NN70" s="35"/>
      <c r="NO70" s="35"/>
      <c r="NP70" s="35"/>
      <c r="NQ70" s="35"/>
      <c r="NR70" s="35"/>
      <c r="NS70" s="35"/>
      <c r="NT70" s="35"/>
      <c r="NU70" s="35"/>
      <c r="NV70" s="35"/>
      <c r="NW70" s="35"/>
      <c r="NX70" s="35"/>
      <c r="NY70" s="35"/>
      <c r="NZ70" s="35"/>
      <c r="OA70" s="35"/>
      <c r="OB70" s="35"/>
      <c r="OC70" s="35"/>
      <c r="OD70" s="35"/>
      <c r="OE70" s="35"/>
      <c r="OF70" s="35"/>
      <c r="OG70" s="35"/>
      <c r="OH70" s="35"/>
      <c r="OI70" s="35"/>
      <c r="OJ70" s="35"/>
      <c r="OK70" s="35"/>
      <c r="OL70" s="35"/>
      <c r="OM70" s="35"/>
      <c r="ON70" s="35"/>
      <c r="OO70" s="35"/>
      <c r="OP70" s="35"/>
      <c r="OQ70" s="35"/>
      <c r="OR70" s="35"/>
      <c r="OS70" s="35"/>
      <c r="OT70" s="35"/>
      <c r="OU70" s="35"/>
      <c r="OV70" s="35"/>
    </row>
    <row r="71" ht="18.0" customHeight="1">
      <c r="A71" s="34">
        <v>70.0</v>
      </c>
      <c r="B71" s="35" t="s">
        <v>377</v>
      </c>
      <c r="C71" s="36" t="s">
        <v>1877</v>
      </c>
      <c r="D71" s="35" t="s">
        <v>735</v>
      </c>
      <c r="E71" s="34">
        <v>50.0</v>
      </c>
      <c r="F71" s="34" t="str">
        <f t="shared" si="1"/>
        <v>#REF!</v>
      </c>
      <c r="G71" s="34">
        <f t="shared" si="2"/>
        <v>0</v>
      </c>
      <c r="H71" s="34">
        <f t="shared" si="3"/>
        <v>0</v>
      </c>
      <c r="I71" s="34">
        <f t="shared" si="4"/>
        <v>0</v>
      </c>
      <c r="J71" s="37" t="s">
        <v>625</v>
      </c>
      <c r="K71" s="37" t="b">
        <v>0</v>
      </c>
      <c r="L71" s="38" t="s">
        <v>71</v>
      </c>
      <c r="M71" s="35" t="str">
        <f>IFERROR(__xludf.DUMMYFUNCTION("IFERROR(TOROW(CHOOSECOLS(SORT(FILTER({'Tổng hợp 75 trang đích'!$J$2:$J$3260,'Tổng hợp 75 trang đích'!$I$2:$I$3260,MATCH('Tổng hợp 75 trang đích'!$K$2:$K$3260,{""PHÙ HỢP CAO"",""CÓ THỂ ĐI"",""CẦN SOÁT""},0)},'Tổng hợp 75 trang đích'!$B$2:$B$3260=$D71),3,TR"&amp;"UE),1,2)),"""")"),"")</f>
        <v/>
      </c>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c r="BM71" s="35"/>
      <c r="BN71" s="35"/>
      <c r="BO71" s="35"/>
      <c r="BP71" s="35"/>
      <c r="BQ71" s="35"/>
      <c r="BR71" s="35"/>
      <c r="BS71" s="35"/>
      <c r="BT71" s="35"/>
      <c r="BU71" s="35"/>
      <c r="BV71" s="35"/>
      <c r="BW71" s="35"/>
      <c r="BX71" s="35"/>
      <c r="BY71" s="35"/>
      <c r="BZ71" s="35"/>
      <c r="CA71" s="35"/>
      <c r="CB71" s="35"/>
      <c r="CC71" s="35"/>
      <c r="CD71" s="35"/>
      <c r="CE71" s="35"/>
      <c r="CF71" s="35"/>
      <c r="CG71" s="35"/>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c r="EA71" s="35"/>
      <c r="EB71" s="35"/>
      <c r="EC71" s="35"/>
      <c r="ED71" s="35"/>
      <c r="EE71" s="35"/>
      <c r="EF71" s="35"/>
      <c r="EG71" s="35"/>
      <c r="EH71" s="35"/>
      <c r="EI71" s="35"/>
      <c r="EJ71" s="35"/>
      <c r="EK71" s="35"/>
      <c r="EL71" s="35"/>
      <c r="EM71" s="35"/>
      <c r="EN71" s="35"/>
      <c r="EO71" s="35"/>
      <c r="EP71" s="35"/>
      <c r="EQ71" s="35"/>
      <c r="ER71" s="35"/>
      <c r="ES71" s="35"/>
      <c r="ET71" s="35"/>
      <c r="EU71" s="35"/>
      <c r="EV71" s="35"/>
      <c r="EW71" s="35"/>
      <c r="EX71" s="35"/>
      <c r="EY71" s="35"/>
      <c r="EZ71" s="35"/>
      <c r="FA71" s="35"/>
      <c r="FB71" s="35"/>
      <c r="FC71" s="35"/>
      <c r="FD71" s="35"/>
      <c r="FE71" s="35"/>
      <c r="FF71" s="35"/>
      <c r="FG71" s="35"/>
      <c r="FH71" s="35"/>
      <c r="FI71" s="35"/>
      <c r="FJ71" s="35"/>
      <c r="FK71" s="35"/>
      <c r="FL71" s="35"/>
      <c r="FM71" s="35"/>
      <c r="FN71" s="35"/>
      <c r="FO71" s="35"/>
      <c r="FP71" s="35"/>
      <c r="FQ71" s="35"/>
      <c r="FR71" s="35"/>
      <c r="FS71" s="35"/>
      <c r="FT71" s="35"/>
      <c r="FU71" s="35"/>
      <c r="FV71" s="35"/>
      <c r="FW71" s="35"/>
      <c r="FX71" s="35"/>
      <c r="FY71" s="35"/>
      <c r="FZ71" s="35"/>
      <c r="GA71" s="35"/>
      <c r="GB71" s="35"/>
      <c r="GC71" s="35"/>
      <c r="GD71" s="35"/>
      <c r="GE71" s="35"/>
      <c r="GF71" s="35"/>
      <c r="GG71" s="35"/>
      <c r="GH71" s="35"/>
      <c r="GI71" s="35"/>
      <c r="GJ71" s="35"/>
      <c r="GK71" s="35"/>
      <c r="GL71" s="35"/>
      <c r="GM71" s="35"/>
      <c r="GN71" s="35"/>
      <c r="GO71" s="35"/>
      <c r="GP71" s="35"/>
      <c r="GQ71" s="35"/>
      <c r="GR71" s="35"/>
      <c r="GS71" s="35"/>
      <c r="GT71" s="35"/>
      <c r="GU71" s="35"/>
      <c r="GV71" s="35"/>
      <c r="GW71" s="35"/>
      <c r="GX71" s="35"/>
      <c r="GY71" s="35"/>
      <c r="GZ71" s="35"/>
      <c r="HA71" s="35"/>
      <c r="HB71" s="35"/>
      <c r="HC71" s="35"/>
      <c r="HD71" s="35"/>
      <c r="HE71" s="35"/>
      <c r="HF71" s="35"/>
      <c r="HG71" s="35"/>
      <c r="HH71" s="35"/>
      <c r="HI71" s="35"/>
      <c r="HJ71" s="35"/>
      <c r="HK71" s="35"/>
      <c r="HL71" s="35"/>
      <c r="HM71" s="35"/>
      <c r="HN71" s="35"/>
      <c r="HO71" s="35"/>
      <c r="HP71" s="35"/>
      <c r="HQ71" s="35"/>
      <c r="HR71" s="35"/>
      <c r="HS71" s="35"/>
      <c r="HT71" s="35"/>
      <c r="HU71" s="35"/>
      <c r="HV71" s="35"/>
      <c r="HW71" s="35"/>
      <c r="HX71" s="35"/>
      <c r="HY71" s="35"/>
      <c r="HZ71" s="35"/>
      <c r="IA71" s="35"/>
      <c r="IB71" s="35"/>
      <c r="IC71" s="35"/>
      <c r="ID71" s="35"/>
      <c r="IE71" s="35"/>
      <c r="IF71" s="35"/>
      <c r="IG71" s="35"/>
      <c r="IH71" s="35"/>
      <c r="II71" s="35"/>
      <c r="IJ71" s="35"/>
      <c r="IK71" s="35"/>
      <c r="IL71" s="35"/>
      <c r="IM71" s="35"/>
      <c r="IN71" s="35"/>
      <c r="IO71" s="35"/>
      <c r="IP71" s="35"/>
      <c r="IQ71" s="35"/>
      <c r="IR71" s="35"/>
      <c r="IS71" s="35"/>
      <c r="IT71" s="35"/>
      <c r="IU71" s="35"/>
      <c r="IV71" s="35"/>
      <c r="IW71" s="35"/>
      <c r="IX71" s="35"/>
      <c r="IY71" s="35"/>
      <c r="IZ71" s="35"/>
      <c r="JA71" s="35"/>
      <c r="JB71" s="35"/>
      <c r="JC71" s="35"/>
      <c r="JD71" s="35"/>
      <c r="JE71" s="35"/>
      <c r="JF71" s="35"/>
      <c r="JG71" s="35"/>
      <c r="JH71" s="35"/>
      <c r="JI71" s="35"/>
      <c r="JJ71" s="35"/>
      <c r="JK71" s="35"/>
      <c r="JL71" s="35"/>
      <c r="JM71" s="35"/>
      <c r="JN71" s="35"/>
      <c r="JO71" s="35"/>
      <c r="JP71" s="35"/>
      <c r="JQ71" s="35"/>
      <c r="JR71" s="35"/>
      <c r="JS71" s="35"/>
      <c r="JT71" s="35"/>
      <c r="JU71" s="35"/>
      <c r="JV71" s="35"/>
      <c r="JW71" s="35"/>
      <c r="JX71" s="35"/>
      <c r="JY71" s="35"/>
      <c r="JZ71" s="35"/>
      <c r="KA71" s="35"/>
      <c r="KB71" s="35"/>
      <c r="KC71" s="35"/>
      <c r="KD71" s="35"/>
      <c r="KE71" s="35"/>
      <c r="KF71" s="35"/>
      <c r="KG71" s="35"/>
      <c r="KH71" s="35"/>
      <c r="KI71" s="35"/>
      <c r="KJ71" s="35"/>
      <c r="KK71" s="35"/>
      <c r="KL71" s="35"/>
      <c r="KM71" s="35"/>
      <c r="KN71" s="35"/>
      <c r="KO71" s="35"/>
      <c r="KP71" s="35"/>
      <c r="KQ71" s="35"/>
      <c r="KR71" s="35"/>
      <c r="KS71" s="35"/>
      <c r="KT71" s="35"/>
      <c r="KU71" s="35"/>
      <c r="KV71" s="35"/>
      <c r="KW71" s="35"/>
      <c r="KX71" s="35"/>
      <c r="KY71" s="35"/>
      <c r="KZ71" s="35"/>
      <c r="LA71" s="35"/>
      <c r="LB71" s="35"/>
      <c r="LC71" s="35"/>
      <c r="LD71" s="35"/>
      <c r="LE71" s="35"/>
      <c r="LF71" s="35"/>
      <c r="LG71" s="35"/>
      <c r="LH71" s="35"/>
      <c r="LI71" s="35"/>
      <c r="LJ71" s="35"/>
      <c r="LK71" s="35"/>
      <c r="LL71" s="35"/>
      <c r="LM71" s="35"/>
      <c r="LN71" s="35"/>
      <c r="LO71" s="35"/>
      <c r="LP71" s="35"/>
      <c r="LQ71" s="35"/>
      <c r="LR71" s="35"/>
      <c r="LS71" s="35"/>
      <c r="LT71" s="35"/>
      <c r="LU71" s="35"/>
      <c r="LV71" s="35"/>
      <c r="LW71" s="35"/>
      <c r="LX71" s="35"/>
      <c r="LY71" s="35"/>
      <c r="LZ71" s="35"/>
      <c r="MA71" s="35"/>
      <c r="MB71" s="35"/>
      <c r="MC71" s="35"/>
      <c r="MD71" s="35"/>
      <c r="ME71" s="35"/>
      <c r="MF71" s="35"/>
      <c r="MG71" s="35"/>
      <c r="MH71" s="35"/>
      <c r="MI71" s="35"/>
      <c r="MJ71" s="35"/>
      <c r="MK71" s="35"/>
      <c r="ML71" s="35"/>
      <c r="MM71" s="35"/>
      <c r="MN71" s="35"/>
      <c r="MO71" s="35"/>
      <c r="MP71" s="35"/>
      <c r="MQ71" s="35"/>
      <c r="MR71" s="35"/>
      <c r="MS71" s="35"/>
      <c r="MT71" s="35"/>
      <c r="MU71" s="35"/>
      <c r="MV71" s="35"/>
      <c r="MW71" s="35"/>
      <c r="MX71" s="35"/>
      <c r="MY71" s="35"/>
      <c r="MZ71" s="35"/>
      <c r="NA71" s="35"/>
      <c r="NB71" s="35"/>
      <c r="NC71" s="35"/>
      <c r="ND71" s="35"/>
      <c r="NE71" s="35"/>
      <c r="NF71" s="35"/>
      <c r="NG71" s="35"/>
      <c r="NH71" s="35"/>
      <c r="NI71" s="35"/>
      <c r="NJ71" s="35"/>
      <c r="NK71" s="35"/>
      <c r="NL71" s="35"/>
      <c r="NM71" s="35"/>
      <c r="NN71" s="35"/>
      <c r="NO71" s="35"/>
      <c r="NP71" s="35"/>
      <c r="NQ71" s="35"/>
      <c r="NR71" s="35"/>
      <c r="NS71" s="35"/>
      <c r="NT71" s="35"/>
      <c r="NU71" s="35"/>
      <c r="NV71" s="35"/>
      <c r="NW71" s="35"/>
      <c r="NX71" s="35"/>
      <c r="NY71" s="35"/>
      <c r="NZ71" s="35"/>
      <c r="OA71" s="35"/>
      <c r="OB71" s="35"/>
      <c r="OC71" s="35"/>
      <c r="OD71" s="35"/>
      <c r="OE71" s="35"/>
      <c r="OF71" s="35"/>
      <c r="OG71" s="35"/>
      <c r="OH71" s="35"/>
      <c r="OI71" s="35"/>
      <c r="OJ71" s="35"/>
      <c r="OK71" s="35"/>
      <c r="OL71" s="35"/>
      <c r="OM71" s="35"/>
      <c r="ON71" s="35"/>
      <c r="OO71" s="35"/>
      <c r="OP71" s="35"/>
      <c r="OQ71" s="35"/>
      <c r="OR71" s="35"/>
      <c r="OS71" s="35"/>
      <c r="OT71" s="35"/>
      <c r="OU71" s="35"/>
      <c r="OV71" s="35"/>
    </row>
    <row r="72" ht="18.0" customHeight="1">
      <c r="A72" s="34">
        <v>71.0</v>
      </c>
      <c r="B72" s="35" t="s">
        <v>377</v>
      </c>
      <c r="C72" s="36" t="s">
        <v>2447</v>
      </c>
      <c r="D72" s="35" t="s">
        <v>1158</v>
      </c>
      <c r="E72" s="34">
        <v>30.0</v>
      </c>
      <c r="F72" s="34" t="str">
        <f t="shared" si="1"/>
        <v>#REF!</v>
      </c>
      <c r="G72" s="34">
        <f t="shared" si="2"/>
        <v>0</v>
      </c>
      <c r="H72" s="34">
        <f t="shared" si="3"/>
        <v>0</v>
      </c>
      <c r="I72" s="34">
        <f t="shared" si="4"/>
        <v>0</v>
      </c>
      <c r="J72" s="37" t="s">
        <v>625</v>
      </c>
      <c r="K72" s="37" t="b">
        <v>0</v>
      </c>
      <c r="L72" s="38" t="s">
        <v>71</v>
      </c>
      <c r="M72" s="35" t="str">
        <f>IFERROR(__xludf.DUMMYFUNCTION("IFERROR(TOROW(CHOOSECOLS(SORT(FILTER({'Tổng hợp 75 trang đích'!$J$2:$J$3260,'Tổng hợp 75 trang đích'!$I$2:$I$3260,MATCH('Tổng hợp 75 trang đích'!$K$2:$K$3260,{""PHÙ HỢP CAO"",""CÓ THỂ ĐI"",""CẦN SOÁT""},0)},'Tổng hợp 75 trang đích'!$B$2:$B$3260=$D72),3,TR"&amp;"UE),1,2)),"""")"),"")</f>
        <v/>
      </c>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c r="BM72" s="35"/>
      <c r="BN72" s="35"/>
      <c r="BO72" s="35"/>
      <c r="BP72" s="35"/>
      <c r="BQ72" s="35"/>
      <c r="BR72" s="35"/>
      <c r="BS72" s="35"/>
      <c r="BT72" s="35"/>
      <c r="BU72" s="35"/>
      <c r="BV72" s="35"/>
      <c r="BW72" s="35"/>
      <c r="BX72" s="35"/>
      <c r="BY72" s="35"/>
      <c r="BZ72" s="35"/>
      <c r="CA72" s="35"/>
      <c r="CB72" s="35"/>
      <c r="CC72" s="35"/>
      <c r="CD72" s="35"/>
      <c r="CE72" s="35"/>
      <c r="CF72" s="35"/>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c r="EE72" s="35"/>
      <c r="EF72" s="35"/>
      <c r="EG72" s="35"/>
      <c r="EH72" s="35"/>
      <c r="EI72" s="35"/>
      <c r="EJ72" s="35"/>
      <c r="EK72" s="35"/>
      <c r="EL72" s="35"/>
      <c r="EM72" s="35"/>
      <c r="EN72" s="35"/>
      <c r="EO72" s="35"/>
      <c r="EP72" s="35"/>
      <c r="EQ72" s="35"/>
      <c r="ER72" s="35"/>
      <c r="ES72" s="35"/>
      <c r="ET72" s="35"/>
      <c r="EU72" s="35"/>
      <c r="EV72" s="35"/>
      <c r="EW72" s="35"/>
      <c r="EX72" s="35"/>
      <c r="EY72" s="35"/>
      <c r="EZ72" s="35"/>
      <c r="FA72" s="35"/>
      <c r="FB72" s="35"/>
      <c r="FC72" s="35"/>
      <c r="FD72" s="35"/>
      <c r="FE72" s="35"/>
      <c r="FF72" s="35"/>
      <c r="FG72" s="35"/>
      <c r="FH72" s="35"/>
      <c r="FI72" s="35"/>
      <c r="FJ72" s="35"/>
      <c r="FK72" s="35"/>
      <c r="FL72" s="35"/>
      <c r="FM72" s="35"/>
      <c r="FN72" s="35"/>
      <c r="FO72" s="35"/>
      <c r="FP72" s="35"/>
      <c r="FQ72" s="35"/>
      <c r="FR72" s="35"/>
      <c r="FS72" s="35"/>
      <c r="FT72" s="35"/>
      <c r="FU72" s="35"/>
      <c r="FV72" s="35"/>
      <c r="FW72" s="35"/>
      <c r="FX72" s="35"/>
      <c r="FY72" s="35"/>
      <c r="FZ72" s="35"/>
      <c r="GA72" s="35"/>
      <c r="GB72" s="35"/>
      <c r="GC72" s="35"/>
      <c r="GD72" s="35"/>
      <c r="GE72" s="35"/>
      <c r="GF72" s="35"/>
      <c r="GG72" s="35"/>
      <c r="GH72" s="35"/>
      <c r="GI72" s="35"/>
      <c r="GJ72" s="35"/>
      <c r="GK72" s="35"/>
      <c r="GL72" s="35"/>
      <c r="GM72" s="35"/>
      <c r="GN72" s="35"/>
      <c r="GO72" s="35"/>
      <c r="GP72" s="35"/>
      <c r="GQ72" s="35"/>
      <c r="GR72" s="35"/>
      <c r="GS72" s="35"/>
      <c r="GT72" s="35"/>
      <c r="GU72" s="35"/>
      <c r="GV72" s="35"/>
      <c r="GW72" s="35"/>
      <c r="GX72" s="35"/>
      <c r="GY72" s="35"/>
      <c r="GZ72" s="35"/>
      <c r="HA72" s="35"/>
      <c r="HB72" s="35"/>
      <c r="HC72" s="35"/>
      <c r="HD72" s="35"/>
      <c r="HE72" s="35"/>
      <c r="HF72" s="35"/>
      <c r="HG72" s="35"/>
      <c r="HH72" s="35"/>
      <c r="HI72" s="35"/>
      <c r="HJ72" s="35"/>
      <c r="HK72" s="35"/>
      <c r="HL72" s="35"/>
      <c r="HM72" s="35"/>
      <c r="HN72" s="35"/>
      <c r="HO72" s="35"/>
      <c r="HP72" s="35"/>
      <c r="HQ72" s="35"/>
      <c r="HR72" s="35"/>
      <c r="HS72" s="35"/>
      <c r="HT72" s="35"/>
      <c r="HU72" s="35"/>
      <c r="HV72" s="35"/>
      <c r="HW72" s="35"/>
      <c r="HX72" s="35"/>
      <c r="HY72" s="35"/>
      <c r="HZ72" s="35"/>
      <c r="IA72" s="35"/>
      <c r="IB72" s="35"/>
      <c r="IC72" s="35"/>
      <c r="ID72" s="35"/>
      <c r="IE72" s="35"/>
      <c r="IF72" s="35"/>
      <c r="IG72" s="35"/>
      <c r="IH72" s="35"/>
      <c r="II72" s="35"/>
      <c r="IJ72" s="35"/>
      <c r="IK72" s="35"/>
      <c r="IL72" s="35"/>
      <c r="IM72" s="35"/>
      <c r="IN72" s="35"/>
      <c r="IO72" s="35"/>
      <c r="IP72" s="35"/>
      <c r="IQ72" s="35"/>
      <c r="IR72" s="35"/>
      <c r="IS72" s="35"/>
      <c r="IT72" s="35"/>
      <c r="IU72" s="35"/>
      <c r="IV72" s="35"/>
      <c r="IW72" s="35"/>
      <c r="IX72" s="35"/>
      <c r="IY72" s="35"/>
      <c r="IZ72" s="35"/>
      <c r="JA72" s="35"/>
      <c r="JB72" s="35"/>
      <c r="JC72" s="35"/>
      <c r="JD72" s="35"/>
      <c r="JE72" s="35"/>
      <c r="JF72" s="35"/>
      <c r="JG72" s="35"/>
      <c r="JH72" s="35"/>
      <c r="JI72" s="35"/>
      <c r="JJ72" s="35"/>
      <c r="JK72" s="35"/>
      <c r="JL72" s="35"/>
      <c r="JM72" s="35"/>
      <c r="JN72" s="35"/>
      <c r="JO72" s="35"/>
      <c r="JP72" s="35"/>
      <c r="JQ72" s="35"/>
      <c r="JR72" s="35"/>
      <c r="JS72" s="35"/>
      <c r="JT72" s="35"/>
      <c r="JU72" s="35"/>
      <c r="JV72" s="35"/>
      <c r="JW72" s="35"/>
      <c r="JX72" s="35"/>
      <c r="JY72" s="35"/>
      <c r="JZ72" s="35"/>
      <c r="KA72" s="35"/>
      <c r="KB72" s="35"/>
      <c r="KC72" s="35"/>
      <c r="KD72" s="35"/>
      <c r="KE72" s="35"/>
      <c r="KF72" s="35"/>
      <c r="KG72" s="35"/>
      <c r="KH72" s="35"/>
      <c r="KI72" s="35"/>
      <c r="KJ72" s="35"/>
      <c r="KK72" s="35"/>
      <c r="KL72" s="35"/>
      <c r="KM72" s="35"/>
      <c r="KN72" s="35"/>
      <c r="KO72" s="35"/>
      <c r="KP72" s="35"/>
      <c r="KQ72" s="35"/>
      <c r="KR72" s="35"/>
      <c r="KS72" s="35"/>
      <c r="KT72" s="35"/>
      <c r="KU72" s="35"/>
      <c r="KV72" s="35"/>
      <c r="KW72" s="35"/>
      <c r="KX72" s="35"/>
      <c r="KY72" s="35"/>
      <c r="KZ72" s="35"/>
      <c r="LA72" s="35"/>
      <c r="LB72" s="35"/>
      <c r="LC72" s="35"/>
      <c r="LD72" s="35"/>
      <c r="LE72" s="35"/>
      <c r="LF72" s="35"/>
      <c r="LG72" s="35"/>
      <c r="LH72" s="35"/>
      <c r="LI72" s="35"/>
      <c r="LJ72" s="35"/>
      <c r="LK72" s="35"/>
      <c r="LL72" s="35"/>
      <c r="LM72" s="35"/>
      <c r="LN72" s="35"/>
      <c r="LO72" s="35"/>
      <c r="LP72" s="35"/>
      <c r="LQ72" s="35"/>
      <c r="LR72" s="35"/>
      <c r="LS72" s="35"/>
      <c r="LT72" s="35"/>
      <c r="LU72" s="35"/>
      <c r="LV72" s="35"/>
      <c r="LW72" s="35"/>
      <c r="LX72" s="35"/>
      <c r="LY72" s="35"/>
      <c r="LZ72" s="35"/>
      <c r="MA72" s="35"/>
      <c r="MB72" s="35"/>
      <c r="MC72" s="35"/>
      <c r="MD72" s="35"/>
      <c r="ME72" s="35"/>
      <c r="MF72" s="35"/>
      <c r="MG72" s="35"/>
      <c r="MH72" s="35"/>
      <c r="MI72" s="35"/>
      <c r="MJ72" s="35"/>
      <c r="MK72" s="35"/>
      <c r="ML72" s="35"/>
      <c r="MM72" s="35"/>
      <c r="MN72" s="35"/>
      <c r="MO72" s="35"/>
      <c r="MP72" s="35"/>
      <c r="MQ72" s="35"/>
      <c r="MR72" s="35"/>
      <c r="MS72" s="35"/>
      <c r="MT72" s="35"/>
      <c r="MU72" s="35"/>
      <c r="MV72" s="35"/>
      <c r="MW72" s="35"/>
      <c r="MX72" s="35"/>
      <c r="MY72" s="35"/>
      <c r="MZ72" s="35"/>
      <c r="NA72" s="35"/>
      <c r="NB72" s="35"/>
      <c r="NC72" s="35"/>
      <c r="ND72" s="35"/>
      <c r="NE72" s="35"/>
      <c r="NF72" s="35"/>
      <c r="NG72" s="35"/>
      <c r="NH72" s="35"/>
      <c r="NI72" s="35"/>
      <c r="NJ72" s="35"/>
      <c r="NK72" s="35"/>
      <c r="NL72" s="35"/>
      <c r="NM72" s="35"/>
      <c r="NN72" s="35"/>
      <c r="NO72" s="35"/>
      <c r="NP72" s="35"/>
      <c r="NQ72" s="35"/>
      <c r="NR72" s="35"/>
      <c r="NS72" s="35"/>
      <c r="NT72" s="35"/>
      <c r="NU72" s="35"/>
      <c r="NV72" s="35"/>
      <c r="NW72" s="35"/>
      <c r="NX72" s="35"/>
      <c r="NY72" s="35"/>
      <c r="NZ72" s="35"/>
      <c r="OA72" s="35"/>
      <c r="OB72" s="35"/>
      <c r="OC72" s="35"/>
      <c r="OD72" s="35"/>
      <c r="OE72" s="35"/>
      <c r="OF72" s="35"/>
      <c r="OG72" s="35"/>
      <c r="OH72" s="35"/>
      <c r="OI72" s="35"/>
      <c r="OJ72" s="35"/>
      <c r="OK72" s="35"/>
      <c r="OL72" s="35"/>
      <c r="OM72" s="35"/>
      <c r="ON72" s="35"/>
      <c r="OO72" s="35"/>
      <c r="OP72" s="35"/>
      <c r="OQ72" s="35"/>
      <c r="OR72" s="35"/>
      <c r="OS72" s="35"/>
      <c r="OT72" s="35"/>
      <c r="OU72" s="35"/>
      <c r="OV72" s="35"/>
    </row>
    <row r="73" ht="18.0" customHeight="1">
      <c r="A73" s="34">
        <v>72.0</v>
      </c>
      <c r="B73" s="35" t="s">
        <v>377</v>
      </c>
      <c r="C73" s="36" t="s">
        <v>2463</v>
      </c>
      <c r="D73" s="35" t="s">
        <v>1160</v>
      </c>
      <c r="E73" s="34">
        <v>30.0</v>
      </c>
      <c r="F73" s="34" t="str">
        <f t="shared" si="1"/>
        <v>#REF!</v>
      </c>
      <c r="G73" s="34">
        <f t="shared" si="2"/>
        <v>0</v>
      </c>
      <c r="H73" s="34">
        <f t="shared" si="3"/>
        <v>0</v>
      </c>
      <c r="I73" s="34">
        <f t="shared" si="4"/>
        <v>0</v>
      </c>
      <c r="J73" s="37" t="s">
        <v>625</v>
      </c>
      <c r="K73" s="37" t="b">
        <v>0</v>
      </c>
      <c r="L73" s="38" t="s">
        <v>71</v>
      </c>
      <c r="M73" s="35" t="str">
        <f>IFERROR(__xludf.DUMMYFUNCTION("IFERROR(TOROW(CHOOSECOLS(SORT(FILTER({'Tổng hợp 75 trang đích'!$J$2:$J$3260,'Tổng hợp 75 trang đích'!$I$2:$I$3260,MATCH('Tổng hợp 75 trang đích'!$K$2:$K$3260,{""PHÙ HỢP CAO"",""CÓ THỂ ĐI"",""CẦN SOÁT""},0)},'Tổng hợp 75 trang đích'!$B$2:$B$3260=$D73),3,TR"&amp;"UE),1,2)),"""")"),"")</f>
        <v/>
      </c>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c r="BM73" s="35"/>
      <c r="BN73" s="35"/>
      <c r="BO73" s="35"/>
      <c r="BP73" s="35"/>
      <c r="BQ73" s="35"/>
      <c r="BR73" s="35"/>
      <c r="BS73" s="35"/>
      <c r="BT73" s="35"/>
      <c r="BU73" s="35"/>
      <c r="BV73" s="35"/>
      <c r="BW73" s="35"/>
      <c r="BX73" s="35"/>
      <c r="BY73" s="35"/>
      <c r="BZ73" s="35"/>
      <c r="CA73" s="35"/>
      <c r="CB73" s="35"/>
      <c r="CC73" s="35"/>
      <c r="CD73" s="35"/>
      <c r="CE73" s="35"/>
      <c r="CF73" s="35"/>
      <c r="CG73" s="35"/>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c r="EA73" s="35"/>
      <c r="EB73" s="35"/>
      <c r="EC73" s="35"/>
      <c r="ED73" s="35"/>
      <c r="EE73" s="35"/>
      <c r="EF73" s="35"/>
      <c r="EG73" s="35"/>
      <c r="EH73" s="35"/>
      <c r="EI73" s="35"/>
      <c r="EJ73" s="35"/>
      <c r="EK73" s="35"/>
      <c r="EL73" s="35"/>
      <c r="EM73" s="35"/>
      <c r="EN73" s="35"/>
      <c r="EO73" s="35"/>
      <c r="EP73" s="35"/>
      <c r="EQ73" s="35"/>
      <c r="ER73" s="35"/>
      <c r="ES73" s="35"/>
      <c r="ET73" s="35"/>
      <c r="EU73" s="35"/>
      <c r="EV73" s="35"/>
      <c r="EW73" s="35"/>
      <c r="EX73" s="35"/>
      <c r="EY73" s="35"/>
      <c r="EZ73" s="35"/>
      <c r="FA73" s="35"/>
      <c r="FB73" s="35"/>
      <c r="FC73" s="35"/>
      <c r="FD73" s="35"/>
      <c r="FE73" s="35"/>
      <c r="FF73" s="35"/>
      <c r="FG73" s="35"/>
      <c r="FH73" s="35"/>
      <c r="FI73" s="35"/>
      <c r="FJ73" s="35"/>
      <c r="FK73" s="35"/>
      <c r="FL73" s="35"/>
      <c r="FM73" s="35"/>
      <c r="FN73" s="35"/>
      <c r="FO73" s="35"/>
      <c r="FP73" s="35"/>
      <c r="FQ73" s="35"/>
      <c r="FR73" s="35"/>
      <c r="FS73" s="35"/>
      <c r="FT73" s="35"/>
      <c r="FU73" s="35"/>
      <c r="FV73" s="35"/>
      <c r="FW73" s="35"/>
      <c r="FX73" s="35"/>
      <c r="FY73" s="35"/>
      <c r="FZ73" s="35"/>
      <c r="GA73" s="35"/>
      <c r="GB73" s="35"/>
      <c r="GC73" s="35"/>
      <c r="GD73" s="35"/>
      <c r="GE73" s="35"/>
      <c r="GF73" s="35"/>
      <c r="GG73" s="35"/>
      <c r="GH73" s="35"/>
      <c r="GI73" s="35"/>
      <c r="GJ73" s="35"/>
      <c r="GK73" s="35"/>
      <c r="GL73" s="35"/>
      <c r="GM73" s="35"/>
      <c r="GN73" s="35"/>
      <c r="GO73" s="35"/>
      <c r="GP73" s="35"/>
      <c r="GQ73" s="35"/>
      <c r="GR73" s="35"/>
      <c r="GS73" s="35"/>
      <c r="GT73" s="35"/>
      <c r="GU73" s="35"/>
      <c r="GV73" s="35"/>
      <c r="GW73" s="35"/>
      <c r="GX73" s="35"/>
      <c r="GY73" s="35"/>
      <c r="GZ73" s="35"/>
      <c r="HA73" s="35"/>
      <c r="HB73" s="35"/>
      <c r="HC73" s="35"/>
      <c r="HD73" s="35"/>
      <c r="HE73" s="35"/>
      <c r="HF73" s="35"/>
      <c r="HG73" s="35"/>
      <c r="HH73" s="35"/>
      <c r="HI73" s="35"/>
      <c r="HJ73" s="35"/>
      <c r="HK73" s="35"/>
      <c r="HL73" s="35"/>
      <c r="HM73" s="35"/>
      <c r="HN73" s="35"/>
      <c r="HO73" s="35"/>
      <c r="HP73" s="35"/>
      <c r="HQ73" s="35"/>
      <c r="HR73" s="35"/>
      <c r="HS73" s="35"/>
      <c r="HT73" s="35"/>
      <c r="HU73" s="35"/>
      <c r="HV73" s="35"/>
      <c r="HW73" s="35"/>
      <c r="HX73" s="35"/>
      <c r="HY73" s="35"/>
      <c r="HZ73" s="35"/>
      <c r="IA73" s="35"/>
      <c r="IB73" s="35"/>
      <c r="IC73" s="35"/>
      <c r="ID73" s="35"/>
      <c r="IE73" s="35"/>
      <c r="IF73" s="35"/>
      <c r="IG73" s="35"/>
      <c r="IH73" s="35"/>
      <c r="II73" s="35"/>
      <c r="IJ73" s="35"/>
      <c r="IK73" s="35"/>
      <c r="IL73" s="35"/>
      <c r="IM73" s="35"/>
      <c r="IN73" s="35"/>
      <c r="IO73" s="35"/>
      <c r="IP73" s="35"/>
      <c r="IQ73" s="35"/>
      <c r="IR73" s="35"/>
      <c r="IS73" s="35"/>
      <c r="IT73" s="35"/>
      <c r="IU73" s="35"/>
      <c r="IV73" s="35"/>
      <c r="IW73" s="35"/>
      <c r="IX73" s="35"/>
      <c r="IY73" s="35"/>
      <c r="IZ73" s="35"/>
      <c r="JA73" s="35"/>
      <c r="JB73" s="35"/>
      <c r="JC73" s="35"/>
      <c r="JD73" s="35"/>
      <c r="JE73" s="35"/>
      <c r="JF73" s="35"/>
      <c r="JG73" s="35"/>
      <c r="JH73" s="35"/>
      <c r="JI73" s="35"/>
      <c r="JJ73" s="35"/>
      <c r="JK73" s="35"/>
      <c r="JL73" s="35"/>
      <c r="JM73" s="35"/>
      <c r="JN73" s="35"/>
      <c r="JO73" s="35"/>
      <c r="JP73" s="35"/>
      <c r="JQ73" s="35"/>
      <c r="JR73" s="35"/>
      <c r="JS73" s="35"/>
      <c r="JT73" s="35"/>
      <c r="JU73" s="35"/>
      <c r="JV73" s="35"/>
      <c r="JW73" s="35"/>
      <c r="JX73" s="35"/>
      <c r="JY73" s="35"/>
      <c r="JZ73" s="35"/>
      <c r="KA73" s="35"/>
      <c r="KB73" s="35"/>
      <c r="KC73" s="35"/>
      <c r="KD73" s="35"/>
      <c r="KE73" s="35"/>
      <c r="KF73" s="35"/>
      <c r="KG73" s="35"/>
      <c r="KH73" s="35"/>
      <c r="KI73" s="35"/>
      <c r="KJ73" s="35"/>
      <c r="KK73" s="35"/>
      <c r="KL73" s="35"/>
      <c r="KM73" s="35"/>
      <c r="KN73" s="35"/>
      <c r="KO73" s="35"/>
      <c r="KP73" s="35"/>
      <c r="KQ73" s="35"/>
      <c r="KR73" s="35"/>
      <c r="KS73" s="35"/>
      <c r="KT73" s="35"/>
      <c r="KU73" s="35"/>
      <c r="KV73" s="35"/>
      <c r="KW73" s="35"/>
      <c r="KX73" s="35"/>
      <c r="KY73" s="35"/>
      <c r="KZ73" s="35"/>
      <c r="LA73" s="35"/>
      <c r="LB73" s="35"/>
      <c r="LC73" s="35"/>
      <c r="LD73" s="35"/>
      <c r="LE73" s="35"/>
      <c r="LF73" s="35"/>
      <c r="LG73" s="35"/>
      <c r="LH73" s="35"/>
      <c r="LI73" s="35"/>
      <c r="LJ73" s="35"/>
      <c r="LK73" s="35"/>
      <c r="LL73" s="35"/>
      <c r="LM73" s="35"/>
      <c r="LN73" s="35"/>
      <c r="LO73" s="35"/>
      <c r="LP73" s="35"/>
      <c r="LQ73" s="35"/>
      <c r="LR73" s="35"/>
      <c r="LS73" s="35"/>
      <c r="LT73" s="35"/>
      <c r="LU73" s="35"/>
      <c r="LV73" s="35"/>
      <c r="LW73" s="35"/>
      <c r="LX73" s="35"/>
      <c r="LY73" s="35"/>
      <c r="LZ73" s="35"/>
      <c r="MA73" s="35"/>
      <c r="MB73" s="35"/>
      <c r="MC73" s="35"/>
      <c r="MD73" s="35"/>
      <c r="ME73" s="35"/>
      <c r="MF73" s="35"/>
      <c r="MG73" s="35"/>
      <c r="MH73" s="35"/>
      <c r="MI73" s="35"/>
      <c r="MJ73" s="35"/>
      <c r="MK73" s="35"/>
      <c r="ML73" s="35"/>
      <c r="MM73" s="35"/>
      <c r="MN73" s="35"/>
      <c r="MO73" s="35"/>
      <c r="MP73" s="35"/>
      <c r="MQ73" s="35"/>
      <c r="MR73" s="35"/>
      <c r="MS73" s="35"/>
      <c r="MT73" s="35"/>
      <c r="MU73" s="35"/>
      <c r="MV73" s="35"/>
      <c r="MW73" s="35"/>
      <c r="MX73" s="35"/>
      <c r="MY73" s="35"/>
      <c r="MZ73" s="35"/>
      <c r="NA73" s="35"/>
      <c r="NB73" s="35"/>
      <c r="NC73" s="35"/>
      <c r="ND73" s="35"/>
      <c r="NE73" s="35"/>
      <c r="NF73" s="35"/>
      <c r="NG73" s="35"/>
      <c r="NH73" s="35"/>
      <c r="NI73" s="35"/>
      <c r="NJ73" s="35"/>
      <c r="NK73" s="35"/>
      <c r="NL73" s="35"/>
      <c r="NM73" s="35"/>
      <c r="NN73" s="35"/>
      <c r="NO73" s="35"/>
      <c r="NP73" s="35"/>
      <c r="NQ73" s="35"/>
      <c r="NR73" s="35"/>
      <c r="NS73" s="35"/>
      <c r="NT73" s="35"/>
      <c r="NU73" s="35"/>
      <c r="NV73" s="35"/>
      <c r="NW73" s="35"/>
      <c r="NX73" s="35"/>
      <c r="NY73" s="35"/>
      <c r="NZ73" s="35"/>
      <c r="OA73" s="35"/>
      <c r="OB73" s="35"/>
      <c r="OC73" s="35"/>
      <c r="OD73" s="35"/>
      <c r="OE73" s="35"/>
      <c r="OF73" s="35"/>
      <c r="OG73" s="35"/>
      <c r="OH73" s="35"/>
      <c r="OI73" s="35"/>
      <c r="OJ73" s="35"/>
      <c r="OK73" s="35"/>
      <c r="OL73" s="35"/>
      <c r="OM73" s="35"/>
      <c r="ON73" s="35"/>
      <c r="OO73" s="35"/>
      <c r="OP73" s="35"/>
      <c r="OQ73" s="35"/>
      <c r="OR73" s="35"/>
      <c r="OS73" s="35"/>
      <c r="OT73" s="35"/>
      <c r="OU73" s="35"/>
      <c r="OV73" s="35"/>
    </row>
    <row r="74" ht="18.0" customHeight="1">
      <c r="A74" s="34">
        <v>73.0</v>
      </c>
      <c r="B74" s="35" t="s">
        <v>377</v>
      </c>
      <c r="C74" s="36" t="s">
        <v>2495</v>
      </c>
      <c r="D74" s="35" t="s">
        <v>1164</v>
      </c>
      <c r="E74" s="34">
        <v>30.0</v>
      </c>
      <c r="F74" s="34" t="str">
        <f t="shared" si="1"/>
        <v>#REF!</v>
      </c>
      <c r="G74" s="34">
        <f t="shared" si="2"/>
        <v>0</v>
      </c>
      <c r="H74" s="34">
        <f t="shared" si="3"/>
        <v>0</v>
      </c>
      <c r="I74" s="34">
        <f t="shared" si="4"/>
        <v>0</v>
      </c>
      <c r="J74" s="37" t="s">
        <v>625</v>
      </c>
      <c r="K74" s="37" t="b">
        <v>0</v>
      </c>
      <c r="L74" s="38" t="s">
        <v>71</v>
      </c>
      <c r="M74" s="35" t="str">
        <f>IFERROR(__xludf.DUMMYFUNCTION("IFERROR(TOROW(CHOOSECOLS(SORT(FILTER({'Tổng hợp 75 trang đích'!$J$2:$J$3260,'Tổng hợp 75 trang đích'!$I$2:$I$3260,MATCH('Tổng hợp 75 trang đích'!$K$2:$K$3260,{""PHÙ HỢP CAO"",""CÓ THỂ ĐI"",""CẦN SOÁT""},0)},'Tổng hợp 75 trang đích'!$B$2:$B$3260=$D74),3,TR"&amp;"UE),1,2)),"""")"),"")</f>
        <v/>
      </c>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c r="BM74" s="35"/>
      <c r="BN74" s="35"/>
      <c r="BO74" s="35"/>
      <c r="BP74" s="35"/>
      <c r="BQ74" s="35"/>
      <c r="BR74" s="35"/>
      <c r="BS74" s="35"/>
      <c r="BT74" s="35"/>
      <c r="BU74" s="35"/>
      <c r="BV74" s="35"/>
      <c r="BW74" s="35"/>
      <c r="BX74" s="35"/>
      <c r="BY74" s="35"/>
      <c r="BZ74" s="35"/>
      <c r="CA74" s="35"/>
      <c r="CB74" s="35"/>
      <c r="CC74" s="35"/>
      <c r="CD74" s="35"/>
      <c r="CE74" s="35"/>
      <c r="CF74" s="35"/>
      <c r="CG74" s="35"/>
      <c r="CH74" s="35"/>
      <c r="CI74" s="35"/>
      <c r="CJ74" s="35"/>
      <c r="CK74" s="35"/>
      <c r="CL74" s="35"/>
      <c r="CM74" s="35"/>
      <c r="CN74" s="35"/>
      <c r="CO74" s="35"/>
      <c r="CP74" s="35"/>
      <c r="CQ74" s="35"/>
      <c r="CR74" s="35"/>
      <c r="CS74" s="35"/>
      <c r="CT74" s="35"/>
      <c r="CU74" s="35"/>
      <c r="CV74" s="35"/>
      <c r="CW74" s="35"/>
      <c r="CX74" s="35"/>
      <c r="CY74" s="35"/>
      <c r="CZ74" s="35"/>
      <c r="DA74" s="35"/>
      <c r="DB74" s="35"/>
      <c r="DC74" s="35"/>
      <c r="DD74" s="35"/>
      <c r="DE74" s="35"/>
      <c r="DF74" s="35"/>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c r="EE74" s="35"/>
      <c r="EF74" s="35"/>
      <c r="EG74" s="35"/>
      <c r="EH74" s="35"/>
      <c r="EI74" s="35"/>
      <c r="EJ74" s="35"/>
      <c r="EK74" s="35"/>
      <c r="EL74" s="35"/>
      <c r="EM74" s="35"/>
      <c r="EN74" s="35"/>
      <c r="EO74" s="35"/>
      <c r="EP74" s="35"/>
      <c r="EQ74" s="35"/>
      <c r="ER74" s="35"/>
      <c r="ES74" s="35"/>
      <c r="ET74" s="35"/>
      <c r="EU74" s="35"/>
      <c r="EV74" s="35"/>
      <c r="EW74" s="35"/>
      <c r="EX74" s="35"/>
      <c r="EY74" s="35"/>
      <c r="EZ74" s="35"/>
      <c r="FA74" s="35"/>
      <c r="FB74" s="35"/>
      <c r="FC74" s="35"/>
      <c r="FD74" s="35"/>
      <c r="FE74" s="35"/>
      <c r="FF74" s="35"/>
      <c r="FG74" s="35"/>
      <c r="FH74" s="35"/>
      <c r="FI74" s="35"/>
      <c r="FJ74" s="35"/>
      <c r="FK74" s="35"/>
      <c r="FL74" s="35"/>
      <c r="FM74" s="35"/>
      <c r="FN74" s="35"/>
      <c r="FO74" s="35"/>
      <c r="FP74" s="35"/>
      <c r="FQ74" s="35"/>
      <c r="FR74" s="35"/>
      <c r="FS74" s="35"/>
      <c r="FT74" s="35"/>
      <c r="FU74" s="35"/>
      <c r="FV74" s="35"/>
      <c r="FW74" s="35"/>
      <c r="FX74" s="35"/>
      <c r="FY74" s="35"/>
      <c r="FZ74" s="35"/>
      <c r="GA74" s="35"/>
      <c r="GB74" s="35"/>
      <c r="GC74" s="35"/>
      <c r="GD74" s="35"/>
      <c r="GE74" s="35"/>
      <c r="GF74" s="35"/>
      <c r="GG74" s="35"/>
      <c r="GH74" s="35"/>
      <c r="GI74" s="35"/>
      <c r="GJ74" s="35"/>
      <c r="GK74" s="35"/>
      <c r="GL74" s="35"/>
      <c r="GM74" s="35"/>
      <c r="GN74" s="35"/>
      <c r="GO74" s="35"/>
      <c r="GP74" s="35"/>
      <c r="GQ74" s="35"/>
      <c r="GR74" s="35"/>
      <c r="GS74" s="35"/>
      <c r="GT74" s="35"/>
      <c r="GU74" s="35"/>
      <c r="GV74" s="35"/>
      <c r="GW74" s="35"/>
      <c r="GX74" s="35"/>
      <c r="GY74" s="35"/>
      <c r="GZ74" s="35"/>
      <c r="HA74" s="35"/>
      <c r="HB74" s="35"/>
      <c r="HC74" s="35"/>
      <c r="HD74" s="35"/>
      <c r="HE74" s="35"/>
      <c r="HF74" s="35"/>
      <c r="HG74" s="35"/>
      <c r="HH74" s="35"/>
      <c r="HI74" s="35"/>
      <c r="HJ74" s="35"/>
      <c r="HK74" s="35"/>
      <c r="HL74" s="35"/>
      <c r="HM74" s="35"/>
      <c r="HN74" s="35"/>
      <c r="HO74" s="35"/>
      <c r="HP74" s="35"/>
      <c r="HQ74" s="35"/>
      <c r="HR74" s="35"/>
      <c r="HS74" s="35"/>
      <c r="HT74" s="35"/>
      <c r="HU74" s="35"/>
      <c r="HV74" s="35"/>
      <c r="HW74" s="35"/>
      <c r="HX74" s="35"/>
      <c r="HY74" s="35"/>
      <c r="HZ74" s="35"/>
      <c r="IA74" s="35"/>
      <c r="IB74" s="35"/>
      <c r="IC74" s="35"/>
      <c r="ID74" s="35"/>
      <c r="IE74" s="35"/>
      <c r="IF74" s="35"/>
      <c r="IG74" s="35"/>
      <c r="IH74" s="35"/>
      <c r="II74" s="35"/>
      <c r="IJ74" s="35"/>
      <c r="IK74" s="35"/>
      <c r="IL74" s="35"/>
      <c r="IM74" s="35"/>
      <c r="IN74" s="35"/>
      <c r="IO74" s="35"/>
      <c r="IP74" s="35"/>
      <c r="IQ74" s="35"/>
      <c r="IR74" s="35"/>
      <c r="IS74" s="35"/>
      <c r="IT74" s="35"/>
      <c r="IU74" s="35"/>
      <c r="IV74" s="35"/>
      <c r="IW74" s="35"/>
      <c r="IX74" s="35"/>
      <c r="IY74" s="35"/>
      <c r="IZ74" s="35"/>
      <c r="JA74" s="35"/>
      <c r="JB74" s="35"/>
      <c r="JC74" s="35"/>
      <c r="JD74" s="35"/>
      <c r="JE74" s="35"/>
      <c r="JF74" s="35"/>
      <c r="JG74" s="35"/>
      <c r="JH74" s="35"/>
      <c r="JI74" s="35"/>
      <c r="JJ74" s="35"/>
      <c r="JK74" s="35"/>
      <c r="JL74" s="35"/>
      <c r="JM74" s="35"/>
      <c r="JN74" s="35"/>
      <c r="JO74" s="35"/>
      <c r="JP74" s="35"/>
      <c r="JQ74" s="35"/>
      <c r="JR74" s="35"/>
      <c r="JS74" s="35"/>
      <c r="JT74" s="35"/>
      <c r="JU74" s="35"/>
      <c r="JV74" s="35"/>
      <c r="JW74" s="35"/>
      <c r="JX74" s="35"/>
      <c r="JY74" s="35"/>
      <c r="JZ74" s="35"/>
      <c r="KA74" s="35"/>
      <c r="KB74" s="35"/>
      <c r="KC74" s="35"/>
      <c r="KD74" s="35"/>
      <c r="KE74" s="35"/>
      <c r="KF74" s="35"/>
      <c r="KG74" s="35"/>
      <c r="KH74" s="35"/>
      <c r="KI74" s="35"/>
      <c r="KJ74" s="35"/>
      <c r="KK74" s="35"/>
      <c r="KL74" s="35"/>
      <c r="KM74" s="35"/>
      <c r="KN74" s="35"/>
      <c r="KO74" s="35"/>
      <c r="KP74" s="35"/>
      <c r="KQ74" s="35"/>
      <c r="KR74" s="35"/>
      <c r="KS74" s="35"/>
      <c r="KT74" s="35"/>
      <c r="KU74" s="35"/>
      <c r="KV74" s="35"/>
      <c r="KW74" s="35"/>
      <c r="KX74" s="35"/>
      <c r="KY74" s="35"/>
      <c r="KZ74" s="35"/>
      <c r="LA74" s="35"/>
      <c r="LB74" s="35"/>
      <c r="LC74" s="35"/>
      <c r="LD74" s="35"/>
      <c r="LE74" s="35"/>
      <c r="LF74" s="35"/>
      <c r="LG74" s="35"/>
      <c r="LH74" s="35"/>
      <c r="LI74" s="35"/>
      <c r="LJ74" s="35"/>
      <c r="LK74" s="35"/>
      <c r="LL74" s="35"/>
      <c r="LM74" s="35"/>
      <c r="LN74" s="35"/>
      <c r="LO74" s="35"/>
      <c r="LP74" s="35"/>
      <c r="LQ74" s="35"/>
      <c r="LR74" s="35"/>
      <c r="LS74" s="35"/>
      <c r="LT74" s="35"/>
      <c r="LU74" s="35"/>
      <c r="LV74" s="35"/>
      <c r="LW74" s="35"/>
      <c r="LX74" s="35"/>
      <c r="LY74" s="35"/>
      <c r="LZ74" s="35"/>
      <c r="MA74" s="35"/>
      <c r="MB74" s="35"/>
      <c r="MC74" s="35"/>
      <c r="MD74" s="35"/>
      <c r="ME74" s="35"/>
      <c r="MF74" s="35"/>
      <c r="MG74" s="35"/>
      <c r="MH74" s="35"/>
      <c r="MI74" s="35"/>
      <c r="MJ74" s="35"/>
      <c r="MK74" s="35"/>
      <c r="ML74" s="35"/>
      <c r="MM74" s="35"/>
      <c r="MN74" s="35"/>
      <c r="MO74" s="35"/>
      <c r="MP74" s="35"/>
      <c r="MQ74" s="35"/>
      <c r="MR74" s="35"/>
      <c r="MS74" s="35"/>
      <c r="MT74" s="35"/>
      <c r="MU74" s="35"/>
      <c r="MV74" s="35"/>
      <c r="MW74" s="35"/>
      <c r="MX74" s="35"/>
      <c r="MY74" s="35"/>
      <c r="MZ74" s="35"/>
      <c r="NA74" s="35"/>
      <c r="NB74" s="35"/>
      <c r="NC74" s="35"/>
      <c r="ND74" s="35"/>
      <c r="NE74" s="35"/>
      <c r="NF74" s="35"/>
      <c r="NG74" s="35"/>
      <c r="NH74" s="35"/>
      <c r="NI74" s="35"/>
      <c r="NJ74" s="35"/>
      <c r="NK74" s="35"/>
      <c r="NL74" s="35"/>
      <c r="NM74" s="35"/>
      <c r="NN74" s="35"/>
      <c r="NO74" s="35"/>
      <c r="NP74" s="35"/>
      <c r="NQ74" s="35"/>
      <c r="NR74" s="35"/>
      <c r="NS74" s="35"/>
      <c r="NT74" s="35"/>
      <c r="NU74" s="35"/>
      <c r="NV74" s="35"/>
      <c r="NW74" s="35"/>
      <c r="NX74" s="35"/>
      <c r="NY74" s="35"/>
      <c r="NZ74" s="35"/>
      <c r="OA74" s="35"/>
      <c r="OB74" s="35"/>
      <c r="OC74" s="35"/>
      <c r="OD74" s="35"/>
      <c r="OE74" s="35"/>
      <c r="OF74" s="35"/>
      <c r="OG74" s="35"/>
      <c r="OH74" s="35"/>
      <c r="OI74" s="35"/>
      <c r="OJ74" s="35"/>
      <c r="OK74" s="35"/>
      <c r="OL74" s="35"/>
      <c r="OM74" s="35"/>
      <c r="ON74" s="35"/>
      <c r="OO74" s="35"/>
      <c r="OP74" s="35"/>
      <c r="OQ74" s="35"/>
      <c r="OR74" s="35"/>
      <c r="OS74" s="35"/>
      <c r="OT74" s="35"/>
      <c r="OU74" s="35"/>
      <c r="OV74" s="35"/>
    </row>
    <row r="75" ht="18.0" customHeight="1">
      <c r="A75" s="34">
        <v>74.0</v>
      </c>
      <c r="B75" s="35" t="s">
        <v>377</v>
      </c>
      <c r="C75" s="36" t="s">
        <v>2521</v>
      </c>
      <c r="D75" s="35" t="s">
        <v>1171</v>
      </c>
      <c r="E75" s="34">
        <v>30.0</v>
      </c>
      <c r="F75" s="34" t="str">
        <f t="shared" si="1"/>
        <v>#REF!</v>
      </c>
      <c r="G75" s="34">
        <f t="shared" si="2"/>
        <v>0</v>
      </c>
      <c r="H75" s="34">
        <f t="shared" si="3"/>
        <v>0</v>
      </c>
      <c r="I75" s="34">
        <f t="shared" si="4"/>
        <v>0</v>
      </c>
      <c r="J75" s="37" t="s">
        <v>625</v>
      </c>
      <c r="K75" s="37" t="b">
        <v>0</v>
      </c>
      <c r="L75" s="38" t="s">
        <v>71</v>
      </c>
      <c r="M75" s="35" t="str">
        <f>IFERROR(__xludf.DUMMYFUNCTION("IFERROR(TOROW(CHOOSECOLS(SORT(FILTER({'Tổng hợp 75 trang đích'!$J$2:$J$3260,'Tổng hợp 75 trang đích'!$I$2:$I$3260,MATCH('Tổng hợp 75 trang đích'!$K$2:$K$3260,{""PHÙ HỢP CAO"",""CÓ THỂ ĐI"",""CẦN SOÁT""},0)},'Tổng hợp 75 trang đích'!$B$2:$B$3260=$D75),3,TR"&amp;"UE),1,2)),"""")"),"")</f>
        <v/>
      </c>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c r="BM75" s="35"/>
      <c r="BN75" s="35"/>
      <c r="BO75" s="35"/>
      <c r="BP75" s="35"/>
      <c r="BQ75" s="35"/>
      <c r="BR75" s="35"/>
      <c r="BS75" s="35"/>
      <c r="BT75" s="35"/>
      <c r="BU75" s="35"/>
      <c r="BV75" s="35"/>
      <c r="BW75" s="35"/>
      <c r="BX75" s="35"/>
      <c r="BY75" s="35"/>
      <c r="BZ75" s="35"/>
      <c r="CA75" s="35"/>
      <c r="CB75" s="35"/>
      <c r="CC75" s="35"/>
      <c r="CD75" s="35"/>
      <c r="CE75" s="35"/>
      <c r="CF75" s="35"/>
      <c r="CG75" s="35"/>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c r="EA75" s="35"/>
      <c r="EB75" s="35"/>
      <c r="EC75" s="35"/>
      <c r="ED75" s="35"/>
      <c r="EE75" s="35"/>
      <c r="EF75" s="35"/>
      <c r="EG75" s="35"/>
      <c r="EH75" s="35"/>
      <c r="EI75" s="35"/>
      <c r="EJ75" s="35"/>
      <c r="EK75" s="35"/>
      <c r="EL75" s="35"/>
      <c r="EM75" s="35"/>
      <c r="EN75" s="35"/>
      <c r="EO75" s="35"/>
      <c r="EP75" s="35"/>
      <c r="EQ75" s="35"/>
      <c r="ER75" s="35"/>
      <c r="ES75" s="35"/>
      <c r="ET75" s="35"/>
      <c r="EU75" s="35"/>
      <c r="EV75" s="35"/>
      <c r="EW75" s="35"/>
      <c r="EX75" s="35"/>
      <c r="EY75" s="35"/>
      <c r="EZ75" s="35"/>
      <c r="FA75" s="35"/>
      <c r="FB75" s="35"/>
      <c r="FC75" s="35"/>
      <c r="FD75" s="35"/>
      <c r="FE75" s="35"/>
      <c r="FF75" s="35"/>
      <c r="FG75" s="35"/>
      <c r="FH75" s="35"/>
      <c r="FI75" s="35"/>
      <c r="FJ75" s="35"/>
      <c r="FK75" s="35"/>
      <c r="FL75" s="35"/>
      <c r="FM75" s="35"/>
      <c r="FN75" s="35"/>
      <c r="FO75" s="35"/>
      <c r="FP75" s="35"/>
      <c r="FQ75" s="35"/>
      <c r="FR75" s="35"/>
      <c r="FS75" s="35"/>
      <c r="FT75" s="35"/>
      <c r="FU75" s="35"/>
      <c r="FV75" s="35"/>
      <c r="FW75" s="35"/>
      <c r="FX75" s="35"/>
      <c r="FY75" s="35"/>
      <c r="FZ75" s="35"/>
      <c r="GA75" s="35"/>
      <c r="GB75" s="35"/>
      <c r="GC75" s="35"/>
      <c r="GD75" s="35"/>
      <c r="GE75" s="35"/>
      <c r="GF75" s="35"/>
      <c r="GG75" s="35"/>
      <c r="GH75" s="35"/>
      <c r="GI75" s="35"/>
      <c r="GJ75" s="35"/>
      <c r="GK75" s="35"/>
      <c r="GL75" s="35"/>
      <c r="GM75" s="35"/>
      <c r="GN75" s="35"/>
      <c r="GO75" s="35"/>
      <c r="GP75" s="35"/>
      <c r="GQ75" s="35"/>
      <c r="GR75" s="35"/>
      <c r="GS75" s="35"/>
      <c r="GT75" s="35"/>
      <c r="GU75" s="35"/>
      <c r="GV75" s="35"/>
      <c r="GW75" s="35"/>
      <c r="GX75" s="35"/>
      <c r="GY75" s="35"/>
      <c r="GZ75" s="35"/>
      <c r="HA75" s="35"/>
      <c r="HB75" s="35"/>
      <c r="HC75" s="35"/>
      <c r="HD75" s="35"/>
      <c r="HE75" s="35"/>
      <c r="HF75" s="35"/>
      <c r="HG75" s="35"/>
      <c r="HH75" s="35"/>
      <c r="HI75" s="35"/>
      <c r="HJ75" s="35"/>
      <c r="HK75" s="35"/>
      <c r="HL75" s="35"/>
      <c r="HM75" s="35"/>
      <c r="HN75" s="35"/>
      <c r="HO75" s="35"/>
      <c r="HP75" s="35"/>
      <c r="HQ75" s="35"/>
      <c r="HR75" s="35"/>
      <c r="HS75" s="35"/>
      <c r="HT75" s="35"/>
      <c r="HU75" s="35"/>
      <c r="HV75" s="35"/>
      <c r="HW75" s="35"/>
      <c r="HX75" s="35"/>
      <c r="HY75" s="35"/>
      <c r="HZ75" s="35"/>
      <c r="IA75" s="35"/>
      <c r="IB75" s="35"/>
      <c r="IC75" s="35"/>
      <c r="ID75" s="35"/>
      <c r="IE75" s="35"/>
      <c r="IF75" s="35"/>
      <c r="IG75" s="35"/>
      <c r="IH75" s="35"/>
      <c r="II75" s="35"/>
      <c r="IJ75" s="35"/>
      <c r="IK75" s="35"/>
      <c r="IL75" s="35"/>
      <c r="IM75" s="35"/>
      <c r="IN75" s="35"/>
      <c r="IO75" s="35"/>
      <c r="IP75" s="35"/>
      <c r="IQ75" s="35"/>
      <c r="IR75" s="35"/>
      <c r="IS75" s="35"/>
      <c r="IT75" s="35"/>
      <c r="IU75" s="35"/>
      <c r="IV75" s="35"/>
      <c r="IW75" s="35"/>
      <c r="IX75" s="35"/>
      <c r="IY75" s="35"/>
      <c r="IZ75" s="35"/>
      <c r="JA75" s="35"/>
      <c r="JB75" s="35"/>
      <c r="JC75" s="35"/>
      <c r="JD75" s="35"/>
      <c r="JE75" s="35"/>
      <c r="JF75" s="35"/>
      <c r="JG75" s="35"/>
      <c r="JH75" s="35"/>
      <c r="JI75" s="35"/>
      <c r="JJ75" s="35"/>
      <c r="JK75" s="35"/>
      <c r="JL75" s="35"/>
      <c r="JM75" s="35"/>
      <c r="JN75" s="35"/>
      <c r="JO75" s="35"/>
      <c r="JP75" s="35"/>
      <c r="JQ75" s="35"/>
      <c r="JR75" s="35"/>
      <c r="JS75" s="35"/>
      <c r="JT75" s="35"/>
      <c r="JU75" s="35"/>
      <c r="JV75" s="35"/>
      <c r="JW75" s="35"/>
      <c r="JX75" s="35"/>
      <c r="JY75" s="35"/>
      <c r="JZ75" s="35"/>
      <c r="KA75" s="35"/>
      <c r="KB75" s="35"/>
      <c r="KC75" s="35"/>
      <c r="KD75" s="35"/>
      <c r="KE75" s="35"/>
      <c r="KF75" s="35"/>
      <c r="KG75" s="35"/>
      <c r="KH75" s="35"/>
      <c r="KI75" s="35"/>
      <c r="KJ75" s="35"/>
      <c r="KK75" s="35"/>
      <c r="KL75" s="35"/>
      <c r="KM75" s="35"/>
      <c r="KN75" s="35"/>
      <c r="KO75" s="35"/>
      <c r="KP75" s="35"/>
      <c r="KQ75" s="35"/>
      <c r="KR75" s="35"/>
      <c r="KS75" s="35"/>
      <c r="KT75" s="35"/>
      <c r="KU75" s="35"/>
      <c r="KV75" s="35"/>
      <c r="KW75" s="35"/>
      <c r="KX75" s="35"/>
      <c r="KY75" s="35"/>
      <c r="KZ75" s="35"/>
      <c r="LA75" s="35"/>
      <c r="LB75" s="35"/>
      <c r="LC75" s="35"/>
      <c r="LD75" s="35"/>
      <c r="LE75" s="35"/>
      <c r="LF75" s="35"/>
      <c r="LG75" s="35"/>
      <c r="LH75" s="35"/>
      <c r="LI75" s="35"/>
      <c r="LJ75" s="35"/>
      <c r="LK75" s="35"/>
      <c r="LL75" s="35"/>
      <c r="LM75" s="35"/>
      <c r="LN75" s="35"/>
      <c r="LO75" s="35"/>
      <c r="LP75" s="35"/>
      <c r="LQ75" s="35"/>
      <c r="LR75" s="35"/>
      <c r="LS75" s="35"/>
      <c r="LT75" s="35"/>
      <c r="LU75" s="35"/>
      <c r="LV75" s="35"/>
      <c r="LW75" s="35"/>
      <c r="LX75" s="35"/>
      <c r="LY75" s="35"/>
      <c r="LZ75" s="35"/>
      <c r="MA75" s="35"/>
      <c r="MB75" s="35"/>
      <c r="MC75" s="35"/>
      <c r="MD75" s="35"/>
      <c r="ME75" s="35"/>
      <c r="MF75" s="35"/>
      <c r="MG75" s="35"/>
      <c r="MH75" s="35"/>
      <c r="MI75" s="35"/>
      <c r="MJ75" s="35"/>
      <c r="MK75" s="35"/>
      <c r="ML75" s="35"/>
      <c r="MM75" s="35"/>
      <c r="MN75" s="35"/>
      <c r="MO75" s="35"/>
      <c r="MP75" s="35"/>
      <c r="MQ75" s="35"/>
      <c r="MR75" s="35"/>
      <c r="MS75" s="35"/>
      <c r="MT75" s="35"/>
      <c r="MU75" s="35"/>
      <c r="MV75" s="35"/>
      <c r="MW75" s="35"/>
      <c r="MX75" s="35"/>
      <c r="MY75" s="35"/>
      <c r="MZ75" s="35"/>
      <c r="NA75" s="35"/>
      <c r="NB75" s="35"/>
      <c r="NC75" s="35"/>
      <c r="ND75" s="35"/>
      <c r="NE75" s="35"/>
      <c r="NF75" s="35"/>
      <c r="NG75" s="35"/>
      <c r="NH75" s="35"/>
      <c r="NI75" s="35"/>
      <c r="NJ75" s="35"/>
      <c r="NK75" s="35"/>
      <c r="NL75" s="35"/>
      <c r="NM75" s="35"/>
      <c r="NN75" s="35"/>
      <c r="NO75" s="35"/>
      <c r="NP75" s="35"/>
      <c r="NQ75" s="35"/>
      <c r="NR75" s="35"/>
      <c r="NS75" s="35"/>
      <c r="NT75" s="35"/>
      <c r="NU75" s="35"/>
      <c r="NV75" s="35"/>
      <c r="NW75" s="35"/>
      <c r="NX75" s="35"/>
      <c r="NY75" s="35"/>
      <c r="NZ75" s="35"/>
      <c r="OA75" s="35"/>
      <c r="OB75" s="35"/>
      <c r="OC75" s="35"/>
      <c r="OD75" s="35"/>
      <c r="OE75" s="35"/>
      <c r="OF75" s="35"/>
      <c r="OG75" s="35"/>
      <c r="OH75" s="35"/>
      <c r="OI75" s="35"/>
      <c r="OJ75" s="35"/>
      <c r="OK75" s="35"/>
      <c r="OL75" s="35"/>
      <c r="OM75" s="35"/>
      <c r="ON75" s="35"/>
      <c r="OO75" s="35"/>
      <c r="OP75" s="35"/>
      <c r="OQ75" s="35"/>
      <c r="OR75" s="35"/>
      <c r="OS75" s="35"/>
      <c r="OT75" s="35"/>
      <c r="OU75" s="35"/>
      <c r="OV75" s="35"/>
    </row>
    <row r="76" ht="18.0" customHeight="1">
      <c r="A76" s="34">
        <v>75.0</v>
      </c>
      <c r="B76" s="35" t="s">
        <v>1181</v>
      </c>
      <c r="C76" s="36" t="s">
        <v>2551</v>
      </c>
      <c r="D76" s="35" t="s">
        <v>1179</v>
      </c>
      <c r="E76" s="34">
        <v>30.0</v>
      </c>
      <c r="F76" s="34" t="str">
        <f t="shared" si="1"/>
        <v>#REF!</v>
      </c>
      <c r="G76" s="34">
        <f t="shared" si="2"/>
        <v>0</v>
      </c>
      <c r="H76" s="34">
        <f t="shared" si="3"/>
        <v>0</v>
      </c>
      <c r="I76" s="34">
        <f t="shared" si="4"/>
        <v>0</v>
      </c>
      <c r="J76" s="37" t="s">
        <v>625</v>
      </c>
      <c r="K76" s="37" t="b">
        <v>0</v>
      </c>
      <c r="L76" s="38" t="s">
        <v>71</v>
      </c>
      <c r="M76" s="35" t="str">
        <f>IFERROR(__xludf.DUMMYFUNCTION("IFERROR(TOROW(CHOOSECOLS(SORT(FILTER({'Tổng hợp 75 trang đích'!$J$2:$J$3260,'Tổng hợp 75 trang đích'!$I$2:$I$3260,MATCH('Tổng hợp 75 trang đích'!$K$2:$K$3260,{""PHÙ HỢP CAO"",""CÓ THỂ ĐI"",""CẦN SOÁT""},0)},'Tổng hợp 75 trang đích'!$B$2:$B$3260=$D76),3,TR"&amp;"UE),1,2)),"""")"),"")</f>
        <v/>
      </c>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c r="BM76" s="35"/>
      <c r="BN76" s="35"/>
      <c r="BO76" s="35"/>
      <c r="BP76" s="35"/>
      <c r="BQ76" s="35"/>
      <c r="BR76" s="35"/>
      <c r="BS76" s="35"/>
      <c r="BT76" s="35"/>
      <c r="BU76" s="35"/>
      <c r="BV76" s="35"/>
      <c r="BW76" s="35"/>
      <c r="BX76" s="35"/>
      <c r="BY76" s="35"/>
      <c r="BZ76" s="35"/>
      <c r="CA76" s="35"/>
      <c r="CB76" s="35"/>
      <c r="CC76" s="35"/>
      <c r="CD76" s="35"/>
      <c r="CE76" s="35"/>
      <c r="CF76" s="35"/>
      <c r="CG76" s="35"/>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c r="EA76" s="35"/>
      <c r="EB76" s="35"/>
      <c r="EC76" s="35"/>
      <c r="ED76" s="35"/>
      <c r="EE76" s="35"/>
      <c r="EF76" s="35"/>
      <c r="EG76" s="35"/>
      <c r="EH76" s="35"/>
      <c r="EI76" s="35"/>
      <c r="EJ76" s="35"/>
      <c r="EK76" s="35"/>
      <c r="EL76" s="35"/>
      <c r="EM76" s="35"/>
      <c r="EN76" s="35"/>
      <c r="EO76" s="35"/>
      <c r="EP76" s="35"/>
      <c r="EQ76" s="35"/>
      <c r="ER76" s="35"/>
      <c r="ES76" s="35"/>
      <c r="ET76" s="35"/>
      <c r="EU76" s="35"/>
      <c r="EV76" s="35"/>
      <c r="EW76" s="35"/>
      <c r="EX76" s="35"/>
      <c r="EY76" s="35"/>
      <c r="EZ76" s="35"/>
      <c r="FA76" s="35"/>
      <c r="FB76" s="35"/>
      <c r="FC76" s="35"/>
      <c r="FD76" s="35"/>
      <c r="FE76" s="35"/>
      <c r="FF76" s="35"/>
      <c r="FG76" s="35"/>
      <c r="FH76" s="35"/>
      <c r="FI76" s="35"/>
      <c r="FJ76" s="35"/>
      <c r="FK76" s="35"/>
      <c r="FL76" s="35"/>
      <c r="FM76" s="35"/>
      <c r="FN76" s="35"/>
      <c r="FO76" s="35"/>
      <c r="FP76" s="35"/>
      <c r="FQ76" s="35"/>
      <c r="FR76" s="35"/>
      <c r="FS76" s="35"/>
      <c r="FT76" s="35"/>
      <c r="FU76" s="35"/>
      <c r="FV76" s="35"/>
      <c r="FW76" s="35"/>
      <c r="FX76" s="35"/>
      <c r="FY76" s="35"/>
      <c r="FZ76" s="35"/>
      <c r="GA76" s="35"/>
      <c r="GB76" s="35"/>
      <c r="GC76" s="35"/>
      <c r="GD76" s="35"/>
      <c r="GE76" s="35"/>
      <c r="GF76" s="35"/>
      <c r="GG76" s="35"/>
      <c r="GH76" s="35"/>
      <c r="GI76" s="35"/>
      <c r="GJ76" s="35"/>
      <c r="GK76" s="35"/>
      <c r="GL76" s="35"/>
      <c r="GM76" s="35"/>
      <c r="GN76" s="35"/>
      <c r="GO76" s="35"/>
      <c r="GP76" s="35"/>
      <c r="GQ76" s="35"/>
      <c r="GR76" s="35"/>
      <c r="GS76" s="35"/>
      <c r="GT76" s="35"/>
      <c r="GU76" s="35"/>
      <c r="GV76" s="35"/>
      <c r="GW76" s="35"/>
      <c r="GX76" s="35"/>
      <c r="GY76" s="35"/>
      <c r="GZ76" s="35"/>
      <c r="HA76" s="35"/>
      <c r="HB76" s="35"/>
      <c r="HC76" s="35"/>
      <c r="HD76" s="35"/>
      <c r="HE76" s="35"/>
      <c r="HF76" s="35"/>
      <c r="HG76" s="35"/>
      <c r="HH76" s="35"/>
      <c r="HI76" s="35"/>
      <c r="HJ76" s="35"/>
      <c r="HK76" s="35"/>
      <c r="HL76" s="35"/>
      <c r="HM76" s="35"/>
      <c r="HN76" s="35"/>
      <c r="HO76" s="35"/>
      <c r="HP76" s="35"/>
      <c r="HQ76" s="35"/>
      <c r="HR76" s="35"/>
      <c r="HS76" s="35"/>
      <c r="HT76" s="35"/>
      <c r="HU76" s="35"/>
      <c r="HV76" s="35"/>
      <c r="HW76" s="35"/>
      <c r="HX76" s="35"/>
      <c r="HY76" s="35"/>
      <c r="HZ76" s="35"/>
      <c r="IA76" s="35"/>
      <c r="IB76" s="35"/>
      <c r="IC76" s="35"/>
      <c r="ID76" s="35"/>
      <c r="IE76" s="35"/>
      <c r="IF76" s="35"/>
      <c r="IG76" s="35"/>
      <c r="IH76" s="35"/>
      <c r="II76" s="35"/>
      <c r="IJ76" s="35"/>
      <c r="IK76" s="35"/>
      <c r="IL76" s="35"/>
      <c r="IM76" s="35"/>
      <c r="IN76" s="35"/>
      <c r="IO76" s="35"/>
      <c r="IP76" s="35"/>
      <c r="IQ76" s="35"/>
      <c r="IR76" s="35"/>
      <c r="IS76" s="35"/>
      <c r="IT76" s="35"/>
      <c r="IU76" s="35"/>
      <c r="IV76" s="35"/>
      <c r="IW76" s="35"/>
      <c r="IX76" s="35"/>
      <c r="IY76" s="35"/>
      <c r="IZ76" s="35"/>
      <c r="JA76" s="35"/>
      <c r="JB76" s="35"/>
      <c r="JC76" s="35"/>
      <c r="JD76" s="35"/>
      <c r="JE76" s="35"/>
      <c r="JF76" s="35"/>
      <c r="JG76" s="35"/>
      <c r="JH76" s="35"/>
      <c r="JI76" s="35"/>
      <c r="JJ76" s="35"/>
      <c r="JK76" s="35"/>
      <c r="JL76" s="35"/>
      <c r="JM76" s="35"/>
      <c r="JN76" s="35"/>
      <c r="JO76" s="35"/>
      <c r="JP76" s="35"/>
      <c r="JQ76" s="35"/>
      <c r="JR76" s="35"/>
      <c r="JS76" s="35"/>
      <c r="JT76" s="35"/>
      <c r="JU76" s="35"/>
      <c r="JV76" s="35"/>
      <c r="JW76" s="35"/>
      <c r="JX76" s="35"/>
      <c r="JY76" s="35"/>
      <c r="JZ76" s="35"/>
      <c r="KA76" s="35"/>
      <c r="KB76" s="35"/>
      <c r="KC76" s="35"/>
      <c r="KD76" s="35"/>
      <c r="KE76" s="35"/>
      <c r="KF76" s="35"/>
      <c r="KG76" s="35"/>
      <c r="KH76" s="35"/>
      <c r="KI76" s="35"/>
      <c r="KJ76" s="35"/>
      <c r="KK76" s="35"/>
      <c r="KL76" s="35"/>
      <c r="KM76" s="35"/>
      <c r="KN76" s="35"/>
      <c r="KO76" s="35"/>
      <c r="KP76" s="35"/>
      <c r="KQ76" s="35"/>
      <c r="KR76" s="35"/>
      <c r="KS76" s="35"/>
      <c r="KT76" s="35"/>
      <c r="KU76" s="35"/>
      <c r="KV76" s="35"/>
      <c r="KW76" s="35"/>
      <c r="KX76" s="35"/>
      <c r="KY76" s="35"/>
      <c r="KZ76" s="35"/>
      <c r="LA76" s="35"/>
      <c r="LB76" s="35"/>
      <c r="LC76" s="35"/>
      <c r="LD76" s="35"/>
      <c r="LE76" s="35"/>
      <c r="LF76" s="35"/>
      <c r="LG76" s="35"/>
      <c r="LH76" s="35"/>
      <c r="LI76" s="35"/>
      <c r="LJ76" s="35"/>
      <c r="LK76" s="35"/>
      <c r="LL76" s="35"/>
      <c r="LM76" s="35"/>
      <c r="LN76" s="35"/>
      <c r="LO76" s="35"/>
      <c r="LP76" s="35"/>
      <c r="LQ76" s="35"/>
      <c r="LR76" s="35"/>
      <c r="LS76" s="35"/>
      <c r="LT76" s="35"/>
      <c r="LU76" s="35"/>
      <c r="LV76" s="35"/>
      <c r="LW76" s="35"/>
      <c r="LX76" s="35"/>
      <c r="LY76" s="35"/>
      <c r="LZ76" s="35"/>
      <c r="MA76" s="35"/>
      <c r="MB76" s="35"/>
      <c r="MC76" s="35"/>
      <c r="MD76" s="35"/>
      <c r="ME76" s="35"/>
      <c r="MF76" s="35"/>
      <c r="MG76" s="35"/>
      <c r="MH76" s="35"/>
      <c r="MI76" s="35"/>
      <c r="MJ76" s="35"/>
      <c r="MK76" s="35"/>
      <c r="ML76" s="35"/>
      <c r="MM76" s="35"/>
      <c r="MN76" s="35"/>
      <c r="MO76" s="35"/>
      <c r="MP76" s="35"/>
      <c r="MQ76" s="35"/>
      <c r="MR76" s="35"/>
      <c r="MS76" s="35"/>
      <c r="MT76" s="35"/>
      <c r="MU76" s="35"/>
      <c r="MV76" s="35"/>
      <c r="MW76" s="35"/>
      <c r="MX76" s="35"/>
      <c r="MY76" s="35"/>
      <c r="MZ76" s="35"/>
      <c r="NA76" s="35"/>
      <c r="NB76" s="35"/>
      <c r="NC76" s="35"/>
      <c r="ND76" s="35"/>
      <c r="NE76" s="35"/>
      <c r="NF76" s="35"/>
      <c r="NG76" s="35"/>
      <c r="NH76" s="35"/>
      <c r="NI76" s="35"/>
      <c r="NJ76" s="35"/>
      <c r="NK76" s="35"/>
      <c r="NL76" s="35"/>
      <c r="NM76" s="35"/>
      <c r="NN76" s="35"/>
      <c r="NO76" s="35"/>
      <c r="NP76" s="35"/>
      <c r="NQ76" s="35"/>
      <c r="NR76" s="35"/>
      <c r="NS76" s="35"/>
      <c r="NT76" s="35"/>
      <c r="NU76" s="35"/>
      <c r="NV76" s="35"/>
      <c r="NW76" s="35"/>
      <c r="NX76" s="35"/>
      <c r="NY76" s="35"/>
      <c r="NZ76" s="35"/>
      <c r="OA76" s="35"/>
      <c r="OB76" s="35"/>
      <c r="OC76" s="35"/>
      <c r="OD76" s="35"/>
      <c r="OE76" s="35"/>
      <c r="OF76" s="35"/>
      <c r="OG76" s="35"/>
      <c r="OH76" s="35"/>
      <c r="OI76" s="35"/>
      <c r="OJ76" s="35"/>
      <c r="OK76" s="35"/>
      <c r="OL76" s="35"/>
      <c r="OM76" s="35"/>
      <c r="ON76" s="35"/>
      <c r="OO76" s="35"/>
      <c r="OP76" s="35"/>
      <c r="OQ76" s="35"/>
      <c r="OR76" s="35"/>
      <c r="OS76" s="35"/>
      <c r="OT76" s="35"/>
      <c r="OU76" s="35"/>
      <c r="OV76" s="35"/>
    </row>
    <row r="77">
      <c r="E77" s="44"/>
      <c r="L77" s="53"/>
    </row>
    <row r="78">
      <c r="E78" s="44"/>
      <c r="L78" s="53"/>
    </row>
    <row r="79">
      <c r="E79" s="44"/>
      <c r="L79" s="53"/>
    </row>
    <row r="80">
      <c r="E80" s="44"/>
      <c r="L80" s="53"/>
    </row>
  </sheetData>
  <conditionalFormatting sqref="M2:OV76">
    <cfRule type="expression" dxfId="4" priority="1" stopIfTrue="1">
      <formula>COUNTIFS(INDIRECT("'Trang tính3'!A:A"),$D2,INDIRECT("'Trang tính3'!B:B"),M2)&gt;0</formula>
    </cfRule>
  </conditionalFormatting>
  <conditionalFormatting sqref="J2:J76">
    <cfRule type="cellIs" dxfId="5" priority="2" stopIfTrue="1" operator="equal">
      <formula>"Chưa hoàn thành"</formula>
    </cfRule>
  </conditionalFormatting>
  <conditionalFormatting sqref="J2:J76">
    <cfRule type="cellIs" dxfId="6" priority="3" stopIfTrue="1" operator="equal">
      <formula>"Đang làm"</formula>
    </cfRule>
  </conditionalFormatting>
  <conditionalFormatting sqref="J2:J76">
    <cfRule type="cellIs" dxfId="7" priority="4" stopIfTrue="1" operator="equal">
      <formula>"Đã hoàn thành"</formula>
    </cfRule>
  </conditionalFormatting>
  <conditionalFormatting sqref="M2:OV76">
    <cfRule type="expression" dxfId="7" priority="5" stopIfTrue="1">
      <formula>AND(M2&lt;&gt;"",INT((COLUMN()-13)/2)+1&lt;=$G2)</formula>
    </cfRule>
  </conditionalFormatting>
  <conditionalFormatting sqref="M2:OV76">
    <cfRule type="expression" dxfId="8" priority="6" stopIfTrue="1">
      <formula>AND(M2&lt;&gt;"",INT((COLUMN()-13)/2)+1&lt;=$G2+$H2)</formula>
    </cfRule>
  </conditionalFormatting>
  <conditionalFormatting sqref="M2:OV76">
    <cfRule type="expression" dxfId="9" priority="7" stopIfTrue="1">
      <formula>M2&lt;&gt;""</formula>
    </cfRule>
  </conditionalFormatting>
  <dataValidations>
    <dataValidation type="list" allowBlank="1" showErrorMessage="1" sqref="J2:J76">
      <formula1>"Chưa hoàn thành,Đang làm,Đã hoàn thành"</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88"/>
    <col customWidth="1" min="2" max="2" width="42.25"/>
    <col customWidth="1" min="3" max="3" width="13.88"/>
    <col customWidth="1" min="4" max="5" width="11.38"/>
    <col customWidth="1" min="6" max="6" width="13.88"/>
    <col customWidth="1" min="7" max="7" width="41.38"/>
    <col customWidth="1" min="8" max="8" width="65.13"/>
  </cols>
  <sheetData>
    <row r="1" ht="33.0" customHeight="1">
      <c r="A1" s="7" t="s">
        <v>1</v>
      </c>
      <c r="B1" s="9" t="s">
        <v>28</v>
      </c>
      <c r="C1" s="9" t="s">
        <v>12</v>
      </c>
      <c r="D1" s="9" t="s">
        <v>75</v>
      </c>
      <c r="E1" s="9" t="s">
        <v>78</v>
      </c>
      <c r="F1" s="13" t="s">
        <v>80</v>
      </c>
      <c r="G1" s="13" t="s">
        <v>82</v>
      </c>
      <c r="H1" s="13" t="s">
        <v>84</v>
      </c>
    </row>
    <row r="2">
      <c r="A2" s="26">
        <v>28.0</v>
      </c>
      <c r="B2" s="27" t="s">
        <v>93</v>
      </c>
      <c r="C2" s="28" t="s">
        <v>97</v>
      </c>
      <c r="D2" s="29">
        <v>200.0</v>
      </c>
      <c r="E2" s="30">
        <f>COUNTIF('Kế hoạch chèn link (mới)'!$B$3:$B$2213,B2)</f>
        <v>52</v>
      </c>
      <c r="F2" s="31">
        <f t="shared" ref="F2:F76" si="1">MAX(0,D2-E2)</f>
        <v>148</v>
      </c>
      <c r="G2" s="32" t="str">
        <f>IFERROR(__xludf.DUMMYFUNCTION("IFERROR(LET(t,FILTER('Kế hoạch chèn link (mới)'!$M$3:$M$2213,'Kế hoạch chèn link (mới)'!$B$3:$B$2213=B2),u,UNIQUE(t),c,MAP(u,LAMBDA(x,COUNTIF(t,x))),s,SORT(HSTACK(u,c),2,FALSE),TEXTJOIN(CHAR(10),TRUE,BYROW(s,LAMBDA(r,INDEX(r,1,1)&amp;"": ""&amp;INDEX(r,1,2)&amp;"" bà"&amp;"i"")))),"""")"),"Nợ xấu &amp; CIC: 15 bài
Thẻ tín dụng: 14 bài
Vay tiêu dùng &amp; tín chấp: 12 bài
Vay thế chấp &amp; mua nhà/xe: 6 bài
Doanh nghiệp (tài khoản, vay, tài chính): 2 bài
Quản lý tài chính cá nhân: 2 bài
Thẻ ATM &amp; thẻ ghi nợ: 1 bài")</f>
        <v>Nợ xấu &amp; CIC: 15 bài
Thẻ tín dụng: 14 bài
Vay tiêu dùng &amp; tín chấp: 12 bài
Vay thế chấp &amp; mua nhà/xe: 6 bài
Doanh nghiệp (tài khoản, vay, tài chính): 2 bài
Quản lý tài chính cá nhân: 2 bài
Thẻ ATM &amp; thẻ ghi nợ: 1 bài</v>
      </c>
      <c r="H2" s="33" t="str">
        <f>IFERROR(__xludf.DUMMYFUNCTION("TEXTJOIN(CHAR(10),TRUE,FILTER('Kế hoạch chèn link (mới)'!$D$3:$D$2213,'Kế hoạch chèn link (mới)'!$B$3:$B$2213=B2))"),"https://techcombank.com/thong-tin/blog/no-nhom-3
https://techcombank.com/thong-tin/blog/no-xau
https://techcombank.com/thong-tin/blog/no-xau-la-gi
https://techcombank.com/thong-tin/blog/app-mua-truoc-tra-sau
https://techcombank.com/thong-tin/blog/vay-15-t"&amp;"rieu
https://techcombank.com/thong-tin/blog/diem-tin-dung
https://techcombank.com/thong-tin/blog/kiem-tra-no-xau
https://techcombank.com/thong-tin/blog/no-chu-y-la-gi
https://techcombank.com/thong-tin/blog/kinh-nghiem-vay-tien-mua-nha
https://techcombank."&amp;"com/thong-tin/blog/vay-von-doanh-nghiep-khong-the-chap
https://techcombank.com/thong-tin/blog/qua-han-thanh-toan-the-tin-dung-1-ngay
https://techcombank.com/thong-tin/blog/no-xau-co-lam-the-visa-duoc-khong
https://techcombank.com/thong-tin/blog/spaylater
"&amp;"https://techcombank.com/thong-tin/blog/no-the-tin-dung-qua-han
https://techcombank.com/thong-tin/blog/luu-y-khi-su-dung-the-tin-dung
https://techcombank.com/thong-tin/blog/no-xau-co-vay-the-chap-duoc-khong
https://techcombank.com/thong-tin/blog/vay-tin-ch"&amp;"ap-khong-tra-duoc-co-sao-khong
https://techcombank.com/thong-tin/blog/du-no-tin-dung-la-gi
https://techcombank.com/thong-tin/blog/du-no-la-gi
https://techcombank.com/thong-tin/blog/cam-ket-tin-dung
https://techcombank.com/thong-tin/blog/vay-han-muc-la-gi
"&amp;"https://techcombank.com/thong-tin/blog/vay-tra-gop
https://techcombank.com/thong-tin/blog/ho-so-vay-von-cua-doanh-nghiep-gom-nhung-gi
https://techcombank.com/thong-tin/blog/han-muc-thau-chi-la-gi
https://techcombank.com/thong-tin/blog/no-xau-mo-the-tin-du"&amp;"ng-duoc-khong
https://techcombank.com/thong-tin/blog/vay-tin-chap-no-xau
https://techcombank.com/thong-tin/blog/han-muc-the-tin-dung
https://techcombank.com/thong-tin/blog/sang-ngang-the-tin-dung
https://techcombank.com/thong-tin/blog/the-tin-dung-ao
http"&amp;"s://techcombank.com/thong-tin/blog/the-tin-dung-la-gi
https://techcombank.com/thong-tin/blog/cach-huy-the-tin-dung
https://techcombank.com/thong-tin/blog/cac-loai-the-tin-dung
https://techcombank.com/thong-tin/blog/tin-dung-doanh-nghiep
https://techcomban"&amp;"k.com/thong-tin/blog/mua-nha-tra-gop-dua-truoc-100-trieu
https://techcombank.com/thong-tin/blog/quy-trinh-cho-vay-tieu-dung
https://techcombank.com/thong-tin/blog/lich-su-tin-dung
https://techcombank.com/thong-tin/blog/no-xau-nhom-2
https://techcombank.co"&amp;"m/thong-tin/blog/xep-hang-tin-dung
https://techcombank.com/thong-tin/blog/han-muc-vay-the-chap-so-do
https://techcombank.com/thong-tin/blog/kinh-nghiem-vay-the-chap-ngan-hang
https://techcombank.com/thong-tin/blog/vay-tin-chap-toi-da-duoc-bao-nhieu
https:"&amp;"//techcombank.com/thong-tin/blog/han-muc-tra-gop-the-tin-dung
https://techcombank.com/thong-tin/blog/giai-ngan-la-gi
https://techcombank.com/thong-tin/blog/ghi-chep-chi-tieu
https://techcombank.com/thong-tin/blog/lam-the-tin-dung
https://techcombank.com/t"&amp;"hong-tin/blog/the-tin-dung-mien-lai-55-ngay
https://techcombank.com/thong-tin/blog/the-mastercard-la-gi
https://techcombank.com/thong-tin/blog/6-chiec-lo-tai-chinh-ca-nhan
https://techcombank.com/thong-tin/blog/the-chap-la-gi
https://techcombank.com/thong"&amp;"-tin/blog/ma-pin-the-atm
https://techcombank.com/thong-tin/blog/so-cvv-la-gi
https://techcombank.com/thong-tin/blog/tra-cuu-han-muc-the-tin-dung")</f>
        <v>https://techcombank.com/thong-tin/blog/no-nhom-3
https://techcombank.com/thong-tin/blog/no-xau
https://techcombank.com/thong-tin/blog/no-xau-la-gi
https://techcombank.com/thong-tin/blog/app-mua-truoc-tra-sau
https://techcombank.com/thong-tin/blog/vay-15-trieu
https://techcombank.com/thong-tin/blog/diem-tin-dung
https://techcombank.com/thong-tin/blog/kiem-tra-no-xau
https://techcombank.com/thong-tin/blog/no-chu-y-la-gi
https://techcombank.com/thong-tin/blog/kinh-nghiem-vay-tien-mua-nha
https://techcombank.com/thong-tin/blog/vay-von-doanh-nghiep-khong-the-chap
https://techcombank.com/thong-tin/blog/qua-han-thanh-toan-the-tin-dung-1-ngay
https://techcombank.com/thong-tin/blog/no-xau-co-lam-the-visa-duoc-khong
https://techcombank.com/thong-tin/blog/spaylater
https://techcombank.com/thong-tin/blog/no-the-tin-dung-qua-han
https://techcombank.com/thong-tin/blog/luu-y-khi-su-dung-the-tin-dung
https://techcombank.com/thong-tin/blog/no-xau-co-vay-the-chap-duoc-khong
https://techcombank.com/thong-tin/blog/vay-tin-chap-khong-tra-duoc-co-sao-khong
https://techcombank.com/thong-tin/blog/du-no-tin-dung-la-gi
https://techcombank.com/thong-tin/blog/du-no-la-gi
https://techcombank.com/thong-tin/blog/cam-ket-tin-dung
https://techcombank.com/thong-tin/blog/vay-han-muc-la-gi
https://techcombank.com/thong-tin/blog/vay-tra-gop
https://techcombank.com/thong-tin/blog/ho-so-vay-von-cua-doanh-nghiep-gom-nhung-gi
https://techcombank.com/thong-tin/blog/han-muc-thau-chi-la-gi
https://techcombank.com/thong-tin/blog/no-xau-mo-the-tin-dung-duoc-khong
https://techcombank.com/thong-tin/blog/vay-tin-chap-no-xau
https://techcombank.com/thong-tin/blog/han-muc-the-tin-dung
https://techcombank.com/thong-tin/blog/sang-ngang-the-tin-dung
https://techcombank.com/thong-tin/blog/the-tin-dung-ao
https://techcombank.com/thong-tin/blog/the-tin-dung-la-gi
https://techcombank.com/thong-tin/blog/cach-huy-the-tin-dung
https://techcombank.com/thong-tin/blog/cac-loai-the-tin-dung
https://techcombank.com/thong-tin/blog/tin-dung-doanh-nghiep
https://techcombank.com/thong-tin/blog/mua-nha-tra-gop-dua-truoc-100-trieu
https://techcombank.com/thong-tin/blog/quy-trinh-cho-vay-tieu-dung
https://techcombank.com/thong-tin/blog/lich-su-tin-dung
https://techcombank.com/thong-tin/blog/no-xau-nhom-2
https://techcombank.com/thong-tin/blog/xep-hang-tin-dung
https://techcombank.com/thong-tin/blog/han-muc-vay-the-chap-so-do
https://techcombank.com/thong-tin/blog/kinh-nghiem-vay-the-chap-ngan-hang
https://techcombank.com/thong-tin/blog/vay-tin-chap-toi-da-duoc-bao-nhieu
https://techcombank.com/thong-tin/blog/han-muc-tra-gop-the-tin-dung
https://techcombank.com/thong-tin/blog/giai-ngan-la-gi
https://techcombank.com/thong-tin/blog/ghi-chep-chi-tieu
https://techcombank.com/thong-tin/blog/lam-the-tin-dung
https://techcombank.com/thong-tin/blog/the-tin-dung-mien-lai-55-ngay
https://techcombank.com/thong-tin/blog/the-mastercard-la-gi
https://techcombank.com/thong-tin/blog/6-chiec-lo-tai-chinh-ca-nhan
https://techcombank.com/thong-tin/blog/the-chap-la-gi
https://techcombank.com/thong-tin/blog/ma-pin-the-atm
https://techcombank.com/thong-tin/blog/so-cvv-la-gi
https://techcombank.com/thong-tin/blog/tra-cuu-han-muc-the-tin-dung</v>
      </c>
    </row>
    <row r="3">
      <c r="A3" s="26">
        <v>60.0</v>
      </c>
      <c r="B3" s="27" t="s">
        <v>231</v>
      </c>
      <c r="C3" s="28" t="s">
        <v>233</v>
      </c>
      <c r="D3" s="29">
        <v>200.0</v>
      </c>
      <c r="E3" s="30">
        <f>COUNTIF('Kế hoạch chèn link (mới)'!$B$3:$B$2213,B3)</f>
        <v>112</v>
      </c>
      <c r="F3" s="31">
        <f t="shared" si="1"/>
        <v>88</v>
      </c>
      <c r="G3" s="32" t="str">
        <f>IFERROR(__xludf.DUMMYFUNCTION("IFERROR(LET(t,FILTER('Kế hoạch chèn link (mới)'!$M$3:$M$2213,'Kế hoạch chèn link (mới)'!$B$3:$B$2213=B3),u,UNIQUE(t),c,MAP(u,LAMBDA(x,COUNTIF(t,x))),s,SORT(HSTACK(u,c),2,FALSE),TEXTJOIN(CHAR(10),TRUE,BYROW(s,LAMBDA(r,INDEX(r,1,1)&amp;"": ""&amp;INDEX(r,1,2)&amp;"" bà"&amp;"i"")))),"""")"),"Tiết kiệm &amp; lãi suất tiền gửi: 41 bài
Đầu tư, CCTG, trái phiếu, vàng: 29 bài
Tài khoản &amp; ngân hàng số: 14 bài
Vay thế chấp &amp; mua nhà/xe: 7 bài
Doanh nghiệp (tài khoản, vay, tài chính): 4 bài
Quản lý tài chính cá nhân: 3 bài
Ngoại tệ &amp; chuyển tiền quốc tế:"&amp;" 3 bài
Ưu đãi, du lịch &amp; đời sống: 2 bài
Thẻ tín dụng: 2 bài
Hộ kinh doanh &amp; bán hàng: 2 bài
Thị trường &amp; giá cả: 1 bài
Ngân hàng xanh &amp; thương hiệu: 1 bài
Nợ xấu &amp; CIC: 1 bài
Vay tiêu dùng &amp; tín chấp: 1 bài
Thẻ ATM &amp; thẻ ghi nợ: 1 bài")</f>
        <v>Tiết kiệm &amp; lãi suất tiền gửi: 41 bài
Đầu tư, CCTG, trái phiếu, vàng: 29 bài
Tài khoản &amp; ngân hàng số: 14 bài
Vay thế chấp &amp; mua nhà/xe: 7 bài
Doanh nghiệp (tài khoản, vay, tài chính): 4 bài
Quản lý tài chính cá nhân: 3 bài
Ngoại tệ &amp; chuyển tiền quốc tế: 3 bài
Ưu đãi, du lịch &amp; đời sống: 2 bài
Thẻ tín dụng: 2 bài
Hộ kinh doanh &amp; bán hàng: 2 bài
Thị trường &amp; giá cả: 1 bài
Ngân hàng xanh &amp; thương hiệu: 1 bài
Nợ xấu &amp; CIC: 1 bài
Vay tiêu dùng &amp; tín chấp: 1 bài
Thẻ ATM &amp; thẻ ghi nợ: 1 bài</v>
      </c>
      <c r="H3" s="33" t="str">
        <f>IFERROR(__xludf.DUMMYFUNCTION("TEXTJOIN(CHAR(10),TRUE,FILTER('Kế hoạch chèn link (mới)'!$D$3:$D$2213,'Kế hoạch chèn link (mới)'!$B$3:$B$2213=B3))"),"https://techcombank.com/thong-tin/blog/cach-tinh-gia-vang
https://techcombank.com/thong-tin/blog/lai-suat-chung-chi-quy
https://techcombank.com/thong-tin/blog/so-tiet-kiem-ngan-hang
https://techcombank.com/thong-tin/blog/cach-dau-tu
https://techcombank.co"&amp;"m/thong-tin/blog/loi-ich-cua-viec-tiet-kiem-tien
https://techcombank.com/thong-tin/blog/5-trieu-mua-duoc-bao-nhieu-vang
https://techcombank.com/thong-tin/blog/kinh-nghiem-mua-vang-tich-tru
https://techcombank.com/thong-tin/blog/gui-tiet-kiem-usd
https://t"&amp;"echcombank.com/thong-tin/blog/bi-quyet-tiet-kiem-tien-mua-nha
https://techcombank.com/thong-tin/blog/gui-tiet-kiem-hang-thang
https://techcombank.com/thong-tin/blog/app-gui-tien-tiet-kiem
https://techcombank.com/thong-tin/blog/dang-ky-nhieu-tai-khoan-ngan"&amp;"-hang-co-sao-khong
https://techcombank.com/thong-tin/blog/ly-do-ngan-hang-so-tro-thanh-cong-cu-tai-chinh-hang-dau-cua-gioi-tre
https://techcombank.com/thong-tin/blog/cong-thuc-tinh-lai-suat-thuc
https://techcombank.com/thong-tin/blog/so-sanh-gui-tiet-kiem"&amp;"-online-va-tai-quay
https://techcombank.com/thong-tin/blog/gui-tiet-kiem-theo-ngay
https://techcombank.com/thong-tin/blog/nen-de-tien-trong-the-hay-gui-tiet-kiem
https://techcombank.com/thong-tin/blog/xu-huong-dau-tu-trai-phieu-ky-han-duoi-mot-nam-lua-cho"&amp;"n-an-toan-khi-thi-truong-bien-dong
https://techcombank.com/thong-tin/blog/tich-luy-tai-san
https://techcombank.com/thong-tin/blog/rut-tien-tiet-kiem-truoc-thoi-han
https://techcombank.com/thong-tin/blog/chung-chi-tien-gui-co-an-toan-khong
https://techcomb"&amp;"ank.com/thong-tin/blog/cach-tiet-kiem-100-trieu-1-nam
https://techcombank.com/thong-tin/blog/the-nao-la-tiet-kiem
https://techcombank.com/thong-tin/blog/gui-them-tien-vao-so-tiet-kiem
https://techcombank.com/thong-tin/blog/6-chiec-lo-tai-chinh-ca-nhan
htt"&amp;"ps://techcombank.com/thong-tin/blog/dau-tu-trai-phieu-doanh-nghiep-dung-ham-lai-suat-cao
https://techcombank.com/thong-tin/blog/casa-la-gi
https://techcombank.com/thong-tin/blog/gui-tiet-kiem-tich-luy-la-gi
https://techcombank.com/thong-tin/blog/1-cmnd-da"&amp;"ng-ky-duoc-may-tai-khoan-ngan-hang
https://techcombank.com/thong-tin/blog/dau-tu-ngan-han
https://techcombank.com/thong-tin/blog/fintech-la-gi
https://techcombank.com/thong-tin/blog/so-du-tai-khoan-thanh-toan
https://techcombank.com/thong-tin/blog/lam-the"&amp;"-tin-dung-co-mat-phi-khong
https://techcombank.com/thong-tin/blog/tai-sao-gui-tiet-kiem-online-lai-suat-cao-hon
https://techcombank.com/thong-tin/blog/lai-suat-gui-tiet-kiem-usd
https://techcombank.com/thong-tin/blog/nghich-ly-nha-dau-tu-che-trai-phieu-la"&amp;"i-suat-cao-ua-ma-an-toan-du-lai-suat-thap-hon-05-1
https://techcombank.com/thong-tin/blog/thi-truong-trai-phieu-co-hoi-dau-tu-trai-phieu-vang-du-lai-suat-thap
https://techcombank.com/thong-tin/blog/rui-ro-khi-gui-tiet-kiem-online
https://techcombank.com/t"&amp;"hong-tin/blog/kinh-nghiem-gui-tiet-kiem-online
https://techcombank.com/thong-tin/blog/lai-suat-chung-chi-tien-gui-cac-ngan-hang
https://techcombank.com/thong-tin/blog/tien-nhan-roi-nen-lam-gi
https://techcombank.com/thong-tin/blog/tiet-kiem-tien-moi-ngay
"&amp;"https://techcombank.com/thong-tin/blog/hoc-cach-tiet-kiem-tien-luong
https://techcombank.com/thong-tin/blog/so-du-kha-dung
https://techcombank.com/thong-tin/blog/tien-gui-khong-ky-han
https://techcombank.com/thong-tin/blog/cach-gui-tiet-kiem-online
https:"&amp;"//techcombank.com/thong-tin/blog/gui-tiet-kiem-lay-lai-hang-thang
https://techcombank.com/thong-tin/blog/chon-kenh-dau-tu-an-toan-trong-boi-canh-thi-truong-bien-dong
https://techcombank.com/thong-tin/blog/gui-tiet-kiem-online-co-rut-truoc-han-duoc-khong
h"&amp;"ttps://techcombank.com/thong-tin/blog/lai-suat-la-gi
https://techcombank.com/thong-tin/blog/tai-khoan-tiet-kiem
https://techcombank.com/thong-tin/blog/phan-mem-lap-ke-hoach-tai-chinh-ca-nhan
https://techcombank.com/thong-tin/blog/tai-khoan-ngan-hang-la-gi"&amp;"
https://techcombank.com/thong-tin/blog/nguyen-tac-quan-ly-tai-chinh-ca-nhan
https://techcombank.com/thong-tin/blog/cach-tinh-loi-nhuan-chung-chi-tien-gui
https://techcombank.com/thong-tin/blog/vay-the-chap-hop-dong-mua-ban-can-ho
https://techcombank.com/"&amp;"thong-tin/blog/nen-gui-tiet-kiem-thong-thuong-hay-tich-luy
https://techcombank.com/thong-tin/blog/gui-tiet-kiem-online-bi-mat-tien
https://techcombank.com/thong-tin/blog/mo-tai-khoan-tiet-kiem-cho-con
https://techcombank.com/thong-tin/blog/ngan-hang-dien-"&amp;"tu
https://techcombank.com/thong-tin/blog/nhung-kho-khan-khi-tiet-kiem-tien
https://techcombank.com/thong-tin/blog/quan-ly-chuoi-cua-hang
https://techcombank.com/thong-tin/blog/cach-tiet-kiem-tien-theo-tuan
https://techcombank.com/thong-tin/blog/tai-khoan"&amp;"-thanh-toan-la-gi
https://techcombank.com/thong-tin/blog/cach-tiet-kiem-tien-hieu-qua-cho-gia-dinh
https://techcombank.com/thong-tin/blog/khau-vi-nha-dau-tu-tpdn-thay-doi-the-nao-sau-nhung-bien-dong-vua-qua
https://techcombank.com/thong-tin/blog/tai-san-v"&amp;"a-tieu-san-la-gi
https://techcombank.com/thong-tin/blog/cach-quan-ly-tai-san
https://techcombank.com/thong-tin/blog/vay-mua-nha-tra-gop
https://techcombank.com/thong-tin/blog/rui-ro-khi-gui-tiet-kiem-ngan-hang
https://techcombank.com/thong-tin/blog/ngan-h"&amp;"ang-so
https://techcombank.com/thong-tin/blog/khach-hang-vip-bat-dong-san
https://techcombank.com/thong-tin/blog/vi-sao-lai-suat-trai-phieu-tai-tcbs-lai-thap-hon-so-voi-cac-to-chuc-phat-hanh-khac
https://techcombank.com/thong-tin/blog/vay-ngan-han
https:/"&amp;"/techcombank.com/thong-tin/blog/quan-ly-tai-chinh-cho-dan-van-phong
https://techcombank.com/thong-tin/blog/no-xau-co-lam-the-visa-duoc-khong
https://techcombank.com/thong-tin/blog/nap-tien-vao-tai-khoan-ngan-hang
https://techcombank.com/thong-tin/blog/mob"&amp;"ile-banking-la-gi
https://techcombank.com/thong-tin/blog/tat-toan-chung-chi-tien-gui
https://techcombank.com/thong-tin/blog/tat-toan
https://techcombank.com/thong-tin/blog/chung-chi-tien-gui-co-phai-la-trai-phieu-khong
https://techcombank.com/thong-tin/bl"&amp;"og/rut-tien-bao-hiem-nhan-tho-khi-het-han
https://techcombank.com/thong-tin/blog/bao-hiem-lien-ket-dau-tu
https://techcombank.com/thong-tin/blog/ca-nhan-hoa
https://techcombank.com/thong-tin/blog/cpi-la-gi
https://techcombank.com/thong-tin/blog/dac-quyen-"&amp;"khach-hang-vip-ngan-hang
https://techcombank.com/thong-tin/blog/gia-vang-16k-hom-nay
https://techcombank.com/thong-tin/blog/so-du-tien-gui-la-gi
https://techcombank.com/thong-tin/blog/thanh-toan-online-bang-the-tin-dung
https://techcombank.com/thong-tin/b"&amp;"log/lai-suat-cho-vay-doanh-nghiep
https://techcombank.com/thong-tin/blog/kinh-nghiem-vay-the-chap-ngan-hang
https://techcombank.com/thong-tin/blog/vay-mua-nha-o-xa-hoi
https://techcombank.com/thong-tin/blog/ho-kinh-doanh-can-gi-o-tai-khoan-ngan-hang
https"&amp;"://techcombank.com/thong-tin/blog/chung-chi-quy-mo-va-dong
https://techcombank.com/thong-tin/blog/techcombank-sinh-loi-tu-dong
https://techcombank.com/thong-tin/blog/anh-sang-cuoi-duong-ham-xuat-hien-trai-phieu-doanh-nghiep-tot-va-an-toan-se-duoc-nha-dau-"&amp;"tu-chon
https://techcombank.com/thong-tin/blog/gui-tiet-kiem-vang
https://techcombank.com/thong-tin/blog/gui-tiet-kiem-ngan-hang-van-la-lua-chon-an-toan-trong-thoi-ky-kinh-te-con-nhieu-bien-dong
https://techcombank.com/thong-tin/blog/gui-tien-ngan-hang-co"&amp;"-an-toan-khong
https://techcombank.com/thong-tin/blog/gui-tiet-kiem-ngoai-te
https://techcombank.com/thong-tin/blog/chung-chi-tien-gui-co-duoc-rut-truoc-han
https://techcombank.com/thong-tin/blog/tat-toan-so-tiet-kiem
https://techcombank.com/thong-tin/blo"&amp;"g/quy-du-phong-tai-chinh-la-gi
https://techcombank.com/thong-tin/blog/cach-tiet-kiem-tien-cua-nguoi-nhat
https://techcombank.com/thong-tin/blog/mat-so-tiet-kiem
https://techcombank.com/thong-tin/blog/chung-chi-tien-gui-co-duoc-bao-hiem-khong
https://techc"&amp;"ombank.com/thong-tin/blog/chung-chi-quy-dong
https://techcombank.com/thong-tin/blog/cach-tinh-ty-gia-ky-han
https://techcombank.com/thong-tin/blog/chung-chi-tien-gui-la-gi
https://techcombank.com/thong-tin/blog/ngoai-te-la-gi
https://techcombank.com/thong"&amp;"-tin/blog/co-nen-gui-chung-chi-tien-gui
https://techcombank.com/thong-tin/blog/chuyen-nhuong-chung-chi-tien-gui")</f>
        <v>https://techcombank.com/thong-tin/blog/cach-tinh-gia-vang
https://techcombank.com/thong-tin/blog/lai-suat-chung-chi-quy
https://techcombank.com/thong-tin/blog/so-tiet-kiem-ngan-hang
https://techcombank.com/thong-tin/blog/cach-dau-tu
https://techcombank.com/thong-tin/blog/loi-ich-cua-viec-tiet-kiem-tien
https://techcombank.com/thong-tin/blog/5-trieu-mua-duoc-bao-nhieu-vang
https://techcombank.com/thong-tin/blog/kinh-nghiem-mua-vang-tich-tru
https://techcombank.com/thong-tin/blog/gui-tiet-kiem-usd
https://techcombank.com/thong-tin/blog/bi-quyet-tiet-kiem-tien-mua-nha
https://techcombank.com/thong-tin/blog/gui-tiet-kiem-hang-thang
https://techcombank.com/thong-tin/blog/app-gui-tien-tiet-kiem
https://techcombank.com/thong-tin/blog/dang-ky-nhieu-tai-khoan-ngan-hang-co-sao-khong
https://techcombank.com/thong-tin/blog/ly-do-ngan-hang-so-tro-thanh-cong-cu-tai-chinh-hang-dau-cua-gioi-tre
https://techcombank.com/thong-tin/blog/cong-thuc-tinh-lai-suat-thuc
https://techcombank.com/thong-tin/blog/so-sanh-gui-tiet-kiem-online-va-tai-quay
https://techcombank.com/thong-tin/blog/gui-tiet-kiem-theo-ngay
https://techcombank.com/thong-tin/blog/nen-de-tien-trong-the-hay-gui-tiet-kiem
https://techcombank.com/thong-tin/blog/xu-huong-dau-tu-trai-phieu-ky-han-duoi-mot-nam-lua-chon-an-toan-khi-thi-truong-bien-dong
https://techcombank.com/thong-tin/blog/tich-luy-tai-san
https://techcombank.com/thong-tin/blog/rut-tien-tiet-kiem-truoc-thoi-han
https://techcombank.com/thong-tin/blog/chung-chi-tien-gui-co-an-toan-khong
https://techcombank.com/thong-tin/blog/cach-tiet-kiem-100-trieu-1-nam
https://techcombank.com/thong-tin/blog/the-nao-la-tiet-kiem
https://techcombank.com/thong-tin/blog/gui-them-tien-vao-so-tiet-kiem
https://techcombank.com/thong-tin/blog/6-chiec-lo-tai-chinh-ca-nhan
https://techcombank.com/thong-tin/blog/dau-tu-trai-phieu-doanh-nghiep-dung-ham-lai-suat-cao
https://techcombank.com/thong-tin/blog/casa-la-gi
https://techcombank.com/thong-tin/blog/gui-tiet-kiem-tich-luy-la-gi
https://techcombank.com/thong-tin/blog/1-cmnd-dang-ky-duoc-may-tai-khoan-ngan-hang
https://techcombank.com/thong-tin/blog/dau-tu-ngan-han
https://techcombank.com/thong-tin/blog/fintech-la-gi
https://techcombank.com/thong-tin/blog/so-du-tai-khoan-thanh-toan
https://techcombank.com/thong-tin/blog/lam-the-tin-dung-co-mat-phi-khong
https://techcombank.com/thong-tin/blog/tai-sao-gui-tiet-kiem-online-lai-suat-cao-hon
https://techcombank.com/thong-tin/blog/lai-suat-gui-tiet-kiem-usd
https://techcombank.com/thong-tin/blog/nghich-ly-nha-dau-tu-che-trai-phieu-lai-suat-cao-ua-ma-an-toan-du-lai-suat-thap-hon-05-1
https://techcombank.com/thong-tin/blog/thi-truong-trai-phieu-co-hoi-dau-tu-trai-phieu-vang-du-lai-suat-thap
https://techcombank.com/thong-tin/blog/rui-ro-khi-gui-tiet-kiem-online
https://techcombank.com/thong-tin/blog/kinh-nghiem-gui-tiet-kiem-online
https://techcombank.com/thong-tin/blog/lai-suat-chung-chi-tien-gui-cac-ngan-hang
https://techcombank.com/thong-tin/blog/tien-nhan-roi-nen-lam-gi
https://techcombank.com/thong-tin/blog/tiet-kiem-tien-moi-ngay
https://techcombank.com/thong-tin/blog/hoc-cach-tiet-kiem-tien-luong
https://techcombank.com/thong-tin/blog/so-du-kha-dung
https://techcombank.com/thong-tin/blog/tien-gui-khong-ky-han
https://techcombank.com/thong-tin/blog/cach-gui-tiet-kiem-online
https://techcombank.com/thong-tin/blog/gui-tiet-kiem-lay-lai-hang-thang
https://techcombank.com/thong-tin/blog/chon-kenh-dau-tu-an-toan-trong-boi-canh-thi-truong-bien-dong
https://techcombank.com/thong-tin/blog/gui-tiet-kiem-online-co-rut-truoc-han-duoc-khong
https://techcombank.com/thong-tin/blog/lai-suat-la-gi
https://techcombank.com/thong-tin/blog/tai-khoan-tiet-kiem
https://techcombank.com/thong-tin/blog/phan-mem-lap-ke-hoach-tai-chinh-ca-nhan
https://techcombank.com/thong-tin/blog/tai-khoan-ngan-hang-la-gi
https://techcombank.com/thong-tin/blog/nguyen-tac-quan-ly-tai-chinh-ca-nhan
https://techcombank.com/thong-tin/blog/cach-tinh-loi-nhuan-chung-chi-tien-gui
https://techcombank.com/thong-tin/blog/vay-the-chap-hop-dong-mua-ban-can-ho
https://techcombank.com/thong-tin/blog/nen-gui-tiet-kiem-thong-thuong-hay-tich-luy
https://techcombank.com/thong-tin/blog/gui-tiet-kiem-online-bi-mat-tien
https://techcombank.com/thong-tin/blog/mo-tai-khoan-tiet-kiem-cho-con
https://techcombank.com/thong-tin/blog/ngan-hang-dien-tu
https://techcombank.com/thong-tin/blog/nhung-kho-khan-khi-tiet-kiem-tien
https://techcombank.com/thong-tin/blog/quan-ly-chuoi-cua-hang
https://techcombank.com/thong-tin/blog/cach-tiet-kiem-tien-theo-tuan
https://techcombank.com/thong-tin/blog/tai-khoan-thanh-toan-la-gi
https://techcombank.com/thong-tin/blog/cach-tiet-kiem-tien-hieu-qua-cho-gia-dinh
https://techcombank.com/thong-tin/blog/khau-vi-nha-dau-tu-tpdn-thay-doi-the-nao-sau-nhung-bien-dong-vua-qua
https://techcombank.com/thong-tin/blog/tai-san-va-tieu-san-la-gi
https://techcombank.com/thong-tin/blog/cach-quan-ly-tai-san
https://techcombank.com/thong-tin/blog/vay-mua-nha-tra-gop
https://techcombank.com/thong-tin/blog/rui-ro-khi-gui-tiet-kiem-ngan-hang
https://techcombank.com/thong-tin/blog/ngan-hang-so
https://techcombank.com/thong-tin/blog/khach-hang-vip-bat-dong-san
https://techcombank.com/thong-tin/blog/vi-sao-lai-suat-trai-phieu-tai-tcbs-lai-thap-hon-so-voi-cac-to-chuc-phat-hanh-khac
https://techcombank.com/thong-tin/blog/vay-ngan-han
https://techcombank.com/thong-tin/blog/quan-ly-tai-chinh-cho-dan-van-phong
https://techcombank.com/thong-tin/blog/no-xau-co-lam-the-visa-duoc-khong
https://techcombank.com/thong-tin/blog/nap-tien-vao-tai-khoan-ngan-hang
https://techcombank.com/thong-tin/blog/mobile-banking-la-gi
https://techcombank.com/thong-tin/blog/tat-toan-chung-chi-tien-gui
https://techcombank.com/thong-tin/blog/tat-toan
https://techcombank.com/thong-tin/blog/chung-chi-tien-gui-co-phai-la-trai-phieu-khong
https://techcombank.com/thong-tin/blog/rut-tien-bao-hiem-nhan-tho-khi-het-han
https://techcombank.com/thong-tin/blog/bao-hiem-lien-ket-dau-tu
https://techcombank.com/thong-tin/blog/ca-nhan-hoa
https://techcombank.com/thong-tin/blog/cpi-la-gi
https://techcombank.com/thong-tin/blog/dac-quyen-khach-hang-vip-ngan-hang
https://techcombank.com/thong-tin/blog/gia-vang-16k-hom-nay
https://techcombank.com/thong-tin/blog/so-du-tien-gui-la-gi
https://techcombank.com/thong-tin/blog/thanh-toan-online-bang-the-tin-dung
https://techcombank.com/thong-tin/blog/lai-suat-cho-vay-doanh-nghiep
https://techcombank.com/thong-tin/blog/kinh-nghiem-vay-the-chap-ngan-hang
https://techcombank.com/thong-tin/blog/vay-mua-nha-o-xa-hoi
https://techcombank.com/thong-tin/blog/ho-kinh-doanh-can-gi-o-tai-khoan-ngan-hang
https://techcombank.com/thong-tin/blog/chung-chi-quy-mo-va-dong
https://techcombank.com/thong-tin/blog/techcombank-sinh-loi-tu-dong
https://techcombank.com/thong-tin/blog/anh-sang-cuoi-duong-ham-xuat-hien-trai-phieu-doanh-nghiep-tot-va-an-toan-se-duoc-nha-dau-tu-chon
https://techcombank.com/thong-tin/blog/gui-tiet-kiem-vang
https://techcombank.com/thong-tin/blog/gui-tiet-kiem-ngan-hang-van-la-lua-chon-an-toan-trong-thoi-ky-kinh-te-con-nhieu-bien-dong
https://techcombank.com/thong-tin/blog/gui-tien-ngan-hang-co-an-toan-khong
https://techcombank.com/thong-tin/blog/gui-tiet-kiem-ngoai-te
https://techcombank.com/thong-tin/blog/chung-chi-tien-gui-co-duoc-rut-truoc-han
https://techcombank.com/thong-tin/blog/tat-toan-so-tiet-kiem
https://techcombank.com/thong-tin/blog/quy-du-phong-tai-chinh-la-gi
https://techcombank.com/thong-tin/blog/cach-tiet-kiem-tien-cua-nguoi-nhat
https://techcombank.com/thong-tin/blog/mat-so-tiet-kiem
https://techcombank.com/thong-tin/blog/chung-chi-tien-gui-co-duoc-bao-hiem-khong
https://techcombank.com/thong-tin/blog/chung-chi-quy-dong
https://techcombank.com/thong-tin/blog/cach-tinh-ty-gia-ky-han
https://techcombank.com/thong-tin/blog/chung-chi-tien-gui-la-gi
https://techcombank.com/thong-tin/blog/ngoai-te-la-gi
https://techcombank.com/thong-tin/blog/co-nen-gui-chung-chi-tien-gui
https://techcombank.com/thong-tin/blog/chuyen-nhuong-chung-chi-tien-gui</v>
      </c>
    </row>
    <row r="4">
      <c r="A4" s="26">
        <v>68.0</v>
      </c>
      <c r="B4" s="27" t="s">
        <v>374</v>
      </c>
      <c r="C4" s="28" t="s">
        <v>377</v>
      </c>
      <c r="D4" s="29">
        <v>200.0</v>
      </c>
      <c r="E4" s="30">
        <f>COUNTIF('Kế hoạch chèn link (mới)'!$B$3:$B$2213,B4)</f>
        <v>104</v>
      </c>
      <c r="F4" s="31">
        <f t="shared" si="1"/>
        <v>96</v>
      </c>
      <c r="G4" s="32" t="str">
        <f>IFERROR(__xludf.DUMMYFUNCTION("IFERROR(LET(t,FILTER('Kế hoạch chèn link (mới)'!$M$3:$M$2213,'Kế hoạch chèn link (mới)'!$B$3:$B$2213=B4),u,UNIQUE(t),c,MAP(u,LAMBDA(x,COUNTIF(t,x))),s,SORT(HSTACK(u,c),2,FALSE),TEXTJOIN(CHAR(10),TRUE,BYROW(s,LAMBDA(r,INDEX(r,1,1)&amp;"": ""&amp;INDEX(r,1,2)&amp;"" bà"&amp;"i"")))),"""")"),"Vay tiêu dùng &amp; tín chấp: 40 bài
Nợ xấu &amp; CIC: 14 bài
Vay thế chấp &amp; mua nhà/xe: 13 bài
Doanh nghiệp (tài khoản, vay, tài chính): 8 bài
Tiết kiệm &amp; lãi suất tiền gửi: 6 bài
Hộ kinh doanh &amp; bán hàng: 6 bài
Thẻ tín dụng: 6 bài
Thuế: 5 bài
Ngân hàng xanh &amp; t"&amp;"hương hiệu: 2 bài
Quản lý tài chính cá nhân: 1 bài
Khác: 1 bài
Đầu tư, CCTG, trái phiếu, vàng: 1 bài
Tài khoản &amp; ngân hàng số: 1 bài")</f>
        <v>Vay tiêu dùng &amp; tín chấp: 40 bài
Nợ xấu &amp; CIC: 14 bài
Vay thế chấp &amp; mua nhà/xe: 13 bài
Doanh nghiệp (tài khoản, vay, tài chính): 8 bài
Tiết kiệm &amp; lãi suất tiền gửi: 6 bài
Hộ kinh doanh &amp; bán hàng: 6 bài
Thẻ tín dụng: 6 bài
Thuế: 5 bài
Ngân hàng xanh &amp; thương hiệu: 2 bài
Quản lý tài chính cá nhân: 1 bài
Khác: 1 bài
Đầu tư, CCTG, trái phiếu, vàng: 1 bài
Tài khoản &amp; ngân hàng số: 1 bài</v>
      </c>
      <c r="H4" s="33" t="str">
        <f>IFERROR(__xludf.DUMMYFUNCTION("TEXTJOIN(CHAR(10),TRUE,FILTER('Kế hoạch chèn link (mới)'!$D$3:$D$2213,'Kế hoạch chèn link (mới)'!$B$3:$B$2213=B4))"),"https://techcombank.com/thong-tin/blog/vay-sieu-toc
https://techcombank.com/thong-tin/blog/tra-gop-hoc-phi
https://techcombank.com/thong-tin/blog/tat-toan-so-tiet-kiem
https://techcombank.com/thong-tin/blog/du-no-la-gi
https://techcombank.com/thong-tin/bl"&amp;"og/tin-dung-la-gi
https://techcombank.com/thong-tin/blog/one-stop-shop
https://techcombank.com/thong-tin/blog/lai-suat-vay-tin-chap
https://techcombank.com/thong-tin/blog/lai-suat-vay-thau-chi
https://techcombank.com/thong-tin/blog/lai-suat-vay-tieu-dung
"&amp;"https://techcombank.com/thong-tin/blog/tin-dung-tieu-dung
https://techcombank.com/thong-tin/blog/tra-gop-qua-the-tin-dung
https://techcombank.com/thong-tin/blog/lai-suat-the-tin-dung
https://techcombank.com/thong-tin/blog/vay-100-trieu
https://techcombank"&amp;".com/thong-tin/blog/vay-15-trieu
https://techcombank.com/thong-tin/blog/vay-20-trieu
https://techcombank.com/thong-tin/blog/vay-40-trieu
https://techcombank.com/thong-tin/blog/don-bay-tai-chinh
https://techcombank.com/thong-tin/blog/vay-du-hoc
https://tec"&amp;"hcombank.com/thong-tin/blog/vay-200-trieu
https://techcombank.com/thong-tin/blog/vay-300-trieu
https://techcombank.com/thong-tin/blog/nen-vay-tin-chap-o-dau
https://techcombank.com/thong-tin/blog/ho-so-vay-tin-chap
https://techcombank.com/thong-tin/blog/c"&amp;"ho-vay-tieu-dung-la-gi
https://techcombank.com/thong-tin/blog/gui-tiet-kiem-ngoai-te
https://techcombank.com/thong-tin/blog/vay-ngan-hang-chi-can-cccd
https://techcombank.com/thong-tin/blog/quan-ly-tai-chinh-doanh-nghiep-nho
https://techcombank.com/thong-"&amp;"tin/blog/quan-ly-chi-phi-doanh-nghiep
https://techcombank.com/thong-tin/blog/fintech-la-gi
https://techcombank.com/thong-tin/blog/quan-ly-tai-chinh-doanh-nghiep-la-gi
https://techcombank.com/thong-tin/blog/doi-xe-xang-lay-xe-dien
https://techcombank.com/t"&amp;"hong-tin/blog/mo-them-tai-khoan-ngan-hang-cho-cong-ty
https://techcombank.com/thong-tin/blog/doanh-nghiep-moi-thanh-lap-duoc-uu-dai-gi
https://techcombank.com/thong-tin/blog/khai-bao-tai-khoan-ngan-hang-voi-co-quan-thue
https://techcombank.com/thong-tin/b"&amp;"log/thay-doi-dia-chi-ho-kinh-doanh
https://techcombank.com/thong-tin/blog/kiem-tra-thue-ho-kinh-doanh
https://techcombank.com/thong-tin/blog/ngan-hang-xanh
https://techcombank.com/thong-tin/blog/cach-dang-ky-ma-so-thue-ho-kinh-doanh-online
https://techcom"&amp;"bank.com/thong-tin/blog/san-pham-xanh
https://techcombank.com/thong-tin/blog/tra-cuu-no-thue-ho-kinh-doanh
https://techcombank.com/thong-tin/blog/gia-tri-tai-san-rong
https://techcombank.com/thong-tin/blog/lai-suat-vay-mua-o-to
https://techcombank.com/tho"&amp;"ng-tin/blog/tin-chap-doanh-nghiep
https://techcombank.com/thong-tin/blog/cach-tinh-lai-vay-ngan-hang
https://techcombank.com/thong-tin/blog/kiem-tra-no-xau
https://techcombank.com/thong-tin/blog/thu-tuc-mua-xe-tra-gop
https://techcombank.com/thong-tin/blo"&amp;"g/giai-ngan-vay-the-chap
https://techcombank.com/thong-tin/blog/han-muc-thau-chi-la-gi
https://techcombank.com/thong-tin/blog/no-xau-nhom-2
https://techcombank.com/thong-tin/blog/no-nhom-3
https://techcombank.com/thong-tin/blog/diem-tin-dung
https://techc"&amp;"ombank.com/thong-tin/blog/tat-toan
https://techcombank.com/thong-tin/blog/no-xau-co-vay-the-chap-duoc-khong
https://techcombank.com/thong-tin/blog/rui-ro-khi-vay-the-chap-ngan-hang
https://techcombank.com/thong-tin/blog/thanh-toan-khoan-vay
https://techco"&amp;"mbank.com/thong-tin/blog/thoi-han-vay-thau-chi
https://techcombank.com/thong-tin/blog/tra-no-vay-thau-chi-nhu-the-nao
https://techcombank.com/thong-tin/blog/vay-bo-sung-von-luu-dong
https://techcombank.com/thong-tin/blog/no-chu-y-la-gi
https://techcombank"&amp;".com/thong-tin/blog/no-xau-la-gi
https://techcombank.com/thong-tin/blog/nhu-cau-vay-tieu-dung-cua-nguoi-viet-du-kien-tang-manh-trong-thoi-gian-toi
https://techcombank.com/thong-tin/blog/tap-doan-thanh-quang-khoi-sac-kinh-doanh-nho-nguon-von-vay-tin-dung-t"&amp;"echcombank-tren-nen-tang-misa-lending
https://techcombank.com/thong-tin/blog/dieu-kien-vay-von-ngan-hang
https://techcombank.com/thong-tin/blog/no-xau-mo-the-tin-dung-duoc-khong
https://techcombank.com/thong-tin/blog/gui-tiet-kiem-online-co-rut-truoc-han-"&amp;"duoc-khong
https://techcombank.com/thong-tin/blog/nen-mua-xe-o-to-dien-hay-xe-xang
https://techcombank.com/thong-tin/blog/rut-tien-mat-tu-the-tin-dung
https://techcombank.com/thong-tin/blog/nang-han-muc-tin-dung
https://techcombank.com/thong-tin/blog/lich"&amp;"-su-tin-dung
https://techcombank.com/thong-tin/blog/lai-suat-la-gi
https://techcombank.com/thong-tin/blog/mo-the-tin-dung-han-muc-cao
https://techcombank.com/thong-tin/blog/no-xau
https://techcombank.com/thong-tin/blog/tien-gui-khong-ky-han
https://techco"&amp;"mbank.com/thong-tin/blog/no-xau-co-lam-the-visa-duoc-khong
https://techcombank.com/thong-tin/blog/no-the-tin-dung-qua-han
https://techcombank.com/thong-tin/blog/thanh-toan-toi-thieu-the-tin-dung
https://techcombank.com/thong-tin/blog/vay-kinh-doanh-online"&amp;"
https://techcombank.com/thong-tin/blog/thu-tuc-vay-von-ngan-hang-de-xay-nha
https://techcombank.com/thong-tin/blog/vay-tien-mat
https://techcombank.com/thong-tin/blog/lai-suat-vay-ngan-hang
https://techcombank.com/thong-tin/blog/dang-vay-tra-gop-co-vay-t"&amp;"hem-duoc-khong
https://techcombank.com/thong-tin/blog/quy-trinh-cho-vay-tieu-dung
https://techcombank.com/thong-tin/blog/vay-tin-chap-va-vay-the-chap
https://techcombank.com/thong-tin/blog/quy-trinh-tat-toan-khoan-vay-the-chap
https://techcombank.com/thon"&amp;"g-tin/blog/vay-han-muc-la-gi
https://techcombank.com/thong-tin/blog/cac-hinh-thuc-cho-vay-tieu-dung
https://techcombank.com/thong-tin/blog/vay-sinh-vien
https://techcombank.com/thong-tin/blog/vay-thau-chi-la-gi
https://techcombank.com/thong-tin/blog/phi-v"&amp;"ay-the-chap
https://techcombank.com/thong-tin/blog/the-chap-la-gi
https://techcombank.com/thong-tin/blog/vay-the-chap-khong-chung-minh-thu-nhap
https://techcombank.com/thong-tin/blog/cic-la-gi
https://techcombank.com/thong-tin/blog/dao-han-la-gi
https://t"&amp;"echcombank.com/thong-tin/blog/app-ngan-hang-uy-tin
https://techcombank.com/thong-tin/blog/vay-30-trieu
https://techcombank.com/thong-tin/blog/vay-50-trieu
https://techcombank.com/thong-tin/blog/app-mua-truoc-tra-sau
https://techcombank.com/thong-tin/blog/"&amp;"spaylater
https://techcombank.com/thong-tin/blog/cho-vay-kinh-doanh-ho-gia-dinh
https://techcombank.com/thong-tin/blog/nen-vay-the-chap-ngan-hang-nao
https://techcombank.com/thong-tin/blog/tin-dung-doanh-nghiep
https://techcombank.com/thong-tin/blog/du-no"&amp;"-tin-dung-la-gi
https://techcombank.com/thong-tin/blog/dieu-kien-vay-the-chap
https://techcombank.com/thong-tin/blog/cach-tiet-kiem-tien-sinh-loi
https://techcombank.com/thong-tin/blog/vay-tien-online")</f>
        <v>https://techcombank.com/thong-tin/blog/vay-sieu-toc
https://techcombank.com/thong-tin/blog/tra-gop-hoc-phi
https://techcombank.com/thong-tin/blog/tat-toan-so-tiet-kiem
https://techcombank.com/thong-tin/blog/du-no-la-gi
https://techcombank.com/thong-tin/blog/tin-dung-la-gi
https://techcombank.com/thong-tin/blog/one-stop-shop
https://techcombank.com/thong-tin/blog/lai-suat-vay-tin-chap
https://techcombank.com/thong-tin/blog/lai-suat-vay-thau-chi
https://techcombank.com/thong-tin/blog/lai-suat-vay-tieu-dung
https://techcombank.com/thong-tin/blog/tin-dung-tieu-dung
https://techcombank.com/thong-tin/blog/tra-gop-qua-the-tin-dung
https://techcombank.com/thong-tin/blog/lai-suat-the-tin-dung
https://techcombank.com/thong-tin/blog/vay-100-trieu
https://techcombank.com/thong-tin/blog/vay-15-trieu
https://techcombank.com/thong-tin/blog/vay-20-trieu
https://techcombank.com/thong-tin/blog/vay-40-trieu
https://techcombank.com/thong-tin/blog/don-bay-tai-chinh
https://techcombank.com/thong-tin/blog/vay-du-hoc
https://techcombank.com/thong-tin/blog/vay-200-trieu
https://techcombank.com/thong-tin/blog/vay-300-trieu
https://techcombank.com/thong-tin/blog/nen-vay-tin-chap-o-dau
https://techcombank.com/thong-tin/blog/ho-so-vay-tin-chap
https://techcombank.com/thong-tin/blog/cho-vay-tieu-dung-la-gi
https://techcombank.com/thong-tin/blog/gui-tiet-kiem-ngoai-te
https://techcombank.com/thong-tin/blog/vay-ngan-hang-chi-can-cccd
https://techcombank.com/thong-tin/blog/quan-ly-tai-chinh-doanh-nghiep-nho
https://techcombank.com/thong-tin/blog/quan-ly-chi-phi-doanh-nghiep
https://techcombank.com/thong-tin/blog/fintech-la-gi
https://techcombank.com/thong-tin/blog/quan-ly-tai-chinh-doanh-nghiep-la-gi
https://techcombank.com/thong-tin/blog/doi-xe-xang-lay-xe-dien
https://techcombank.com/thong-tin/blog/mo-them-tai-khoan-ngan-hang-cho-cong-ty
https://techcombank.com/thong-tin/blog/doanh-nghiep-moi-thanh-lap-duoc-uu-dai-gi
https://techcombank.com/thong-tin/blog/khai-bao-tai-khoan-ngan-hang-voi-co-quan-thue
https://techcombank.com/thong-tin/blog/thay-doi-dia-chi-ho-kinh-doanh
https://techcombank.com/thong-tin/blog/kiem-tra-thue-ho-kinh-doanh
https://techcombank.com/thong-tin/blog/ngan-hang-xanh
https://techcombank.com/thong-tin/blog/cach-dang-ky-ma-so-thue-ho-kinh-doanh-online
https://techcombank.com/thong-tin/blog/san-pham-xanh
https://techcombank.com/thong-tin/blog/tra-cuu-no-thue-ho-kinh-doanh
https://techcombank.com/thong-tin/blog/gia-tri-tai-san-rong
https://techcombank.com/thong-tin/blog/lai-suat-vay-mua-o-to
https://techcombank.com/thong-tin/blog/tin-chap-doanh-nghiep
https://techcombank.com/thong-tin/blog/cach-tinh-lai-vay-ngan-hang
https://techcombank.com/thong-tin/blog/kiem-tra-no-xau
https://techcombank.com/thong-tin/blog/thu-tuc-mua-xe-tra-gop
https://techcombank.com/thong-tin/blog/giai-ngan-vay-the-chap
https://techcombank.com/thong-tin/blog/han-muc-thau-chi-la-gi
https://techcombank.com/thong-tin/blog/no-xau-nhom-2
https://techcombank.com/thong-tin/blog/no-nhom-3
https://techcombank.com/thong-tin/blog/diem-tin-dung
https://techcombank.com/thong-tin/blog/tat-toan
https://techcombank.com/thong-tin/blog/no-xau-co-vay-the-chap-duoc-khong
https://techcombank.com/thong-tin/blog/rui-ro-khi-vay-the-chap-ngan-hang
https://techcombank.com/thong-tin/blog/thanh-toan-khoan-vay
https://techcombank.com/thong-tin/blog/thoi-han-vay-thau-chi
https://techcombank.com/thong-tin/blog/tra-no-vay-thau-chi-nhu-the-nao
https://techcombank.com/thong-tin/blog/vay-bo-sung-von-luu-dong
https://techcombank.com/thong-tin/blog/no-chu-y-la-gi
https://techcombank.com/thong-tin/blog/no-xau-la-gi
https://techcombank.com/thong-tin/blog/nhu-cau-vay-tieu-dung-cua-nguoi-viet-du-kien-tang-manh-trong-thoi-gian-toi
https://techcombank.com/thong-tin/blog/tap-doan-thanh-quang-khoi-sac-kinh-doanh-nho-nguon-von-vay-tin-dung-techcombank-tren-nen-tang-misa-lending
https://techcombank.com/thong-tin/blog/dieu-kien-vay-von-ngan-hang
https://techcombank.com/thong-tin/blog/no-xau-mo-the-tin-dung-duoc-khong
https://techcombank.com/thong-tin/blog/gui-tiet-kiem-online-co-rut-truoc-han-duoc-khong
https://techcombank.com/thong-tin/blog/nen-mua-xe-o-to-dien-hay-xe-xang
https://techcombank.com/thong-tin/blog/rut-tien-mat-tu-the-tin-dung
https://techcombank.com/thong-tin/blog/nang-han-muc-tin-dung
https://techcombank.com/thong-tin/blog/lich-su-tin-dung
https://techcombank.com/thong-tin/blog/lai-suat-la-gi
https://techcombank.com/thong-tin/blog/mo-the-tin-dung-han-muc-cao
https://techcombank.com/thong-tin/blog/no-xau
https://techcombank.com/thong-tin/blog/tien-gui-khong-ky-han
https://techcombank.com/thong-tin/blog/no-xau-co-lam-the-visa-duoc-khong
https://techcombank.com/thong-tin/blog/no-the-tin-dung-qua-han
https://techcombank.com/thong-tin/blog/thanh-toan-toi-thieu-the-tin-dung
https://techcombank.com/thong-tin/blog/vay-kinh-doanh-online
https://techcombank.com/thong-tin/blog/thu-tuc-vay-von-ngan-hang-de-xay-nha
https://techcombank.com/thong-tin/blog/vay-tien-mat
https://techcombank.com/thong-tin/blog/lai-suat-vay-ngan-hang
https://techcombank.com/thong-tin/blog/dang-vay-tra-gop-co-vay-them-duoc-khong
https://techcombank.com/thong-tin/blog/quy-trinh-cho-vay-tieu-dung
https://techcombank.com/thong-tin/blog/vay-tin-chap-va-vay-the-chap
https://techcombank.com/thong-tin/blog/quy-trinh-tat-toan-khoan-vay-the-chap
https://techcombank.com/thong-tin/blog/vay-han-muc-la-gi
https://techcombank.com/thong-tin/blog/cac-hinh-thuc-cho-vay-tieu-dung
https://techcombank.com/thong-tin/blog/vay-sinh-vien
https://techcombank.com/thong-tin/blog/vay-thau-chi-la-gi
https://techcombank.com/thong-tin/blog/phi-vay-the-chap
https://techcombank.com/thong-tin/blog/the-chap-la-gi
https://techcombank.com/thong-tin/blog/vay-the-chap-khong-chung-minh-thu-nhap
https://techcombank.com/thong-tin/blog/cic-la-gi
https://techcombank.com/thong-tin/blog/dao-han-la-gi
https://techcombank.com/thong-tin/blog/app-ngan-hang-uy-tin
https://techcombank.com/thong-tin/blog/vay-30-trieu
https://techcombank.com/thong-tin/blog/vay-50-trieu
https://techcombank.com/thong-tin/blog/app-mua-truoc-tra-sau
https://techcombank.com/thong-tin/blog/spaylater
https://techcombank.com/thong-tin/blog/cho-vay-kinh-doanh-ho-gia-dinh
https://techcombank.com/thong-tin/blog/nen-vay-the-chap-ngan-hang-nao
https://techcombank.com/thong-tin/blog/tin-dung-doanh-nghiep
https://techcombank.com/thong-tin/blog/du-no-tin-dung-la-gi
https://techcombank.com/thong-tin/blog/dieu-kien-vay-the-chap
https://techcombank.com/thong-tin/blog/cach-tiet-kiem-tien-sinh-loi
https://techcombank.com/thong-tin/blog/vay-tien-online</v>
      </c>
    </row>
    <row r="5">
      <c r="A5" s="26">
        <v>61.0</v>
      </c>
      <c r="B5" s="27" t="s">
        <v>464</v>
      </c>
      <c r="C5" s="28" t="s">
        <v>233</v>
      </c>
      <c r="D5" s="29">
        <v>150.0</v>
      </c>
      <c r="E5" s="30">
        <f>COUNTIF('Kế hoạch chèn link (mới)'!$B$3:$B$2213,B5)</f>
        <v>100</v>
      </c>
      <c r="F5" s="31">
        <f t="shared" si="1"/>
        <v>50</v>
      </c>
      <c r="G5" s="32" t="str">
        <f>IFERROR(__xludf.DUMMYFUNCTION("IFERROR(LET(t,FILTER('Kế hoạch chèn link (mới)'!$M$3:$M$2213,'Kế hoạch chèn link (mới)'!$B$3:$B$2213=B5),u,UNIQUE(t),c,MAP(u,LAMBDA(x,COUNTIF(t,x))),s,SORT(HSTACK(u,c),2,FALSE),TEXTJOIN(CHAR(10),TRUE,BYROW(s,LAMBDA(r,INDEX(r,1,1)&amp;"": ""&amp;INDEX(r,1,2)&amp;"" bà"&amp;"i"")))),"""")"),"Tiết kiệm &amp; lãi suất tiền gửi: 47 bài
Đầu tư, CCTG, trái phiếu, vàng: 22 bài
Tài khoản &amp; ngân hàng số: 12 bài
Doanh nghiệp (tài khoản, vay, tài chính): 3 bài
Ngoại tệ &amp; chuyển tiền quốc tế: 3 bài
Ưu đãi, du lịch &amp; đời sống: 3 bài
Thẻ tín dụng: 2 bài
Vay t"&amp;"iêu dùng &amp; tín chấp: 2 bài
Vay thế chấp &amp; mua nhà/xe: 2 bài
Thanh toán, chuyển khoản &amp; QR: 1 bài
Quản lý tài chính cá nhân: 1 bài
Hộ kinh doanh &amp; bán hàng: 1 bài
Thị trường &amp; giá cả: 1 bài")</f>
        <v>Tiết kiệm &amp; lãi suất tiền gửi: 47 bài
Đầu tư, CCTG, trái phiếu, vàng: 22 bài
Tài khoản &amp; ngân hàng số: 12 bài
Doanh nghiệp (tài khoản, vay, tài chính): 3 bài
Ngoại tệ &amp; chuyển tiền quốc tế: 3 bài
Ưu đãi, du lịch &amp; đời sống: 3 bài
Thẻ tín dụng: 2 bài
Vay tiêu dùng &amp; tín chấp: 2 bài
Vay thế chấp &amp; mua nhà/xe: 2 bài
Thanh toán, chuyển khoản &amp; QR: 1 bài
Quản lý tài chính cá nhân: 1 bài
Hộ kinh doanh &amp; bán hàng: 1 bài
Thị trường &amp; giá cả: 1 bài</v>
      </c>
      <c r="H5" s="33" t="str">
        <f>IFERROR(__xludf.DUMMYFUNCTION("TEXTJOIN(CHAR(10),TRUE,FILTER('Kế hoạch chèn link (mới)'!$D$3:$D$2213,'Kế hoạch chèn link (mới)'!$B$3:$B$2213=B5))"),"https://techcombank.com/thong-tin/blog/tien-gui-khong-ky-han
https://techcombank.com/thong-tin/blog/tai-khoan-ngan-hang-duoi-50k-co-bi-khoa-khong
https://techcombank.com/thong-tin/blog/thanh-toan-tien-dien-bang-the-tin-dung
https://techcombank.com/thong-t"&amp;"in/blog/thanh-toan-hoa-don-tieu-dung
https://techcombank.com/thong-tin/blog/gui-tiet-kiem-hang-thang
https://techcombank.com/thong-tin/blog/cong-thuc-tinh-lai-suat-thuc
https://techcombank.com/thong-tin/blog/quy-du-phong-tai-chinh-la-gi
https://techcomban"&amp;"k.com/thong-tin/blog/nen-gui-tiet-kiem-6-thang-hay-1-nam
https://techcombank.com/thong-tin/blog/cach-tiet-kiem-tien-cua-nguoi-nhat
https://techcombank.com/thong-tin/blog/phan-mem-lap-ke-hoach-tai-chinh-ca-nhan
https://techcombank.com/thong-tin/blog/dao-ha"&amp;"n-la-gi
https://techcombank.com/thong-tin/blog/quy-trinh-gui-tien-tiet-kiem
https://techcombank.com/thong-tin/blog/gui-tiet-kiem-theo-ngay
https://techcombank.com/thong-tin/blog/gui-tiet-kiem-vang
https://techcombank.com/thong-tin/blog/tai-sao-gui-tiet-ki"&amp;"em-online-lai-suat-cao-hon
https://techcombank.com/thong-tin/blog/co-nen-gui-tiet-kiem-ngan-hang
https://techcombank.com/thong-tin/blog/co-nen-gui-tiet-kiem-online
https://techcombank.com/thong-tin/blog/cach-gui-tiet-kiem-online
https://techcombank.com/th"&amp;"ong-tin/blog/gui-tiet-kiem-tich-luy-la-gi
https://techcombank.com/thong-tin/blog/kinh-nghiem-gui-tiet-kiem-online
https://techcombank.com/thong-tin/blog/gui-tiet-kiem-online-co-rut-truoc-han-duoc-khong
https://techcombank.com/thong-tin/blog/so-sanh-gui-ti"&amp;"et-kiem-online-va-tai-quay
https://techcombank.com/thong-tin/blog/co-50-trieu-nen-mua-vang-hay-gui-tiet-kiem
https://techcombank.com/thong-tin/blog/tien-gui-co-ky-han
https://techcombank.com/thong-tin/blog/chung-chi-tien-gui-la-gi
https://techcombank.com/"&amp;"thong-tin/blog/mo-so-tiet-kiem-can-bao-nhieu-tien
https://techcombank.com/thong-tin/blog/lai-suat-la-gi
https://techcombank.com/thong-tin/blog/tien-nhan-roi-nen-lam-gi
https://techcombank.com/thong-tin/blog/cach-tiet-kiem-tien
https://techcombank.com/thon"&amp;"g-tin/blog/so-du-kha-dung
https://techcombank.com/thong-tin/blog/so-du-tai-khoan-thanh-toan
https://techcombank.com/thong-tin/blog/chung-chi-tien-gui-co-duoc-rut-truoc-han
https://techcombank.com/thong-tin/blog/so-du-tien-gui-la-gi
https://techcombank.com"&amp;"/thong-tin/blog/cach-tinh-loi-nhuan-chung-chi-tien-gui
https://techcombank.com/thong-tin/blog/dau-co-va-dau-tu
https://techcombank.com/thong-tin/blog/lai-suat-tiet-kiem
https://techcombank.com/thong-tin/blog/gui-tien-ngan-hang-co-an-toan-khong
https://tec"&amp;"hcombank.com/thong-tin/blog/rui-ro-khi-gui-tiet-kiem-online
https://techcombank.com/thong-tin/blog/rui-ro-khi-gui-tiet-kiem-ngan-hang
https://techcombank.com/thong-tin/blog/gui-tiet-kiem-online-bi-mat-tien
https://techcombank.com/thong-tin/blog/chung-chi-"&amp;"tien-gui-khac-gi-so-tiet-kiem
https://techcombank.com/thong-tin/blog/gui-tiet-kiem-usd
https://techcombank.com/thong-tin/blog/app-gui-tien-tiet-kiem
https://techcombank.com/thong-tin/blog/tat-toan-so-tiet-kiem
https://techcombank.com/thong-tin/blog/ke-hoa"&amp;"ch-tai-chinh
https://techcombank.com/thong-tin/blog/lai-suat-chung-chi-quy
https://techcombank.com/thong-tin/blog/mo-tai-khoan-tiet-kiem-cho-con
https://techcombank.com/thong-tin/blog/rut-tien-tiet-kiem-truoc-thoi-han
https://techcombank.com/thong-tin/blo"&amp;"g/cach-dau-tu
https://techcombank.com/thong-tin/blog/nhung-kho-khan-khi-tiet-kiem-tien
https://techcombank.com/thong-tin/blog/dau-tu-tai-chinh-ca-nhan
https://techcombank.com/thong-tin/blog/quan-ly-chuoi-cua-hang
https://techcombank.com/thong-tin/blog/cac"&amp;"h-tiet-kiem-tien-theo-tuan
https://techcombank.com/thong-tin/blog/tiet-kiem-tien-moi-ngay
https://techcombank.com/thong-tin/blog/cach-tiet-kiem-100-trieu-1-nam
https://techcombank.com/thong-tin/blog/tai-khoan-tiet-kiem
https://techcombank.com/thong-tin/bl"&amp;"og/the-nao-la-tiet-kiem
https://techcombank.com/thong-tin/blog/gui-them-tien-vao-so-tiet-kiem
https://techcombank.com/thong-tin/blog/5-trieu-mua-duoc-bao-nhieu-vang
https://techcombank.com/thong-tin/blog/chung-chi-quy
https://techcombank.com/thong-tin/blo"&amp;"g/lam-phat-la-gi
https://techcombank.com/thong-tin/blog/tai-khoan-ngan-hang-chua-toi-da-bao-nhieu-tien
https://techcombank.com/thong-tin/blog/cach-tinh-lai-vay-ngan-hang
https://techcombank.com/thong-tin/blog/kinh-nghiem-vay-the-chap-ngan-hang
https://tec"&amp;"hcombank.com/thong-tin/blog/ngan-hang-dien-tu
https://techcombank.com/thong-tin/blog/dac-quyen-khach-hang-vip-ngan-hang
https://techcombank.com/thong-tin/blog/nen-de-tien-trong-the-hay-gui-tiet-kiem
https://techcombank.com/thong-tin/blog/gui-tiet-kiem-nga"&amp;"n-hang-van-la-lua-chon-an-toan-trong-thoi-ky-kinh-te-con-nhieu-bien-dong
https://techcombank.com/thong-tin/blog/cach-tiet-kiem-tien-sinh-loi
https://techcombank.com/thong-tin/blog/lai-suat-chung-chi-tien-gui-cac-ngan-hang
https://techcombank.com/thong-tin"&amp;"/blog/ngan-hang-so
https://techcombank.com/thong-tin/blog/techcombank-sinh-loi-tu-dong
https://techcombank.com/thong-tin/blog/nen-lam-the-visa-hay-noi-dia
https://techcombank.com/thong-tin/blog/nap-tien-vao-tai-khoan-ngan-hang
https://techcombank.com/thon"&amp;"g-tin/blog/mobile-banking-la-gi
https://techcombank.com/thong-tin/blog/dieu-kien-vay-the-chap
https://techcombank.com/thong-tin/blog/cach-tinh-gia-vang
https://techcombank.com/thong-tin/blog/casa-la-gi
https://techcombank.com/thong-tin/blog/gia-vang-16k-h"&amp;"om-nay
https://techcombank.com/thong-tin/blog/kinh-nghiem-mua-vang-tich-tru
https://techcombank.com/thong-tin/blog/ly-do-ngan-hang-so-tro-thanh-cong-cu-tai-chinh-hang-dau-cua-gioi-tre
https://techcombank.com/thong-tin/blog/sinh-loi-rinh-loc
https://techco"&amp;"mbank.com/thong-tin/blog/tai-khoan-thanh-toan-la-gi
https://techcombank.com/thong-tin/blog/nen-gui-tiet-kiem-thong-thuong-hay-tich-luy
https://techcombank.com/thong-tin/blog/dau-tu-trai-phieu-doanh-nghiep-dung-ham-lai-suat-cao
https://techcombank.com/thon"&amp;"g-tin/blog/lai-suat-gui-tiet-kiem-usd
https://techcombank.com/thong-tin/blog/so-tiet-kiem-ngan-hang
https://techcombank.com/thong-tin/blog/thi-truong-trai-phieu-co-hoi-dau-tu-trai-phieu-vang-du-lai-suat-thap
https://techcombank.com/thong-tin/blog/chung-ch"&amp;"i-tien-gui-co-an-toan-khong
https://techcombank.com/thong-tin/blog/quan-ly-tai-chinh-cho-dan-van-phong
https://techcombank.com/thong-tin/blog/dau-tu-ngan-han
https://techcombank.com/thong-tin/blog/loi-ich-cua-viec-tiet-kiem-tien
https://techcombank.com/th"&amp;"ong-tin/blog/mat-so-tiet-kiem
https://techcombank.com/thong-tin/blog/cac-chung-chi-quy-o-viet-nam
https://techcombank.com/thong-tin/blog/cam-nang-dinh-cu-my
https://techcombank.com/thong-tin/blog/loyalty-la-gi
https://techcombank.com/thong-tin/blog/mua-ch"&amp;"ung-chi-quy
https://techcombank.com/thong-tin/blog/nguyen-tac-quan-ly-tai-chinh-ca-nhan
https://techcombank.com/thong-tin/blog/quy-gia-dinh
https://techcombank.com/thong-tin/blog/tai-san-va-tieu-san-la-gi")</f>
        <v>https://techcombank.com/thong-tin/blog/tien-gui-khong-ky-han
https://techcombank.com/thong-tin/blog/tai-khoan-ngan-hang-duoi-50k-co-bi-khoa-khong
https://techcombank.com/thong-tin/blog/thanh-toan-tien-dien-bang-the-tin-dung
https://techcombank.com/thong-tin/blog/thanh-toan-hoa-don-tieu-dung
https://techcombank.com/thong-tin/blog/gui-tiet-kiem-hang-thang
https://techcombank.com/thong-tin/blog/cong-thuc-tinh-lai-suat-thuc
https://techcombank.com/thong-tin/blog/quy-du-phong-tai-chinh-la-gi
https://techcombank.com/thong-tin/blog/nen-gui-tiet-kiem-6-thang-hay-1-nam
https://techcombank.com/thong-tin/blog/cach-tiet-kiem-tien-cua-nguoi-nhat
https://techcombank.com/thong-tin/blog/phan-mem-lap-ke-hoach-tai-chinh-ca-nhan
https://techcombank.com/thong-tin/blog/dao-han-la-gi
https://techcombank.com/thong-tin/blog/quy-trinh-gui-tien-tiet-kiem
https://techcombank.com/thong-tin/blog/gui-tiet-kiem-theo-ngay
https://techcombank.com/thong-tin/blog/gui-tiet-kiem-vang
https://techcombank.com/thong-tin/blog/tai-sao-gui-tiet-kiem-online-lai-suat-cao-hon
https://techcombank.com/thong-tin/blog/co-nen-gui-tiet-kiem-ngan-hang
https://techcombank.com/thong-tin/blog/co-nen-gui-tiet-kiem-online
https://techcombank.com/thong-tin/blog/cach-gui-tiet-kiem-online
https://techcombank.com/thong-tin/blog/gui-tiet-kiem-tich-luy-la-gi
https://techcombank.com/thong-tin/blog/kinh-nghiem-gui-tiet-kiem-online
https://techcombank.com/thong-tin/blog/gui-tiet-kiem-online-co-rut-truoc-han-duoc-khong
https://techcombank.com/thong-tin/blog/so-sanh-gui-tiet-kiem-online-va-tai-quay
https://techcombank.com/thong-tin/blog/co-50-trieu-nen-mua-vang-hay-gui-tiet-kiem
https://techcombank.com/thong-tin/blog/tien-gui-co-ky-han
https://techcombank.com/thong-tin/blog/chung-chi-tien-gui-la-gi
https://techcombank.com/thong-tin/blog/mo-so-tiet-kiem-can-bao-nhieu-tien
https://techcombank.com/thong-tin/blog/lai-suat-la-gi
https://techcombank.com/thong-tin/blog/tien-nhan-roi-nen-lam-gi
https://techcombank.com/thong-tin/blog/cach-tiet-kiem-tien
https://techcombank.com/thong-tin/blog/so-du-kha-dung
https://techcombank.com/thong-tin/blog/so-du-tai-khoan-thanh-toan
https://techcombank.com/thong-tin/blog/chung-chi-tien-gui-co-duoc-rut-truoc-han
https://techcombank.com/thong-tin/blog/so-du-tien-gui-la-gi
https://techcombank.com/thong-tin/blog/cach-tinh-loi-nhuan-chung-chi-tien-gui
https://techcombank.com/thong-tin/blog/dau-co-va-dau-tu
https://techcombank.com/thong-tin/blog/lai-suat-tiet-kiem
https://techcombank.com/thong-tin/blog/gui-tien-ngan-hang-co-an-toan-khong
https://techcombank.com/thong-tin/blog/rui-ro-khi-gui-tiet-kiem-online
https://techcombank.com/thong-tin/blog/rui-ro-khi-gui-tiet-kiem-ngan-hang
https://techcombank.com/thong-tin/blog/gui-tiet-kiem-online-bi-mat-tien
https://techcombank.com/thong-tin/blog/chung-chi-tien-gui-khac-gi-so-tiet-kiem
https://techcombank.com/thong-tin/blog/gui-tiet-kiem-usd
https://techcombank.com/thong-tin/blog/app-gui-tien-tiet-kiem
https://techcombank.com/thong-tin/blog/tat-toan-so-tiet-kiem
https://techcombank.com/thong-tin/blog/ke-hoach-tai-chinh
https://techcombank.com/thong-tin/blog/lai-suat-chung-chi-quy
https://techcombank.com/thong-tin/blog/mo-tai-khoan-tiet-kiem-cho-con
https://techcombank.com/thong-tin/blog/rut-tien-tiet-kiem-truoc-thoi-han
https://techcombank.com/thong-tin/blog/cach-dau-tu
https://techcombank.com/thong-tin/blog/nhung-kho-khan-khi-tiet-kiem-tien
https://techcombank.com/thong-tin/blog/dau-tu-tai-chinh-ca-nhan
https://techcombank.com/thong-tin/blog/quan-ly-chuoi-cua-hang
https://techcombank.com/thong-tin/blog/cach-tiet-kiem-tien-theo-tuan
https://techcombank.com/thong-tin/blog/tiet-kiem-tien-moi-ngay
https://techcombank.com/thong-tin/blog/cach-tiet-kiem-100-trieu-1-nam
https://techcombank.com/thong-tin/blog/tai-khoan-tiet-kiem
https://techcombank.com/thong-tin/blog/the-nao-la-tiet-kiem
https://techcombank.com/thong-tin/blog/gui-them-tien-vao-so-tiet-kiem
https://techcombank.com/thong-tin/blog/5-trieu-mua-duoc-bao-nhieu-vang
https://techcombank.com/thong-tin/blog/chung-chi-quy
https://techcombank.com/thong-tin/blog/lam-phat-la-gi
https://techcombank.com/thong-tin/blog/tai-khoan-ngan-hang-chua-toi-da-bao-nhieu-tien
https://techcombank.com/thong-tin/blog/cach-tinh-lai-vay-ngan-hang
https://techcombank.com/thong-tin/blog/kinh-nghiem-vay-the-chap-ngan-hang
https://techcombank.com/thong-tin/blog/ngan-hang-dien-tu
https://techcombank.com/thong-tin/blog/dac-quyen-khach-hang-vip-ngan-hang
https://techcombank.com/thong-tin/blog/nen-de-tien-trong-the-hay-gui-tiet-kiem
https://techcombank.com/thong-tin/blog/gui-tiet-kiem-ngan-hang-van-la-lua-chon-an-toan-trong-thoi-ky-kinh-te-con-nhieu-bien-dong
https://techcombank.com/thong-tin/blog/cach-tiet-kiem-tien-sinh-loi
https://techcombank.com/thong-tin/blog/lai-suat-chung-chi-tien-gui-cac-ngan-hang
https://techcombank.com/thong-tin/blog/ngan-hang-so
https://techcombank.com/thong-tin/blog/techcombank-sinh-loi-tu-dong
https://techcombank.com/thong-tin/blog/nen-lam-the-visa-hay-noi-dia
https://techcombank.com/thong-tin/blog/nap-tien-vao-tai-khoan-ngan-hang
https://techcombank.com/thong-tin/blog/mobile-banking-la-gi
https://techcombank.com/thong-tin/blog/dieu-kien-vay-the-chap
https://techcombank.com/thong-tin/blog/cach-tinh-gia-vang
https://techcombank.com/thong-tin/blog/casa-la-gi
https://techcombank.com/thong-tin/blog/gia-vang-16k-hom-nay
https://techcombank.com/thong-tin/blog/kinh-nghiem-mua-vang-tich-tru
https://techcombank.com/thong-tin/blog/ly-do-ngan-hang-so-tro-thanh-cong-cu-tai-chinh-hang-dau-cua-gioi-tre
https://techcombank.com/thong-tin/blog/sinh-loi-rinh-loc
https://techcombank.com/thong-tin/blog/tai-khoan-thanh-toan-la-gi
https://techcombank.com/thong-tin/blog/nen-gui-tiet-kiem-thong-thuong-hay-tich-luy
https://techcombank.com/thong-tin/blog/dau-tu-trai-phieu-doanh-nghiep-dung-ham-lai-suat-cao
https://techcombank.com/thong-tin/blog/lai-suat-gui-tiet-kiem-usd
https://techcombank.com/thong-tin/blog/so-tiet-kiem-ngan-hang
https://techcombank.com/thong-tin/blog/thi-truong-trai-phieu-co-hoi-dau-tu-trai-phieu-vang-du-lai-suat-thap
https://techcombank.com/thong-tin/blog/chung-chi-tien-gui-co-an-toan-khong
https://techcombank.com/thong-tin/blog/quan-ly-tai-chinh-cho-dan-van-phong
https://techcombank.com/thong-tin/blog/dau-tu-ngan-han
https://techcombank.com/thong-tin/blog/loi-ich-cua-viec-tiet-kiem-tien
https://techcombank.com/thong-tin/blog/mat-so-tiet-kiem
https://techcombank.com/thong-tin/blog/cac-chung-chi-quy-o-viet-nam
https://techcombank.com/thong-tin/blog/cam-nang-dinh-cu-my
https://techcombank.com/thong-tin/blog/loyalty-la-gi
https://techcombank.com/thong-tin/blog/mua-chung-chi-quy
https://techcombank.com/thong-tin/blog/nguyen-tac-quan-ly-tai-chinh-ca-nhan
https://techcombank.com/thong-tin/blog/quy-gia-dinh
https://techcombank.com/thong-tin/blog/tai-san-va-tieu-san-la-gi</v>
      </c>
    </row>
    <row r="6">
      <c r="A6" s="26">
        <v>66.0</v>
      </c>
      <c r="B6" s="27" t="s">
        <v>551</v>
      </c>
      <c r="C6" s="28" t="s">
        <v>553</v>
      </c>
      <c r="D6" s="29">
        <v>150.0</v>
      </c>
      <c r="E6" s="30">
        <f>COUNTIF('Kế hoạch chèn link (mới)'!$B$3:$B$2213,B6)</f>
        <v>97</v>
      </c>
      <c r="F6" s="31">
        <f t="shared" si="1"/>
        <v>53</v>
      </c>
      <c r="G6" s="32" t="str">
        <f>IFERROR(__xludf.DUMMYFUNCTION("IFERROR(LET(t,FILTER('Kế hoạch chèn link (mới)'!$M$3:$M$2213,'Kế hoạch chèn link (mới)'!$B$3:$B$2213=B6),u,UNIQUE(t),c,MAP(u,LAMBDA(x,COUNTIF(t,x))),s,SORT(HSTACK(u,c),2,FALSE),TEXTJOIN(CHAR(10),TRUE,BYROW(s,LAMBDA(r,INDEX(r,1,1)&amp;"": ""&amp;INDEX(r,1,2)&amp;"" bà"&amp;"i"")))),"""")"),"Vay tiêu dùng &amp; tín chấp: 34 bài
Vay thế chấp &amp; mua nhà/xe: 25 bài
Doanh nghiệp (tài khoản, vay, tài chính): 11 bài
Hộ kinh doanh &amp; bán hàng: 5 bài
Nợ xấu &amp; CIC: 5 bài
Tiết kiệm &amp; lãi suất tiền gửi: 4 bài
Thẻ tín dụng: 4 bài
Tài khoản &amp; ngân hàng số: 3 bà"&amp;"i
Ngân hàng xanh &amp; thương hiệu: 2 bài
Đầu tư, CCTG, trái phiếu, vàng: 2 bài
Ưu đãi, du lịch &amp; đời sống: 1 bài
Quản lý tài chính cá nhân: 1 bài")</f>
        <v>Vay tiêu dùng &amp; tín chấp: 34 bài
Vay thế chấp &amp; mua nhà/xe: 25 bài
Doanh nghiệp (tài khoản, vay, tài chính): 11 bài
Hộ kinh doanh &amp; bán hàng: 5 bài
Nợ xấu &amp; CIC: 5 bài
Tiết kiệm &amp; lãi suất tiền gửi: 4 bài
Thẻ tín dụng: 4 bài
Tài khoản &amp; ngân hàng số: 3 bài
Ngân hàng xanh &amp; thương hiệu: 2 bài
Đầu tư, CCTG, trái phiếu, vàng: 2 bài
Ưu đãi, du lịch &amp; đời sống: 1 bài
Quản lý tài chính cá nhân: 1 bài</v>
      </c>
      <c r="H6" s="33" t="str">
        <f>IFERROR(__xludf.DUMMYFUNCTION("TEXTJOIN(CHAR(10),TRUE,FILTER('Kế hoạch chèn link (mới)'!$D$3:$D$2213,'Kế hoạch chèn link (mới)'!$B$3:$B$2213=B6))"),"https://techcombank.com/thong-tin/blog/vay-100-trieu
https://techcombank.com/thong-tin/blog/co-nen-mua-o-to-tra-gop
https://techcombank.com/thong-tin/blog/an-han-no-goc-la-gi
https://techcombank.com/thong-tin/blog/vay-40-trieu
https://techcombank.com/thon"&amp;"g-tin/blog/nen-mua-xe-tra-gop-hay-tra-thang
https://techcombank.com/thong-tin/blog/mua-nha-tra-gop-dua-truoc-100-trieu
https://techcombank.com/thong-tin/blog/co-100-trieu-co-mua-nen-mua-tra-gop
https://techcombank.com/thong-tin/blog/vay-mua-dien-thoai
htt"&amp;"ps://techcombank.com/thong-tin/blog/cho-vay-kinh-doanh-ho-gia-dinh
https://techcombank.com/thong-tin/blog/co-nen-vay-ngan-hang-mua-nha
https://techcombank.com/thong-tin/blog/vay-the-chap-la-gi
https://techcombank.com/thong-tin/blog/tin-dung-la-gi
https://"&amp;"techcombank.com/thong-tin/blog/vay-50-trieu
https://techcombank.com/thong-tin/blog/cho-vay-tieu-dung-la-gi
https://techcombank.com/thong-tin/blog/thu-tuc-vay-von-doanh-nghiep
https://techcombank.com/thong-tin/blog/tin-dung-tieu-dung
https://techcombank.co"&amp;"m/thong-tin/blog/chuyen-doi-xanh
https://techcombank.com/thong-tin/blog/vay-mua-nha-tra-gop
https://techcombank.com/thong-tin/blog/lai-suat-vay-tieu-dung
https://techcombank.com/thong-tin/blog/vay-20-trieu
https://techcombank.com/thong-tin/blog/lai-suat-n"&amp;"gan-hang-cho-vay-xay-nha
https://techcombank.com/thong-tin/blog/vay-tin-chap-khong-tra-duoc-co-sao-khong
https://techcombank.com/thong-tin/blog/thu-tuc-vay-ngan-hang-mua-nha
https://techcombank.com/thong-tin/blog/vay-mua-chung-cu
https://techcombank.com/t"&amp;"hong-tin/blog/tin-dung-doanh-nghiep
https://techcombank.com/thong-tin/blog/giai-ngan-la-gi
https://techcombank.com/thong-tin/blog/chuyen-gia-du-doan-gia-bat-dong-san-2025-va-cac-no-luc-tu-ngan-hang
https://techcombank.com/thong-tin/blog/cong-thuc-tinh-lai"&amp;"-suat-thuc
https://techcombank.com/thong-tin/blog/vay-tra-gop
https://techcombank.com/thong-tin/blog/vay-mua-xe-tra-gop-ngan-hang-nao-tot-nhat
https://techcombank.com/thong-tin/blog/thu-tuc-vay-von-ngan-hang-de-xay-nha
https://techcombank.com/thong-tin/bl"&amp;"og/khach-hang-vip-bat-dong-san
https://techcombank.com/thong-tin/blog/quy-trinh-cho-vay-tieu-dung
https://techcombank.com/thong-tin/blog/lai-suat-cho-vay-doanh-nghiep
https://techcombank.com/thong-tin/blog/vay-the-chap-xe-o-to-cu
https://techcombank.com/t"&amp;"hong-tin/blog/vay-the-chap-kinh-doanh
https://techcombank.com/thong-tin/blog/vay-von-doanh-nghiep-nho
https://techcombank.com/thong-tin/blog/thu-tuc-vay-von-kinh-doanh-nho
https://techcombank.com/thong-tin/blog/vay-kinh-doanh-online
https://techcombank.co"&amp;"m/thong-tin/blog/ho-so-vay-tin-chap
https://techcombank.com/thong-tin/blog/vay-bo-sung-von-luu-dong
https://techcombank.com/thong-tin/blog/nen-vay-the-chap-ngan-hang-nao
https://techcombank.com/thong-tin/blog/cho-vay-tung-lan
https://techcombank.com/thong"&amp;"-tin/blog/nhu-cau-vay-tieu-dung-cua-nguoi-viet-du-kien-tang-manh-trong-thoi-gian-toi
https://techcombank.com/thong-tin/blog/vay-du-hoc
https://techcombank.com/thong-tin/blog/casa-la-gi
https://techcombank.com/thong-tin/blog/gui-tiet-kiem-ngan-hang-van-la-"&amp;"lua-chon-an-toan-trong-thoi-ky-kinh-te-con-nhieu-bien-dong
https://techcombank.com/thong-tin/blog/fintech-la-gi
https://techcombank.com/thong-tin/blog/thanh-ly-tai-san
https://techcombank.com/thong-tin/blog/dang-vay-tra-gop-co-vay-them-duoc-khong
https://"&amp;"techcombank.com/thong-tin/blog/cac-hinh-thuc-vay-von-ngan-hang
https://techcombank.com/thong-tin/blog/thanh-toan-khoan-vay
https://techcombank.com/thong-tin/blog/kinh-nghiem-vay-tien-ngan-hang-xay-nha
https://techcombank.com/thong-tin/blog/lai-suat-vay-ng"&amp;"an-hang
https://techcombank.com/thong-tin/blog/du-no-tin-dung-la-gi
https://techcombank.com/thong-tin/blog/vay-han-muc-la-gi
https://techcombank.com/thong-tin/blog/lai-suat-vay-mua-o-to
https://techcombank.com/thong-tin/blog/lai-suat-tha-noi
https://techc"&amp;"ombank.com/thong-tin/blog/giai-ngan-vay-the-chap
https://techcombank.com/thong-tin/blog/han-muc-vay-the-chap-so-do
https://techcombank.com/thong-tin/blog/vay-sinh-vien
https://techcombank.com/thong-tin/blog/vay-thau-chi-la-gi
https://techcombank.com/thong"&amp;"-tin/blog/thoi-han-vay-thau-chi
https://techcombank.com/thong-tin/blog/vay-the-chap-so-bao-hiem-xa-hoi
https://techcombank.com/thong-tin/blog/app-vay-tien-nhanh
https://techcombank.com/thong-tin/blog/vay-the-chap-qua-luong
https://techcombank.com/thong-ti"&amp;"n/blog/ho-so-vay-von-cua-doanh-nghiep-gom-nhung-gi
https://techcombank.com/thong-tin/blog/cho-vay-hop-von-la-gi
https://techcombank.com/thong-tin/blog/von-luu-dong-la-gi
https://techcombank.com/thong-tin/blog/vay-sieu-toc
https://techcombank.com/thong-tin"&amp;"/blog/vay-tien-online
https://techcombank.com/thong-tin/blog/gia-tri-tai-san-rong
https://techcombank.com/thong-tin/blog/cach-tinh-lai-suat-tien-gui-tiet-kiem
https://techcombank.com/thong-tin/blog/vay-tin-chap-va-vay-the-chap
https://techcombank.com/thon"&amp;"g-tin/blog/lai-suat-vay-thau-chi
https://techcombank.com/thong-tin/blog/tra-gop-lazada
https://techcombank.com/thong-tin/blog/cong-ty-su-dung-tai-khoan-ca-nhan
https://techcombank.com/thong-tin/blog/tra-gop-qua-the-tin-dung
https://techcombank.com/thong-t"&amp;"in/blog/cach-thanh-toan-the-tin-dung
https://techcombank.com/thong-tin/blog/vay-tin-chap-cho-doanh-nghiep-moi-thanh-lap
https://techcombank.com/thong-tin/blog/phi-vay-the-chap
https://techcombank.com/thong-tin/blog/lai-suat-the-tin-dung
https://techcomban"&amp;"k.com/thong-tin/blog/rut-tien-mat-tu-the-tin-dung
https://techcombank.com/thong-tin/blog/ca-nhan-hoa
https://techcombank.com/thong-tin/blog/pos
https://techcombank.com/thong-tin/blog/san-pham-xanh
https://techcombank.com/thong-tin/blog/xep-hang-tin-dung
h"&amp;"ttps://techcombank.com/thong-tin/blog/the-visa-co-may-loai
https://techcombank.com/thong-tin/blog/tai-khoan-ngan-hang-la-gi
https://techcombank.com/thong-tin/blog/tra-no-vay-thau-chi-nhu-the-nao
https://techcombank.com/thong-tin/blog/no-nhom-3
https://tec"&amp;"hcombank.com/thong-tin/blog/vay-the-chap-khong-chung-minh-thu-nhap
https://techcombank.com/thong-tin/blog/no-chu-y-la-gi
https://techcombank.com/thong-tin/blog/no-xau-la-gi
https://techcombank.com/thong-tin/blog/nen-mua-xe-o-to-dien-hay-xe-xang
https://te"&amp;"chcombank.com/thong-tin/blog/mo-tai-khoan-ngan-hang-online-co-an-toan-khong
https://techcombank.com/thong-tin/blog/bao-lanh-vay-von")</f>
        <v>https://techcombank.com/thong-tin/blog/vay-100-trieu
https://techcombank.com/thong-tin/blog/co-nen-mua-o-to-tra-gop
https://techcombank.com/thong-tin/blog/an-han-no-goc-la-gi
https://techcombank.com/thong-tin/blog/vay-40-trieu
https://techcombank.com/thong-tin/blog/nen-mua-xe-tra-gop-hay-tra-thang
https://techcombank.com/thong-tin/blog/mua-nha-tra-gop-dua-truoc-100-trieu
https://techcombank.com/thong-tin/blog/co-100-trieu-co-mua-nen-mua-tra-gop
https://techcombank.com/thong-tin/blog/vay-mua-dien-thoai
https://techcombank.com/thong-tin/blog/cho-vay-kinh-doanh-ho-gia-dinh
https://techcombank.com/thong-tin/blog/co-nen-vay-ngan-hang-mua-nha
https://techcombank.com/thong-tin/blog/vay-the-chap-la-gi
https://techcombank.com/thong-tin/blog/tin-dung-la-gi
https://techcombank.com/thong-tin/blog/vay-50-trieu
https://techcombank.com/thong-tin/blog/cho-vay-tieu-dung-la-gi
https://techcombank.com/thong-tin/blog/thu-tuc-vay-von-doanh-nghiep
https://techcombank.com/thong-tin/blog/tin-dung-tieu-dung
https://techcombank.com/thong-tin/blog/chuyen-doi-xanh
https://techcombank.com/thong-tin/blog/vay-mua-nha-tra-gop
https://techcombank.com/thong-tin/blog/lai-suat-vay-tieu-dung
https://techcombank.com/thong-tin/blog/vay-20-trieu
https://techcombank.com/thong-tin/blog/lai-suat-ngan-hang-cho-vay-xay-nha
https://techcombank.com/thong-tin/blog/vay-tin-chap-khong-tra-duoc-co-sao-khong
https://techcombank.com/thong-tin/blog/thu-tuc-vay-ngan-hang-mua-nha
https://techcombank.com/thong-tin/blog/vay-mua-chung-cu
https://techcombank.com/thong-tin/blog/tin-dung-doanh-nghiep
https://techcombank.com/thong-tin/blog/giai-ngan-la-gi
https://techcombank.com/thong-tin/blog/chuyen-gia-du-doan-gia-bat-dong-san-2025-va-cac-no-luc-tu-ngan-hang
https://techcombank.com/thong-tin/blog/cong-thuc-tinh-lai-suat-thuc
https://techcombank.com/thong-tin/blog/vay-tra-gop
https://techcombank.com/thong-tin/blog/vay-mua-xe-tra-gop-ngan-hang-nao-tot-nhat
https://techcombank.com/thong-tin/blog/thu-tuc-vay-von-ngan-hang-de-xay-nha
https://techcombank.com/thong-tin/blog/khach-hang-vip-bat-dong-san
https://techcombank.com/thong-tin/blog/quy-trinh-cho-vay-tieu-dung
https://techcombank.com/thong-tin/blog/lai-suat-cho-vay-doanh-nghiep
https://techcombank.com/thong-tin/blog/vay-the-chap-xe-o-to-cu
https://techcombank.com/thong-tin/blog/vay-the-chap-kinh-doanh
https://techcombank.com/thong-tin/blog/vay-von-doanh-nghiep-nho
https://techcombank.com/thong-tin/blog/thu-tuc-vay-von-kinh-doanh-nho
https://techcombank.com/thong-tin/blog/vay-kinh-doanh-online
https://techcombank.com/thong-tin/blog/ho-so-vay-tin-chap
https://techcombank.com/thong-tin/blog/vay-bo-sung-von-luu-dong
https://techcombank.com/thong-tin/blog/nen-vay-the-chap-ngan-hang-nao
https://techcombank.com/thong-tin/blog/cho-vay-tung-lan
https://techcombank.com/thong-tin/blog/nhu-cau-vay-tieu-dung-cua-nguoi-viet-du-kien-tang-manh-trong-thoi-gian-toi
https://techcombank.com/thong-tin/blog/vay-du-hoc
https://techcombank.com/thong-tin/blog/casa-la-gi
https://techcombank.com/thong-tin/blog/gui-tiet-kiem-ngan-hang-van-la-lua-chon-an-toan-trong-thoi-ky-kinh-te-con-nhieu-bien-dong
https://techcombank.com/thong-tin/blog/fintech-la-gi
https://techcombank.com/thong-tin/blog/thanh-ly-tai-san
https://techcombank.com/thong-tin/blog/dang-vay-tra-gop-co-vay-them-duoc-khong
https://techcombank.com/thong-tin/blog/cac-hinh-thuc-vay-von-ngan-hang
https://techcombank.com/thong-tin/blog/thanh-toan-khoan-vay
https://techcombank.com/thong-tin/blog/kinh-nghiem-vay-tien-ngan-hang-xay-nha
https://techcombank.com/thong-tin/blog/lai-suat-vay-ngan-hang
https://techcombank.com/thong-tin/blog/du-no-tin-dung-la-gi
https://techcombank.com/thong-tin/blog/vay-han-muc-la-gi
https://techcombank.com/thong-tin/blog/lai-suat-vay-mua-o-to
https://techcombank.com/thong-tin/blog/lai-suat-tha-noi
https://techcombank.com/thong-tin/blog/giai-ngan-vay-the-chap
https://techcombank.com/thong-tin/blog/han-muc-vay-the-chap-so-do
https://techcombank.com/thong-tin/blog/vay-sinh-vien
https://techcombank.com/thong-tin/blog/vay-thau-chi-la-gi
https://techcombank.com/thong-tin/blog/thoi-han-vay-thau-chi
https://techcombank.com/thong-tin/blog/vay-the-chap-so-bao-hiem-xa-hoi
https://techcombank.com/thong-tin/blog/app-vay-tien-nhanh
https://techcombank.com/thong-tin/blog/vay-the-chap-qua-luong
https://techcombank.com/thong-tin/blog/ho-so-vay-von-cua-doanh-nghiep-gom-nhung-gi
https://techcombank.com/thong-tin/blog/cho-vay-hop-von-la-gi
https://techcombank.com/thong-tin/blog/von-luu-dong-la-gi
https://techcombank.com/thong-tin/blog/vay-sieu-toc
https://techcombank.com/thong-tin/blog/vay-tien-online
https://techcombank.com/thong-tin/blog/gia-tri-tai-san-rong
https://techcombank.com/thong-tin/blog/cach-tinh-lai-suat-tien-gui-tiet-kiem
https://techcombank.com/thong-tin/blog/vay-tin-chap-va-vay-the-chap
https://techcombank.com/thong-tin/blog/lai-suat-vay-thau-chi
https://techcombank.com/thong-tin/blog/tra-gop-lazada
https://techcombank.com/thong-tin/blog/cong-ty-su-dung-tai-khoan-ca-nhan
https://techcombank.com/thong-tin/blog/tra-gop-qua-the-tin-dung
https://techcombank.com/thong-tin/blog/cach-thanh-toan-the-tin-dung
https://techcombank.com/thong-tin/blog/vay-tin-chap-cho-doanh-nghiep-moi-thanh-lap
https://techcombank.com/thong-tin/blog/phi-vay-the-chap
https://techcombank.com/thong-tin/blog/lai-suat-the-tin-dung
https://techcombank.com/thong-tin/blog/rut-tien-mat-tu-the-tin-dung
https://techcombank.com/thong-tin/blog/ca-nhan-hoa
https://techcombank.com/thong-tin/blog/pos
https://techcombank.com/thong-tin/blog/san-pham-xanh
https://techcombank.com/thong-tin/blog/xep-hang-tin-dung
https://techcombank.com/thong-tin/blog/the-visa-co-may-loai
https://techcombank.com/thong-tin/blog/tai-khoan-ngan-hang-la-gi
https://techcombank.com/thong-tin/blog/tra-no-vay-thau-chi-nhu-the-nao
https://techcombank.com/thong-tin/blog/no-nhom-3
https://techcombank.com/thong-tin/blog/vay-the-chap-khong-chung-minh-thu-nhap
https://techcombank.com/thong-tin/blog/no-chu-y-la-gi
https://techcombank.com/thong-tin/blog/no-xau-la-gi
https://techcombank.com/thong-tin/blog/nen-mua-xe-o-to-dien-hay-xe-xang
https://techcombank.com/thong-tin/blog/mo-tai-khoan-ngan-hang-online-co-an-toan-khong
https://techcombank.com/thong-tin/blog/bao-lanh-vay-von</v>
      </c>
    </row>
    <row r="7">
      <c r="A7" s="26">
        <v>2.0</v>
      </c>
      <c r="B7" s="27" t="s">
        <v>313</v>
      </c>
      <c r="C7" s="28" t="s">
        <v>603</v>
      </c>
      <c r="D7" s="29">
        <v>100.0</v>
      </c>
      <c r="E7" s="30">
        <f>COUNTIF('Kế hoạch chèn link (mới)'!$B$3:$B$2213,B7)</f>
        <v>8</v>
      </c>
      <c r="F7" s="31">
        <f t="shared" si="1"/>
        <v>92</v>
      </c>
      <c r="G7" s="32" t="str">
        <f>IFERROR(__xludf.DUMMYFUNCTION("IFERROR(LET(t,FILTER('Kế hoạch chèn link (mới)'!$M$3:$M$2213,'Kế hoạch chèn link (mới)'!$B$3:$B$2213=B7),u,UNIQUE(t),c,MAP(u,LAMBDA(x,COUNTIF(t,x))),s,SORT(HSTACK(u,c),2,FALSE),TEXTJOIN(CHAR(10),TRUE,BYROW(s,LAMBDA(r,INDEX(r,1,1)&amp;"": ""&amp;INDEX(r,1,2)&amp;"" bà"&amp;"i"")))),"""")"),"Thuế: 4 bài
Doanh nghiệp (tài khoản, vay, tài chính): 2 bài
Thanh toán, chuyển khoản &amp; QR: 1 bài
Vay thế chấp &amp; mua nhà/xe: 1 bài")</f>
        <v>Thuế: 4 bài
Doanh nghiệp (tài khoản, vay, tài chính): 2 bài
Thanh toán, chuyển khoản &amp; QR: 1 bài
Vay thế chấp &amp; mua nhà/xe: 1 bài</v>
      </c>
      <c r="H7" s="33" t="str">
        <f>IFERROR(__xludf.DUMMYFUNCTION("TEXTJOIN(CHAR(10),TRUE,FILTER('Kế hoạch chèn link (mới)'!$D$3:$D$2213,'Kế hoạch chèn link (mới)'!$B$3:$B$2213=B7))"),"https://techcombank.com/thong-tin/blog/cach-nop-thue-dien-tu
https://techcombank.com/thong-tin/blog/tin-dung-doanh-nghiep
https://techcombank.com/thong-tin/blog/cach-lay-lai-tien-da-chuyen-khoan-khi-bi-lua
https://techcombank.com/thong-tin/blog/thue-thu-n"&amp;"hap-ca-nhan
https://techcombank.com/thong-tin/blog/phat-cham-dang-ky-thue-ho-kinh-doanh
https://techcombank.com/thong-tin/blog/khach-hang-vip-bat-dong-san
https://techcombank.com/thong-tin/blog/cach-tinh-thue-thu-nhap-ca-nhan-2025
https://techcombank.com/"&amp;"thong-tin/blog/luu-y-khi-chuyen-tien-vao-tai-khoan-cong-ty")</f>
        <v>https://techcombank.com/thong-tin/blog/cach-nop-thue-dien-tu
https://techcombank.com/thong-tin/blog/tin-dung-doanh-nghiep
https://techcombank.com/thong-tin/blog/cach-lay-lai-tien-da-chuyen-khoan-khi-bi-lua
https://techcombank.com/thong-tin/blog/thue-thu-nhap-ca-nhan
https://techcombank.com/thong-tin/blog/phat-cham-dang-ky-thue-ho-kinh-doanh
https://techcombank.com/thong-tin/blog/khach-hang-vip-bat-dong-san
https://techcombank.com/thong-tin/blog/cach-tinh-thue-thu-nhap-ca-nhan-2025
https://techcombank.com/thong-tin/blog/luu-y-khi-chuyen-tien-vao-tai-khoan-cong-ty</v>
      </c>
    </row>
    <row r="8">
      <c r="A8" s="26">
        <v>67.0</v>
      </c>
      <c r="B8" s="27" t="s">
        <v>614</v>
      </c>
      <c r="C8" s="28" t="s">
        <v>553</v>
      </c>
      <c r="D8" s="29">
        <v>100.0</v>
      </c>
      <c r="E8" s="30">
        <f>COUNTIF('Kế hoạch chèn link (mới)'!$B$3:$B$2213,B8)</f>
        <v>45</v>
      </c>
      <c r="F8" s="31">
        <f t="shared" si="1"/>
        <v>55</v>
      </c>
      <c r="G8" s="32" t="str">
        <f>IFERROR(__xludf.DUMMYFUNCTION("IFERROR(LET(t,FILTER('Kế hoạch chèn link (mới)'!$M$3:$M$2213,'Kế hoạch chèn link (mới)'!$B$3:$B$2213=B8),u,UNIQUE(t),c,MAP(u,LAMBDA(x,COUNTIF(t,x))),s,SORT(HSTACK(u,c),2,FALSE),TEXTJOIN(CHAR(10),TRUE,BYROW(s,LAMBDA(r,INDEX(r,1,1)&amp;"": ""&amp;INDEX(r,1,2)&amp;"" bà"&amp;"i"")))),"""")"),"Tiết kiệm &amp; lãi suất tiền gửi: 23 bài
Đầu tư, CCTG, trái phiếu, vàng: 13 bài
Tài khoản &amp; ngân hàng số: 3 bài
Thẻ tín dụng: 2 bài
Doanh nghiệp (tài khoản, vay, tài chính): 1 bài
Quản lý tài chính cá nhân: 1 bài
Ưu đãi, du lịch &amp; đời sống: 1 bài
Vay tiêu dù"&amp;"ng &amp; tín chấp: 1 bài")</f>
        <v>Tiết kiệm &amp; lãi suất tiền gửi: 23 bài
Đầu tư, CCTG, trái phiếu, vàng: 13 bài
Tài khoản &amp; ngân hàng số: 3 bài
Thẻ tín dụng: 2 bài
Doanh nghiệp (tài khoản, vay, tài chính): 1 bài
Quản lý tài chính cá nhân: 1 bài
Ưu đãi, du lịch &amp; đời sống: 1 bài
Vay tiêu dùng &amp; tín chấp: 1 bài</v>
      </c>
      <c r="H8" s="33" t="str">
        <f>IFERROR(__xludf.DUMMYFUNCTION("TEXTJOIN(CHAR(10),TRUE,FILTER('Kế hoạch chèn link (mới)'!$D$3:$D$2213,'Kế hoạch chèn link (mới)'!$B$3:$B$2213=B8))"),"https://techcombank.com/thong-tin/blog/dau-tu-ngan-han
https://techcombank.com/thong-tin/blog/co-nen-gui-tiet-kiem-ngan-hang
https://techcombank.com/thong-tin/blog/cach-tiet-kiem-tien
https://techcombank.com/thong-tin/blog/co-50-trieu-nen-mua-vang-hay-gui"&amp;"-tiet-kiem
https://techcombank.com/thong-tin/blog/lai-suat-tiet-kiem
https://techcombank.com/thong-tin/blog/co-nen-gui-tiet-kiem-online
https://techcombank.com/thong-tin/blog/cach-tinh-lai-suat-tien-gui-tiet-kiem
https://techcombank.com/thong-tin/blog/gui"&amp;"-tiet-kiem-online-quay-vong-ca-goc-va-lai
https://techcombank.com/thong-tin/blog/cach-tiet-kiem-100-trieu-1-nam
https://techcombank.com/thong-tin/blog/gui-tiet-kiem-tich-luy-la-gi
https://techcombank.com/thong-tin/blog/quy-trinh-gui-tien-tiet-kiem
https:/"&amp;"/techcombank.com/thong-tin/blog/nen-de-tien-trong-the-hay-gui-tiet-kiem
https://techcombank.com/thong-tin/blog/dau-tu-trai-phieu-doanh-nghiep-dung-ham-lai-suat-cao
https://techcombank.com/thong-tin/blog/mo-tai-khoan-tiet-kiem-cho-con
https://techcombank.c"&amp;"om/thong-tin/blog/so-du-tien-gui-la-gi
https://techcombank.com/thong-tin/blog/rui-ro-khi-gui-tiet-kiem-online
https://techcombank.com/thong-tin/blog/gui-tiet-kiem-ngoai-te
https://techcombank.com/thong-tin/blog/gui-tiet-kiem-online-bi-mat-tien
https://tec"&amp;"hcombank.com/thong-tin/blog/chung-chi-tien-gui-khac-gi-so-tiet-kiem
https://techcombank.com/thong-tin/blog/nen-lam-the-visa-hay-noi-dia
https://techcombank.com/thong-tin/blog/gui-tiet-kiem-usd
https://techcombank.com/thong-tin/blog/app-gui-tien-tiet-kiem
"&amp;"https://techcombank.com/thong-tin/blog/mo-so-tiet-kiem-can-bao-nhieu-tien
https://techcombank.com/thong-tin/blog/quy-du-phong-tai-chinh-la-gi
https://techcombank.com/thong-tin/blog/rut-tien-tiet-kiem-truoc-thoi-han
https://techcombank.com/thong-tin/blog/c"&amp;"ach-dau-tu
https://techcombank.com/thong-tin/blog/chung-chi-tien-gui-co-an-toan-khong
https://techcombank.com/thong-tin/blog/chung-chi-quy
https://techcombank.com/thong-tin/blog/nen-gui-tiet-kiem-thong-thuong-hay-tich-luy
https://techcombank.com/thong-tin"&amp;"/blog/lai-kep-ngan-hang
https://techcombank.com/thong-tin/blog/gui-tiet-kiem-lay-lai-hang-thang
https://techcombank.com/thong-tin/blog/ung-dung-cong-nghe
https://techcombank.com/thong-tin/blog/tai-khoan-thanh-toan-la-gi
https://techcombank.com/thong-tin/b"&amp;"log/xu-huong-dau-tu-trai-phieu-ky-han-duoi-mot-nam-lua-chon-an-toan-khi-thi-truong-bien-dong
https://techcombank.com/thong-tin/blog/cac-chung-chi-quy-o-viet-nam
https://techcombank.com/thong-tin/blog/quy-gia-dinh
https://techcombank.com/thong-tin/blog/the"&amp;"-ghi-no-visa-la-gi
https://techcombank.com/thong-tin/blog/loyalty-la-gi
https://techcombank.com/thong-tin/blog/chung-chi-tien-gui-co-phai-la-trai-phieu-khong
https://techcombank.com/thong-tin/blog/lai-suat-gui-tiet-kiem-usd
https://techcombank.com/thong-t"&amp;"in/blog/thi-truong-trai-phieu-co-hoi-dau-tu-trai-phieu-vang-du-lai-suat-thap
https://techcombank.com/thong-tin/blog/vi-sao-lai-suat-trai-phieu-tai-tcbs-lai-thap-hon-so-voi-cac-to-chuc-phat-hanh-khac
https://techcombank.com/thong-tin/blog/cach-tiet-kiem-ti"&amp;"en-hieu-qua-cho-gia-dinh
https://techcombank.com/thong-tin/blog/cach-tinh-lai-vay-ngan-hang
https://techcombank.com/thong-tin/blog/vi-dien-tu")</f>
        <v>https://techcombank.com/thong-tin/blog/dau-tu-ngan-han
https://techcombank.com/thong-tin/blog/co-nen-gui-tiet-kiem-ngan-hang
https://techcombank.com/thong-tin/blog/cach-tiet-kiem-tien
https://techcombank.com/thong-tin/blog/co-50-trieu-nen-mua-vang-hay-gui-tiet-kiem
https://techcombank.com/thong-tin/blog/lai-suat-tiet-kiem
https://techcombank.com/thong-tin/blog/co-nen-gui-tiet-kiem-online
https://techcombank.com/thong-tin/blog/cach-tinh-lai-suat-tien-gui-tiet-kiem
https://techcombank.com/thong-tin/blog/gui-tiet-kiem-online-quay-vong-ca-goc-va-lai
https://techcombank.com/thong-tin/blog/cach-tiet-kiem-100-trieu-1-nam
https://techcombank.com/thong-tin/blog/gui-tiet-kiem-tich-luy-la-gi
https://techcombank.com/thong-tin/blog/quy-trinh-gui-tien-tiet-kiem
https://techcombank.com/thong-tin/blog/nen-de-tien-trong-the-hay-gui-tiet-kiem
https://techcombank.com/thong-tin/blog/dau-tu-trai-phieu-doanh-nghiep-dung-ham-lai-suat-cao
https://techcombank.com/thong-tin/blog/mo-tai-khoan-tiet-kiem-cho-con
https://techcombank.com/thong-tin/blog/so-du-tien-gui-la-gi
https://techcombank.com/thong-tin/blog/rui-ro-khi-gui-tiet-kiem-online
https://techcombank.com/thong-tin/blog/gui-tiet-kiem-ngoai-te
https://techcombank.com/thong-tin/blog/gui-tiet-kiem-online-bi-mat-tien
https://techcombank.com/thong-tin/blog/chung-chi-tien-gui-khac-gi-so-tiet-kiem
https://techcombank.com/thong-tin/blog/nen-lam-the-visa-hay-noi-dia
https://techcombank.com/thong-tin/blog/gui-tiet-kiem-usd
https://techcombank.com/thong-tin/blog/app-gui-tien-tiet-kiem
https://techcombank.com/thong-tin/blog/mo-so-tiet-kiem-can-bao-nhieu-tien
https://techcombank.com/thong-tin/blog/quy-du-phong-tai-chinh-la-gi
https://techcombank.com/thong-tin/blog/rut-tien-tiet-kiem-truoc-thoi-han
https://techcombank.com/thong-tin/blog/cach-dau-tu
https://techcombank.com/thong-tin/blog/chung-chi-tien-gui-co-an-toan-khong
https://techcombank.com/thong-tin/blog/chung-chi-quy
https://techcombank.com/thong-tin/blog/nen-gui-tiet-kiem-thong-thuong-hay-tich-luy
https://techcombank.com/thong-tin/blog/lai-kep-ngan-hang
https://techcombank.com/thong-tin/blog/gui-tiet-kiem-lay-lai-hang-thang
https://techcombank.com/thong-tin/blog/ung-dung-cong-nghe
https://techcombank.com/thong-tin/blog/tai-khoan-thanh-toan-la-gi
https://techcombank.com/thong-tin/blog/xu-huong-dau-tu-trai-phieu-ky-han-duoi-mot-nam-lua-chon-an-toan-khi-thi-truong-bien-dong
https://techcombank.com/thong-tin/blog/cac-chung-chi-quy-o-viet-nam
https://techcombank.com/thong-tin/blog/quy-gia-dinh
https://techcombank.com/thong-tin/blog/the-ghi-no-visa-la-gi
https://techcombank.com/thong-tin/blog/loyalty-la-gi
https://techcombank.com/thong-tin/blog/chung-chi-tien-gui-co-phai-la-trai-phieu-khong
https://techcombank.com/thong-tin/blog/lai-suat-gui-tiet-kiem-usd
https://techcombank.com/thong-tin/blog/thi-truong-trai-phieu-co-hoi-dau-tu-trai-phieu-vang-du-lai-suat-thap
https://techcombank.com/thong-tin/blog/vi-sao-lai-suat-trai-phieu-tai-tcbs-lai-thap-hon-so-voi-cac-to-chuc-phat-hanh-khac
https://techcombank.com/thong-tin/blog/cach-tiet-kiem-tien-hieu-qua-cho-gia-dinh
https://techcombank.com/thong-tin/blog/cach-tinh-lai-vay-ngan-hang
https://techcombank.com/thong-tin/blog/vi-dien-tu</v>
      </c>
    </row>
    <row r="9">
      <c r="A9" s="26">
        <v>69.0</v>
      </c>
      <c r="B9" s="27" t="s">
        <v>624</v>
      </c>
      <c r="C9" s="28" t="s">
        <v>377</v>
      </c>
      <c r="D9" s="29">
        <v>100.0</v>
      </c>
      <c r="E9" s="30">
        <f>COUNTIF('Kế hoạch chèn link (mới)'!$B$3:$B$2213,B9)</f>
        <v>93</v>
      </c>
      <c r="F9" s="31">
        <f t="shared" si="1"/>
        <v>7</v>
      </c>
      <c r="G9" s="32" t="str">
        <f>IFERROR(__xludf.DUMMYFUNCTION("IFERROR(LET(t,FILTER('Kế hoạch chèn link (mới)'!$M$3:$M$2213,'Kế hoạch chèn link (mới)'!$B$3:$B$2213=B9),u,UNIQUE(t),c,MAP(u,LAMBDA(x,COUNTIF(t,x))),s,SORT(HSTACK(u,c),2,FALSE),TEXTJOIN(CHAR(10),TRUE,BYROW(s,LAMBDA(r,INDEX(r,1,1)&amp;"": ""&amp;INDEX(r,1,2)&amp;"" bà"&amp;"i"")))),"""")"),"Vay tiêu dùng &amp; tín chấp: 32 bài
Vay thế chấp &amp; mua nhà/xe: 28 bài
Hộ kinh doanh &amp; bán hàng: 9 bài
Doanh nghiệp (tài khoản, vay, tài chính): 7 bài
Nợ xấu &amp; CIC: 3 bài
Tiết kiệm &amp; lãi suất tiền gửi: 3 bài
Tài khoản &amp; ngân hàng số: 3 bài
Ưu đãi, du lịch &amp; đ"&amp;"ời sống: 3 bài
Thẻ tín dụng: 2 bài
Quản lý tài chính cá nhân: 1 bài
Ngân hàng xanh &amp; thương hiệu: 1 bài
Đầu tư, CCTG, trái phiếu, vàng: 1 bài")</f>
        <v>Vay tiêu dùng &amp; tín chấp: 32 bài
Vay thế chấp &amp; mua nhà/xe: 28 bài
Hộ kinh doanh &amp; bán hàng: 9 bài
Doanh nghiệp (tài khoản, vay, tài chính): 7 bài
Nợ xấu &amp; CIC: 3 bài
Tiết kiệm &amp; lãi suất tiền gửi: 3 bài
Tài khoản &amp; ngân hàng số: 3 bài
Ưu đãi, du lịch &amp; đời sống: 3 bài
Thẻ tín dụng: 2 bài
Quản lý tài chính cá nhân: 1 bài
Ngân hàng xanh &amp; thương hiệu: 1 bài
Đầu tư, CCTG, trái phiếu, vàng: 1 bài</v>
      </c>
      <c r="H9" s="33" t="str">
        <f>IFERROR(__xludf.DUMMYFUNCTION("TEXTJOIN(CHAR(10),TRUE,FILTER('Kế hoạch chèn link (mới)'!$D$3:$D$2213,'Kế hoạch chèn link (mới)'!$B$3:$B$2213=B9))"),"https://techcombank.com/thong-tin/blog/dieu-kien-vay-von-ngan-hang
https://techcombank.com/thong-tin/blog/vay-the-chap-kinh-doanh
https://techcombank.com/thong-tin/blog/co-nen-vay-ngan-hang-mua-nha
https://techcombank.com/thong-tin/blog/vay-ngan-hang-1-ty"&amp;"-moi-thang-tra-bao-nhieu
https://techcombank.com/thong-tin/blog/vay-the-chap-so-hong
https://techcombank.com/thong-tin/blog/vay-von-doanh-nghiep-nho
https://techcombank.com/thong-tin/blog/vay-the-chap-hop-dong-mua-ban-can-ho
https://techcombank.com/thong-"&amp;"tin/blog/vay-tin-chap-cho-doanh-nghiep-moi-thanh-lap
https://techcombank.com/thong-tin/blog/vay-tin-chap-ho-kinh-doanh
https://techcombank.com/thong-tin/blog/vay-bo-sung-von-luu-dong
https://techcombank.com/thong-tin/blog/vay-tin-chap-theo-luong
https://t"&amp;"echcombank.com/thong-tin/blog/cac-hinh-thuc-cho-vay-tieu-dung
https://techcombank.com/thong-tin/blog/bi-quyet-tiet-kiem-tien-mua-nha
https://techcombank.com/thong-tin/blog/cach-tinh-lai-vay-ngan-hang
https://techcombank.com/thong-tin/blog/lai-suat-la-gi
h"&amp;"ttps://techcombank.com/thong-tin/blog/lai-suat-qua-han
https://techcombank.com/thong-tin/blog/vay-300-trieu
https://techcombank.com/thong-tin/blog/vay-mua-xe-tra-gop-ngan-hang-nao-tot-nhat
https://techcombank.com/thong-tin/blog/vay-mua-dien-thoai
https://"&amp;"techcombank.com/thong-tin/blog/cho-vay-kinh-doanh-ho-gia-dinh
https://techcombank.com/thong-tin/blog/vay-sinh-vien
https://techcombank.com/thong-tin/blog/mua-nha-tra-gop-dua-truoc-100-trieu
https://techcombank.com/thong-tin/blog/cho-vay-tieu-dung-la-gi
ht"&amp;"tps://techcombank.com/thong-tin/blog/giai-ngan-vay-the-chap
https://techcombank.com/thong-tin/blog/vay-han-muc-la-gi
https://techcombank.com/thong-tin/blog/kinh-nghiem-vay-tien-mua-nha
https://techcombank.com/thong-tin/blog/thu-tuc-vay-von-kinh-doanh-nho
"&amp;"https://techcombank.com/thong-tin/blog/vay-von-doanh-nghiep-khong-the-chap
https://techcombank.com/thong-tin/blog/thu-tuc-vay-ngan-hang-mua-nha
https://techcombank.com/thong-tin/blog/phi-vay-the-chap
https://techcombank.com/thong-tin/blog/quy-trinh-cho-va"&amp;"y-tieu-dung
https://techcombank.com/thong-tin/blog/vay-40-trieu
https://techcombank.com/thong-tin/blog/nen-vay-the-chap-ngan-hang-nao
https://techcombank.com/thong-tin/blog/lai-suat-vay-kinh-doanh
https://techcombank.com/thong-tin/blog/lai-suat-ngan-hang-"&amp;"cho-vay-xay-nha
https://techcombank.com/thong-tin/blog/nen-mua-xe-tra-gop-hay-tra-thang
https://techcombank.com/thong-tin/blog/nen-vay-tin-chap-o-dau
https://techcombank.com/thong-tin/blog/vay-100-trieu
https://techcombank.com/thong-tin/blog/vay-tien-mat
"&amp;"https://techcombank.com/thong-tin/blog/vay-ngan-han
https://techcombank.com/thong-tin/blog/cac-hinh-thuc-vay-von-ngan-hang
https://techcombank.com/thong-tin/blog/lai-suat-tha-noi
https://techcombank.com/thong-tin/blog/app-vay-tien-nhanh
https://techcomban"&amp;"k.com/thong-tin/blog/vay-200-trieu
https://techcombank.com/thong-tin/blog/han-muc-thau-chi-la-gi
https://techcombank.com/thong-tin/blog/vay-kinh-doanh-online
https://techcombank.com/thong-tin/blog/vay-tin-chap-khong-tra-duoc-co-sao-khong
https://techcomba"&amp;"nk.com/thong-tin/blog/ho-so-vay-tin-chap
https://techcombank.com/thong-tin/blog/thu-tuc-vay-von-ngan-hang-de-xay-nha
https://techcombank.com/thong-tin/blog/the-chap-la-gi
https://techcombank.com/thong-tin/blog/vay-the-chap-la-gi
https://techcombank.com/th"&amp;"ong-tin/blog/an-han-no-goc-la-gi
https://techcombank.com/thong-tin/blog/ca-nhan-hoa
https://techcombank.com/thong-tin/blog/casa-la-gi
https://techcombank.com/thong-tin/blog/fintech-la-gi
https://techcombank.com/thong-tin/blog/thu-tuc-vay-von-doanh-nghiep
"&amp;"https://techcombank.com/thong-tin/blog/xep-hang-tin-dung
https://techcombank.com/thong-tin/blog/mo-tai-khoan-ngan-hang-trung-so-dien-thoai
https://techcombank.com/thong-tin/blog/nhu-cau-vay-tieu-dung-cua-nguoi-viet-du-kien-tang-manh-trong-thoi-gian-toi
ht"&amp;"tps://techcombank.com/thong-tin/blog/quan-ly-chi-phi-doanh-nghiep
https://techcombank.com/thong-tin/blog/vay-tin-chap-va-vay-the-chap
https://techcombank.com/thong-tin/blog/lai-suat-vay-thau-chi
https://techcombank.com/thong-tin/blog/lai-suat-cho-vay-doan"&amp;"h-nghiep
https://techcombank.com/thong-tin/blog/vay-mua-nha-o-xa-hoi
https://techcombank.com/thong-tin/blog/vay-50-trieu
https://techcombank.com/thong-tin/blog/rui-ro-khi-vay-the-chap-ngan-hang
https://techcombank.com/thong-tin/blog/thoi-han-vay-thau-chi
"&amp;"https://techcombank.com/thong-tin/blog/co-nen-mua-o-to-tra-gop
https://techcombank.com/thong-tin/blog/lai-suat-vay-tieu-dung
https://techcombank.com/thong-tin/blog/lai-suat-vay-tin-chap
https://techcombank.com/thong-tin/blog/vay-san-xuat-kinh-doanh
https:"&amp;"//techcombank.com/thong-tin/blog/vay-mua-chung-cu
https://techcombank.com/thong-tin/blog/vay-mua-nha-tra-gop
https://techcombank.com/thong-tin/blog/no-xau-co-vay-the-chap-duoc-khong
https://techcombank.com/thong-tin/blog/app-ngan-hang
https://techcombank."&amp;"com/thong-tin/blog/cho-vay-hop-von-la-gi
https://techcombank.com/thong-tin/blog/vay-the-chap-xe-o-to-cu
https://techcombank.com/thong-tin/blog/vay-thau-chi-la-gi
https://techcombank.com/thong-tin/blog/tra-no-vay-thau-chi-nhu-the-nao
https://techcombank.co"&amp;"m/thong-tin/blog/the-tin-dung-phu-la-gi
https://techcombank.com/thong-tin/blog/quy-trinh-tat-toan-khoan-vay-the-chap
https://techcombank.com/thong-tin/blog/vay-ngan-hang-chi-can-cccd
https://techcombank.com/thong-tin/blog/khach-hang-vip-bat-dong-san
https"&amp;"://techcombank.com/thong-tin/blog/pos
https://techcombank.com/thong-tin/blog/san-pham-xanh
https://techcombank.com/thong-tin/blog/thanh-ly-tai-san
https://techcombank.com/thong-tin/blog/dac-quyen-khach-hang-vip-ngan-hang
https://techcombank.com/thong-tin/"&amp;"blog/loyalty-la-gi
https://techcombank.com/thong-tin/blog/thanh-toan-online-bang-the-tin-dung
https://techcombank.com/thong-tin/blog/vay-thau-chi-bang-so-tiet-kiem
https://techcombank.com/thong-tin/blog/thanh-toan-khoan-vay
https://techcombank.com/thong-t"&amp;"in/blog/vay-the-chap-khong-chung-minh-thu-nhap
https://techcombank.com/thong-tin/blog/vay-the-chap-so-bao-hiem-xa-hoi")</f>
        <v>https://techcombank.com/thong-tin/blog/dieu-kien-vay-von-ngan-hang
https://techcombank.com/thong-tin/blog/vay-the-chap-kinh-doanh
https://techcombank.com/thong-tin/blog/co-nen-vay-ngan-hang-mua-nha
https://techcombank.com/thong-tin/blog/vay-ngan-hang-1-ty-moi-thang-tra-bao-nhieu
https://techcombank.com/thong-tin/blog/vay-the-chap-so-hong
https://techcombank.com/thong-tin/blog/vay-von-doanh-nghiep-nho
https://techcombank.com/thong-tin/blog/vay-the-chap-hop-dong-mua-ban-can-ho
https://techcombank.com/thong-tin/blog/vay-tin-chap-cho-doanh-nghiep-moi-thanh-lap
https://techcombank.com/thong-tin/blog/vay-tin-chap-ho-kinh-doanh
https://techcombank.com/thong-tin/blog/vay-bo-sung-von-luu-dong
https://techcombank.com/thong-tin/blog/vay-tin-chap-theo-luong
https://techcombank.com/thong-tin/blog/cac-hinh-thuc-cho-vay-tieu-dung
https://techcombank.com/thong-tin/blog/bi-quyet-tiet-kiem-tien-mua-nha
https://techcombank.com/thong-tin/blog/cach-tinh-lai-vay-ngan-hang
https://techcombank.com/thong-tin/blog/lai-suat-la-gi
https://techcombank.com/thong-tin/blog/lai-suat-qua-han
https://techcombank.com/thong-tin/blog/vay-300-trieu
https://techcombank.com/thong-tin/blog/vay-mua-xe-tra-gop-ngan-hang-nao-tot-nhat
https://techcombank.com/thong-tin/blog/vay-mua-dien-thoai
https://techcombank.com/thong-tin/blog/cho-vay-kinh-doanh-ho-gia-dinh
https://techcombank.com/thong-tin/blog/vay-sinh-vien
https://techcombank.com/thong-tin/blog/mua-nha-tra-gop-dua-truoc-100-trieu
https://techcombank.com/thong-tin/blog/cho-vay-tieu-dung-la-gi
https://techcombank.com/thong-tin/blog/giai-ngan-vay-the-chap
https://techcombank.com/thong-tin/blog/vay-han-muc-la-gi
https://techcombank.com/thong-tin/blog/kinh-nghiem-vay-tien-mua-nha
https://techcombank.com/thong-tin/blog/thu-tuc-vay-von-kinh-doanh-nho
https://techcombank.com/thong-tin/blog/vay-von-doanh-nghiep-khong-the-chap
https://techcombank.com/thong-tin/blog/thu-tuc-vay-ngan-hang-mua-nha
https://techcombank.com/thong-tin/blog/phi-vay-the-chap
https://techcombank.com/thong-tin/blog/quy-trinh-cho-vay-tieu-dung
https://techcombank.com/thong-tin/blog/vay-40-trieu
https://techcombank.com/thong-tin/blog/nen-vay-the-chap-ngan-hang-nao
https://techcombank.com/thong-tin/blog/lai-suat-vay-kinh-doanh
https://techcombank.com/thong-tin/blog/lai-suat-ngan-hang-cho-vay-xay-nha
https://techcombank.com/thong-tin/blog/nen-mua-xe-tra-gop-hay-tra-thang
https://techcombank.com/thong-tin/blog/nen-vay-tin-chap-o-dau
https://techcombank.com/thong-tin/blog/vay-100-trieu
https://techcombank.com/thong-tin/blog/vay-tien-mat
https://techcombank.com/thong-tin/blog/vay-ngan-han
https://techcombank.com/thong-tin/blog/cac-hinh-thuc-vay-von-ngan-hang
https://techcombank.com/thong-tin/blog/lai-suat-tha-noi
https://techcombank.com/thong-tin/blog/app-vay-tien-nhanh
https://techcombank.com/thong-tin/blog/vay-200-trieu
https://techcombank.com/thong-tin/blog/han-muc-thau-chi-la-gi
https://techcombank.com/thong-tin/blog/vay-kinh-doanh-online
https://techcombank.com/thong-tin/blog/vay-tin-chap-khong-tra-duoc-co-sao-khong
https://techcombank.com/thong-tin/blog/ho-so-vay-tin-chap
https://techcombank.com/thong-tin/blog/thu-tuc-vay-von-ngan-hang-de-xay-nha
https://techcombank.com/thong-tin/blog/the-chap-la-gi
https://techcombank.com/thong-tin/blog/vay-the-chap-la-gi
https://techcombank.com/thong-tin/blog/an-han-no-goc-la-gi
https://techcombank.com/thong-tin/blog/ca-nhan-hoa
https://techcombank.com/thong-tin/blog/casa-la-gi
https://techcombank.com/thong-tin/blog/fintech-la-gi
https://techcombank.com/thong-tin/blog/thu-tuc-vay-von-doanh-nghiep
https://techcombank.com/thong-tin/blog/xep-hang-tin-dung
https://techcombank.com/thong-tin/blog/mo-tai-khoan-ngan-hang-trung-so-dien-thoai
https://techcombank.com/thong-tin/blog/nhu-cau-vay-tieu-dung-cua-nguoi-viet-du-kien-tang-manh-trong-thoi-gian-toi
https://techcombank.com/thong-tin/blog/quan-ly-chi-phi-doanh-nghiep
https://techcombank.com/thong-tin/blog/vay-tin-chap-va-vay-the-chap
https://techcombank.com/thong-tin/blog/lai-suat-vay-thau-chi
https://techcombank.com/thong-tin/blog/lai-suat-cho-vay-doanh-nghiep
https://techcombank.com/thong-tin/blog/vay-mua-nha-o-xa-hoi
https://techcombank.com/thong-tin/blog/vay-50-trieu
https://techcombank.com/thong-tin/blog/rui-ro-khi-vay-the-chap-ngan-hang
https://techcombank.com/thong-tin/blog/thoi-han-vay-thau-chi
https://techcombank.com/thong-tin/blog/co-nen-mua-o-to-tra-gop
https://techcombank.com/thong-tin/blog/lai-suat-vay-tieu-dung
https://techcombank.com/thong-tin/blog/lai-suat-vay-tin-chap
https://techcombank.com/thong-tin/blog/vay-san-xuat-kinh-doanh
https://techcombank.com/thong-tin/blog/vay-mua-chung-cu
https://techcombank.com/thong-tin/blog/vay-mua-nha-tra-gop
https://techcombank.com/thong-tin/blog/no-xau-co-vay-the-chap-duoc-khong
https://techcombank.com/thong-tin/blog/app-ngan-hang
https://techcombank.com/thong-tin/blog/cho-vay-hop-von-la-gi
https://techcombank.com/thong-tin/blog/vay-the-chap-xe-o-to-cu
https://techcombank.com/thong-tin/blog/vay-thau-chi-la-gi
https://techcombank.com/thong-tin/blog/tra-no-vay-thau-chi-nhu-the-nao
https://techcombank.com/thong-tin/blog/the-tin-dung-phu-la-gi
https://techcombank.com/thong-tin/blog/quy-trinh-tat-toan-khoan-vay-the-chap
https://techcombank.com/thong-tin/blog/vay-ngan-hang-chi-can-cccd
https://techcombank.com/thong-tin/blog/khach-hang-vip-bat-dong-san
https://techcombank.com/thong-tin/blog/pos
https://techcombank.com/thong-tin/blog/san-pham-xanh
https://techcombank.com/thong-tin/blog/thanh-ly-tai-san
https://techcombank.com/thong-tin/blog/dac-quyen-khach-hang-vip-ngan-hang
https://techcombank.com/thong-tin/blog/loyalty-la-gi
https://techcombank.com/thong-tin/blog/thanh-toan-online-bang-the-tin-dung
https://techcombank.com/thong-tin/blog/vay-thau-chi-bang-so-tiet-kiem
https://techcombank.com/thong-tin/blog/thanh-toan-khoan-vay
https://techcombank.com/thong-tin/blog/vay-the-chap-khong-chung-minh-thu-nhap
https://techcombank.com/thong-tin/blog/vay-the-chap-so-bao-hiem-xa-hoi</v>
      </c>
    </row>
    <row r="10">
      <c r="A10" s="26">
        <v>3.0</v>
      </c>
      <c r="B10" s="27" t="s">
        <v>316</v>
      </c>
      <c r="C10" s="28" t="s">
        <v>603</v>
      </c>
      <c r="D10" s="29">
        <v>50.0</v>
      </c>
      <c r="E10" s="30">
        <f>COUNTIF('Kế hoạch chèn link (mới)'!$B$3:$B$2213,B10)</f>
        <v>33</v>
      </c>
      <c r="F10" s="31">
        <f t="shared" si="1"/>
        <v>17</v>
      </c>
      <c r="G10" s="32" t="str">
        <f>IFERROR(__xludf.DUMMYFUNCTION("IFERROR(LET(t,FILTER('Kế hoạch chèn link (mới)'!$M$3:$M$2213,'Kế hoạch chèn link (mới)'!$B$3:$B$2213=B10),u,UNIQUE(t),c,MAP(u,LAMBDA(x,COUNTIF(t,x))),s,SORT(HSTACK(u,c),2,FALSE),TEXTJOIN(CHAR(10),TRUE,BYROW(s,LAMBDA(r,INDEX(r,1,1)&amp;"": ""&amp;INDEX(r,1,2)&amp;"" b"&amp;"ài"")))),"""")"),"Thuế: 27 bài
Hộ kinh doanh &amp; bán hàng: 5 bài
Doanh nghiệp (tài khoản, vay, tài chính): 1 bài")</f>
        <v>Thuế: 27 bài
Hộ kinh doanh &amp; bán hàng: 5 bài
Doanh nghiệp (tài khoản, vay, tài chính): 1 bài</v>
      </c>
      <c r="H10" s="33" t="str">
        <f>IFERROR(__xludf.DUMMYFUNCTION("TEXTJOIN(CHAR(10),TRUE,FILTER('Kế hoạch chèn link (mới)'!$D$3:$D$2213,'Kế hoạch chèn link (mới)'!$B$3:$B$2213=B10))"),"https://techcombank.com/thong-tin/blog/dang-ky-thue-ho-kinh-doanh-ca-the-online
https://techcombank.com/thong-tin/blog/cach-tinh-thue-thu-nhap-ca-nhan-2025
https://techcombank.com/thong-tin/blog/lien-ket-tai-khoan-ngan-hang-voi-etax-mobile
https://techcom"&amp;"bank.com/thong-tin/blog/kiem-tra-thue-ho-kinh-doanh
https://techcombank.com/thong-tin/blog/thue-thuong-mai-dien-tu
https://techcombank.com/thong-tin/blog/ho-kinh-doanh-dong-thue-nhu-nao
https://techcombank.com/thong-tin/blog/tim-hieu-ve-chinh-sach-thue-mo"&amp;"i
https://techcombank.com/thong-tin/blog/hoa-don-dien-tu
https://techcombank.com/thong-tin/blog/tra-cuu-ma-so-thue-ho-kinh-doanh
https://techcombank.com/thong-tin/blog/khai-bao-tai-khoan-ngan-hang-voi-co-quan-thue
https://techcombank.com/thong-tin/blog/lu"&amp;"at-thuong-mai-dien-tu
https://techcombank.com/thong-tin/blog/thue-khoan-ho-kinh-doanh-la-gi
https://techcombank.com/thong-tin/blog/ho-kinh-doanh-la-gi
https://techcombank.com/thong-tin/blog/ke-khai-thue-ho-kinh-doanh-ca-the-online
https://techcombank.com/"&amp;"thong-tin/blog/hoan-thue-thu-nhap-ca-nhan
https://techcombank.com/thong-tin/blog/truy-thu-thue-ho-kinh-doanh
https://techcombank.com/thong-tin/blog/kinh-doanh-online
https://techcombank.com/thong-tin/blog/nop-thue-dat-qua-ngan-hang
https://techcombank.com"&amp;"/thong-tin/blog/dong-ma-so-thue-ho-kinh-doanh
https://techcombank.com/thong-tin/blog/one-stop-shop
https://techcombank.com/thong-tin/blog/top-phan-mem-ban-hang
https://techcombank.com/thong-tin/blog/doanh-nghiep-moi-thanh-lap-duoc-uu-dai-gi
https://techco"&amp;"mbank.com/thong-tin/blog/phat-cham-dang-ky-thue-ho-kinh-doanh
https://techcombank.com/thong-tin/blog/thu-tuc-thanh-lap-doanh-nghiep
https://techcombank.com/thong-tin/blog/tra-cuu-no-thue-hai-quan
https://techcombank.com/thong-tin/blog/quyet-toan-thue-thu-"&amp;"nhap-ca-nhan
https://techcombank.com/thong-tin/blog/thue-thu-nhap-ca-nhan
https://techcombank.com/thong-tin/blog/dang-ky-ma-so-thue-ca-nhan
https://techcombank.com/thong-tin/blog/khoi-nghiep-truoc-chinh-sach-thue-moi
https://techcombank.com/thong-tin/blog"&amp;"/tien-chuyen-vao-tai-khoan-co-bi-tinh-thue-khong
https://techcombank.com/thong-tin/blog/nop-thue-hai-quan
https://techcombank.com/thong-tin/blog/quyet-toan-thue-doanh-nghiep
https://techcombank.com/thong-tin/blog/thue-doanh-nghiep-2025")</f>
        <v>https://techcombank.com/thong-tin/blog/dang-ky-thue-ho-kinh-doanh-ca-the-online
https://techcombank.com/thong-tin/blog/cach-tinh-thue-thu-nhap-ca-nhan-2025
https://techcombank.com/thong-tin/blog/lien-ket-tai-khoan-ngan-hang-voi-etax-mobile
https://techcombank.com/thong-tin/blog/kiem-tra-thue-ho-kinh-doanh
https://techcombank.com/thong-tin/blog/thue-thuong-mai-dien-tu
https://techcombank.com/thong-tin/blog/ho-kinh-doanh-dong-thue-nhu-nao
https://techcombank.com/thong-tin/blog/tim-hieu-ve-chinh-sach-thue-moi
https://techcombank.com/thong-tin/blog/hoa-don-dien-tu
https://techcombank.com/thong-tin/blog/tra-cuu-ma-so-thue-ho-kinh-doanh
https://techcombank.com/thong-tin/blog/khai-bao-tai-khoan-ngan-hang-voi-co-quan-thue
https://techcombank.com/thong-tin/blog/luat-thuong-mai-dien-tu
https://techcombank.com/thong-tin/blog/thue-khoan-ho-kinh-doanh-la-gi
https://techcombank.com/thong-tin/blog/ho-kinh-doanh-la-gi
https://techcombank.com/thong-tin/blog/ke-khai-thue-ho-kinh-doanh-ca-the-online
https://techcombank.com/thong-tin/blog/hoan-thue-thu-nhap-ca-nhan
https://techcombank.com/thong-tin/blog/truy-thu-thue-ho-kinh-doanh
https://techcombank.com/thong-tin/blog/kinh-doanh-online
https://techcombank.com/thong-tin/blog/nop-thue-dat-qua-ngan-hang
https://techcombank.com/thong-tin/blog/dong-ma-so-thue-ho-kinh-doanh
https://techcombank.com/thong-tin/blog/one-stop-shop
https://techcombank.com/thong-tin/blog/top-phan-mem-ban-hang
https://techcombank.com/thong-tin/blog/doanh-nghiep-moi-thanh-lap-duoc-uu-dai-gi
https://techcombank.com/thong-tin/blog/phat-cham-dang-ky-thue-ho-kinh-doanh
https://techcombank.com/thong-tin/blog/thu-tuc-thanh-lap-doanh-nghiep
https://techcombank.com/thong-tin/blog/tra-cuu-no-thue-hai-quan
https://techcombank.com/thong-tin/blog/quyet-toan-thue-thu-nhap-ca-nhan
https://techcombank.com/thong-tin/blog/thue-thu-nhap-ca-nhan
https://techcombank.com/thong-tin/blog/dang-ky-ma-so-thue-ca-nhan
https://techcombank.com/thong-tin/blog/khoi-nghiep-truoc-chinh-sach-thue-moi
https://techcombank.com/thong-tin/blog/tien-chuyen-vao-tai-khoan-co-bi-tinh-thue-khong
https://techcombank.com/thong-tin/blog/nop-thue-hai-quan
https://techcombank.com/thong-tin/blog/quyet-toan-thue-doanh-nghiep
https://techcombank.com/thong-tin/blog/thue-doanh-nghiep-2025</v>
      </c>
    </row>
    <row r="11">
      <c r="A11" s="26">
        <v>4.0</v>
      </c>
      <c r="B11" s="27" t="s">
        <v>640</v>
      </c>
      <c r="C11" s="28" t="s">
        <v>603</v>
      </c>
      <c r="D11" s="29">
        <v>50.0</v>
      </c>
      <c r="E11" s="30">
        <f>COUNTIF('Kế hoạch chèn link (mới)'!$B$3:$B$2213,B11)</f>
        <v>42</v>
      </c>
      <c r="F11" s="31">
        <f t="shared" si="1"/>
        <v>8</v>
      </c>
      <c r="G11" s="32" t="str">
        <f>IFERROR(__xludf.DUMMYFUNCTION("IFERROR(LET(t,FILTER('Kế hoạch chèn link (mới)'!$M$3:$M$2213,'Kế hoạch chèn link (mới)'!$B$3:$B$2213=B11),u,UNIQUE(t),c,MAP(u,LAMBDA(x,COUNTIF(t,x))),s,SORT(HSTACK(u,c),2,FALSE),TEXTJOIN(CHAR(10),TRUE,BYROW(s,LAMBDA(r,INDEX(r,1,1)&amp;"": ""&amp;INDEX(r,1,2)&amp;"" b"&amp;"ài"")))),"""")"),"Thuế: 17 bài
Doanh nghiệp (tài khoản, vay, tài chính): 15 bài
Hộ kinh doanh &amp; bán hàng: 9 bài
Đầu tư, CCTG, trái phiếu, vàng: 1 bài")</f>
        <v>Thuế: 17 bài
Doanh nghiệp (tài khoản, vay, tài chính): 15 bài
Hộ kinh doanh &amp; bán hàng: 9 bài
Đầu tư, CCTG, trái phiếu, vàng: 1 bài</v>
      </c>
      <c r="H11" s="33" t="str">
        <f>IFERROR(__xludf.DUMMYFUNCTION("TEXTJOIN(CHAR(10),TRUE,FILTER('Kế hoạch chèn link (mới)'!$D$3:$D$2213,'Kế hoạch chèn link (mới)'!$B$3:$B$2213=B11))"),"https://techcombank.com/thong-tin/blog/nhung-chi-phi-khong-duoc-tru-khi-tinh-thue-tndn
https://techcombank.com/thong-tin/blog/quyet-toan-thue-doanh-nghiep
https://techcombank.com/thong-tin/blog/doanh-nghiep-moi-thanh-lap-duoc-uu-dai-gi
https://techcombank"&amp;".com/thong-tin/blog/loi-nhuan
https://techcombank.com/thong-tin/blog/ebitda-la-gi
https://techcombank.com/thong-tin/blog/tiem-nang-chuyen-doi-tu-ho-kinh-doanh-len-doanh-nghiep-sme
https://techcombank.com/thong-tin/blog/wacc-la-gi
https://techcombank.com/t"&amp;"hong-tin/blog/cach-su-dung-tai-khoan-cong-ty
https://techcombank.com/thong-tin/blog/khau-hao
https://techcombank.com/thong-tin/blog/cach-tinh-thue-thu-nhap-doanh-nghiep
https://techcombank.com/thong-tin/blog/giai-dap-ve-thue-doanh-nghiep
https://techcomba"&amp;"nk.com/thong-tin/blog/loi-nhuan-rong
https://techcombank.com/thong-tin/blog/thue-doanh-nghiep
https://techcombank.com/thong-tin/blog/tim-hieu-ve-chinh-sach-thue-moi
https://techcombank.com/thong-tin/blog/ke-khai-thue-doanh-nghiep
https://techcombank.com/t"&amp;"hong-tin/blog/nen-thanh-lap-ho-kinh-doanh-ke-khai-hay-doanh-nghiep
https://techcombank.com/thong-tin/blog/thue-phi-co-dinh-khi-chuyen-doi-tu-ho-kinh-doanh-len-doanh-nghiep
https://techcombank.com/thong-tin/blog/cac-sai-lam-pho-bien-khi-chuyen-doi-ho-kinh-"&amp;"doanh-len-sme
https://techcombank.com/thong-tin/blog/hieu-hiet-ve-tuan-thu-thue-cho-cac-doanh-nghiep-khoi-nghiep
https://techcombank.com/thong-tin/blog/loi-ich-khi-ho-kinh-doanh-chuyen-len-doanh-nghiep
https://techcombank.com/thong-tin/blog/chuyen-doi-ho-"&amp;"kinh-doanh-len-doanh-nghiep
https://techcombank.com/thong-tin/blog/tra-luong-tien-mat
https://techcombank.com/thong-tin/blog/luu-y-khi-chuyen-doi-tu-ho-kinh-doanh-len-doanh-nghiep
https://techcombank.com/thong-tin/blog/tra-cuu-no-thue-doanh-nghiep
https:/"&amp;"/techcombank.com/thong-tin/blog/khoi-nghiep-truoc-chinh-sach-thue-moi
https://techcombank.com/thong-tin/blog/roa
https://techcombank.com/thong-tin/blog/mo-tai-khoan-doanh-nghiep
https://techcombank.com/thong-tin/blog/chuan-bi-cho-doanh-nghiep-khoi-nghiep-"&amp;"truoc-nhung-thay-doi-ve-thue
https://techcombank.com/thong-tin/blog/thue-doanh-nghiep-2025
https://techcombank.com/thong-tin/blog/cach-nop-thue-dien-tu
https://techcombank.com/thong-tin/blog/hoan-thue-doanh-nghiep
https://techcombank.com/thong-tin/blog/lu"&amp;"u-y-khi-chuyen-tien-vao-tai-khoan-cong-ty
https://techcombank.com/thong-tin/blog/quan-ly-tai-chinh-doanh-nghiep-la-gi
https://techcombank.com/thong-tin/blog/top-phan-mem-ban-hang
https://techcombank.com/thong-tin/blog/dong-tai-khoan-ngan-hang-cong-ty
http"&amp;"s://techcombank.com/thong-tin/blog/dieu-kien-thanh-lap-doanh-nghiep
https://techcombank.com/thong-tin/blog/thu-tuc-thanh-lap-doanh-nghiep
https://techcombank.com/thong-tin/blog/chi-phi-mo-tai-khoan-ngan-hang-cho-cong-ty
https://techcombank.com/thong-tin/b"&amp;"log/cach-quan-ly-tai-chinh-kinh-doanh
https://techcombank.com/thong-tin/blog/cong-ty-xuat-nhap-khau
https://techcombank.com/thong-tin/blog/luat-thuong-mai-dien-tu
https://techcombank.com/thong-tin/blog/chinh-sach-thue-moi")</f>
        <v>https://techcombank.com/thong-tin/blog/nhung-chi-phi-khong-duoc-tru-khi-tinh-thue-tndn
https://techcombank.com/thong-tin/blog/quyet-toan-thue-doanh-nghiep
https://techcombank.com/thong-tin/blog/doanh-nghiep-moi-thanh-lap-duoc-uu-dai-gi
https://techcombank.com/thong-tin/blog/loi-nhuan
https://techcombank.com/thong-tin/blog/ebitda-la-gi
https://techcombank.com/thong-tin/blog/tiem-nang-chuyen-doi-tu-ho-kinh-doanh-len-doanh-nghiep-sme
https://techcombank.com/thong-tin/blog/wacc-la-gi
https://techcombank.com/thong-tin/blog/cach-su-dung-tai-khoan-cong-ty
https://techcombank.com/thong-tin/blog/khau-hao
https://techcombank.com/thong-tin/blog/cach-tinh-thue-thu-nhap-doanh-nghiep
https://techcombank.com/thong-tin/blog/giai-dap-ve-thue-doanh-nghiep
https://techcombank.com/thong-tin/blog/loi-nhuan-rong
https://techcombank.com/thong-tin/blog/thue-doanh-nghiep
https://techcombank.com/thong-tin/blog/tim-hieu-ve-chinh-sach-thue-moi
https://techcombank.com/thong-tin/blog/ke-khai-thue-doanh-nghiep
https://techcombank.com/thong-tin/blog/nen-thanh-lap-ho-kinh-doanh-ke-khai-hay-doanh-nghiep
https://techcombank.com/thong-tin/blog/thue-phi-co-dinh-khi-chuyen-doi-tu-ho-kinh-doanh-len-doanh-nghiep
https://techcombank.com/thong-tin/blog/cac-sai-lam-pho-bien-khi-chuyen-doi-ho-kinh-doanh-len-sme
https://techcombank.com/thong-tin/blog/hieu-hiet-ve-tuan-thu-thue-cho-cac-doanh-nghiep-khoi-nghiep
https://techcombank.com/thong-tin/blog/loi-ich-khi-ho-kinh-doanh-chuyen-len-doanh-nghiep
https://techcombank.com/thong-tin/blog/chuyen-doi-ho-kinh-doanh-len-doanh-nghiep
https://techcombank.com/thong-tin/blog/tra-luong-tien-mat
https://techcombank.com/thong-tin/blog/luu-y-khi-chuyen-doi-tu-ho-kinh-doanh-len-doanh-nghiep
https://techcombank.com/thong-tin/blog/tra-cuu-no-thue-doanh-nghiep
https://techcombank.com/thong-tin/blog/khoi-nghiep-truoc-chinh-sach-thue-moi
https://techcombank.com/thong-tin/blog/roa
https://techcombank.com/thong-tin/blog/mo-tai-khoan-doanh-nghiep
https://techcombank.com/thong-tin/blog/chuan-bi-cho-doanh-nghiep-khoi-nghiep-truoc-nhung-thay-doi-ve-thue
https://techcombank.com/thong-tin/blog/thue-doanh-nghiep-2025
https://techcombank.com/thong-tin/blog/cach-nop-thue-dien-tu
https://techcombank.com/thong-tin/blog/hoan-thue-doanh-nghiep
https://techcombank.com/thong-tin/blog/luu-y-khi-chuyen-tien-vao-tai-khoan-cong-ty
https://techcombank.com/thong-tin/blog/quan-ly-tai-chinh-doanh-nghiep-la-gi
https://techcombank.com/thong-tin/blog/top-phan-mem-ban-hang
https://techcombank.com/thong-tin/blog/dong-tai-khoan-ngan-hang-cong-ty
https://techcombank.com/thong-tin/blog/dieu-kien-thanh-lap-doanh-nghiep
https://techcombank.com/thong-tin/blog/thu-tuc-thanh-lap-doanh-nghiep
https://techcombank.com/thong-tin/blog/chi-phi-mo-tai-khoan-ngan-hang-cho-cong-ty
https://techcombank.com/thong-tin/blog/cach-quan-ly-tai-chinh-kinh-doanh
https://techcombank.com/thong-tin/blog/cong-ty-xuat-nhap-khau
https://techcombank.com/thong-tin/blog/luat-thuong-mai-dien-tu
https://techcombank.com/thong-tin/blog/chinh-sach-thue-moi</v>
      </c>
    </row>
    <row r="12">
      <c r="A12" s="26">
        <v>11.0</v>
      </c>
      <c r="B12" s="27" t="s">
        <v>654</v>
      </c>
      <c r="C12" s="28" t="s">
        <v>655</v>
      </c>
      <c r="D12" s="29">
        <v>50.0</v>
      </c>
      <c r="E12" s="30">
        <f>COUNTIF('Kế hoạch chèn link (mới)'!$B$3:$B$2213,B12)</f>
        <v>23</v>
      </c>
      <c r="F12" s="31">
        <f t="shared" si="1"/>
        <v>27</v>
      </c>
      <c r="G12" s="32" t="str">
        <f>IFERROR(__xludf.DUMMYFUNCTION("IFERROR(LET(t,FILTER('Kế hoạch chèn link (mới)'!$M$3:$M$2213,'Kế hoạch chèn link (mới)'!$B$3:$B$2213=B12),u,UNIQUE(t),c,MAP(u,LAMBDA(x,COUNTIF(t,x))),s,SORT(HSTACK(u,c),2,FALSE),TEXTJOIN(CHAR(10),TRUE,BYROW(s,LAMBDA(r,INDEX(r,1,1)&amp;"": ""&amp;INDEX(r,1,2)&amp;"" b"&amp;"ài"")))),"""")"),"Tài khoản &amp; ngân hàng số: 5 bài
Thanh toán, chuyển khoản &amp; QR: 3 bài
Thẻ tín dụng: 3 bài
Quản lý tài chính cá nhân: 3 bài
Đầu tư, CCTG, trái phiếu, vàng: 2 bài
Tiết kiệm &amp; lãi suất tiền gửi: 1 bài
Ưu đãi, du lịch &amp; đời sống: 1 bài
Khác: 1 bài
Thị trường &amp;"&amp;" giá cả: 1 bài
Ngoại tệ &amp; chuyển tiền quốc tế: 1 bài
Vay thế chấp &amp; mua nhà/xe: 1 bài
Vay tiêu dùng &amp; tín chấp: 1 bài")</f>
        <v>Tài khoản &amp; ngân hàng số: 5 bài
Thanh toán, chuyển khoản &amp; QR: 3 bài
Thẻ tín dụng: 3 bài
Quản lý tài chính cá nhân: 3 bài
Đầu tư, CCTG, trái phiếu, vàng: 2 bài
Tiết kiệm &amp; lãi suất tiền gửi: 1 bài
Ưu đãi, du lịch &amp; đời sống: 1 bài
Khác: 1 bài
Thị trường &amp; giá cả: 1 bài
Ngoại tệ &amp; chuyển tiền quốc tế: 1 bài
Vay thế chấp &amp; mua nhà/xe: 1 bài
Vay tiêu dùng &amp; tín chấp: 1 bài</v>
      </c>
      <c r="H12" s="33" t="str">
        <f>IFERROR(__xludf.DUMMYFUNCTION("TEXTJOIN(CHAR(10),TRUE,FILTER('Kế hoạch chèn link (mới)'!$D$3:$D$2213,'Kế hoạch chèn link (mới)'!$B$3:$B$2213=B12))"),"https://techcombank.com/thong-tin/blog/cach-tiet-kiem-100-trieu-1-nam
https://techcombank.com/thong-tin/blog/tra-cuu-hoa-don-tien-dien
https://techcombank.com/thong-tin/blog/cach-dong-tien-dien-qua-tai-khoan-ngan-hang
https://techcombank.com/thong-tin/blo"&amp;"g/app-dong-tien-dien-online
https://techcombank.com/thong-tin/blog/thanh-toan-tien-dien-bang-the-tin-dung
https://techcombank.com/thong-tin/blog/co-loyalty-la-gi
https://techcombank.com/thong-tin/blog/thoi-gian-hoan-tien-the-tin-dung
https://techcombank.c"&amp;"om/thong-tin/blog/cpi-la-gi
https://techcombank.com/thong-tin/blog/dau-tu-tai-chinh-ca-nhan
https://techcombank.com/thong-tin/blog/hu-chi-tieu
https://techcombank.com/thong-tin/blog/chi-tra-luong-huu
https://techcombank.com/thong-tin/blog/gia-xang-dau-hom"&amp;"-nay
https://techcombank.com/thong-tin/blog/app-ngan-hang-co-dung-duoc-o-nuoc-ngoai
https://techcombank.com/thong-tin/blog/fintech-la-gi
https://techcombank.com/thong-tin/blog/ngan-hang-dien-tu
https://techcombank.com/thong-tin/blog/the-tin-dung-la-gi
htt"&amp;"ps://techcombank.com/thong-tin/blog/thanh-toan-phi-quan-ly-chung-cu
https://techcombank.com/thong-tin/blog/cach-huy-thanh-toan-tien-dien
https://techcombank.com/thong-tin/blog/mo-tai-khoan-ngan-hang-bang-so-dien-thoai
https://techcombank.com/thong-tin/blo"&amp;"g/app-mua-truoc-tra-sau
https://techcombank.com/thong-tin/blog/app-ngan-hang
https://techcombank.com/thong-tin/blog/app-quan-ly-chi-tieu
https://techcombank.com/thong-tin/blog/cach-nap-the-viettel")</f>
        <v>https://techcombank.com/thong-tin/blog/cach-tiet-kiem-100-trieu-1-nam
https://techcombank.com/thong-tin/blog/tra-cuu-hoa-don-tien-dien
https://techcombank.com/thong-tin/blog/cach-dong-tien-dien-qua-tai-khoan-ngan-hang
https://techcombank.com/thong-tin/blog/app-dong-tien-dien-online
https://techcombank.com/thong-tin/blog/thanh-toan-tien-dien-bang-the-tin-dung
https://techcombank.com/thong-tin/blog/co-loyalty-la-gi
https://techcombank.com/thong-tin/blog/thoi-gian-hoan-tien-the-tin-dung
https://techcombank.com/thong-tin/blog/cpi-la-gi
https://techcombank.com/thong-tin/blog/dau-tu-tai-chinh-ca-nhan
https://techcombank.com/thong-tin/blog/hu-chi-tieu
https://techcombank.com/thong-tin/blog/chi-tra-luong-huu
https://techcombank.com/thong-tin/blog/gia-xang-dau-hom-nay
https://techcombank.com/thong-tin/blog/app-ngan-hang-co-dung-duoc-o-nuoc-ngoai
https://techcombank.com/thong-tin/blog/fintech-la-gi
https://techcombank.com/thong-tin/blog/ngan-hang-dien-tu
https://techcombank.com/thong-tin/blog/the-tin-dung-la-gi
https://techcombank.com/thong-tin/blog/thanh-toan-phi-quan-ly-chung-cu
https://techcombank.com/thong-tin/blog/cach-huy-thanh-toan-tien-dien
https://techcombank.com/thong-tin/blog/mo-tai-khoan-ngan-hang-bang-so-dien-thoai
https://techcombank.com/thong-tin/blog/app-mua-truoc-tra-sau
https://techcombank.com/thong-tin/blog/app-ngan-hang
https://techcombank.com/thong-tin/blog/app-quan-ly-chi-tieu
https://techcombank.com/thong-tin/blog/cach-nap-the-viettel</v>
      </c>
    </row>
    <row r="13">
      <c r="A13" s="26">
        <v>12.0</v>
      </c>
      <c r="B13" s="27" t="s">
        <v>474</v>
      </c>
      <c r="C13" s="28" t="s">
        <v>655</v>
      </c>
      <c r="D13" s="29">
        <v>50.0</v>
      </c>
      <c r="E13" s="30">
        <f>COUNTIF('Kế hoạch chèn link (mới)'!$B$3:$B$2213,B13)</f>
        <v>41</v>
      </c>
      <c r="F13" s="31">
        <f t="shared" si="1"/>
        <v>9</v>
      </c>
      <c r="G13" s="32" t="str">
        <f>IFERROR(__xludf.DUMMYFUNCTION("IFERROR(LET(t,FILTER('Kế hoạch chèn link (mới)'!$M$3:$M$2213,'Kế hoạch chèn link (mới)'!$B$3:$B$2213=B13),u,UNIQUE(t),c,MAP(u,LAMBDA(x,COUNTIF(t,x))),s,SORT(HSTACK(u,c),2,FALSE),TEXTJOIN(CHAR(10),TRUE,BYROW(s,LAMBDA(r,INDEX(r,1,1)&amp;"": ""&amp;INDEX(r,1,2)&amp;"" b"&amp;"ài"")))),"""")"),"Thuế: 21 bài
Hộ kinh doanh &amp; bán hàng: 8 bài
Đầu tư, CCTG, trái phiếu, vàng: 4 bài
Ngoại tệ &amp; chuyển tiền quốc tế: 2 bài
Quản lý tài chính cá nhân: 2 bài
Vay thế chấp &amp; mua nhà/xe: 1 bài
Doanh nghiệp (tài khoản, vay, tài chính): 1 bài
Tài khoản &amp; ngân hàn"&amp;"g số: 1 bài
Vay tiêu dùng &amp; tín chấp: 1 bài")</f>
        <v>Thuế: 21 bài
Hộ kinh doanh &amp; bán hàng: 8 bài
Đầu tư, CCTG, trái phiếu, vàng: 4 bài
Ngoại tệ &amp; chuyển tiền quốc tế: 2 bài
Quản lý tài chính cá nhân: 2 bài
Vay thế chấp &amp; mua nhà/xe: 1 bài
Doanh nghiệp (tài khoản, vay, tài chính): 1 bài
Tài khoản &amp; ngân hàng số: 1 bài
Vay tiêu dùng &amp; tín chấp: 1 bài</v>
      </c>
      <c r="H13" s="33" t="str">
        <f>IFERROR(__xludf.DUMMYFUNCTION("TEXTJOIN(CHAR(10),TRUE,FILTER('Kế hoạch chèn link (mới)'!$D$3:$D$2213,'Kế hoạch chèn link (mới)'!$B$3:$B$2213=B13))"),"https://techcombank.com/thong-tin/blog/quyet-toan-thue-thu-nhap-ca-nhan
https://techcombank.com/thong-tin/blog/tien-chuyen-vao-tai-khoan-co-bi-tinh-thue-khong
https://techcombank.com/thong-tin/blog/hieu-hiet-ve-tuan-thu-thue-cho-cac-doanh-nghiep-khoi-nghi"&amp;"ep
https://techcombank.com/thong-tin/blog/gia-chung-chi-quy-la-gi
https://techcombank.com/thong-tin/blog/tiem-nang-chuyen-doi-tu-ho-kinh-doanh-len-doanh-nghiep-sme
https://techcombank.com/thong-tin/blog/cach-tinh-thue-ho-kinh-doanh-nho-le
https://techcomb"&amp;"ank.com/thong-tin/blog/tra-cuu-no-thue-ca-nhan
https://techcombank.com/thong-tin/blog/kiem-tra-thue-thu-nhap-ca-nhan
https://techcombank.com/thong-tin/blog/giai-dap-ve-thue-doanh-nghiep
https://techcombank.com/thong-tin/blog/hoan-thue-thu-nhap-ca-nhan
htt"&amp;"ps://techcombank.com/thong-tin/blog/lai-suat-chung-chi-quy
https://techcombank.com/thong-tin/blog/chuyen-nhuong-chung-chi-tien-gui
https://techcombank.com/thong-tin/blog/kinh-doanh-online
https://techcombank.com/thong-tin/blog/ho-kinh-doanh-dong-thue-nhu-"&amp;"nao
https://techcombank.com/thong-tin/blog/bi-quyet-tiet-kiem-tien-mua-nha
https://techcombank.com/thong-tin/blog/thue-khoan-ho-kinh-doanh-la-gi
https://techcombank.com/thong-tin/blog/ho-kinh-doanh-ca-the
https://techcombank.com/thong-tin/blog/dau-tu-quy-"&amp;"mo
https://techcombank.com/thong-tin/blog/thue-ho-kinh-doanh-2025
https://techcombank.com/thong-tin/blog/luu-y-khi-chuyen-doi-tu-ho-kinh-doanh-len-doanh-nghiep
https://techcombank.com/thong-tin/blog/ho-kinh-doanh-la-gi
https://techcombank.com/thong-tin/bl"&amp;"og/thue-doanh-nghiep
https://techcombank.com/thong-tin/blog/nhung-ho-kinh-doanh-duoc-mien-thue
https://techcombank.com/thong-tin/blog/thue-phi-co-dinh-khi-chuyen-doi-tu-ho-kinh-doanh-len-doanh-nghiep
https://techcombank.com/thong-tin/blog/app-tra-luong
ht"&amp;"tps://techcombank.com/thong-tin/blog/kinh-nghiem-chuyen-doi-tu-ho-kinh-doanh-len-doanh-nghiep
https://techcombank.com/thong-tin/blog/kieu-hoi-la-gi
https://techcombank.com/thong-tin/blog/cach-nhan-tien-tu-nuoc-ngoai-ve-viet-nam
https://techcombank.com/tho"&amp;"ng-tin/blog/sao-ke-luong
https://techcombank.com/thong-tin/blog/dang-ky-ma-so-thue-ca-nhan
https://techcombank.com/thong-tin/blog/ke-khai-thue-doanh-nghiep
https://techcombank.com/thong-tin/blog/chuyen-doi-ho-kinh-doanh-len-doanh-nghiep
https://techcomban"&amp;"k.com/thong-tin/blog/chinh-sach-tang-luong-huu
https://techcombank.com/thong-tin/blog/cach-tinh-thue-thu-nhap-doanh-nghiep
https://techcombank.com/thong-tin/blog/hu-chi-tieu
https://techcombank.com/thong-tin/blog/dong-ma-so-thue-ho-kinh-doanh
https://tech"&amp;"combank.com/thong-tin/blog/vay-tien-online
https://techcombank.com/thong-tin/blog/hoa-don-dien-tu
https://techcombank.com/thong-tin/blog/phat-cham-dang-ky-thue-ho-kinh-doanh
https://techcombank.com/thong-tin/blog/thue-vat-la-gi
https://techcombank.com/tho"&amp;"ng-tin/blog/thue-thuong-mai-dien-tu")</f>
        <v>https://techcombank.com/thong-tin/blog/quyet-toan-thue-thu-nhap-ca-nhan
https://techcombank.com/thong-tin/blog/tien-chuyen-vao-tai-khoan-co-bi-tinh-thue-khong
https://techcombank.com/thong-tin/blog/hieu-hiet-ve-tuan-thu-thue-cho-cac-doanh-nghiep-khoi-nghiep
https://techcombank.com/thong-tin/blog/gia-chung-chi-quy-la-gi
https://techcombank.com/thong-tin/blog/tiem-nang-chuyen-doi-tu-ho-kinh-doanh-len-doanh-nghiep-sme
https://techcombank.com/thong-tin/blog/cach-tinh-thue-ho-kinh-doanh-nho-le
https://techcombank.com/thong-tin/blog/tra-cuu-no-thue-ca-nhan
https://techcombank.com/thong-tin/blog/kiem-tra-thue-thu-nhap-ca-nhan
https://techcombank.com/thong-tin/blog/giai-dap-ve-thue-doanh-nghiep
https://techcombank.com/thong-tin/blog/hoan-thue-thu-nhap-ca-nhan
https://techcombank.com/thong-tin/blog/lai-suat-chung-chi-quy
https://techcombank.com/thong-tin/blog/chuyen-nhuong-chung-chi-tien-gui
https://techcombank.com/thong-tin/blog/kinh-doanh-online
https://techcombank.com/thong-tin/blog/ho-kinh-doanh-dong-thue-nhu-nao
https://techcombank.com/thong-tin/blog/bi-quyet-tiet-kiem-tien-mua-nha
https://techcombank.com/thong-tin/blog/thue-khoan-ho-kinh-doanh-la-gi
https://techcombank.com/thong-tin/blog/ho-kinh-doanh-ca-the
https://techcombank.com/thong-tin/blog/dau-tu-quy-mo
https://techcombank.com/thong-tin/blog/thue-ho-kinh-doanh-2025
https://techcombank.com/thong-tin/blog/luu-y-khi-chuyen-doi-tu-ho-kinh-doanh-len-doanh-nghiep
https://techcombank.com/thong-tin/blog/ho-kinh-doanh-la-gi
https://techcombank.com/thong-tin/blog/thue-doanh-nghiep
https://techcombank.com/thong-tin/blog/nhung-ho-kinh-doanh-duoc-mien-thue
https://techcombank.com/thong-tin/blog/thue-phi-co-dinh-khi-chuyen-doi-tu-ho-kinh-doanh-len-doanh-nghiep
https://techcombank.com/thong-tin/blog/app-tra-luong
https://techcombank.com/thong-tin/blog/kinh-nghiem-chuyen-doi-tu-ho-kinh-doanh-len-doanh-nghiep
https://techcombank.com/thong-tin/blog/kieu-hoi-la-gi
https://techcombank.com/thong-tin/blog/cach-nhan-tien-tu-nuoc-ngoai-ve-viet-nam
https://techcombank.com/thong-tin/blog/sao-ke-luong
https://techcombank.com/thong-tin/blog/dang-ky-ma-so-thue-ca-nhan
https://techcombank.com/thong-tin/blog/ke-khai-thue-doanh-nghiep
https://techcombank.com/thong-tin/blog/chuyen-doi-ho-kinh-doanh-len-doanh-nghiep
https://techcombank.com/thong-tin/blog/chinh-sach-tang-luong-huu
https://techcombank.com/thong-tin/blog/cach-tinh-thue-thu-nhap-doanh-nghiep
https://techcombank.com/thong-tin/blog/hu-chi-tieu
https://techcombank.com/thong-tin/blog/dong-ma-so-thue-ho-kinh-doanh
https://techcombank.com/thong-tin/blog/vay-tien-online
https://techcombank.com/thong-tin/blog/hoa-don-dien-tu
https://techcombank.com/thong-tin/blog/phat-cham-dang-ky-thue-ho-kinh-doanh
https://techcombank.com/thong-tin/blog/thue-vat-la-gi
https://techcombank.com/thong-tin/blog/thue-thuong-mai-dien-tu</v>
      </c>
    </row>
    <row r="14">
      <c r="A14" s="26">
        <v>29.0</v>
      </c>
      <c r="B14" s="27" t="s">
        <v>682</v>
      </c>
      <c r="C14" s="28" t="s">
        <v>97</v>
      </c>
      <c r="D14" s="29">
        <v>50.0</v>
      </c>
      <c r="E14" s="30">
        <f>COUNTIF('Kế hoạch chèn link (mới)'!$B$3:$B$2213,B14)</f>
        <v>41</v>
      </c>
      <c r="F14" s="31">
        <f t="shared" si="1"/>
        <v>9</v>
      </c>
      <c r="G14" s="32" t="str">
        <f>IFERROR(__xludf.DUMMYFUNCTION("IFERROR(LET(t,FILTER('Kế hoạch chèn link (mới)'!$M$3:$M$2213,'Kế hoạch chèn link (mới)'!$B$3:$B$2213=B14),u,UNIQUE(t),c,MAP(u,LAMBDA(x,COUNTIF(t,x))),s,SORT(HSTACK(u,c),2,FALSE),TEXTJOIN(CHAR(10),TRUE,BYROW(s,LAMBDA(r,INDEX(r,1,1)&amp;"": ""&amp;INDEX(r,1,2)&amp;"" b"&amp;"ài"")))),"""")"),"Thẻ tín dụng: 18 bài
Thẻ ATM &amp; thẻ ghi nợ: 7 bài
Vay tiêu dùng &amp; tín chấp: 4 bài
Tài khoản &amp; ngân hàng số: 3 bài
Thanh toán, chuyển khoản &amp; QR: 2 bài
Hộ kinh doanh &amp; bán hàng: 2 bài
Tiết kiệm &amp; lãi suất tiền gửi: 2 bài
Doanh nghiệp (tài khoản, vay, tài ch"&amp;"ính): 1 bài
Ngoại tệ &amp; chuyển tiền quốc tế: 1 bài
Ngân hàng xanh &amp; thương hiệu: 1 bài")</f>
        <v>Thẻ tín dụng: 18 bài
Thẻ ATM &amp; thẻ ghi nợ: 7 bài
Vay tiêu dùng &amp; tín chấp: 4 bài
Tài khoản &amp; ngân hàng số: 3 bài
Thanh toán, chuyển khoản &amp; QR: 2 bài
Hộ kinh doanh &amp; bán hàng: 2 bài
Tiết kiệm &amp; lãi suất tiền gửi: 2 bài
Doanh nghiệp (tài khoản, vay, tài chính): 1 bài
Ngoại tệ &amp; chuyển tiền quốc tế: 1 bài
Ngân hàng xanh &amp; thương hiệu: 1 bài</v>
      </c>
      <c r="H14" s="33" t="str">
        <f>IFERROR(__xludf.DUMMYFUNCTION("TEXTJOIN(CHAR(10),TRUE,FILTER('Kế hoạch chèn link (mới)'!$D$3:$D$2213,'Kế hoạch chèn link (mới)'!$B$3:$B$2213=B14))"),"https://techcombank.com/thong-tin/blog/phi-rut-tien-mat-the-tin-dung
https://techcombank.com/thong-tin/blog/mo-the-tin-dung-co-loi-ich-gi
https://techcombank.com/thong-tin/blog/tin-dung-la-gi
https://techcombank.com/thong-tin/blog/the-visa-co-rut-tien-duo"&amp;"c-khong
https://techcombank.com/thong-tin/blog/the-tin-dung-co-chuyen-khoan-duoc-khong
https://techcombank.com/thong-tin/blog/qua-han-thanh-toan-the-tin-dung-1-ngay
https://techcombank.com/thong-tin/blog/mat-the-tin-dung-co-bi-mat-tien-khong
https://techc"&amp;"ombank.com/thong-tin/blog/the-tin-dung-quoc-te
https://techcombank.com/thong-tin/blog/the-visa-ao-la-gi
https://techcombank.com/thong-tin/blog/cach-su-dung-the-tin-dung
https://techcombank.com/thong-tin/blog/cach-rut-tien-atm
https://techcombank.com/thong"&amp;"-tin/blog/lam-the-tin-dung-co-mat-phi-khong
https://techcombank.com/thong-tin/blog/cach-su-dung-the-visa-techcombank
https://techcombank.com/thong-tin/blog/the-tin-dung-co-ma-pin-khong
https://techcombank.com/thong-tin/blog/the-visa
https://techcombank.co"&amp;"m/thong-tin/blog/cay-atm-gan-day
https://techcombank.com/thong-tin/blog/cach-su-dung-the-ghi-no
https://techcombank.com/thong-tin/blog/the-ghi-no-co-rut-tien-duoc-khong
https://techcombank.com/thong-tin/blog/the-tin-dung-noi-dia
https://techcombank.com/th"&amp;"ong-tin/blog/the-ghi-no-visa-la-gi
https://techcombank.com/thong-tin/blog/in-ma-qr-ngan-hang
https://techcombank.com/thong-tin/blog/merchant-la-gi
https://techcombank.com/thong-tin/blog/rut-tien-mat-tu-tai-khoan-doanh-nghiep
https://techcombank.com/thong-"&amp;"tin/blog/cdm
https://techcombank.com/thong-tin/blog/rut-tien-bang-ma-qr-khac-ngan-hang-duoc-khong
https://techcombank.com/thong-tin/blog/the-visa-de-lam-gi
https://techcombank.com/thong-tin/blog/the-atm-khong-rut-duoc-tien
https://techcombank.com/thong-ti"&amp;"n/blog/rut-tien-bang-ma-qr-la-gi-cach-thuc-hien-nhu-the-nao
https://techcombank.com/thong-tin/blog/thanh-toan-khong-dung-tien-mat-tro-thanh-xu-huong-tang-truong-chong-mat
https://techcombank.com/thong-tin/blog/tien-gui-khong-ky-han
https://techcombank.com"&amp;"/thong-tin/blog/han-muc-tra-gop-the-tin-dung
https://techcombank.com/thong-tin/blog/sao-ke-the-tin-dung-la-gi
https://techcombank.com/thong-tin/blog/cach-tiet-kiem-tien-cua-nguoi-nhat
https://techcombank.com/thong-tin/blog/tra-gop-qua-the-tin-dung
https:/"&amp;"/techcombank.com/thong-tin/blog/lam-ho-so-tra-gop-dien-thoai
https://techcombank.com/thong-tin/blog/tra-gop-shopee
https://techcombank.com/thong-tin/blog/app-chia-tien
https://techcombank.com/thong-tin/blog/eco-card
https://techcombank.com/thong-tin/blog/"&amp;"lam-the-visa-online
https://techcombank.com/thong-tin/blog/so-du-kha-dung
https://techcombank.com/thong-tin/blog/so-du-tai-khoan-thanh-toan")</f>
        <v>https://techcombank.com/thong-tin/blog/phi-rut-tien-mat-the-tin-dung
https://techcombank.com/thong-tin/blog/mo-the-tin-dung-co-loi-ich-gi
https://techcombank.com/thong-tin/blog/tin-dung-la-gi
https://techcombank.com/thong-tin/blog/the-visa-co-rut-tien-duoc-khong
https://techcombank.com/thong-tin/blog/the-tin-dung-co-chuyen-khoan-duoc-khong
https://techcombank.com/thong-tin/blog/qua-han-thanh-toan-the-tin-dung-1-ngay
https://techcombank.com/thong-tin/blog/mat-the-tin-dung-co-bi-mat-tien-khong
https://techcombank.com/thong-tin/blog/the-tin-dung-quoc-te
https://techcombank.com/thong-tin/blog/the-visa-ao-la-gi
https://techcombank.com/thong-tin/blog/cach-su-dung-the-tin-dung
https://techcombank.com/thong-tin/blog/cach-rut-tien-atm
https://techcombank.com/thong-tin/blog/lam-the-tin-dung-co-mat-phi-khong
https://techcombank.com/thong-tin/blog/cach-su-dung-the-visa-techcombank
https://techcombank.com/thong-tin/blog/the-tin-dung-co-ma-pin-khong
https://techcombank.com/thong-tin/blog/the-visa
https://techcombank.com/thong-tin/blog/cay-atm-gan-day
https://techcombank.com/thong-tin/blog/cach-su-dung-the-ghi-no
https://techcombank.com/thong-tin/blog/the-ghi-no-co-rut-tien-duoc-khong
https://techcombank.com/thong-tin/blog/the-tin-dung-noi-dia
https://techcombank.com/thong-tin/blog/the-ghi-no-visa-la-gi
https://techcombank.com/thong-tin/blog/in-ma-qr-ngan-hang
https://techcombank.com/thong-tin/blog/merchant-la-gi
https://techcombank.com/thong-tin/blog/rut-tien-mat-tu-tai-khoan-doanh-nghiep
https://techcombank.com/thong-tin/blog/cdm
https://techcombank.com/thong-tin/blog/rut-tien-bang-ma-qr-khac-ngan-hang-duoc-khong
https://techcombank.com/thong-tin/blog/the-visa-de-lam-gi
https://techcombank.com/thong-tin/blog/the-atm-khong-rut-duoc-tien
https://techcombank.com/thong-tin/blog/rut-tien-bang-ma-qr-la-gi-cach-thuc-hien-nhu-the-nao
https://techcombank.com/thong-tin/blog/thanh-toan-khong-dung-tien-mat-tro-thanh-xu-huong-tang-truong-chong-mat
https://techcombank.com/thong-tin/blog/tien-gui-khong-ky-han
https://techcombank.com/thong-tin/blog/han-muc-tra-gop-the-tin-dung
https://techcombank.com/thong-tin/blog/sao-ke-the-tin-dung-la-gi
https://techcombank.com/thong-tin/blog/cach-tiet-kiem-tien-cua-nguoi-nhat
https://techcombank.com/thong-tin/blog/tra-gop-qua-the-tin-dung
https://techcombank.com/thong-tin/blog/lam-ho-so-tra-gop-dien-thoai
https://techcombank.com/thong-tin/blog/tra-gop-shopee
https://techcombank.com/thong-tin/blog/app-chia-tien
https://techcombank.com/thong-tin/blog/eco-card
https://techcombank.com/thong-tin/blog/lam-the-visa-online
https://techcombank.com/thong-tin/blog/so-du-kha-dung
https://techcombank.com/thong-tin/blog/so-du-tai-khoan-thanh-toan</v>
      </c>
    </row>
    <row r="15">
      <c r="A15" s="26">
        <v>33.0</v>
      </c>
      <c r="B15" s="27" t="s">
        <v>700</v>
      </c>
      <c r="C15" s="28" t="s">
        <v>97</v>
      </c>
      <c r="D15" s="29">
        <v>50.0</v>
      </c>
      <c r="E15" s="30">
        <f>COUNTIF('Kế hoạch chèn link (mới)'!$B$3:$B$2213,B15)</f>
        <v>28</v>
      </c>
      <c r="F15" s="31">
        <f t="shared" si="1"/>
        <v>22</v>
      </c>
      <c r="G15" s="32" t="str">
        <f>IFERROR(__xludf.DUMMYFUNCTION("IFERROR(LET(t,FILTER('Kế hoạch chèn link (mới)'!$M$3:$M$2213,'Kế hoạch chèn link (mới)'!$B$3:$B$2213=B15),u,UNIQUE(t),c,MAP(u,LAMBDA(x,COUNTIF(t,x))),s,SORT(HSTACK(u,c),2,FALSE),TEXTJOIN(CHAR(10),TRUE,BYROW(s,LAMBDA(r,INDEX(r,1,1)&amp;"": ""&amp;INDEX(r,1,2)&amp;"" b"&amp;"ài"")))),"""")"),"Thẻ tín dụng: 24 bài
Vay tiêu dùng &amp; tín chấp: 2 bài
Thẻ ATM &amp; thẻ ghi nợ: 1 bài
Doanh nghiệp (tài khoản, vay, tài chính): 1 bài")</f>
        <v>Thẻ tín dụng: 24 bài
Vay tiêu dùng &amp; tín chấp: 2 bài
Thẻ ATM &amp; thẻ ghi nợ: 1 bài
Doanh nghiệp (tài khoản, vay, tài chính): 1 bài</v>
      </c>
      <c r="H15" s="33" t="str">
        <f>IFERROR(__xludf.DUMMYFUNCTION("TEXTJOIN(CHAR(10),TRUE,FILTER('Kế hoạch chèn link (mới)'!$D$3:$D$2213,'Kế hoạch chèn link (mới)'!$B$3:$B$2213=B15))"),"https://techcombank.com/thong-tin/blog/lam-the-tin-dung-co-mat-phi-khong
https://techcombank.com/thong-tin/blog/mat-the-tin-dung-co-bi-mat-tien-khong
https://techcombank.com/thong-tin/blog/khong-su-dung-the-tin-dung-co-mat-phi-khong
https://techcombank.co"&amp;"m/thong-tin/blog/the-tin-dung-het-han
https://techcombank.com/thong-tin/blog/the-tin-dung-bi-khoa
https://techcombank.com/thong-tin/blog/cac-loai-the-tin-dung
https://techcombank.com/thong-tin/blog/lam-the-tin-dung
https://techcombank.com/thong-tin/blog/p"&amp;"hi-thuong-nien-la-gi
https://techcombank.com/thong-tin/blog/cach-khoa-the-ngan-hang
https://techcombank.com/thong-tin/blog/tai-khoan-doanh-nghiep-co-the-khong
https://techcombank.com/thong-tin/blog/tra-cuu-han-muc-the-tin-dung
https://techcombank.com/thon"&amp;"g-tin/blog/the-ghi-no-va-the-tin-dung
https://techcombank.com/thong-tin/blog/dao-han-the-tin-dung
https://techcombank.com/thong-tin/blog/uu-dai-mo-the-tin-dung
https://techcombank.com/thong-tin/blog/mo-the-tin-dung-han-muc-cao
https://techcombank.com/thon"&amp;"g-tin/blog/uu-dai-the-tin-dung
https://techcombank.com/thong-tin/blog/lai-suat-the-tin-dung
https://techcombank.com/thong-tin/blog/mo-the-tin-dung-co-loi-ich-gi
https://techcombank.com/thong-tin/blog/the-tin-dung-ao
https://techcombank.com/thong-tin/blog/"&amp;"thanh-toan-toi-thieu-the-tin-dung
https://techcombank.com/thong-tin/blog/thanh-toan-tra-gop-qua-the-tin-dung
https://techcombank.com/thong-tin/blog/sao-ke-the-tin-dung-la-gi
https://techcombank.com/thong-tin/blog/the-tin-dung-mien-phi-thuong-nien
https://"&amp;"techcombank.com/thong-tin/blog/so-cvv-la-gi
https://techcombank.com/thong-tin/blog/the-tin-dung-den
https://techcombank.com/thong-tin/blog/the-tin-dung-co-ma-pin-khong
https://techcombank.com/thong-tin/blog/the-tin-dung-noi-dia
https://techcombank.com/tho"&amp;"ng-tin/blog/lam-ho-so-tra-gop-dien-thoai")</f>
        <v>https://techcombank.com/thong-tin/blog/lam-the-tin-dung-co-mat-phi-khong
https://techcombank.com/thong-tin/blog/mat-the-tin-dung-co-bi-mat-tien-khong
https://techcombank.com/thong-tin/blog/khong-su-dung-the-tin-dung-co-mat-phi-khong
https://techcombank.com/thong-tin/blog/the-tin-dung-het-han
https://techcombank.com/thong-tin/blog/the-tin-dung-bi-khoa
https://techcombank.com/thong-tin/blog/cac-loai-the-tin-dung
https://techcombank.com/thong-tin/blog/lam-the-tin-dung
https://techcombank.com/thong-tin/blog/phi-thuong-nien-la-gi
https://techcombank.com/thong-tin/blog/cach-khoa-the-ngan-hang
https://techcombank.com/thong-tin/blog/tai-khoan-doanh-nghiep-co-the-khong
https://techcombank.com/thong-tin/blog/tra-cuu-han-muc-the-tin-dung
https://techcombank.com/thong-tin/blog/the-ghi-no-va-the-tin-dung
https://techcombank.com/thong-tin/blog/dao-han-the-tin-dung
https://techcombank.com/thong-tin/blog/uu-dai-mo-the-tin-dung
https://techcombank.com/thong-tin/blog/mo-the-tin-dung-han-muc-cao
https://techcombank.com/thong-tin/blog/uu-dai-the-tin-dung
https://techcombank.com/thong-tin/blog/lai-suat-the-tin-dung
https://techcombank.com/thong-tin/blog/mo-the-tin-dung-co-loi-ich-gi
https://techcombank.com/thong-tin/blog/the-tin-dung-ao
https://techcombank.com/thong-tin/blog/thanh-toan-toi-thieu-the-tin-dung
https://techcombank.com/thong-tin/blog/thanh-toan-tra-gop-qua-the-tin-dung
https://techcombank.com/thong-tin/blog/sao-ke-the-tin-dung-la-gi
https://techcombank.com/thong-tin/blog/the-tin-dung-mien-phi-thuong-nien
https://techcombank.com/thong-tin/blog/so-cvv-la-gi
https://techcombank.com/thong-tin/blog/the-tin-dung-den
https://techcombank.com/thong-tin/blog/the-tin-dung-co-ma-pin-khong
https://techcombank.com/thong-tin/blog/the-tin-dung-noi-dia
https://techcombank.com/thong-tin/blog/lam-ho-so-tra-gop-dien-thoai</v>
      </c>
    </row>
    <row r="16">
      <c r="A16" s="26">
        <v>52.0</v>
      </c>
      <c r="B16" s="27" t="s">
        <v>591</v>
      </c>
      <c r="C16" s="28" t="s">
        <v>708</v>
      </c>
      <c r="D16" s="29">
        <v>50.0</v>
      </c>
      <c r="E16" s="30">
        <f>COUNTIF('Kế hoạch chèn link (mới)'!$B$3:$B$2213,B16)</f>
        <v>44</v>
      </c>
      <c r="F16" s="31">
        <f t="shared" si="1"/>
        <v>6</v>
      </c>
      <c r="G16" s="32" t="str">
        <f>IFERROR(__xludf.DUMMYFUNCTION("IFERROR(LET(t,FILTER('Kế hoạch chèn link (mới)'!$M$3:$M$2213,'Kế hoạch chèn link (mới)'!$B$3:$B$2213=B16),u,UNIQUE(t),c,MAP(u,LAMBDA(x,COUNTIF(t,x))),s,SORT(HSTACK(u,c),2,FALSE),TEXTJOIN(CHAR(10),TRUE,BYROW(s,LAMBDA(r,INDEX(r,1,1)&amp;"": ""&amp;INDEX(r,1,2)&amp;"" b"&amp;"ài"")))),"""")"),"Thuế: 23 bài
Hộ kinh doanh &amp; bán hàng: 18 bài
Doanh nghiệp (tài khoản, vay, tài chính): 2 bài
Vay tiêu dùng &amp; tín chấp: 1 bài")</f>
        <v>Thuế: 23 bài
Hộ kinh doanh &amp; bán hàng: 18 bài
Doanh nghiệp (tài khoản, vay, tài chính): 2 bài
Vay tiêu dùng &amp; tín chấp: 1 bài</v>
      </c>
      <c r="H16" s="33" t="str">
        <f>IFERROR(__xludf.DUMMYFUNCTION("TEXTJOIN(CHAR(10),TRUE,FILTER('Kế hoạch chèn link (mới)'!$D$3:$D$2213,'Kế hoạch chèn link (mới)'!$B$3:$B$2213=B16))"),"https://techcombank.com/thong-tin/blog/thue-khoan-ho-kinh-doanh-la-gi
https://techcombank.com/thong-tin/blog/cach-nop-thue-dien-tu
https://techcombank.com/thong-tin/blog/kiem-tra-thue-ho-kinh-doanh
https://techcombank.com/thong-tin/blog/ke-khai-thue-ho-ki"&amp;"nh-doanh-ca-the-online
https://techcombank.com/thong-tin/blog/phat-cham-dang-ky-thue-ho-kinh-doanh
https://techcombank.com/thong-tin/blog/dang-ky-thue-ho-kinh-doanh-ca-the-online
https://techcombank.com/thong-tin/blog/chinh-sach-thue-moi
https://techcomba"&amp;"nk.com/thong-tin/blog/hoa-don-dien-tu
https://techcombank.com/thong-tin/blog/truy-thu-thue-ho-kinh-doanh
https://techcombank.com/thong-tin/blog/dong-ma-so-thue-ho-kinh-doanh
https://techcombank.com/thong-tin/blog/cach-dang-ky-ma-so-thue-ho-kinh-doanh-onli"&amp;"ne
https://techcombank.com/thong-tin/blog/tra-cuu-ma-so-thue-ho-kinh-doanh
https://techcombank.com/thong-tin/blog/thanh-lap-ho-kinh-doanh-ca-the
https://techcombank.com/thong-tin/blog/cach-tao-ma-qr
https://techcombank.com/thong-tin/blog/loi-ich-khi-ho-ki"&amp;"nh-doanh-chuyen-len-doanh-nghiep
https://techcombank.com/thong-tin/blog/tiem-nang-chuyen-doi-tu-ho-kinh-doanh-len-doanh-nghiep-sme
https://techcombank.com/thong-tin/blog/khoi-nghiep-truoc-chinh-sach-thue-moi
https://techcombank.com/thong-tin/blog/cach-tra"&amp;"-cuu-hoa-don-dien-tu
https://techcombank.com/thong-tin/blog/mo-tai-khoan-ho-kinh-doanh
https://techcombank.com/thong-tin/blog/vay-tin-chap-ho-kinh-doanh
https://techcombank.com/thong-tin/blog/lien-ket-tai-khoan-ngan-hang-voi-etax-mobile
https://techcomban"&amp;"k.com/thong-tin/blog/cac-sai-lam-pho-bien-khi-chuyen-doi-ho-kinh-doanh-len-sme
https://techcombank.com/thong-tin/blog/giay-phep-kinh-doanh
https://techcombank.com/thong-tin/blog/chuyen-doi-hoa-don-dien-tu
https://techcombank.com/thong-tin/blog/khai-bao-ta"&amp;"i-khoan-ngan-hang-voi-co-quan-thue
https://techcombank.com/thong-tin/blog/dang-ky-kinh-doanh-la-gi
https://techcombank.com/thong-tin/blog/chuyen-doi-so-ho-kinh-doanh
https://techcombank.com/thong-tin/blog/luat-thuong-mai-dien-tu
https://techcombank.com/th"&amp;"ong-tin/blog/hoa-don-dien-tu-ho-kinh-doanh
https://techcombank.com/thong-tin/blog/may-tinh-tien
https://techcombank.com/thong-tin/blog/phan-mem-xuat-hoa-don-dien-tu
https://techcombank.com/thong-tin/blog/top-phan-mem-ban-hang
https://techcombank.com/thong"&amp;"-tin/blog/khau-hao-la-gi
https://techcombank.com/thong-tin/blog/quan-ly-tai-chinh-doanh-nghiep-nho
https://techcombank.com/thong-tin/blog/tra-cuu-no-thue-ho-kinh-doanh
https://techcombank.com/thong-tin/blog/kiem-tra-thue-thu-nhap-ca-nhan
https://techcomba"&amp;"nk.com/thong-tin/blog/nop-thue-dat-qua-ngan-hang
https://techcombank.com/thong-tin/blog/thay-doi-dia-chi-ho-kinh-doanh
https://techcombank.com/thong-tin/blog/luu-y-khi-chuyen-doi-tu-ho-kinh-doanh-len-doanh-nghiep
https://techcombank.com/thong-tin/blog/mer"&amp;"chant-la-gi
https://techcombank.com/thong-tin/blog/may-pos-la-gi
https://techcombank.com/thong-tin/blog/thue-vat-la-gi
https://techcombank.com/thong-tin/blog/dieu-kien-thanh-lap-doanh-nghiep
https://techcombank.com/thong-tin/blog/thue-doanh-nghiep-2025")</f>
        <v>https://techcombank.com/thong-tin/blog/thue-khoan-ho-kinh-doanh-la-gi
https://techcombank.com/thong-tin/blog/cach-nop-thue-dien-tu
https://techcombank.com/thong-tin/blog/kiem-tra-thue-ho-kinh-doanh
https://techcombank.com/thong-tin/blog/ke-khai-thue-ho-kinh-doanh-ca-the-online
https://techcombank.com/thong-tin/blog/phat-cham-dang-ky-thue-ho-kinh-doanh
https://techcombank.com/thong-tin/blog/dang-ky-thue-ho-kinh-doanh-ca-the-online
https://techcombank.com/thong-tin/blog/chinh-sach-thue-moi
https://techcombank.com/thong-tin/blog/hoa-don-dien-tu
https://techcombank.com/thong-tin/blog/truy-thu-thue-ho-kinh-doanh
https://techcombank.com/thong-tin/blog/dong-ma-so-thue-ho-kinh-doanh
https://techcombank.com/thong-tin/blog/cach-dang-ky-ma-so-thue-ho-kinh-doanh-online
https://techcombank.com/thong-tin/blog/tra-cuu-ma-so-thue-ho-kinh-doanh
https://techcombank.com/thong-tin/blog/thanh-lap-ho-kinh-doanh-ca-the
https://techcombank.com/thong-tin/blog/cach-tao-ma-qr
https://techcombank.com/thong-tin/blog/loi-ich-khi-ho-kinh-doanh-chuyen-len-doanh-nghiep
https://techcombank.com/thong-tin/blog/tiem-nang-chuyen-doi-tu-ho-kinh-doanh-len-doanh-nghiep-sme
https://techcombank.com/thong-tin/blog/khoi-nghiep-truoc-chinh-sach-thue-moi
https://techcombank.com/thong-tin/blog/cach-tra-cuu-hoa-don-dien-tu
https://techcombank.com/thong-tin/blog/mo-tai-khoan-ho-kinh-doanh
https://techcombank.com/thong-tin/blog/vay-tin-chap-ho-kinh-doanh
https://techcombank.com/thong-tin/blog/lien-ket-tai-khoan-ngan-hang-voi-etax-mobile
https://techcombank.com/thong-tin/blog/cac-sai-lam-pho-bien-khi-chuyen-doi-ho-kinh-doanh-len-sme
https://techcombank.com/thong-tin/blog/giay-phep-kinh-doanh
https://techcombank.com/thong-tin/blog/chuyen-doi-hoa-don-dien-tu
https://techcombank.com/thong-tin/blog/khai-bao-tai-khoan-ngan-hang-voi-co-quan-thue
https://techcombank.com/thong-tin/blog/dang-ky-kinh-doanh-la-gi
https://techcombank.com/thong-tin/blog/chuyen-doi-so-ho-kinh-doanh
https://techcombank.com/thong-tin/blog/luat-thuong-mai-dien-tu
https://techcombank.com/thong-tin/blog/hoa-don-dien-tu-ho-kinh-doanh
https://techcombank.com/thong-tin/blog/may-tinh-tien
https://techcombank.com/thong-tin/blog/phan-mem-xuat-hoa-don-dien-tu
https://techcombank.com/thong-tin/blog/top-phan-mem-ban-hang
https://techcombank.com/thong-tin/blog/khau-hao-la-gi
https://techcombank.com/thong-tin/blog/quan-ly-tai-chinh-doanh-nghiep-nho
https://techcombank.com/thong-tin/blog/tra-cuu-no-thue-ho-kinh-doanh
https://techcombank.com/thong-tin/blog/kiem-tra-thue-thu-nhap-ca-nhan
https://techcombank.com/thong-tin/blog/nop-thue-dat-qua-ngan-hang
https://techcombank.com/thong-tin/blog/thay-doi-dia-chi-ho-kinh-doanh
https://techcombank.com/thong-tin/blog/luu-y-khi-chuyen-doi-tu-ho-kinh-doanh-len-doanh-nghiep
https://techcombank.com/thong-tin/blog/merchant-la-gi
https://techcombank.com/thong-tin/blog/may-pos-la-gi
https://techcombank.com/thong-tin/blog/thue-vat-la-gi
https://techcombank.com/thong-tin/blog/dieu-kien-thanh-lap-doanh-nghiep
https://techcombank.com/thong-tin/blog/thue-doanh-nghiep-2025</v>
      </c>
    </row>
    <row r="17">
      <c r="A17" s="26">
        <v>57.0</v>
      </c>
      <c r="B17" s="27" t="s">
        <v>723</v>
      </c>
      <c r="C17" s="28" t="s">
        <v>724</v>
      </c>
      <c r="D17" s="29">
        <v>50.0</v>
      </c>
      <c r="E17" s="30">
        <f>COUNTIF('Kế hoạch chèn link (mới)'!$B$3:$B$2213,B17)</f>
        <v>40</v>
      </c>
      <c r="F17" s="31">
        <f t="shared" si="1"/>
        <v>10</v>
      </c>
      <c r="G17" s="32" t="str">
        <f>IFERROR(__xludf.DUMMYFUNCTION("IFERROR(LET(t,FILTER('Kế hoạch chèn link (mới)'!$M$3:$M$2213,'Kế hoạch chèn link (mới)'!$B$3:$B$2213=B17),u,UNIQUE(t),c,MAP(u,LAMBDA(x,COUNTIF(t,x))),s,SORT(HSTACK(u,c),2,FALSE),TEXTJOIN(CHAR(10),TRUE,BYROW(s,LAMBDA(r,INDEX(r,1,1)&amp;"": ""&amp;INDEX(r,1,2)&amp;"" b"&amp;"ài"")))),"""")"),"Vay tiêu dùng &amp; tín chấp: 19 bài
Vay thế chấp &amp; mua nhà/xe: 9 bài
Thẻ tín dụng: 4 bài
Tiết kiệm &amp; lãi suất tiền gửi: 4 bài
Doanh nghiệp (tài khoản, vay, tài chính): 2 bài
Nợ xấu &amp; CIC: 1 bài
Hộ kinh doanh &amp; bán hàng: 1 bài")</f>
        <v>Vay tiêu dùng &amp; tín chấp: 19 bài
Vay thế chấp &amp; mua nhà/xe: 9 bài
Thẻ tín dụng: 4 bài
Tiết kiệm &amp; lãi suất tiền gửi: 4 bài
Doanh nghiệp (tài khoản, vay, tài chính): 2 bài
Nợ xấu &amp; CIC: 1 bài
Hộ kinh doanh &amp; bán hàng: 1 bài</v>
      </c>
      <c r="H17" s="33" t="str">
        <f>IFERROR(__xludf.DUMMYFUNCTION("TEXTJOIN(CHAR(10),TRUE,FILTER('Kế hoạch chèn link (mới)'!$D$3:$D$2213,'Kế hoạch chèn link (mới)'!$B$3:$B$2213=B17))"),"https://techcombank.com/thong-tin/blog/phi-vay-the-chap
https://techcombank.com/thong-tin/blog/uu-dai-the-tin-dung-techcombank-signature
https://techcombank.com/thong-tin/blog/vay-mua-nha-o-xa-hoi
https://techcombank.com/thong-tin/blog/vay-ngan-hang-1-ty-"&amp;"moi-thang-tra-bao-nhieu
https://techcombank.com/thong-tin/blog/du-no-la-gi
https://techcombank.com/thong-tin/blog/vay-tra-gop
https://techcombank.com/thong-tin/blog/vay-300-trieu
https://techcombank.com/thong-tin/blog/vay-mua-nha-tra-gop
https://techcomba"&amp;"nk.com/thong-tin/blog/vay-40-trieu
https://techcombank.com/thong-tin/blog/vay-15-trieu
https://techcombank.com/thong-tin/blog/dieu-kien-vay-von-ngan-hang
https://techcombank.com/thong-tin/blog/vay-200-trieu
https://techcombank.com/thong-tin/blog/cong-thuc"&amp;"-tinh-lai-suat-thuc
https://techcombank.com/thong-tin/blog/rui-ro-khi-vay-the-chap-ngan-hang
https://techcombank.com/thong-tin/blog/lai-suat-vay-the-chap
https://techcombank.com/thong-tin/blog/lai-suat-vay-the-chap-so-do
https://techcombank.com/thong-tin/"&amp;"blog/lai-suat-tha-noi
https://techcombank.com/thong-tin/blog/lai-suat-vay-ngan-hang
https://techcombank.com/thong-tin/blog/cac-hinh-thuc-vay-von-ngan-hang
https://techcombank.com/thong-tin/blog/lai-suat-vay-thau-chi
https://techcombank.com/thong-tin/blog/"&amp;"vay-100-trieu
https://techcombank.com/thong-tin/blog/tra-gop-hoc-phi
https://techcombank.com/thong-tin/blog/lai-suat-la-gi
https://techcombank.com/thong-tin/blog/vay-30-trieu
https://techcombank.com/thong-tin/blog/lai-suat-ngan-hang-cho-vay-xay-nha
https:"&amp;"//techcombank.com/thong-tin/blog/lai-suat-vay-tin-chap
https://techcombank.com/thong-tin/blog/tin-dung-tieu-dung
https://techcombank.com/thong-tin/blog/vay-sieu-toc
https://techcombank.com/thong-tin/blog/vay-tien-online
https://techcombank.com/thong-tin/b"&amp;"log/an-han-no-goc-la-gi
https://techcombank.com/thong-tin/blog/co-nen-mua-o-to-tra-gop
https://techcombank.com/thong-tin/blog/lai-suat-vay-tieu-dung
https://techcombank.com/thong-tin/blog/kinh-nghiem-vay-tien-ngan-hang-xay-nha
https://techcombank.com/thon"&amp;"g-tin/blog/the-tin-dung-hoan-tien
https://techcombank.com/thong-tin/blog/nen-gui-tiet-kiem-6-thang-hay-1-nam
https://techcombank.com/thong-tin/blog/loi-ich-cua-ngan-hang-so-voi-sme
https://techcombank.com/thong-tin/blog/the-tin-dung-phu-la-gi
https://tech"&amp;"combank.com/thong-tin/blog/sao-ke-the-tin-dung-la-gi
https://techcombank.com/thong-tin/blog/thu-tuc-vay-von-ngan-hang-de-xay-nha
https://techcombank.com/thong-tin/blog/tra-gop-qua-the-tin-dung")</f>
        <v>https://techcombank.com/thong-tin/blog/phi-vay-the-chap
https://techcombank.com/thong-tin/blog/uu-dai-the-tin-dung-techcombank-signature
https://techcombank.com/thong-tin/blog/vay-mua-nha-o-xa-hoi
https://techcombank.com/thong-tin/blog/vay-ngan-hang-1-ty-moi-thang-tra-bao-nhieu
https://techcombank.com/thong-tin/blog/du-no-la-gi
https://techcombank.com/thong-tin/blog/vay-tra-gop
https://techcombank.com/thong-tin/blog/vay-300-trieu
https://techcombank.com/thong-tin/blog/vay-mua-nha-tra-gop
https://techcombank.com/thong-tin/blog/vay-40-trieu
https://techcombank.com/thong-tin/blog/vay-15-trieu
https://techcombank.com/thong-tin/blog/dieu-kien-vay-von-ngan-hang
https://techcombank.com/thong-tin/blog/vay-200-trieu
https://techcombank.com/thong-tin/blog/cong-thuc-tinh-lai-suat-thuc
https://techcombank.com/thong-tin/blog/rui-ro-khi-vay-the-chap-ngan-hang
https://techcombank.com/thong-tin/blog/lai-suat-vay-the-chap
https://techcombank.com/thong-tin/blog/lai-suat-vay-the-chap-so-do
https://techcombank.com/thong-tin/blog/lai-suat-tha-noi
https://techcombank.com/thong-tin/blog/lai-suat-vay-ngan-hang
https://techcombank.com/thong-tin/blog/cac-hinh-thuc-vay-von-ngan-hang
https://techcombank.com/thong-tin/blog/lai-suat-vay-thau-chi
https://techcombank.com/thong-tin/blog/vay-100-trieu
https://techcombank.com/thong-tin/blog/tra-gop-hoc-phi
https://techcombank.com/thong-tin/blog/lai-suat-la-gi
https://techcombank.com/thong-tin/blog/vay-30-trieu
https://techcombank.com/thong-tin/blog/lai-suat-ngan-hang-cho-vay-xay-nha
https://techcombank.com/thong-tin/blog/lai-suat-vay-tin-chap
https://techcombank.com/thong-tin/blog/tin-dung-tieu-dung
https://techcombank.com/thong-tin/blog/vay-sieu-toc
https://techcombank.com/thong-tin/blog/vay-tien-online
https://techcombank.com/thong-tin/blog/an-han-no-goc-la-gi
https://techcombank.com/thong-tin/blog/co-nen-mua-o-to-tra-gop
https://techcombank.com/thong-tin/blog/lai-suat-vay-tieu-dung
https://techcombank.com/thong-tin/blog/kinh-nghiem-vay-tien-ngan-hang-xay-nha
https://techcombank.com/thong-tin/blog/the-tin-dung-hoan-tien
https://techcombank.com/thong-tin/blog/nen-gui-tiet-kiem-6-thang-hay-1-nam
https://techcombank.com/thong-tin/blog/loi-ich-cua-ngan-hang-so-voi-sme
https://techcombank.com/thong-tin/blog/the-tin-dung-phu-la-gi
https://techcombank.com/thong-tin/blog/sao-ke-the-tin-dung-la-gi
https://techcombank.com/thong-tin/blog/thu-tuc-vay-von-ngan-hang-de-xay-nha
https://techcombank.com/thong-tin/blog/tra-gop-qua-the-tin-dung</v>
      </c>
    </row>
    <row r="18">
      <c r="A18" s="26">
        <v>70.0</v>
      </c>
      <c r="B18" s="27" t="s">
        <v>735</v>
      </c>
      <c r="C18" s="28" t="s">
        <v>377</v>
      </c>
      <c r="D18" s="29">
        <v>50.0</v>
      </c>
      <c r="E18" s="30">
        <f>COUNTIF('Kế hoạch chèn link (mới)'!$B$3:$B$2213,B18)</f>
        <v>42</v>
      </c>
      <c r="F18" s="31">
        <f t="shared" si="1"/>
        <v>8</v>
      </c>
      <c r="G18" s="32" t="str">
        <f>IFERROR(__xludf.DUMMYFUNCTION("IFERROR(LET(t,FILTER('Kế hoạch chèn link (mới)'!$M$3:$M$2213,'Kế hoạch chèn link (mới)'!$B$3:$B$2213=B18),u,UNIQUE(t),c,MAP(u,LAMBDA(x,COUNTIF(t,x))),s,SORT(HSTACK(u,c),2,FALSE),TEXTJOIN(CHAR(10),TRUE,BYROW(s,LAMBDA(r,INDEX(r,1,1)&amp;"": ""&amp;INDEX(r,1,2)&amp;"" b"&amp;"ài"")))),"""")"),"Vay tiêu dùng &amp; tín chấp: 11 bài
Vay thế chấp &amp; mua nhà/xe: 7 bài
Tiết kiệm &amp; lãi suất tiền gửi: 5 bài
Hộ kinh doanh &amp; bán hàng: 3 bài
Doanh nghiệp (tài khoản, vay, tài chính): 3 bài
Nợ xấu &amp; CIC: 3 bài
Tài khoản &amp; ngân hàng số: 3 bài
Thẻ tín dụng: 2 bài
"&amp;"Đầu tư, CCTG, trái phiếu, vàng: 2 bài
Ngân hàng xanh &amp; thương hiệu: 1 bài
Thẻ ATM &amp; thẻ ghi nợ: 1 bài
Thanh toán, chuyển khoản &amp; QR: 1 bài")</f>
        <v>Vay tiêu dùng &amp; tín chấp: 11 bài
Vay thế chấp &amp; mua nhà/xe: 7 bài
Tiết kiệm &amp; lãi suất tiền gửi: 5 bài
Hộ kinh doanh &amp; bán hàng: 3 bài
Doanh nghiệp (tài khoản, vay, tài chính): 3 bài
Nợ xấu &amp; CIC: 3 bài
Tài khoản &amp; ngân hàng số: 3 bài
Thẻ tín dụng: 2 bài
Đầu tư, CCTG, trái phiếu, vàng: 2 bài
Ngân hàng xanh &amp; thương hiệu: 1 bài
Thẻ ATM &amp; thẻ ghi nợ: 1 bài
Thanh toán, chuyển khoản &amp; QR: 1 bài</v>
      </c>
      <c r="H18" s="33" t="str">
        <f>IFERROR(__xludf.DUMMYFUNCTION("TEXTJOIN(CHAR(10),TRUE,FILTER('Kế hoạch chèn link (mới)'!$D$3:$D$2213,'Kế hoạch chèn link (mới)'!$B$3:$B$2213=B18))"),"https://techcombank.com/thong-tin/blog/tra-no-vay-thau-chi-nhu-the-nao
https://techcombank.com/thong-tin/blog/lai-suat-vay-kinh-doanh
https://techcombank.com/thong-tin/blog/nhu-cau-vay-tieu-dung-cua-nguoi-viet-du-kien-tang-manh-trong-thoi-gian-toi
https:/"&amp;"/techcombank.com/thong-tin/blog/dang-vay-tra-gop-co-vay-them-duoc-khong
https://techcombank.com/thong-tin/blog/vay-han-muc-la-gi
https://techcombank.com/thong-tin/blog/vay-the-chap-qua-luong
https://techcombank.com/thong-tin/blog/tap-doan-thanh-quang-khoi"&amp;"-sac-kinh-doanh-nho-nguon-von-vay-tin-dung-techcombank-tren-nen-tang-misa-lending
https://techcombank.com/thong-tin/blog/gui-them-tien-vao-so-tiet-kiem
https://techcombank.com/thong-tin/blog/lam-the-visa-o-dau
https://techcombank.com/thong-tin/blog/quy-gi"&amp;"a-dinh
https://techcombank.com/thong-tin/blog/vay-sieu-toc
https://techcombank.com/thong-tin/blog/cac-hinh-thuc-vay-von-ngan-hang
https://techcombank.com/thong-tin/blog/vay-san-xuat-kinh-doanh
https://techcombank.com/thong-tin/blog/tin-chap-doanh-nghiep
h"&amp;"ttps://techcombank.com/thong-tin/blog/lai-suat-vay-the-chap-so-do
https://techcombank.com/thong-tin/blog/vay-tin-chap-toi-da-duoc-bao-nhieu
https://techcombank.com/thong-tin/blog/vay-tin-chap-va-vay-the-chap
https://techcombank.com/thong-tin/blog/nen-vay-"&amp;"tin-chap-o-dau
https://techcombank.com/thong-tin/blog/vay-the-chap-hop-dong-mua-ban-can-ho
https://techcombank.com/thong-tin/blog/vay-mua-dien-thoai
https://techcombank.com/thong-tin/blog/vay-ngan-han
https://techcombank.com/thong-tin/blog/vay-30-trieu
ht"&amp;"tps://techcombank.com/thong-tin/blog/cac-hinh-thuc-cho-vay-tieu-dung
https://techcombank.com/thong-tin/blog/no-xau-nhom-2
https://techcombank.com/thong-tin/blog/ngan-hang-so
https://techcombank.com/thong-tin/blog/sinh-loi-rinh-loc
https://techcombank.com/"&amp;"thong-tin/blog/gui-tiet-kiem-online-co-rut-truoc-han-duoc-khong
https://techcombank.com/thong-tin/blog/phi-thuong-nien-la-gi
https://techcombank.com/thong-tin/blog/san-pham-xanh
https://techcombank.com/thong-tin/blog/vay-tin-chap-theo-luong
https://techco"&amp;"mbank.com/thong-tin/blog/cam-ket-tin-dung
https://techcombank.com/thong-tin/blog/ho-so-thu-tuc-xoa-the-chap
https://techcombank.com/thong-tin/blog/ngan-hang-dien-tu
https://techcombank.com/thong-tin/blog/quan-ly-tai-chinh-doanh-nghiep-nho
https://techcomb"&amp;"ank.com/thong-tin/blog/cach-khoa-the-ngan-hang
https://techcombank.com/thong-tin/blog/vay-the-chap-toi-da-duoc-bao-nhieu
https://techcombank.com/thong-tin/blog/kiem-tra-no-xau
https://techcombank.com/thong-tin/blog/cach-bao-ve-tai-khoan
https://techcomban"&amp;"k.com/thong-tin/blog/dau-tu-tai-chinh-ca-nhan
https://techcombank.com/thong-tin/blog/gia-dien-sinh-hoat
https://techcombank.com/thong-tin/blog/gui-tiet-kiem-online-quay-vong-ca-goc-va-lai
https://techcombank.com/thong-tin/blog/cach-gui-tiet-kiem-online")</f>
        <v>https://techcombank.com/thong-tin/blog/tra-no-vay-thau-chi-nhu-the-nao
https://techcombank.com/thong-tin/blog/lai-suat-vay-kinh-doanh
https://techcombank.com/thong-tin/blog/nhu-cau-vay-tieu-dung-cua-nguoi-viet-du-kien-tang-manh-trong-thoi-gian-toi
https://techcombank.com/thong-tin/blog/dang-vay-tra-gop-co-vay-them-duoc-khong
https://techcombank.com/thong-tin/blog/vay-han-muc-la-gi
https://techcombank.com/thong-tin/blog/vay-the-chap-qua-luong
https://techcombank.com/thong-tin/blog/tap-doan-thanh-quang-khoi-sac-kinh-doanh-nho-nguon-von-vay-tin-dung-techcombank-tren-nen-tang-misa-lending
https://techcombank.com/thong-tin/blog/gui-them-tien-vao-so-tiet-kiem
https://techcombank.com/thong-tin/blog/lam-the-visa-o-dau
https://techcombank.com/thong-tin/blog/quy-gia-dinh
https://techcombank.com/thong-tin/blog/vay-sieu-toc
https://techcombank.com/thong-tin/blog/cac-hinh-thuc-vay-von-ngan-hang
https://techcombank.com/thong-tin/blog/vay-san-xuat-kinh-doanh
https://techcombank.com/thong-tin/blog/tin-chap-doanh-nghiep
https://techcombank.com/thong-tin/blog/lai-suat-vay-the-chap-so-do
https://techcombank.com/thong-tin/blog/vay-tin-chap-toi-da-duoc-bao-nhieu
https://techcombank.com/thong-tin/blog/vay-tin-chap-va-vay-the-chap
https://techcombank.com/thong-tin/blog/nen-vay-tin-chap-o-dau
https://techcombank.com/thong-tin/blog/vay-the-chap-hop-dong-mua-ban-can-ho
https://techcombank.com/thong-tin/blog/vay-mua-dien-thoai
https://techcombank.com/thong-tin/blog/vay-ngan-han
https://techcombank.com/thong-tin/blog/vay-30-trieu
https://techcombank.com/thong-tin/blog/cac-hinh-thuc-cho-vay-tieu-dung
https://techcombank.com/thong-tin/blog/no-xau-nhom-2
https://techcombank.com/thong-tin/blog/ngan-hang-so
https://techcombank.com/thong-tin/blog/sinh-loi-rinh-loc
https://techcombank.com/thong-tin/blog/gui-tiet-kiem-online-co-rut-truoc-han-duoc-khong
https://techcombank.com/thong-tin/blog/phi-thuong-nien-la-gi
https://techcombank.com/thong-tin/blog/san-pham-xanh
https://techcombank.com/thong-tin/blog/vay-tin-chap-theo-luong
https://techcombank.com/thong-tin/blog/cam-ket-tin-dung
https://techcombank.com/thong-tin/blog/ho-so-thu-tuc-xoa-the-chap
https://techcombank.com/thong-tin/blog/ngan-hang-dien-tu
https://techcombank.com/thong-tin/blog/quan-ly-tai-chinh-doanh-nghiep-nho
https://techcombank.com/thong-tin/blog/cach-khoa-the-ngan-hang
https://techcombank.com/thong-tin/blog/vay-the-chap-toi-da-duoc-bao-nhieu
https://techcombank.com/thong-tin/blog/kiem-tra-no-xau
https://techcombank.com/thong-tin/blog/cach-bao-ve-tai-khoan
https://techcombank.com/thong-tin/blog/dau-tu-tai-chinh-ca-nhan
https://techcombank.com/thong-tin/blog/gia-dien-sinh-hoat
https://techcombank.com/thong-tin/blog/gui-tiet-kiem-online-quay-vong-ca-goc-va-lai
https://techcombank.com/thong-tin/blog/cach-gui-tiet-kiem-online</v>
      </c>
    </row>
    <row r="19">
      <c r="A19" s="26">
        <v>1.0</v>
      </c>
      <c r="B19" s="27" t="s">
        <v>53</v>
      </c>
      <c r="C19" s="28" t="s">
        <v>595</v>
      </c>
      <c r="D19" s="29">
        <v>30.0</v>
      </c>
      <c r="E19" s="30">
        <f>COUNTIF('Kế hoạch chèn link (mới)'!$B$3:$B$2213,B19)</f>
        <v>11</v>
      </c>
      <c r="F19" s="31">
        <f t="shared" si="1"/>
        <v>19</v>
      </c>
      <c r="G19" s="32" t="str">
        <f>IFERROR(__xludf.DUMMYFUNCTION("IFERROR(LET(t,FILTER('Kế hoạch chèn link (mới)'!$M$3:$M$2213,'Kế hoạch chèn link (mới)'!$B$3:$B$2213=B19),u,UNIQUE(t),c,MAP(u,LAMBDA(x,COUNTIF(t,x))),s,SORT(HSTACK(u,c),2,FALSE),TEXTJOIN(CHAR(10),TRUE,BYROW(s,LAMBDA(r,INDEX(r,1,1)&amp;"": ""&amp;INDEX(r,1,2)&amp;"" b"&amp;"ài"")))),"""")"),"Vay thế chấp &amp; mua nhà/xe: 7 bài
Thẻ tín dụng: 2 bài
Khác: 1 bài
Vay tiêu dùng &amp; tín chấp: 1 bài")</f>
        <v>Vay thế chấp &amp; mua nhà/xe: 7 bài
Thẻ tín dụng: 2 bài
Khác: 1 bài
Vay tiêu dùng &amp; tín chấp: 1 bài</v>
      </c>
      <c r="H19" s="33" t="str">
        <f>IFERROR(__xludf.DUMMYFUNCTION("TEXTJOIN(CHAR(10),TRUE,FILTER('Kế hoạch chèn link (mới)'!$D$3:$D$2213,'Kế hoạch chèn link (mới)'!$B$3:$B$2213=B19))"),"https://techcombank.com/thong-tin/blog/nen-mua-xe-tra-gop-hay-tra-thang
https://techcombank.com/thong-tin/blog/vay-the-chap-xe-o-to-cu
https://techcombank.com/thong-tin/blog/doi-xe-xang-lay-xe-dien
https://techcombank.com/thong-tin/blog/cho-vay-tung-lan
h"&amp;"ttps://techcombank.com/thong-tin/blog/co-100-trieu-co-mua-nen-mua-tra-gop
https://techcombank.com/thong-tin/blog/thu-tuc-mua-xe-tra-gop
https://techcombank.com/thong-tin/blog/nen-mua-xe-o-to-dien-hay-xe-xang
https://techcombank.com/thong-tin/blog/mua-bao-"&amp;"hiem-o-to-dien
https://techcombank.com/thong-tin/blog/lai-suat-vay-the-chap-so-do
https://techcombank.com/thong-tin/blog/mo-the-tin-dung-co-loi-ich-gi
https://techcombank.com/thong-tin/blog/cach-su-dung-the-tin-dung")</f>
        <v>https://techcombank.com/thong-tin/blog/nen-mua-xe-tra-gop-hay-tra-thang
https://techcombank.com/thong-tin/blog/vay-the-chap-xe-o-to-cu
https://techcombank.com/thong-tin/blog/doi-xe-xang-lay-xe-dien
https://techcombank.com/thong-tin/blog/cho-vay-tung-lan
https://techcombank.com/thong-tin/blog/co-100-trieu-co-mua-nen-mua-tra-gop
https://techcombank.com/thong-tin/blog/thu-tuc-mua-xe-tra-gop
https://techcombank.com/thong-tin/blog/nen-mua-xe-o-to-dien-hay-xe-xang
https://techcombank.com/thong-tin/blog/mua-bao-hiem-o-to-dien
https://techcombank.com/thong-tin/blog/lai-suat-vay-the-chap-so-do
https://techcombank.com/thong-tin/blog/mo-the-tin-dung-co-loi-ich-gi
https://techcombank.com/thong-tin/blog/cach-su-dung-the-tin-dung</v>
      </c>
    </row>
    <row r="20">
      <c r="A20" s="26">
        <v>5.0</v>
      </c>
      <c r="B20" s="27" t="s">
        <v>753</v>
      </c>
      <c r="C20" s="28" t="s">
        <v>603</v>
      </c>
      <c r="D20" s="29">
        <v>30.0</v>
      </c>
      <c r="E20" s="30">
        <f>COUNTIF('Kế hoạch chèn link (mới)'!$B$3:$B$2213,B20)</f>
        <v>27</v>
      </c>
      <c r="F20" s="31">
        <f t="shared" si="1"/>
        <v>3</v>
      </c>
      <c r="G20" s="32" t="str">
        <f>IFERROR(__xludf.DUMMYFUNCTION("IFERROR(LET(t,FILTER('Kế hoạch chèn link (mới)'!$M$3:$M$2213,'Kế hoạch chèn link (mới)'!$B$3:$B$2213=B20),u,UNIQUE(t),c,MAP(u,LAMBDA(x,COUNTIF(t,x))),s,SORT(HSTACK(u,c),2,FALSE),TEXTJOIN(CHAR(10),TRUE,BYROW(s,LAMBDA(r,INDEX(r,1,1)&amp;"": ""&amp;INDEX(r,1,2)&amp;"" b"&amp;"ài"")))),"""")"),"Thuế: 14 bài
Hộ kinh doanh &amp; bán hàng: 7 bài
Thanh toán, chuyển khoản &amp; QR: 3 bài
Doanh nghiệp (tài khoản, vay, tài chính): 2 bài
Tài khoản &amp; ngân hàng số: 1 bài")</f>
        <v>Thuế: 14 bài
Hộ kinh doanh &amp; bán hàng: 7 bài
Thanh toán, chuyển khoản &amp; QR: 3 bài
Doanh nghiệp (tài khoản, vay, tài chính): 2 bài
Tài khoản &amp; ngân hàng số: 1 bài</v>
      </c>
      <c r="H20" s="33" t="str">
        <f>IFERROR(__xludf.DUMMYFUNCTION("TEXTJOIN(CHAR(10),TRUE,FILTER('Kế hoạch chèn link (mới)'!$D$3:$D$2213,'Kế hoạch chèn link (mới)'!$B$3:$B$2213=B20))"),"https://techcombank.com/thong-tin/blog/ke-khai-thue-doanh-nghiep
https://techcombank.com/thong-tin/blog/gia-dien-sinh-hoat
https://techcombank.com/thong-tin/blog/ho-kinh-doanh-ca-the
https://techcombank.com/thong-tin/blog/thue-phi-co-dinh-khi-chuyen-doi-t"&amp;"u-ho-kinh-doanh-len-doanh-nghiep
https://techcombank.com/thong-tin/blog/thue-doanh-nghiep
https://techcombank.com/thong-tin/blog/chuyen-doi-ho-kinh-doanh-len-doanh-nghiep
https://techcombank.com/thong-tin/blog/nen-thanh-lap-ho-kinh-doanh-ke-khai-hay-doanh"&amp;"-nghiep
https://techcombank.com/thong-tin/blog/hoan-thue-doanh-nghiep
https://techcombank.com/thong-tin/blog/cong-ty-su-dung-tai-khoan-ca-nhan
https://techcombank.com/thong-tin/blog/hieu-hiet-ve-tuan-thu-thue-cho-cac-doanh-nghiep-khoi-nghiep
https://techc"&amp;"ombank.com/thong-tin/blog/cach-nop-thue-dien-tu
https://techcombank.com/thong-tin/blog/nhung-chi-phi-khong-duoc-tru-khi-tinh-thue-tndn
https://techcombank.com/thong-tin/blog/cach-tinh-tien-dien-sinh-hoat
https://techcombank.com/thong-tin/blog/thue-thuong-"&amp;"mai-dien-tu
https://techcombank.com/thong-tin/blog/kinh-nghiem-chuyen-doi-tu-ho-kinh-doanh-len-doanh-nghiep
https://techcombank.com/thong-tin/blog/thue-khoan-ho-kinh-doanh-la-gi
https://techcombank.com/thong-tin/blog/cach-su-dung-tai-khoan-cong-ty
https:/"&amp;"/techcombank.com/thong-tin/blog/vi-dien-tu
https://techcombank.com/thong-tin/blog/nhung-ho-kinh-doanh-duoc-mien-thue
https://techcombank.com/thong-tin/blog/giai-dap-ve-thue-doanh-nghiep
https://techcombank.com/thong-tin/blog/may-tinh-tien
https://techcomb"&amp;"ank.com/thong-tin/blog/thue-thu-nhap-doanh-nghiep
https://techcombank.com/thong-tin/blog/thue-ho-kinh-doanh-2025
https://techcombank.com/thong-tin/blog/tra-cuu-no-thue-doanh-nghiep
https://techcombank.com/thong-tin/blog/hoa-don-dien-tu
https://techcombank"&amp;".com/thong-tin/blog/ke-khai-thue-ho-kinh-doanh-ca-the-online
https://techcombank.com/thong-tin/blog/thanh-toan-khi-du-lich-thai-lan")</f>
        <v>https://techcombank.com/thong-tin/blog/ke-khai-thue-doanh-nghiep
https://techcombank.com/thong-tin/blog/gia-dien-sinh-hoat
https://techcombank.com/thong-tin/blog/ho-kinh-doanh-ca-the
https://techcombank.com/thong-tin/blog/thue-phi-co-dinh-khi-chuyen-doi-tu-ho-kinh-doanh-len-doanh-nghiep
https://techcombank.com/thong-tin/blog/thue-doanh-nghiep
https://techcombank.com/thong-tin/blog/chuyen-doi-ho-kinh-doanh-len-doanh-nghiep
https://techcombank.com/thong-tin/blog/nen-thanh-lap-ho-kinh-doanh-ke-khai-hay-doanh-nghiep
https://techcombank.com/thong-tin/blog/hoan-thue-doanh-nghiep
https://techcombank.com/thong-tin/blog/cong-ty-su-dung-tai-khoan-ca-nhan
https://techcombank.com/thong-tin/blog/hieu-hiet-ve-tuan-thu-thue-cho-cac-doanh-nghiep-khoi-nghiep
https://techcombank.com/thong-tin/blog/cach-nop-thue-dien-tu
https://techcombank.com/thong-tin/blog/nhung-chi-phi-khong-duoc-tru-khi-tinh-thue-tndn
https://techcombank.com/thong-tin/blog/cach-tinh-tien-dien-sinh-hoat
https://techcombank.com/thong-tin/blog/thue-thuong-mai-dien-tu
https://techcombank.com/thong-tin/blog/kinh-nghiem-chuyen-doi-tu-ho-kinh-doanh-len-doanh-nghiep
https://techcombank.com/thong-tin/blog/thue-khoan-ho-kinh-doanh-la-gi
https://techcombank.com/thong-tin/blog/cach-su-dung-tai-khoan-cong-ty
https://techcombank.com/thong-tin/blog/vi-dien-tu
https://techcombank.com/thong-tin/blog/nhung-ho-kinh-doanh-duoc-mien-thue
https://techcombank.com/thong-tin/blog/giai-dap-ve-thue-doanh-nghiep
https://techcombank.com/thong-tin/blog/may-tinh-tien
https://techcombank.com/thong-tin/blog/thue-thu-nhap-doanh-nghiep
https://techcombank.com/thong-tin/blog/thue-ho-kinh-doanh-2025
https://techcombank.com/thong-tin/blog/tra-cuu-no-thue-doanh-nghiep
https://techcombank.com/thong-tin/blog/hoa-don-dien-tu
https://techcombank.com/thong-tin/blog/ke-khai-thue-ho-kinh-doanh-ca-the-online
https://techcombank.com/thong-tin/blog/thanh-toan-khi-du-lich-thai-lan</v>
      </c>
    </row>
    <row r="21">
      <c r="A21" s="26">
        <v>6.0</v>
      </c>
      <c r="B21" s="27" t="s">
        <v>765</v>
      </c>
      <c r="C21" s="28" t="s">
        <v>603</v>
      </c>
      <c r="D21" s="29">
        <v>30.0</v>
      </c>
      <c r="E21" s="30">
        <f>COUNTIF('Kế hoạch chèn link (mới)'!$B$3:$B$2213,B21)</f>
        <v>20</v>
      </c>
      <c r="F21" s="31">
        <f t="shared" si="1"/>
        <v>10</v>
      </c>
      <c r="G21" s="32" t="str">
        <f>IFERROR(__xludf.DUMMYFUNCTION("IFERROR(LET(t,FILTER('Kế hoạch chèn link (mới)'!$M$3:$M$2213,'Kế hoạch chèn link (mới)'!$B$3:$B$2213=B21),u,UNIQUE(t),c,MAP(u,LAMBDA(x,COUNTIF(t,x))),s,SORT(HSTACK(u,c),2,FALSE),TEXTJOIN(CHAR(10),TRUE,BYROW(s,LAMBDA(r,INDEX(r,1,1)&amp;"": ""&amp;INDEX(r,1,2)&amp;"" b"&amp;"ài"")))),"""")"),"Thuế: 14 bài
Doanh nghiệp (tài khoản, vay, tài chính): 6 bài")</f>
        <v>Thuế: 14 bài
Doanh nghiệp (tài khoản, vay, tài chính): 6 bài</v>
      </c>
      <c r="H21" s="33" t="str">
        <f>IFERROR(__xludf.DUMMYFUNCTION("TEXTJOIN(CHAR(10),TRUE,FILTER('Kế hoạch chèn link (mới)'!$D$3:$D$2213,'Kế hoạch chèn link (mới)'!$B$3:$B$2213=B21))"),"https://techcombank.com/thong-tin/blog/dong-ma-so-thue-ho-kinh-doanh
https://techcombank.com/thong-tin/blog/quyet-toan-thue-doanh-nghiep
https://techcombank.com/thong-tin/blog/hoan-thue-doanh-nghiep
https://techcombank.com/thong-tin/blog/cach-tra-cuu-hoa-"&amp;"don-dien-tu
https://techcombank.com/thong-tin/blog/cong-ty-xuat-nhap-khau
https://techcombank.com/thong-tin/blog/kiem-tra-ma-so-thue-doanh-nghiep
https://techcombank.com/thong-tin/blog/tra-cuu-no-thue-hai-quan
https://techcombank.com/thong-tin/blog/nop-th"&amp;"ue-hai-quan
https://techcombank.com/thong-tin/blog/cach-kiem-tra-tai-khoan-ngan-hang-cua-cong-ty
https://techcombank.com/thong-tin/blog/tra-cuu-ma-so-thue-ho-kinh-doanh
https://techcombank.com/thong-tin/blog/tra-luong-tien-mat
https://techcombank.com/thon"&amp;"g-tin/blog/sao-ke-tai-khoan-doanh-nghiep
https://techcombank.com/thong-tin/blog/quan-ly-tai-chinh-doanh-nghiep-la-gi
https://techcombank.com/thong-tin/blog/tra-cuu-no-thue-ho-kinh-doanh
https://techcombank.com/thong-tin/blog/thue-doanh-nghiep
https://tech"&amp;"combank.com/thong-tin/blog/mo-them-tai-khoan-ngan-hang-cho-cong-ty
https://techcombank.com/thong-tin/blog/tra-cuu-no-thue-ca-nhan
https://techcombank.com/thong-tin/blog/kiem-tra-thue-thu-nhap-ca-nhan
https://techcombank.com/thong-tin/blog/dang-ky-ma-so-th"&amp;"ue-ca-nhan
https://techcombank.com/thong-tin/blog/quyet-toan-thue-thu-nhap-ca-nhan")</f>
        <v>https://techcombank.com/thong-tin/blog/dong-ma-so-thue-ho-kinh-doanh
https://techcombank.com/thong-tin/blog/quyet-toan-thue-doanh-nghiep
https://techcombank.com/thong-tin/blog/hoan-thue-doanh-nghiep
https://techcombank.com/thong-tin/blog/cach-tra-cuu-hoa-don-dien-tu
https://techcombank.com/thong-tin/blog/cong-ty-xuat-nhap-khau
https://techcombank.com/thong-tin/blog/kiem-tra-ma-so-thue-doanh-nghiep
https://techcombank.com/thong-tin/blog/tra-cuu-no-thue-hai-quan
https://techcombank.com/thong-tin/blog/nop-thue-hai-quan
https://techcombank.com/thong-tin/blog/cach-kiem-tra-tai-khoan-ngan-hang-cua-cong-ty
https://techcombank.com/thong-tin/blog/tra-cuu-ma-so-thue-ho-kinh-doanh
https://techcombank.com/thong-tin/blog/tra-luong-tien-mat
https://techcombank.com/thong-tin/blog/sao-ke-tai-khoan-doanh-nghiep
https://techcombank.com/thong-tin/blog/quan-ly-tai-chinh-doanh-nghiep-la-gi
https://techcombank.com/thong-tin/blog/tra-cuu-no-thue-ho-kinh-doanh
https://techcombank.com/thong-tin/blog/thue-doanh-nghiep
https://techcombank.com/thong-tin/blog/mo-them-tai-khoan-ngan-hang-cho-cong-ty
https://techcombank.com/thong-tin/blog/tra-cuu-no-thue-ca-nhan
https://techcombank.com/thong-tin/blog/kiem-tra-thue-thu-nhap-ca-nhan
https://techcombank.com/thong-tin/blog/dang-ky-ma-so-thue-ca-nhan
https://techcombank.com/thong-tin/blog/quyet-toan-thue-thu-nhap-ca-nhan</v>
      </c>
    </row>
    <row r="22">
      <c r="A22" s="26">
        <v>7.0</v>
      </c>
      <c r="B22" s="27" t="s">
        <v>769</v>
      </c>
      <c r="C22" s="28" t="s">
        <v>603</v>
      </c>
      <c r="D22" s="29">
        <v>30.0</v>
      </c>
      <c r="E22" s="30">
        <f>COUNTIF('Kế hoạch chèn link (mới)'!$B$3:$B$2213,B22)</f>
        <v>28</v>
      </c>
      <c r="F22" s="31">
        <f t="shared" si="1"/>
        <v>2</v>
      </c>
      <c r="G22" s="32" t="str">
        <f>IFERROR(__xludf.DUMMYFUNCTION("IFERROR(LET(t,FILTER('Kế hoạch chèn link (mới)'!$M$3:$M$2213,'Kế hoạch chèn link (mới)'!$B$3:$B$2213=B22),u,UNIQUE(t),c,MAP(u,LAMBDA(x,COUNTIF(t,x))),s,SORT(HSTACK(u,c),2,FALSE),TEXTJOIN(CHAR(10),TRUE,BYROW(s,LAMBDA(r,INDEX(r,1,1)&amp;"": ""&amp;INDEX(r,1,2)&amp;"" b"&amp;"ài"")))),"""")"),"Thuế: 17 bài
Doanh nghiệp (tài khoản, vay, tài chính): 7 bài
Hộ kinh doanh &amp; bán hàng: 4 bài")</f>
        <v>Thuế: 17 bài
Doanh nghiệp (tài khoản, vay, tài chính): 7 bài
Hộ kinh doanh &amp; bán hàng: 4 bài</v>
      </c>
      <c r="H22" s="33" t="str">
        <f>IFERROR(__xludf.DUMMYFUNCTION("TEXTJOIN(CHAR(10),TRUE,FILTER('Kế hoạch chèn link (mới)'!$D$3:$D$2213,'Kế hoạch chèn link (mới)'!$B$3:$B$2213=B22))"),"https://techcombank.com/thong-tin/blog/giai-dap-ve-thue-doanh-nghiep
https://techcombank.com/thong-tin/blog/thue-doanh-nghiep-2025
https://techcombank.com/thong-tin/blog/quyet-toan-thue-doanh-nghiep
https://techcombank.com/thong-tin/blog/thue-thu-nhap-doa"&amp;"nh-nghiep
https://techcombank.com/thong-tin/blog/cac-sai-lam-pho-bien-khi-chuyen-doi-ho-kinh-doanh-len-sme
https://techcombank.com/thong-tin/blog/ke-khai-thue-doanh-nghiep
https://techcombank.com/thong-tin/blog/hieu-hiet-ve-tuan-thu-thue-cho-cac-doanh-ngh"&amp;"iep-khoi-nghiep
https://techcombank.com/thong-tin/blog/thue-phi-co-dinh-khi-chuyen-doi-tu-ho-kinh-doanh-len-doanh-nghiep
https://techcombank.com/thong-tin/blog/hoan-thue-doanh-nghiep
https://techcombank.com/thong-tin/blog/tra-cuu-no-thue-doanh-nghiep
http"&amp;"s://techcombank.com/thong-tin/blog/cach-tinh-thue-thu-nhap-doanh-nghiep
https://techcombank.com/thong-tin/blog/chinh-sach-thue-moi
https://techcombank.com/thong-tin/blog/chuan-bi-cho-doanh-nghiep-khoi-nghiep-truoc-nhung-thay-doi-ve-thue
https://techcomban"&amp;"k.com/thong-tin/blog/tim-hieu-ve-chinh-sach-thue-moi
https://techcombank.com/thong-tin/blog/dang-ky-thanh-lap-doanh-nghiep-online
https://techcombank.com/thong-tin/blog/thu-tuc-thanh-lap-doanh-nghiep
https://techcombank.com/thong-tin/blog/chuyen-doi-ho-ki"&amp;"nh-doanh-len-doanh-nghiep
https://techcombank.com/thong-tin/blog/nen-thanh-lap-ho-kinh-doanh-ke-khai-hay-doanh-nghiep
https://techcombank.com/thong-tin/blog/cong-ty-su-dung-tai-khoan-ca-nhan
https://techcombank.com/thong-tin/blog/doanh-nghiep-moi-thanh-la"&amp;"p-duoc-uu-dai-gi
https://techcombank.com/thong-tin/blog/bao-lanh-ngan-hang-la-gi
https://techcombank.com/thong-tin/blog/cac-loai-hinh-doanh-nghiep
https://techcombank.com/thong-tin/blog/cach-quan-ly-tai-chinh-kinh-doanh
https://techcombank.com/thong-tin/b"&amp;"log/tra-cuu-no-thue-hai-quan
https://techcombank.com/thong-tin/blog/dieu-kien-thanh-lap-doanh-nghiep
https://techcombank.com/thong-tin/blog/nhung-chi-phi-khong-duoc-tru-khi-tinh-thue-tndn
https://techcombank.com/thong-tin/blog/kiem-tra-ma-so-thue-doanh-ng"&amp;"hiep
https://techcombank.com/thong-tin/blog/ho-so-dang-ky-thanh-lap-doanh-nghiep")</f>
        <v>https://techcombank.com/thong-tin/blog/giai-dap-ve-thue-doanh-nghiep
https://techcombank.com/thong-tin/blog/thue-doanh-nghiep-2025
https://techcombank.com/thong-tin/blog/quyet-toan-thue-doanh-nghiep
https://techcombank.com/thong-tin/blog/thue-thu-nhap-doanh-nghiep
https://techcombank.com/thong-tin/blog/cac-sai-lam-pho-bien-khi-chuyen-doi-ho-kinh-doanh-len-sme
https://techcombank.com/thong-tin/blog/ke-khai-thue-doanh-nghiep
https://techcombank.com/thong-tin/blog/hieu-hiet-ve-tuan-thu-thue-cho-cac-doanh-nghiep-khoi-nghiep
https://techcombank.com/thong-tin/blog/thue-phi-co-dinh-khi-chuyen-doi-tu-ho-kinh-doanh-len-doanh-nghiep
https://techcombank.com/thong-tin/blog/hoan-thue-doanh-nghiep
https://techcombank.com/thong-tin/blog/tra-cuu-no-thue-doanh-nghiep
https://techcombank.com/thong-tin/blog/cach-tinh-thue-thu-nhap-doanh-nghiep
https://techcombank.com/thong-tin/blog/chinh-sach-thue-moi
https://techcombank.com/thong-tin/blog/chuan-bi-cho-doanh-nghiep-khoi-nghiep-truoc-nhung-thay-doi-ve-thue
https://techcombank.com/thong-tin/blog/tim-hieu-ve-chinh-sach-thue-moi
https://techcombank.com/thong-tin/blog/dang-ky-thanh-lap-doanh-nghiep-online
https://techcombank.com/thong-tin/blog/thu-tuc-thanh-lap-doanh-nghiep
https://techcombank.com/thong-tin/blog/chuyen-doi-ho-kinh-doanh-len-doanh-nghiep
https://techcombank.com/thong-tin/blog/nen-thanh-lap-ho-kinh-doanh-ke-khai-hay-doanh-nghiep
https://techcombank.com/thong-tin/blog/cong-ty-su-dung-tai-khoan-ca-nhan
https://techcombank.com/thong-tin/blog/doanh-nghiep-moi-thanh-lap-duoc-uu-dai-gi
https://techcombank.com/thong-tin/blog/bao-lanh-ngan-hang-la-gi
https://techcombank.com/thong-tin/blog/cac-loai-hinh-doanh-nghiep
https://techcombank.com/thong-tin/blog/cach-quan-ly-tai-chinh-kinh-doanh
https://techcombank.com/thong-tin/blog/tra-cuu-no-thue-hai-quan
https://techcombank.com/thong-tin/blog/dieu-kien-thanh-lap-doanh-nghiep
https://techcombank.com/thong-tin/blog/nhung-chi-phi-khong-duoc-tru-khi-tinh-thue-tndn
https://techcombank.com/thong-tin/blog/kiem-tra-ma-so-thue-doanh-nghiep
https://techcombank.com/thong-tin/blog/ho-so-dang-ky-thanh-lap-doanh-nghiep</v>
      </c>
    </row>
    <row r="23">
      <c r="A23" s="26">
        <v>8.0</v>
      </c>
      <c r="B23" s="27" t="s">
        <v>773</v>
      </c>
      <c r="C23" s="28" t="s">
        <v>603</v>
      </c>
      <c r="D23" s="29">
        <v>30.0</v>
      </c>
      <c r="E23" s="30">
        <f>COUNTIF('Kế hoạch chèn link (mới)'!$B$3:$B$2213,B23)</f>
        <v>15</v>
      </c>
      <c r="F23" s="31">
        <f t="shared" si="1"/>
        <v>15</v>
      </c>
      <c r="G23" s="32" t="str">
        <f>IFERROR(__xludf.DUMMYFUNCTION("IFERROR(LET(t,FILTER('Kế hoạch chèn link (mới)'!$M$3:$M$2213,'Kế hoạch chèn link (mới)'!$B$3:$B$2213=B23),u,UNIQUE(t),c,MAP(u,LAMBDA(x,COUNTIF(t,x))),s,SORT(HSTACK(u,c),2,FALSE),TEXTJOIN(CHAR(10),TRUE,BYROW(s,LAMBDA(r,INDEX(r,1,1)&amp;"": ""&amp;INDEX(r,1,2)&amp;"" b"&amp;"ài"")))),"""")"),"Doanh nghiệp (tài khoản, vay, tài chính): 12 bài
Thuế: 2 bài
Tài khoản &amp; ngân hàng số: 1 bài")</f>
        <v>Doanh nghiệp (tài khoản, vay, tài chính): 12 bài
Thuế: 2 bài
Tài khoản &amp; ngân hàng số: 1 bài</v>
      </c>
      <c r="H23" s="33" t="str">
        <f>IFERROR(__xludf.DUMMYFUNCTION("TEXTJOIN(CHAR(10),TRUE,FILTER('Kế hoạch chèn link (mới)'!$D$3:$D$2213,'Kế hoạch chèn link (mới)'!$B$3:$B$2213=B23))"),"https://techcombank.com/thong-tin/blog/cach-su-dung-tai-khoan-cong-ty
https://techcombank.com/thong-tin/blog/luu-y-khi-chuyen-tien-vao-tai-khoan-cong-ty
https://techcombank.com/thong-tin/blog/nop-tien-mat-vao-tai-khoan-cong-ty
https://techcombank.com/thon"&amp;"g-tin/blog/tai-khoan-cong-ty-co-chuyen-online-duoc-khong
https://techcombank.com/thong-tin/blog/thu-tuc-thanh-lap-doanh-nghiep
https://techcombank.com/thong-tin/blog/mo-tai-khoan-doanh-nghiep
https://techcombank.com/thong-tin/blog/dong-tai-khoan-ngan-hang"&amp;"-cong-ty
https://techcombank.com/thong-tin/blog/chi-phi-mo-tai-khoan-ngan-hang-cho-cong-ty
https://techcombank.com/thong-tin/blog/cac-loai-hinh-doanh-nghiep
https://techcombank.com/thong-tin/blog/bao-lanh-ngan-hang-la-gi
https://techcombank.com/thong-tin/"&amp;"blog/cach-kiem-tra-tai-khoan-ngan-hang-cua-cong-ty
https://techcombank.com/thong-tin/blog/dang-ky-nhieu-tai-khoan-ngan-hang-co-sao-khong
https://techcombank.com/thong-tin/blog/tien-chuyen-vao-tai-khoan-co-bi-tinh-thue-khong
https://techcombank.com/thong-t"&amp;"in/blog/cach-tinh-thue-thu-nhap-doanh-nghiep
https://techcombank.com/thong-tin/blog/mau-mo-tai-khoan-doanh-nghiep-techcombank")</f>
        <v>https://techcombank.com/thong-tin/blog/cach-su-dung-tai-khoan-cong-ty
https://techcombank.com/thong-tin/blog/luu-y-khi-chuyen-tien-vao-tai-khoan-cong-ty
https://techcombank.com/thong-tin/blog/nop-tien-mat-vao-tai-khoan-cong-ty
https://techcombank.com/thong-tin/blog/tai-khoan-cong-ty-co-chuyen-online-duoc-khong
https://techcombank.com/thong-tin/blog/thu-tuc-thanh-lap-doanh-nghiep
https://techcombank.com/thong-tin/blog/mo-tai-khoan-doanh-nghiep
https://techcombank.com/thong-tin/blog/dong-tai-khoan-ngan-hang-cong-ty
https://techcombank.com/thong-tin/blog/chi-phi-mo-tai-khoan-ngan-hang-cho-cong-ty
https://techcombank.com/thong-tin/blog/cac-loai-hinh-doanh-nghiep
https://techcombank.com/thong-tin/blog/bao-lanh-ngan-hang-la-gi
https://techcombank.com/thong-tin/blog/cach-kiem-tra-tai-khoan-ngan-hang-cua-cong-ty
https://techcombank.com/thong-tin/blog/dang-ky-nhieu-tai-khoan-ngan-hang-co-sao-khong
https://techcombank.com/thong-tin/blog/tien-chuyen-vao-tai-khoan-co-bi-tinh-thue-khong
https://techcombank.com/thong-tin/blog/cach-tinh-thue-thu-nhap-doanh-nghiep
https://techcombank.com/thong-tin/blog/mau-mo-tai-khoan-doanh-nghiep-techcombank</v>
      </c>
    </row>
    <row r="24">
      <c r="A24" s="26">
        <v>9.0</v>
      </c>
      <c r="B24" s="27" t="s">
        <v>758</v>
      </c>
      <c r="C24" s="28" t="s">
        <v>603</v>
      </c>
      <c r="D24" s="29">
        <v>30.0</v>
      </c>
      <c r="E24" s="30">
        <f>COUNTIF('Kế hoạch chèn link (mới)'!$B$3:$B$2213,B24)</f>
        <v>19</v>
      </c>
      <c r="F24" s="31">
        <f t="shared" si="1"/>
        <v>11</v>
      </c>
      <c r="G24" s="32" t="str">
        <f>IFERROR(__xludf.DUMMYFUNCTION("IFERROR(LET(t,FILTER('Kế hoạch chèn link (mới)'!$M$3:$M$2213,'Kế hoạch chèn link (mới)'!$B$3:$B$2213=B24),u,UNIQUE(t),c,MAP(u,LAMBDA(x,COUNTIF(t,x))),s,SORT(HSTACK(u,c),2,FALSE),TEXTJOIN(CHAR(10),TRUE,BYROW(s,LAMBDA(r,INDEX(r,1,1)&amp;"": ""&amp;INDEX(r,1,2)&amp;"" b"&amp;"ài"")))),"""")"),"Thuế: 11 bài
Doanh nghiệp (tài khoản, vay, tài chính): 7 bài
Đầu tư, CCTG, trái phiếu, vàng: 1 bài")</f>
        <v>Thuế: 11 bài
Doanh nghiệp (tài khoản, vay, tài chính): 7 bài
Đầu tư, CCTG, trái phiếu, vàng: 1 bài</v>
      </c>
      <c r="H24" s="33" t="str">
        <f>IFERROR(__xludf.DUMMYFUNCTION("TEXTJOIN(CHAR(10),TRUE,FILTER('Kế hoạch chèn link (mới)'!$D$3:$D$2213,'Kế hoạch chèn link (mới)'!$B$3:$B$2213=B24))"),"https://techcombank.com/thong-tin/blog/chuan-bi-cho-doanh-nghiep-khoi-nghiep-truoc-nhung-thay-doi-ve-thue
https://techcombank.com/thong-tin/blog/thue-doanh-nghiep
https://techcombank.com/thong-tin/blog/nhung-chi-phi-khong-duoc-tru-khi-tinh-thue-tndn
https"&amp;"://techcombank.com/thong-tin/blog/khau-hao
https://techcombank.com/thong-tin/blog/tra-luong-tien-mat
https://techcombank.com/thong-tin/blog/tim-hieu-ve-chinh-sach-thue-moi
https://techcombank.com/thong-tin/blog/ebitda-la-gi
https://techcombank.com/thong-t"&amp;"in/blog/cach-su-dung-tai-khoan-cong-ty
https://techcombank.com/thong-tin/blog/luu-y-khi-chuyen-tien-vao-tai-khoan-cong-ty
https://techcombank.com/thong-tin/blog/doanh-nghiep-moi-thanh-lap-duoc-uu-dai-gi
https://techcombank.com/thong-tin/blog/thue-doanh-ng"&amp;"hiep-2025
https://techcombank.com/thong-tin/blog/khoi-nghiep-truoc-chinh-sach-thue-moi
https://techcombank.com/thong-tin/blog/loi-nhuan-rong
https://techcombank.com/thong-tin/blog/thue-thu-nhap-doanh-nghiep
https://techcombank.com/thong-tin/blog/quyet-toa"&amp;"n-thue-doanh-nghiep
https://techcombank.com/thong-tin/blog/loi-nhuan
https://techcombank.com/thong-tin/blog/wacc-la-gi
https://techcombank.com/thong-tin/blog/thue-vat-la-gi
https://techcombank.com/thong-tin/blog/cach-tinh-thue-thu-nhap-ca-nhan-2025")</f>
        <v>https://techcombank.com/thong-tin/blog/chuan-bi-cho-doanh-nghiep-khoi-nghiep-truoc-nhung-thay-doi-ve-thue
https://techcombank.com/thong-tin/blog/thue-doanh-nghiep
https://techcombank.com/thong-tin/blog/nhung-chi-phi-khong-duoc-tru-khi-tinh-thue-tndn
https://techcombank.com/thong-tin/blog/khau-hao
https://techcombank.com/thong-tin/blog/tra-luong-tien-mat
https://techcombank.com/thong-tin/blog/tim-hieu-ve-chinh-sach-thue-moi
https://techcombank.com/thong-tin/blog/ebitda-la-gi
https://techcombank.com/thong-tin/blog/cach-su-dung-tai-khoan-cong-ty
https://techcombank.com/thong-tin/blog/luu-y-khi-chuyen-tien-vao-tai-khoan-cong-ty
https://techcombank.com/thong-tin/blog/doanh-nghiep-moi-thanh-lap-duoc-uu-dai-gi
https://techcombank.com/thong-tin/blog/thue-doanh-nghiep-2025
https://techcombank.com/thong-tin/blog/khoi-nghiep-truoc-chinh-sach-thue-moi
https://techcombank.com/thong-tin/blog/loi-nhuan-rong
https://techcombank.com/thong-tin/blog/thue-thu-nhap-doanh-nghiep
https://techcombank.com/thong-tin/blog/quyet-toan-thue-doanh-nghiep
https://techcombank.com/thong-tin/blog/loi-nhuan
https://techcombank.com/thong-tin/blog/wacc-la-gi
https://techcombank.com/thong-tin/blog/thue-vat-la-gi
https://techcombank.com/thong-tin/blog/cach-tinh-thue-thu-nhap-ca-nhan-2025</v>
      </c>
    </row>
    <row r="25">
      <c r="A25" s="26">
        <v>10.0</v>
      </c>
      <c r="B25" s="27" t="s">
        <v>783</v>
      </c>
      <c r="C25" s="28" t="s">
        <v>655</v>
      </c>
      <c r="D25" s="29">
        <v>30.0</v>
      </c>
      <c r="E25" s="30">
        <f>COUNTIF('Kế hoạch chèn link (mới)'!$B$3:$B$2213,B25)</f>
        <v>16</v>
      </c>
      <c r="F25" s="31">
        <f t="shared" si="1"/>
        <v>14</v>
      </c>
      <c r="G25" s="32" t="str">
        <f>IFERROR(__xludf.DUMMYFUNCTION("IFERROR(LET(t,FILTER('Kế hoạch chèn link (mới)'!$M$3:$M$2213,'Kế hoạch chèn link (mới)'!$B$3:$B$2213=B25),u,UNIQUE(t),c,MAP(u,LAMBDA(x,COUNTIF(t,x))),s,SORT(HSTACK(u,c),2,FALSE),TEXTJOIN(CHAR(10),TRUE,BYROW(s,LAMBDA(r,INDEX(r,1,1)&amp;"": ""&amp;INDEX(r,1,2)&amp;"" b"&amp;"ài"")))),"""")"),"Thanh toán, chuyển khoản &amp; QR: 9 bài
Tài khoản &amp; ngân hàng số: 4 bài
Hộ kinh doanh &amp; bán hàng: 1 bài
Thẻ ATM &amp; thẻ ghi nợ: 1 bài
Thẻ tín dụng: 1 bài")</f>
        <v>Thanh toán, chuyển khoản &amp; QR: 9 bài
Tài khoản &amp; ngân hàng số: 4 bài
Hộ kinh doanh &amp; bán hàng: 1 bài
Thẻ ATM &amp; thẻ ghi nợ: 1 bài
Thẻ tín dụng: 1 bài</v>
      </c>
      <c r="H25" s="33" t="str">
        <f>IFERROR(__xludf.DUMMYFUNCTION("TEXTJOIN(CHAR(10),TRUE,FILTER('Kế hoạch chèn link (mới)'!$D$3:$D$2213,'Kế hoạch chèn link (mới)'!$B$3:$B$2213=B25))"),"https://techcombank.com/thong-tin/blog/cach-nap-the-vina
https://techcombank.com/thong-tin/blog/cach-nap-the-mobi
https://techcombank.com/thong-tin/blog/nap-tien-dien-thoai-online
https://techcombank.com/thong-tin/blog/shopeepay-la-gi
https://techcombank."&amp;"com/thong-tin/blog/thanh-toan-cuoc-truyen-hinh
https://techcombank.com/thong-tin/blog/thanh-toan-truc-tuyen
https://techcombank.com/thong-tin/blog/thanh-toan-tra-sau-viettel-bang-tai-khoan-ngan-hang
https://techcombank.com/thong-tin/blog/cach-nap-the
http"&amp;"s://techcombank.com/thong-tin/blog/cach-nap-tien-vao-the-ghi-no
https://techcombank.com/thong-tin/blog/vi-dien-tu-la-gi
https://techcombank.com/thong-tin/blog/cach-chuyen-khoan-bang-dien-thoai
https://techcombank.com/thong-tin/blog/cach-dong-tien-dien-qua"&amp;"-tai-khoan-ngan-hang
https://techcombank.com/thong-tin/blog/app-dong-tien-dien-online
https://techcombank.com/thong-tin/blog/so-du-tien-gui-la-gi
https://techcombank.com/thong-tin/blog/cach-su-dung-the-visa-techcombank
https://techcombank.com/thong-tin/bl"&amp;"og/mat-so-dien-thoai-dang-ky-tai-khoan-ngan-hang")</f>
        <v>https://techcombank.com/thong-tin/blog/cach-nap-the-vina
https://techcombank.com/thong-tin/blog/cach-nap-the-mobi
https://techcombank.com/thong-tin/blog/nap-tien-dien-thoai-online
https://techcombank.com/thong-tin/blog/shopeepay-la-gi
https://techcombank.com/thong-tin/blog/thanh-toan-cuoc-truyen-hinh
https://techcombank.com/thong-tin/blog/thanh-toan-truc-tuyen
https://techcombank.com/thong-tin/blog/thanh-toan-tra-sau-viettel-bang-tai-khoan-ngan-hang
https://techcombank.com/thong-tin/blog/cach-nap-the
https://techcombank.com/thong-tin/blog/cach-nap-tien-vao-the-ghi-no
https://techcombank.com/thong-tin/blog/vi-dien-tu-la-gi
https://techcombank.com/thong-tin/blog/cach-chuyen-khoan-bang-dien-thoai
https://techcombank.com/thong-tin/blog/cach-dong-tien-dien-qua-tai-khoan-ngan-hang
https://techcombank.com/thong-tin/blog/app-dong-tien-dien-online
https://techcombank.com/thong-tin/blog/so-du-tien-gui-la-gi
https://techcombank.com/thong-tin/blog/cach-su-dung-the-visa-techcombank
https://techcombank.com/thong-tin/blog/mat-so-dien-thoai-dang-ky-tai-khoan-ngan-hang</v>
      </c>
    </row>
    <row r="26">
      <c r="A26" s="26">
        <v>13.0</v>
      </c>
      <c r="B26" s="27" t="s">
        <v>792</v>
      </c>
      <c r="C26" s="28" t="s">
        <v>655</v>
      </c>
      <c r="D26" s="29">
        <v>30.0</v>
      </c>
      <c r="E26" s="30">
        <f>COUNTIF('Kế hoạch chèn link (mới)'!$B$3:$B$2213,B26)</f>
        <v>28</v>
      </c>
      <c r="F26" s="31">
        <f t="shared" si="1"/>
        <v>2</v>
      </c>
      <c r="G26" s="32" t="str">
        <f>IFERROR(__xludf.DUMMYFUNCTION("IFERROR(LET(t,FILTER('Kế hoạch chèn link (mới)'!$M$3:$M$2213,'Kế hoạch chèn link (mới)'!$B$3:$B$2213=B26),u,UNIQUE(t),c,MAP(u,LAMBDA(x,COUNTIF(t,x))),s,SORT(HSTACK(u,c),2,FALSE),TEXTJOIN(CHAR(10),TRUE,BYROW(s,LAMBDA(r,INDEX(r,1,1)&amp;"": ""&amp;INDEX(r,1,2)&amp;"" b"&amp;"ài"")))),"""")"),"Tài khoản &amp; ngân hàng số: 15 bài
Thanh toán, chuyển khoản &amp; QR: 5 bài
Ưu đãi, du lịch &amp; đời sống: 5 bài
Thẻ ATM &amp; thẻ ghi nợ: 2 bài
Doanh nghiệp (tài khoản, vay, tài chính): 1 bài")</f>
        <v>Tài khoản &amp; ngân hàng số: 15 bài
Thanh toán, chuyển khoản &amp; QR: 5 bài
Ưu đãi, du lịch &amp; đời sống: 5 bài
Thẻ ATM &amp; thẻ ghi nợ: 2 bài
Doanh nghiệp (tài khoản, vay, tài chính): 1 bài</v>
      </c>
      <c r="H26" s="33" t="str">
        <f>IFERROR(__xludf.DUMMYFUNCTION("TEXTJOIN(CHAR(10),TRUE,FILTER('Kế hoạch chèn link (mới)'!$D$3:$D$2213,'Kế hoạch chèn link (mới)'!$B$3:$B$2213=B26))"),"https://techcombank.com/thong-tin/blog/so-tai-khoan-ngan-hang
https://techcombank.com/thong-tin/blog/co-nen-mua-so-tai-khoan-ngan-hang-dep
https://techcombank.com/thong-tin/blog/cdm
https://techcombank.com/thong-tin/blog/lo-so-tai-khoan-ngan-hang-co-sao-k"&amp;"hong
https://techcombank.com/thong-tin/blog/so-the-ngan-hang
https://techcombank.com/thong-tin/blog/1-cmnd-dang-ky-duoc-may-tai-khoan-ngan-hang
https://techcombank.com/thong-tin/blog/so-du-kha-dung
https://techcombank.com/thong-tin/blog/cach-kiem-tra-tai-"&amp;"khoan-ngan-hang-cua-cong-ty
https://techcombank.com/thong-tin/blog/so-du-tai-khoan-thanh-toan
https://techcombank.com/thong-tin/blog/so-du-tien-gui-la-gi
https://techcombank.com/thong-tin/blog/cach-chuyen-khoan-bang-dien-thoai
https://techcombank.com/thon"&amp;"g-tin/blog/cach-lay-lai-tien-da-chuyen-khoan-khi-bi-lua
https://techcombank.com/thong-tin/blog/lo-ma-qr-ngan-hang-co-sao-khong
https://techcombank.com/thong-tin/blog/sms-banking
https://techcombank.com/thong-tin/blog/8868
https://techcombank.com/thong-tin"&amp;"/blog/day-so-phat-tai-phat-loc
https://techcombank.com/thong-tin/blog/66666-co-y-nghia-gi
https://techcombank.com/thong-tin/blog/so-8386
https://techcombank.com/thong-tin/blog/so-tai-khoan-dep
https://techcombank.com/thong-tin/blog/99999-co-y-nghia-gi
htt"&amp;"ps://techcombank.com/thong-tin/blog/so-6868
https://techcombank.com/thong-tin/blog/cach-chuyen-tien
https://techcombank.com/thong-tin/blog/nap-tien-vao-tai-khoan-ngan-hang
https://techcombank.com/thong-tin/blog/cach-doi-mat-khau-tai-khoan-ngan-hang
https:"&amp;"//techcombank.com/thong-tin/blog/mo-tai-khoan-ngan-hang-online-co-an-toan-khong
https://techcombank.com/thong-tin/blog/mo-tai-khoan-ngan-hang-co-mat-phi-khong
https://techcombank.com/thong-tin/blog/ma-giao-dich-la-gi
https://techcombank.com/thong-tin/blog"&amp;"/cach-chon-so-tai-khoan-dep")</f>
        <v>https://techcombank.com/thong-tin/blog/so-tai-khoan-ngan-hang
https://techcombank.com/thong-tin/blog/co-nen-mua-so-tai-khoan-ngan-hang-dep
https://techcombank.com/thong-tin/blog/cdm
https://techcombank.com/thong-tin/blog/lo-so-tai-khoan-ngan-hang-co-sao-khong
https://techcombank.com/thong-tin/blog/so-the-ngan-hang
https://techcombank.com/thong-tin/blog/1-cmnd-dang-ky-duoc-may-tai-khoan-ngan-hang
https://techcombank.com/thong-tin/blog/so-du-kha-dung
https://techcombank.com/thong-tin/blog/cach-kiem-tra-tai-khoan-ngan-hang-cua-cong-ty
https://techcombank.com/thong-tin/blog/so-du-tai-khoan-thanh-toan
https://techcombank.com/thong-tin/blog/so-du-tien-gui-la-gi
https://techcombank.com/thong-tin/blog/cach-chuyen-khoan-bang-dien-thoai
https://techcombank.com/thong-tin/blog/cach-lay-lai-tien-da-chuyen-khoan-khi-bi-lua
https://techcombank.com/thong-tin/blog/lo-ma-qr-ngan-hang-co-sao-khong
https://techcombank.com/thong-tin/blog/sms-banking
https://techcombank.com/thong-tin/blog/8868
https://techcombank.com/thong-tin/blog/day-so-phat-tai-phat-loc
https://techcombank.com/thong-tin/blog/66666-co-y-nghia-gi
https://techcombank.com/thong-tin/blog/so-8386
https://techcombank.com/thong-tin/blog/so-tai-khoan-dep
https://techcombank.com/thong-tin/blog/99999-co-y-nghia-gi
https://techcombank.com/thong-tin/blog/so-6868
https://techcombank.com/thong-tin/blog/cach-chuyen-tien
https://techcombank.com/thong-tin/blog/nap-tien-vao-tai-khoan-ngan-hang
https://techcombank.com/thong-tin/blog/cach-doi-mat-khau-tai-khoan-ngan-hang
https://techcombank.com/thong-tin/blog/mo-tai-khoan-ngan-hang-online-co-an-toan-khong
https://techcombank.com/thong-tin/blog/mo-tai-khoan-ngan-hang-co-mat-phi-khong
https://techcombank.com/thong-tin/blog/ma-giao-dich-la-gi
https://techcombank.com/thong-tin/blog/cach-chon-so-tai-khoan-dep</v>
      </c>
    </row>
    <row r="27">
      <c r="A27" s="26">
        <v>14.0</v>
      </c>
      <c r="B27" s="27" t="s">
        <v>799</v>
      </c>
      <c r="C27" s="28" t="s">
        <v>655</v>
      </c>
      <c r="D27" s="29">
        <v>30.0</v>
      </c>
      <c r="E27" s="30">
        <f>COUNTIF('Kế hoạch chèn link (mới)'!$B$3:$B$2213,B27)</f>
        <v>29</v>
      </c>
      <c r="F27" s="31">
        <f t="shared" si="1"/>
        <v>1</v>
      </c>
      <c r="G27" s="32" t="str">
        <f>IFERROR(__xludf.DUMMYFUNCTION("IFERROR(LET(t,FILTER('Kế hoạch chèn link (mới)'!$M$3:$M$2213,'Kế hoạch chèn link (mới)'!$B$3:$B$2213=B27),u,UNIQUE(t),c,MAP(u,LAMBDA(x,COUNTIF(t,x))),s,SORT(HSTACK(u,c),2,FALSE),TEXTJOIN(CHAR(10),TRUE,BYROW(s,LAMBDA(r,INDEX(r,1,1)&amp;"": ""&amp;INDEX(r,1,2)&amp;"" b"&amp;"ài"")))),"""")"),"Tài khoản &amp; ngân hàng số: 16 bài
Doanh nghiệp (tài khoản, vay, tài chính): 6 bài
Thuế: 3 bài
Thanh toán, chuyển khoản &amp; QR: 1 bài
Ưu đãi, du lịch &amp; đời sống: 1 bài
Tiết kiệm &amp; lãi suất tiền gửi: 1 bài
Hộ kinh doanh &amp; bán hàng: 1 bài")</f>
        <v>Tài khoản &amp; ngân hàng số: 16 bài
Doanh nghiệp (tài khoản, vay, tài chính): 6 bài
Thuế: 3 bài
Thanh toán, chuyển khoản &amp; QR: 1 bài
Ưu đãi, du lịch &amp; đời sống: 1 bài
Tiết kiệm &amp; lãi suất tiền gửi: 1 bài
Hộ kinh doanh &amp; bán hàng: 1 bài</v>
      </c>
      <c r="H27" s="33" t="str">
        <f>IFERROR(__xludf.DUMMYFUNCTION("TEXTJOIN(CHAR(10),TRUE,FILTER('Kế hoạch chèn link (mới)'!$D$3:$D$2213,'Kế hoạch chèn link (mới)'!$B$3:$B$2213=B27))"),"https://techcombank.com/thong-tin/blog/mo-tai-khoan-ngan-hang-online-co-an-toan-khong
https://techcombank.com/thong-tin/blog/nho-nguoi-than-mo-tai-khoan-ngan-hang
https://techcombank.com/thong-tin/blog/xac-thuc-sinh-trac-hoc-khi-chuyen-tien
https://techco"&amp;"mbank.com/thong-tin/blog/nap-tien-vao-tai-khoan-ngan-hang
https://techcombank.com/thong-tin/blog/tai-khoan-ngan-hang-la-gi
https://techcombank.com/thong-tin/blog/1-cmnd-dang-ky-duoc-may-tai-khoan-ngan-hang
https://techcombank.com/thong-tin/blog/co-nen-mua"&amp;"-so-tai-khoan-ngan-hang-dep
https://techcombank.com/thong-tin/blog/mo-tai-khoan-ngan-hang-co-mat-phi-khong
https://techcombank.com/thong-tin/blog/lien-ket-tai-khoan-ngan-hang-voi-etax-mobile
https://techcombank.com/thong-tin/blog/cach-lien-ket-epass-voi-t"&amp;"ai-khoan-ngan-hang
https://techcombank.com/thong-tin/blog/khai-bao-tai-khoan-ngan-hang-voi-co-quan-thue
https://techcombank.com/thong-tin/blog/cach-doi-mat-khau-tai-khoan-ngan-hang
https://techcombank.com/thong-tin/blog/cach-lien-ket-tai-khoan-ngan-hang-v"&amp;"oi-vneid
https://techcombank.com/thong-tin/blog/thue-thu-nhap-ca-nhan
https://techcombank.com/thong-tin/blog/cach-dong-tien-dien-qua-tai-khoan-ngan-hang
https://techcombank.com/thong-tin/blog/bao-nhieu-tuoi-duoc-mo-tai-khoan-ngan-hang
https://techcombank."&amp;"com/thong-tin/blog/mo-tai-khoan-ngan-hang-duoi-18-tuoi
https://techcombank.com/thong-tin/blog/tai-khoan-ngan-hang-chua-toi-da-bao-nhieu-tien
https://techcombank.com/thong-tin/blog/88-la-gi
https://techcombank.com/thong-tin/blog/dang-ky-nhieu-tai-khoan-nga"&amp;"n-hang-co-sao-khong
https://techcombank.com/thong-tin/blog/cach-kiem-tra-tai-khoan-ngan-hang-cua-cong-ty
https://techcombank.com/thong-tin/blog/techcombank-sinh-loi-tu-dong
https://techcombank.com/thong-tin/blog/lo-so-tai-khoan-ngan-hang-co-sao-khong
http"&amp;"s://techcombank.com/thong-tin/blog/mo-tai-khoan-doanh-nghiep
https://techcombank.com/thong-tin/blog/dong-tai-khoan-ngan-hang-cong-ty
https://techcombank.com/thong-tin/blog/mo-tai-khoan-ho-kinh-doanh
https://techcombank.com/thong-tin/blog/nen-mo-tai-khoan-"&amp;"ngan-hang-nao-cho-doanh-nghiep
https://techcombank.com/thong-tin/blog/mo-them-tai-khoan-ngan-hang-cho-cong-ty
https://techcombank.com/thong-tin/blog/mau-mo-tai-khoan-doanh-nghiep-techcombank")</f>
        <v>https://techcombank.com/thong-tin/blog/mo-tai-khoan-ngan-hang-online-co-an-toan-khong
https://techcombank.com/thong-tin/blog/nho-nguoi-than-mo-tai-khoan-ngan-hang
https://techcombank.com/thong-tin/blog/xac-thuc-sinh-trac-hoc-khi-chuyen-tien
https://techcombank.com/thong-tin/blog/nap-tien-vao-tai-khoan-ngan-hang
https://techcombank.com/thong-tin/blog/tai-khoan-ngan-hang-la-gi
https://techcombank.com/thong-tin/blog/1-cmnd-dang-ky-duoc-may-tai-khoan-ngan-hang
https://techcombank.com/thong-tin/blog/co-nen-mua-so-tai-khoan-ngan-hang-dep
https://techcombank.com/thong-tin/blog/mo-tai-khoan-ngan-hang-co-mat-phi-khong
https://techcombank.com/thong-tin/blog/lien-ket-tai-khoan-ngan-hang-voi-etax-mobile
https://techcombank.com/thong-tin/blog/cach-lien-ket-epass-voi-tai-khoan-ngan-hang
https://techcombank.com/thong-tin/blog/khai-bao-tai-khoan-ngan-hang-voi-co-quan-thue
https://techcombank.com/thong-tin/blog/cach-doi-mat-khau-tai-khoan-ngan-hang
https://techcombank.com/thong-tin/blog/cach-lien-ket-tai-khoan-ngan-hang-voi-vneid
https://techcombank.com/thong-tin/blog/thue-thu-nhap-ca-nhan
https://techcombank.com/thong-tin/blog/cach-dong-tien-dien-qua-tai-khoan-ngan-hang
https://techcombank.com/thong-tin/blog/bao-nhieu-tuoi-duoc-mo-tai-khoan-ngan-hang
https://techcombank.com/thong-tin/blog/mo-tai-khoan-ngan-hang-duoi-18-tuoi
https://techcombank.com/thong-tin/blog/tai-khoan-ngan-hang-chua-toi-da-bao-nhieu-tien
https://techcombank.com/thong-tin/blog/88-la-gi
https://techcombank.com/thong-tin/blog/dang-ky-nhieu-tai-khoan-ngan-hang-co-sao-khong
https://techcombank.com/thong-tin/blog/cach-kiem-tra-tai-khoan-ngan-hang-cua-cong-ty
https://techcombank.com/thong-tin/blog/techcombank-sinh-loi-tu-dong
https://techcombank.com/thong-tin/blog/lo-so-tai-khoan-ngan-hang-co-sao-khong
https://techcombank.com/thong-tin/blog/mo-tai-khoan-doanh-nghiep
https://techcombank.com/thong-tin/blog/dong-tai-khoan-ngan-hang-cong-ty
https://techcombank.com/thong-tin/blog/mo-tai-khoan-ho-kinh-doanh
https://techcombank.com/thong-tin/blog/nen-mo-tai-khoan-ngan-hang-nao-cho-doanh-nghiep
https://techcombank.com/thong-tin/blog/mo-them-tai-khoan-ngan-hang-cho-cong-ty
https://techcombank.com/thong-tin/blog/mau-mo-tai-khoan-doanh-nghiep-techcombank</v>
      </c>
    </row>
    <row r="28">
      <c r="A28" s="26">
        <v>15.0</v>
      </c>
      <c r="B28" s="27" t="s">
        <v>810</v>
      </c>
      <c r="C28" s="28" t="s">
        <v>655</v>
      </c>
      <c r="D28" s="29">
        <v>30.0</v>
      </c>
      <c r="E28" s="30">
        <f>COUNTIF('Kế hoạch chèn link (mới)'!$B$3:$B$2213,B28)</f>
        <v>29</v>
      </c>
      <c r="F28" s="31">
        <f t="shared" si="1"/>
        <v>1</v>
      </c>
      <c r="G28" s="32" t="str">
        <f>IFERROR(__xludf.DUMMYFUNCTION("IFERROR(LET(t,FILTER('Kế hoạch chèn link (mới)'!$M$3:$M$2213,'Kế hoạch chèn link (mới)'!$B$3:$B$2213=B28),u,UNIQUE(t),c,MAP(u,LAMBDA(x,COUNTIF(t,x))),s,SORT(HSTACK(u,c),2,FALSE),TEXTJOIN(CHAR(10),TRUE,BYROW(s,LAMBDA(r,INDEX(r,1,1)&amp;"": ""&amp;INDEX(r,1,2)&amp;"" b"&amp;"ài"")))),"""")"),"Doanh nghiệp (tài khoản, vay, tài chính): 5 bài
Tài khoản &amp; ngân hàng số: 4 bài
Tiết kiệm &amp; lãi suất tiền gửi: 4 bài
Ngoại tệ &amp; chuyển tiền quốc tế: 3 bài
Vay thế chấp &amp; mua nhà/xe: 3 bài
Thẻ tín dụng: 3 bài
Đầu tư, CCTG, trái phiếu, vàng: 2 bài
Vay tiêu "&amp;"dùng &amp; tín chấp: 2 bài
Thẻ ATM &amp; thẻ ghi nợ: 1 bài
Ngân hàng xanh &amp; thương hiệu: 1 bài
Hộ kinh doanh &amp; bán hàng: 1 bài")</f>
        <v>Doanh nghiệp (tài khoản, vay, tài chính): 5 bài
Tài khoản &amp; ngân hàng số: 4 bài
Tiết kiệm &amp; lãi suất tiền gửi: 4 bài
Ngoại tệ &amp; chuyển tiền quốc tế: 3 bài
Vay thế chấp &amp; mua nhà/xe: 3 bài
Thẻ tín dụng: 3 bài
Đầu tư, CCTG, trái phiếu, vàng: 2 bài
Vay tiêu dùng &amp; tín chấp: 2 bài
Thẻ ATM &amp; thẻ ghi nợ: 1 bài
Ngân hàng xanh &amp; thương hiệu: 1 bài
Hộ kinh doanh &amp; bán hàng: 1 bài</v>
      </c>
      <c r="H28" s="33" t="str">
        <f>IFERROR(__xludf.DUMMYFUNCTION("TEXTJOIN(CHAR(10),TRUE,FILTER('Kế hoạch chèn link (mới)'!$D$3:$D$2213,'Kế hoạch chèn link (mới)'!$B$3:$B$2213=B28))"),"https://techcombank.com/thong-tin/blog/gui-tien-ngan-hang-co-an-toan-khong
https://techcombank.com/thong-tin/blog/rui-ro-khi-gui-tiet-kiem-ngan-hang
https://techcombank.com/thong-tin/blog/tin-chap-doanh-nghiep
https://techcombank.com/thong-tin/blog/quy-di"&amp;"nh-ve-mua-ban-ngoai-te-cua-doanh-nghiep
https://techcombank.com/thong-tin/blog/chuyen-tien-tro-cap-than-nhan-o-nuoc-ngoai
https://techcombank.com/thong-tin/blog/nop-tien-mat-vao-tai-khoan-cong-ty
https://techcombank.com/thong-tin/blog/quy-du-phong-tai-chi"&amp;"nh-la-gi
https://techcombank.com/thong-tin/blog/lai-suat-vay-mua-o-to
https://techcombank.com/thong-tin/blog/nen-mo-tai-khoan-ngan-hang-nao-cho-doanh-nghiep
https://techcombank.com/thong-tin/blog/kinh-nghiem-gui-tiet-kiem-online
https://techcombank.com/th"&amp;"ong-tin/blog/co-nen-gui-tiet-kiem-ngan-hang
https://techcombank.com/thong-tin/blog/nen-vay-tin-chap-o-dau
https://techcombank.com/thong-tin/blog/nen-vay-the-chap-ngan-hang-nao
https://techcombank.com/thong-tin/blog/uu-dai-mo-the-tin-dung
https://techcomba"&amp;"nk.com/thong-tin/blog/hoc-sinh-sinh-vien-nen-lam-the-ngan-hang-nao
https://techcombank.com/thong-tin/blog/gui-tiet-kiem-ngoai-te
https://techcombank.com/thong-tin/blog/viet-kieu-co-mo-duoc-tai-khoan-ngan-hang-khong
https://techcombank.com/thong-tin/blog/t"&amp;"y-gia-cac-ngan-hang
https://techcombank.com/thong-tin/blog/bao-lanh-vay-von
https://techcombank.com/thong-tin/blog/vay-mua-xe-tra-gop-ngan-hang-nao-tot-nhat
https://techcombank.com/thong-tin/blog/app-ngan-hang
https://techcombank.com/thong-tin/blog/app-ng"&amp;"an-hang-uy-tin
https://techcombank.com/thong-tin/blog/lam-the-visa-o-dau
https://techcombank.com/thong-tin/blog/lai-suat-chung-chi-tien-gui-cac-ngan-hang
https://techcombank.com/thong-tin/blog/ty-gia-la-gi
https://techcombank.com/thong-tin/blog/gia-tri-th"&amp;"uong-hieu
https://techcombank.com/thong-tin/blog/vay-sinh-vien
https://techcombank.com/thong-tin/blog/dieu-kien-vay-von-ngan-hang
https://techcombank.com/thong-tin/blog/the-tin-dung-mien-lai-55-ngay")</f>
        <v>https://techcombank.com/thong-tin/blog/gui-tien-ngan-hang-co-an-toan-khong
https://techcombank.com/thong-tin/blog/rui-ro-khi-gui-tiet-kiem-ngan-hang
https://techcombank.com/thong-tin/blog/tin-chap-doanh-nghiep
https://techcombank.com/thong-tin/blog/quy-dinh-ve-mua-ban-ngoai-te-cua-doanh-nghiep
https://techcombank.com/thong-tin/blog/chuyen-tien-tro-cap-than-nhan-o-nuoc-ngoai
https://techcombank.com/thong-tin/blog/nop-tien-mat-vao-tai-khoan-cong-ty
https://techcombank.com/thong-tin/blog/quy-du-phong-tai-chinh-la-gi
https://techcombank.com/thong-tin/blog/lai-suat-vay-mua-o-to
https://techcombank.com/thong-tin/blog/nen-mo-tai-khoan-ngan-hang-nao-cho-doanh-nghiep
https://techcombank.com/thong-tin/blog/kinh-nghiem-gui-tiet-kiem-online
https://techcombank.com/thong-tin/blog/co-nen-gui-tiet-kiem-ngan-hang
https://techcombank.com/thong-tin/blog/nen-vay-tin-chap-o-dau
https://techcombank.com/thong-tin/blog/nen-vay-the-chap-ngan-hang-nao
https://techcombank.com/thong-tin/blog/uu-dai-mo-the-tin-dung
https://techcombank.com/thong-tin/blog/hoc-sinh-sinh-vien-nen-lam-the-ngan-hang-nao
https://techcombank.com/thong-tin/blog/gui-tiet-kiem-ngoai-te
https://techcombank.com/thong-tin/blog/viet-kieu-co-mo-duoc-tai-khoan-ngan-hang-khong
https://techcombank.com/thong-tin/blog/ty-gia-cac-ngan-hang
https://techcombank.com/thong-tin/blog/bao-lanh-vay-von
https://techcombank.com/thong-tin/blog/vay-mua-xe-tra-gop-ngan-hang-nao-tot-nhat
https://techcombank.com/thong-tin/blog/app-ngan-hang
https://techcombank.com/thong-tin/blog/app-ngan-hang-uy-tin
https://techcombank.com/thong-tin/blog/lam-the-visa-o-dau
https://techcombank.com/thong-tin/blog/lai-suat-chung-chi-tien-gui-cac-ngan-hang
https://techcombank.com/thong-tin/blog/ty-gia-la-gi
https://techcombank.com/thong-tin/blog/gia-tri-thuong-hieu
https://techcombank.com/thong-tin/blog/vay-sinh-vien
https://techcombank.com/thong-tin/blog/dieu-kien-vay-von-ngan-hang
https://techcombank.com/thong-tin/blog/the-tin-dung-mien-lai-55-ngay</v>
      </c>
    </row>
    <row r="29">
      <c r="A29" s="26">
        <v>16.0</v>
      </c>
      <c r="B29" s="27" t="s">
        <v>823</v>
      </c>
      <c r="C29" s="28" t="s">
        <v>655</v>
      </c>
      <c r="D29" s="29">
        <v>30.0</v>
      </c>
      <c r="E29" s="30">
        <f>COUNTIF('Kế hoạch chèn link (mới)'!$B$3:$B$2213,B29)</f>
        <v>24</v>
      </c>
      <c r="F29" s="31">
        <f t="shared" si="1"/>
        <v>6</v>
      </c>
      <c r="G29" s="32" t="str">
        <f>IFERROR(__xludf.DUMMYFUNCTION("IFERROR(LET(t,FILTER('Kế hoạch chèn link (mới)'!$M$3:$M$2213,'Kế hoạch chèn link (mới)'!$B$3:$B$2213=B29),u,UNIQUE(t),c,MAP(u,LAMBDA(x,COUNTIF(t,x))),s,SORT(HSTACK(u,c),2,FALSE),TEXTJOIN(CHAR(10),TRUE,BYROW(s,LAMBDA(r,INDEX(r,1,1)&amp;"": ""&amp;INDEX(r,1,2)&amp;"" b"&amp;"ài"")))),"""")"),"Thanh toán, chuyển khoản &amp; QR: 9 bài
Ngoại tệ &amp; chuyển tiền quốc tế: 7 bài
Thẻ ATM &amp; thẻ ghi nợ: 3 bài
Tài khoản &amp; ngân hàng số: 2 bài
Doanh nghiệp (tài khoản, vay, tài chính): 1 bài
Hộ kinh doanh &amp; bán hàng: 1 bài
Ưu đãi, du lịch &amp; đời sống: 1 bài")</f>
        <v>Thanh toán, chuyển khoản &amp; QR: 9 bài
Ngoại tệ &amp; chuyển tiền quốc tế: 7 bài
Thẻ ATM &amp; thẻ ghi nợ: 3 bài
Tài khoản &amp; ngân hàng số: 2 bài
Doanh nghiệp (tài khoản, vay, tài chính): 1 bài
Hộ kinh doanh &amp; bán hàng: 1 bài
Ưu đãi, du lịch &amp; đời sống: 1 bài</v>
      </c>
      <c r="H29" s="33" t="str">
        <f>IFERROR(__xludf.DUMMYFUNCTION("TEXTJOIN(CHAR(10),TRUE,FILTER('Kế hoạch chèn link (mới)'!$D$3:$D$2213,'Kế hoạch chèn link (mới)'!$B$3:$B$2213=B29))"),"https://techcombank.com/thong-tin/blog/ngan-hang-thu-huong-la-gi
https://techcombank.com/thong-tin/blog/ma-giao-dich-la-gi
https://techcombank.com/thong-tin/blog/cach-chuyen-khoan-bang-dien-thoai
https://techcombank.com/thong-tin/blog/ma-qr-ngan-hang-khon"&amp;"g-hop-le
https://techcombank.com/thong-tin/blog/luu-y-khi-chuyen-tien-vao-tai-khoan-cong-ty
https://techcombank.com/thong-tin/blog/loa-ting-ting
https://techcombank.com/thong-tin/blog/cach-nap-tien-vao-the-ghi-no
https://techcombank.com/thong-tin/blog/cac"&amp;"h-chuyen-tien-qua-ma-qr-techcombank
https://techcombank.com/thong-tin/blog/cach-chuyen-tien
https://techcombank.com/thong-tin/blog/chuyen-nham-tien-co-lay-lai-duoc-khong
https://techcombank.com/thong-tin/blog/cach-lay-lai-tien-da-chuyen-khoan-khi-bi-lua
h"&amp;"ttps://techcombank.com/thong-tin/blog/tai-khoan-ngan-hang-bi-khoa
https://techcombank.com/thong-tin/blog/xac-thuc-sinh-trac-hoc-khi-chuyen-tien
https://techcombank.com/thong-tin/blog/the-ghi-no-co-chuyen-khoan-duoc-khong
https://techcombank.com/thong-tin/"&amp;"blog/loa-thong-bao-chuyen-khoan
https://techcombank.com/thong-tin/blog/remittance-la-gi
https://techcombank.com/thong-tin/blog/cdm
https://techcombank.com/thong-tin/blog/cach-tao-ma-qr-code-mien-phi
https://techcombank.com/thong-tin/blog/gui-tien-du-hoc
h"&amp;"ttps://techcombank.com/thong-tin/blog/iban-la-gi
https://techcombank.com/thong-tin/blog/vi-dien-tu-la-gi
https://techcombank.com/thong-tin/blog/casa-la-gi
https://techcombank.com/thong-tin/blog/dinh-cu-chau-au
https://techcombank.com/thong-tin/blog/cam-na"&amp;"ng-dinh-cu-my")</f>
        <v>https://techcombank.com/thong-tin/blog/ngan-hang-thu-huong-la-gi
https://techcombank.com/thong-tin/blog/ma-giao-dich-la-gi
https://techcombank.com/thong-tin/blog/cach-chuyen-khoan-bang-dien-thoai
https://techcombank.com/thong-tin/blog/ma-qr-ngan-hang-khong-hop-le
https://techcombank.com/thong-tin/blog/luu-y-khi-chuyen-tien-vao-tai-khoan-cong-ty
https://techcombank.com/thong-tin/blog/loa-ting-ting
https://techcombank.com/thong-tin/blog/cach-nap-tien-vao-the-ghi-no
https://techcombank.com/thong-tin/blog/cach-chuyen-tien-qua-ma-qr-techcombank
https://techcombank.com/thong-tin/blog/cach-chuyen-tien
https://techcombank.com/thong-tin/blog/chuyen-nham-tien-co-lay-lai-duoc-khong
https://techcombank.com/thong-tin/blog/cach-lay-lai-tien-da-chuyen-khoan-khi-bi-lua
https://techcombank.com/thong-tin/blog/tai-khoan-ngan-hang-bi-khoa
https://techcombank.com/thong-tin/blog/xac-thuc-sinh-trac-hoc-khi-chuyen-tien
https://techcombank.com/thong-tin/blog/the-ghi-no-co-chuyen-khoan-duoc-khong
https://techcombank.com/thong-tin/blog/loa-thong-bao-chuyen-khoan
https://techcombank.com/thong-tin/blog/remittance-la-gi
https://techcombank.com/thong-tin/blog/cdm
https://techcombank.com/thong-tin/blog/cach-tao-ma-qr-code-mien-phi
https://techcombank.com/thong-tin/blog/gui-tien-du-hoc
https://techcombank.com/thong-tin/blog/iban-la-gi
https://techcombank.com/thong-tin/blog/vi-dien-tu-la-gi
https://techcombank.com/thong-tin/blog/casa-la-gi
https://techcombank.com/thong-tin/blog/dinh-cu-chau-au
https://techcombank.com/thong-tin/blog/cam-nang-dinh-cu-my</v>
      </c>
    </row>
    <row r="30">
      <c r="A30" s="26">
        <v>17.0</v>
      </c>
      <c r="B30" s="27" t="s">
        <v>834</v>
      </c>
      <c r="C30" s="28" t="s">
        <v>655</v>
      </c>
      <c r="D30" s="29">
        <v>30.0</v>
      </c>
      <c r="E30" s="30">
        <f>COUNTIF('Kế hoạch chèn link (mới)'!$B$3:$B$2213,B30)</f>
        <v>23</v>
      </c>
      <c r="F30" s="31">
        <f t="shared" si="1"/>
        <v>7</v>
      </c>
      <c r="G30" s="32" t="str">
        <f>IFERROR(__xludf.DUMMYFUNCTION("IFERROR(LET(t,FILTER('Kế hoạch chèn link (mới)'!$M$3:$M$2213,'Kế hoạch chèn link (mới)'!$B$3:$B$2213=B30),u,UNIQUE(t),c,MAP(u,LAMBDA(x,COUNTIF(t,x))),s,SORT(HSTACK(u,c),2,FALSE),TEXTJOIN(CHAR(10),TRUE,BYROW(s,LAMBDA(r,INDEX(r,1,1)&amp;"": ""&amp;INDEX(r,1,2)&amp;"" b"&amp;"ài"")))),"""")"),"Tài khoản &amp; ngân hàng số: 6 bài
Thẻ ATM &amp; thẻ ghi nợ: 6 bài
Hộ kinh doanh &amp; bán hàng: 3 bài
Thẻ tín dụng: 3 bài
Ngoại tệ &amp; chuyển tiền quốc tế: 2 bài
Thanh toán, chuyển khoản &amp; QR: 1 bài
Ưu đãi, du lịch &amp; đời sống: 1 bài
Vay tiêu dùng &amp; tín chấp: 1 bài")</f>
        <v>Tài khoản &amp; ngân hàng số: 6 bài
Thẻ ATM &amp; thẻ ghi nợ: 6 bài
Hộ kinh doanh &amp; bán hàng: 3 bài
Thẻ tín dụng: 3 bài
Ngoại tệ &amp; chuyển tiền quốc tế: 2 bài
Thanh toán, chuyển khoản &amp; QR: 1 bài
Ưu đãi, du lịch &amp; đời sống: 1 bài
Vay tiêu dùng &amp; tín chấp: 1 bài</v>
      </c>
      <c r="H30" s="33" t="str">
        <f>IFERROR(__xludf.DUMMYFUNCTION("TEXTJOIN(CHAR(10),TRUE,FILTER('Kế hoạch chèn link (mới)'!$D$3:$D$2213,'Kế hoạch chèn link (mới)'!$B$3:$B$2213=B30))"),"https://techcombank.com/thong-tin/blog/mo-tai-khoan-ngan-hang-cho-tre-em
https://techcombank.com/thong-tin/blog/nho-nguoi-than-mo-tai-khoan-ngan-hang
https://techcombank.com/thong-tin/blog/shopeepay-la-gi
https://techcombank.com/thong-tin/blog/hoc-sinh-si"&amp;"nh-vien-nen-lam-the-ngan-hang-nao
https://techcombank.com/thong-tin/blog/cach-lam-the-atm
https://techcombank.com/thong-tin/blog/cach-chuyen-tien-qua-ma-qr-techcombank
https://techcombank.com/thong-tin/blog/cach-chon-so-tai-khoan-dep
https://techcombank.c"&amp;"om/thong-tin/blog/mo-tai-khoan-ngan-hang-duoi-18-tuoi
https://techcombank.com/thong-tin/blog/mo-tai-khoan-ho-kinh-doanh
https://techcombank.com/thong-tin/blog/lam-the-visa-online
https://techcombank.com/thong-tin/blog/the-debit-cho-con
https://techcombank"&amp;".com/thong-tin/blog/lam-the-thanh-toan-quoc-te
https://techcombank.com/thong-tin/blog/1-nguoi-co-the-lam-duoc-bao-nhieu-the-atm
https://techcombank.com/thong-tin/blog/lam-the-atm-bao-lau-co
https://techcombank.com/thong-tin/blog/quan-ly-chuoi-cua-hang
htt"&amp;"ps://techcombank.com/thong-tin/blog/lam-the-atm-co-mat-phi-khong
https://techcombank.com/thong-tin/blog/ma-otp-la-gi
https://techcombank.com/thong-tin/blog/lam-the-visa-o-dau
https://techcombank.com/thong-tin/blog/mat-so-dien-thoai-dang-ky-tai-khoan-ngan-"&amp;"hang
https://techcombank.com/thong-tin/blog/vi-du-ve-ca-nhan-hoa
https://techcombank.com/thong-tin/blog/lam-the-tin-dung
https://techcombank.com/thong-tin/blog/vay-thau-chi-bang-so-tiet-kiem
https://techcombank.com/thong-tin/blog/qr-code-phuong-thuc-thanh"&amp;"-toan-toi-uu-trong-ky-nguyen-so")</f>
        <v>https://techcombank.com/thong-tin/blog/mo-tai-khoan-ngan-hang-cho-tre-em
https://techcombank.com/thong-tin/blog/nho-nguoi-than-mo-tai-khoan-ngan-hang
https://techcombank.com/thong-tin/blog/shopeepay-la-gi
https://techcombank.com/thong-tin/blog/hoc-sinh-sinh-vien-nen-lam-the-ngan-hang-nao
https://techcombank.com/thong-tin/blog/cach-lam-the-atm
https://techcombank.com/thong-tin/blog/cach-chuyen-tien-qua-ma-qr-techcombank
https://techcombank.com/thong-tin/blog/cach-chon-so-tai-khoan-dep
https://techcombank.com/thong-tin/blog/mo-tai-khoan-ngan-hang-duoi-18-tuoi
https://techcombank.com/thong-tin/blog/mo-tai-khoan-ho-kinh-doanh
https://techcombank.com/thong-tin/blog/lam-the-visa-online
https://techcombank.com/thong-tin/blog/the-debit-cho-con
https://techcombank.com/thong-tin/blog/lam-the-thanh-toan-quoc-te
https://techcombank.com/thong-tin/blog/1-nguoi-co-the-lam-duoc-bao-nhieu-the-atm
https://techcombank.com/thong-tin/blog/lam-the-atm-bao-lau-co
https://techcombank.com/thong-tin/blog/quan-ly-chuoi-cua-hang
https://techcombank.com/thong-tin/blog/lam-the-atm-co-mat-phi-khong
https://techcombank.com/thong-tin/blog/ma-otp-la-gi
https://techcombank.com/thong-tin/blog/lam-the-visa-o-dau
https://techcombank.com/thong-tin/blog/mat-so-dien-thoai-dang-ky-tai-khoan-ngan-hang
https://techcombank.com/thong-tin/blog/vi-du-ve-ca-nhan-hoa
https://techcombank.com/thong-tin/blog/lam-the-tin-dung
https://techcombank.com/thong-tin/blog/vay-thau-chi-bang-so-tiet-kiem
https://techcombank.com/thong-tin/blog/qr-code-phuong-thuc-thanh-toan-toi-uu-trong-ky-nguyen-so</v>
      </c>
    </row>
    <row r="31">
      <c r="A31" s="26">
        <v>18.0</v>
      </c>
      <c r="B31" s="27" t="s">
        <v>835</v>
      </c>
      <c r="C31" s="28" t="s">
        <v>655</v>
      </c>
      <c r="D31" s="29">
        <v>30.0</v>
      </c>
      <c r="E31" s="30">
        <f>COUNTIF('Kế hoạch chèn link (mới)'!$B$3:$B$2213,B31)</f>
        <v>24</v>
      </c>
      <c r="F31" s="31">
        <f t="shared" si="1"/>
        <v>6</v>
      </c>
      <c r="G31" s="32" t="str">
        <f>IFERROR(__xludf.DUMMYFUNCTION("IFERROR(LET(t,FILTER('Kế hoạch chèn link (mới)'!$M$3:$M$2213,'Kế hoạch chèn link (mới)'!$B$3:$B$2213=B31),u,UNIQUE(t),c,MAP(u,LAMBDA(x,COUNTIF(t,x))),s,SORT(HSTACK(u,c),2,FALSE),TEXTJOIN(CHAR(10),TRUE,BYROW(s,LAMBDA(r,INDEX(r,1,1)&amp;"": ""&amp;INDEX(r,1,2)&amp;"" b"&amp;"ài"")))),"""")"),"Tài khoản &amp; ngân hàng số: 11 bài
Thanh toán, chuyển khoản &amp; QR: 4 bài
Ưu đãi, du lịch &amp; đời sống: 3 bài
Thẻ ATM &amp; thẻ ghi nợ: 2 bài
Hộ kinh doanh &amp; bán hàng: 2 bài
Đầu tư, CCTG, trái phiếu, vàng: 1 bài
Tiết kiệm &amp; lãi suất tiền gửi: 1 bài")</f>
        <v>Tài khoản &amp; ngân hàng số: 11 bài
Thanh toán, chuyển khoản &amp; QR: 4 bài
Ưu đãi, du lịch &amp; đời sống: 3 bài
Thẻ ATM &amp; thẻ ghi nợ: 2 bài
Hộ kinh doanh &amp; bán hàng: 2 bài
Đầu tư, CCTG, trái phiếu, vàng: 1 bài
Tiết kiệm &amp; lãi suất tiền gửi: 1 bài</v>
      </c>
      <c r="H31" s="33" t="str">
        <f>IFERROR(__xludf.DUMMYFUNCTION("TEXTJOIN(CHAR(10),TRUE,FILTER('Kế hoạch chèn link (mới)'!$D$3:$D$2213,'Kế hoạch chèn link (mới)'!$B$3:$B$2213=B31))"),"https://techcombank.com/thong-tin/blog/the-debit-cho-con
https://techcombank.com/thong-tin/blog/ma-otp-la-gi
https://techcombank.com/thong-tin/blog/hoc-sinh-sinh-vien-nen-lam-the-ngan-hang-nao
https://techcombank.com/thong-tin/blog/thanh-toan-hoc-phi-onli"&amp;"ne
https://techcombank.com/thong-tin/blog/thanh-toan-khong-tien-mat-trong-nganh-giao-duc-co-hoi-va-thach-thuc
https://techcombank.com/thong-tin/blog/ekyc-la-gi
https://techcombank.com/thong-tin/blog/quy-gia-dinh
https://techcombank.com/thong-tin/blog/mo-t"&amp;"ai-khoan-ngan-hang-cho-tre-em
https://techcombank.com/thong-tin/blog/mo-tai-khoan-ngan-hang-online-co-an-toan-khong
https://techcombank.com/thong-tin/blog/cach-bao-ve-tai-khoan
https://techcombank.com/thong-tin/blog/xac-thuc-sinh-trac-hoc-khi-chuyen-tien
"&amp;"https://techcombank.com/thong-tin/blog/cach-quet-nfc-cccd-tren-iphone
https://techcombank.com/thong-tin/blog/mo-tai-khoan-ho-kinh-doanh
https://techcombank.com/thong-tin/blog/nap-xu-tiktok
https://techcombank.com/thong-tin/blog/so-tai-khoan-ngan-hang
http"&amp;"s://techcombank.com/thong-tin/blog/cach-chon-so-tai-khoan-dep
https://techcombank.com/thong-tin/blog/dang-ky-nhieu-tai-khoan-ngan-hang-co-sao-khong
https://techcombank.com/thong-tin/blog/cach-chuyen-tien
https://techcombank.com/thong-tin/blog/8868
https:/"&amp;"/techcombank.com/thong-tin/blog/so-tai-khoan-dep
https://techcombank.com/thong-tin/blog/mo-tai-khoan-ngan-hang-trung-so-dien-thoai
https://techcombank.com/thong-tin/blog/shopeepay-la-gi
https://techcombank.com/thong-tin/blog/mo-tai-khoan-ngan-hang-bang-so"&amp;"-dien-thoai
https://techcombank.com/thong-tin/blog/bao-nhieu-tuoi-duoc-mo-tai-khoan-ngan-hang")</f>
        <v>https://techcombank.com/thong-tin/blog/the-debit-cho-con
https://techcombank.com/thong-tin/blog/ma-otp-la-gi
https://techcombank.com/thong-tin/blog/hoc-sinh-sinh-vien-nen-lam-the-ngan-hang-nao
https://techcombank.com/thong-tin/blog/thanh-toan-hoc-phi-online
https://techcombank.com/thong-tin/blog/thanh-toan-khong-tien-mat-trong-nganh-giao-duc-co-hoi-va-thach-thuc
https://techcombank.com/thong-tin/blog/ekyc-la-gi
https://techcombank.com/thong-tin/blog/quy-gia-dinh
https://techcombank.com/thong-tin/blog/mo-tai-khoan-ngan-hang-cho-tre-em
https://techcombank.com/thong-tin/blog/mo-tai-khoan-ngan-hang-online-co-an-toan-khong
https://techcombank.com/thong-tin/blog/cach-bao-ve-tai-khoan
https://techcombank.com/thong-tin/blog/xac-thuc-sinh-trac-hoc-khi-chuyen-tien
https://techcombank.com/thong-tin/blog/cach-quet-nfc-cccd-tren-iphone
https://techcombank.com/thong-tin/blog/mo-tai-khoan-ho-kinh-doanh
https://techcombank.com/thong-tin/blog/nap-xu-tiktok
https://techcombank.com/thong-tin/blog/so-tai-khoan-ngan-hang
https://techcombank.com/thong-tin/blog/cach-chon-so-tai-khoan-dep
https://techcombank.com/thong-tin/blog/dang-ky-nhieu-tai-khoan-ngan-hang-co-sao-khong
https://techcombank.com/thong-tin/blog/cach-chuyen-tien
https://techcombank.com/thong-tin/blog/8868
https://techcombank.com/thong-tin/blog/so-tai-khoan-dep
https://techcombank.com/thong-tin/blog/mo-tai-khoan-ngan-hang-trung-so-dien-thoai
https://techcombank.com/thong-tin/blog/shopeepay-la-gi
https://techcombank.com/thong-tin/blog/mo-tai-khoan-ngan-hang-bang-so-dien-thoai
https://techcombank.com/thong-tin/blog/bao-nhieu-tuoi-duoc-mo-tai-khoan-ngan-hang</v>
      </c>
    </row>
    <row r="32">
      <c r="A32" s="26">
        <v>19.0</v>
      </c>
      <c r="B32" s="27" t="s">
        <v>840</v>
      </c>
      <c r="C32" s="28" t="s">
        <v>655</v>
      </c>
      <c r="D32" s="29">
        <v>30.0</v>
      </c>
      <c r="E32" s="30">
        <f>COUNTIF('Kế hoạch chèn link (mới)'!$B$3:$B$2213,B32)</f>
        <v>28</v>
      </c>
      <c r="F32" s="31">
        <f t="shared" si="1"/>
        <v>2</v>
      </c>
      <c r="G32" s="32" t="str">
        <f>IFERROR(__xludf.DUMMYFUNCTION("IFERROR(LET(t,FILTER('Kế hoạch chèn link (mới)'!$M$3:$M$2213,'Kế hoạch chèn link (mới)'!$B$3:$B$2213=B32),u,UNIQUE(t),c,MAP(u,LAMBDA(x,COUNTIF(t,x))),s,SORT(HSTACK(u,c),2,FALSE),TEXTJOIN(CHAR(10),TRUE,BYROW(s,LAMBDA(r,INDEX(r,1,1)&amp;"": ""&amp;INDEX(r,1,2)&amp;"" b"&amp;"ài"")))),"""")"),"Thẻ ATM &amp; thẻ ghi nợ: 13 bài
Thẻ tín dụng: 4 bài
Doanh nghiệp (tài khoản, vay, tài chính): 4 bài
Tài khoản &amp; ngân hàng số: 3 bài
Thanh toán, chuyển khoản &amp; QR: 2 bài
Tiết kiệm &amp; lãi suất tiền gửi: 1 bài
Ngoại tệ &amp; chuyển tiền quốc tế: 1 bài")</f>
        <v>Thẻ ATM &amp; thẻ ghi nợ: 13 bài
Thẻ tín dụng: 4 bài
Doanh nghiệp (tài khoản, vay, tài chính): 4 bài
Tài khoản &amp; ngân hàng số: 3 bài
Thanh toán, chuyển khoản &amp; QR: 2 bài
Tiết kiệm &amp; lãi suất tiền gửi: 1 bài
Ngoại tệ &amp; chuyển tiền quốc tế: 1 bài</v>
      </c>
      <c r="H32" s="33" t="str">
        <f>IFERROR(__xludf.DUMMYFUNCTION("TEXTJOIN(CHAR(10),TRUE,FILTER('Kế hoạch chèn link (mới)'!$D$3:$D$2213,'Kế hoạch chèn link (mới)'!$B$3:$B$2213=B32))"),"https://techcombank.com/thong-tin/blog/the-ghi-no-visa-la-gi
https://techcombank.com/thong-tin/blog/cach-su-dung-the-visa-techcombank
https://techcombank.com/thong-tin/blog/cdm
https://techcombank.com/thong-tin/blog/gui-tiet-kiem-tich-luy-la-gi
https://te"&amp;"chcombank.com/thong-tin/blog/tai-khoan-ngan-hang-con-0-dong-co-sao-khong
https://techcombank.com/thong-tin/blog/nop-tien-mat-vao-tai-khoan-cong-ty
https://techcombank.com/thong-tin/blog/tin-chap-doanh-nghiep
https://techcombank.com/thong-tin/blog/cach-nap"&amp;"-the
https://techcombank.com/thong-tin/blog/cach-kich-hoat-the-atm
https://techcombank.com/thong-tin/blog/the-visa-ao-la-gi
https://techcombank.com/thong-tin/blog/cach-dong-tien-dien-qua-tai-khoan-ngan-hang
https://techcombank.com/thong-tin/blog/cach-nap-"&amp;"tien-vao-the-ghi-no
https://techcombank.com/thong-tin/blog/cach-lam-the-atm
https://techcombank.com/thong-tin/blog/the-visa-de-lam-gi
https://techcombank.com/thong-tin/blog/the-atm-khong-rut-duoc-tien
https://techcombank.com/thong-tin/blog/cong-ty-su-dung"&amp;"-tai-khoan-ca-nhan
https://techcombank.com/thong-tin/blog/cach-su-dung-tai-khoan-cong-ty
https://techcombank.com/thong-tin/blog/nap-tien-dien-thoai-online
https://techcombank.com/thong-tin/blog/rut-tien-bang-ma-qr-la-gi-cach-thuc-hien-nhu-the-nao
https://"&amp;"techcombank.com/thong-tin/blog/cach-rut-tien-atm
https://techcombank.com/thong-tin/blog/1-cmnd-dang-ky-duoc-may-tai-khoan-ngan-hang
https://techcombank.com/thong-tin/blog/cac-loai-the-ngan-hang
https://techcombank.com/thong-tin/blog/lam-the-atm-co-mat-phi"&amp;"-khong
https://techcombank.com/thong-tin/blog/rut-tien-bang-ma-qr-khac-ngan-hang-duoc-khong
https://techcombank.com/thong-tin/blog/lam-the-atm-bao-lau-co
https://techcombank.com/thong-tin/blog/bi-nuot-the-atm-phai-lam-sao
https://techcombank.com/thong-tin"&amp;"/blog/1-nguoi-co-the-lam-duoc-bao-nhieu-the-atm
https://techcombank.com/thong-tin/blog/atm-la-gi")</f>
        <v>https://techcombank.com/thong-tin/blog/the-ghi-no-visa-la-gi
https://techcombank.com/thong-tin/blog/cach-su-dung-the-visa-techcombank
https://techcombank.com/thong-tin/blog/cdm
https://techcombank.com/thong-tin/blog/gui-tiet-kiem-tich-luy-la-gi
https://techcombank.com/thong-tin/blog/tai-khoan-ngan-hang-con-0-dong-co-sao-khong
https://techcombank.com/thong-tin/blog/nop-tien-mat-vao-tai-khoan-cong-ty
https://techcombank.com/thong-tin/blog/tin-chap-doanh-nghiep
https://techcombank.com/thong-tin/blog/cach-nap-the
https://techcombank.com/thong-tin/blog/cach-kich-hoat-the-atm
https://techcombank.com/thong-tin/blog/the-visa-ao-la-gi
https://techcombank.com/thong-tin/blog/cach-dong-tien-dien-qua-tai-khoan-ngan-hang
https://techcombank.com/thong-tin/blog/cach-nap-tien-vao-the-ghi-no
https://techcombank.com/thong-tin/blog/cach-lam-the-atm
https://techcombank.com/thong-tin/blog/the-visa-de-lam-gi
https://techcombank.com/thong-tin/blog/the-atm-khong-rut-duoc-tien
https://techcombank.com/thong-tin/blog/cong-ty-su-dung-tai-khoan-ca-nhan
https://techcombank.com/thong-tin/blog/cach-su-dung-tai-khoan-cong-ty
https://techcombank.com/thong-tin/blog/nap-tien-dien-thoai-online
https://techcombank.com/thong-tin/blog/rut-tien-bang-ma-qr-la-gi-cach-thuc-hien-nhu-the-nao
https://techcombank.com/thong-tin/blog/cach-rut-tien-atm
https://techcombank.com/thong-tin/blog/1-cmnd-dang-ky-duoc-may-tai-khoan-ngan-hang
https://techcombank.com/thong-tin/blog/cac-loai-the-ngan-hang
https://techcombank.com/thong-tin/blog/lam-the-atm-co-mat-phi-khong
https://techcombank.com/thong-tin/blog/rut-tien-bang-ma-qr-khac-ngan-hang-duoc-khong
https://techcombank.com/thong-tin/blog/lam-the-atm-bao-lau-co
https://techcombank.com/thong-tin/blog/bi-nuot-the-atm-phai-lam-sao
https://techcombank.com/thong-tin/blog/1-nguoi-co-the-lam-duoc-bao-nhieu-the-atm
https://techcombank.com/thong-tin/blog/atm-la-gi</v>
      </c>
    </row>
    <row r="33">
      <c r="A33" s="26">
        <v>20.0</v>
      </c>
      <c r="B33" s="27" t="s">
        <v>850</v>
      </c>
      <c r="C33" s="28" t="s">
        <v>655</v>
      </c>
      <c r="D33" s="29">
        <v>30.0</v>
      </c>
      <c r="E33" s="30">
        <f>COUNTIF('Kế hoạch chèn link (mới)'!$B$3:$B$2213,B33)</f>
        <v>27</v>
      </c>
      <c r="F33" s="31">
        <f t="shared" si="1"/>
        <v>3</v>
      </c>
      <c r="G33" s="32" t="str">
        <f>IFERROR(__xludf.DUMMYFUNCTION("IFERROR(LET(t,FILTER('Kế hoạch chèn link (mới)'!$M$3:$M$2213,'Kế hoạch chèn link (mới)'!$B$3:$B$2213=B33),u,UNIQUE(t),c,MAP(u,LAMBDA(x,COUNTIF(t,x))),s,SORT(HSTACK(u,c),2,FALSE),TEXTJOIN(CHAR(10),TRUE,BYROW(s,LAMBDA(r,INDEX(r,1,1)&amp;"": ""&amp;INDEX(r,1,2)&amp;"" b"&amp;"ài"")))),"""")"),"Thẻ tín dụng: 8 bài
Vay tiêu dùng &amp; tín chấp: 4 bài
Tài khoản &amp; ngân hàng số: 3 bài
Tiết kiệm &amp; lãi suất tiền gửi: 3 bài
Quản lý tài chính cá nhân: 3 bài
Thẻ ATM &amp; thẻ ghi nợ: 2 bài
Doanh nghiệp (tài khoản, vay, tài chính): 1 bài
Vay thế chấp &amp; mua nhà/xe"&amp;": 1 bài
Thuế: 1 bài
Nợ xấu &amp; CIC: 1 bài")</f>
        <v>Thẻ tín dụng: 8 bài
Vay tiêu dùng &amp; tín chấp: 4 bài
Tài khoản &amp; ngân hàng số: 3 bài
Tiết kiệm &amp; lãi suất tiền gửi: 3 bài
Quản lý tài chính cá nhân: 3 bài
Thẻ ATM &amp; thẻ ghi nợ: 2 bài
Doanh nghiệp (tài khoản, vay, tài chính): 1 bài
Vay thế chấp &amp; mua nhà/xe: 1 bài
Thuế: 1 bài
Nợ xấu &amp; CIC: 1 bài</v>
      </c>
      <c r="H33" s="33" t="str">
        <f>IFERROR(__xludf.DUMMYFUNCTION("TEXTJOIN(CHAR(10),TRUE,FILTER('Kế hoạch chèn link (mới)'!$D$3:$D$2213,'Kế hoạch chèn link (mới)'!$B$3:$B$2213=B33))"),"https://techcombank.com/thong-tin/blog/sao-ke-luong
https://techcombank.com/thong-tin/blog/giai-ngan-la-gi
https://techcombank.com/thong-tin/blog/the-tin-dung-quoc-te
https://techcombank.com/thong-tin/blog/han-muc-thau-chi-la-gi
https://techcombank.com/th"&amp;"ong-tin/blog/cach-tiet-kiem-tien-hieu-qua-cho-gia-dinh
https://techcombank.com/thong-tin/blog/nang-han-muc-tin-dung
https://techcombank.com/thong-tin/blog/sao-ke-tai-khoan-doanh-nghiep
https://techcombank.com/thong-tin/blog/gui-tien-ngan-hang-co-an-toan-k"&amp;"hong
https://techcombank.com/thong-tin/blog/vay-the-chap-qua-luong
https://techcombank.com/thong-tin/blog/tien-chuyen-vao-tai-khoan-co-bi-tinh-thue-khong
https://techcombank.com/thong-tin/blog/ghi-chep-chi-tieu
https://techcombank.com/thong-tin/blog/loi-i"&amp;"ch-cua-viec-tiet-kiem-tien
https://techcombank.com/thong-tin/blog/phan-mem-lap-ke-hoach-tai-chinh-ca-nhan
https://techcombank.com/thong-tin/blog/so-tai-khoan-ngan-hang
https://techcombank.com/thong-tin/blog/app-quan-ly-chi-tieu
https://techcombank.com/tho"&amp;"ng-tin/blog/sao-ke-the-tin-dung-la-gi
https://techcombank.com/thong-tin/blog/mo-the-tin-dung-chi-can-cccd
https://techcombank.com/thong-tin/blog/the-ghi-no-co-rut-tien-duoc-khong
https://techcombank.com/thong-tin/blog/the-visa-co-may-loai
https://techcomb"&amp;"ank.com/thong-tin/blog/cic-la-gi
https://techcombank.com/thong-tin/blog/the-debit-cho-con
https://techcombank.com/thong-tin/blog/vi-tra-sau
https://techcombank.com/thong-tin/blog/the-tin-dung-den
https://techcombank.com/thong-tin/blog/cach-tiet-kiem-tien
"&amp;"https://techcombank.com/thong-tin/blog/thoi-gian-hoan-tien-the-tin-dung
https://techcombank.com/thong-tin/blog/vay-tien-online
https://techcombank.com/thong-tin/blog/the-tin-dung-mien-lai-55-ngay")</f>
        <v>https://techcombank.com/thong-tin/blog/sao-ke-luong
https://techcombank.com/thong-tin/blog/giai-ngan-la-gi
https://techcombank.com/thong-tin/blog/the-tin-dung-quoc-te
https://techcombank.com/thong-tin/blog/han-muc-thau-chi-la-gi
https://techcombank.com/thong-tin/blog/cach-tiet-kiem-tien-hieu-qua-cho-gia-dinh
https://techcombank.com/thong-tin/blog/nang-han-muc-tin-dung
https://techcombank.com/thong-tin/blog/sao-ke-tai-khoan-doanh-nghiep
https://techcombank.com/thong-tin/blog/gui-tien-ngan-hang-co-an-toan-khong
https://techcombank.com/thong-tin/blog/vay-the-chap-qua-luong
https://techcombank.com/thong-tin/blog/tien-chuyen-vao-tai-khoan-co-bi-tinh-thue-khong
https://techcombank.com/thong-tin/blog/ghi-chep-chi-tieu
https://techcombank.com/thong-tin/blog/loi-ich-cua-viec-tiet-kiem-tien
https://techcombank.com/thong-tin/blog/phan-mem-lap-ke-hoach-tai-chinh-ca-nhan
https://techcombank.com/thong-tin/blog/so-tai-khoan-ngan-hang
https://techcombank.com/thong-tin/blog/app-quan-ly-chi-tieu
https://techcombank.com/thong-tin/blog/sao-ke-the-tin-dung-la-gi
https://techcombank.com/thong-tin/blog/mo-the-tin-dung-chi-can-cccd
https://techcombank.com/thong-tin/blog/the-ghi-no-co-rut-tien-duoc-khong
https://techcombank.com/thong-tin/blog/the-visa-co-may-loai
https://techcombank.com/thong-tin/blog/cic-la-gi
https://techcombank.com/thong-tin/blog/the-debit-cho-con
https://techcombank.com/thong-tin/blog/vi-tra-sau
https://techcombank.com/thong-tin/blog/the-tin-dung-den
https://techcombank.com/thong-tin/blog/cach-tiet-kiem-tien
https://techcombank.com/thong-tin/blog/thoi-gian-hoan-tien-the-tin-dung
https://techcombank.com/thong-tin/blog/vay-tien-online
https://techcombank.com/thong-tin/blog/the-tin-dung-mien-lai-55-ngay</v>
      </c>
    </row>
    <row r="34">
      <c r="A34" s="26">
        <v>21.0</v>
      </c>
      <c r="B34" s="27" t="s">
        <v>864</v>
      </c>
      <c r="C34" s="28" t="s">
        <v>655</v>
      </c>
      <c r="D34" s="29">
        <v>30.0</v>
      </c>
      <c r="E34" s="30">
        <f>COUNTIF('Kế hoạch chèn link (mới)'!$B$3:$B$2213,B34)</f>
        <v>21</v>
      </c>
      <c r="F34" s="31">
        <f t="shared" si="1"/>
        <v>9</v>
      </c>
      <c r="G34" s="32" t="str">
        <f>IFERROR(__xludf.DUMMYFUNCTION("IFERROR(LET(t,FILTER('Kế hoạch chèn link (mới)'!$M$3:$M$2213,'Kế hoạch chèn link (mới)'!$B$3:$B$2213=B34),u,UNIQUE(t),c,MAP(u,LAMBDA(x,COUNTIF(t,x))),s,SORT(HSTACK(u,c),2,FALSE),TEXTJOIN(CHAR(10),TRUE,BYROW(s,LAMBDA(r,INDEX(r,1,1)&amp;"": ""&amp;INDEX(r,1,2)&amp;"" b"&amp;"ài"")))),"""")"),"Ưu đãi, du lịch &amp; đời sống: 7 bài
Tài khoản &amp; ngân hàng số: 6 bài
Doanh nghiệp (tài khoản, vay, tài chính): 5 bài
Thuế: 2 bài
Hộ kinh doanh &amp; bán hàng: 1 bài")</f>
        <v>Ưu đãi, du lịch &amp; đời sống: 7 bài
Tài khoản &amp; ngân hàng số: 6 bài
Doanh nghiệp (tài khoản, vay, tài chính): 5 bài
Thuế: 2 bài
Hộ kinh doanh &amp; bán hàng: 1 bài</v>
      </c>
      <c r="H34" s="33" t="str">
        <f>IFERROR(__xludf.DUMMYFUNCTION("TEXTJOIN(CHAR(10),TRUE,FILTER('Kế hoạch chèn link (mới)'!$D$3:$D$2213,'Kế hoạch chèn link (mới)'!$B$3:$B$2213=B34))"),"https://techcombank.com/thong-tin/blog/so-tai-khoan-dep
https://techcombank.com/thong-tin/blog/8868
https://techcombank.com/thong-tin/blog/66666-co-y-nghia-gi
https://techcombank.com/thong-tin/blog/y-nghia-so-68
https://techcombank.com/thong-tin/blog/cach"&amp;"-chon-so-tai-khoan-dep
https://techcombank.com/thong-tin/blog/co-nen-mua-so-tai-khoan-ngan-hang-dep
https://techcombank.com/thong-tin/blog/vi-du-ve-ca-nhan-hoa
https://techcombank.com/thong-tin/blog/so-8386
https://techcombank.com/thong-tin/blog/99999-co-"&amp;"y-nghia-gi
https://techcombank.com/thong-tin/blog/88-la-gi
https://techcombank.com/thong-tin/blog/so-6868
https://techcombank.com/thong-tin/blog/li-xi-so-dep
https://techcombank.com/thong-tin/blog/nen-mo-tai-khoan-ngan-hang-nao-cho-doanh-nghiep
https://te"&amp;"chcombank.com/thong-tin/blog/mo-tai-khoan-doanh-nghiep
https://techcombank.com/thong-tin/blog/tai-khoan-doanh-nghiep-co-the-khong
https://techcombank.com/thong-tin/blog/chi-phi-mo-tai-khoan-ngan-hang-cho-cong-ty
https://techcombank.com/thong-tin/blog/mo-t"&amp;"hem-tai-khoan-ngan-hang-cho-cong-ty
https://techcombank.com/thong-tin/blog/mo-tai-khoan-ho-kinh-doanh
https://techcombank.com/thong-tin/blog/li-xi-tet
https://techcombank.com/thong-tin/blog/nop-thue-hai-quan
https://techcombank.com/thong-tin/blog/thue-thu"&amp;"-nhap-doanh-nghiep")</f>
        <v>https://techcombank.com/thong-tin/blog/so-tai-khoan-dep
https://techcombank.com/thong-tin/blog/8868
https://techcombank.com/thong-tin/blog/66666-co-y-nghia-gi
https://techcombank.com/thong-tin/blog/y-nghia-so-68
https://techcombank.com/thong-tin/blog/cach-chon-so-tai-khoan-dep
https://techcombank.com/thong-tin/blog/co-nen-mua-so-tai-khoan-ngan-hang-dep
https://techcombank.com/thong-tin/blog/vi-du-ve-ca-nhan-hoa
https://techcombank.com/thong-tin/blog/so-8386
https://techcombank.com/thong-tin/blog/99999-co-y-nghia-gi
https://techcombank.com/thong-tin/blog/88-la-gi
https://techcombank.com/thong-tin/blog/so-6868
https://techcombank.com/thong-tin/blog/li-xi-so-dep
https://techcombank.com/thong-tin/blog/nen-mo-tai-khoan-ngan-hang-nao-cho-doanh-nghiep
https://techcombank.com/thong-tin/blog/mo-tai-khoan-doanh-nghiep
https://techcombank.com/thong-tin/blog/tai-khoan-doanh-nghiep-co-the-khong
https://techcombank.com/thong-tin/blog/chi-phi-mo-tai-khoan-ngan-hang-cho-cong-ty
https://techcombank.com/thong-tin/blog/mo-them-tai-khoan-ngan-hang-cho-cong-ty
https://techcombank.com/thong-tin/blog/mo-tai-khoan-ho-kinh-doanh
https://techcombank.com/thong-tin/blog/li-xi-tet
https://techcombank.com/thong-tin/blog/nop-thue-hai-quan
https://techcombank.com/thong-tin/blog/thue-thu-nhap-doanh-nghiep</v>
      </c>
    </row>
    <row r="35">
      <c r="A35" s="26">
        <v>22.0</v>
      </c>
      <c r="B35" s="27" t="s">
        <v>876</v>
      </c>
      <c r="C35" s="28" t="s">
        <v>655</v>
      </c>
      <c r="D35" s="29">
        <v>30.0</v>
      </c>
      <c r="E35" s="30">
        <f>COUNTIF('Kế hoạch chèn link (mới)'!$B$3:$B$2213,B35)</f>
        <v>14</v>
      </c>
      <c r="F35" s="31">
        <f t="shared" si="1"/>
        <v>16</v>
      </c>
      <c r="G35" s="32" t="str">
        <f>IFERROR(__xludf.DUMMYFUNCTION("IFERROR(LET(t,FILTER('Kế hoạch chèn link (mới)'!$M$3:$M$2213,'Kế hoạch chèn link (mới)'!$B$3:$B$2213=B35),u,UNIQUE(t),c,MAP(u,LAMBDA(x,COUNTIF(t,x))),s,SORT(HSTACK(u,c),2,FALSE),TEXTJOIN(CHAR(10),TRUE,BYROW(s,LAMBDA(r,INDEX(r,1,1)&amp;"": ""&amp;INDEX(r,1,2)&amp;"" b"&amp;"ài"")))),"""")"),"Thuế: 11 bài
Doanh nghiệp (tài khoản, vay, tài chính): 1 bài
Quản lý tài chính cá nhân: 1 bài
Hộ kinh doanh &amp; bán hàng: 1 bài")</f>
        <v>Thuế: 11 bài
Doanh nghiệp (tài khoản, vay, tài chính): 1 bài
Quản lý tài chính cá nhân: 1 bài
Hộ kinh doanh &amp; bán hàng: 1 bài</v>
      </c>
      <c r="H35" s="33" t="str">
        <f>IFERROR(__xludf.DUMMYFUNCTION("TEXTJOIN(CHAR(10),TRUE,FILTER('Kế hoạch chèn link (mới)'!$D$3:$D$2213,'Kế hoạch chèn link (mới)'!$B$3:$B$2213=B35))"),"https://techcombank.com/thong-tin/blog/dang-ky-ma-so-thue-ca-nhan
https://techcombank.com/thong-tin/blog/cach-tinh-thue-thu-nhap-ca-nhan-2025
https://techcombank.com/thong-tin/blog/hoan-thue-thu-nhap-ca-nhan
https://techcombank.com/thong-tin/blog/quyet-to"&amp;"an-thue-thu-nhap-ca-nhan
https://techcombank.com/thong-tin/blog/tra-luong-tien-mat
https://techcombank.com/thong-tin/blog/tra-cuu-no-thue-ca-nhan
https://techcombank.com/thong-tin/blog/cach-tinh-thue-ho-kinh-doanh-nho-le
https://techcombank.com/thong-tin/"&amp;"blog/ho-kinh-doanh-dong-thue-nhu-nao
https://techcombank.com/thong-tin/blog/thue-thu-nhap-ca-nhan
https://techcombank.com/thong-tin/blog/phan-mem-lap-ke-hoach-tai-chinh-ca-nhan
https://techcombank.com/thong-tin/blog/lien-ket-tai-khoan-ngan-hang-voi-etax-m"&amp;"obile
https://techcombank.com/thong-tin/blog/tra-cuu-ma-so-thue-ho-kinh-doanh
https://techcombank.com/thong-tin/blog/thay-doi-dia-chi-ho-kinh-doanh
https://techcombank.com/thong-tin/blog/cach-tra-cuu-hoa-don-dien-tu")</f>
        <v>https://techcombank.com/thong-tin/blog/dang-ky-ma-so-thue-ca-nhan
https://techcombank.com/thong-tin/blog/cach-tinh-thue-thu-nhap-ca-nhan-2025
https://techcombank.com/thong-tin/blog/hoan-thue-thu-nhap-ca-nhan
https://techcombank.com/thong-tin/blog/quyet-toan-thue-thu-nhap-ca-nhan
https://techcombank.com/thong-tin/blog/tra-luong-tien-mat
https://techcombank.com/thong-tin/blog/tra-cuu-no-thue-ca-nhan
https://techcombank.com/thong-tin/blog/cach-tinh-thue-ho-kinh-doanh-nho-le
https://techcombank.com/thong-tin/blog/ho-kinh-doanh-dong-thue-nhu-nao
https://techcombank.com/thong-tin/blog/thue-thu-nhap-ca-nhan
https://techcombank.com/thong-tin/blog/phan-mem-lap-ke-hoach-tai-chinh-ca-nhan
https://techcombank.com/thong-tin/blog/lien-ket-tai-khoan-ngan-hang-voi-etax-mobile
https://techcombank.com/thong-tin/blog/tra-cuu-ma-so-thue-ho-kinh-doanh
https://techcombank.com/thong-tin/blog/thay-doi-dia-chi-ho-kinh-doanh
https://techcombank.com/thong-tin/blog/cach-tra-cuu-hoa-don-dien-tu</v>
      </c>
    </row>
    <row r="36">
      <c r="A36" s="26">
        <v>23.0</v>
      </c>
      <c r="B36" s="27" t="s">
        <v>885</v>
      </c>
      <c r="C36" s="28" t="s">
        <v>655</v>
      </c>
      <c r="D36" s="29">
        <v>30.0</v>
      </c>
      <c r="E36" s="30">
        <f>COUNTIF('Kế hoạch chèn link (mới)'!$B$3:$B$2213,B36)</f>
        <v>27</v>
      </c>
      <c r="F36" s="31">
        <f t="shared" si="1"/>
        <v>3</v>
      </c>
      <c r="G36" s="32" t="str">
        <f>IFERROR(__xludf.DUMMYFUNCTION("IFERROR(LET(t,FILTER('Kế hoạch chèn link (mới)'!$M$3:$M$2213,'Kế hoạch chèn link (mới)'!$B$3:$B$2213=B36),u,UNIQUE(t),c,MAP(u,LAMBDA(x,COUNTIF(t,x))),s,SORT(HSTACK(u,c),2,FALSE),TEXTJOIN(CHAR(10),TRUE,BYROW(s,LAMBDA(r,INDEX(r,1,1)&amp;"": ""&amp;INDEX(r,1,2)&amp;"" b"&amp;"ài"")))),"""")"),"Tài khoản &amp; ngân hàng số: 11 bài
Thanh toán, chuyển khoản &amp; QR: 5 bài
Thẻ ATM &amp; thẻ ghi nợ: 3 bài
Doanh nghiệp (tài khoản, vay, tài chính): 2 bài
Ngoại tệ &amp; chuyển tiền quốc tế: 2 bài
Tiết kiệm &amp; lãi suất tiền gửi: 2 bài
Hộ kinh doanh &amp; bán hàng: 2 bài")</f>
        <v>Tài khoản &amp; ngân hàng số: 11 bài
Thanh toán, chuyển khoản &amp; QR: 5 bài
Thẻ ATM &amp; thẻ ghi nợ: 3 bài
Doanh nghiệp (tài khoản, vay, tài chính): 2 bài
Ngoại tệ &amp; chuyển tiền quốc tế: 2 bài
Tiết kiệm &amp; lãi suất tiền gửi: 2 bài
Hộ kinh doanh &amp; bán hàng: 2 bài</v>
      </c>
      <c r="H36" s="33" t="str">
        <f>IFERROR(__xludf.DUMMYFUNCTION("TEXTJOIN(CHAR(10),TRUE,FILTER('Kế hoạch chèn link (mới)'!$D$3:$D$2213,'Kế hoạch chèn link (mới)'!$B$3:$B$2213=B36))"),"https://techcombank.com/thong-tin/blog/cach-mo-tai-khoan
https://techcombank.com/thong-tin/blog/mo-tai-khoan-ngan-hang-bang-so-dien-thoai
https://techcombank.com/thong-tin/blog/cach-kiem-tra-tai-khoan-ngan-hang-cua-cong-ty
https://techcombank.com/thong-ti"&amp;"n/blog/lo-so-tai-khoan-ngan-hang-co-sao-khong
https://techcombank.com/thong-tin/blog/lo-ma-qr-ngan-hang-co-sao-khong
https://techcombank.com/thong-tin/blog/mobile-banking-la-gi
https://techcombank.com/thong-tin/blog/ekyc-la-gi
https://techcombank.com/thon"&amp;"g-tin/blog/ma-qr-lam-gia-duoc-khong
https://techcombank.com/thong-tin/blog/cach-doi-mat-khau-tai-khoan-ngan-hang
https://techcombank.com/thong-tin/blog/smart-otp-la-gi
https://techcombank.com/thong-tin/blog/rui-ro-khi-gui-tiet-kiem-ngan-hang
https://techc"&amp;"ombank.com/thong-tin/blog/cach-sao-ke-tai-khoan-ngan-hang
https://techcombank.com/thong-tin/blog/cach-kich-hoat-the-atm
https://techcombank.com/thong-tin/blog/gui-ma-qr-ngan-hang
https://techcombank.com/thong-tin/blog/ma-otp-la-gi
https://techcombank.com/"&amp;"thong-tin/blog/cach-bao-ve-tai-khoan
https://techcombank.com/thong-tin/blog/mat-so-dien-thoai-dang-ky-tai-khoan-ngan-hang
https://techcombank.com/thong-tin/blog/cach-gui-tiet-kiem-online
https://techcombank.com/thong-tin/blog/tai-khoan-ngan-hang-bi-khoa
h"&amp;"ttps://techcombank.com/thong-tin/blog/mau-mo-tai-khoan-doanh-nghiep-techcombank
https://techcombank.com/thong-tin/blog/merchant-portal
https://techcombank.com/thong-tin/blog/softpos
https://techcombank.com/thong-tin/blog/thanh-toan-ve-may-bay-online
https"&amp;"://techcombank.com/thong-tin/blog/cach-khoa-the-ngan-hang
https://techcombank.com/thong-tin/blog/thanh-toan-tien-nuoc-online
https://techcombank.com/thong-tin/blog/thanh-toan-hoa-don-tieu-dung
https://techcombank.com/thong-tin/blog/cach-lam-the-atm")</f>
        <v>https://techcombank.com/thong-tin/blog/cach-mo-tai-khoan
https://techcombank.com/thong-tin/blog/mo-tai-khoan-ngan-hang-bang-so-dien-thoai
https://techcombank.com/thong-tin/blog/cach-kiem-tra-tai-khoan-ngan-hang-cua-cong-ty
https://techcombank.com/thong-tin/blog/lo-so-tai-khoan-ngan-hang-co-sao-khong
https://techcombank.com/thong-tin/blog/lo-ma-qr-ngan-hang-co-sao-khong
https://techcombank.com/thong-tin/blog/mobile-banking-la-gi
https://techcombank.com/thong-tin/blog/ekyc-la-gi
https://techcombank.com/thong-tin/blog/ma-qr-lam-gia-duoc-khong
https://techcombank.com/thong-tin/blog/cach-doi-mat-khau-tai-khoan-ngan-hang
https://techcombank.com/thong-tin/blog/smart-otp-la-gi
https://techcombank.com/thong-tin/blog/rui-ro-khi-gui-tiet-kiem-ngan-hang
https://techcombank.com/thong-tin/blog/cach-sao-ke-tai-khoan-ngan-hang
https://techcombank.com/thong-tin/blog/cach-kich-hoat-the-atm
https://techcombank.com/thong-tin/blog/gui-ma-qr-ngan-hang
https://techcombank.com/thong-tin/blog/ma-otp-la-gi
https://techcombank.com/thong-tin/blog/cach-bao-ve-tai-khoan
https://techcombank.com/thong-tin/blog/mat-so-dien-thoai-dang-ky-tai-khoan-ngan-hang
https://techcombank.com/thong-tin/blog/cach-gui-tiet-kiem-online
https://techcombank.com/thong-tin/blog/tai-khoan-ngan-hang-bi-khoa
https://techcombank.com/thong-tin/blog/mau-mo-tai-khoan-doanh-nghiep-techcombank
https://techcombank.com/thong-tin/blog/merchant-portal
https://techcombank.com/thong-tin/blog/softpos
https://techcombank.com/thong-tin/blog/thanh-toan-ve-may-bay-online
https://techcombank.com/thong-tin/blog/cach-khoa-the-ngan-hang
https://techcombank.com/thong-tin/blog/thanh-toan-tien-nuoc-online
https://techcombank.com/thong-tin/blog/thanh-toan-hoa-don-tieu-dung
https://techcombank.com/thong-tin/blog/cach-lam-the-atm</v>
      </c>
    </row>
    <row r="37">
      <c r="A37" s="26">
        <v>24.0</v>
      </c>
      <c r="B37" s="27" t="s">
        <v>403</v>
      </c>
      <c r="C37" s="28" t="s">
        <v>655</v>
      </c>
      <c r="D37" s="29">
        <v>30.0</v>
      </c>
      <c r="E37" s="30">
        <f>COUNTIF('Kế hoạch chèn link (mới)'!$B$3:$B$2213,B37)</f>
        <v>23</v>
      </c>
      <c r="F37" s="31">
        <f t="shared" si="1"/>
        <v>7</v>
      </c>
      <c r="G37" s="32" t="str">
        <f>IFERROR(__xludf.DUMMYFUNCTION("IFERROR(LET(t,FILTER('Kế hoạch chèn link (mới)'!$M$3:$M$2213,'Kế hoạch chèn link (mới)'!$B$3:$B$2213=B37),u,UNIQUE(t),c,MAP(u,LAMBDA(x,COUNTIF(t,x))),s,SORT(HSTACK(u,c),2,FALSE),TEXTJOIN(CHAR(10),TRUE,BYROW(s,LAMBDA(r,INDEX(r,1,1)&amp;"": ""&amp;INDEX(r,1,2)&amp;"" b"&amp;"ài"")))),"""")"),"Thuế: 14 bài
Hộ kinh doanh &amp; bán hàng: 3 bài
Ngoại tệ &amp; chuyển tiền quốc tế: 2 bài
Đầu tư, CCTG, trái phiếu, vàng: 2 bài
Doanh nghiệp (tài khoản, vay, tài chính): 1 bài
Tài khoản &amp; ngân hàng số: 1 bài")</f>
        <v>Thuế: 14 bài
Hộ kinh doanh &amp; bán hàng: 3 bài
Ngoại tệ &amp; chuyển tiền quốc tế: 2 bài
Đầu tư, CCTG, trái phiếu, vàng: 2 bài
Doanh nghiệp (tài khoản, vay, tài chính): 1 bài
Tài khoản &amp; ngân hàng số: 1 bài</v>
      </c>
      <c r="H37" s="33" t="str">
        <f>IFERROR(__xludf.DUMMYFUNCTION("TEXTJOIN(CHAR(10),TRUE,FILTER('Kế hoạch chèn link (mới)'!$D$3:$D$2213,'Kế hoạch chèn link (mới)'!$B$3:$B$2213=B37))"),"https://techcombank.com/thong-tin/blog/kinh-nghiem-chuyen-doi-tu-ho-kinh-doanh-len-doanh-nghiep
https://techcombank.com/thong-tin/blog/cach-nhan-tien-tu-nuoc-ngoai-ve-viet-nam
https://techcombank.com/thong-tin/blog/cach-nop-thue-dien-tu
https://techcomban"&amp;"k.com/thong-tin/blog/cach-tinh-thue-thu-nhap-ca-nhan-2025
https://techcombank.com/thong-tin/blog/tra-cuu-no-thue-ca-nhan
https://techcombank.com/thong-tin/blog/thue-ho-kinh-doanh-2025
https://techcombank.com/thong-tin/blog/khoi-nghiep-truoc-chinh-sach-thu"&amp;"e-moi
https://techcombank.com/thong-tin/blog/nhung-ho-kinh-doanh-duoc-mien-thue
https://techcombank.com/thong-tin/blog/app-tra-luong
https://techcombank.com/thong-tin/blog/ke-khai-thue-doanh-nghiep
https://techcombank.com/thong-tin/blog/kieu-hoi-la-gi
htt"&amp;"ps://techcombank.com/thong-tin/blog/hoan-thue-thu-nhap-ca-nhan
https://techcombank.com/thong-tin/blog/cach-tinh-thue-ho-kinh-doanh-nho-le
https://techcombank.com/thong-tin/blog/quyet-toan-thue-thu-nhap-ca-nhan
https://techcombank.com/thong-tin/blog/hieu-h"&amp;"iet-ve-tuan-thu-thue-cho-cac-doanh-nghiep-khoi-nghiep
https://techcombank.com/thong-tin/blog/giai-dap-ve-thue-doanh-nghiep
https://techcombank.com/thong-tin/blog/thue-thuong-mai-dien-tu
https://techcombank.com/thong-tin/blog/ke-khai-thue-ho-kinh-doanh-ca-"&amp;"the-online
https://techcombank.com/thong-tin/blog/tien-chuyen-vao-tai-khoan-co-bi-tinh-thue-khong
https://techcombank.com/thong-tin/blog/thue-khoan-ho-kinh-doanh-la-gi
https://techcombank.com/thong-tin/blog/gia-chung-chi-quy-la-gi
https://techcombank.com/"&amp;"thong-tin/blog/dau-tu-quy-mo
https://techcombank.com/thong-tin/blog/sao-ke-luong")</f>
        <v>https://techcombank.com/thong-tin/blog/kinh-nghiem-chuyen-doi-tu-ho-kinh-doanh-len-doanh-nghiep
https://techcombank.com/thong-tin/blog/cach-nhan-tien-tu-nuoc-ngoai-ve-viet-nam
https://techcombank.com/thong-tin/blog/cach-nop-thue-dien-tu
https://techcombank.com/thong-tin/blog/cach-tinh-thue-thu-nhap-ca-nhan-2025
https://techcombank.com/thong-tin/blog/tra-cuu-no-thue-ca-nhan
https://techcombank.com/thong-tin/blog/thue-ho-kinh-doanh-2025
https://techcombank.com/thong-tin/blog/khoi-nghiep-truoc-chinh-sach-thue-moi
https://techcombank.com/thong-tin/blog/nhung-ho-kinh-doanh-duoc-mien-thue
https://techcombank.com/thong-tin/blog/app-tra-luong
https://techcombank.com/thong-tin/blog/ke-khai-thue-doanh-nghiep
https://techcombank.com/thong-tin/blog/kieu-hoi-la-gi
https://techcombank.com/thong-tin/blog/hoan-thue-thu-nhap-ca-nhan
https://techcombank.com/thong-tin/blog/cach-tinh-thue-ho-kinh-doanh-nho-le
https://techcombank.com/thong-tin/blog/quyet-toan-thue-thu-nhap-ca-nhan
https://techcombank.com/thong-tin/blog/hieu-hiet-ve-tuan-thu-thue-cho-cac-doanh-nghiep-khoi-nghiep
https://techcombank.com/thong-tin/blog/giai-dap-ve-thue-doanh-nghiep
https://techcombank.com/thong-tin/blog/thue-thuong-mai-dien-tu
https://techcombank.com/thong-tin/blog/ke-khai-thue-ho-kinh-doanh-ca-the-online
https://techcombank.com/thong-tin/blog/tien-chuyen-vao-tai-khoan-co-bi-tinh-thue-khong
https://techcombank.com/thong-tin/blog/thue-khoan-ho-kinh-doanh-la-gi
https://techcombank.com/thong-tin/blog/gia-chung-chi-quy-la-gi
https://techcombank.com/thong-tin/blog/dau-tu-quy-mo
https://techcombank.com/thong-tin/blog/sao-ke-luong</v>
      </c>
    </row>
    <row r="38">
      <c r="A38" s="26">
        <v>25.0</v>
      </c>
      <c r="B38" s="27" t="s">
        <v>893</v>
      </c>
      <c r="C38" s="28" t="s">
        <v>655</v>
      </c>
      <c r="D38" s="29">
        <v>30.0</v>
      </c>
      <c r="E38" s="30">
        <f>COUNTIF('Kế hoạch chèn link (mới)'!$B$3:$B$2213,B38)</f>
        <v>20</v>
      </c>
      <c r="F38" s="31">
        <f t="shared" si="1"/>
        <v>10</v>
      </c>
      <c r="G38" s="32" t="str">
        <f>IFERROR(__xludf.DUMMYFUNCTION("IFERROR(LET(t,FILTER('Kế hoạch chèn link (mới)'!$M$3:$M$2213,'Kế hoạch chèn link (mới)'!$B$3:$B$2213=B38),u,UNIQUE(t),c,MAP(u,LAMBDA(x,COUNTIF(t,x))),s,SORT(HSTACK(u,c),2,FALSE),TEXTJOIN(CHAR(10),TRUE,BYROW(s,LAMBDA(r,INDEX(r,1,1)&amp;"": ""&amp;INDEX(r,1,2)&amp;"" b"&amp;"ài"")))),"""")"),"Thẻ ATM &amp; thẻ ghi nợ: 7 bài
Thanh toán, chuyển khoản &amp; QR: 6 bài
Thẻ tín dụng: 2 bài
Hộ kinh doanh &amp; bán hàng: 2 bài
Ngoại tệ &amp; chuyển tiền quốc tế: 1 bài
Tài khoản &amp; ngân hàng số: 1 bài
Doanh nghiệp (tài khoản, vay, tài chính): 1 bài")</f>
        <v>Thẻ ATM &amp; thẻ ghi nợ: 7 bài
Thanh toán, chuyển khoản &amp; QR: 6 bài
Thẻ tín dụng: 2 bài
Hộ kinh doanh &amp; bán hàng: 2 bài
Ngoại tệ &amp; chuyển tiền quốc tế: 1 bài
Tài khoản &amp; ngân hàng số: 1 bài
Doanh nghiệp (tài khoản, vay, tài chính): 1 bài</v>
      </c>
      <c r="H38" s="33" t="str">
        <f>IFERROR(__xludf.DUMMYFUNCTION("TEXTJOIN(CHAR(10),TRUE,FILTER('Kế hoạch chèn link (mới)'!$D$3:$D$2213,'Kế hoạch chèn link (mới)'!$B$3:$B$2213=B38))"),"https://techcombank.com/thong-tin/blog/the-atm-khong-rut-duoc-tien
https://techcombank.com/thong-tin/blog/cach-su-dung-the-ghi-no
https://techcombank.com/thong-tin/blog/the-ghi-no-co-rut-tien-duoc-khong
https://techcombank.com/thong-tin/blog/cach-kich-hoa"&amp;"t-the-atm
https://techcombank.com/thong-tin/blog/cac-loai-the-ngan-hang
https://techcombank.com/thong-tin/blog/lam-the-visa-online
https://techcombank.com/thong-tin/blog/app-ngan-hang-uy-tin
https://techcombank.com/thong-tin/blog/gui-ma-qr-ngan-hang
https"&amp;"://techcombank.com/thong-tin/blog/cach-tao-ma-qr
https://techcombank.com/thong-tin/blog/thanh-toan-bang-ma-qr
https://techcombank.com/thong-tin/blog/cach-tao-ma-qr-code-mien-phi
https://techcombank.com/thong-tin/blog/thanh-toan-ma-qr-tro-thanh-phuong-thuc"&amp;"-duoc-ua-chuong-va-trien-khai-manh-me
https://techcombank.com/thong-tin/blog/mm-yy-la-gi
https://techcombank.com/thong-tin/blog/cdm
https://techcombank.com/thong-tin/blog/tra-cuu-han-muc-the-tin-dung
https://techcombank.com/thong-tin/blog/thue-ho-kinh-doa"&amp;"nh-2025
https://techcombank.com/thong-tin/blog/quet-ma-qr-techcombank
https://techcombank.com/thong-tin/blog/rut-tien-mat-tu-tai-khoan-doanh-nghiep
https://techcombank.com/thong-tin/blog/in-ma-qr-ngan-hang
https://techcombank.com/thong-tin/blog/lam-the-at"&amp;"m-co-mat-phi-khong")</f>
        <v>https://techcombank.com/thong-tin/blog/the-atm-khong-rut-duoc-tien
https://techcombank.com/thong-tin/blog/cach-su-dung-the-ghi-no
https://techcombank.com/thong-tin/blog/the-ghi-no-co-rut-tien-duoc-khong
https://techcombank.com/thong-tin/blog/cach-kich-hoat-the-atm
https://techcombank.com/thong-tin/blog/cac-loai-the-ngan-hang
https://techcombank.com/thong-tin/blog/lam-the-visa-online
https://techcombank.com/thong-tin/blog/app-ngan-hang-uy-tin
https://techcombank.com/thong-tin/blog/gui-ma-qr-ngan-hang
https://techcombank.com/thong-tin/blog/cach-tao-ma-qr
https://techcombank.com/thong-tin/blog/thanh-toan-bang-ma-qr
https://techcombank.com/thong-tin/blog/cach-tao-ma-qr-code-mien-phi
https://techcombank.com/thong-tin/blog/thanh-toan-ma-qr-tro-thanh-phuong-thuc-duoc-ua-chuong-va-trien-khai-manh-me
https://techcombank.com/thong-tin/blog/mm-yy-la-gi
https://techcombank.com/thong-tin/blog/cdm
https://techcombank.com/thong-tin/blog/tra-cuu-han-muc-the-tin-dung
https://techcombank.com/thong-tin/blog/thue-ho-kinh-doanh-2025
https://techcombank.com/thong-tin/blog/quet-ma-qr-techcombank
https://techcombank.com/thong-tin/blog/rut-tien-mat-tu-tai-khoan-doanh-nghiep
https://techcombank.com/thong-tin/blog/in-ma-qr-ngan-hang
https://techcombank.com/thong-tin/blog/lam-the-atm-co-mat-phi-khong</v>
      </c>
    </row>
    <row r="39">
      <c r="A39" s="26">
        <v>26.0</v>
      </c>
      <c r="B39" s="27" t="s">
        <v>900</v>
      </c>
      <c r="C39" s="28" t="s">
        <v>655</v>
      </c>
      <c r="D39" s="29">
        <v>30.0</v>
      </c>
      <c r="E39" s="30">
        <f>COUNTIF('Kế hoạch chèn link (mới)'!$B$3:$B$2213,B39)</f>
        <v>22</v>
      </c>
      <c r="F39" s="31">
        <f t="shared" si="1"/>
        <v>8</v>
      </c>
      <c r="G39" s="32" t="str">
        <f>IFERROR(__xludf.DUMMYFUNCTION("IFERROR(LET(t,FILTER('Kế hoạch chèn link (mới)'!$M$3:$M$2213,'Kế hoạch chèn link (mới)'!$B$3:$B$2213=B39),u,UNIQUE(t),c,MAP(u,LAMBDA(x,COUNTIF(t,x))),s,SORT(HSTACK(u,c),2,FALSE),TEXTJOIN(CHAR(10),TRUE,BYROW(s,LAMBDA(r,INDEX(r,1,1)&amp;"": ""&amp;INDEX(r,1,2)&amp;"" b"&amp;"ài"")))),"""")"),"Tài khoản &amp; ngân hàng số: 9 bài
Thẻ tín dụng: 5 bài
Vay tiêu dùng &amp; tín chấp: 3 bài
Thanh toán, chuyển khoản &amp; QR: 2 bài
Hộ kinh doanh &amp; bán hàng: 1 bài
Ngoại tệ &amp; chuyển tiền quốc tế: 1 bài
Thẻ ATM &amp; thẻ ghi nợ: 1 bài")</f>
        <v>Tài khoản &amp; ngân hàng số: 9 bài
Thẻ tín dụng: 5 bài
Vay tiêu dùng &amp; tín chấp: 3 bài
Thanh toán, chuyển khoản &amp; QR: 2 bài
Hộ kinh doanh &amp; bán hàng: 1 bài
Ngoại tệ &amp; chuyển tiền quốc tế: 1 bài
Thẻ ATM &amp; thẻ ghi nợ: 1 bài</v>
      </c>
      <c r="H39" s="33" t="str">
        <f>IFERROR(__xludf.DUMMYFUNCTION("TEXTJOIN(CHAR(10),TRUE,FILTER('Kế hoạch chèn link (mới)'!$D$3:$D$2213,'Kế hoạch chèn link (mới)'!$B$3:$B$2213=B39))"),"https://techcombank.com/thong-tin/blog/xac-thuc-sinh-trac-hoc-khi-chuyen-tien
https://techcombank.com/thong-tin/blog/ekyc-la-gi
https://techcombank.com/thong-tin/blog/mo-tai-khoan-ngan-hang-online-co-an-toan-khong
https://techcombank.com/thong-tin/blog/ca"&amp;"ch-mo-tai-khoan
https://techcombank.com/thong-tin/blog/the-mastercard-la-gi
https://techcombank.com/thong-tin/blog/app-vay-tien-nhanh
https://techcombank.com/thong-tin/blog/mo-tai-khoan-ngan-hang-bang-so-dien-thoai
https://techcombank.com/thong-tin/blog/t"&amp;"he-debit
https://techcombank.com/thong-tin/blog/chuyen-doi-so-ho-kinh-doanh
https://techcombank.com/thong-tin/blog/cach-lien-ket-tai-khoan-ngan-hang-voi-vneid
https://techcombank.com/thong-tin/blog/smart-otp-la-gi
https://techcombank.com/thong-tin/blog/ca"&amp;"ch-dang-ky-dinh-danh-muc-2
https://techcombank.com/thong-tin/blog/bao-nhieu-tuoi-duoc-mo-tai-khoan-ngan-hang
https://techcombank.com/thong-tin/blog/lam-the-thanh-toan-quoc-te
https://techcombank.com/thong-tin/blog/sang-ngang-the-tin-dung
https://techcomba"&amp;"nk.com/thong-tin/blog/spaylater
https://techcombank.com/thong-tin/blog/thanh-toan-khong-cham-tuong-lai-cua-thanh-toan-so-tai-viet-nam
https://techcombank.com/thong-tin/blog/viet-kieu-co-mo-duoc-tai-khoan-ngan-hang-khong
https://techcombank.com/thong-tin/b"&amp;"log/vay-ngan-hang-chi-can-cccd
https://techcombank.com/thong-tin/blog/cach-dang-ky-the-visa
https://techcombank.com/thong-tin/blog/lam-the-visa-online
https://techcombank.com/thong-tin/blog/the-atm-gan-chip")</f>
        <v>https://techcombank.com/thong-tin/blog/xac-thuc-sinh-trac-hoc-khi-chuyen-tien
https://techcombank.com/thong-tin/blog/ekyc-la-gi
https://techcombank.com/thong-tin/blog/mo-tai-khoan-ngan-hang-online-co-an-toan-khong
https://techcombank.com/thong-tin/blog/cach-mo-tai-khoan
https://techcombank.com/thong-tin/blog/the-mastercard-la-gi
https://techcombank.com/thong-tin/blog/app-vay-tien-nhanh
https://techcombank.com/thong-tin/blog/mo-tai-khoan-ngan-hang-bang-so-dien-thoai
https://techcombank.com/thong-tin/blog/the-debit
https://techcombank.com/thong-tin/blog/chuyen-doi-so-ho-kinh-doanh
https://techcombank.com/thong-tin/blog/cach-lien-ket-tai-khoan-ngan-hang-voi-vneid
https://techcombank.com/thong-tin/blog/smart-otp-la-gi
https://techcombank.com/thong-tin/blog/cach-dang-ky-dinh-danh-muc-2
https://techcombank.com/thong-tin/blog/bao-nhieu-tuoi-duoc-mo-tai-khoan-ngan-hang
https://techcombank.com/thong-tin/blog/lam-the-thanh-toan-quoc-te
https://techcombank.com/thong-tin/blog/sang-ngang-the-tin-dung
https://techcombank.com/thong-tin/blog/spaylater
https://techcombank.com/thong-tin/blog/thanh-toan-khong-cham-tuong-lai-cua-thanh-toan-so-tai-viet-nam
https://techcombank.com/thong-tin/blog/viet-kieu-co-mo-duoc-tai-khoan-ngan-hang-khong
https://techcombank.com/thong-tin/blog/vay-ngan-hang-chi-can-cccd
https://techcombank.com/thong-tin/blog/cach-dang-ky-the-visa
https://techcombank.com/thong-tin/blog/lam-the-visa-online
https://techcombank.com/thong-tin/blog/the-atm-gan-chip</v>
      </c>
    </row>
    <row r="40">
      <c r="A40" s="26">
        <v>27.0</v>
      </c>
      <c r="B40" s="27" t="s">
        <v>909</v>
      </c>
      <c r="C40" s="28" t="s">
        <v>655</v>
      </c>
      <c r="D40" s="29">
        <v>30.0</v>
      </c>
      <c r="E40" s="30">
        <f>COUNTIF('Kế hoạch chèn link (mới)'!$B$3:$B$2213,B40)</f>
        <v>28</v>
      </c>
      <c r="F40" s="31">
        <f t="shared" si="1"/>
        <v>2</v>
      </c>
      <c r="G40" s="32" t="str">
        <f>IFERROR(__xludf.DUMMYFUNCTION("IFERROR(LET(t,FILTER('Kế hoạch chèn link (mới)'!$M$3:$M$2213,'Kế hoạch chèn link (mới)'!$B$3:$B$2213=B40),u,UNIQUE(t),c,MAP(u,LAMBDA(x,COUNTIF(t,x))),s,SORT(HSTACK(u,c),2,FALSE),TEXTJOIN(CHAR(10),TRUE,BYROW(s,LAMBDA(r,INDEX(r,1,1)&amp;"": ""&amp;INDEX(r,1,2)&amp;"" b"&amp;"ài"")))),"""")"),"Thẻ tín dụng: 10 bài
Ngân hàng xanh &amp; thương hiệu: 6 bài
Thẻ ATM &amp; thẻ ghi nợ: 5 bài
Ưu đãi, du lịch &amp; đời sống: 3 bài
Khác: 1 bài
Ngoại tệ &amp; chuyển tiền quốc tế: 1 bài
Vay tiêu dùng &amp; tín chấp: 1 bài
Doanh nghiệp (tài khoản, vay, tài chính): 1 bài")</f>
        <v>Thẻ tín dụng: 10 bài
Ngân hàng xanh &amp; thương hiệu: 6 bài
Thẻ ATM &amp; thẻ ghi nợ: 5 bài
Ưu đãi, du lịch &amp; đời sống: 3 bài
Khác: 1 bài
Ngoại tệ &amp; chuyển tiền quốc tế: 1 bài
Vay tiêu dùng &amp; tín chấp: 1 bài
Doanh nghiệp (tài khoản, vay, tài chính): 1 bài</v>
      </c>
      <c r="H40" s="33" t="str">
        <f>IFERROR(__xludf.DUMMYFUNCTION("TEXTJOIN(CHAR(10),TRUE,FILTER('Kế hoạch chèn link (mới)'!$D$3:$D$2213,'Kế hoạch chèn link (mới)'!$B$3:$B$2213=B40))"),"https://techcombank.com/thong-tin/blog/san-pham-xanh
https://techcombank.com/thong-tin/blog/dau-chan-carbon
https://techcombank.com/thong-tin/blog/voucher-starbucks
https://techcombank.com/thong-tin/blog/esg
https://techcombank.com/thong-tin/blog/xu-huong"&amp;"-tieu-dung
https://techcombank.com/thong-tin/blog/phi-rut-tien-mat-the-tin-dung
https://techcombank.com/thong-tin/blog/lam-the-visa-o-dau
https://techcombank.com/thong-tin/blog/lam-the-atm-co-mat-phi-khong
https://techcombank.com/thong-tin/blog/lam-the-th"&amp;"anh-toan-quoc-te
https://techcombank.com/thong-tin/blog/tra-gop-hoc-phi
https://techcombank.com/thong-tin/blog/uu-dai-the-tin-dung
https://techcombank.com/thong-tin/blog/oneu
https://techcombank.com/thong-tin/blog/cach-lam-the-atm
https://techcombank.com/"&amp;"thong-tin/blog/tieu-dung-ben-vung
https://techcombank.com/thong-tin/blog/phi-thuong-nien-la-gi
https://techcombank.com/thong-tin/blog/giao-thong-xanh
https://techcombank.com/thong-tin/blog/the-tin-dung-mien-phi-thuong-nien
https://techcombank.com/thong-ti"&amp;"n/blog/the-tin-dung-techcombank-visa-eco
https://techcombank.com/thong-tin/blog/qr-code-doanh-nghiep
https://techcombank.com/thong-tin/blog/lam-the-atm-bao-lau-co
https://techcombank.com/thong-tin/blog/the-ghi-no-la-gi
https://techcombank.com/thong-tin/bl"&amp;"og/the-tin-dung-nao-nhieu-uu-dai-nhat
https://techcombank.com/thong-tin/blog/mr-eco
https://techcombank.com/thong-tin/blog/cac-loai-the-tin-dung
https://techcombank.com/thong-tin/blog/mo-the-ghi-no
https://techcombank.com/thong-tin/blog/the-tin-dung-quoc-"&amp;"te
https://techcombank.com/thong-tin/blog/the-tin-dung-hoan-tien
https://techcombank.com/thong-tin/blog/lam-the-visa-mat-bao-lau")</f>
        <v>https://techcombank.com/thong-tin/blog/san-pham-xanh
https://techcombank.com/thong-tin/blog/dau-chan-carbon
https://techcombank.com/thong-tin/blog/voucher-starbucks
https://techcombank.com/thong-tin/blog/esg
https://techcombank.com/thong-tin/blog/xu-huong-tieu-dung
https://techcombank.com/thong-tin/blog/phi-rut-tien-mat-the-tin-dung
https://techcombank.com/thong-tin/blog/lam-the-visa-o-dau
https://techcombank.com/thong-tin/blog/lam-the-atm-co-mat-phi-khong
https://techcombank.com/thong-tin/blog/lam-the-thanh-toan-quoc-te
https://techcombank.com/thong-tin/blog/tra-gop-hoc-phi
https://techcombank.com/thong-tin/blog/uu-dai-the-tin-dung
https://techcombank.com/thong-tin/blog/oneu
https://techcombank.com/thong-tin/blog/cach-lam-the-atm
https://techcombank.com/thong-tin/blog/tieu-dung-ben-vung
https://techcombank.com/thong-tin/blog/phi-thuong-nien-la-gi
https://techcombank.com/thong-tin/blog/giao-thong-xanh
https://techcombank.com/thong-tin/blog/the-tin-dung-mien-phi-thuong-nien
https://techcombank.com/thong-tin/blog/the-tin-dung-techcombank-visa-eco
https://techcombank.com/thong-tin/blog/qr-code-doanh-nghiep
https://techcombank.com/thong-tin/blog/lam-the-atm-bao-lau-co
https://techcombank.com/thong-tin/blog/the-ghi-no-la-gi
https://techcombank.com/thong-tin/blog/the-tin-dung-nao-nhieu-uu-dai-nhat
https://techcombank.com/thong-tin/blog/mr-eco
https://techcombank.com/thong-tin/blog/cac-loai-the-tin-dung
https://techcombank.com/thong-tin/blog/mo-the-ghi-no
https://techcombank.com/thong-tin/blog/the-tin-dung-quoc-te
https://techcombank.com/thong-tin/blog/the-tin-dung-hoan-tien
https://techcombank.com/thong-tin/blog/lam-the-visa-mat-bao-lau</v>
      </c>
    </row>
    <row r="41">
      <c r="A41" s="26">
        <v>30.0</v>
      </c>
      <c r="B41" s="27" t="s">
        <v>918</v>
      </c>
      <c r="C41" s="28" t="s">
        <v>97</v>
      </c>
      <c r="D41" s="29">
        <v>30.0</v>
      </c>
      <c r="E41" s="30">
        <f>COUNTIF('Kế hoạch chèn link (mới)'!$B$3:$B$2213,B41)</f>
        <v>30</v>
      </c>
      <c r="F41" s="31">
        <f t="shared" si="1"/>
        <v>0</v>
      </c>
      <c r="G41" s="32" t="str">
        <f>IFERROR(__xludf.DUMMYFUNCTION("IFERROR(LET(t,FILTER('Kế hoạch chèn link (mới)'!$M$3:$M$2213,'Kế hoạch chèn link (mới)'!$B$3:$B$2213=B41),u,UNIQUE(t),c,MAP(u,LAMBDA(x,COUNTIF(t,x))),s,SORT(HSTACK(u,c),2,FALSE),TEXTJOIN(CHAR(10),TRUE,BYROW(s,LAMBDA(r,INDEX(r,1,1)&amp;"": ""&amp;INDEX(r,1,2)&amp;"" b"&amp;"ài"")))),"""")"),"Thẻ tín dụng: 19 bài
Thẻ ATM &amp; thẻ ghi nợ: 5 bài
Nợ xấu &amp; CIC: 2 bài
Doanh nghiệp (tài khoản, vay, tài chính): 1 bài
Thanh toán, chuyển khoản &amp; QR: 1 bài
Ngân hàng xanh &amp; thương hiệu: 1 bài
Vay tiêu dùng &amp; tín chấp: 1 bài")</f>
        <v>Thẻ tín dụng: 19 bài
Thẻ ATM &amp; thẻ ghi nợ: 5 bài
Nợ xấu &amp; CIC: 2 bài
Doanh nghiệp (tài khoản, vay, tài chính): 1 bài
Thanh toán, chuyển khoản &amp; QR: 1 bài
Ngân hàng xanh &amp; thương hiệu: 1 bài
Vay tiêu dùng &amp; tín chấp: 1 bài</v>
      </c>
      <c r="H41" s="33" t="str">
        <f>IFERROR(__xludf.DUMMYFUNCTION("TEXTJOIN(CHAR(10),TRUE,FILTER('Kế hoạch chèn link (mới)'!$D$3:$D$2213,'Kế hoạch chèn link (mới)'!$B$3:$B$2213=B41))"),"https://techcombank.com/thong-tin/blog/no-xau-mo-the-tin-dung-duoc-khong
https://techcombank.com/thong-tin/blog/mua-iphone-17
https://techcombank.com/thong-tin/blog/the-visa-de-lam-gi
https://techcombank.com/thong-tin/blog/mo-the-tin-dung-han-muc-cao
http"&amp;"s://techcombank.com/thong-tin/blog/co-nen-dung-the-tin-dung-khong
https://techcombank.com/thong-tin/blog/no-xau-co-lam-the-visa-duoc-khong
https://techcombank.com/thong-tin/blog/uu-dai-mo-the-tin-dung
https://techcombank.com/thong-tin/blog/khong-su-dung-t"&amp;"he-tin-dung-co-mat-phi-khong
https://techcombank.com/thong-tin/blog/uu-dai-the-tin-dung-techcombank-signature
https://techcombank.com/thong-tin/blog/the-tin-dung-mien-phi-thuong-nien
https://techcombank.com/thong-tin/blog/mat-the-tin-dung-co-bi-mat-tien-k"&amp;"hong
https://techcombank.com/thong-tin/blog/the-tin-dung-nao-nhieu-uu-dai-nhat
https://techcombank.com/thong-tin/blog/the-tin-dung-quoc-te
https://techcombank.com/thong-tin/blog/tai-khoan-doanh-nghiep-co-the-khong
https://techcombank.com/thong-tin/blog/ma"&amp;"-buu-chinh-the-tin-dung
https://techcombank.com/thong-tin/blog/lam-the-tin-dung-co-mat-phi-khong
https://techcombank.com/thong-tin/blog/the-tin-dung-ao
https://techcombank.com/thong-tin/blog/uu-dai-mua-ve-may-bay-bang-the-tin-dung
https://techcombank.com/"&amp;"thong-tin/blog/cach-lam-the-ngan-hang-chay-quang-cao-facebook
https://techcombank.com/thong-tin/blog/eco-card
https://techcombank.com/thong-tin/blog/cach-lam-the-atm
https://techcombank.com/thong-tin/blog/mua-truoc-tra-sau
https://techcombank.com/thong-ti"&amp;"n/blog/the-tin-dung-het-han
https://techcombank.com/thong-tin/blog/the-napas-la-gi
https://techcombank.com/thong-tin/blog/the-tin-dung-phu-la-gi
https://techcombank.com/thong-tin/blog/mm-yy-la-gi
https://techcombank.com/thong-tin/blog/lam-the-atm-co-mat-p"&amp;"hi-khong
https://techcombank.com/thong-tin/blog/the-visa-co-can-mat-khau-khong
https://techcombank.com/thong-tin/blog/tra-cuu-han-muc-the-tin-dung
https://techcombank.com/thong-tin/blog/lam-the-atm-bao-lau-co")</f>
        <v>https://techcombank.com/thong-tin/blog/no-xau-mo-the-tin-dung-duoc-khong
https://techcombank.com/thong-tin/blog/mua-iphone-17
https://techcombank.com/thong-tin/blog/the-visa-de-lam-gi
https://techcombank.com/thong-tin/blog/mo-the-tin-dung-han-muc-cao
https://techcombank.com/thong-tin/blog/co-nen-dung-the-tin-dung-khong
https://techcombank.com/thong-tin/blog/no-xau-co-lam-the-visa-duoc-khong
https://techcombank.com/thong-tin/blog/uu-dai-mo-the-tin-dung
https://techcombank.com/thong-tin/blog/khong-su-dung-the-tin-dung-co-mat-phi-khong
https://techcombank.com/thong-tin/blog/uu-dai-the-tin-dung-techcombank-signature
https://techcombank.com/thong-tin/blog/the-tin-dung-mien-phi-thuong-nien
https://techcombank.com/thong-tin/blog/mat-the-tin-dung-co-bi-mat-tien-khong
https://techcombank.com/thong-tin/blog/the-tin-dung-nao-nhieu-uu-dai-nhat
https://techcombank.com/thong-tin/blog/the-tin-dung-quoc-te
https://techcombank.com/thong-tin/blog/tai-khoan-doanh-nghiep-co-the-khong
https://techcombank.com/thong-tin/blog/ma-buu-chinh-the-tin-dung
https://techcombank.com/thong-tin/blog/lam-the-tin-dung-co-mat-phi-khong
https://techcombank.com/thong-tin/blog/the-tin-dung-ao
https://techcombank.com/thong-tin/blog/uu-dai-mua-ve-may-bay-bang-the-tin-dung
https://techcombank.com/thong-tin/blog/cach-lam-the-ngan-hang-chay-quang-cao-facebook
https://techcombank.com/thong-tin/blog/eco-card
https://techcombank.com/thong-tin/blog/cach-lam-the-atm
https://techcombank.com/thong-tin/blog/mua-truoc-tra-sau
https://techcombank.com/thong-tin/blog/the-tin-dung-het-han
https://techcombank.com/thong-tin/blog/the-napas-la-gi
https://techcombank.com/thong-tin/blog/the-tin-dung-phu-la-gi
https://techcombank.com/thong-tin/blog/mm-yy-la-gi
https://techcombank.com/thong-tin/blog/lam-the-atm-co-mat-phi-khong
https://techcombank.com/thong-tin/blog/the-visa-co-can-mat-khau-khong
https://techcombank.com/thong-tin/blog/tra-cuu-han-muc-the-tin-dung
https://techcombank.com/thong-tin/blog/lam-the-atm-bao-lau-co</v>
      </c>
    </row>
    <row r="42">
      <c r="A42" s="26">
        <v>31.0</v>
      </c>
      <c r="B42" s="27" t="s">
        <v>922</v>
      </c>
      <c r="C42" s="28" t="s">
        <v>97</v>
      </c>
      <c r="D42" s="29">
        <v>30.0</v>
      </c>
      <c r="E42" s="30">
        <f>COUNTIF('Kế hoạch chèn link (mới)'!$B$3:$B$2213,B42)</f>
        <v>21</v>
      </c>
      <c r="F42" s="31">
        <f t="shared" si="1"/>
        <v>9</v>
      </c>
      <c r="G42" s="32" t="str">
        <f>IFERROR(__xludf.DUMMYFUNCTION("IFERROR(LET(t,FILTER('Kế hoạch chèn link (mới)'!$M$3:$M$2213,'Kế hoạch chèn link (mới)'!$B$3:$B$2213=B42),u,UNIQUE(t),c,MAP(u,LAMBDA(x,COUNTIF(t,x))),s,SORT(HSTACK(u,c),2,FALSE),TEXTJOIN(CHAR(10),TRUE,BYROW(s,LAMBDA(r,INDEX(r,1,1)&amp;"": ""&amp;INDEX(r,1,2)&amp;"" b"&amp;"ài"")))),"""")"),"Thẻ tín dụng: 15 bài
Vay tiêu dùng &amp; tín chấp: 3 bài
Ưu đãi, du lịch &amp; đời sống: 2 bài
Thanh toán, chuyển khoản &amp; QR: 1 bài")</f>
        <v>Thẻ tín dụng: 15 bài
Vay tiêu dùng &amp; tín chấp: 3 bài
Ưu đãi, du lịch &amp; đời sống: 2 bài
Thanh toán, chuyển khoản &amp; QR: 1 bài</v>
      </c>
      <c r="H42" s="33" t="str">
        <f>IFERROR(__xludf.DUMMYFUNCTION("TEXTJOIN(CHAR(10),TRUE,FILTER('Kế hoạch chèn link (mới)'!$D$3:$D$2213,'Kế hoạch chèn link (mới)'!$B$3:$B$2213=B42))"),"https://techcombank.com/thong-tin/blog/anh-trai-vuot-ngan-chong-gai-mua-2
https://techcombank.com/thong-tin/blog/mo-the-tin-dung-co-loi-ich-gi
https://techcombank.com/thong-tin/blog/rut-tien-mat-tu-the-tin-dung
https://techcombank.com/thong-tin/blog/mua-i"&amp;"phone-17
https://techcombank.com/thong-tin/blog/mua-truoc-tra-sau
https://techcombank.com/thong-tin/blog/the-ghi-no-va-the-tin-dung
https://techcombank.com/thong-tin/blog/cach-huy-the-tin-dung
https://techcombank.com/thong-tin/blog/qua-han-thanh-toan-the-"&amp;"tin-dung-1-ngay
https://techcombank.com/thong-tin/blog/cach-thanh-toan-the-tin-dung
https://techcombank.com/thong-tin/blog/the-tin-dung-den
https://techcombank.com/thong-tin/blog/dao-han-the-tin-dung
https://techcombank.com/thong-tin/blog/lam-ho-so-tra-go"&amp;"p-dien-thoai
https://techcombank.com/thong-tin/blog/loyalty-la-gi
https://techcombank.com/thong-tin/blog/uu-dai-mua-ve-may-bay-bang-the-tin-dung
https://techcombank.com/thong-tin/blog/mat-the-tin-dung-co-bi-mat-tien-khong
https://techcombank.com/thong-tin"&amp;"/blog/so-cvv-la-gi
https://techcombank.com/thong-tin/blog/tra-cuu-han-muc-the-tin-dung
https://techcombank.com/thong-tin/blog/the-tin-dung-het-han
https://techcombank.com/thong-tin/blog/ma-buu-chinh-the-tin-dung
https://techcombank.com/thong-tin/blog/than"&amp;"h-toan-tra-gop-qua-the-tin-dung
https://techcombank.com/thong-tin/blog/thanh-toan-truc-tuyen")</f>
        <v>https://techcombank.com/thong-tin/blog/anh-trai-vuot-ngan-chong-gai-mua-2
https://techcombank.com/thong-tin/blog/mo-the-tin-dung-co-loi-ich-gi
https://techcombank.com/thong-tin/blog/rut-tien-mat-tu-the-tin-dung
https://techcombank.com/thong-tin/blog/mua-iphone-17
https://techcombank.com/thong-tin/blog/mua-truoc-tra-sau
https://techcombank.com/thong-tin/blog/the-ghi-no-va-the-tin-dung
https://techcombank.com/thong-tin/blog/cach-huy-the-tin-dung
https://techcombank.com/thong-tin/blog/qua-han-thanh-toan-the-tin-dung-1-ngay
https://techcombank.com/thong-tin/blog/cach-thanh-toan-the-tin-dung
https://techcombank.com/thong-tin/blog/the-tin-dung-den
https://techcombank.com/thong-tin/blog/dao-han-the-tin-dung
https://techcombank.com/thong-tin/blog/lam-ho-so-tra-gop-dien-thoai
https://techcombank.com/thong-tin/blog/loyalty-la-gi
https://techcombank.com/thong-tin/blog/uu-dai-mua-ve-may-bay-bang-the-tin-dung
https://techcombank.com/thong-tin/blog/mat-the-tin-dung-co-bi-mat-tien-khong
https://techcombank.com/thong-tin/blog/so-cvv-la-gi
https://techcombank.com/thong-tin/blog/tra-cuu-han-muc-the-tin-dung
https://techcombank.com/thong-tin/blog/the-tin-dung-het-han
https://techcombank.com/thong-tin/blog/ma-buu-chinh-the-tin-dung
https://techcombank.com/thong-tin/blog/thanh-toan-tra-gop-qua-the-tin-dung
https://techcombank.com/thong-tin/blog/thanh-toan-truc-tuyen</v>
      </c>
    </row>
    <row r="43">
      <c r="A43" s="26">
        <v>32.0</v>
      </c>
      <c r="B43" s="27" t="s">
        <v>925</v>
      </c>
      <c r="C43" s="28" t="s">
        <v>97</v>
      </c>
      <c r="D43" s="29">
        <v>30.0</v>
      </c>
      <c r="E43" s="30">
        <f>COUNTIF('Kế hoạch chèn link (mới)'!$B$3:$B$2213,B43)</f>
        <v>23</v>
      </c>
      <c r="F43" s="31">
        <f t="shared" si="1"/>
        <v>7</v>
      </c>
      <c r="G43" s="32" t="str">
        <f>IFERROR(__xludf.DUMMYFUNCTION("IFERROR(LET(t,FILTER('Kế hoạch chèn link (mới)'!$M$3:$M$2213,'Kế hoạch chèn link (mới)'!$B$3:$B$2213=B43),u,UNIQUE(t),c,MAP(u,LAMBDA(x,COUNTIF(t,x))),s,SORT(HSTACK(u,c),2,FALSE),TEXTJOIN(CHAR(10),TRUE,BYROW(s,LAMBDA(r,INDEX(r,1,1)&amp;"": ""&amp;INDEX(r,1,2)&amp;"" b"&amp;"ài"")))),"""")"),"Thẻ tín dụng: 15 bài
Thanh toán, chuyển khoản &amp; QR: 3 bài
Tiết kiệm &amp; lãi suất tiền gửi: 1 bài
Ưu đãi, du lịch &amp; đời sống: 1 bài
Thẻ ATM &amp; thẻ ghi nợ: 1 bài
Doanh nghiệp (tài khoản, vay, tài chính): 1 bài
Vay tiêu dùng &amp; tín chấp: 1 bài")</f>
        <v>Thẻ tín dụng: 15 bài
Thanh toán, chuyển khoản &amp; QR: 3 bài
Tiết kiệm &amp; lãi suất tiền gửi: 1 bài
Ưu đãi, du lịch &amp; đời sống: 1 bài
Thẻ ATM &amp; thẻ ghi nợ: 1 bài
Doanh nghiệp (tài khoản, vay, tài chính): 1 bài
Vay tiêu dùng &amp; tín chấp: 1 bài</v>
      </c>
      <c r="H43" s="33" t="str">
        <f>IFERROR(__xludf.DUMMYFUNCTION("TEXTJOIN(CHAR(10),TRUE,FILTER('Kế hoạch chèn link (mới)'!$D$3:$D$2213,'Kế hoạch chèn link (mới)'!$B$3:$B$2213=B43))"),"https://techcombank.com/thong-tin/blog/cac-loai-the-tin-dung
https://techcombank.com/thong-tin/blog/cashback-the-thanh-toan
https://techcombank.com/thong-tin/blog/the-tin-dung-mien-phi-thuong-nien
https://techcombank.com/thong-tin/blog/uu-dai-mua-ve-may-b"&amp;"ay-bang-the-tin-dung
https://techcombank.com/thong-tin/blog/cach-lam-the-ngan-hang-chay-quang-cao-facebook
https://techcombank.com/thong-tin/blog/the-ghi-no-va-the-tin-dung
https://techcombank.com/thong-tin/blog/co-nen-dung-the-tin-dung-khong
https://tech"&amp;"combank.com/thong-tin/blog/the-tin-dung-quoc-te
https://techcombank.com/thong-tin/blog/tiet-kiem-khi-di-du-lich
https://techcombank.com/thong-tin/blog/the-tin-dung-den
https://techcombank.com/thong-tin/blog/4p-pizza
https://techcombank.com/thong-tin/blog/"&amp;"cach-nap-the-mobi
https://techcombank.com/thong-tin/blog/thanh-toan-tien-dien-bang-the-tin-dung
https://techcombank.com/thong-tin/blog/uu-dai-mo-the-tin-dung
https://techcombank.com/thong-tin/blog/uu-dai-the-tin-dung-techcombank-signature
https://techcomb"&amp;"ank.com/thong-tin/blog/the-tin-dung-nao-nhieu-uu-dai-nhat
https://techcombank.com/thong-tin/blog/ma-buu-chinh-the-tin-dung
https://techcombank.com/thong-tin/blog/cac-loai-the-ngan-hang
https://techcombank.com/thong-tin/blog/tai-khoan-doanh-nghiep-co-the-k"&amp;"hong
https://techcombank.com/thong-tin/blog/cach-nap-the-vina
https://techcombank.com/thong-tin/blog/cach-su-dung-the-tin-dung
https://techcombank.com/thong-tin/blog/mua-iphone-17
https://techcombank.com/thong-tin/blog/mua-truoc-tra-sau")</f>
        <v>https://techcombank.com/thong-tin/blog/cac-loai-the-tin-dung
https://techcombank.com/thong-tin/blog/cashback-the-thanh-toan
https://techcombank.com/thong-tin/blog/the-tin-dung-mien-phi-thuong-nien
https://techcombank.com/thong-tin/blog/uu-dai-mua-ve-may-bay-bang-the-tin-dung
https://techcombank.com/thong-tin/blog/cach-lam-the-ngan-hang-chay-quang-cao-facebook
https://techcombank.com/thong-tin/blog/the-ghi-no-va-the-tin-dung
https://techcombank.com/thong-tin/blog/co-nen-dung-the-tin-dung-khong
https://techcombank.com/thong-tin/blog/the-tin-dung-quoc-te
https://techcombank.com/thong-tin/blog/tiet-kiem-khi-di-du-lich
https://techcombank.com/thong-tin/blog/the-tin-dung-den
https://techcombank.com/thong-tin/blog/4p-pizza
https://techcombank.com/thong-tin/blog/cach-nap-the-mobi
https://techcombank.com/thong-tin/blog/thanh-toan-tien-dien-bang-the-tin-dung
https://techcombank.com/thong-tin/blog/uu-dai-mo-the-tin-dung
https://techcombank.com/thong-tin/blog/uu-dai-the-tin-dung-techcombank-signature
https://techcombank.com/thong-tin/blog/the-tin-dung-nao-nhieu-uu-dai-nhat
https://techcombank.com/thong-tin/blog/ma-buu-chinh-the-tin-dung
https://techcombank.com/thong-tin/blog/cac-loai-the-ngan-hang
https://techcombank.com/thong-tin/blog/tai-khoan-doanh-nghiep-co-the-khong
https://techcombank.com/thong-tin/blog/cach-nap-the-vina
https://techcombank.com/thong-tin/blog/cach-su-dung-the-tin-dung
https://techcombank.com/thong-tin/blog/mua-iphone-17
https://techcombank.com/thong-tin/blog/mua-truoc-tra-sau</v>
      </c>
    </row>
    <row r="44">
      <c r="A44" s="26">
        <v>34.0</v>
      </c>
      <c r="B44" s="27" t="s">
        <v>934</v>
      </c>
      <c r="C44" s="28" t="s">
        <v>97</v>
      </c>
      <c r="D44" s="29">
        <v>30.0</v>
      </c>
      <c r="E44" s="30">
        <f>COUNTIF('Kế hoạch chèn link (mới)'!$B$3:$B$2213,B44)</f>
        <v>26</v>
      </c>
      <c r="F44" s="31">
        <f t="shared" si="1"/>
        <v>4</v>
      </c>
      <c r="G44" s="32" t="str">
        <f>IFERROR(__xludf.DUMMYFUNCTION("IFERROR(LET(t,FILTER('Kế hoạch chèn link (mới)'!$M$3:$M$2213,'Kế hoạch chèn link (mới)'!$B$3:$B$2213=B44),u,UNIQUE(t),c,MAP(u,LAMBDA(x,COUNTIF(t,x))),s,SORT(HSTACK(u,c),2,FALSE),TEXTJOIN(CHAR(10),TRUE,BYROW(s,LAMBDA(r,INDEX(r,1,1)&amp;"": ""&amp;INDEX(r,1,2)&amp;"" b"&amp;"ài"")))),"""")"),"Nợ xấu &amp; CIC: 8 bài
Vay tiêu dùng &amp; tín chấp: 5 bài
Đầu tư, CCTG, trái phiếu, vàng: 5 bài
Thẻ tín dụng: 4 bài
Vay thế chấp &amp; mua nhà/xe: 2 bài
Hộ kinh doanh &amp; bán hàng: 1 bài
Bảo hiểm: 1 bài")</f>
        <v>Nợ xấu &amp; CIC: 8 bài
Vay tiêu dùng &amp; tín chấp: 5 bài
Đầu tư, CCTG, trái phiếu, vàng: 5 bài
Thẻ tín dụng: 4 bài
Vay thế chấp &amp; mua nhà/xe: 2 bài
Hộ kinh doanh &amp; bán hàng: 1 bài
Bảo hiểm: 1 bài</v>
      </c>
      <c r="H44" s="33" t="str">
        <f>IFERROR(__xludf.DUMMYFUNCTION("TEXTJOIN(CHAR(10),TRUE,FILTER('Kế hoạch chèn link (mới)'!$D$3:$D$2213,'Kế hoạch chèn link (mới)'!$B$3:$B$2213=B44))"),"https://techcombank.com/thong-tin/blog/cach-su-dung-the-tin-dung
https://techcombank.com/thong-tin/blog/du-no-tin-dung-la-gi
https://techcombank.com/thong-tin/blog/dao-han-la-gi
https://techcombank.com/thong-tin/blog/vay-tin-chap-ho-kinh-doanh
https://tec"&amp;"hcombank.com/thong-tin/blog/kinh-nghiem-vay-tien-mua-nha
https://techcombank.com/thong-tin/blog/vay-the-chap-khong-tra-duoc
https://techcombank.com/thong-tin/blog/no-xau-co-vay-the-chap-duoc-khong
https://techcombank.com/thong-tin/blog/no-xau
https://tech"&amp;"combank.com/thong-tin/blog/no-xau-la-gi
https://techcombank.com/thong-tin/blog/no-xau-nhom-2
https://techcombank.com/thong-tin/blog/no-the-tin-dung-qua-han
https://techcombank.com/thong-tin/blog/khau-vi-nha-dau-tu-tpdn-thay-doi-the-nao-sau-nhung-bien-dong"&amp;"-vua-qua
https://techcombank.com/thong-tin/blog/lich-su-tin-dung
https://techcombank.com/thong-tin/blog/tin-dung-la-gi
https://techcombank.com/thong-tin/blog/kiem-tra-no-xau
https://techcombank.com/thong-tin/blog/thanh-toan-khoan-vay
https://techcombank.c"&amp;"om/thong-tin/blog/nang-han-muc-tin-dung
https://techcombank.com/thong-tin/blog/vay-tin-chap-no-xau
https://techcombank.com/thong-tin/blog/thi-truong-trai-phieu-co-hoi-dau-tu-trai-phieu-vang-du-lai-suat-thap
https://techcombank.com/thong-tin/blog/nghich-ly"&amp;"-nha-dau-tu-che-trai-phieu-lai-suat-cao-ua-ma-an-toan-du-lai-suat-thap-hon-05-1
https://techcombank.com/thong-tin/blog/bi-quyet-lua-chon-trai-phieu-an-toan-cho-nha-dau-tu
https://techcombank.com/thong-tin/blog/cho-vay-hop-von-la-gi
https://techcombank.com"&amp;"/thong-tin/blog/co-nen-mua-bao-hiem-nhan-tho
https://techcombank.com/thong-tin/blog/nha-dau-tu-giao-dich-trai-phieu-truc-tuyen-tang-manh-tro-lai
https://techcombank.com/thong-tin/blog/spaylater
https://techcombank.com/thong-tin/blog/luu-y-khi-su-dung-the-"&amp;"tin-dung")</f>
        <v>https://techcombank.com/thong-tin/blog/cach-su-dung-the-tin-dung
https://techcombank.com/thong-tin/blog/du-no-tin-dung-la-gi
https://techcombank.com/thong-tin/blog/dao-han-la-gi
https://techcombank.com/thong-tin/blog/vay-tin-chap-ho-kinh-doanh
https://techcombank.com/thong-tin/blog/kinh-nghiem-vay-tien-mua-nha
https://techcombank.com/thong-tin/blog/vay-the-chap-khong-tra-duoc
https://techcombank.com/thong-tin/blog/no-xau-co-vay-the-chap-duoc-khong
https://techcombank.com/thong-tin/blog/no-xau
https://techcombank.com/thong-tin/blog/no-xau-la-gi
https://techcombank.com/thong-tin/blog/no-xau-nhom-2
https://techcombank.com/thong-tin/blog/no-the-tin-dung-qua-han
https://techcombank.com/thong-tin/blog/khau-vi-nha-dau-tu-tpdn-thay-doi-the-nao-sau-nhung-bien-dong-vua-qua
https://techcombank.com/thong-tin/blog/lich-su-tin-dung
https://techcombank.com/thong-tin/blog/tin-dung-la-gi
https://techcombank.com/thong-tin/blog/kiem-tra-no-xau
https://techcombank.com/thong-tin/blog/thanh-toan-khoan-vay
https://techcombank.com/thong-tin/blog/nang-han-muc-tin-dung
https://techcombank.com/thong-tin/blog/vay-tin-chap-no-xau
https://techcombank.com/thong-tin/blog/thi-truong-trai-phieu-co-hoi-dau-tu-trai-phieu-vang-du-lai-suat-thap
https://techcombank.com/thong-tin/blog/nghich-ly-nha-dau-tu-che-trai-phieu-lai-suat-cao-ua-ma-an-toan-du-lai-suat-thap-hon-05-1
https://techcombank.com/thong-tin/blog/bi-quyet-lua-chon-trai-phieu-an-toan-cho-nha-dau-tu
https://techcombank.com/thong-tin/blog/cho-vay-hop-von-la-gi
https://techcombank.com/thong-tin/blog/co-nen-mua-bao-hiem-nhan-tho
https://techcombank.com/thong-tin/blog/nha-dau-tu-giao-dich-trai-phieu-truc-tuyen-tang-manh-tro-lai
https://techcombank.com/thong-tin/blog/spaylater
https://techcombank.com/thong-tin/blog/luu-y-khi-su-dung-the-tin-dung</v>
      </c>
    </row>
    <row r="45">
      <c r="A45" s="26">
        <v>35.0</v>
      </c>
      <c r="B45" s="27" t="s">
        <v>941</v>
      </c>
      <c r="C45" s="28" t="s">
        <v>97</v>
      </c>
      <c r="D45" s="29">
        <v>30.0</v>
      </c>
      <c r="E45" s="30">
        <f>COUNTIF('Kế hoạch chèn link (mới)'!$B$3:$B$2213,B45)</f>
        <v>23</v>
      </c>
      <c r="F45" s="31">
        <f t="shared" si="1"/>
        <v>7</v>
      </c>
      <c r="G45" s="32" t="str">
        <f>IFERROR(__xludf.DUMMYFUNCTION("IFERROR(LET(t,FILTER('Kế hoạch chèn link (mới)'!$M$3:$M$2213,'Kế hoạch chèn link (mới)'!$B$3:$B$2213=B45),u,UNIQUE(t),c,MAP(u,LAMBDA(x,COUNTIF(t,x))),s,SORT(HSTACK(u,c),2,FALSE),TEXTJOIN(CHAR(10),TRUE,BYROW(s,LAMBDA(r,INDEX(r,1,1)&amp;"": ""&amp;INDEX(r,1,2)&amp;"" b"&amp;"ài"")))),"""")"),"Thẻ tín dụng: 13 bài
Tài khoản &amp; ngân hàng số: 4 bài
Vay tiêu dùng &amp; tín chấp: 2 bài
Nợ xấu &amp; CIC: 2 bài
Thanh toán, chuyển khoản &amp; QR: 1 bài
Thẻ ATM &amp; thẻ ghi nợ: 1 bài")</f>
        <v>Thẻ tín dụng: 13 bài
Tài khoản &amp; ngân hàng số: 4 bài
Vay tiêu dùng &amp; tín chấp: 2 bài
Nợ xấu &amp; CIC: 2 bài
Thanh toán, chuyển khoản &amp; QR: 1 bài
Thẻ ATM &amp; thẻ ghi nợ: 1 bài</v>
      </c>
      <c r="H45" s="33" t="str">
        <f>IFERROR(__xludf.DUMMYFUNCTION("TEXTJOIN(CHAR(10),TRUE,FILTER('Kế hoạch chèn link (mới)'!$D$3:$D$2213,'Kế hoạch chèn link (mới)'!$B$3:$B$2213=B45))"),"https://techcombank.com/thong-tin/blog/the-tin-dung-mien-lai-55-ngay
https://techcombank.com/thong-tin/blog/dao-han-la-gi
https://techcombank.com/thong-tin/blog/app-ngan-hang-uy-tin
https://techcombank.com/thong-tin/blog/mobile-banking-la-gi
https://techc"&amp;"ombank.com/thong-tin/blog/ca-nhan-hoa
https://techcombank.com/thong-tin/blog/diem-tin-dung
https://techcombank.com/thong-tin/blog/cach-huy-the-tin-dung
https://techcombank.com/thong-tin/blog/the-tin-dung-nao-nhieu-uu-dai-nhat
https://techcombank.com/thong"&amp;"-tin/blog/cach-lam-the-ngan-hang-chay-quang-cao-facebook
https://techcombank.com/thong-tin/blog/mua-truoc-tra-sau
https://techcombank.com/thong-tin/blog/the-tin-dung-den
https://techcombank.com/thong-tin/blog/cac-loai-the-ngan-hang
https://techcombank.com"&amp;"/thong-tin/blog/uu-dai-the-tin-dung-techcombank-signature
https://techcombank.com/thong-tin/blog/the-ghi-no-va-the-tin-dung
https://techcombank.com/thong-tin/blog/du-no-la-gi
https://techcombank.com/thong-tin/blog/the-tin-dung-het-han
https://techcombank."&amp;"com/thong-tin/blog/co-nen-dung-the-tin-dung-khong
https://techcombank.com/thong-tin/blog/han-muc-the-tin-dung
https://techcombank.com/thong-tin/blog/cac-loai-the-tin-dung
https://techcombank.com/thong-tin/blog/the-tin-dung-mien-phi-thuong-nien
https://tec"&amp;"hcombank.com/thong-tin/blog/mua-iphone-17
https://techcombank.com/thong-tin/blog/the-visa-co-can-mat-khau-khong
https://techcombank.com/thong-tin/blog/cach-doi-mat-khau-tai-khoan-ngan-hang")</f>
        <v>https://techcombank.com/thong-tin/blog/the-tin-dung-mien-lai-55-ngay
https://techcombank.com/thong-tin/blog/dao-han-la-gi
https://techcombank.com/thong-tin/blog/app-ngan-hang-uy-tin
https://techcombank.com/thong-tin/blog/mobile-banking-la-gi
https://techcombank.com/thong-tin/blog/ca-nhan-hoa
https://techcombank.com/thong-tin/blog/diem-tin-dung
https://techcombank.com/thong-tin/blog/cach-huy-the-tin-dung
https://techcombank.com/thong-tin/blog/the-tin-dung-nao-nhieu-uu-dai-nhat
https://techcombank.com/thong-tin/blog/cach-lam-the-ngan-hang-chay-quang-cao-facebook
https://techcombank.com/thong-tin/blog/mua-truoc-tra-sau
https://techcombank.com/thong-tin/blog/the-tin-dung-den
https://techcombank.com/thong-tin/blog/cac-loai-the-ngan-hang
https://techcombank.com/thong-tin/blog/uu-dai-the-tin-dung-techcombank-signature
https://techcombank.com/thong-tin/blog/the-ghi-no-va-the-tin-dung
https://techcombank.com/thong-tin/blog/du-no-la-gi
https://techcombank.com/thong-tin/blog/the-tin-dung-het-han
https://techcombank.com/thong-tin/blog/co-nen-dung-the-tin-dung-khong
https://techcombank.com/thong-tin/blog/han-muc-the-tin-dung
https://techcombank.com/thong-tin/blog/cac-loai-the-tin-dung
https://techcombank.com/thong-tin/blog/the-tin-dung-mien-phi-thuong-nien
https://techcombank.com/thong-tin/blog/mua-iphone-17
https://techcombank.com/thong-tin/blog/the-visa-co-can-mat-khau-khong
https://techcombank.com/thong-tin/blog/cach-doi-mat-khau-tai-khoan-ngan-hang</v>
      </c>
    </row>
    <row r="46">
      <c r="A46" s="26">
        <v>36.0</v>
      </c>
      <c r="B46" s="27" t="s">
        <v>949</v>
      </c>
      <c r="C46" s="28" t="s">
        <v>950</v>
      </c>
      <c r="D46" s="29">
        <v>30.0</v>
      </c>
      <c r="E46" s="30">
        <f>COUNTIF('Kế hoạch chèn link (mới)'!$B$3:$B$2213,B46)</f>
        <v>29</v>
      </c>
      <c r="F46" s="31">
        <f t="shared" si="1"/>
        <v>1</v>
      </c>
      <c r="G46" s="32" t="str">
        <f>IFERROR(__xludf.DUMMYFUNCTION("IFERROR(LET(t,FILTER('Kế hoạch chèn link (mới)'!$M$3:$M$2213,'Kế hoạch chèn link (mới)'!$B$3:$B$2213=B46),u,UNIQUE(t),c,MAP(u,LAMBDA(x,COUNTIF(t,x))),s,SORT(HSTACK(u,c),2,FALSE),TEXTJOIN(CHAR(10),TRUE,BYROW(s,LAMBDA(r,INDEX(r,1,1)&amp;"": ""&amp;INDEX(r,1,2)&amp;"" b"&amp;"ài"")))),"""")"),"Đầu tư, CCTG, trái phiếu, vàng: 11 bài
Tiết kiệm &amp; lãi suất tiền gửi: 8 bài
Tài khoản &amp; ngân hàng số: 4 bài
Doanh nghiệp (tài khoản, vay, tài chính): 2 bài
Ngoại tệ &amp; chuyển tiền quốc tế: 1 bài
Vay tiêu dùng &amp; tín chấp: 1 bài
Quản lý tài chính cá nhân: 1 "&amp;"bài
Thẻ ATM &amp; thẻ ghi nợ: 1 bài")</f>
        <v>Đầu tư, CCTG, trái phiếu, vàng: 11 bài
Tiết kiệm &amp; lãi suất tiền gửi: 8 bài
Tài khoản &amp; ngân hàng số: 4 bài
Doanh nghiệp (tài khoản, vay, tài chính): 2 bài
Ngoại tệ &amp; chuyển tiền quốc tế: 1 bài
Vay tiêu dùng &amp; tín chấp: 1 bài
Quản lý tài chính cá nhân: 1 bài
Thẻ ATM &amp; thẻ ghi nợ: 1 bài</v>
      </c>
      <c r="H46" s="33" t="str">
        <f>IFERROR(__xludf.DUMMYFUNCTION("TEXTJOIN(CHAR(10),TRUE,FILTER('Kế hoạch chèn link (mới)'!$D$3:$D$2213,'Kế hoạch chèn link (mới)'!$B$3:$B$2213=B46))"),"https://techcombank.com/thong-tin/blog/chung-chi-tien-gui-khac-gi-so-tiet-kiem
https://techcombank.com/thong-tin/blog/cach-tinh-loi-nhuan-chung-chi-tien-gui
https://techcombank.com/thong-tin/blog/tien-nhan-roi-nen-lam-gi
https://techcombank.com/thong-tin/"&amp;"blog/nguyen-tac-quan-ly-tai-chinh-ca-nhan
https://techcombank.com/thong-tin/blog/thanh-khoan-la-gi
https://techcombank.com/thong-tin/blog/tat-toan
https://techcombank.com/thong-tin/blog/dau-tu-quy-mo
https://techcombank.com/thong-tin/blog/dau-tu-tai-chinh"&amp;"-ca-nhan
https://techcombank.com/thong-tin/blog/mo-so-tiet-kiem-can-bao-nhieu-tien
https://techcombank.com/thong-tin/blog/6-chiec-lo-tai-chinh-ca-nhan
https://techcombank.com/thong-tin/blog/lam-phat-la-gi
https://techcombank.com/thong-tin/blog/cac-chung-c"&amp;"hi-quy-o-viet-nam
https://techcombank.com/thong-tin/blog/app-ngan-hang-uy-tin
https://techcombank.com/thong-tin/blog/gui-tiet-kiem-hang-thang
https://techcombank.com/thong-tin/blog/tat-toan-chung-chi-tien-gui
https://techcombank.com/thong-tin/blog/chung-c"&amp;"hi-tien-gui-co-duoc-bao-hiem-khong
https://techcombank.com/thong-tin/blog/co-nen-gui-chung-chi-tien-gui
https://techcombank.com/thong-tin/blog/lai-suat-chung-chi-tien-gui-cac-ngan-hang
https://techcombank.com/thong-tin/blog/ca-nhan-hoa
https://techcombank"&amp;".com/thong-tin/blog/tai-sao-gui-tiet-kiem-online-lai-suat-cao-hon
https://techcombank.com/thong-tin/blog/quan-ly-tai-chinh-cho-dan-van-phong
https://techcombank.com/thong-tin/blog/app-ngan-hang
https://techcombank.com/thong-tin/blog/gui-tiet-kiem-vang
htt"&amp;"ps://techcombank.com/thong-tin/blog/the-napas-la-gi
https://techcombank.com/thong-tin/blog/kinh-nghiem-gui-tiet-kiem-online
https://techcombank.com/thong-tin/blog/gui-tien-ngan-hang-co-an-toan-khong
https://techcombank.com/thong-tin/blog/nen-gui-tiet-kiem"&amp;"-thong-thuong-hay-tich-luy
https://techcombank.com/thong-tin/blog/gui-tiet-kiem-ngan-hang-van-la-lua-chon-an-toan-trong-thoi-ky-kinh-te-con-nhieu-bien-dong
https://techcombank.com/thong-tin/blog/dau-tu-trai-phieu-doanh-nghiep-dung-ham-lai-suat-cao")</f>
        <v>https://techcombank.com/thong-tin/blog/chung-chi-tien-gui-khac-gi-so-tiet-kiem
https://techcombank.com/thong-tin/blog/cach-tinh-loi-nhuan-chung-chi-tien-gui
https://techcombank.com/thong-tin/blog/tien-nhan-roi-nen-lam-gi
https://techcombank.com/thong-tin/blog/nguyen-tac-quan-ly-tai-chinh-ca-nhan
https://techcombank.com/thong-tin/blog/thanh-khoan-la-gi
https://techcombank.com/thong-tin/blog/tat-toan
https://techcombank.com/thong-tin/blog/dau-tu-quy-mo
https://techcombank.com/thong-tin/blog/dau-tu-tai-chinh-ca-nhan
https://techcombank.com/thong-tin/blog/mo-so-tiet-kiem-can-bao-nhieu-tien
https://techcombank.com/thong-tin/blog/6-chiec-lo-tai-chinh-ca-nhan
https://techcombank.com/thong-tin/blog/lam-phat-la-gi
https://techcombank.com/thong-tin/blog/cac-chung-chi-quy-o-viet-nam
https://techcombank.com/thong-tin/blog/app-ngan-hang-uy-tin
https://techcombank.com/thong-tin/blog/gui-tiet-kiem-hang-thang
https://techcombank.com/thong-tin/blog/tat-toan-chung-chi-tien-gui
https://techcombank.com/thong-tin/blog/chung-chi-tien-gui-co-duoc-bao-hiem-khong
https://techcombank.com/thong-tin/blog/co-nen-gui-chung-chi-tien-gui
https://techcombank.com/thong-tin/blog/lai-suat-chung-chi-tien-gui-cac-ngan-hang
https://techcombank.com/thong-tin/blog/ca-nhan-hoa
https://techcombank.com/thong-tin/blog/tai-sao-gui-tiet-kiem-online-lai-suat-cao-hon
https://techcombank.com/thong-tin/blog/quan-ly-tai-chinh-cho-dan-van-phong
https://techcombank.com/thong-tin/blog/app-ngan-hang
https://techcombank.com/thong-tin/blog/gui-tiet-kiem-vang
https://techcombank.com/thong-tin/blog/the-napas-la-gi
https://techcombank.com/thong-tin/blog/kinh-nghiem-gui-tiet-kiem-online
https://techcombank.com/thong-tin/blog/gui-tien-ngan-hang-co-an-toan-khong
https://techcombank.com/thong-tin/blog/nen-gui-tiet-kiem-thong-thuong-hay-tich-luy
https://techcombank.com/thong-tin/blog/gui-tiet-kiem-ngan-hang-van-la-lua-chon-an-toan-trong-thoi-ky-kinh-te-con-nhieu-bien-dong
https://techcombank.com/thong-tin/blog/dau-tu-trai-phieu-doanh-nghiep-dung-ham-lai-suat-cao</v>
      </c>
    </row>
    <row r="47">
      <c r="A47" s="26">
        <v>37.0</v>
      </c>
      <c r="B47" s="27" t="s">
        <v>961</v>
      </c>
      <c r="C47" s="28" t="s">
        <v>950</v>
      </c>
      <c r="D47" s="29">
        <v>30.0</v>
      </c>
      <c r="E47" s="30">
        <f>COUNTIF('Kế hoạch chèn link (mới)'!$B$3:$B$2213,B47)</f>
        <v>25</v>
      </c>
      <c r="F47" s="31">
        <f t="shared" si="1"/>
        <v>5</v>
      </c>
      <c r="G47" s="32" t="str">
        <f>IFERROR(__xludf.DUMMYFUNCTION("IFERROR(LET(t,FILTER('Kế hoạch chèn link (mới)'!$M$3:$M$2213,'Kế hoạch chèn link (mới)'!$B$3:$B$2213=B47),u,UNIQUE(t),c,MAP(u,LAMBDA(x,COUNTIF(t,x))),s,SORT(HSTACK(u,c),2,FALSE),TEXTJOIN(CHAR(10),TRUE,BYROW(s,LAMBDA(r,INDEX(r,1,1)&amp;"": ""&amp;INDEX(r,1,2)&amp;"" b"&amp;"ài"")))),"""")"),"Đầu tư, CCTG, trái phiếu, vàng: 13 bài
Tiết kiệm &amp; lãi suất tiền gửi: 5 bài
Doanh nghiệp (tài khoản, vay, tài chính): 4 bài
Ngoại tệ &amp; chuyển tiền quốc tế: 1 bài
Thẻ ATM &amp; thẻ ghi nợ: 1 bài
Ngân hàng xanh &amp; thương hiệu: 1 bài")</f>
        <v>Đầu tư, CCTG, trái phiếu, vàng: 13 bài
Tiết kiệm &amp; lãi suất tiền gửi: 5 bài
Doanh nghiệp (tài khoản, vay, tài chính): 4 bài
Ngoại tệ &amp; chuyển tiền quốc tế: 1 bài
Thẻ ATM &amp; thẻ ghi nợ: 1 bài
Ngân hàng xanh &amp; thương hiệu: 1 bài</v>
      </c>
      <c r="H47" s="33" t="str">
        <f>IFERROR(__xludf.DUMMYFUNCTION("TEXTJOIN(CHAR(10),TRUE,FILTER('Kế hoạch chèn link (mới)'!$D$3:$D$2213,'Kế hoạch chèn link (mới)'!$B$3:$B$2213=B47))"),"https://techcombank.com/thong-tin/blog/tat-toan-chung-chi-tien-gui
https://techcombank.com/thong-tin/blog/cach-tinh-loi-nhuan-chung-chi-tien-gui
https://techcombank.com/thong-tin/blog/chung-chi-tien-gui-co-duoc-rut-truoc-han
https://techcombank.com/thong-"&amp;"tin/blog/chung-chi-tien-gui-la-gi
https://techcombank.com/thong-tin/blog/chung-chi-tien-gui-co-phai-la-trai-phieu-khong
https://techcombank.com/thong-tin/blog/cach-quan-ly-tai-san
https://techcombank.com/thong-tin/blog/co-nen-gui-chung-chi-tien-gui
https:"&amp;"//techcombank.com/thong-tin/blog/chuyen-nhuong-chung-chi-tien-gui
https://techcombank.com/thong-tin/blog/quan-ly-tai-chinh-doanh-nghiep-nho
https://techcombank.com/thong-tin/blog/lai-suat-chung-chi-quy
https://techcombank.com/thong-tin/blog/quan-ly-tai-ch"&amp;"inh-doanh-nghiep-la-gi
https://techcombank.com/thong-tin/blog/tien-gui-co-ky-han
https://techcombank.com/thong-tin/blog/chung-chi-tien-gui-co-duoc-bao-hiem-khong
https://techcombank.com/thong-tin/blog/tien-nhan-roi-nen-lam-gi
https://techcombank.com/thong"&amp;"-tin/blog/nguyen-tac-quan-ly-tai-chinh-ca-nhan
https://techcombank.com/thong-tin/blog/thanh-khoan-la-gi
https://techcombank.com/thong-tin/blog/hoc-sinh-sinh-vien-nen-lam-the-ngan-hang-nao
https://techcombank.com/thong-tin/blog/dau-tu-trai-phieu-doanh-nghi"&amp;"ep-dung-ham-lai-suat-cao
https://techcombank.com/thong-tin/blog/so-tiet-kiem-ngan-hang
https://techcombank.com/thong-tin/blog/gui-tiet-kiem-theo-ngay
https://techcombank.com/thong-tin/blog/lai-kep-ngan-hang
https://techcombank.com/thong-tin/blog/chon-kenh"&amp;"-dau-tu-an-toan-trong-boi-canh-thi-truong-bien-dong
https://techcombank.com/thong-tin/blog/thi-truong-trai-phieu-co-hoi-dau-tu-trai-phieu-vang-du-lai-suat-thap
https://techcombank.com/thong-tin/blog/esg
https://techcombank.com/thong-tin/blog/tinh-thanh-kh"&amp;"oan-la-gi")</f>
        <v>https://techcombank.com/thong-tin/blog/tat-toan-chung-chi-tien-gui
https://techcombank.com/thong-tin/blog/cach-tinh-loi-nhuan-chung-chi-tien-gui
https://techcombank.com/thong-tin/blog/chung-chi-tien-gui-co-duoc-rut-truoc-han
https://techcombank.com/thong-tin/blog/chung-chi-tien-gui-la-gi
https://techcombank.com/thong-tin/blog/chung-chi-tien-gui-co-phai-la-trai-phieu-khong
https://techcombank.com/thong-tin/blog/cach-quan-ly-tai-san
https://techcombank.com/thong-tin/blog/co-nen-gui-chung-chi-tien-gui
https://techcombank.com/thong-tin/blog/chuyen-nhuong-chung-chi-tien-gui
https://techcombank.com/thong-tin/blog/quan-ly-tai-chinh-doanh-nghiep-nho
https://techcombank.com/thong-tin/blog/lai-suat-chung-chi-quy
https://techcombank.com/thong-tin/blog/quan-ly-tai-chinh-doanh-nghiep-la-gi
https://techcombank.com/thong-tin/blog/tien-gui-co-ky-han
https://techcombank.com/thong-tin/blog/chung-chi-tien-gui-co-duoc-bao-hiem-khong
https://techcombank.com/thong-tin/blog/tien-nhan-roi-nen-lam-gi
https://techcombank.com/thong-tin/blog/nguyen-tac-quan-ly-tai-chinh-ca-nhan
https://techcombank.com/thong-tin/blog/thanh-khoan-la-gi
https://techcombank.com/thong-tin/blog/hoc-sinh-sinh-vien-nen-lam-the-ngan-hang-nao
https://techcombank.com/thong-tin/blog/dau-tu-trai-phieu-doanh-nghiep-dung-ham-lai-suat-cao
https://techcombank.com/thong-tin/blog/so-tiet-kiem-ngan-hang
https://techcombank.com/thong-tin/blog/gui-tiet-kiem-theo-ngay
https://techcombank.com/thong-tin/blog/lai-kep-ngan-hang
https://techcombank.com/thong-tin/blog/chon-kenh-dau-tu-an-toan-trong-boi-canh-thi-truong-bien-dong
https://techcombank.com/thong-tin/blog/thi-truong-trai-phieu-co-hoi-dau-tu-trai-phieu-vang-du-lai-suat-thap
https://techcombank.com/thong-tin/blog/esg
https://techcombank.com/thong-tin/blog/tinh-thanh-khoan-la-gi</v>
      </c>
    </row>
    <row r="48">
      <c r="A48" s="26">
        <v>38.0</v>
      </c>
      <c r="B48" s="27" t="s">
        <v>732</v>
      </c>
      <c r="C48" s="28" t="s">
        <v>971</v>
      </c>
      <c r="D48" s="29">
        <v>30.0</v>
      </c>
      <c r="E48" s="30">
        <f>COUNTIF('Kế hoạch chèn link (mới)'!$B$3:$B$2213,B48)</f>
        <v>28</v>
      </c>
      <c r="F48" s="31">
        <f t="shared" si="1"/>
        <v>2</v>
      </c>
      <c r="G48" s="32" t="str">
        <f>IFERROR(__xludf.DUMMYFUNCTION("IFERROR(LET(t,FILTER('Kế hoạch chèn link (mới)'!$M$3:$M$2213,'Kế hoạch chèn link (mới)'!$B$3:$B$2213=B48),u,UNIQUE(t),c,MAP(u,LAMBDA(x,COUNTIF(t,x))),s,SORT(HSTACK(u,c),2,FALSE),TEXTJOIN(CHAR(10),TRUE,BYROW(s,LAMBDA(r,INDEX(r,1,1)&amp;"": ""&amp;INDEX(r,1,2)&amp;"" b"&amp;"ài"")))),"""")"),"Ngoại tệ &amp; chuyển tiền quốc tế: 25 bài
Thanh toán, chuyển khoản &amp; QR: 1 bài
Tài khoản &amp; ngân hàng số: 1 bài
Doanh nghiệp (tài khoản, vay, tài chính): 1 bài")</f>
        <v>Ngoại tệ &amp; chuyển tiền quốc tế: 25 bài
Thanh toán, chuyển khoản &amp; QR: 1 bài
Tài khoản &amp; ngân hàng số: 1 bài
Doanh nghiệp (tài khoản, vay, tài chính): 1 bài</v>
      </c>
      <c r="H48" s="33" t="str">
        <f>IFERROR(__xludf.DUMMYFUNCTION("TEXTJOIN(CHAR(10),TRUE,FILTER('Kế hoạch chèn link (mới)'!$D$3:$D$2213,'Kế hoạch chèn link (mới)'!$B$3:$B$2213=B48))"),"https://techcombank.com/thong-tin/blog/tien-trung-quoc
https://techcombank.com/thong-tin/blog/1000-te-bang-bao-nhieu-tien-viet
https://techcombank.com/thong-tin/blog/1-van-te-bang-bao-nhieu-tien-viet
https://techcombank.com/thong-tin/blog/ngoai-te-la-gi
h"&amp;"ttps://techcombank.com/thong-tin/blog/cach-nhan-tien-tu-nuoc-ngoai-ve-viet-nam
https://techcombank.com/thong-tin/blog/thanh-toan-khi-du-lich-trung-quoc
https://techcombank.com/thong-tin/blog/di-du-lich-nuoc-ngoai-can-chuan-bi-gi
https://techcombank.com/th"&amp;"ong-tin/blog/1-man-bang-bao-nhieu-tien-viet
https://techcombank.com/thong-tin/blog/han-muc-mua-ngoai-te-khi-di-du-lich
https://techcombank.com/thong-tin/blog/tai-khoan-ngan-hang-la-gi
https://techcombank.com/thong-tin/blog/phi-chuyen-doi-ngoai-te
https://"&amp;"techcombank.com/thong-tin/blog/1000-won-bang-bao-nhieu-tien-viet
https://techcombank.com/thong-tin/blog/tien-dai-loan
https://techcombank.com/thong-tin/blog/1-dong-do-la-my-bang-bao-nhieu-tien-viet-nam
https://techcombank.com/thong-tin/blog/1000-yen-bang-"&amp;"bao-nhieu-tien-viet
https://techcombank.com/thong-tin/blog/1-won-bang-bao-nhieu-tien-viet
https://techcombank.com/thong-tin/blog/1-do-uc-bang-bao-nhieu-tien-viet
https://techcombank.com/thong-tin/blog/1-cent-bang-bao-nhieu-tien-viet
https://techcombank.co"&amp;"m/thong-tin/blog/1-euro-bang-bao-nhieu-tien-viet
https://techcombank.com/thong-tin/blog/1-trieu-won-bang-bao-nhieu-tien-viet
https://techcombank.com/thong-tin/blog/thanh-toan-bang-the-quoc-te
https://techcombank.com/thong-tin/blog/quy-dinh-ve-mua-ban-ngoa"&amp;"i-te-cua-doanh-nghiep
https://techcombank.com/thong-tin/blog/ngoai-hoi-la-gi
https://techcombank.com/thong-tin/blog/ty-gia-cac-ngan-hang
https://techcombank.com/thong-tin/blog/ty-gia-la-gi
https://techcombank.com/thong-tin/blog/doi-tien-do-o-dau
https://t"&amp;"echcombank.com/thong-tin/blog/cach-tinh-ty-gia-ky-han
https://techcombank.com/thong-tin/blog/chuyen-tien-tro-cap-than-nhan-o-nuoc-ngoai")</f>
        <v>https://techcombank.com/thong-tin/blog/tien-trung-quoc
https://techcombank.com/thong-tin/blog/1000-te-bang-bao-nhieu-tien-viet
https://techcombank.com/thong-tin/blog/1-van-te-bang-bao-nhieu-tien-viet
https://techcombank.com/thong-tin/blog/ngoai-te-la-gi
https://techcombank.com/thong-tin/blog/cach-nhan-tien-tu-nuoc-ngoai-ve-viet-nam
https://techcombank.com/thong-tin/blog/thanh-toan-khi-du-lich-trung-quoc
https://techcombank.com/thong-tin/blog/di-du-lich-nuoc-ngoai-can-chuan-bi-gi
https://techcombank.com/thong-tin/blog/1-man-bang-bao-nhieu-tien-viet
https://techcombank.com/thong-tin/blog/han-muc-mua-ngoai-te-khi-di-du-lich
https://techcombank.com/thong-tin/blog/tai-khoan-ngan-hang-la-gi
https://techcombank.com/thong-tin/blog/phi-chuyen-doi-ngoai-te
https://techcombank.com/thong-tin/blog/1000-won-bang-bao-nhieu-tien-viet
https://techcombank.com/thong-tin/blog/tien-dai-loan
https://techcombank.com/thong-tin/blog/1-dong-do-la-my-bang-bao-nhieu-tien-viet-nam
https://techcombank.com/thong-tin/blog/1000-yen-bang-bao-nhieu-tien-viet
https://techcombank.com/thong-tin/blog/1-won-bang-bao-nhieu-tien-viet
https://techcombank.com/thong-tin/blog/1-do-uc-bang-bao-nhieu-tien-viet
https://techcombank.com/thong-tin/blog/1-cent-bang-bao-nhieu-tien-viet
https://techcombank.com/thong-tin/blog/1-euro-bang-bao-nhieu-tien-viet
https://techcombank.com/thong-tin/blog/1-trieu-won-bang-bao-nhieu-tien-viet
https://techcombank.com/thong-tin/blog/thanh-toan-bang-the-quoc-te
https://techcombank.com/thong-tin/blog/quy-dinh-ve-mua-ban-ngoai-te-cua-doanh-nghiep
https://techcombank.com/thong-tin/blog/ngoai-hoi-la-gi
https://techcombank.com/thong-tin/blog/ty-gia-cac-ngan-hang
https://techcombank.com/thong-tin/blog/ty-gia-la-gi
https://techcombank.com/thong-tin/blog/doi-tien-do-o-dau
https://techcombank.com/thong-tin/blog/cach-tinh-ty-gia-ky-han
https://techcombank.com/thong-tin/blog/chuyen-tien-tro-cap-than-nhan-o-nuoc-ngoai</v>
      </c>
    </row>
    <row r="49">
      <c r="A49" s="26">
        <v>39.0</v>
      </c>
      <c r="B49" s="27" t="s">
        <v>597</v>
      </c>
      <c r="C49" s="28" t="s">
        <v>971</v>
      </c>
      <c r="D49" s="29">
        <v>30.0</v>
      </c>
      <c r="E49" s="30">
        <f>COUNTIF('Kế hoạch chèn link (mới)'!$B$3:$B$2213,B49)</f>
        <v>29</v>
      </c>
      <c r="F49" s="31">
        <f t="shared" si="1"/>
        <v>1</v>
      </c>
      <c r="G49" s="32" t="str">
        <f>IFERROR(__xludf.DUMMYFUNCTION("IFERROR(LET(t,FILTER('Kế hoạch chèn link (mới)'!$M$3:$M$2213,'Kế hoạch chèn link (mới)'!$B$3:$B$2213=B49),u,UNIQUE(t),c,MAP(u,LAMBDA(x,COUNTIF(t,x))),s,SORT(HSTACK(u,c),2,FALSE),TEXTJOIN(CHAR(10),TRUE,BYROW(s,LAMBDA(r,INDEX(r,1,1)&amp;"": ""&amp;INDEX(r,1,2)&amp;"" b"&amp;"ài"")))),"""")"),"Ngoại tệ &amp; chuyển tiền quốc tế: 19 bài
Thị trường &amp; giá cả: 3 bài
Tiết kiệm &amp; lãi suất tiền gửi: 3 bài
Đầu tư, CCTG, trái phiếu, vàng: 2 bài
Thanh toán, chuyển khoản &amp; QR: 1 bài
Vay tiêu dùng &amp; tín chấp: 1 bài")</f>
        <v>Ngoại tệ &amp; chuyển tiền quốc tế: 19 bài
Thị trường &amp; giá cả: 3 bài
Tiết kiệm &amp; lãi suất tiền gửi: 3 bài
Đầu tư, CCTG, trái phiếu, vàng: 2 bài
Thanh toán, chuyển khoản &amp; QR: 1 bài
Vay tiêu dùng &amp; tín chấp: 1 bài</v>
      </c>
      <c r="H49" s="33" t="str">
        <f>IFERROR(__xludf.DUMMYFUNCTION("TEXTJOIN(CHAR(10),TRUE,FILTER('Kế hoạch chèn link (mới)'!$D$3:$D$2213,'Kế hoạch chèn link (mới)'!$B$3:$B$2213=B49))"),"https://techcombank.com/thong-tin/blog/xu-huong-ty-gia-usd
https://techcombank.com/thong-tin/blog/dieu-kien-mua-usd-tu-ngan-hang
https://techcombank.com/thong-tin/blog/1-cent-bang-bao-nhieu-tien-viet
https://techcombank.com/thong-tin/blog/chuyen-tien-tu-m"&amp;"y-ve-viet-nam
https://techcombank.com/thong-tin/blog/du-bao-gia-vang
https://techcombank.com/thong-tin/blog/vang-14k-gia-hom-nay
https://techcombank.com/thong-tin/blog/cach-tinh-gia-vang
https://techcombank.com/thong-tin/blog/gia-vang-16k-hom-nay
https://"&amp;"techcombank.com/thong-tin/blog/gui-tiet-kiem-usd
https://techcombank.com/thong-tin/blog/1-trieu-do-bang-bao-nhieu-tien-viet
https://techcombank.com/thong-tin/blog/lai-suat-gui-tiet-kiem-usd
https://techcombank.com/thong-tin/blog/100-riel-bang-bao-nhieu-ti"&amp;"en-viet-nam
https://techcombank.com/thong-tin/blog/tien-indonesia
https://techcombank.com/thong-tin/blog/gui-tien-du-hoc
https://techcombank.com/thong-tin/blog/tien-malaysia
https://techcombank.com/thong-tin/blog/1-chi-vang-bao-nhieu-tien
https://techcomb"&amp;"ank.com/thong-tin/blog/tien-lao
https://techcombank.com/thong-tin/blog/ty-gia-hoi-doai-la-gi
https://techcombank.com/thong-tin/blog/1-te-bang-bao-nhieu-tien-viet-nam
https://techcombank.com/thong-tin/blog/tien-trung-quoc
https://techcombank.com/thong-tin/"&amp;"blog/1-van-te-bang-bao-nhieu-tien-viet
https://techcombank.com/thong-tin/blog/tien-dai-loan
https://techcombank.com/thong-tin/blog/1-won-bang-bao-nhieu-tien-viet
https://techcombank.com/thong-tin/blog/chuyen-tien-di-uc
https://techcombank.com/thong-tin/bl"&amp;"og/tien-singapore
https://techcombank.com/thong-tin/blog/1000-won-bang-bao-nhieu-tien-viet
https://techcombank.com/thong-tin/blog/1000-te-bang-bao-nhieu-tien-viet
https://techcombank.com/thong-tin/blog/tien-nhat
https://techcombank.com/thong-tin/blog/vay-"&amp;"du-hoc")</f>
        <v>https://techcombank.com/thong-tin/blog/xu-huong-ty-gia-usd
https://techcombank.com/thong-tin/blog/dieu-kien-mua-usd-tu-ngan-hang
https://techcombank.com/thong-tin/blog/1-cent-bang-bao-nhieu-tien-viet
https://techcombank.com/thong-tin/blog/chuyen-tien-tu-my-ve-viet-nam
https://techcombank.com/thong-tin/blog/du-bao-gia-vang
https://techcombank.com/thong-tin/blog/vang-14k-gia-hom-nay
https://techcombank.com/thong-tin/blog/cach-tinh-gia-vang
https://techcombank.com/thong-tin/blog/gia-vang-16k-hom-nay
https://techcombank.com/thong-tin/blog/gui-tiet-kiem-usd
https://techcombank.com/thong-tin/blog/1-trieu-do-bang-bao-nhieu-tien-viet
https://techcombank.com/thong-tin/blog/lai-suat-gui-tiet-kiem-usd
https://techcombank.com/thong-tin/blog/100-riel-bang-bao-nhieu-tien-viet-nam
https://techcombank.com/thong-tin/blog/tien-indonesia
https://techcombank.com/thong-tin/blog/gui-tien-du-hoc
https://techcombank.com/thong-tin/blog/tien-malaysia
https://techcombank.com/thong-tin/blog/1-chi-vang-bao-nhieu-tien
https://techcombank.com/thong-tin/blog/tien-lao
https://techcombank.com/thong-tin/blog/ty-gia-hoi-doai-la-gi
https://techcombank.com/thong-tin/blog/1-te-bang-bao-nhieu-tien-viet-nam
https://techcombank.com/thong-tin/blog/tien-trung-quoc
https://techcombank.com/thong-tin/blog/1-van-te-bang-bao-nhieu-tien-viet
https://techcombank.com/thong-tin/blog/tien-dai-loan
https://techcombank.com/thong-tin/blog/1-won-bang-bao-nhieu-tien-viet
https://techcombank.com/thong-tin/blog/chuyen-tien-di-uc
https://techcombank.com/thong-tin/blog/tien-singapore
https://techcombank.com/thong-tin/blog/1000-won-bang-bao-nhieu-tien-viet
https://techcombank.com/thong-tin/blog/1000-te-bang-bao-nhieu-tien-viet
https://techcombank.com/thong-tin/blog/tien-nhat
https://techcombank.com/thong-tin/blog/vay-du-hoc</v>
      </c>
    </row>
    <row r="50">
      <c r="A50" s="26">
        <v>40.0</v>
      </c>
      <c r="B50" s="27" t="s">
        <v>979</v>
      </c>
      <c r="C50" s="28" t="s">
        <v>971</v>
      </c>
      <c r="D50" s="29">
        <v>30.0</v>
      </c>
      <c r="E50" s="30">
        <f>COUNTIF('Kế hoạch chèn link (mới)'!$B$3:$B$2213,B50)</f>
        <v>18</v>
      </c>
      <c r="F50" s="31">
        <f t="shared" si="1"/>
        <v>12</v>
      </c>
      <c r="G50" s="32" t="str">
        <f>IFERROR(__xludf.DUMMYFUNCTION("IFERROR(LET(t,FILTER('Kế hoạch chèn link (mới)'!$M$3:$M$2213,'Kế hoạch chèn link (mới)'!$B$3:$B$2213=B50),u,UNIQUE(t),c,MAP(u,LAMBDA(x,COUNTIF(t,x))),s,SORT(HSTACK(u,c),2,FALSE),TEXTJOIN(CHAR(10),TRUE,BYROW(s,LAMBDA(r,INDEX(r,1,1)&amp;"": ""&amp;INDEX(r,1,2)&amp;"" b"&amp;"ài"")))),"""")"),"Ngoại tệ &amp; chuyển tiền quốc tế: 15 bài
Tiết kiệm &amp; lãi suất tiền gửi: 2 bài
Thanh toán, chuyển khoản &amp; QR: 1 bài")</f>
        <v>Ngoại tệ &amp; chuyển tiền quốc tế: 15 bài
Tiết kiệm &amp; lãi suất tiền gửi: 2 bài
Thanh toán, chuyển khoản &amp; QR: 1 bài</v>
      </c>
      <c r="H50" s="33" t="str">
        <f>IFERROR(__xludf.DUMMYFUNCTION("TEXTJOIN(CHAR(10),TRUE,FILTER('Kế hoạch chèn link (mới)'!$D$3:$D$2213,'Kế hoạch chèn link (mới)'!$B$3:$B$2213=B50))"),"https://techcombank.com/thong-tin/blog/1-man-bang-bao-nhieu-tien-viet
https://techcombank.com/thong-tin/blog/1000-yen-bang-bao-nhieu-tien-viet
https://techcombank.com/thong-tin/blog/chuyen-tien-tu-nhat-ve-viet-nam
https://techcombank.com/thong-tin/blog/th"&amp;"anh-toan-khi-du-lich-nhat-ban
https://techcombank.com/thong-tin/blog/han-muc-mua-ngoai-te-khi-di-du-lich
https://techcombank.com/thong-tin/blog/cach-nhan-tien-tu-nuoc-ngoai-ve-viet-nam
https://techcombank.com/thong-tin/blog/cach-tiet-kiem-tien-cua-nguoi-n"&amp;"hat
https://techcombank.com/thong-tin/blog/1-dong-do-la-my-bang-bao-nhieu-tien-viet-nam
https://techcombank.com/thong-tin/blog/1-te-bang-bao-nhieu-tien-viet-nam
https://techcombank.com/thong-tin/blog/tien-trung-quoc
https://techcombank.com/thong-tin/blog/"&amp;"tien-singapore
https://techcombank.com/thong-tin/blog/1000-won-bang-bao-nhieu-tien-viet
https://techcombank.com/thong-tin/blog/1-van-te-bang-bao-nhieu-tien-viet
https://techcombank.com/thong-tin/blog/1000-te-bang-bao-nhieu-tien-viet
https://techcombank.co"&amp;"m/thong-tin/blog/100-riel-bang-bao-nhieu-tien-viet-nam
https://techcombank.com/thong-tin/blog/tien-dai-loan
https://techcombank.com/thong-tin/blog/1-won-bang-bao-nhieu-tien-viet
https://techcombank.com/thong-tin/blog/1-do-uc-bang-bao-nhieu-tien-viet")</f>
        <v>https://techcombank.com/thong-tin/blog/1-man-bang-bao-nhieu-tien-viet
https://techcombank.com/thong-tin/blog/1000-yen-bang-bao-nhieu-tien-viet
https://techcombank.com/thong-tin/blog/chuyen-tien-tu-nhat-ve-viet-nam
https://techcombank.com/thong-tin/blog/thanh-toan-khi-du-lich-nhat-ban
https://techcombank.com/thong-tin/blog/han-muc-mua-ngoai-te-khi-di-du-lich
https://techcombank.com/thong-tin/blog/cach-nhan-tien-tu-nuoc-ngoai-ve-viet-nam
https://techcombank.com/thong-tin/blog/cach-tiet-kiem-tien-cua-nguoi-nhat
https://techcombank.com/thong-tin/blog/1-dong-do-la-my-bang-bao-nhieu-tien-viet-nam
https://techcombank.com/thong-tin/blog/1-te-bang-bao-nhieu-tien-viet-nam
https://techcombank.com/thong-tin/blog/tien-trung-quoc
https://techcombank.com/thong-tin/blog/tien-singapore
https://techcombank.com/thong-tin/blog/1000-won-bang-bao-nhieu-tien-viet
https://techcombank.com/thong-tin/blog/1-van-te-bang-bao-nhieu-tien-viet
https://techcombank.com/thong-tin/blog/1000-te-bang-bao-nhieu-tien-viet
https://techcombank.com/thong-tin/blog/100-riel-bang-bao-nhieu-tien-viet-nam
https://techcombank.com/thong-tin/blog/tien-dai-loan
https://techcombank.com/thong-tin/blog/1-won-bang-bao-nhieu-tien-viet
https://techcombank.com/thong-tin/blog/1-do-uc-bang-bao-nhieu-tien-viet</v>
      </c>
    </row>
    <row r="51">
      <c r="A51" s="26">
        <v>41.0</v>
      </c>
      <c r="B51" s="27" t="s">
        <v>841</v>
      </c>
      <c r="C51" s="28" t="s">
        <v>971</v>
      </c>
      <c r="D51" s="29">
        <v>30.0</v>
      </c>
      <c r="E51" s="30">
        <f>COUNTIF('Kế hoạch chèn link (mới)'!$B$3:$B$2213,B51)</f>
        <v>18</v>
      </c>
      <c r="F51" s="31">
        <f t="shared" si="1"/>
        <v>12</v>
      </c>
      <c r="G51" s="32" t="str">
        <f>IFERROR(__xludf.DUMMYFUNCTION("IFERROR(LET(t,FILTER('Kế hoạch chèn link (mới)'!$M$3:$M$2213,'Kế hoạch chèn link (mới)'!$B$3:$B$2213=B51),u,UNIQUE(t),c,MAP(u,LAMBDA(x,COUNTIF(t,x))),s,SORT(HSTACK(u,c),2,FALSE),TEXTJOIN(CHAR(10),TRUE,BYROW(s,LAMBDA(r,INDEX(r,1,1)&amp;"": ""&amp;INDEX(r,1,2)&amp;"" b"&amp;"ài"")))),"""")"),"Ngoại tệ &amp; chuyển tiền quốc tế: 16 bài
Thanh toán, chuyển khoản &amp; QR: 1 bài
Tiết kiệm &amp; lãi suất tiền gửi: 1 bài")</f>
        <v>Ngoại tệ &amp; chuyển tiền quốc tế: 16 bài
Thanh toán, chuyển khoản &amp; QR: 1 bài
Tiết kiệm &amp; lãi suất tiền gửi: 1 bài</v>
      </c>
      <c r="H51" s="33" t="str">
        <f>IFERROR(__xludf.DUMMYFUNCTION("TEXTJOIN(CHAR(10),TRUE,FILTER('Kế hoạch chèn link (mới)'!$D$3:$D$2213,'Kế hoạch chèn link (mới)'!$B$3:$B$2213=B51))"),"https://techcombank.com/thong-tin/blog/tien-nhat
https://techcombank.com/thong-tin/blog/chuyen-tien-tu-nhat-ve-viet-nam
https://techcombank.com/thong-tin/blog/thanh-toan-khi-du-lich-nhat-ban
https://techcombank.com/thong-tin/blog/1-man-bang-bao-nhieu-tien"&amp;"-viet
https://techcombank.com/thong-tin/blog/1000-yen-bang-bao-nhieu-tien-viet
https://techcombank.com/thong-tin/blog/1-dong-do-la-my-bang-bao-nhieu-tien-viet-nam
https://techcombank.com/thong-tin/blog/1-te-bang-bao-nhieu-tien-viet-nam
https://techcombank"&amp;".com/thong-tin/blog/1-van-tien-dai-loan-bang-bao-nhieu-tien-viet
https://techcombank.com/thong-tin/blog/1-van-te-bang-bao-nhieu-tien-viet
https://techcombank.com/thong-tin/blog/1-trieu-do-bang-bao-nhieu-tien-viet
https://techcombank.com/thong-tin/blog/tie"&amp;"n-dai-loan
https://techcombank.com/thong-tin/blog/1-cent-bang-bao-nhieu-tien-viet
https://techcombank.com/thong-tin/blog/1-won-bang-bao-nhieu-tien-viet
https://techcombank.com/thong-tin/blog/1-do-uc-bang-bao-nhieu-tien-viet
https://techcombank.com/thong-t"&amp;"in/blog/doi-tien-do-o-dau
https://techcombank.com/thong-tin/blog/1000-won-bang-bao-nhieu-tien-viet
https://techcombank.com/thong-tin/blog/100-riel-bang-bao-nhieu-tien-viet-nam
https://techcombank.com/thong-tin/blog/tien-thai-lan")</f>
        <v>https://techcombank.com/thong-tin/blog/tien-nhat
https://techcombank.com/thong-tin/blog/chuyen-tien-tu-nhat-ve-viet-nam
https://techcombank.com/thong-tin/blog/thanh-toan-khi-du-lich-nhat-ban
https://techcombank.com/thong-tin/blog/1-man-bang-bao-nhieu-tien-viet
https://techcombank.com/thong-tin/blog/1000-yen-bang-bao-nhieu-tien-viet
https://techcombank.com/thong-tin/blog/1-dong-do-la-my-bang-bao-nhieu-tien-viet-nam
https://techcombank.com/thong-tin/blog/1-te-bang-bao-nhieu-tien-viet-nam
https://techcombank.com/thong-tin/blog/1-van-tien-dai-loan-bang-bao-nhieu-tien-viet
https://techcombank.com/thong-tin/blog/1-van-te-bang-bao-nhieu-tien-viet
https://techcombank.com/thong-tin/blog/1-trieu-do-bang-bao-nhieu-tien-viet
https://techcombank.com/thong-tin/blog/tien-dai-loan
https://techcombank.com/thong-tin/blog/1-cent-bang-bao-nhieu-tien-viet
https://techcombank.com/thong-tin/blog/1-won-bang-bao-nhieu-tien-viet
https://techcombank.com/thong-tin/blog/1-do-uc-bang-bao-nhieu-tien-viet
https://techcombank.com/thong-tin/blog/doi-tien-do-o-dau
https://techcombank.com/thong-tin/blog/1000-won-bang-bao-nhieu-tien-viet
https://techcombank.com/thong-tin/blog/100-riel-bang-bao-nhieu-tien-viet-nam
https://techcombank.com/thong-tin/blog/tien-thai-lan</v>
      </c>
    </row>
    <row r="52">
      <c r="A52" s="26">
        <v>42.0</v>
      </c>
      <c r="B52" s="27" t="s">
        <v>830</v>
      </c>
      <c r="C52" s="28" t="s">
        <v>971</v>
      </c>
      <c r="D52" s="29">
        <v>30.0</v>
      </c>
      <c r="E52" s="30">
        <f>COUNTIF('Kế hoạch chèn link (mới)'!$B$3:$B$2213,B52)</f>
        <v>16</v>
      </c>
      <c r="F52" s="31">
        <f t="shared" si="1"/>
        <v>14</v>
      </c>
      <c r="G52" s="32" t="str">
        <f>IFERROR(__xludf.DUMMYFUNCTION("IFERROR(LET(t,FILTER('Kế hoạch chèn link (mới)'!$M$3:$M$2213,'Kế hoạch chèn link (mới)'!$B$3:$B$2213=B52),u,UNIQUE(t),c,MAP(u,LAMBDA(x,COUNTIF(t,x))),s,SORT(HSTACK(u,c),2,FALSE),TEXTJOIN(CHAR(10),TRUE,BYROW(s,LAMBDA(r,INDEX(r,1,1)&amp;"": ""&amp;INDEX(r,1,2)&amp;"" b"&amp;"ài"")))),"""")"),"Ngoại tệ &amp; chuyển tiền quốc tế: 14 bài
Thanh toán, chuyển khoản &amp; QR: 1 bài
Tiết kiệm &amp; lãi suất tiền gửi: 1 bài")</f>
        <v>Ngoại tệ &amp; chuyển tiền quốc tế: 14 bài
Thanh toán, chuyển khoản &amp; QR: 1 bài
Tiết kiệm &amp; lãi suất tiền gửi: 1 bài</v>
      </c>
      <c r="H52" s="33" t="str">
        <f>IFERROR(__xludf.DUMMYFUNCTION("TEXTJOIN(CHAR(10),TRUE,FILTER('Kế hoạch chèn link (mới)'!$D$3:$D$2213,'Kế hoạch chèn link (mới)'!$B$3:$B$2213=B52))"),"https://techcombank.com/thong-tin/blog/1-trieu-won-bang-bao-nhieu-tien-viet
https://techcombank.com/thong-tin/blog/thanh-toan-khi-du-lich-han-quoc
https://techcombank.com/thong-tin/blog/chuyen-tien-tu-han-sang-viet-nam
https://techcombank.com/thong-tin/bl"&amp;"og/1000-won-bang-bao-nhieu-tien-viet
https://techcombank.com/thong-tin/blog/han-muc-mua-ngoai-te-khi-di-du-lich
https://techcombank.com/thong-tin/blog/thanh-toan-bang-the-quoc-te
https://techcombank.com/thong-tin/blog/1-dong-do-la-my-bang-bao-nhieu-tien-v"&amp;"iet-nam
https://techcombank.com/thong-tin/blog/1-te-bang-bao-nhieu-tien-viet-nam
https://techcombank.com/thong-tin/blog/1-cent-bang-bao-nhieu-tien-viet
https://techcombank.com/thong-tin/blog/1-van-tien-dai-loan-bang-bao-nhieu-tien-viet
https://techcombank"&amp;".com/thong-tin/blog/1-man-bang-bao-nhieu-tien-viet
https://techcombank.com/thong-tin/blog/ty-gia-cac-ngan-hang
https://techcombank.com/thong-tin/blog/doi-tien-do-o-dau
https://techcombank.com/thong-tin/blog/100-riel-bang-bao-nhieu-tien-viet-nam
https://te"&amp;"chcombank.com/thong-tin/blog/dieu-kien-mua-usd-tu-ngan-hang
https://techcombank.com/thong-tin/blog/chuyen-tien-dinh-cu")</f>
        <v>https://techcombank.com/thong-tin/blog/1-trieu-won-bang-bao-nhieu-tien-viet
https://techcombank.com/thong-tin/blog/thanh-toan-khi-du-lich-han-quoc
https://techcombank.com/thong-tin/blog/chuyen-tien-tu-han-sang-viet-nam
https://techcombank.com/thong-tin/blog/1000-won-bang-bao-nhieu-tien-viet
https://techcombank.com/thong-tin/blog/han-muc-mua-ngoai-te-khi-di-du-lich
https://techcombank.com/thong-tin/blog/thanh-toan-bang-the-quoc-te
https://techcombank.com/thong-tin/blog/1-dong-do-la-my-bang-bao-nhieu-tien-viet-nam
https://techcombank.com/thong-tin/blog/1-te-bang-bao-nhieu-tien-viet-nam
https://techcombank.com/thong-tin/blog/1-cent-bang-bao-nhieu-tien-viet
https://techcombank.com/thong-tin/blog/1-van-tien-dai-loan-bang-bao-nhieu-tien-viet
https://techcombank.com/thong-tin/blog/1-man-bang-bao-nhieu-tien-viet
https://techcombank.com/thong-tin/blog/ty-gia-cac-ngan-hang
https://techcombank.com/thong-tin/blog/doi-tien-do-o-dau
https://techcombank.com/thong-tin/blog/100-riel-bang-bao-nhieu-tien-viet-nam
https://techcombank.com/thong-tin/blog/dieu-kien-mua-usd-tu-ngan-hang
https://techcombank.com/thong-tin/blog/chuyen-tien-dinh-cu</v>
      </c>
    </row>
    <row r="53">
      <c r="A53" s="26">
        <v>43.0</v>
      </c>
      <c r="B53" s="27" t="s">
        <v>1002</v>
      </c>
      <c r="C53" s="28" t="s">
        <v>971</v>
      </c>
      <c r="D53" s="29">
        <v>30.0</v>
      </c>
      <c r="E53" s="30">
        <f>COUNTIF('Kế hoạch chèn link (mới)'!$B$3:$B$2213,B53)</f>
        <v>11</v>
      </c>
      <c r="F53" s="31">
        <f t="shared" si="1"/>
        <v>19</v>
      </c>
      <c r="G53" s="32" t="str">
        <f>IFERROR(__xludf.DUMMYFUNCTION("IFERROR(LET(t,FILTER('Kế hoạch chèn link (mới)'!$M$3:$M$2213,'Kế hoạch chèn link (mới)'!$B$3:$B$2213=B53),u,UNIQUE(t),c,MAP(u,LAMBDA(x,COUNTIF(t,x))),s,SORT(HSTACK(u,c),2,FALSE),TEXTJOIN(CHAR(10),TRUE,BYROW(s,LAMBDA(r,INDEX(r,1,1)&amp;"": ""&amp;INDEX(r,1,2)&amp;"" b"&amp;"ài"")))),"""")"),"Ngoại tệ &amp; chuyển tiền quốc tế: 11 bài")</f>
        <v>Ngoại tệ &amp; chuyển tiền quốc tế: 11 bài</v>
      </c>
      <c r="H53" s="33" t="str">
        <f>IFERROR(__xludf.DUMMYFUNCTION("TEXTJOIN(CHAR(10),TRUE,FILTER('Kế hoạch chèn link (mới)'!$D$3:$D$2213,'Kế hoạch chèn link (mới)'!$B$3:$B$2213=B53))"),"https://techcombank.com/thong-tin/blog/1-van-tien-dai-loan-bang-bao-nhieu-tien-viet
https://techcombank.com/thong-tin/blog/ngoai-te-la-gi
https://techcombank.com/thong-tin/blog/ty-gia-cac-ngan-hang
https://techcombank.com/thong-tin/blog/han-muc-mua-ngoai-"&amp;"te-khi-di-du-lich
https://techcombank.com/thong-tin/blog/doi-tien-do-o-dau
https://techcombank.com/thong-tin/blog/100-riel-bang-bao-nhieu-tien-viet-nam
https://techcombank.com/thong-tin/blog/dieu-kien-mua-usd-tu-ngan-hang
https://techcombank.com/thong-tin"&amp;"/blog/gui-tien-du-hoc
https://techcombank.com/thong-tin/blog/thu-tuc-chuyen-tien-ra-nuoc-ngoai
https://techcombank.com/thong-tin/blog/gui-tien-sang-nuoc-ngoai
https://techcombank.com/thong-tin/blog/cach-nhan-tien-tu-nuoc-ngoai-ve-viet-nam")</f>
        <v>https://techcombank.com/thong-tin/blog/1-van-tien-dai-loan-bang-bao-nhieu-tien-viet
https://techcombank.com/thong-tin/blog/ngoai-te-la-gi
https://techcombank.com/thong-tin/blog/ty-gia-cac-ngan-hang
https://techcombank.com/thong-tin/blog/han-muc-mua-ngoai-te-khi-di-du-lich
https://techcombank.com/thong-tin/blog/doi-tien-do-o-dau
https://techcombank.com/thong-tin/blog/100-riel-bang-bao-nhieu-tien-viet-nam
https://techcombank.com/thong-tin/blog/dieu-kien-mua-usd-tu-ngan-hang
https://techcombank.com/thong-tin/blog/gui-tien-du-hoc
https://techcombank.com/thong-tin/blog/thu-tuc-chuyen-tien-ra-nuoc-ngoai
https://techcombank.com/thong-tin/blog/gui-tien-sang-nuoc-ngoai
https://techcombank.com/thong-tin/blog/cach-nhan-tien-tu-nuoc-ngoai-ve-viet-nam</v>
      </c>
    </row>
    <row r="54">
      <c r="A54" s="26">
        <v>44.0</v>
      </c>
      <c r="B54" s="27" t="s">
        <v>641</v>
      </c>
      <c r="C54" s="28" t="s">
        <v>971</v>
      </c>
      <c r="D54" s="29">
        <v>30.0</v>
      </c>
      <c r="E54" s="30">
        <f>COUNTIF('Kế hoạch chèn link (mới)'!$B$3:$B$2213,B54)</f>
        <v>8</v>
      </c>
      <c r="F54" s="31">
        <f t="shared" si="1"/>
        <v>22</v>
      </c>
      <c r="G54" s="32" t="str">
        <f>IFERROR(__xludf.DUMMYFUNCTION("IFERROR(LET(t,FILTER('Kế hoạch chèn link (mới)'!$M$3:$M$2213,'Kế hoạch chèn link (mới)'!$B$3:$B$2213=B54),u,UNIQUE(t),c,MAP(u,LAMBDA(x,COUNTIF(t,x))),s,SORT(HSTACK(u,c),2,FALSE),TEXTJOIN(CHAR(10),TRUE,BYROW(s,LAMBDA(r,INDEX(r,1,1)&amp;"": ""&amp;INDEX(r,1,2)&amp;"" b"&amp;"ài"")))),"""")"),"Ngoại tệ &amp; chuyển tiền quốc tế: 7 bài
Thanh toán, chuyển khoản &amp; QR: 1 bài")</f>
        <v>Ngoại tệ &amp; chuyển tiền quốc tế: 7 bài
Thanh toán, chuyển khoản &amp; QR: 1 bài</v>
      </c>
      <c r="H54" s="33" t="str">
        <f>IFERROR(__xludf.DUMMYFUNCTION("TEXTJOIN(CHAR(10),TRUE,FILTER('Kế hoạch chèn link (mới)'!$D$3:$D$2213,'Kế hoạch chèn link (mới)'!$B$3:$B$2213=B54))"),"https://techcombank.com/thong-tin/blog/1-yen-bang-bao-nhieu-tien-viet-nam
https://techcombank.com/thong-tin/blog/chuyen-tien-tu-nhat-ve-viet-nam
https://techcombank.com/thong-tin/blog/1000-yen-bang-bao-nhieu-tien-viet
https://techcombank.com/thong-tin/blo"&amp;"g/tien-nhat
https://techcombank.com/thong-tin/blog/1-van-tien-dai-loan-bang-bao-nhieu-tien-viet
https://techcombank.com/thong-tin/blog/1-euro-bang-bao-nhieu-tien-viet
https://techcombank.com/thong-tin/blog/1-trieu-won-bang-bao-nhieu-tien-viet
https://tech"&amp;"combank.com/thong-tin/blog/1-cent-bang-bao-nhieu-tien-viet")</f>
        <v>https://techcombank.com/thong-tin/blog/1-yen-bang-bao-nhieu-tien-viet-nam
https://techcombank.com/thong-tin/blog/chuyen-tien-tu-nhat-ve-viet-nam
https://techcombank.com/thong-tin/blog/1000-yen-bang-bao-nhieu-tien-viet
https://techcombank.com/thong-tin/blog/tien-nhat
https://techcombank.com/thong-tin/blog/1-van-tien-dai-loan-bang-bao-nhieu-tien-viet
https://techcombank.com/thong-tin/blog/1-euro-bang-bao-nhieu-tien-viet
https://techcombank.com/thong-tin/blog/1-trieu-won-bang-bao-nhieu-tien-viet
https://techcombank.com/thong-tin/blog/1-cent-bang-bao-nhieu-tien-viet</v>
      </c>
    </row>
    <row r="55">
      <c r="A55" s="26">
        <v>45.0</v>
      </c>
      <c r="B55" s="27" t="s">
        <v>1020</v>
      </c>
      <c r="C55" s="28" t="s">
        <v>971</v>
      </c>
      <c r="D55" s="29">
        <v>30.0</v>
      </c>
      <c r="E55" s="30">
        <f>COUNTIF('Kế hoạch chèn link (mới)'!$B$3:$B$2213,B55)</f>
        <v>7</v>
      </c>
      <c r="F55" s="31">
        <f t="shared" si="1"/>
        <v>23</v>
      </c>
      <c r="G55" s="32" t="str">
        <f>IFERROR(__xludf.DUMMYFUNCTION("IFERROR(LET(t,FILTER('Kế hoạch chèn link (mới)'!$M$3:$M$2213,'Kế hoạch chèn link (mới)'!$B$3:$B$2213=B55),u,UNIQUE(t),c,MAP(u,LAMBDA(x,COUNTIF(t,x))),s,SORT(HSTACK(u,c),2,FALSE),TEXTJOIN(CHAR(10),TRUE,BYROW(s,LAMBDA(r,INDEX(r,1,1)&amp;"": ""&amp;INDEX(r,1,2)&amp;"" b"&amp;"ài"")))),"""")"),"Thanh toán, chuyển khoản &amp; QR: 3 bài
Thẻ tín dụng: 2 bài
Ngoại tệ &amp; chuyển tiền quốc tế: 1 bài
Thẻ ATM &amp; thẻ ghi nợ: 1 bài")</f>
        <v>Thanh toán, chuyển khoản &amp; QR: 3 bài
Thẻ tín dụng: 2 bài
Ngoại tệ &amp; chuyển tiền quốc tế: 1 bài
Thẻ ATM &amp; thẻ ghi nợ: 1 bài</v>
      </c>
      <c r="H55" s="33" t="str">
        <f>IFERROR(__xludf.DUMMYFUNCTION("TEXTJOIN(CHAR(10),TRUE,FILTER('Kế hoạch chèn link (mới)'!$D$3:$D$2213,'Kế hoạch chèn link (mới)'!$B$3:$B$2213=B55))"),"https://techcombank.com/thong-tin/blog/thanh-toan-khi-du-lich-thai-lan
https://techcombank.com/thong-tin/blog/thanh-toan-qr-thai-lan
https://techcombank.com/thong-tin/blog/gui-tien-sang-nuoc-ngoai
https://techcombank.com/thong-tin/blog/the-tin-dung-noi-di"&amp;"a
https://techcombank.com/thong-tin/blog/cach-thanh-toan-quang-cao-tiktok
https://techcombank.com/thong-tin/blog/atm-la-gi
https://techcombank.com/thong-tin/blog/the-debit")</f>
        <v>https://techcombank.com/thong-tin/blog/thanh-toan-khi-du-lich-thai-lan
https://techcombank.com/thong-tin/blog/thanh-toan-qr-thai-lan
https://techcombank.com/thong-tin/blog/gui-tien-sang-nuoc-ngoai
https://techcombank.com/thong-tin/blog/the-tin-dung-noi-dia
https://techcombank.com/thong-tin/blog/cach-thanh-toan-quang-cao-tiktok
https://techcombank.com/thong-tin/blog/atm-la-gi
https://techcombank.com/thong-tin/blog/the-debit</v>
      </c>
    </row>
    <row r="56">
      <c r="A56" s="26">
        <v>46.0</v>
      </c>
      <c r="B56" s="27" t="s">
        <v>757</v>
      </c>
      <c r="C56" s="28" t="s">
        <v>971</v>
      </c>
      <c r="D56" s="29">
        <v>30.0</v>
      </c>
      <c r="E56" s="30">
        <f>COUNTIF('Kế hoạch chèn link (mới)'!$B$3:$B$2213,B56)</f>
        <v>21</v>
      </c>
      <c r="F56" s="31">
        <f t="shared" si="1"/>
        <v>9</v>
      </c>
      <c r="G56" s="32" t="str">
        <f>IFERROR(__xludf.DUMMYFUNCTION("IFERROR(LET(t,FILTER('Kế hoạch chèn link (mới)'!$M$3:$M$2213,'Kế hoạch chèn link (mới)'!$B$3:$B$2213=B56),u,UNIQUE(t),c,MAP(u,LAMBDA(x,COUNTIF(t,x))),s,SORT(HSTACK(u,c),2,FALSE),TEXTJOIN(CHAR(10),TRUE,BYROW(s,LAMBDA(r,INDEX(r,1,1)&amp;"": ""&amp;INDEX(r,1,2)&amp;"" b"&amp;"ài"")))),"""")"),"Ngoại tệ &amp; chuyển tiền quốc tế: 17 bài
Thị trường &amp; giá cả: 3 bài
Thanh toán, chuyển khoản &amp; QR: 1 bài")</f>
        <v>Ngoại tệ &amp; chuyển tiền quốc tế: 17 bài
Thị trường &amp; giá cả: 3 bài
Thanh toán, chuyển khoản &amp; QR: 1 bài</v>
      </c>
      <c r="H56" s="33" t="str">
        <f>IFERROR(__xludf.DUMMYFUNCTION("TEXTJOIN(CHAR(10),TRUE,FILTER('Kế hoạch chèn link (mới)'!$D$3:$D$2213,'Kế hoạch chèn link (mới)'!$B$3:$B$2213=B56))"),"https://techcombank.com/thong-tin/blog/1-dong-do-la-my-bang-bao-nhieu-tien-viet-nam
https://techcombank.com/thong-tin/blog/doi-tien-do-o-dau
https://techcombank.com/thong-tin/blog/ngoai-te-la-gi
https://techcombank.com/thong-tin/blog/chuyen-tien-tu-my-ve-"&amp;"viet-nam
https://techcombank.com/thong-tin/blog/1-trieu-won-bang-bao-nhieu-tien-viet
https://techcombank.com/thong-tin/blog/1-yen-bang-bao-nhieu-tien-viet-nam
https://techcombank.com/thong-tin/blog/1-van-tien-dai-loan-bang-bao-nhieu-tien-viet
https://tech"&amp;"combank.com/thong-tin/blog/1-euro-bang-bao-nhieu-tien-viet
https://techcombank.com/thong-tin/blog/1-do-uc-bang-bao-nhieu-tien-viet
https://techcombank.com/thong-tin/blog/vnd-to-myr
https://techcombank.com/thong-tin/blog/dinar-kuwait
https://techcombank.co"&amp;"m/thong-tin/blog/ngoai-hoi-la-gi
https://techcombank.com/thong-tin/blog/ty-gia-hoi-doai-la-gi
https://techcombank.com/thong-tin/blog/xu-huong-ty-gia-usd
https://techcombank.com/thong-tin/blog/cach-tinh-gia-vang
https://techcombank.com/thong-tin/blog/dieu-"&amp;"kien-mua-usd-tu-ngan-hang
https://techcombank.com/thong-tin/blog/dinh-cu-chau-au
https://techcombank.com/thong-tin/blog/du-bao-gia-vang
https://techcombank.com/thong-tin/blog/gia-ca-phe-hom-nay
https://techcombank.com/thong-tin/blog/kieu-hoi-la-gi
https:/"&amp;"/techcombank.com/thong-tin/blog/phi-chuyen-doi-ngoai-te")</f>
        <v>https://techcombank.com/thong-tin/blog/1-dong-do-la-my-bang-bao-nhieu-tien-viet-nam
https://techcombank.com/thong-tin/blog/doi-tien-do-o-dau
https://techcombank.com/thong-tin/blog/ngoai-te-la-gi
https://techcombank.com/thong-tin/blog/chuyen-tien-tu-my-ve-viet-nam
https://techcombank.com/thong-tin/blog/1-trieu-won-bang-bao-nhieu-tien-viet
https://techcombank.com/thong-tin/blog/1-yen-bang-bao-nhieu-tien-viet-nam
https://techcombank.com/thong-tin/blog/1-van-tien-dai-loan-bang-bao-nhieu-tien-viet
https://techcombank.com/thong-tin/blog/1-euro-bang-bao-nhieu-tien-viet
https://techcombank.com/thong-tin/blog/1-do-uc-bang-bao-nhieu-tien-viet
https://techcombank.com/thong-tin/blog/vnd-to-myr
https://techcombank.com/thong-tin/blog/dinar-kuwait
https://techcombank.com/thong-tin/blog/ngoai-hoi-la-gi
https://techcombank.com/thong-tin/blog/ty-gia-hoi-doai-la-gi
https://techcombank.com/thong-tin/blog/xu-huong-ty-gia-usd
https://techcombank.com/thong-tin/blog/cach-tinh-gia-vang
https://techcombank.com/thong-tin/blog/dieu-kien-mua-usd-tu-ngan-hang
https://techcombank.com/thong-tin/blog/dinh-cu-chau-au
https://techcombank.com/thong-tin/blog/du-bao-gia-vang
https://techcombank.com/thong-tin/blog/gia-ca-phe-hom-nay
https://techcombank.com/thong-tin/blog/kieu-hoi-la-gi
https://techcombank.com/thong-tin/blog/phi-chuyen-doi-ngoai-te</v>
      </c>
    </row>
    <row r="57">
      <c r="A57" s="26">
        <v>47.0</v>
      </c>
      <c r="B57" s="27" t="s">
        <v>908</v>
      </c>
      <c r="C57" s="28" t="s">
        <v>971</v>
      </c>
      <c r="D57" s="29">
        <v>30.0</v>
      </c>
      <c r="E57" s="30">
        <f>COUNTIF('Kế hoạch chèn link (mới)'!$B$3:$B$2213,B57)</f>
        <v>6</v>
      </c>
      <c r="F57" s="31">
        <f t="shared" si="1"/>
        <v>24</v>
      </c>
      <c r="G57" s="32" t="str">
        <f>IFERROR(__xludf.DUMMYFUNCTION("IFERROR(LET(t,FILTER('Kế hoạch chèn link (mới)'!$M$3:$M$2213,'Kế hoạch chèn link (mới)'!$B$3:$B$2213=B57),u,UNIQUE(t),c,MAP(u,LAMBDA(x,COUNTIF(t,x))),s,SORT(HSTACK(u,c),2,FALSE),TEXTJOIN(CHAR(10),TRUE,BYROW(s,LAMBDA(r,INDEX(r,1,1)&amp;"": ""&amp;INDEX(r,1,2)&amp;"" b"&amp;"ài"")))),"""")"),"Ngoại tệ &amp; chuyển tiền quốc tế: 4 bài
Tiết kiệm &amp; lãi suất tiền gửi: 1 bài
Thanh toán, chuyển khoản &amp; QR: 1 bài")</f>
        <v>Ngoại tệ &amp; chuyển tiền quốc tế: 4 bài
Tiết kiệm &amp; lãi suất tiền gửi: 1 bài
Thanh toán, chuyển khoản &amp; QR: 1 bài</v>
      </c>
      <c r="H57" s="33" t="str">
        <f>IFERROR(__xludf.DUMMYFUNCTION("TEXTJOIN(CHAR(10),TRUE,FILTER('Kế hoạch chèn link (mới)'!$D$3:$D$2213,'Kế hoạch chèn link (mới)'!$B$3:$B$2213=B57))"),"https://techcombank.com/thong-tin/blog/1-won-bang-bao-nhieu-tien-viet
https://techcombank.com/thong-tin/blog/chuyen-tien-tu-han-sang-viet-nam
https://techcombank.com/thong-tin/blog/1-trieu-won-bang-bao-nhieu-tien-viet
https://techcombank.com/thong-tin/blo"&amp;"g/thanh-toan-khi-du-lich-han-quoc
https://techcombank.com/thong-tin/blog/1000-te-bang-bao-nhieu-tien-viet
https://techcombank.com/thong-tin/blog/thanh-toan-bang-the-quoc-te")</f>
        <v>https://techcombank.com/thong-tin/blog/1-won-bang-bao-nhieu-tien-viet
https://techcombank.com/thong-tin/blog/chuyen-tien-tu-han-sang-viet-nam
https://techcombank.com/thong-tin/blog/1-trieu-won-bang-bao-nhieu-tien-viet
https://techcombank.com/thong-tin/blog/thanh-toan-khi-du-lich-han-quoc
https://techcombank.com/thong-tin/blog/1000-te-bang-bao-nhieu-tien-viet
https://techcombank.com/thong-tin/blog/thanh-toan-bang-the-quoc-te</v>
      </c>
    </row>
    <row r="58">
      <c r="A58" s="26">
        <v>48.0</v>
      </c>
      <c r="B58" s="27" t="s">
        <v>1038</v>
      </c>
      <c r="C58" s="28" t="s">
        <v>971</v>
      </c>
      <c r="D58" s="29">
        <v>30.0</v>
      </c>
      <c r="E58" s="30">
        <f>COUNTIF('Kế hoạch chèn link (mới)'!$B$3:$B$2213,B58)</f>
        <v>28</v>
      </c>
      <c r="F58" s="31">
        <f t="shared" si="1"/>
        <v>2</v>
      </c>
      <c r="G58" s="32" t="str">
        <f>IFERROR(__xludf.DUMMYFUNCTION("IFERROR(LET(t,FILTER('Kế hoạch chèn link (mới)'!$M$3:$M$2213,'Kế hoạch chèn link (mới)'!$B$3:$B$2213=B58),u,UNIQUE(t),c,MAP(u,LAMBDA(x,COUNTIF(t,x))),s,SORT(HSTACK(u,c),2,FALSE),TEXTJOIN(CHAR(10),TRUE,BYROW(s,LAMBDA(r,INDEX(r,1,1)&amp;"": ""&amp;INDEX(r,1,2)&amp;"" b"&amp;"ài"")))),"""")"),"Ngoại tệ &amp; chuyển tiền quốc tế: 26 bài
Doanh nghiệp (tài khoản, vay, tài chính): 1 bài
Thẻ tín dụng: 1 bài")</f>
        <v>Ngoại tệ &amp; chuyển tiền quốc tế: 26 bài
Doanh nghiệp (tài khoản, vay, tài chính): 1 bài
Thẻ tín dụng: 1 bài</v>
      </c>
      <c r="H58" s="33" t="str">
        <f>IFERROR(__xludf.DUMMYFUNCTION("TEXTJOIN(CHAR(10),TRUE,FILTER('Kế hoạch chèn link (mới)'!$D$3:$D$2213,'Kế hoạch chèn link (mới)'!$B$3:$B$2213=B58))"),"https://techcombank.com/thong-tin/blog/1-euro-bang-bao-nhieu-tien-viet
https://techcombank.com/thong-tin/blog/tien-singapore
https://techcombank.com/thong-tin/blog/1000-te-bang-bao-nhieu-tien-viet
https://techcombank.com/thong-tin/blog/1-do-uc-bang-bao-nh"&amp;"ieu-tien-viet
https://techcombank.com/thong-tin/blog/ty-gia-hoi-doai-la-gi
https://techcombank.com/thong-tin/blog/ty-gia-la-gi
https://techcombank.com/thong-tin/blog/xu-huong-ty-gia-usd
https://techcombank.com/thong-tin/blog/nhan-tien-western-union
https:"&amp;"//techcombank.com/thong-tin/blog/1-trieu-do-bang-bao-nhieu-tien-viet
https://techcombank.com/thong-tin/blog/1-man-bang-bao-nhieu-tien-viet
https://techcombank.com/thong-tin/blog/tien-trung-quoc
https://techcombank.com/thong-tin/blog/1-van-te-bang-bao-nhie"&amp;"u-tien-viet
https://techcombank.com/thong-tin/blog/iban-la-gi
https://techcombank.com/thong-tin/blog/ma-swift-ngan-hang
https://techcombank.com/thong-tin/blog/tien-malaysia
https://techcombank.com/thong-tin/blog/remittance-la-gi
https://techcombank.com/th"&amp;"ong-tin/blog/chi-phi-mo-tai-khoan-ngan-hang-cho-cong-ty
https://techcombank.com/thong-tin/blog/tien-thai-lan
https://techcombank.com/thong-tin/blog/thanh-toan-quoc-te
https://techcombank.com/thong-tin/blog/thu-tuc-chuyen-tien-ra-nuoc-ngoai
https://techcom"&amp;"bank.com/thong-tin/blog/gui-tien-sang-nuoc-ngoai
https://techcombank.com/thong-tin/blog/han-muc-mua-ngoai-te-khi-di-du-lich
https://techcombank.com/thong-tin/blog/the-ghi-no-noi-dia
https://techcombank.com/thong-tin/blog/lam-the-thanh-toan-quoc-te
https:/"&amp;"/techcombank.com/thong-tin/blog/chuyen-tien-dinh-cu
https://techcombank.com/thong-tin/blog/ngoai-te-la-gi
https://techcombank.com/thong-tin/blog/nen-lam-the-visa-hay-noi-dia
https://techcombank.com/thong-tin/blog/dinh-cu-chau-au")</f>
        <v>https://techcombank.com/thong-tin/blog/1-euro-bang-bao-nhieu-tien-viet
https://techcombank.com/thong-tin/blog/tien-singapore
https://techcombank.com/thong-tin/blog/1000-te-bang-bao-nhieu-tien-viet
https://techcombank.com/thong-tin/blog/1-do-uc-bang-bao-nhieu-tien-viet
https://techcombank.com/thong-tin/blog/ty-gia-hoi-doai-la-gi
https://techcombank.com/thong-tin/blog/ty-gia-la-gi
https://techcombank.com/thong-tin/blog/xu-huong-ty-gia-usd
https://techcombank.com/thong-tin/blog/nhan-tien-western-union
https://techcombank.com/thong-tin/blog/1-trieu-do-bang-bao-nhieu-tien-viet
https://techcombank.com/thong-tin/blog/1-man-bang-bao-nhieu-tien-viet
https://techcombank.com/thong-tin/blog/tien-trung-quoc
https://techcombank.com/thong-tin/blog/1-van-te-bang-bao-nhieu-tien-viet
https://techcombank.com/thong-tin/blog/iban-la-gi
https://techcombank.com/thong-tin/blog/ma-swift-ngan-hang
https://techcombank.com/thong-tin/blog/tien-malaysia
https://techcombank.com/thong-tin/blog/remittance-la-gi
https://techcombank.com/thong-tin/blog/chi-phi-mo-tai-khoan-ngan-hang-cho-cong-ty
https://techcombank.com/thong-tin/blog/tien-thai-lan
https://techcombank.com/thong-tin/blog/thanh-toan-quoc-te
https://techcombank.com/thong-tin/blog/thu-tuc-chuyen-tien-ra-nuoc-ngoai
https://techcombank.com/thong-tin/blog/gui-tien-sang-nuoc-ngoai
https://techcombank.com/thong-tin/blog/han-muc-mua-ngoai-te-khi-di-du-lich
https://techcombank.com/thong-tin/blog/the-ghi-no-noi-dia
https://techcombank.com/thong-tin/blog/lam-the-thanh-toan-quoc-te
https://techcombank.com/thong-tin/blog/chuyen-tien-dinh-cu
https://techcombank.com/thong-tin/blog/ngoai-te-la-gi
https://techcombank.com/thong-tin/blog/nen-lam-the-visa-hay-noi-dia
https://techcombank.com/thong-tin/blog/dinh-cu-chau-au</v>
      </c>
    </row>
    <row r="59">
      <c r="A59" s="26">
        <v>49.0</v>
      </c>
      <c r="B59" s="27" t="s">
        <v>1047</v>
      </c>
      <c r="C59" s="28" t="s">
        <v>971</v>
      </c>
      <c r="D59" s="29">
        <v>30.0</v>
      </c>
      <c r="E59" s="30">
        <f>COUNTIF('Kế hoạch chèn link (mới)'!$B$3:$B$2213,B59)</f>
        <v>10</v>
      </c>
      <c r="F59" s="31">
        <f t="shared" si="1"/>
        <v>20</v>
      </c>
      <c r="G59" s="32" t="str">
        <f>IFERROR(__xludf.DUMMYFUNCTION("IFERROR(LET(t,FILTER('Kế hoạch chèn link (mới)'!$M$3:$M$2213,'Kế hoạch chèn link (mới)'!$B$3:$B$2213=B59),u,UNIQUE(t),c,MAP(u,LAMBDA(x,COUNTIF(t,x))),s,SORT(HSTACK(u,c),2,FALSE),TEXTJOIN(CHAR(10),TRUE,BYROW(s,LAMBDA(r,INDEX(r,1,1)&amp;"": ""&amp;INDEX(r,1,2)&amp;"" b"&amp;"ài"")))),"""")"),"Ngoại tệ &amp; chuyển tiền quốc tế: 8 bài
Thanh toán, chuyển khoản &amp; QR: 2 bài")</f>
        <v>Ngoại tệ &amp; chuyển tiền quốc tế: 8 bài
Thanh toán, chuyển khoản &amp; QR: 2 bài</v>
      </c>
      <c r="H59" s="33" t="str">
        <f>IFERROR(__xludf.DUMMYFUNCTION("TEXTJOIN(CHAR(10),TRUE,FILTER('Kế hoạch chèn link (mới)'!$D$3:$D$2213,'Kế hoạch chèn link (mới)'!$B$3:$B$2213=B59))"),"https://techcombank.com/thong-tin/blog/di-du-lich-nuoc-ngoai-can-chuan-bi-gi
https://techcombank.com/thong-tin/blog/1-trieu-do-bang-bao-nhieu-tien-viet
https://techcombank.com/thong-tin/blog/tien-malaysia
https://techcombank.com/thong-tin/blog/phi-chuyen-"&amp;"doi-ngoai-te
https://techcombank.com/thong-tin/blog/vnd-to-myr
https://techcombank.com/thong-tin/blog/chuyen-tien-tro-cap-than-nhan-o-nuoc-ngoai
https://techcombank.com/thong-tin/blog/nhan-tien-western-union
https://techcombank.com/thong-tin/blog/tien-sin"&amp;"gapore
https://techcombank.com/thong-tin/blog/thanh-toan-qr-thai-lan
https://techcombank.com/thong-tin/blog/chuyen-tien-tu-my-ve-viet-nam")</f>
        <v>https://techcombank.com/thong-tin/blog/di-du-lich-nuoc-ngoai-can-chuan-bi-gi
https://techcombank.com/thong-tin/blog/1-trieu-do-bang-bao-nhieu-tien-viet
https://techcombank.com/thong-tin/blog/tien-malaysia
https://techcombank.com/thong-tin/blog/phi-chuyen-doi-ngoai-te
https://techcombank.com/thong-tin/blog/vnd-to-myr
https://techcombank.com/thong-tin/blog/chuyen-tien-tro-cap-than-nhan-o-nuoc-ngoai
https://techcombank.com/thong-tin/blog/nhan-tien-western-union
https://techcombank.com/thong-tin/blog/tien-singapore
https://techcombank.com/thong-tin/blog/thanh-toan-qr-thai-lan
https://techcombank.com/thong-tin/blog/chuyen-tien-tu-my-ve-viet-nam</v>
      </c>
    </row>
    <row r="60">
      <c r="A60" s="26">
        <v>50.0</v>
      </c>
      <c r="B60" s="27" t="s">
        <v>1056</v>
      </c>
      <c r="C60" s="28" t="s">
        <v>1057</v>
      </c>
      <c r="D60" s="29">
        <v>30.0</v>
      </c>
      <c r="E60" s="30">
        <f>COUNTIF('Kế hoạch chèn link (mới)'!$B$3:$B$2213,B60)</f>
        <v>8</v>
      </c>
      <c r="F60" s="31">
        <f t="shared" si="1"/>
        <v>22</v>
      </c>
      <c r="G60" s="32" t="str">
        <f>IFERROR(__xludf.DUMMYFUNCTION("IFERROR(LET(t,FILTER('Kế hoạch chèn link (mới)'!$M$3:$M$2213,'Kế hoạch chèn link (mới)'!$B$3:$B$2213=B60),u,UNIQUE(t),c,MAP(u,LAMBDA(x,COUNTIF(t,x))),s,SORT(HSTACK(u,c),2,FALSE),TEXTJOIN(CHAR(10),TRUE,BYROW(s,LAMBDA(r,INDEX(r,1,1)&amp;"": ""&amp;INDEX(r,1,2)&amp;"" b"&amp;"ài"")))),"""")"),"Vay tiêu dùng &amp; tín chấp: 5 bài
Vay thế chấp &amp; mua nhà/xe: 3 bài")</f>
        <v>Vay tiêu dùng &amp; tín chấp: 5 bài
Vay thế chấp &amp; mua nhà/xe: 3 bài</v>
      </c>
      <c r="H60" s="33" t="str">
        <f>IFERROR(__xludf.DUMMYFUNCTION("TEXTJOIN(CHAR(10),TRUE,FILTER('Kế hoạch chèn link (mới)'!$D$3:$D$2213,'Kế hoạch chèn link (mới)'!$B$3:$B$2213=B60))"),"https://techcombank.com/thong-tin/blog/nhu-cau-vay-tieu-dung-cua-nguoi-viet-du-kien-tang-manh-trong-thoi-gian-toi
https://techcombank.com/thong-tin/blog/co-nen-vay-ngan-hang-mua-nha
https://techcombank.com/thong-tin/blog/vay-20-trieu
https://techcombank.c"&amp;"om/thong-tin/blog/cho-vay-tung-lan
https://techcombank.com/thong-tin/blog/vay-40-trieu
https://techcombank.com/thong-tin/blog/lai-suat-vay-the-chap
https://techcombank.com/thong-tin/blog/dang-vay-tra-gop-co-vay-them-duoc-khong
https://techcombank.com/thon"&amp;"g-tin/blog/thu-tuc-mua-xe-tra-gop")</f>
        <v>https://techcombank.com/thong-tin/blog/nhu-cau-vay-tieu-dung-cua-nguoi-viet-du-kien-tang-manh-trong-thoi-gian-toi
https://techcombank.com/thong-tin/blog/co-nen-vay-ngan-hang-mua-nha
https://techcombank.com/thong-tin/blog/vay-20-trieu
https://techcombank.com/thong-tin/blog/cho-vay-tung-lan
https://techcombank.com/thong-tin/blog/vay-40-trieu
https://techcombank.com/thong-tin/blog/lai-suat-vay-the-chap
https://techcombank.com/thong-tin/blog/dang-vay-tra-gop-co-vay-them-duoc-khong
https://techcombank.com/thong-tin/blog/thu-tuc-mua-xe-tra-gop</v>
      </c>
    </row>
    <row r="61">
      <c r="A61" s="26">
        <v>51.0</v>
      </c>
      <c r="B61" s="27" t="s">
        <v>1064</v>
      </c>
      <c r="C61" s="28" t="s">
        <v>1065</v>
      </c>
      <c r="D61" s="29">
        <v>30.0</v>
      </c>
      <c r="E61" s="30">
        <f>COUNTIF('Kế hoạch chèn link (mới)'!$B$3:$B$2213,B61)</f>
        <v>30</v>
      </c>
      <c r="F61" s="31">
        <f t="shared" si="1"/>
        <v>0</v>
      </c>
      <c r="G61" s="32" t="str">
        <f>IFERROR(__xludf.DUMMYFUNCTION("IFERROR(LET(t,FILTER('Kế hoạch chèn link (mới)'!$M$3:$M$2213,'Kế hoạch chèn link (mới)'!$B$3:$B$2213=B61),u,UNIQUE(t),c,MAP(u,LAMBDA(x,COUNTIF(t,x))),s,SORT(HSTACK(u,c),2,FALSE),TEXTJOIN(CHAR(10),TRUE,BYROW(s,LAMBDA(r,INDEX(r,1,1)&amp;"": ""&amp;INDEX(r,1,2)&amp;"" b"&amp;"ài"")))),"""")"),"Ưu đãi, du lịch &amp; đời sống: 24 bài
Ngân hàng xanh &amp; thương hiệu: 2 bài
Thanh toán, chuyển khoản &amp; QR: 2 bài
Hộ kinh doanh &amp; bán hàng: 1 bài
Đầu tư, CCTG, trái phiếu, vàng: 1 bài")</f>
        <v>Ưu đãi, du lịch &amp; đời sống: 24 bài
Ngân hàng xanh &amp; thương hiệu: 2 bài
Thanh toán, chuyển khoản &amp; QR: 2 bài
Hộ kinh doanh &amp; bán hàng: 1 bài
Đầu tư, CCTG, trái phiếu, vàng: 1 bài</v>
      </c>
      <c r="H61" s="33" t="str">
        <f>IFERROR(__xludf.DUMMYFUNCTION("TEXTJOIN(CHAR(10),TRUE,FILTER('Kế hoạch chèn link (mới)'!$D$3:$D$2213,'Kế hoạch chèn link (mới)'!$B$3:$B$2213=B61))"),"https://techcombank.com/thong-tin/blog/mua-ve-may-bay-gia-re
https://techcombank.com/thong-tin/blog/voucher-the-pizza-company
https://techcombank.com/thong-tin/blog/voucher-coopmart
https://techcombank.com/thong-tin/blog/voucher-jollibee
https://techcomba"&amp;"nk.com/thong-tin/blog/voucher-katinat
https://techcombank.com/thong-tin/blog/kichi-kichi
https://techcombank.com/thong-tin/blog/ma-giam-gia-shopee
https://techcombank.com/thong-tin/blog/voucher-starbucks
https://techcombank.com/thong-tin/blog/cua-hang-tie"&amp;"n-loi
https://techcombank.com/thong-tin/blog/voucher-kfc
https://techcombank.com/thong-tin/blog/voucher-phuc-long
https://techcombank.com/thong-tin/blog/voucher-grab
https://techcombank.com/thong-tin/blog/tous-les-jours
https://techcombank.com/thong-tin/b"&amp;"log/voucher-xanh-sm
https://techcombank.com/thong-tin/blog/quy-gia-dinh
https://techcombank.com/thong-tin/blog/dat-ve-may-bay
https://techcombank.com/thong-tin/blog/thanh-toan-khi-du-lich-thai-lan
https://techcombank.com/thong-tin/blog/mua-ve-xem-phim
htt"&amp;"ps://techcombank.com/thong-tin/blog/ban-do-du-lich
https://techcombank.com/thong-tin/blog/cach-thanh-toan-quang-cao-tiktok
https://techcombank.com/thong-tin/blog/chuong-trinh-khach-hang-than-thiet
https://techcombank.com/thong-tin/blog/dac-san-hai-phong
h"&amp;"ttps://techcombank.com/thong-tin/blog/shang-chi
https://techcombank.com/thong-tin/blog/voucher-golden-gate
https://techcombank.com/thong-tin/blog/ma-giam-gia-al-frescos
https://techcombank.com/thong-tin/blog/giam-gia-be
https://techcombank.com/thong-tin/b"&amp;"log/ma-giam-gia-phela
https://techcombank.com/thong-tin/blog/ma-giam-xanh-sm
https://techcombank.com/thong-tin/blog/mr-eco
https://techcombank.com/thong-tin/blog/dat-xe-xanh-sm")</f>
        <v>https://techcombank.com/thong-tin/blog/mua-ve-may-bay-gia-re
https://techcombank.com/thong-tin/blog/voucher-the-pizza-company
https://techcombank.com/thong-tin/blog/voucher-coopmart
https://techcombank.com/thong-tin/blog/voucher-jollibee
https://techcombank.com/thong-tin/blog/voucher-katinat
https://techcombank.com/thong-tin/blog/kichi-kichi
https://techcombank.com/thong-tin/blog/ma-giam-gia-shopee
https://techcombank.com/thong-tin/blog/voucher-starbucks
https://techcombank.com/thong-tin/blog/cua-hang-tien-loi
https://techcombank.com/thong-tin/blog/voucher-kfc
https://techcombank.com/thong-tin/blog/voucher-phuc-long
https://techcombank.com/thong-tin/blog/voucher-grab
https://techcombank.com/thong-tin/blog/tous-les-jours
https://techcombank.com/thong-tin/blog/voucher-xanh-sm
https://techcombank.com/thong-tin/blog/quy-gia-dinh
https://techcombank.com/thong-tin/blog/dat-ve-may-bay
https://techcombank.com/thong-tin/blog/thanh-toan-khi-du-lich-thai-lan
https://techcombank.com/thong-tin/blog/mua-ve-xem-phim
https://techcombank.com/thong-tin/blog/ban-do-du-lich
https://techcombank.com/thong-tin/blog/cach-thanh-toan-quang-cao-tiktok
https://techcombank.com/thong-tin/blog/chuong-trinh-khach-hang-than-thiet
https://techcombank.com/thong-tin/blog/dac-san-hai-phong
https://techcombank.com/thong-tin/blog/shang-chi
https://techcombank.com/thong-tin/blog/voucher-golden-gate
https://techcombank.com/thong-tin/blog/ma-giam-gia-al-frescos
https://techcombank.com/thong-tin/blog/giam-gia-be
https://techcombank.com/thong-tin/blog/ma-giam-gia-phela
https://techcombank.com/thong-tin/blog/ma-giam-xanh-sm
https://techcombank.com/thong-tin/blog/mr-eco
https://techcombank.com/thong-tin/blog/dat-xe-xanh-sm</v>
      </c>
    </row>
    <row r="62">
      <c r="A62" s="26">
        <v>53.0</v>
      </c>
      <c r="B62" s="27" t="s">
        <v>1074</v>
      </c>
      <c r="C62" s="28" t="s">
        <v>708</v>
      </c>
      <c r="D62" s="29">
        <v>30.0</v>
      </c>
      <c r="E62" s="30">
        <f>COUNTIF('Kế hoạch chèn link (mới)'!$B$3:$B$2213,B62)</f>
        <v>28</v>
      </c>
      <c r="F62" s="31">
        <f t="shared" si="1"/>
        <v>2</v>
      </c>
      <c r="G62" s="32" t="str">
        <f>IFERROR(__xludf.DUMMYFUNCTION("IFERROR(LET(t,FILTER('Kế hoạch chèn link (mới)'!$M$3:$M$2213,'Kế hoạch chèn link (mới)'!$B$3:$B$2213=B62),u,UNIQUE(t),c,MAP(u,LAMBDA(x,COUNTIF(t,x))),s,SORT(HSTACK(u,c),2,FALSE),TEXTJOIN(CHAR(10),TRUE,BYROW(s,LAMBDA(r,INDEX(r,1,1)&amp;"": ""&amp;INDEX(r,1,2)&amp;"" b"&amp;"ài"")))),"""")"),"Hộ kinh doanh &amp; bán hàng: 14 bài
Doanh nghiệp (tài khoản, vay, tài chính): 4 bài
Thuế: 3 bài
Thanh toán, chuyển khoản &amp; QR: 2 bài
Thị trường &amp; giá cả: 2 bài
Khác: 1 bài
Vay thế chấp &amp; mua nhà/xe: 1 bài
Ngân hàng xanh &amp; thương hiệu: 1 bài")</f>
        <v>Hộ kinh doanh &amp; bán hàng: 14 bài
Doanh nghiệp (tài khoản, vay, tài chính): 4 bài
Thuế: 3 bài
Thanh toán, chuyển khoản &amp; QR: 2 bài
Thị trường &amp; giá cả: 2 bài
Khác: 1 bài
Vay thế chấp &amp; mua nhà/xe: 1 bài
Ngân hàng xanh &amp; thương hiệu: 1 bài</v>
      </c>
      <c r="H62" s="33" t="str">
        <f>IFERROR(__xludf.DUMMYFUNCTION("TEXTJOIN(CHAR(10),TRUE,FILTER('Kế hoạch chèn link (mới)'!$D$3:$D$2213,'Kế hoạch chèn link (mới)'!$B$3:$B$2213=B62))"),"https://techcombank.com/thong-tin/blog/nhuong-quyen-la-gi
https://techcombank.com/thong-tin/blog/dao-tao-the-he-ke-can
https://techcombank.com/thong-tin/blog/softpos
https://techcombank.com/thong-tin/blog/thanh-toan-bang-ma-qr
https://techcombank.com/thon"&amp;"g-tin/blog/vay-ngan-han
https://techcombank.com/thong-tin/blog/chuyen-doi-xanh
https://techcombank.com/thong-tin/blog/gia-cao-su
https://techcombank.com/thong-tin/blog/dang-ky-thue-ho-kinh-doanh-ca-the-online
https://techcombank.com/thong-tin/blog/barcode"&amp;"-la-gi
https://techcombank.com/thong-tin/blog/top-phan-mem-ban-hang
https://techcombank.com/thong-tin/blog/ho-kinh-doanh-ca-the
https://techcombank.com/thong-tin/blog/nen-thanh-lap-ho-kinh-doanh-ke-khai-hay-doanh-nghiep
https://techcombank.com/thong-tin/b"&amp;"log/roa
https://techcombank.com/thong-tin/blog/pos
https://techcombank.com/thong-tin/blog/kinh-nghiem-chuyen-doi-tu-ho-kinh-doanh-len-doanh-nghiep
https://techcombank.com/thong-tin/blog/loa-ting-ting
https://techcombank.com/thong-tin/blog/kinh-doanh-onlin"&amp;"e
https://techcombank.com/thong-tin/blog/one-stop-shop
https://techcombank.com/thong-tin/blog/tiem-nang-chuyen-doi-tu-ho-kinh-doanh-len-doanh-nghiep-sme
https://techcombank.com/thong-tin/blog/dang-ky-kinh-doanh-la-gi
https://techcombank.com/thong-tin/blog"&amp;"/nim-la-gi
https://techcombank.com/thong-tin/blog/gia-ca-phe-hom-nay
https://techcombank.com/thong-tin/blog/loa-thong-bao-chuyen-khoan
https://techcombank.com/thong-tin/blog/cac-loai-hinh-doanh-nghiep
https://techcombank.com/thong-tin/blog/huong-dan-dang-"&amp;"ky-thanh-lap-doanh-nghiep
https://techcombank.com/thong-tin/blog/thue-phi-co-dinh-khi-chuyen-doi-tu-ho-kinh-doanh-len-doanh-nghiep
https://techcombank.com/thong-tin/blog/tim-hieu-ve-chinh-sach-thue-moi
https://techcombank.com/thong-tin/blog/giay-phep-kinh"&amp;"-doanh")</f>
        <v>https://techcombank.com/thong-tin/blog/nhuong-quyen-la-gi
https://techcombank.com/thong-tin/blog/dao-tao-the-he-ke-can
https://techcombank.com/thong-tin/blog/softpos
https://techcombank.com/thong-tin/blog/thanh-toan-bang-ma-qr
https://techcombank.com/thong-tin/blog/vay-ngan-han
https://techcombank.com/thong-tin/blog/chuyen-doi-xanh
https://techcombank.com/thong-tin/blog/gia-cao-su
https://techcombank.com/thong-tin/blog/dang-ky-thue-ho-kinh-doanh-ca-the-online
https://techcombank.com/thong-tin/blog/barcode-la-gi
https://techcombank.com/thong-tin/blog/top-phan-mem-ban-hang
https://techcombank.com/thong-tin/blog/ho-kinh-doanh-ca-the
https://techcombank.com/thong-tin/blog/nen-thanh-lap-ho-kinh-doanh-ke-khai-hay-doanh-nghiep
https://techcombank.com/thong-tin/blog/roa
https://techcombank.com/thong-tin/blog/pos
https://techcombank.com/thong-tin/blog/kinh-nghiem-chuyen-doi-tu-ho-kinh-doanh-len-doanh-nghiep
https://techcombank.com/thong-tin/blog/loa-ting-ting
https://techcombank.com/thong-tin/blog/kinh-doanh-online
https://techcombank.com/thong-tin/blog/one-stop-shop
https://techcombank.com/thong-tin/blog/tiem-nang-chuyen-doi-tu-ho-kinh-doanh-len-doanh-nghiep-sme
https://techcombank.com/thong-tin/blog/dang-ky-kinh-doanh-la-gi
https://techcombank.com/thong-tin/blog/nim-la-gi
https://techcombank.com/thong-tin/blog/gia-ca-phe-hom-nay
https://techcombank.com/thong-tin/blog/loa-thong-bao-chuyen-khoan
https://techcombank.com/thong-tin/blog/cac-loai-hinh-doanh-nghiep
https://techcombank.com/thong-tin/blog/huong-dan-dang-ky-thanh-lap-doanh-nghiep
https://techcombank.com/thong-tin/blog/thue-phi-co-dinh-khi-chuyen-doi-tu-ho-kinh-doanh-len-doanh-nghiep
https://techcombank.com/thong-tin/blog/tim-hieu-ve-chinh-sach-thue-moi
https://techcombank.com/thong-tin/blog/giay-phep-kinh-doanh</v>
      </c>
    </row>
    <row r="63">
      <c r="A63" s="26">
        <v>54.0</v>
      </c>
      <c r="B63" s="27" t="s">
        <v>1090</v>
      </c>
      <c r="C63" s="28" t="s">
        <v>708</v>
      </c>
      <c r="D63" s="29">
        <v>30.0</v>
      </c>
      <c r="E63" s="30">
        <f>COUNTIF('Kế hoạch chèn link (mới)'!$B$3:$B$2213,B63)</f>
        <v>26</v>
      </c>
      <c r="F63" s="31">
        <f t="shared" si="1"/>
        <v>4</v>
      </c>
      <c r="G63" s="32" t="str">
        <f>IFERROR(__xludf.DUMMYFUNCTION("IFERROR(LET(t,FILTER('Kế hoạch chèn link (mới)'!$M$3:$M$2213,'Kế hoạch chèn link (mới)'!$B$3:$B$2213=B63),u,UNIQUE(t),c,MAP(u,LAMBDA(x,COUNTIF(t,x))),s,SORT(HSTACK(u,c),2,FALSE),TEXTJOIN(CHAR(10),TRUE,BYROW(s,LAMBDA(r,INDEX(r,1,1)&amp;"": ""&amp;INDEX(r,1,2)&amp;"" b"&amp;"ài"")))),"""")"),"Thanh toán, chuyển khoản &amp; QR: 13 bài
Hộ kinh doanh &amp; bán hàng: 9 bài
Ngoại tệ &amp; chuyển tiền quốc tế: 1 bài
Thẻ ATM &amp; thẻ ghi nợ: 1 bài
Tài khoản &amp; ngân hàng số: 1 bài
Doanh nghiệp (tài khoản, vay, tài chính): 1 bài")</f>
        <v>Thanh toán, chuyển khoản &amp; QR: 13 bài
Hộ kinh doanh &amp; bán hàng: 9 bài
Ngoại tệ &amp; chuyển tiền quốc tế: 1 bài
Thẻ ATM &amp; thẻ ghi nợ: 1 bài
Tài khoản &amp; ngân hàng số: 1 bài
Doanh nghiệp (tài khoản, vay, tài chính): 1 bài</v>
      </c>
      <c r="H63" s="33" t="str">
        <f>IFERROR(__xludf.DUMMYFUNCTION("TEXTJOIN(CHAR(10),TRUE,FILTER('Kế hoạch chèn link (mới)'!$D$3:$D$2213,'Kế hoạch chèn link (mới)'!$B$3:$B$2213=B63))"),"https://techcombank.com/thong-tin/blog/cach-tao-ma-qr
https://techcombank.com/thong-tin/blog/ma-qr-ngan-hang-khong-hop-le
https://techcombank.com/thong-tin/blog/in-ma-qr-ngan-hang
https://techcombank.com/thong-tin/blog/lo-ma-qr-ngan-hang-co-sao-khong
http"&amp;"s://techcombank.com/thong-tin/blog/quet-ma-qr-techcombank
https://techcombank.com/thong-tin/blog/tao-ma-qr-thanh-toan-cho-cua-hang
https://techcombank.com/thong-tin/blog/thanh-toan-bang-ma-qr
https://techcombank.com/thong-tin/blog/thanh-toan-truc-tuyen
ht"&amp;"tps://techcombank.com/thong-tin/blog/cach-rut-tien-atm
https://techcombank.com/thong-tin/blog/cach-chuyen-tien
https://techcombank.com/thong-tin/blog/app-chia-tien
https://techcombank.com/thong-tin/blog/chuyen-doi-so-ho-kinh-doanh
https://techcombank.com/"&amp;"thong-tin/blog/lam-ma-qr-ngan-hang-co-mat-phi-khong
https://techcombank.com/thong-tin/blog/merchant-la-gi
https://techcombank.com/thong-tin/blog/ma-qr-techcombank
https://techcombank.com/thong-tin/blog/so-sanh-ma-qr-va-ma-vach
https://techcombank.com/thon"&amp;"g-tin/blog/qr-code-doanh-nghiep
https://techcombank.com/thong-tin/blog/qr-dong
https://techcombank.com/thong-tin/blog/cach-chuyen-khoan-bang-dien-thoai
https://techcombank.com/thong-tin/blog/cach-chuyen-tien-qua-ma-qr-techcombank
https://techcombank.com/t"&amp;"hong-tin/blog/one-stop-shop
https://techcombank.com/thong-tin/blog/loa-thong-bao-chuyen-khoan
https://techcombank.com/thong-tin/blog/pos
https://techcombank.com/thong-tin/blog/thanh-toan-ma-qr-tro-thanh-phuong-thuc-duoc-ua-chuong-va-trien-khai-manh-me
htt"&amp;"ps://techcombank.com/thong-tin/blog/top-phan-mem-ban-hang
https://techcombank.com/thong-tin/blog/loa-ting-ting")</f>
        <v>https://techcombank.com/thong-tin/blog/cach-tao-ma-qr
https://techcombank.com/thong-tin/blog/ma-qr-ngan-hang-khong-hop-le
https://techcombank.com/thong-tin/blog/in-ma-qr-ngan-hang
https://techcombank.com/thong-tin/blog/lo-ma-qr-ngan-hang-co-sao-khong
https://techcombank.com/thong-tin/blog/quet-ma-qr-techcombank
https://techcombank.com/thong-tin/blog/tao-ma-qr-thanh-toan-cho-cua-hang
https://techcombank.com/thong-tin/blog/thanh-toan-bang-ma-qr
https://techcombank.com/thong-tin/blog/thanh-toan-truc-tuyen
https://techcombank.com/thong-tin/blog/cach-rut-tien-atm
https://techcombank.com/thong-tin/blog/cach-chuyen-tien
https://techcombank.com/thong-tin/blog/app-chia-tien
https://techcombank.com/thong-tin/blog/chuyen-doi-so-ho-kinh-doanh
https://techcombank.com/thong-tin/blog/lam-ma-qr-ngan-hang-co-mat-phi-khong
https://techcombank.com/thong-tin/blog/merchant-la-gi
https://techcombank.com/thong-tin/blog/ma-qr-techcombank
https://techcombank.com/thong-tin/blog/so-sanh-ma-qr-va-ma-vach
https://techcombank.com/thong-tin/blog/qr-code-doanh-nghiep
https://techcombank.com/thong-tin/blog/qr-dong
https://techcombank.com/thong-tin/blog/cach-chuyen-khoan-bang-dien-thoai
https://techcombank.com/thong-tin/blog/cach-chuyen-tien-qua-ma-qr-techcombank
https://techcombank.com/thong-tin/blog/one-stop-shop
https://techcombank.com/thong-tin/blog/loa-thong-bao-chuyen-khoan
https://techcombank.com/thong-tin/blog/pos
https://techcombank.com/thong-tin/blog/thanh-toan-ma-qr-tro-thanh-phuong-thuc-duoc-ua-chuong-va-trien-khai-manh-me
https://techcombank.com/thong-tin/blog/top-phan-mem-ban-hang
https://techcombank.com/thong-tin/blog/loa-ting-ting</v>
      </c>
    </row>
    <row r="64">
      <c r="A64" s="26">
        <v>55.0</v>
      </c>
      <c r="B64" s="27" t="s">
        <v>1100</v>
      </c>
      <c r="C64" s="28" t="s">
        <v>708</v>
      </c>
      <c r="D64" s="29">
        <v>30.0</v>
      </c>
      <c r="E64" s="30">
        <f>COUNTIF('Kế hoạch chèn link (mới)'!$B$3:$B$2213,B64)</f>
        <v>27</v>
      </c>
      <c r="F64" s="31">
        <f t="shared" si="1"/>
        <v>3</v>
      </c>
      <c r="G64" s="32" t="str">
        <f>IFERROR(__xludf.DUMMYFUNCTION("IFERROR(LET(t,FILTER('Kế hoạch chèn link (mới)'!$M$3:$M$2213,'Kế hoạch chèn link (mới)'!$B$3:$B$2213=B64),u,UNIQUE(t),c,MAP(u,LAMBDA(x,COUNTIF(t,x))),s,SORT(HSTACK(u,c),2,FALSE),TEXTJOIN(CHAR(10),TRUE,BYROW(s,LAMBDA(r,INDEX(r,1,1)&amp;"": ""&amp;INDEX(r,1,2)&amp;"" b"&amp;"ài"")))),"""")"),"Hộ kinh doanh &amp; bán hàng: 16 bài
Thuế: 11 bài")</f>
        <v>Hộ kinh doanh &amp; bán hàng: 16 bài
Thuế: 11 bài</v>
      </c>
      <c r="H64" s="33" t="str">
        <f>IFERROR(__xludf.DUMMYFUNCTION("TEXTJOIN(CHAR(10),TRUE,FILTER('Kế hoạch chèn link (mới)'!$D$3:$D$2213,'Kế hoạch chèn link (mới)'!$B$3:$B$2213=B64))"),"https://techcombank.com/thong-tin/blog/thanh-lap-ho-kinh-doanh-ca-the
https://techcombank.com/thong-tin/blog/ho-kinh-doanh-ca-the
https://techcombank.com/thong-tin/blog/cach-dang-ky-ma-so-thue-ho-kinh-doanh-online
https://techcombank.com/thong-tin/blog/ca"&amp;"ch-tinh-thue-ho-kinh-doanh-nho-le
https://techcombank.com/thong-tin/blog/kiem-tra-thue-ho-kinh-doanh
https://techcombank.com/thong-tin/blog/khai-bao-tai-khoan-ngan-hang-voi-co-quan-thue
https://techcombank.com/thong-tin/blog/quan-ly-chuoi-cua-hang
https:/"&amp;"/techcombank.com/thong-tin/blog/ho-kinh-doanh-la-gi
https://techcombank.com/thong-tin/blog/thu-tuc-vay-von-kinh-doanh-nho
https://techcombank.com/thong-tin/blog/thay-doi-dia-chi-ho-kinh-doanh
https://techcombank.com/thong-tin/blog/nhung-ho-kinh-doanh-duoc"&amp;"-mien-thue
https://techcombank.com/thong-tin/blog/barcode-la-gi
https://techcombank.com/thong-tin/blog/tra-cuu-ma-so-thue-ho-kinh-doanh
https://techcombank.com/thong-tin/blog/may-pos-la-gi
https://techcombank.com/thong-tin/blog/thue-ho-kinh-doanh-2025
htt"&amp;"ps://techcombank.com/thong-tin/blog/tra-cuu-no-thue-ho-kinh-doanh
https://techcombank.com/thong-tin/blog/giay-phep-kinh-doanh
https://techcombank.com/thong-tin/blog/ho-kinh-doanh-can-gi-o-tai-khoan-ngan-hang
https://techcombank.com/thong-tin/blog/phan-mem"&amp;"-xuat-hoa-don-dien-tu
https://techcombank.com/thong-tin/blog/nen-thanh-lap-ho-kinh-doanh-ke-khai-hay-doanh-nghiep
https://techcombank.com/thong-tin/blog/truy-thu-thue-ho-kinh-doanh
https://techcombank.com/thong-tin/blog/cach-tao-ma-qr
https://techcombank."&amp;"com/thong-tin/blog/vay-tin-chap-ho-kinh-doanh
https://techcombank.com/thong-tin/blog/chuyen-doi-hoa-don-dien-tu
https://techcombank.com/thong-tin/blog/lai-suat-vay-kinh-doanh
https://techcombank.com/thong-tin/blog/thanh-toan-khong-dung-tien-mat
https://te"&amp;"chcombank.com/thong-tin/blog/dang-ky-kinh-doanh-la-gi")</f>
        <v>https://techcombank.com/thong-tin/blog/thanh-lap-ho-kinh-doanh-ca-the
https://techcombank.com/thong-tin/blog/ho-kinh-doanh-ca-the
https://techcombank.com/thong-tin/blog/cach-dang-ky-ma-so-thue-ho-kinh-doanh-online
https://techcombank.com/thong-tin/blog/cach-tinh-thue-ho-kinh-doanh-nho-le
https://techcombank.com/thong-tin/blog/kiem-tra-thue-ho-kinh-doanh
https://techcombank.com/thong-tin/blog/khai-bao-tai-khoan-ngan-hang-voi-co-quan-thue
https://techcombank.com/thong-tin/blog/quan-ly-chuoi-cua-hang
https://techcombank.com/thong-tin/blog/ho-kinh-doanh-la-gi
https://techcombank.com/thong-tin/blog/thu-tuc-vay-von-kinh-doanh-nho
https://techcombank.com/thong-tin/blog/thay-doi-dia-chi-ho-kinh-doanh
https://techcombank.com/thong-tin/blog/nhung-ho-kinh-doanh-duoc-mien-thue
https://techcombank.com/thong-tin/blog/barcode-la-gi
https://techcombank.com/thong-tin/blog/tra-cuu-ma-so-thue-ho-kinh-doanh
https://techcombank.com/thong-tin/blog/may-pos-la-gi
https://techcombank.com/thong-tin/blog/thue-ho-kinh-doanh-2025
https://techcombank.com/thong-tin/blog/tra-cuu-no-thue-ho-kinh-doanh
https://techcombank.com/thong-tin/blog/giay-phep-kinh-doanh
https://techcombank.com/thong-tin/blog/ho-kinh-doanh-can-gi-o-tai-khoan-ngan-hang
https://techcombank.com/thong-tin/blog/phan-mem-xuat-hoa-don-dien-tu
https://techcombank.com/thong-tin/blog/nen-thanh-lap-ho-kinh-doanh-ke-khai-hay-doanh-nghiep
https://techcombank.com/thong-tin/blog/truy-thu-thue-ho-kinh-doanh
https://techcombank.com/thong-tin/blog/cach-tao-ma-qr
https://techcombank.com/thong-tin/blog/vay-tin-chap-ho-kinh-doanh
https://techcombank.com/thong-tin/blog/chuyen-doi-hoa-don-dien-tu
https://techcombank.com/thong-tin/blog/lai-suat-vay-kinh-doanh
https://techcombank.com/thong-tin/blog/thanh-toan-khong-dung-tien-mat
https://techcombank.com/thong-tin/blog/dang-ky-kinh-doanh-la-gi</v>
      </c>
    </row>
    <row r="65">
      <c r="A65" s="26">
        <v>56.0</v>
      </c>
      <c r="B65" s="27" t="s">
        <v>1105</v>
      </c>
      <c r="C65" s="28" t="s">
        <v>708</v>
      </c>
      <c r="D65" s="29">
        <v>30.0</v>
      </c>
      <c r="E65" s="30">
        <f>COUNTIF('Kế hoạch chèn link (mới)'!$B$3:$B$2213,B65)</f>
        <v>22</v>
      </c>
      <c r="F65" s="31">
        <f t="shared" si="1"/>
        <v>8</v>
      </c>
      <c r="G65" s="32" t="str">
        <f>IFERROR(__xludf.DUMMYFUNCTION("IFERROR(LET(t,FILTER('Kế hoạch chèn link (mới)'!$M$3:$M$2213,'Kế hoạch chèn link (mới)'!$B$3:$B$2213=B65),u,UNIQUE(t),c,MAP(u,LAMBDA(x,COUNTIF(t,x))),s,SORT(HSTACK(u,c),2,FALSE),TEXTJOIN(CHAR(10),TRUE,BYROW(s,LAMBDA(r,INDEX(r,1,1)&amp;"": ""&amp;INDEX(r,1,2)&amp;"" b"&amp;"ài"")))),"""")"),"Thuế: 13 bài
Hộ kinh doanh &amp; bán hàng: 9 bài")</f>
        <v>Thuế: 13 bài
Hộ kinh doanh &amp; bán hàng: 9 bài</v>
      </c>
      <c r="H65" s="33" t="str">
        <f>IFERROR(__xludf.DUMMYFUNCTION("TEXTJOIN(CHAR(10),TRUE,FILTER('Kế hoạch chèn link (mới)'!$D$3:$D$2213,'Kế hoạch chèn link (mới)'!$B$3:$B$2213=B65))"),"https://techcombank.com/thong-tin/blog/chuyen-doi-hoa-don-dien-tu
https://techcombank.com/thong-tin/blog/cach-dang-ky-ma-so-thue-ho-kinh-doanh-online
https://techcombank.com/thong-tin/blog/ke-khai-thue-ho-kinh-doanh-ca-the-online
https://techcombank.com/t"&amp;"hong-tin/blog/thue-thuong-mai-dien-tu
https://techcombank.com/thong-tin/blog/chinh-sach-thue-moi
https://techcombank.com/thong-tin/blog/ho-kinh-doanh-ca-the
https://techcombank.com/thong-tin/blog/ho-kinh-doanh-la-gi
https://techcombank.com/thong-tin/blog/"&amp;"thanh-lap-ho-kinh-doanh-ca-the
https://techcombank.com/thong-tin/blog/loi-ich-khi-ho-kinh-doanh-chuyen-len-doanh-nghiep
https://techcombank.com/thong-tin/blog/thanh-toan-khong-dung-tien-mat
https://techcombank.com/thong-tin/blog/tra-cuu-no-thue-ho-kinh-do"&amp;"anh
https://techcombank.com/thong-tin/blog/lien-ket-tai-khoan-ngan-hang-voi-etax-mobile
https://techcombank.com/thong-tin/blog/hoa-don-dien-tu
https://techcombank.com/thong-tin/blog/truy-thu-thue-ho-kinh-doanh
https://techcombank.com/thong-tin/blog/dang-k"&amp;"y-kinh-doanh-la-gi
https://techcombank.com/thong-tin/blog/luu-y-khi-chuyen-doi-tu-ho-kinh-doanh-len-doanh-nghiep
https://techcombank.com/thong-tin/blog/barcode-la-gi
https://techcombank.com/thong-tin/blog/phat-cham-dang-ky-thue-ho-kinh-doanh
https://techc"&amp;"ombank.com/thong-tin/blog/thue-vat-la-gi
https://techcombank.com/thong-tin/blog/kiem-tra-thue-ho-kinh-doanh
https://techcombank.com/thong-tin/blog/thay-doi-dia-chi-ho-kinh-doanh
https://techcombank.com/thong-tin/blog/ho-kinh-doanh-dong-thue-nhu-nao")</f>
        <v>https://techcombank.com/thong-tin/blog/chuyen-doi-hoa-don-dien-tu
https://techcombank.com/thong-tin/blog/cach-dang-ky-ma-so-thue-ho-kinh-doanh-online
https://techcombank.com/thong-tin/blog/ke-khai-thue-ho-kinh-doanh-ca-the-online
https://techcombank.com/thong-tin/blog/thue-thuong-mai-dien-tu
https://techcombank.com/thong-tin/blog/chinh-sach-thue-moi
https://techcombank.com/thong-tin/blog/ho-kinh-doanh-ca-the
https://techcombank.com/thong-tin/blog/ho-kinh-doanh-la-gi
https://techcombank.com/thong-tin/blog/thanh-lap-ho-kinh-doanh-ca-the
https://techcombank.com/thong-tin/blog/loi-ich-khi-ho-kinh-doanh-chuyen-len-doanh-nghiep
https://techcombank.com/thong-tin/blog/thanh-toan-khong-dung-tien-mat
https://techcombank.com/thong-tin/blog/tra-cuu-no-thue-ho-kinh-doanh
https://techcombank.com/thong-tin/blog/lien-ket-tai-khoan-ngan-hang-voi-etax-mobile
https://techcombank.com/thong-tin/blog/hoa-don-dien-tu
https://techcombank.com/thong-tin/blog/truy-thu-thue-ho-kinh-doanh
https://techcombank.com/thong-tin/blog/dang-ky-kinh-doanh-la-gi
https://techcombank.com/thong-tin/blog/luu-y-khi-chuyen-doi-tu-ho-kinh-doanh-len-doanh-nghiep
https://techcombank.com/thong-tin/blog/barcode-la-gi
https://techcombank.com/thong-tin/blog/phat-cham-dang-ky-thue-ho-kinh-doanh
https://techcombank.com/thong-tin/blog/thue-vat-la-gi
https://techcombank.com/thong-tin/blog/kiem-tra-thue-ho-kinh-doanh
https://techcombank.com/thong-tin/blog/thay-doi-dia-chi-ho-kinh-doanh
https://techcombank.com/thong-tin/blog/ho-kinh-doanh-dong-thue-nhu-nao</v>
      </c>
    </row>
    <row r="66">
      <c r="A66" s="26">
        <v>58.0</v>
      </c>
      <c r="B66" s="27" t="s">
        <v>236</v>
      </c>
      <c r="C66" s="28" t="s">
        <v>724</v>
      </c>
      <c r="D66" s="29">
        <v>30.0</v>
      </c>
      <c r="E66" s="30">
        <f>COUNTIF('Kế hoạch chèn link (mới)'!$B$3:$B$2213,B66)</f>
        <v>19</v>
      </c>
      <c r="F66" s="31">
        <f t="shared" si="1"/>
        <v>11</v>
      </c>
      <c r="G66" s="32" t="str">
        <f>IFERROR(__xludf.DUMMYFUNCTION("IFERROR(LET(t,FILTER('Kế hoạch chèn link (mới)'!$M$3:$M$2213,'Kế hoạch chèn link (mới)'!$B$3:$B$2213=B66),u,UNIQUE(t),c,MAP(u,LAMBDA(x,COUNTIF(t,x))),s,SORT(HSTACK(u,c),2,FALSE),TEXTJOIN(CHAR(10),TRUE,BYROW(s,LAMBDA(r,INDEX(r,1,1)&amp;"": ""&amp;INDEX(r,1,2)&amp;"" b"&amp;"ài"")))),"""")"),"Vay thế chấp &amp; mua nhà/xe: 16 bài
Tài khoản &amp; ngân hàng số: 1 bài
Đầu tư, CCTG, trái phiếu, vàng: 1 bài
Hộ kinh doanh &amp; bán hàng: 1 bài")</f>
        <v>Vay thế chấp &amp; mua nhà/xe: 16 bài
Tài khoản &amp; ngân hàng số: 1 bài
Đầu tư, CCTG, trái phiếu, vàng: 1 bài
Hộ kinh doanh &amp; bán hàng: 1 bài</v>
      </c>
      <c r="H66" s="33" t="str">
        <f>IFERROR(__xludf.DUMMYFUNCTION("TEXTJOIN(CHAR(10),TRUE,FILTER('Kế hoạch chèn link (mới)'!$D$3:$D$2213,'Kế hoạch chèn link (mới)'!$B$3:$B$2213=B66))"),"https://techcombank.com/thong-tin/blog/han-muc-vay-the-chap-so-do
https://techcombank.com/thong-tin/blog/so-tai-khoan-ngan-hang
https://techcombank.com/thong-tin/blog/vay-the-chap-so-bao-hiem-xa-hoi
https://techcombank.com/thong-tin/blog/nen-vay-the-chap-"&amp;"ngan-hang-nao
https://techcombank.com/thong-tin/blog/vay-the-chap-la-gi
https://techcombank.com/thong-tin/blog/kinh-nghiem-vay-the-chap-ngan-hang
https://techcombank.com/thong-tin/blog/phi-vay-the-chap
https://techcombank.com/thong-tin/blog/dieu-kien-vay-"&amp;"the-chap
https://techcombank.com/thong-tin/blog/vay-the-chap-so-hong
https://techcombank.com/thong-tin/blog/rui-ro-khi-vay-the-chap-ngan-hang
https://techcombank.com/thong-tin/blog/vay-the-chap-toi-da-duoc-bao-nhieu
https://techcombank.com/thong-tin/blog/"&amp;"thanh-ly-tai-san
https://techcombank.com/thong-tin/blog/vay-san-xuat-kinh-doanh
https://techcombank.com/thong-tin/blog/vay-the-chap-khong-chung-minh-thu-nhap
https://techcombank.com/thong-tin/blog/vay-von-doanh-nghiep-khong-the-chap
https://techcombank.co"&amp;"m/thong-tin/blog/the-chap-la-gi
https://techcombank.com/thong-tin/blog/ho-so-thu-tuc-xoa-the-chap
https://techcombank.com/thong-tin/blog/vay-the-chap-qua-luong
https://techcombank.com/thong-tin/blog/giai-ngan-vay-the-chap")</f>
        <v>https://techcombank.com/thong-tin/blog/han-muc-vay-the-chap-so-do
https://techcombank.com/thong-tin/blog/so-tai-khoan-ngan-hang
https://techcombank.com/thong-tin/blog/vay-the-chap-so-bao-hiem-xa-hoi
https://techcombank.com/thong-tin/blog/nen-vay-the-chap-ngan-hang-nao
https://techcombank.com/thong-tin/blog/vay-the-chap-la-gi
https://techcombank.com/thong-tin/blog/kinh-nghiem-vay-the-chap-ngan-hang
https://techcombank.com/thong-tin/blog/phi-vay-the-chap
https://techcombank.com/thong-tin/blog/dieu-kien-vay-the-chap
https://techcombank.com/thong-tin/blog/vay-the-chap-so-hong
https://techcombank.com/thong-tin/blog/rui-ro-khi-vay-the-chap-ngan-hang
https://techcombank.com/thong-tin/blog/vay-the-chap-toi-da-duoc-bao-nhieu
https://techcombank.com/thong-tin/blog/thanh-ly-tai-san
https://techcombank.com/thong-tin/blog/vay-san-xuat-kinh-doanh
https://techcombank.com/thong-tin/blog/vay-the-chap-khong-chung-minh-thu-nhap
https://techcombank.com/thong-tin/blog/vay-von-doanh-nghiep-khong-the-chap
https://techcombank.com/thong-tin/blog/the-chap-la-gi
https://techcombank.com/thong-tin/blog/ho-so-thu-tuc-xoa-the-chap
https://techcombank.com/thong-tin/blog/vay-the-chap-qua-luong
https://techcombank.com/thong-tin/blog/giai-ngan-vay-the-chap</v>
      </c>
    </row>
    <row r="67">
      <c r="A67" s="26">
        <v>59.0</v>
      </c>
      <c r="B67" s="27" t="s">
        <v>1116</v>
      </c>
      <c r="C67" s="28" t="s">
        <v>724</v>
      </c>
      <c r="D67" s="29">
        <v>30.0</v>
      </c>
      <c r="E67" s="30">
        <f>COUNTIF('Kế hoạch chèn link (mới)'!$B$3:$B$2213,B67)</f>
        <v>13</v>
      </c>
      <c r="F67" s="31">
        <f t="shared" si="1"/>
        <v>17</v>
      </c>
      <c r="G67" s="32" t="str">
        <f>IFERROR(__xludf.DUMMYFUNCTION("IFERROR(LET(t,FILTER('Kế hoạch chèn link (mới)'!$M$3:$M$2213,'Kế hoạch chèn link (mới)'!$B$3:$B$2213=B67),u,UNIQUE(t),c,MAP(u,LAMBDA(x,COUNTIF(t,x))),s,SORT(HSTACK(u,c),2,FALSE),TEXTJOIN(CHAR(10),TRUE,BYROW(s,LAMBDA(r,INDEX(r,1,1)&amp;"": ""&amp;INDEX(r,1,2)&amp;"" b"&amp;"ài"")))),"""")"),"Vay thế chấp &amp; mua nhà/xe: 8 bài
Vay tiêu dùng &amp; tín chấp: 3 bài
Hộ kinh doanh &amp; bán hàng: 2 bài")</f>
        <v>Vay thế chấp &amp; mua nhà/xe: 8 bài
Vay tiêu dùng &amp; tín chấp: 3 bài
Hộ kinh doanh &amp; bán hàng: 2 bài</v>
      </c>
      <c r="H67" s="33" t="str">
        <f>IFERROR(__xludf.DUMMYFUNCTION("TEXTJOIN(CHAR(10),TRUE,FILTER('Kế hoạch chèn link (mới)'!$D$3:$D$2213,'Kế hoạch chèn link (mới)'!$B$3:$B$2213=B67))"),"https://techcombank.com/thong-tin/blog/quy-trinh-tat-toan-khoan-vay-the-chap
https://techcombank.com/thong-tin/blog/tat-toan
https://techcombank.com/thong-tin/blog/cac-hinh-thuc-cho-vay-tieu-dung
https://techcombank.com/thong-tin/blog/the-chap-la-gi
https"&amp;"://techcombank.com/thong-tin/blog/vay-the-chap-so-bao-hiem-xa-hoi
https://techcombank.com/thong-tin/blog/han-muc-vay-the-chap-so-do
https://techcombank.com/thong-tin/blog/giai-ngan-vay-the-chap
https://techcombank.com/thong-tin/blog/vay-tien-mat
https://t"&amp;"echcombank.com/thong-tin/blog/thu-tuc-mua-xe-tra-gop
https://techcombank.com/thong-tin/blog/vay-san-xuat-kinh-doanh
https://techcombank.com/thong-tin/blog/vay-the-chap-la-gi
https://techcombank.com/thong-tin/blog/merchant-la-gi
https://techcombank.com/tho"&amp;"ng-tin/blog/vay-the-chap-toi-da-duoc-bao-nhieu")</f>
        <v>https://techcombank.com/thong-tin/blog/quy-trinh-tat-toan-khoan-vay-the-chap
https://techcombank.com/thong-tin/blog/tat-toan
https://techcombank.com/thong-tin/blog/cac-hinh-thuc-cho-vay-tieu-dung
https://techcombank.com/thong-tin/blog/the-chap-la-gi
https://techcombank.com/thong-tin/blog/vay-the-chap-so-bao-hiem-xa-hoi
https://techcombank.com/thong-tin/blog/han-muc-vay-the-chap-so-do
https://techcombank.com/thong-tin/blog/giai-ngan-vay-the-chap
https://techcombank.com/thong-tin/blog/vay-tien-mat
https://techcombank.com/thong-tin/blog/thu-tuc-mua-xe-tra-gop
https://techcombank.com/thong-tin/blog/vay-san-xuat-kinh-doanh
https://techcombank.com/thong-tin/blog/vay-the-chap-la-gi
https://techcombank.com/thong-tin/blog/merchant-la-gi
https://techcombank.com/thong-tin/blog/vay-the-chap-toi-da-duoc-bao-nhieu</v>
      </c>
    </row>
    <row r="68">
      <c r="A68" s="26">
        <v>62.0</v>
      </c>
      <c r="B68" s="27" t="s">
        <v>1122</v>
      </c>
      <c r="C68" s="28" t="s">
        <v>233</v>
      </c>
      <c r="D68" s="29">
        <v>30.0</v>
      </c>
      <c r="E68" s="30">
        <f>COUNTIF('Kế hoạch chèn link (mới)'!$B$3:$B$2213,B68)</f>
        <v>26</v>
      </c>
      <c r="F68" s="31">
        <f t="shared" si="1"/>
        <v>4</v>
      </c>
      <c r="G68" s="32" t="str">
        <f>IFERROR(__xludf.DUMMYFUNCTION("IFERROR(LET(t,FILTER('Kế hoạch chèn link (mới)'!$M$3:$M$2213,'Kế hoạch chèn link (mới)'!$B$3:$B$2213=B68),u,UNIQUE(t),c,MAP(u,LAMBDA(x,COUNTIF(t,x))),s,SORT(HSTACK(u,c),2,FALSE),TEXTJOIN(CHAR(10),TRUE,BYROW(s,LAMBDA(r,INDEX(r,1,1)&amp;"": ""&amp;INDEX(r,1,2)&amp;"" b"&amp;"ài"")))),"""")"),"Tiết kiệm &amp; lãi suất tiền gửi: 13 bài
Đầu tư, CCTG, trái phiếu, vàng: 6 bài
Thẻ ATM &amp; thẻ ghi nợ: 2 bài
Thẻ tín dụng: 2 bài
Vay tiêu dùng &amp; tín chấp: 1 bài
Tài khoản &amp; ngân hàng số: 1 bài
Quản lý tài chính cá nhân: 1 bài")</f>
        <v>Tiết kiệm &amp; lãi suất tiền gửi: 13 bài
Đầu tư, CCTG, trái phiếu, vàng: 6 bài
Thẻ ATM &amp; thẻ ghi nợ: 2 bài
Thẻ tín dụng: 2 bài
Vay tiêu dùng &amp; tín chấp: 1 bài
Tài khoản &amp; ngân hàng số: 1 bài
Quản lý tài chính cá nhân: 1 bài</v>
      </c>
      <c r="H68" s="33" t="str">
        <f>IFERROR(__xludf.DUMMYFUNCTION("TEXTJOIN(CHAR(10),TRUE,FILTER('Kế hoạch chèn link (mới)'!$D$3:$D$2213,'Kế hoạch chèn link (mới)'!$B$3:$B$2213=B68))"),"https://techcombank.com/thong-tin/blog/tien-gui-co-ky-han
https://techcombank.com/thong-tin/blog/app-gui-tien-tiet-kiem
https://techcombank.com/thong-tin/blog/vay-thau-chi-bang-so-tiet-kiem
https://techcombank.com/thong-tin/blog/lai-kep-ngan-hang
https://"&amp;"techcombank.com/thong-tin/blog/gui-them-tien-vao-so-tiet-kiem
https://techcombank.com/thong-tin/blog/chung-chi-tien-gui-khac-gi-so-tiet-kiem
https://techcombank.com/thong-tin/blog/nen-gui-tiet-kiem-6-thang-hay-1-nam
https://techcombank.com/thong-tin/blog/"&amp;"cach-tiet-kiem-tien-sinh-loi
https://techcombank.com/thong-tin/blog/cach-dau-tu
https://techcombank.com/thong-tin/blog/tai-khoan-ngan-hang-chua-toi-da-bao-nhieu-tien
https://techcombank.com/thong-tin/blog/gui-tiet-kiem-theo-ngay
https://techcombank.com/th"&amp;"ong-tin/blog/mat-so-tiet-kiem
https://techcombank.com/thong-tin/blog/so-tiet-kiem-ngan-hang
https://techcombank.com/thong-tin/blog/thanh-khoan-la-gi
https://techcombank.com/thong-tin/blog/dau-tu-ngan-han
https://techcombank.com/thong-tin/blog/rut-tien-bao"&amp;"-hiem-nhan-tho-khi-het-han
https://techcombank.com/thong-tin/blog/chung-chi-tien-gui-co-duoc-rut-truoc-han
https://techcombank.com/thong-tin/blog/gui-tiet-kiem-online-quay-vong-ca-goc-va-lai
https://techcombank.com/thong-tin/blog/so-sanh-gui-tiet-kiem-onl"&amp;"ine-va-tai-quay
https://techcombank.com/thong-tin/blog/cach-tiet-kiem-tien
https://techcombank.com/thong-tin/blog/lap-ke-hoach-tai-chinh-ca-nhan
https://techcombank.com/thong-tin/blog/the-visa-co-thanh-toan-quoc-te-duoc-khong
https://techcombank.com/thong"&amp;"-tin/blog/tai-sao-gui-tiet-kiem-online-lai-suat-cao-hon
https://techcombank.com/thong-tin/blog/mo-the-tin-dung-khong-can-chung-minh-thu-nhap
https://techcombank.com/thong-tin/blog/lai-suat-chung-chi-tien-gui-cac-ngan-hang
https://techcombank.com/thong-tin"&amp;"/blog/the-napas-la-gi")</f>
        <v>https://techcombank.com/thong-tin/blog/tien-gui-co-ky-han
https://techcombank.com/thong-tin/blog/app-gui-tien-tiet-kiem
https://techcombank.com/thong-tin/blog/vay-thau-chi-bang-so-tiet-kiem
https://techcombank.com/thong-tin/blog/lai-kep-ngan-hang
https://techcombank.com/thong-tin/blog/gui-them-tien-vao-so-tiet-kiem
https://techcombank.com/thong-tin/blog/chung-chi-tien-gui-khac-gi-so-tiet-kiem
https://techcombank.com/thong-tin/blog/nen-gui-tiet-kiem-6-thang-hay-1-nam
https://techcombank.com/thong-tin/blog/cach-tiet-kiem-tien-sinh-loi
https://techcombank.com/thong-tin/blog/cach-dau-tu
https://techcombank.com/thong-tin/blog/tai-khoan-ngan-hang-chua-toi-da-bao-nhieu-tien
https://techcombank.com/thong-tin/blog/gui-tiet-kiem-theo-ngay
https://techcombank.com/thong-tin/blog/mat-so-tiet-kiem
https://techcombank.com/thong-tin/blog/so-tiet-kiem-ngan-hang
https://techcombank.com/thong-tin/blog/thanh-khoan-la-gi
https://techcombank.com/thong-tin/blog/dau-tu-ngan-han
https://techcombank.com/thong-tin/blog/rut-tien-bao-hiem-nhan-tho-khi-het-han
https://techcombank.com/thong-tin/blog/chung-chi-tien-gui-co-duoc-rut-truoc-han
https://techcombank.com/thong-tin/blog/gui-tiet-kiem-online-quay-vong-ca-goc-va-lai
https://techcombank.com/thong-tin/blog/so-sanh-gui-tiet-kiem-online-va-tai-quay
https://techcombank.com/thong-tin/blog/cach-tiet-kiem-tien
https://techcombank.com/thong-tin/blog/lap-ke-hoach-tai-chinh-ca-nhan
https://techcombank.com/thong-tin/blog/the-visa-co-thanh-toan-quoc-te-duoc-khong
https://techcombank.com/thong-tin/blog/tai-sao-gui-tiet-kiem-online-lai-suat-cao-hon
https://techcombank.com/thong-tin/blog/mo-the-tin-dung-khong-can-chung-minh-thu-nhap
https://techcombank.com/thong-tin/blog/lai-suat-chung-chi-tien-gui-cac-ngan-hang
https://techcombank.com/thong-tin/blog/the-napas-la-gi</v>
      </c>
    </row>
    <row r="69">
      <c r="A69" s="26">
        <v>63.0</v>
      </c>
      <c r="B69" s="27" t="s">
        <v>1128</v>
      </c>
      <c r="C69" s="28" t="s">
        <v>233</v>
      </c>
      <c r="D69" s="29">
        <v>30.0</v>
      </c>
      <c r="E69" s="30">
        <f>COUNTIF('Kế hoạch chèn link (mới)'!$B$3:$B$2213,B69)</f>
        <v>30</v>
      </c>
      <c r="F69" s="31">
        <f t="shared" si="1"/>
        <v>0</v>
      </c>
      <c r="G69" s="32" t="str">
        <f>IFERROR(__xludf.DUMMYFUNCTION("IFERROR(LET(t,FILTER('Kế hoạch chèn link (mới)'!$M$3:$M$2213,'Kế hoạch chèn link (mới)'!$B$3:$B$2213=B69),u,UNIQUE(t),c,MAP(u,LAMBDA(x,COUNTIF(t,x))),s,SORT(HSTACK(u,c),2,FALSE),TEXTJOIN(CHAR(10),TRUE,BYROW(s,LAMBDA(r,INDEX(r,1,1)&amp;"": ""&amp;INDEX(r,1,2)&amp;"" b"&amp;"ài"")))),"""")"),"Tiết kiệm &amp; lãi suất tiền gửi: 17 bài
Vay tiêu dùng &amp; tín chấp: 4 bài
Thẻ tín dụng: 3 bài
Tài khoản &amp; ngân hàng số: 3 bài
Đầu tư, CCTG, trái phiếu, vàng: 2 bài
Bảo hiểm: 1 bài")</f>
        <v>Tiết kiệm &amp; lãi suất tiền gửi: 17 bài
Vay tiêu dùng &amp; tín chấp: 4 bài
Thẻ tín dụng: 3 bài
Tài khoản &amp; ngân hàng số: 3 bài
Đầu tư, CCTG, trái phiếu, vàng: 2 bài
Bảo hiểm: 1 bài</v>
      </c>
      <c r="H69" s="33" t="str">
        <f>IFERROR(__xludf.DUMMYFUNCTION("TEXTJOIN(CHAR(10),TRUE,FILTER('Kế hoạch chèn link (mới)'!$D$3:$D$2213,'Kế hoạch chèn link (mới)'!$B$3:$B$2213=B69))"),"https://techcombank.com/thong-tin/blog/mo-so-tiet-kiem-can-bao-nhieu-tien
https://techcombank.com/thong-tin/blog/gui-them-tien-vao-so-tiet-kiem
https://techcombank.com/thong-tin/blog/vay-thau-chi-bang-so-tiet-kiem
https://techcombank.com/thong-tin/blog/qu"&amp;"y-trinh-gui-tien-tiet-kiem
https://techcombank.com/thong-tin/blog/mo-the-tin-dung-khong-can-chung-minh-thu-nhap
https://techcombank.com/thong-tin/blog/rut-tien-tiet-kiem-truoc-thoi-han
https://techcombank.com/thong-tin/blog/mo-the-tin-dung-han-muc-cao
htt"&amp;"ps://techcombank.com/thong-tin/blog/cach-dang-ky-the-visa
https://techcombank.com/thong-tin/blog/cach-sao-ke-tai-khoan-ngan-hang
https://techcombank.com/thong-tin/blog/cach-tiet-kiem-100-trieu-1-nam
https://techcombank.com/thong-tin/blog/nen-gui-tiet-kiem"&amp;"-thong-thuong-hay-tich-luy
https://techcombank.com/thong-tin/blog/tat-toan
https://techcombank.com/thong-tin/blog/dao-han-la-gi
https://techcombank.com/thong-tin/blog/co-nen-gui-tiet-kiem-online
https://techcombank.com/thong-tin/blog/rui-ro-khi-gui-tiet-k"&amp;"iem-online
https://techcombank.com/thong-tin/blog/mat-so-tiet-kiem
https://techcombank.com/thong-tin/blog/vay-thau-chi-la-gi
https://techcombank.com/thong-tin/blog/tat-toan-so-tiet-kiem
https://techcombank.com/thong-tin/blog/chung-chi-tien-gui-la-gi
https"&amp;"://techcombank.com/thong-tin/blog/co-nen-gui-tiet-kiem-ngan-hang
https://techcombank.com/thong-tin/blog/gui-tiet-kiem-ngoai-te
https://techcombank.com/thong-tin/blog/nen-gui-tiet-kiem-6-thang-hay-1-nam
https://techcombank.com/thong-tin/blog/mo-tai-khoan-t"&amp;"iet-kiem-cho-con
https://techcombank.com/thong-tin/blog/gui-tiet-kiem-online-bi-mat-tien
https://techcombank.com/thong-tin/blog/bao-hiem-nhan-tho-bao-nhieu-tien
https://techcombank.com/thong-tin/blog/cach-dong-tien-dien-qua-tai-khoan-ngan-hang
https://tec"&amp;"hcombank.com/thong-tin/blog/chung-chi-tien-gui-co-duoc-bao-hiem-khong
https://techcombank.com/thong-tin/blog/tai-khoan-thanh-toan-la-gi
https://techcombank.com/thong-tin/blog/tai-sao-gui-tiet-kiem-online-lai-suat-cao-hon
https://techcombank.com/thong-tin/"&amp;"blog/gui-tiet-kiem-tich-luy-la-gi")</f>
        <v>https://techcombank.com/thong-tin/blog/mo-so-tiet-kiem-can-bao-nhieu-tien
https://techcombank.com/thong-tin/blog/gui-them-tien-vao-so-tiet-kiem
https://techcombank.com/thong-tin/blog/vay-thau-chi-bang-so-tiet-kiem
https://techcombank.com/thong-tin/blog/quy-trinh-gui-tien-tiet-kiem
https://techcombank.com/thong-tin/blog/mo-the-tin-dung-khong-can-chung-minh-thu-nhap
https://techcombank.com/thong-tin/blog/rut-tien-tiet-kiem-truoc-thoi-han
https://techcombank.com/thong-tin/blog/mo-the-tin-dung-han-muc-cao
https://techcombank.com/thong-tin/blog/cach-dang-ky-the-visa
https://techcombank.com/thong-tin/blog/cach-sao-ke-tai-khoan-ngan-hang
https://techcombank.com/thong-tin/blog/cach-tiet-kiem-100-trieu-1-nam
https://techcombank.com/thong-tin/blog/nen-gui-tiet-kiem-thong-thuong-hay-tich-luy
https://techcombank.com/thong-tin/blog/tat-toan
https://techcombank.com/thong-tin/blog/dao-han-la-gi
https://techcombank.com/thong-tin/blog/co-nen-gui-tiet-kiem-online
https://techcombank.com/thong-tin/blog/rui-ro-khi-gui-tiet-kiem-online
https://techcombank.com/thong-tin/blog/mat-so-tiet-kiem
https://techcombank.com/thong-tin/blog/vay-thau-chi-la-gi
https://techcombank.com/thong-tin/blog/tat-toan-so-tiet-kiem
https://techcombank.com/thong-tin/blog/chung-chi-tien-gui-la-gi
https://techcombank.com/thong-tin/blog/co-nen-gui-tiet-kiem-ngan-hang
https://techcombank.com/thong-tin/blog/gui-tiet-kiem-ngoai-te
https://techcombank.com/thong-tin/blog/nen-gui-tiet-kiem-6-thang-hay-1-nam
https://techcombank.com/thong-tin/blog/mo-tai-khoan-tiet-kiem-cho-con
https://techcombank.com/thong-tin/blog/gui-tiet-kiem-online-bi-mat-tien
https://techcombank.com/thong-tin/blog/bao-hiem-nhan-tho-bao-nhieu-tien
https://techcombank.com/thong-tin/blog/cach-dong-tien-dien-qua-tai-khoan-ngan-hang
https://techcombank.com/thong-tin/blog/chung-chi-tien-gui-co-duoc-bao-hiem-khong
https://techcombank.com/thong-tin/blog/tai-khoan-thanh-toan-la-gi
https://techcombank.com/thong-tin/blog/tai-sao-gui-tiet-kiem-online-lai-suat-cao-hon
https://techcombank.com/thong-tin/blog/gui-tiet-kiem-tich-luy-la-gi</v>
      </c>
    </row>
    <row r="70">
      <c r="A70" s="26">
        <v>64.0</v>
      </c>
      <c r="B70" s="27" t="s">
        <v>1137</v>
      </c>
      <c r="C70" s="28" t="s">
        <v>233</v>
      </c>
      <c r="D70" s="29">
        <v>30.0</v>
      </c>
      <c r="E70" s="30">
        <f>COUNTIF('Kế hoạch chèn link (mới)'!$B$3:$B$2213,B70)</f>
        <v>26</v>
      </c>
      <c r="F70" s="31">
        <f t="shared" si="1"/>
        <v>4</v>
      </c>
      <c r="G70" s="32" t="str">
        <f>IFERROR(__xludf.DUMMYFUNCTION("IFERROR(LET(t,FILTER('Kế hoạch chèn link (mới)'!$M$3:$M$2213,'Kế hoạch chèn link (mới)'!$B$3:$B$2213=B70),u,UNIQUE(t),c,MAP(u,LAMBDA(x,COUNTIF(t,x))),s,SORT(HSTACK(u,c),2,FALSE),TEXTJOIN(CHAR(10),TRUE,BYROW(s,LAMBDA(r,INDEX(r,1,1)&amp;"": ""&amp;INDEX(r,1,2)&amp;"" b"&amp;"ài"")))),"""")"),"Tiết kiệm &amp; lãi suất tiền gửi: 11 bài
Tài khoản &amp; ngân hàng số: 3 bài
Thẻ tín dụng: 3 bài
Quản lý tài chính cá nhân: 2 bài
Đầu tư, CCTG, trái phiếu, vàng: 2 bài
Thanh toán, chuyển khoản &amp; QR: 2 bài
Ưu đãi, du lịch &amp; đời sống: 1 bài
Ngoại tệ &amp; chuyển tiền "&amp;"quốc tế: 1 bài
Bảo hiểm: 1 bài")</f>
        <v>Tiết kiệm &amp; lãi suất tiền gửi: 11 bài
Tài khoản &amp; ngân hàng số: 3 bài
Thẻ tín dụng: 3 bài
Quản lý tài chính cá nhân: 2 bài
Đầu tư, CCTG, trái phiếu, vàng: 2 bài
Thanh toán, chuyển khoản &amp; QR: 2 bài
Ưu đãi, du lịch &amp; đời sống: 1 bài
Ngoại tệ &amp; chuyển tiền quốc tế: 1 bài
Bảo hiểm: 1 bài</v>
      </c>
      <c r="H70" s="33" t="str">
        <f>IFERROR(__xludf.DUMMYFUNCTION("TEXTJOIN(CHAR(10),TRUE,FILTER('Kế hoạch chèn link (mới)'!$D$3:$D$2213,'Kế hoạch chèn link (mới)'!$B$3:$B$2213=B70))"),"https://techcombank.com/thong-tin/blog/tiet-kiem-tien-moi-ngay
https://techcombank.com/thong-tin/blog/hoc-cach-tiet-kiem-tien-luong
https://techcombank.com/thong-tin/blog/loi-ich-cua-viec-tiet-kiem-tien
https://techcombank.com/thong-tin/blog/so-tai-khoan-"&amp;"dep
https://techcombank.com/thong-tin/blog/ghi-chep-chi-tieu
https://techcombank.com/thong-tin/blog/cach-tiet-kiem-tien-sinh-loi
https://techcombank.com/thong-tin/blog/cach-tiet-kiem-tien-cua-nguoi-nhat
https://techcombank.com/thong-tin/blog/cach-tiet-kie"&amp;"m-tien-hieu-qua-cho-gia-dinh
https://techcombank.com/thong-tin/blog/the-nao-la-tiet-kiem
https://techcombank.com/thong-tin/blog/vi-dien-tu
https://techcombank.com/thong-tin/blog/ke-hoach-tai-chinh
https://techcombank.com/thong-tin/blog/qua-han-thanh-toan-"&amp;"the-tin-dung-1-ngay
https://techcombank.com/thong-tin/blog/chinh-sach-tang-luong-huu
https://techcombank.com/thong-tin/blog/tai-san-va-tieu-san-la-gi
https://techcombank.com/thong-tin/blog/gui-tiet-kiem-lay-lai-hang-thang
https://techcombank.com/thong-tin"&amp;"/blog/dang-ky-nhieu-tai-khoan-ngan-hang-co-sao-khong
https://techcombank.com/thong-tin/blog/cach-nap-the-mobi
https://techcombank.com/thong-tin/blog/cach-nap-the-vina
https://techcombank.com/thong-tin/blog/cach-tiet-kiem-tien-theo-tuan
https://techcombank"&amp;".com/thong-tin/blog/quan-ly-tai-chinh-cho-dan-van-phong
https://techcombank.com/thong-tin/blog/phi-rut-tien-mat-the-tin-dung
https://techcombank.com/thong-tin/blog/the-ghi-no-visa-la-gi
https://techcombank.com/thong-tin/blog/tinh-thanh-khoan-la-gi
https:/"&amp;"/techcombank.com/thong-tin/blog/cach-tinh-lai-suat-tien-gui-tiet-kiem
https://techcombank.com/thong-tin/blog/1-cmnd-dang-ky-duoc-may-tai-khoan-ngan-hang
https://techcombank.com/thong-tin/blog/bancassurance")</f>
        <v>https://techcombank.com/thong-tin/blog/tiet-kiem-tien-moi-ngay
https://techcombank.com/thong-tin/blog/hoc-cach-tiet-kiem-tien-luong
https://techcombank.com/thong-tin/blog/loi-ich-cua-viec-tiet-kiem-tien
https://techcombank.com/thong-tin/blog/so-tai-khoan-dep
https://techcombank.com/thong-tin/blog/ghi-chep-chi-tieu
https://techcombank.com/thong-tin/blog/cach-tiet-kiem-tien-sinh-loi
https://techcombank.com/thong-tin/blog/cach-tiet-kiem-tien-cua-nguoi-nhat
https://techcombank.com/thong-tin/blog/cach-tiet-kiem-tien-hieu-qua-cho-gia-dinh
https://techcombank.com/thong-tin/blog/the-nao-la-tiet-kiem
https://techcombank.com/thong-tin/blog/vi-dien-tu
https://techcombank.com/thong-tin/blog/ke-hoach-tai-chinh
https://techcombank.com/thong-tin/blog/qua-han-thanh-toan-the-tin-dung-1-ngay
https://techcombank.com/thong-tin/blog/chinh-sach-tang-luong-huu
https://techcombank.com/thong-tin/blog/tai-san-va-tieu-san-la-gi
https://techcombank.com/thong-tin/blog/gui-tiet-kiem-lay-lai-hang-thang
https://techcombank.com/thong-tin/blog/dang-ky-nhieu-tai-khoan-ngan-hang-co-sao-khong
https://techcombank.com/thong-tin/blog/cach-nap-the-mobi
https://techcombank.com/thong-tin/blog/cach-nap-the-vina
https://techcombank.com/thong-tin/blog/cach-tiet-kiem-tien-theo-tuan
https://techcombank.com/thong-tin/blog/quan-ly-tai-chinh-cho-dan-van-phong
https://techcombank.com/thong-tin/blog/phi-rut-tien-mat-the-tin-dung
https://techcombank.com/thong-tin/blog/the-ghi-no-visa-la-gi
https://techcombank.com/thong-tin/blog/tinh-thanh-khoan-la-gi
https://techcombank.com/thong-tin/blog/cach-tinh-lai-suat-tien-gui-tiet-kiem
https://techcombank.com/thong-tin/blog/1-cmnd-dang-ky-duoc-may-tai-khoan-ngan-hang
https://techcombank.com/thong-tin/blog/bancassurance</v>
      </c>
    </row>
    <row r="71">
      <c r="A71" s="26">
        <v>65.0</v>
      </c>
      <c r="B71" s="27" t="s">
        <v>1145</v>
      </c>
      <c r="C71" s="28" t="s">
        <v>233</v>
      </c>
      <c r="D71" s="29">
        <v>30.0</v>
      </c>
      <c r="E71" s="30">
        <f>COUNTIF('Kế hoạch chèn link (mới)'!$B$3:$B$2213,B71)</f>
        <v>28</v>
      </c>
      <c r="F71" s="31">
        <f t="shared" si="1"/>
        <v>2</v>
      </c>
      <c r="G71" s="32" t="str">
        <f>IFERROR(__xludf.DUMMYFUNCTION("IFERROR(LET(t,FILTER('Kế hoạch chèn link (mới)'!$M$3:$M$2213,'Kế hoạch chèn link (mới)'!$B$3:$B$2213=B71),u,UNIQUE(t),c,MAP(u,LAMBDA(x,COUNTIF(t,x))),s,SORT(HSTACK(u,c),2,FALSE),TEXTJOIN(CHAR(10),TRUE,BYROW(s,LAMBDA(r,INDEX(r,1,1)&amp;"": ""&amp;INDEX(r,1,2)&amp;"" b"&amp;"ài"")))),"""")"),"Tiết kiệm &amp; lãi suất tiền gửi: 13 bài
Đầu tư, CCTG, trái phiếu, vàng: 11 bài
Tài khoản &amp; ngân hàng số: 1 bài
Thẻ tín dụng: 1 bài
Vay thế chấp &amp; mua nhà/xe: 1 bài
Quản lý tài chính cá nhân: 1 bài")</f>
        <v>Tiết kiệm &amp; lãi suất tiền gửi: 13 bài
Đầu tư, CCTG, trái phiếu, vàng: 11 bài
Tài khoản &amp; ngân hàng số: 1 bài
Thẻ tín dụng: 1 bài
Vay thế chấp &amp; mua nhà/xe: 1 bài
Quản lý tài chính cá nhân: 1 bài</v>
      </c>
      <c r="H71" s="33" t="str">
        <f>IFERROR(__xludf.DUMMYFUNCTION("TEXTJOIN(CHAR(10),TRUE,FILTER('Kế hoạch chèn link (mới)'!$D$3:$D$2213,'Kế hoạch chèn link (mới)'!$B$3:$B$2213=B71))"),"https://techcombank.com/thong-tin/blog/so-sanh-gui-tiet-kiem-online-va-tai-quay
https://techcombank.com/thong-tin/blog/co-nen-gui-tiet-kiem-online
https://techcombank.com/thong-tin/blog/cach-gui-tiet-kiem-online
https://techcombank.com/thong-tin/blog/cach"&amp;"-tiet-kiem-tien-sinh-loi
https://techcombank.com/thong-tin/blog/mat-so-tiet-kiem
https://techcombank.com/thong-tin/blog/nen-de-tien-trong-the-hay-gui-tiet-kiem
https://techcombank.com/thong-tin/blog/kinh-nghiem-gui-tiet-kiem-online
https://techcombank.com"&amp;"/thong-tin/blog/gui-tiet-kiem-lay-lai-hang-thang
https://techcombank.com/thong-tin/blog/gui-tiet-kiem-hang-thang
https://techcombank.com/thong-tin/blog/gui-tiet-kiem-ngan-hang-van-la-lua-chon-an-toan-trong-thoi-ky-kinh-te-con-nhieu-bien-dong
https://techc"&amp;"ombank.com/thong-tin/blog/quy-trinh-gui-tien-tiet-kiem
https://techcombank.com/thong-tin/blog/lai-suat-tiet-kiem
https://techcombank.com/thong-tin/blog/quy-du-phong-tai-chinh-la-gi
https://techcombank.com/thong-tin/blog/5-trieu-mua-duoc-bao-nhieu-vang
htt"&amp;"ps://techcombank.com/thong-tin/blog/gui-tiet-kiem-vang
https://techcombank.com/thong-tin/blog/smart-otp-la-gi
https://techcombank.com/thong-tin/blog/chung-chi-tien-gui-co-duoc-bao-hiem-khong
https://techcombank.com/thong-tin/blog/chung-chi-tien-gui-co-pha"&amp;"i-la-trai-phieu-khong
https://techcombank.com/thong-tin/blog/rui-ro-khi-gui-tiet-kiem-ngan-hang
https://techcombank.com/thong-tin/blog/hom-nay-co-nen-mua-vang-khong
https://techcombank.com/thong-tin/blog/co-50-trieu-nen-mua-vang-hay-gui-tiet-kiem
https://"&amp;"techcombank.com/thong-tin/blog/the-visa-khong-thanh-toan-duoc
https://techcombank.com/thong-tin/blog/quy-trinh-tat-toan-khoan-vay-the-chap
https://techcombank.com/thong-tin/blog/phuong-phap-dau-tu-chung-chi-quy
https://techcombank.com/thong-tin/blog/cac-c"&amp;"hung-chi-quy-o-viet-nam
https://techcombank.com/thong-tin/blog/bao-hiem-lien-ket-dau-tu
https://techcombank.com/thong-tin/blog/chien-luoc-dau-tu
https://techcombank.com/thong-tin/blog/ke-hoach-huu-tri")</f>
        <v>https://techcombank.com/thong-tin/blog/so-sanh-gui-tiet-kiem-online-va-tai-quay
https://techcombank.com/thong-tin/blog/co-nen-gui-tiet-kiem-online
https://techcombank.com/thong-tin/blog/cach-gui-tiet-kiem-online
https://techcombank.com/thong-tin/blog/cach-tiet-kiem-tien-sinh-loi
https://techcombank.com/thong-tin/blog/mat-so-tiet-kiem
https://techcombank.com/thong-tin/blog/nen-de-tien-trong-the-hay-gui-tiet-kiem
https://techcombank.com/thong-tin/blog/kinh-nghiem-gui-tiet-kiem-online
https://techcombank.com/thong-tin/blog/gui-tiet-kiem-lay-lai-hang-thang
https://techcombank.com/thong-tin/blog/gui-tiet-kiem-hang-thang
https://techcombank.com/thong-tin/blog/gui-tiet-kiem-ngan-hang-van-la-lua-chon-an-toan-trong-thoi-ky-kinh-te-con-nhieu-bien-dong
https://techcombank.com/thong-tin/blog/quy-trinh-gui-tien-tiet-kiem
https://techcombank.com/thong-tin/blog/lai-suat-tiet-kiem
https://techcombank.com/thong-tin/blog/quy-du-phong-tai-chinh-la-gi
https://techcombank.com/thong-tin/blog/5-trieu-mua-duoc-bao-nhieu-vang
https://techcombank.com/thong-tin/blog/gui-tiet-kiem-vang
https://techcombank.com/thong-tin/blog/smart-otp-la-gi
https://techcombank.com/thong-tin/blog/chung-chi-tien-gui-co-duoc-bao-hiem-khong
https://techcombank.com/thong-tin/blog/chung-chi-tien-gui-co-phai-la-trai-phieu-khong
https://techcombank.com/thong-tin/blog/rui-ro-khi-gui-tiet-kiem-ngan-hang
https://techcombank.com/thong-tin/blog/hom-nay-co-nen-mua-vang-khong
https://techcombank.com/thong-tin/blog/co-50-trieu-nen-mua-vang-hay-gui-tiet-kiem
https://techcombank.com/thong-tin/blog/the-visa-khong-thanh-toan-duoc
https://techcombank.com/thong-tin/blog/quy-trinh-tat-toan-khoan-vay-the-chap
https://techcombank.com/thong-tin/blog/phuong-phap-dau-tu-chung-chi-quy
https://techcombank.com/thong-tin/blog/cac-chung-chi-quy-o-viet-nam
https://techcombank.com/thong-tin/blog/bao-hiem-lien-ket-dau-tu
https://techcombank.com/thong-tin/blog/chien-luoc-dau-tu
https://techcombank.com/thong-tin/blog/ke-hoach-huu-tri</v>
      </c>
    </row>
    <row r="72">
      <c r="A72" s="26">
        <v>71.0</v>
      </c>
      <c r="B72" s="27" t="s">
        <v>1158</v>
      </c>
      <c r="C72" s="28" t="s">
        <v>377</v>
      </c>
      <c r="D72" s="29">
        <v>30.0</v>
      </c>
      <c r="E72" s="30">
        <f>COUNTIF('Kế hoạch chèn link (mới)'!$B$3:$B$2213,B72)</f>
        <v>14</v>
      </c>
      <c r="F72" s="31">
        <f t="shared" si="1"/>
        <v>16</v>
      </c>
      <c r="G72" s="32" t="str">
        <f>IFERROR(__xludf.DUMMYFUNCTION("IFERROR(LET(t,FILTER('Kế hoạch chèn link (mới)'!$M$3:$M$2213,'Kế hoạch chèn link (mới)'!$B$3:$B$2213=B72),u,UNIQUE(t),c,MAP(u,LAMBDA(x,COUNTIF(t,x))),s,SORT(HSTACK(u,c),2,FALSE),TEXTJOIN(CHAR(10),TRUE,BYROW(s,LAMBDA(r,INDEX(r,1,1)&amp;"": ""&amp;INDEX(r,1,2)&amp;"" b"&amp;"ài"")))),"""")"),"Nợ xấu &amp; CIC: 7 bài
Vay tiêu dùng &amp; tín chấp: 3 bài
Thẻ tín dụng: 2 bài
Quản lý tài chính cá nhân: 1 bài
Thuế: 1 bài")</f>
        <v>Nợ xấu &amp; CIC: 7 bài
Vay tiêu dùng &amp; tín chấp: 3 bài
Thẻ tín dụng: 2 bài
Quản lý tài chính cá nhân: 1 bài
Thuế: 1 bài</v>
      </c>
      <c r="H72" s="33" t="str">
        <f>IFERROR(__xludf.DUMMYFUNCTION("TEXTJOIN(CHAR(10),TRUE,FILTER('Kế hoạch chèn link (mới)'!$D$3:$D$2213,'Kế hoạch chèn link (mới)'!$B$3:$B$2213=B72))"),"https://techcombank.com/thong-tin/blog/no-xau-mo-the-tin-dung-duoc-khong
https://techcombank.com/thong-tin/blog/no-xau
https://techcombank.com/thong-tin/blog/no-xau-la-gi
https://techcombank.com/thong-tin/blog/cic-la-gi
https://techcombank.com/thong-tin/b"&amp;"log/no-chu-y-la-gi
https://techcombank.com/thong-tin/blog/thanh-toan-toi-thieu-the-tin-dung
https://techcombank.com/thong-tin/blog/cach-huy-the-tin-dung
https://techcombank.com/thong-tin/blog/tra-gop-hoc-phi
https://techcombank.com/thong-tin/blog/lap-ke-h"&amp;"oach-chi-tieu-ca-nhan
https://techcombank.com/thong-tin/blog/vay-tin-chap-no-xau
https://techcombank.com/thong-tin/blog/no-xau-nhom-2
https://techcombank.com/thong-tin/blog/cach-tinh-thue-ho-kinh-doanh-nho-le
https://techcombank.com/thong-tin/blog/cam-ket"&amp;"-tin-dung
https://techcombank.com/thong-tin/blog/thanh-toan-tra-gop-qua-the-tin-dung")</f>
        <v>https://techcombank.com/thong-tin/blog/no-xau-mo-the-tin-dung-duoc-khong
https://techcombank.com/thong-tin/blog/no-xau
https://techcombank.com/thong-tin/blog/no-xau-la-gi
https://techcombank.com/thong-tin/blog/cic-la-gi
https://techcombank.com/thong-tin/blog/no-chu-y-la-gi
https://techcombank.com/thong-tin/blog/thanh-toan-toi-thieu-the-tin-dung
https://techcombank.com/thong-tin/blog/cach-huy-the-tin-dung
https://techcombank.com/thong-tin/blog/tra-gop-hoc-phi
https://techcombank.com/thong-tin/blog/lap-ke-hoach-chi-tieu-ca-nhan
https://techcombank.com/thong-tin/blog/vay-tin-chap-no-xau
https://techcombank.com/thong-tin/blog/no-xau-nhom-2
https://techcombank.com/thong-tin/blog/cach-tinh-thue-ho-kinh-doanh-nho-le
https://techcombank.com/thong-tin/blog/cam-ket-tin-dung
https://techcombank.com/thong-tin/blog/thanh-toan-tra-gop-qua-the-tin-dung</v>
      </c>
    </row>
    <row r="73">
      <c r="A73" s="26">
        <v>72.0</v>
      </c>
      <c r="B73" s="27" t="s">
        <v>1160</v>
      </c>
      <c r="C73" s="28" t="s">
        <v>377</v>
      </c>
      <c r="D73" s="29">
        <v>30.0</v>
      </c>
      <c r="E73" s="30">
        <f>COUNTIF('Kế hoạch chèn link (mới)'!$B$3:$B$2213,B73)</f>
        <v>23</v>
      </c>
      <c r="F73" s="31">
        <f t="shared" si="1"/>
        <v>7</v>
      </c>
      <c r="G73" s="32" t="str">
        <f>IFERROR(__xludf.DUMMYFUNCTION("IFERROR(LET(t,FILTER('Kế hoạch chèn link (mới)'!$M$3:$M$2213,'Kế hoạch chèn link (mới)'!$B$3:$B$2213=B73),u,UNIQUE(t),c,MAP(u,LAMBDA(x,COUNTIF(t,x))),s,SORT(HSTACK(u,c),2,FALSE),TEXTJOIN(CHAR(10),TRUE,BYROW(s,LAMBDA(r,INDEX(r,1,1)&amp;"": ""&amp;INDEX(r,1,2)&amp;"" b"&amp;"ài"")))),"""")"),"Vay tiêu dùng &amp; tín chấp: 6 bài
Thẻ tín dụng: 3 bài
Vay thế chấp &amp; mua nhà/xe: 2 bài
Hộ kinh doanh &amp; bán hàng: 2 bài
Tài khoản &amp; ngân hàng số: 2 bài
Doanh nghiệp (tài khoản, vay, tài chính): 2 bài
Nợ xấu &amp; CIC: 1 bài
Thẻ ATM &amp; thẻ ghi nợ: 1 bài
Ưu đãi, du"&amp;" lịch &amp; đời sống: 1 bài
Thanh toán, chuyển khoản &amp; QR: 1 bài
Đầu tư, CCTG, trái phiếu, vàng: 1 bài
Thuế: 1 bài")</f>
        <v>Vay tiêu dùng &amp; tín chấp: 6 bài
Thẻ tín dụng: 3 bài
Vay thế chấp &amp; mua nhà/xe: 2 bài
Hộ kinh doanh &amp; bán hàng: 2 bài
Tài khoản &amp; ngân hàng số: 2 bài
Doanh nghiệp (tài khoản, vay, tài chính): 2 bài
Nợ xấu &amp; CIC: 1 bài
Thẻ ATM &amp; thẻ ghi nợ: 1 bài
Ưu đãi, du lịch &amp; đời sống: 1 bài
Thanh toán, chuyển khoản &amp; QR: 1 bài
Đầu tư, CCTG, trái phiếu, vàng: 1 bài
Thuế: 1 bài</v>
      </c>
      <c r="H73" s="33" t="str">
        <f>IFERROR(__xludf.DUMMYFUNCTION("TEXTJOIN(CHAR(10),TRUE,FILTER('Kế hoạch chèn link (mới)'!$D$3:$D$2213,'Kế hoạch chèn link (mới)'!$B$3:$B$2213=B73))"),"https://techcombank.com/thong-tin/blog/vay-tin-chap-toi-da-duoc-bao-nhieu
https://techcombank.com/thong-tin/blog/lai-suat-vay-tin-chap
https://techcombank.com/thong-tin/blog/vay-the-chap-khong-chung-minh-thu-nhap
https://techcombank.com/thong-tin/blog/vay"&amp;"-ngan-hang-chi-can-cccd
https://techcombank.com/thong-tin/blog/lich-su-tin-dung
https://techcombank.com/thong-tin/blog/1-nguoi-co-the-lam-duoc-bao-nhieu-the-atm
https://techcombank.com/thong-tin/blog/barcode-la-gi
https://techcombank.com/thong-tin/blog/gi"&amp;"o-lam-viec-techcombank
https://techcombank.com/thong-tin/blog/tra-no-vay-thau-chi-nhu-the-nao
https://techcombank.com/thong-tin/blog/lam-the-tin-dung
https://techcombank.com/thong-tin/blog/the-tin-dung-la-gi
https://techcombank.com/thong-tin/blog/mo-them-"&amp;"tai-khoan-ngan-hang-cho-cong-ty
https://techcombank.com/thong-tin/blog/dang-vay-tra-gop-co-vay-them-duoc-khong
https://techcombank.com/thong-tin/blog/vay-tin-chap-khong-tra-duoc-co-sao-khong
https://techcombank.com/thong-tin/blog/chuong-trinh-khach-hang-t"&amp;"han-thiet
https://techcombank.com/thong-tin/blog/cach-chuyen-tien-qua-ma-qr-techcombank
https://techcombank.com/thong-tin/blog/co-nen-gui-chung-chi-tien-gui
https://techcombank.com/thong-tin/blog/ho-so-thu-tuc-xoa-the-chap
https://techcombank.com/thong-ti"&amp;"n/blog/phan-mem-xuat-hoa-don-dien-tu
https://techcombank.com/thong-tin/blog/quan-ly-chi-phi-doanh-nghiep
https://techcombank.com/thong-tin/blog/tai-khoan-ngan-hang-duoi-50k-co-bi-khoa-khong
https://techcombank.com/thong-tin/blog/thanh-lap-ho-kinh-doanh-ca"&amp;"-the
https://techcombank.com/thong-tin/blog/the-tin-dung-bi-khoa")</f>
        <v>https://techcombank.com/thong-tin/blog/vay-tin-chap-toi-da-duoc-bao-nhieu
https://techcombank.com/thong-tin/blog/lai-suat-vay-tin-chap
https://techcombank.com/thong-tin/blog/vay-the-chap-khong-chung-minh-thu-nhap
https://techcombank.com/thong-tin/blog/vay-ngan-hang-chi-can-cccd
https://techcombank.com/thong-tin/blog/lich-su-tin-dung
https://techcombank.com/thong-tin/blog/1-nguoi-co-the-lam-duoc-bao-nhieu-the-atm
https://techcombank.com/thong-tin/blog/barcode-la-gi
https://techcombank.com/thong-tin/blog/gio-lam-viec-techcombank
https://techcombank.com/thong-tin/blog/tra-no-vay-thau-chi-nhu-the-nao
https://techcombank.com/thong-tin/blog/lam-the-tin-dung
https://techcombank.com/thong-tin/blog/the-tin-dung-la-gi
https://techcombank.com/thong-tin/blog/mo-them-tai-khoan-ngan-hang-cho-cong-ty
https://techcombank.com/thong-tin/blog/dang-vay-tra-gop-co-vay-them-duoc-khong
https://techcombank.com/thong-tin/blog/vay-tin-chap-khong-tra-duoc-co-sao-khong
https://techcombank.com/thong-tin/blog/chuong-trinh-khach-hang-than-thiet
https://techcombank.com/thong-tin/blog/cach-chuyen-tien-qua-ma-qr-techcombank
https://techcombank.com/thong-tin/blog/co-nen-gui-chung-chi-tien-gui
https://techcombank.com/thong-tin/blog/ho-so-thu-tuc-xoa-the-chap
https://techcombank.com/thong-tin/blog/phan-mem-xuat-hoa-don-dien-tu
https://techcombank.com/thong-tin/blog/quan-ly-chi-phi-doanh-nghiep
https://techcombank.com/thong-tin/blog/tai-khoan-ngan-hang-duoi-50k-co-bi-khoa-khong
https://techcombank.com/thong-tin/blog/thanh-lap-ho-kinh-doanh-ca-the
https://techcombank.com/thong-tin/blog/the-tin-dung-bi-khoa</v>
      </c>
    </row>
    <row r="74">
      <c r="A74" s="26">
        <v>73.0</v>
      </c>
      <c r="B74" s="27" t="s">
        <v>1164</v>
      </c>
      <c r="C74" s="28" t="s">
        <v>377</v>
      </c>
      <c r="D74" s="29">
        <v>30.0</v>
      </c>
      <c r="E74" s="30">
        <f>COUNTIF('Kế hoạch chèn link (mới)'!$B$3:$B$2213,B74)</f>
        <v>30</v>
      </c>
      <c r="F74" s="31">
        <f t="shared" si="1"/>
        <v>0</v>
      </c>
      <c r="G74" s="32" t="str">
        <f>IFERROR(__xludf.DUMMYFUNCTION("IFERROR(LET(t,FILTER('Kế hoạch chèn link (mới)'!$M$3:$M$2213,'Kế hoạch chèn link (mới)'!$B$3:$B$2213=B74),u,UNIQUE(t),c,MAP(u,LAMBDA(x,COUNTIF(t,x))),s,SORT(HSTACK(u,c),2,FALSE),TEXTJOIN(CHAR(10),TRUE,BYROW(s,LAMBDA(r,INDEX(r,1,1)&amp;"": ""&amp;INDEX(r,1,2)&amp;"" b"&amp;"ài"")))),"""")"),"Nợ xấu &amp; CIC: 11 bài
Thẻ tín dụng: 10 bài
Vay tiêu dùng &amp; tín chấp: 5 bài
Vay thế chấp &amp; mua nhà/xe: 2 bài
Tiết kiệm &amp; lãi suất tiền gửi: 1 bài
Doanh nghiệp (tài khoản, vay, tài chính): 1 bài")</f>
        <v>Nợ xấu &amp; CIC: 11 bài
Thẻ tín dụng: 10 bài
Vay tiêu dùng &amp; tín chấp: 5 bài
Vay thế chấp &amp; mua nhà/xe: 2 bài
Tiết kiệm &amp; lãi suất tiền gửi: 1 bài
Doanh nghiệp (tài khoản, vay, tài chính): 1 bài</v>
      </c>
      <c r="H74" s="33" t="str">
        <f>IFERROR(__xludf.DUMMYFUNCTION("TEXTJOIN(CHAR(10),TRUE,FILTER('Kế hoạch chèn link (mới)'!$D$3:$D$2213,'Kế hoạch chèn link (mới)'!$B$3:$B$2213=B74))"),"https://techcombank.com/thong-tin/blog/no-nhom-3
https://techcombank.com/thong-tin/blog/co-nen-dung-the-tin-dung-khong
https://techcombank.com/thong-tin/blog/du-no-tin-dung-la-gi
https://techcombank.com/thong-tin/blog/no-the-tin-dung-qua-han
https://techc"&amp;"ombank.com/thong-tin/blog/lam-the-tin-dung
https://techcombank.com/thong-tin/blog/cach-dang-ky-the-visa
https://techcombank.com/thong-tin/blog/the-tin-dung-phu-la-gi
https://techcombank.com/thong-tin/blog/vay-tien-mat
https://techcombank.com/thong-tin/blo"&amp;"g/vay-tin-chap-la-gi
https://techcombank.com/thong-tin/blog/nang-han-muc-tin-dung
https://techcombank.com/thong-tin/blog/vay-thau-chi-la-gi
https://techcombank.com/thong-tin/blog/ho-so-vay-tin-chap
https://techcombank.com/thong-tin/blog/du-no-la-gi
https:"&amp;"//techcombank.com/thong-tin/blog/qua-han-thanh-toan-the-tin-dung-1-ngay
https://techcombank.com/thong-tin/blog/no-xau-co-lam-the-visa-duoc-khong
https://techcombank.com/thong-tin/blog/thanh-toan-toi-thieu-the-tin-dung
https://techcombank.com/thong-tin/blo"&amp;"g/the-tin-dung-bi-khoa
https://techcombank.com/thong-tin/blog/no-xau-co-vay-the-chap-duoc-khong
https://techcombank.com/thong-tin/blog/vay-tin-chap-no-xau
https://techcombank.com/thong-tin/blog/lai-suat-qua-han
https://techcombank.com/thong-tin/blog/cic-l"&amp;"a-gi
https://techcombank.com/thong-tin/blog/vay-tin-chap-theo-luong
https://techcombank.com/thong-tin/blog/dieu-kien-vay-the-chap
https://techcombank.com/thong-tin/blog/vay-the-chap-khong-tra-duoc
https://techcombank.com/thong-tin/blog/kiem-tra-no-xau
htt"&amp;"ps://techcombank.com/thong-tin/blog/no-xau-mo-the-tin-dung-duoc-khong
https://techcombank.com/thong-tin/blog/no-xau
https://techcombank.com/thong-tin/blog/nim-la-gi
https://techcombank.com/thong-tin/blog/lai-suat-vay-tin-chap
https://techcombank.com/thong"&amp;"-tin/blog/phi-rut-tien-mat-the-tin-dung")</f>
        <v>https://techcombank.com/thong-tin/blog/no-nhom-3
https://techcombank.com/thong-tin/blog/co-nen-dung-the-tin-dung-khong
https://techcombank.com/thong-tin/blog/du-no-tin-dung-la-gi
https://techcombank.com/thong-tin/blog/no-the-tin-dung-qua-han
https://techcombank.com/thong-tin/blog/lam-the-tin-dung
https://techcombank.com/thong-tin/blog/cach-dang-ky-the-visa
https://techcombank.com/thong-tin/blog/the-tin-dung-phu-la-gi
https://techcombank.com/thong-tin/blog/vay-tien-mat
https://techcombank.com/thong-tin/blog/vay-tin-chap-la-gi
https://techcombank.com/thong-tin/blog/nang-han-muc-tin-dung
https://techcombank.com/thong-tin/blog/vay-thau-chi-la-gi
https://techcombank.com/thong-tin/blog/ho-so-vay-tin-chap
https://techcombank.com/thong-tin/blog/du-no-la-gi
https://techcombank.com/thong-tin/blog/qua-han-thanh-toan-the-tin-dung-1-ngay
https://techcombank.com/thong-tin/blog/no-xau-co-lam-the-visa-duoc-khong
https://techcombank.com/thong-tin/blog/thanh-toan-toi-thieu-the-tin-dung
https://techcombank.com/thong-tin/blog/the-tin-dung-bi-khoa
https://techcombank.com/thong-tin/blog/no-xau-co-vay-the-chap-duoc-khong
https://techcombank.com/thong-tin/blog/vay-tin-chap-no-xau
https://techcombank.com/thong-tin/blog/lai-suat-qua-han
https://techcombank.com/thong-tin/blog/cic-la-gi
https://techcombank.com/thong-tin/blog/vay-tin-chap-theo-luong
https://techcombank.com/thong-tin/blog/dieu-kien-vay-the-chap
https://techcombank.com/thong-tin/blog/vay-the-chap-khong-tra-duoc
https://techcombank.com/thong-tin/blog/kiem-tra-no-xau
https://techcombank.com/thong-tin/blog/no-xau-mo-the-tin-dung-duoc-khong
https://techcombank.com/thong-tin/blog/no-xau
https://techcombank.com/thong-tin/blog/nim-la-gi
https://techcombank.com/thong-tin/blog/lai-suat-vay-tin-chap
https://techcombank.com/thong-tin/blog/phi-rut-tien-mat-the-tin-dung</v>
      </c>
    </row>
    <row r="75">
      <c r="A75" s="26">
        <v>74.0</v>
      </c>
      <c r="B75" s="27" t="s">
        <v>1171</v>
      </c>
      <c r="C75" s="28" t="s">
        <v>377</v>
      </c>
      <c r="D75" s="29">
        <v>30.0</v>
      </c>
      <c r="E75" s="30">
        <f>COUNTIF('Kế hoạch chèn link (mới)'!$B$3:$B$2213,B75)</f>
        <v>7</v>
      </c>
      <c r="F75" s="31">
        <f t="shared" si="1"/>
        <v>23</v>
      </c>
      <c r="G75" s="32" t="str">
        <f>IFERROR(__xludf.DUMMYFUNCTION("IFERROR(LET(t,FILTER('Kế hoạch chèn link (mới)'!$M$3:$M$2213,'Kế hoạch chèn link (mới)'!$B$3:$B$2213=B75),u,UNIQUE(t),c,MAP(u,LAMBDA(x,COUNTIF(t,x))),s,SORT(HSTACK(u,c),2,FALSE),TEXTJOIN(CHAR(10),TRUE,BYROW(s,LAMBDA(r,INDEX(r,1,1)&amp;"": ""&amp;INDEX(r,1,2)&amp;"" b"&amp;"ài"")))),"""")"),"Vay tiêu dùng &amp; tín chấp: 4 bài
Vay thế chấp &amp; mua nhà/xe: 1 bài
Tiết kiệm &amp; lãi suất tiền gửi: 1 bài
Thẻ tín dụng: 1 bài")</f>
        <v>Vay tiêu dùng &amp; tín chấp: 4 bài
Vay thế chấp &amp; mua nhà/xe: 1 bài
Tiết kiệm &amp; lãi suất tiền gửi: 1 bài
Thẻ tín dụng: 1 bài</v>
      </c>
      <c r="H75" s="33" t="str">
        <f>IFERROR(__xludf.DUMMYFUNCTION("TEXTJOIN(CHAR(10),TRUE,FILTER('Kế hoạch chèn link (mới)'!$D$3:$D$2213,'Kế hoạch chèn link (mới)'!$B$3:$B$2213=B75))"),"https://techcombank.com/thong-tin/blog/vay-the-chap-khong-tra-duoc
https://techcombank.com/thong-tin/blog/lai-suat-qua-han
https://techcombank.com/thong-tin/blog/no-the-tin-dung-qua-han
https://techcombank.com/thong-tin/blog/vay-tin-chap-la-gi
https://tec"&amp;"hcombank.com/thong-tin/blog/cac-hinh-thuc-cho-vay-tieu-dung
https://techcombank.com/thong-tin/blog/vay-200-trieu
https://techcombank.com/thong-tin/blog/vay-20-trieu")</f>
        <v>https://techcombank.com/thong-tin/blog/vay-the-chap-khong-tra-duoc
https://techcombank.com/thong-tin/blog/lai-suat-qua-han
https://techcombank.com/thong-tin/blog/no-the-tin-dung-qua-han
https://techcombank.com/thong-tin/blog/vay-tin-chap-la-gi
https://techcombank.com/thong-tin/blog/cac-hinh-thuc-cho-vay-tieu-dung
https://techcombank.com/thong-tin/blog/vay-200-trieu
https://techcombank.com/thong-tin/blog/vay-20-trieu</v>
      </c>
    </row>
    <row r="76">
      <c r="A76" s="26">
        <v>75.0</v>
      </c>
      <c r="B76" s="27" t="s">
        <v>1179</v>
      </c>
      <c r="C76" s="28" t="s">
        <v>1181</v>
      </c>
      <c r="D76" s="29">
        <v>30.0</v>
      </c>
      <c r="E76" s="30">
        <f>COUNTIF('Kế hoạch chèn link (mới)'!$B$3:$B$2213,B76)</f>
        <v>29</v>
      </c>
      <c r="F76" s="31">
        <f t="shared" si="1"/>
        <v>1</v>
      </c>
      <c r="G76" s="32" t="str">
        <f>IFERROR(__xludf.DUMMYFUNCTION("IFERROR(LET(t,FILTER('Kế hoạch chèn link (mới)'!$M$3:$M$2213,'Kế hoạch chèn link (mới)'!$B$3:$B$2213=B76),u,UNIQUE(t),c,MAP(u,LAMBDA(x,COUNTIF(t,x))),s,SORT(HSTACK(u,c),2,FALSE),TEXTJOIN(CHAR(10),TRUE,BYROW(s,LAMBDA(r,INDEX(r,1,1)&amp;"": ""&amp;INDEX(r,1,2)&amp;"" b"&amp;"ài"")))),"""")"),"Đầu tư, CCTG, trái phiếu, vàng: 18 bài
Quản lý tài chính cá nhân: 4 bài
Ngoại tệ &amp; chuyển tiền quốc tế: 2 bài
Tiết kiệm &amp; lãi suất tiền gửi: 2 bài
Ngân hàng xanh &amp; thương hiệu: 1 bài
Doanh nghiệp (tài khoản, vay, tài chính): 1 bài
Tài khoản &amp; ngân hàng số"&amp;": 1 bài")</f>
        <v>Đầu tư, CCTG, trái phiếu, vàng: 18 bài
Quản lý tài chính cá nhân: 4 bài
Ngoại tệ &amp; chuyển tiền quốc tế: 2 bài
Tiết kiệm &amp; lãi suất tiền gửi: 2 bài
Ngân hàng xanh &amp; thương hiệu: 1 bài
Doanh nghiệp (tài khoản, vay, tài chính): 1 bài
Tài khoản &amp; ngân hàng số: 1 bài</v>
      </c>
      <c r="H76" s="33" t="str">
        <f>IFERROR(__xludf.DUMMYFUNCTION("TEXTJOIN(CHAR(10),TRUE,FILTER('Kế hoạch chèn link (mới)'!$D$3:$D$2213,'Kế hoạch chèn link (mới)'!$B$3:$B$2213=B76))"),"https://techcombank.com/thong-tin/blog/chung-chi-quy
https://techcombank.com/thong-tin/blog/cach-dau-tu
https://techcombank.com/thong-tin/blog/lai-suat-chung-chi-quy
https://techcombank.com/thong-tin/blog/phan-bo-tai-san
https://techcombank.com/thong-tin/"&amp;"blog/chung-chi-quy-va-co-phieu
https://techcombank.com/thong-tin/blog/chung-chi-quy-va-chung-khoan
https://techcombank.com/thong-tin/blog/chien-luoc-dau-tu
https://techcombank.com/thong-tin/blog/cac-chung-chi-quy-o-viet-nam
https://techcombank.com/thong-t"&amp;"in/blog/cam-nang-dinh-cu-my
https://techcombank.com/thong-tin/blog/mua-chung-chi-quy
https://techcombank.com/thong-tin/blog/app-theo-doi-chung-chi-quy
https://techcombank.com/thong-tin/blog/bang-gia-chung-chi-quy
https://techcombank.com/thong-tin/blog/tho"&amp;"i-gian-khop-lech-chung-chi-quy
https://techcombank.com/thong-tin/blog/gia-chung-chi-quy-la-gi
https://techcombank.com/thong-tin/blog/lap-ke-hoach-tai-chinh-ca-nhan
https://techcombank.com/thong-tin/blog/6-chiec-lo-tai-chinh-ca-nhan
https://techcombank.com"&amp;"/thong-tin/blog/phan-mem-lap-ke-hoach-tai-chinh-ca-nhan
https://techcombank.com/thong-tin/blog/gia-tri-tai-san-rong
https://techcombank.com/thong-tin/blog/hu-chi-tieu
https://techcombank.com/thong-tin/blog/danh-muc-dau-tu
https://techcombank.com/thong-tin"&amp;"/blog/dau-co-va-dau-tu
https://techcombank.com/thong-tin/blog/dau-tu-tai-chinh-ca-nhan
https://techcombank.com/thong-tin/blog/dau-tu-dai-han
https://techcombank.com/thong-tin/blog/vi-du-ve-ca-nhan-hoa
https://techcombank.com/thong-tin/blog/tien-nhan-roi-n"&amp;"en-lam-gi
https://techcombank.com/thong-tin/blog/dinh-cu-chau-au
https://techcombank.com/thong-tin/blog/dau-tu-ngan-han
https://techcombank.com/thong-tin/blog/app-gui-tien-tiet-kiem
https://techcombank.com/thong-tin/blog/gui-tiet-kiem-vang")</f>
        <v>https://techcombank.com/thong-tin/blog/chung-chi-quy
https://techcombank.com/thong-tin/blog/cach-dau-tu
https://techcombank.com/thong-tin/blog/lai-suat-chung-chi-quy
https://techcombank.com/thong-tin/blog/phan-bo-tai-san
https://techcombank.com/thong-tin/blog/chung-chi-quy-va-co-phieu
https://techcombank.com/thong-tin/blog/chung-chi-quy-va-chung-khoan
https://techcombank.com/thong-tin/blog/chien-luoc-dau-tu
https://techcombank.com/thong-tin/blog/cac-chung-chi-quy-o-viet-nam
https://techcombank.com/thong-tin/blog/cam-nang-dinh-cu-my
https://techcombank.com/thong-tin/blog/mua-chung-chi-quy
https://techcombank.com/thong-tin/blog/app-theo-doi-chung-chi-quy
https://techcombank.com/thong-tin/blog/bang-gia-chung-chi-quy
https://techcombank.com/thong-tin/blog/thoi-gian-khop-lech-chung-chi-quy
https://techcombank.com/thong-tin/blog/gia-chung-chi-quy-la-gi
https://techcombank.com/thong-tin/blog/lap-ke-hoach-tai-chinh-ca-nhan
https://techcombank.com/thong-tin/blog/6-chiec-lo-tai-chinh-ca-nhan
https://techcombank.com/thong-tin/blog/phan-mem-lap-ke-hoach-tai-chinh-ca-nhan
https://techcombank.com/thong-tin/blog/gia-tri-tai-san-rong
https://techcombank.com/thong-tin/blog/hu-chi-tieu
https://techcombank.com/thong-tin/blog/danh-muc-dau-tu
https://techcombank.com/thong-tin/blog/dau-co-va-dau-tu
https://techcombank.com/thong-tin/blog/dau-tu-tai-chinh-ca-nhan
https://techcombank.com/thong-tin/blog/dau-tu-dai-han
https://techcombank.com/thong-tin/blog/vi-du-ve-ca-nhan-hoa
https://techcombank.com/thong-tin/blog/tien-nhan-roi-nen-lam-gi
https://techcombank.com/thong-tin/blog/dinh-cu-chau-au
https://techcombank.com/thong-tin/blog/dau-tu-ngan-han
https://techcombank.com/thong-tin/blog/app-gui-tien-tiet-kiem
https://techcombank.com/thong-tin/blog/gui-tiet-kiem-vang</v>
      </c>
    </row>
  </sheetData>
  <autoFilter ref="$A$1:$H$76"/>
  <conditionalFormatting sqref="F2:F76">
    <cfRule type="cellIs" dxfId="0" priority="1" stopIfTrue="1" operator="greaterThan">
      <formula>0</formula>
    </cfRule>
  </conditionalFormatting>
  <conditionalFormatting sqref="F2:F76">
    <cfRule type="cellIs" dxfId="1" priority="2" stopIfTrue="1" operator="equal">
      <formula>0</formula>
    </cfRule>
  </conditionalFormatting>
  <conditionalFormatting sqref="E2:G76">
    <cfRule type="expression" dxfId="2" priority="3" stopIfTrue="1">
      <formula>$E2&lt;&gt;$D2</formula>
    </cfRule>
  </conditionalFormatting>
  <conditionalFormatting sqref="E2:G76">
    <cfRule type="expression" dxfId="3" priority="4" stopIfTrue="1">
      <formula>$E2=$D2</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71.88"/>
    <col customWidth="1" min="3" max="3" width="16.38"/>
    <col customWidth="1" min="4" max="4" width="27.0"/>
    <col customWidth="1" min="5" max="5" width="35.5"/>
    <col customWidth="1" min="6" max="6" width="44.38"/>
  </cols>
  <sheetData>
    <row r="1">
      <c r="A1" s="41" t="s">
        <v>1</v>
      </c>
      <c r="B1" s="42" t="s">
        <v>1260</v>
      </c>
      <c r="C1" s="41" t="s">
        <v>1261</v>
      </c>
      <c r="D1" s="41" t="s">
        <v>1262</v>
      </c>
      <c r="E1" s="42" t="s">
        <v>1263</v>
      </c>
      <c r="F1" s="42" t="s">
        <v>1264</v>
      </c>
    </row>
    <row r="2">
      <c r="A2" s="41">
        <v>1.0</v>
      </c>
      <c r="B2" s="43" t="s">
        <v>53</v>
      </c>
      <c r="C2" s="41">
        <v>0.0</v>
      </c>
      <c r="D2" s="41">
        <v>0.0</v>
      </c>
    </row>
    <row r="3">
      <c r="A3" s="41">
        <v>2.0</v>
      </c>
      <c r="B3" s="43" t="s">
        <v>313</v>
      </c>
      <c r="C3" s="41">
        <v>0.0</v>
      </c>
      <c r="D3" s="41">
        <v>0.0</v>
      </c>
    </row>
    <row r="4">
      <c r="A4" s="41">
        <v>3.0</v>
      </c>
      <c r="B4" s="43" t="s">
        <v>316</v>
      </c>
      <c r="C4" s="41">
        <v>0.0</v>
      </c>
      <c r="D4" s="41">
        <v>0.0</v>
      </c>
    </row>
    <row r="5">
      <c r="A5" s="41">
        <v>4.0</v>
      </c>
      <c r="B5" s="43" t="s">
        <v>640</v>
      </c>
      <c r="C5" s="41">
        <v>0.0</v>
      </c>
      <c r="D5" s="41">
        <v>0.0</v>
      </c>
    </row>
    <row r="6">
      <c r="A6" s="41">
        <v>5.0</v>
      </c>
      <c r="B6" s="43" t="s">
        <v>753</v>
      </c>
      <c r="C6" s="41">
        <v>0.0</v>
      </c>
      <c r="D6" s="41">
        <v>0.0</v>
      </c>
    </row>
    <row r="7">
      <c r="A7" s="41">
        <v>6.0</v>
      </c>
      <c r="B7" s="43" t="s">
        <v>765</v>
      </c>
      <c r="C7" s="41">
        <v>0.0</v>
      </c>
      <c r="D7" s="41">
        <v>0.0</v>
      </c>
    </row>
    <row r="8">
      <c r="A8" s="41">
        <v>7.0</v>
      </c>
      <c r="B8" s="43" t="s">
        <v>769</v>
      </c>
      <c r="C8" s="41">
        <v>0.0</v>
      </c>
      <c r="D8" s="41">
        <v>0.0</v>
      </c>
    </row>
    <row r="9">
      <c r="A9" s="41">
        <v>8.0</v>
      </c>
      <c r="B9" s="43" t="s">
        <v>773</v>
      </c>
      <c r="C9" s="41">
        <v>0.0</v>
      </c>
      <c r="D9" s="41">
        <v>0.0</v>
      </c>
    </row>
    <row r="10">
      <c r="A10" s="41">
        <v>9.0</v>
      </c>
      <c r="B10" s="43" t="s">
        <v>758</v>
      </c>
      <c r="C10" s="41">
        <v>0.0</v>
      </c>
      <c r="D10" s="41">
        <v>0.0</v>
      </c>
    </row>
    <row r="11">
      <c r="A11" s="41">
        <v>10.0</v>
      </c>
      <c r="B11" s="43" t="s">
        <v>783</v>
      </c>
      <c r="C11" s="41">
        <v>0.0</v>
      </c>
      <c r="D11" s="41">
        <v>0.0</v>
      </c>
    </row>
    <row r="12">
      <c r="A12" s="41">
        <v>11.0</v>
      </c>
      <c r="B12" s="43" t="s">
        <v>654</v>
      </c>
      <c r="C12" s="41">
        <v>0.0</v>
      </c>
      <c r="D12" s="41">
        <v>0.0</v>
      </c>
    </row>
    <row r="13">
      <c r="A13" s="41">
        <v>12.0</v>
      </c>
      <c r="B13" s="43" t="s">
        <v>474</v>
      </c>
      <c r="C13" s="41">
        <v>0.0</v>
      </c>
      <c r="D13" s="41">
        <v>0.0</v>
      </c>
    </row>
    <row r="14">
      <c r="A14" s="41">
        <v>13.0</v>
      </c>
      <c r="B14" s="43" t="s">
        <v>792</v>
      </c>
      <c r="C14" s="41">
        <v>0.0</v>
      </c>
      <c r="D14" s="41">
        <v>0.0</v>
      </c>
    </row>
    <row r="15">
      <c r="A15" s="41">
        <v>14.0</v>
      </c>
      <c r="B15" s="43" t="s">
        <v>799</v>
      </c>
      <c r="C15" s="41">
        <v>0.0</v>
      </c>
      <c r="D15" s="41">
        <v>0.0</v>
      </c>
    </row>
    <row r="16">
      <c r="A16" s="41">
        <v>15.0</v>
      </c>
      <c r="B16" s="43" t="s">
        <v>810</v>
      </c>
      <c r="C16" s="41">
        <v>0.0</v>
      </c>
      <c r="D16" s="41">
        <v>0.0</v>
      </c>
    </row>
    <row r="17">
      <c r="A17" s="41">
        <v>16.0</v>
      </c>
      <c r="B17" s="43" t="s">
        <v>823</v>
      </c>
      <c r="C17" s="41">
        <v>0.0</v>
      </c>
      <c r="D17" s="41">
        <v>0.0</v>
      </c>
    </row>
    <row r="18">
      <c r="A18" s="41">
        <v>17.0</v>
      </c>
      <c r="B18" s="43" t="s">
        <v>834</v>
      </c>
      <c r="C18" s="41">
        <v>1.0</v>
      </c>
      <c r="D18" s="41">
        <v>1.0</v>
      </c>
      <c r="E18" s="42" t="s">
        <v>1332</v>
      </c>
      <c r="F18" s="43" t="s">
        <v>799</v>
      </c>
    </row>
    <row r="19">
      <c r="A19" s="41">
        <v>18.0</v>
      </c>
      <c r="B19" s="43" t="s">
        <v>835</v>
      </c>
      <c r="C19" s="41">
        <v>0.0</v>
      </c>
      <c r="D19" s="41">
        <v>0.0</v>
      </c>
    </row>
    <row r="20">
      <c r="A20" s="41">
        <v>19.0</v>
      </c>
      <c r="B20" s="43" t="s">
        <v>840</v>
      </c>
      <c r="C20" s="41">
        <v>0.0</v>
      </c>
      <c r="D20" s="41">
        <v>0.0</v>
      </c>
    </row>
    <row r="21">
      <c r="A21" s="41">
        <v>20.0</v>
      </c>
      <c r="B21" s="43" t="s">
        <v>850</v>
      </c>
      <c r="C21" s="41">
        <v>0.0</v>
      </c>
      <c r="D21" s="41">
        <v>0.0</v>
      </c>
    </row>
    <row r="22">
      <c r="A22" s="41">
        <v>21.0</v>
      </c>
      <c r="B22" s="43" t="s">
        <v>864</v>
      </c>
      <c r="C22" s="41">
        <v>0.0</v>
      </c>
      <c r="D22" s="41">
        <v>0.0</v>
      </c>
    </row>
    <row r="23">
      <c r="A23" s="41">
        <v>22.0</v>
      </c>
      <c r="B23" s="43" t="s">
        <v>876</v>
      </c>
      <c r="C23" s="41">
        <v>0.0</v>
      </c>
      <c r="D23" s="41">
        <v>0.0</v>
      </c>
    </row>
    <row r="24">
      <c r="A24" s="41">
        <v>23.0</v>
      </c>
      <c r="B24" s="43" t="s">
        <v>885</v>
      </c>
      <c r="C24" s="41">
        <v>0.0</v>
      </c>
      <c r="D24" s="41">
        <v>0.0</v>
      </c>
    </row>
    <row r="25">
      <c r="A25" s="41">
        <v>24.0</v>
      </c>
      <c r="B25" s="43" t="s">
        <v>403</v>
      </c>
      <c r="C25" s="41">
        <v>0.0</v>
      </c>
      <c r="D25" s="41">
        <v>0.0</v>
      </c>
    </row>
    <row r="26">
      <c r="A26" s="41">
        <v>25.0</v>
      </c>
      <c r="B26" s="43" t="s">
        <v>893</v>
      </c>
      <c r="C26" s="41">
        <v>0.0</v>
      </c>
      <c r="D26" s="41">
        <v>0.0</v>
      </c>
    </row>
    <row r="27">
      <c r="A27" s="41">
        <v>26.0</v>
      </c>
      <c r="B27" s="43" t="s">
        <v>900</v>
      </c>
      <c r="C27" s="41">
        <v>0.0</v>
      </c>
      <c r="D27" s="41">
        <v>0.0</v>
      </c>
    </row>
    <row r="28">
      <c r="A28" s="41">
        <v>27.0</v>
      </c>
      <c r="B28" s="43" t="s">
        <v>909</v>
      </c>
      <c r="C28" s="41">
        <v>0.0</v>
      </c>
      <c r="D28" s="41">
        <v>0.0</v>
      </c>
    </row>
    <row r="29">
      <c r="A29" s="41">
        <v>28.0</v>
      </c>
      <c r="B29" s="43" t="s">
        <v>93</v>
      </c>
      <c r="C29" s="41">
        <v>0.0</v>
      </c>
      <c r="D29" s="41">
        <v>0.0</v>
      </c>
    </row>
    <row r="30">
      <c r="A30" s="41">
        <v>29.0</v>
      </c>
      <c r="B30" s="43" t="s">
        <v>682</v>
      </c>
      <c r="C30" s="41">
        <v>0.0</v>
      </c>
      <c r="D30" s="41">
        <v>0.0</v>
      </c>
    </row>
    <row r="31">
      <c r="A31" s="41">
        <v>30.0</v>
      </c>
      <c r="B31" s="43" t="s">
        <v>918</v>
      </c>
      <c r="C31" s="41">
        <v>0.0</v>
      </c>
      <c r="D31" s="41">
        <v>0.0</v>
      </c>
    </row>
    <row r="32">
      <c r="A32" s="41">
        <v>31.0</v>
      </c>
      <c r="B32" s="43" t="s">
        <v>922</v>
      </c>
      <c r="C32" s="41">
        <v>0.0</v>
      </c>
      <c r="D32" s="41">
        <v>0.0</v>
      </c>
    </row>
    <row r="33">
      <c r="A33" s="41">
        <v>32.0</v>
      </c>
      <c r="B33" s="43" t="s">
        <v>925</v>
      </c>
      <c r="C33" s="41">
        <v>0.0</v>
      </c>
      <c r="D33" s="41">
        <v>0.0</v>
      </c>
    </row>
    <row r="34">
      <c r="A34" s="41">
        <v>33.0</v>
      </c>
      <c r="B34" s="43" t="s">
        <v>700</v>
      </c>
      <c r="C34" s="41">
        <v>0.0</v>
      </c>
      <c r="D34" s="41">
        <v>0.0</v>
      </c>
    </row>
    <row r="35">
      <c r="A35" s="41">
        <v>34.0</v>
      </c>
      <c r="B35" s="43" t="s">
        <v>934</v>
      </c>
      <c r="C35" s="41">
        <v>0.0</v>
      </c>
      <c r="D35" s="41">
        <v>0.0</v>
      </c>
    </row>
    <row r="36">
      <c r="A36" s="41">
        <v>35.0</v>
      </c>
      <c r="B36" s="43" t="s">
        <v>941</v>
      </c>
      <c r="C36" s="41">
        <v>0.0</v>
      </c>
      <c r="D36" s="41">
        <v>0.0</v>
      </c>
    </row>
    <row r="37">
      <c r="A37" s="41">
        <v>36.0</v>
      </c>
      <c r="B37" s="43" t="s">
        <v>949</v>
      </c>
      <c r="C37" s="41">
        <v>0.0</v>
      </c>
      <c r="D37" s="41">
        <v>0.0</v>
      </c>
    </row>
    <row r="38">
      <c r="A38" s="41">
        <v>37.0</v>
      </c>
      <c r="B38" s="43" t="s">
        <v>961</v>
      </c>
      <c r="C38" s="41">
        <v>0.0</v>
      </c>
      <c r="D38" s="41">
        <v>0.0</v>
      </c>
    </row>
    <row r="39">
      <c r="A39" s="41">
        <v>38.0</v>
      </c>
      <c r="B39" s="43" t="s">
        <v>732</v>
      </c>
      <c r="C39" s="41">
        <v>0.0</v>
      </c>
      <c r="D39" s="41">
        <v>0.0</v>
      </c>
    </row>
    <row r="40">
      <c r="A40" s="41">
        <v>39.0</v>
      </c>
      <c r="B40" s="43" t="s">
        <v>597</v>
      </c>
      <c r="C40" s="41">
        <v>0.0</v>
      </c>
      <c r="D40" s="41">
        <v>0.0</v>
      </c>
    </row>
    <row r="41">
      <c r="A41" s="41">
        <v>40.0</v>
      </c>
      <c r="B41" s="43" t="s">
        <v>979</v>
      </c>
      <c r="C41" s="41">
        <v>0.0</v>
      </c>
      <c r="D41" s="41">
        <v>0.0</v>
      </c>
    </row>
    <row r="42">
      <c r="A42" s="41">
        <v>41.0</v>
      </c>
      <c r="B42" s="43" t="s">
        <v>841</v>
      </c>
      <c r="C42" s="41">
        <v>0.0</v>
      </c>
      <c r="D42" s="41">
        <v>0.0</v>
      </c>
    </row>
    <row r="43">
      <c r="A43" s="41">
        <v>42.0</v>
      </c>
      <c r="B43" s="43" t="s">
        <v>830</v>
      </c>
      <c r="C43" s="41">
        <v>0.0</v>
      </c>
      <c r="D43" s="41">
        <v>0.0</v>
      </c>
    </row>
    <row r="44">
      <c r="A44" s="41">
        <v>43.0</v>
      </c>
      <c r="B44" s="43" t="s">
        <v>1002</v>
      </c>
      <c r="C44" s="41">
        <v>0.0</v>
      </c>
      <c r="D44" s="41">
        <v>0.0</v>
      </c>
    </row>
    <row r="45">
      <c r="A45" s="41">
        <v>44.0</v>
      </c>
      <c r="B45" s="43" t="s">
        <v>641</v>
      </c>
      <c r="C45" s="41">
        <v>0.0</v>
      </c>
      <c r="D45" s="41">
        <v>0.0</v>
      </c>
    </row>
    <row r="46">
      <c r="A46" s="41">
        <v>45.0</v>
      </c>
      <c r="B46" s="43" t="s">
        <v>1020</v>
      </c>
      <c r="C46" s="41">
        <v>0.0</v>
      </c>
      <c r="D46" s="41">
        <v>0.0</v>
      </c>
    </row>
    <row r="47">
      <c r="A47" s="41">
        <v>46.0</v>
      </c>
      <c r="B47" s="43" t="s">
        <v>757</v>
      </c>
      <c r="C47" s="41">
        <v>0.0</v>
      </c>
      <c r="D47" s="41">
        <v>0.0</v>
      </c>
    </row>
    <row r="48">
      <c r="A48" s="41">
        <v>47.0</v>
      </c>
      <c r="B48" s="43" t="s">
        <v>908</v>
      </c>
      <c r="C48" s="41">
        <v>0.0</v>
      </c>
      <c r="D48" s="41">
        <v>0.0</v>
      </c>
    </row>
    <row r="49">
      <c r="A49" s="41">
        <v>48.0</v>
      </c>
      <c r="B49" s="43" t="s">
        <v>1038</v>
      </c>
      <c r="C49" s="41">
        <v>0.0</v>
      </c>
      <c r="D49" s="41">
        <v>0.0</v>
      </c>
    </row>
    <row r="50">
      <c r="A50" s="41">
        <v>49.0</v>
      </c>
      <c r="B50" s="43" t="s">
        <v>1047</v>
      </c>
      <c r="C50" s="41">
        <v>0.0</v>
      </c>
      <c r="D50" s="41">
        <v>0.0</v>
      </c>
    </row>
    <row r="51">
      <c r="A51" s="41">
        <v>50.0</v>
      </c>
      <c r="B51" s="43" t="s">
        <v>1056</v>
      </c>
      <c r="C51" s="41">
        <v>0.0</v>
      </c>
      <c r="D51" s="41">
        <v>0.0</v>
      </c>
    </row>
    <row r="52">
      <c r="A52" s="41">
        <v>51.0</v>
      </c>
      <c r="B52" s="43" t="s">
        <v>1064</v>
      </c>
      <c r="C52" s="41">
        <v>0.0</v>
      </c>
      <c r="D52" s="41">
        <v>0.0</v>
      </c>
    </row>
    <row r="53">
      <c r="A53" s="41">
        <v>52.0</v>
      </c>
      <c r="B53" s="43" t="s">
        <v>591</v>
      </c>
      <c r="C53" s="41">
        <v>0.0</v>
      </c>
      <c r="D53" s="41">
        <v>0.0</v>
      </c>
    </row>
    <row r="54">
      <c r="A54" s="41">
        <v>53.0</v>
      </c>
      <c r="B54" s="43" t="s">
        <v>1074</v>
      </c>
      <c r="C54" s="41">
        <v>0.0</v>
      </c>
      <c r="D54" s="41">
        <v>0.0</v>
      </c>
    </row>
    <row r="55">
      <c r="A55" s="41">
        <v>54.0</v>
      </c>
      <c r="B55" s="43" t="s">
        <v>1090</v>
      </c>
      <c r="C55" s="41">
        <v>0.0</v>
      </c>
      <c r="D55" s="41">
        <v>0.0</v>
      </c>
    </row>
    <row r="56">
      <c r="A56" s="41">
        <v>55.0</v>
      </c>
      <c r="B56" s="43" t="s">
        <v>1100</v>
      </c>
      <c r="C56" s="41">
        <v>0.0</v>
      </c>
      <c r="D56" s="41">
        <v>0.0</v>
      </c>
    </row>
    <row r="57">
      <c r="A57" s="41">
        <v>56.0</v>
      </c>
      <c r="B57" s="43" t="s">
        <v>1105</v>
      </c>
      <c r="C57" s="41">
        <v>0.0</v>
      </c>
      <c r="D57" s="41">
        <v>0.0</v>
      </c>
    </row>
    <row r="58">
      <c r="A58" s="41">
        <v>57.0</v>
      </c>
      <c r="B58" s="43" t="s">
        <v>723</v>
      </c>
      <c r="C58" s="41">
        <v>0.0</v>
      </c>
      <c r="D58" s="41">
        <v>0.0</v>
      </c>
    </row>
    <row r="59">
      <c r="A59" s="41">
        <v>58.0</v>
      </c>
      <c r="B59" s="43" t="s">
        <v>236</v>
      </c>
      <c r="C59" s="41">
        <v>0.0</v>
      </c>
      <c r="D59" s="41">
        <v>0.0</v>
      </c>
    </row>
    <row r="60">
      <c r="A60" s="41">
        <v>59.0</v>
      </c>
      <c r="B60" s="43" t="s">
        <v>1116</v>
      </c>
      <c r="C60" s="41">
        <v>0.0</v>
      </c>
      <c r="D60" s="41">
        <v>0.0</v>
      </c>
    </row>
    <row r="61">
      <c r="A61" s="41">
        <v>60.0</v>
      </c>
      <c r="B61" s="43" t="s">
        <v>231</v>
      </c>
      <c r="C61" s="41">
        <v>0.0</v>
      </c>
      <c r="D61" s="41">
        <v>0.0</v>
      </c>
    </row>
    <row r="62">
      <c r="A62" s="41">
        <v>61.0</v>
      </c>
      <c r="B62" s="43" t="s">
        <v>464</v>
      </c>
      <c r="C62" s="41">
        <v>0.0</v>
      </c>
      <c r="D62" s="41">
        <v>0.0</v>
      </c>
    </row>
    <row r="63">
      <c r="A63" s="41">
        <v>62.0</v>
      </c>
      <c r="B63" s="43" t="s">
        <v>1122</v>
      </c>
      <c r="C63" s="41">
        <v>0.0</v>
      </c>
      <c r="D63" s="41">
        <v>0.0</v>
      </c>
    </row>
    <row r="64">
      <c r="A64" s="41">
        <v>63.0</v>
      </c>
      <c r="B64" s="43" t="s">
        <v>1128</v>
      </c>
      <c r="C64" s="41">
        <v>0.0</v>
      </c>
      <c r="D64" s="41">
        <v>0.0</v>
      </c>
    </row>
    <row r="65">
      <c r="A65" s="41">
        <v>64.0</v>
      </c>
      <c r="B65" s="43" t="s">
        <v>1137</v>
      </c>
      <c r="C65" s="41">
        <v>0.0</v>
      </c>
      <c r="D65" s="41">
        <v>0.0</v>
      </c>
    </row>
    <row r="66">
      <c r="A66" s="41">
        <v>65.0</v>
      </c>
      <c r="B66" s="43" t="s">
        <v>1145</v>
      </c>
      <c r="C66" s="41">
        <v>0.0</v>
      </c>
      <c r="D66" s="41">
        <v>0.0</v>
      </c>
    </row>
    <row r="67">
      <c r="A67" s="41">
        <v>66.0</v>
      </c>
      <c r="B67" s="43" t="s">
        <v>551</v>
      </c>
      <c r="C67" s="41">
        <v>0.0</v>
      </c>
      <c r="D67" s="41">
        <v>0.0</v>
      </c>
    </row>
    <row r="68">
      <c r="A68" s="41">
        <v>67.0</v>
      </c>
      <c r="B68" s="43" t="s">
        <v>614</v>
      </c>
      <c r="C68" s="41">
        <v>0.0</v>
      </c>
      <c r="D68" s="41">
        <v>0.0</v>
      </c>
    </row>
    <row r="69">
      <c r="A69" s="41">
        <v>68.0</v>
      </c>
      <c r="B69" s="43" t="s">
        <v>374</v>
      </c>
      <c r="C69" s="41">
        <v>0.0</v>
      </c>
      <c r="D69" s="41">
        <v>0.0</v>
      </c>
    </row>
    <row r="70">
      <c r="A70" s="41">
        <v>69.0</v>
      </c>
      <c r="B70" s="43" t="s">
        <v>624</v>
      </c>
      <c r="C70" s="41">
        <v>0.0</v>
      </c>
      <c r="D70" s="41">
        <v>0.0</v>
      </c>
    </row>
    <row r="71">
      <c r="A71" s="41">
        <v>70.0</v>
      </c>
      <c r="B71" s="43" t="s">
        <v>735</v>
      </c>
      <c r="C71" s="41">
        <v>0.0</v>
      </c>
      <c r="D71" s="41">
        <v>0.0</v>
      </c>
    </row>
    <row r="72">
      <c r="A72" s="41">
        <v>71.0</v>
      </c>
      <c r="B72" s="43" t="s">
        <v>1158</v>
      </c>
      <c r="C72" s="41">
        <v>0.0</v>
      </c>
      <c r="D72" s="41">
        <v>0.0</v>
      </c>
    </row>
    <row r="73">
      <c r="A73" s="41">
        <v>72.0</v>
      </c>
      <c r="B73" s="43" t="s">
        <v>1160</v>
      </c>
      <c r="C73" s="41">
        <v>0.0</v>
      </c>
      <c r="D73" s="41">
        <v>0.0</v>
      </c>
    </row>
    <row r="74">
      <c r="A74" s="41">
        <v>73.0</v>
      </c>
      <c r="B74" s="43" t="s">
        <v>1164</v>
      </c>
      <c r="C74" s="41">
        <v>0.0</v>
      </c>
      <c r="D74" s="41">
        <v>0.0</v>
      </c>
    </row>
    <row r="75">
      <c r="A75" s="41">
        <v>74.0</v>
      </c>
      <c r="B75" s="43" t="s">
        <v>1171</v>
      </c>
      <c r="C75" s="41">
        <v>0.0</v>
      </c>
      <c r="D75" s="41">
        <v>0.0</v>
      </c>
    </row>
    <row r="76">
      <c r="A76" s="41">
        <v>75.0</v>
      </c>
      <c r="B76" s="43" t="s">
        <v>1179</v>
      </c>
      <c r="C76" s="41">
        <v>0.0</v>
      </c>
      <c r="D76" s="41">
        <v>0.0</v>
      </c>
    </row>
    <row r="77">
      <c r="A77" s="44"/>
      <c r="C77" s="44"/>
      <c r="D77" s="44"/>
    </row>
    <row r="78">
      <c r="A78" s="44"/>
      <c r="B78" s="42" t="s">
        <v>1511</v>
      </c>
      <c r="C78" s="41">
        <v>1.0</v>
      </c>
      <c r="D78" s="44"/>
    </row>
    <row r="79">
      <c r="A79" s="44"/>
      <c r="B79" s="42" t="s">
        <v>1512</v>
      </c>
      <c r="C79" s="41">
        <v>74.0</v>
      </c>
      <c r="D79" s="44"/>
    </row>
    <row r="80">
      <c r="A80" s="44"/>
      <c r="B80" s="42" t="s">
        <v>1513</v>
      </c>
      <c r="C80" s="41">
        <v>1.0</v>
      </c>
      <c r="D80" s="44"/>
    </row>
    <row r="81">
      <c r="A81" s="44"/>
      <c r="C81" s="44"/>
      <c r="D81" s="44"/>
    </row>
    <row r="82">
      <c r="A82" s="44"/>
      <c r="C82" s="44"/>
      <c r="D82" s="44"/>
    </row>
    <row r="83">
      <c r="A83" s="44"/>
      <c r="C83" s="44"/>
      <c r="D83" s="44"/>
    </row>
    <row r="84">
      <c r="A84" s="44"/>
      <c r="C84" s="44"/>
      <c r="D84" s="44"/>
    </row>
    <row r="85">
      <c r="A85" s="44"/>
      <c r="C85" s="44"/>
      <c r="D85" s="44"/>
    </row>
    <row r="86">
      <c r="A86" s="44"/>
      <c r="C86" s="44"/>
      <c r="D86" s="44"/>
    </row>
    <row r="87">
      <c r="A87" s="44"/>
      <c r="C87" s="44"/>
      <c r="D87" s="44"/>
    </row>
    <row r="88">
      <c r="A88" s="44"/>
      <c r="C88" s="44"/>
      <c r="D88" s="44"/>
    </row>
    <row r="89">
      <c r="A89" s="44"/>
      <c r="C89" s="44"/>
      <c r="D89" s="44"/>
    </row>
    <row r="90">
      <c r="A90" s="44"/>
      <c r="C90" s="44"/>
      <c r="D90" s="44"/>
    </row>
    <row r="91">
      <c r="A91" s="44"/>
      <c r="C91" s="44"/>
      <c r="D91" s="44"/>
    </row>
    <row r="92">
      <c r="A92" s="44"/>
      <c r="C92" s="44"/>
      <c r="D92" s="44"/>
    </row>
    <row r="93">
      <c r="A93" s="44"/>
      <c r="C93" s="44"/>
      <c r="D93" s="44"/>
    </row>
    <row r="94">
      <c r="A94" s="44"/>
      <c r="C94" s="44"/>
      <c r="D94" s="44"/>
    </row>
    <row r="95">
      <c r="A95" s="44"/>
      <c r="C95" s="44"/>
      <c r="D95" s="44"/>
    </row>
    <row r="96">
      <c r="A96" s="44"/>
      <c r="C96" s="44"/>
      <c r="D96" s="44"/>
    </row>
    <row r="97">
      <c r="A97" s="44"/>
      <c r="C97" s="44"/>
      <c r="D97" s="44"/>
    </row>
    <row r="98">
      <c r="A98" s="44"/>
      <c r="C98" s="44"/>
      <c r="D98" s="44"/>
    </row>
    <row r="99">
      <c r="A99" s="44"/>
      <c r="C99" s="44"/>
      <c r="D99" s="44"/>
    </row>
    <row r="100">
      <c r="A100" s="44"/>
      <c r="C100" s="44"/>
      <c r="D100" s="44"/>
    </row>
    <row r="101">
      <c r="A101" s="44"/>
      <c r="C101" s="44"/>
      <c r="D101" s="44"/>
    </row>
    <row r="102">
      <c r="A102" s="44"/>
      <c r="C102" s="44"/>
      <c r="D102" s="44"/>
    </row>
    <row r="103">
      <c r="A103" s="44"/>
      <c r="C103" s="44"/>
      <c r="D103" s="44"/>
    </row>
    <row r="104">
      <c r="A104" s="44"/>
      <c r="C104" s="44"/>
      <c r="D104" s="44"/>
    </row>
    <row r="105">
      <c r="A105" s="44"/>
      <c r="C105" s="44"/>
      <c r="D105" s="44"/>
    </row>
    <row r="106">
      <c r="A106" s="44"/>
      <c r="C106" s="44"/>
      <c r="D106" s="44"/>
    </row>
    <row r="107">
      <c r="A107" s="44"/>
      <c r="C107" s="44"/>
      <c r="D107" s="44"/>
    </row>
    <row r="108">
      <c r="A108" s="44"/>
      <c r="C108" s="44"/>
      <c r="D108" s="44"/>
    </row>
    <row r="109">
      <c r="A109" s="44"/>
      <c r="C109" s="44"/>
      <c r="D109" s="44"/>
    </row>
    <row r="110">
      <c r="A110" s="44"/>
      <c r="C110" s="44"/>
      <c r="D110" s="44"/>
    </row>
    <row r="111">
      <c r="A111" s="44"/>
      <c r="C111" s="44"/>
      <c r="D111" s="44"/>
    </row>
    <row r="112">
      <c r="A112" s="44"/>
      <c r="C112" s="44"/>
      <c r="D112" s="44"/>
    </row>
    <row r="113">
      <c r="A113" s="44"/>
      <c r="C113" s="44"/>
      <c r="D113" s="44"/>
    </row>
    <row r="114">
      <c r="A114" s="44"/>
      <c r="C114" s="44"/>
      <c r="D114" s="44"/>
    </row>
    <row r="115">
      <c r="A115" s="44"/>
      <c r="C115" s="44"/>
      <c r="D115" s="44"/>
    </row>
    <row r="116">
      <c r="A116" s="44"/>
      <c r="C116" s="44"/>
      <c r="D116" s="44"/>
    </row>
    <row r="117">
      <c r="A117" s="44"/>
      <c r="C117" s="44"/>
      <c r="D117" s="44"/>
    </row>
    <row r="118">
      <c r="A118" s="44"/>
      <c r="C118" s="44"/>
      <c r="D118" s="44"/>
    </row>
    <row r="119">
      <c r="A119" s="44"/>
      <c r="C119" s="44"/>
      <c r="D119" s="44"/>
    </row>
    <row r="120">
      <c r="A120" s="44"/>
      <c r="C120" s="44"/>
      <c r="D120" s="44"/>
    </row>
    <row r="121">
      <c r="A121" s="44"/>
      <c r="C121" s="44"/>
      <c r="D121" s="44"/>
    </row>
    <row r="122">
      <c r="A122" s="44"/>
      <c r="C122" s="44"/>
      <c r="D122" s="44"/>
    </row>
    <row r="123">
      <c r="A123" s="44"/>
      <c r="C123" s="44"/>
      <c r="D123" s="44"/>
    </row>
    <row r="124">
      <c r="A124" s="44"/>
      <c r="C124" s="44"/>
      <c r="D124" s="44"/>
    </row>
    <row r="125">
      <c r="A125" s="44"/>
      <c r="C125" s="44"/>
      <c r="D125" s="44"/>
    </row>
    <row r="126">
      <c r="A126" s="44"/>
      <c r="C126" s="44"/>
      <c r="D126" s="44"/>
    </row>
    <row r="127">
      <c r="A127" s="44"/>
      <c r="C127" s="44"/>
      <c r="D127" s="44"/>
    </row>
    <row r="128">
      <c r="A128" s="44"/>
      <c r="C128" s="44"/>
      <c r="D128" s="44"/>
    </row>
    <row r="129">
      <c r="A129" s="44"/>
      <c r="C129" s="44"/>
      <c r="D129" s="44"/>
    </row>
    <row r="130">
      <c r="A130" s="44"/>
      <c r="C130" s="44"/>
      <c r="D130" s="44"/>
    </row>
    <row r="131">
      <c r="A131" s="44"/>
      <c r="C131" s="44"/>
      <c r="D131" s="44"/>
    </row>
    <row r="132">
      <c r="A132" s="44"/>
      <c r="C132" s="44"/>
      <c r="D132" s="44"/>
    </row>
    <row r="133">
      <c r="A133" s="44"/>
      <c r="C133" s="44"/>
      <c r="D133" s="44"/>
    </row>
    <row r="134">
      <c r="A134" s="44"/>
      <c r="C134" s="44"/>
      <c r="D134" s="44"/>
    </row>
    <row r="135">
      <c r="A135" s="44"/>
      <c r="C135" s="44"/>
      <c r="D135" s="44"/>
    </row>
    <row r="136">
      <c r="A136" s="44"/>
      <c r="C136" s="44"/>
      <c r="D136" s="44"/>
    </row>
    <row r="137">
      <c r="A137" s="44"/>
      <c r="C137" s="44"/>
      <c r="D137" s="44"/>
    </row>
    <row r="138">
      <c r="A138" s="44"/>
      <c r="C138" s="44"/>
      <c r="D138" s="44"/>
    </row>
    <row r="139">
      <c r="A139" s="44"/>
      <c r="C139" s="44"/>
      <c r="D139" s="44"/>
    </row>
    <row r="140">
      <c r="A140" s="44"/>
      <c r="C140" s="44"/>
      <c r="D140" s="44"/>
    </row>
    <row r="141">
      <c r="A141" s="44"/>
      <c r="C141" s="44"/>
      <c r="D141" s="44"/>
    </row>
    <row r="142">
      <c r="A142" s="44"/>
      <c r="C142" s="44"/>
      <c r="D142" s="44"/>
    </row>
    <row r="143">
      <c r="A143" s="44"/>
      <c r="C143" s="44"/>
      <c r="D143" s="44"/>
    </row>
    <row r="144">
      <c r="A144" s="44"/>
      <c r="C144" s="44"/>
      <c r="D144" s="44"/>
    </row>
    <row r="145">
      <c r="A145" s="44"/>
      <c r="C145" s="44"/>
      <c r="D145" s="44"/>
    </row>
    <row r="146">
      <c r="A146" s="44"/>
      <c r="C146" s="44"/>
      <c r="D146" s="44"/>
    </row>
    <row r="147">
      <c r="A147" s="44"/>
      <c r="C147" s="44"/>
      <c r="D147" s="44"/>
    </row>
    <row r="148">
      <c r="A148" s="44"/>
      <c r="C148" s="44"/>
      <c r="D148" s="44"/>
    </row>
    <row r="149">
      <c r="A149" s="44"/>
      <c r="C149" s="44"/>
      <c r="D149" s="44"/>
    </row>
    <row r="150">
      <c r="A150" s="44"/>
      <c r="C150" s="44"/>
      <c r="D150" s="44"/>
    </row>
    <row r="151">
      <c r="A151" s="44"/>
      <c r="C151" s="44"/>
      <c r="D151" s="44"/>
    </row>
    <row r="152">
      <c r="A152" s="44"/>
      <c r="C152" s="44"/>
      <c r="D152" s="44"/>
    </row>
    <row r="153">
      <c r="A153" s="44"/>
      <c r="C153" s="44"/>
      <c r="D153" s="44"/>
    </row>
    <row r="154">
      <c r="A154" s="44"/>
      <c r="C154" s="44"/>
      <c r="D154" s="44"/>
    </row>
    <row r="155">
      <c r="A155" s="44"/>
      <c r="C155" s="44"/>
      <c r="D155" s="44"/>
    </row>
    <row r="156">
      <c r="A156" s="44"/>
      <c r="C156" s="44"/>
      <c r="D156" s="44"/>
    </row>
    <row r="157">
      <c r="A157" s="44"/>
      <c r="C157" s="44"/>
      <c r="D157" s="44"/>
    </row>
    <row r="158">
      <c r="A158" s="44"/>
      <c r="C158" s="44"/>
      <c r="D158" s="44"/>
    </row>
    <row r="159">
      <c r="A159" s="44"/>
      <c r="C159" s="44"/>
      <c r="D159" s="44"/>
    </row>
    <row r="160">
      <c r="A160" s="44"/>
      <c r="C160" s="44"/>
      <c r="D160" s="44"/>
    </row>
    <row r="161">
      <c r="A161" s="44"/>
      <c r="C161" s="44"/>
      <c r="D161" s="44"/>
    </row>
    <row r="162">
      <c r="A162" s="44"/>
      <c r="C162" s="44"/>
      <c r="D162" s="44"/>
    </row>
    <row r="163">
      <c r="A163" s="44"/>
      <c r="C163" s="44"/>
      <c r="D163" s="44"/>
    </row>
    <row r="164">
      <c r="A164" s="44"/>
      <c r="C164" s="44"/>
      <c r="D164" s="44"/>
    </row>
    <row r="165">
      <c r="A165" s="44"/>
      <c r="C165" s="44"/>
      <c r="D165" s="44"/>
    </row>
    <row r="166">
      <c r="A166" s="44"/>
      <c r="C166" s="44"/>
      <c r="D166" s="44"/>
    </row>
    <row r="167">
      <c r="A167" s="44"/>
      <c r="C167" s="44"/>
      <c r="D167" s="44"/>
    </row>
    <row r="168">
      <c r="A168" s="44"/>
      <c r="C168" s="44"/>
      <c r="D168" s="44"/>
    </row>
    <row r="169">
      <c r="A169" s="44"/>
      <c r="C169" s="44"/>
      <c r="D169" s="44"/>
    </row>
    <row r="170">
      <c r="A170" s="44"/>
      <c r="C170" s="44"/>
      <c r="D170" s="44"/>
    </row>
    <row r="171">
      <c r="A171" s="44"/>
      <c r="C171" s="44"/>
      <c r="D171" s="44"/>
    </row>
    <row r="172">
      <c r="A172" s="44"/>
      <c r="C172" s="44"/>
      <c r="D172" s="44"/>
    </row>
    <row r="173">
      <c r="A173" s="44"/>
      <c r="C173" s="44"/>
      <c r="D173" s="44"/>
    </row>
    <row r="174">
      <c r="A174" s="44"/>
      <c r="C174" s="44"/>
      <c r="D174" s="44"/>
    </row>
    <row r="175">
      <c r="A175" s="44"/>
      <c r="C175" s="44"/>
      <c r="D175" s="44"/>
    </row>
    <row r="176">
      <c r="A176" s="44"/>
      <c r="C176" s="44"/>
      <c r="D176" s="44"/>
    </row>
    <row r="177">
      <c r="A177" s="44"/>
      <c r="C177" s="44"/>
      <c r="D177" s="44"/>
    </row>
    <row r="178">
      <c r="A178" s="44"/>
      <c r="C178" s="44"/>
      <c r="D178" s="44"/>
    </row>
    <row r="179">
      <c r="A179" s="44"/>
      <c r="C179" s="44"/>
      <c r="D179" s="44"/>
    </row>
    <row r="180">
      <c r="A180" s="44"/>
      <c r="C180" s="44"/>
      <c r="D180" s="44"/>
    </row>
    <row r="181">
      <c r="A181" s="44"/>
      <c r="C181" s="44"/>
      <c r="D181" s="44"/>
    </row>
    <row r="182">
      <c r="A182" s="44"/>
      <c r="C182" s="44"/>
      <c r="D182" s="44"/>
    </row>
    <row r="183">
      <c r="A183" s="44"/>
      <c r="C183" s="44"/>
      <c r="D183" s="44"/>
    </row>
    <row r="184">
      <c r="A184" s="44"/>
      <c r="C184" s="44"/>
      <c r="D184" s="44"/>
    </row>
    <row r="185">
      <c r="A185" s="44"/>
      <c r="C185" s="44"/>
      <c r="D185" s="44"/>
    </row>
    <row r="186">
      <c r="A186" s="44"/>
      <c r="C186" s="44"/>
      <c r="D186" s="44"/>
    </row>
    <row r="187">
      <c r="A187" s="44"/>
      <c r="C187" s="44"/>
      <c r="D187" s="44"/>
    </row>
    <row r="188">
      <c r="A188" s="44"/>
      <c r="C188" s="44"/>
      <c r="D188" s="44"/>
    </row>
    <row r="189">
      <c r="A189" s="44"/>
      <c r="C189" s="44"/>
      <c r="D189" s="44"/>
    </row>
    <row r="190">
      <c r="A190" s="44"/>
      <c r="C190" s="44"/>
      <c r="D190" s="44"/>
    </row>
    <row r="191">
      <c r="A191" s="44"/>
      <c r="C191" s="44"/>
      <c r="D191" s="44"/>
    </row>
    <row r="192">
      <c r="A192" s="44"/>
      <c r="C192" s="44"/>
      <c r="D192" s="44"/>
    </row>
    <row r="193">
      <c r="A193" s="44"/>
      <c r="C193" s="44"/>
      <c r="D193" s="44"/>
    </row>
    <row r="194">
      <c r="A194" s="44"/>
      <c r="C194" s="44"/>
      <c r="D194" s="44"/>
    </row>
    <row r="195">
      <c r="A195" s="44"/>
      <c r="C195" s="44"/>
      <c r="D195" s="44"/>
    </row>
    <row r="196">
      <c r="A196" s="44"/>
      <c r="C196" s="44"/>
      <c r="D196" s="44"/>
    </row>
    <row r="197">
      <c r="A197" s="44"/>
      <c r="C197" s="44"/>
      <c r="D197" s="44"/>
    </row>
    <row r="198">
      <c r="A198" s="44"/>
      <c r="C198" s="44"/>
      <c r="D198" s="44"/>
    </row>
    <row r="199">
      <c r="A199" s="44"/>
      <c r="C199" s="44"/>
      <c r="D199" s="44"/>
    </row>
    <row r="200">
      <c r="A200" s="44"/>
      <c r="C200" s="44"/>
      <c r="D200" s="44"/>
    </row>
    <row r="201">
      <c r="A201" s="44"/>
      <c r="C201" s="44"/>
      <c r="D201" s="44"/>
    </row>
    <row r="202">
      <c r="A202" s="44"/>
      <c r="C202" s="44"/>
      <c r="D202" s="44"/>
    </row>
    <row r="203">
      <c r="A203" s="44"/>
      <c r="C203" s="44"/>
      <c r="D203" s="44"/>
    </row>
    <row r="204">
      <c r="A204" s="44"/>
      <c r="C204" s="44"/>
      <c r="D204" s="44"/>
    </row>
    <row r="205">
      <c r="A205" s="44"/>
      <c r="C205" s="44"/>
      <c r="D205" s="44"/>
    </row>
    <row r="206">
      <c r="A206" s="44"/>
      <c r="C206" s="44"/>
      <c r="D206" s="44"/>
    </row>
    <row r="207">
      <c r="A207" s="44"/>
      <c r="C207" s="44"/>
      <c r="D207" s="44"/>
    </row>
    <row r="208">
      <c r="A208" s="44"/>
      <c r="C208" s="44"/>
      <c r="D208" s="44"/>
    </row>
    <row r="209">
      <c r="A209" s="44"/>
      <c r="C209" s="44"/>
      <c r="D209" s="44"/>
    </row>
    <row r="210">
      <c r="A210" s="44"/>
      <c r="C210" s="44"/>
      <c r="D210" s="44"/>
    </row>
    <row r="211">
      <c r="A211" s="44"/>
      <c r="C211" s="44"/>
      <c r="D211" s="44"/>
    </row>
    <row r="212">
      <c r="A212" s="44"/>
      <c r="C212" s="44"/>
      <c r="D212" s="44"/>
    </row>
    <row r="213">
      <c r="A213" s="44"/>
      <c r="C213" s="44"/>
      <c r="D213" s="44"/>
    </row>
    <row r="214">
      <c r="A214" s="44"/>
      <c r="C214" s="44"/>
      <c r="D214" s="44"/>
    </row>
    <row r="215">
      <c r="A215" s="44"/>
      <c r="C215" s="44"/>
      <c r="D215" s="44"/>
    </row>
    <row r="216">
      <c r="A216" s="44"/>
      <c r="C216" s="44"/>
      <c r="D216" s="44"/>
    </row>
    <row r="217">
      <c r="A217" s="44"/>
      <c r="C217" s="44"/>
      <c r="D217" s="44"/>
    </row>
    <row r="218">
      <c r="A218" s="44"/>
      <c r="C218" s="44"/>
      <c r="D218" s="44"/>
    </row>
    <row r="219">
      <c r="A219" s="44"/>
      <c r="C219" s="44"/>
      <c r="D219" s="44"/>
    </row>
    <row r="220">
      <c r="A220" s="44"/>
      <c r="C220" s="44"/>
      <c r="D220" s="44"/>
    </row>
    <row r="221">
      <c r="A221" s="44"/>
      <c r="C221" s="44"/>
      <c r="D221" s="44"/>
    </row>
    <row r="222">
      <c r="A222" s="44"/>
      <c r="C222" s="44"/>
      <c r="D222" s="44"/>
    </row>
    <row r="223">
      <c r="A223" s="44"/>
      <c r="C223" s="44"/>
      <c r="D223" s="44"/>
    </row>
    <row r="224">
      <c r="A224" s="44"/>
      <c r="C224" s="44"/>
      <c r="D224" s="44"/>
    </row>
    <row r="225">
      <c r="A225" s="44"/>
      <c r="C225" s="44"/>
      <c r="D225" s="44"/>
    </row>
    <row r="226">
      <c r="A226" s="44"/>
      <c r="C226" s="44"/>
      <c r="D226" s="44"/>
    </row>
    <row r="227">
      <c r="A227" s="44"/>
      <c r="C227" s="44"/>
      <c r="D227" s="44"/>
    </row>
    <row r="228">
      <c r="A228" s="44"/>
      <c r="C228" s="44"/>
      <c r="D228" s="44"/>
    </row>
    <row r="229">
      <c r="A229" s="44"/>
      <c r="C229" s="44"/>
      <c r="D229" s="44"/>
    </row>
    <row r="230">
      <c r="A230" s="44"/>
      <c r="C230" s="44"/>
      <c r="D230" s="44"/>
    </row>
    <row r="231">
      <c r="A231" s="44"/>
      <c r="C231" s="44"/>
      <c r="D231" s="44"/>
    </row>
    <row r="232">
      <c r="A232" s="44"/>
      <c r="C232" s="44"/>
      <c r="D232" s="44"/>
    </row>
    <row r="233">
      <c r="A233" s="44"/>
      <c r="C233" s="44"/>
      <c r="D233" s="44"/>
    </row>
    <row r="234">
      <c r="A234" s="44"/>
      <c r="C234" s="44"/>
      <c r="D234" s="44"/>
    </row>
    <row r="235">
      <c r="A235" s="44"/>
      <c r="C235" s="44"/>
      <c r="D235" s="44"/>
    </row>
    <row r="236">
      <c r="A236" s="44"/>
      <c r="C236" s="44"/>
      <c r="D236" s="44"/>
    </row>
    <row r="237">
      <c r="A237" s="44"/>
      <c r="C237" s="44"/>
      <c r="D237" s="44"/>
    </row>
    <row r="238">
      <c r="A238" s="44"/>
      <c r="C238" s="44"/>
      <c r="D238" s="44"/>
    </row>
    <row r="239">
      <c r="A239" s="44"/>
      <c r="C239" s="44"/>
      <c r="D239" s="44"/>
    </row>
    <row r="240">
      <c r="A240" s="44"/>
      <c r="C240" s="44"/>
      <c r="D240" s="44"/>
    </row>
    <row r="241">
      <c r="A241" s="44"/>
      <c r="C241" s="44"/>
      <c r="D241" s="44"/>
    </row>
    <row r="242">
      <c r="A242" s="44"/>
      <c r="C242" s="44"/>
      <c r="D242" s="44"/>
    </row>
    <row r="243">
      <c r="A243" s="44"/>
      <c r="C243" s="44"/>
      <c r="D243" s="44"/>
    </row>
    <row r="244">
      <c r="A244" s="44"/>
      <c r="C244" s="44"/>
      <c r="D244" s="44"/>
    </row>
    <row r="245">
      <c r="A245" s="44"/>
      <c r="C245" s="44"/>
      <c r="D245" s="44"/>
    </row>
    <row r="246">
      <c r="A246" s="44"/>
      <c r="C246" s="44"/>
      <c r="D246" s="44"/>
    </row>
    <row r="247">
      <c r="A247" s="44"/>
      <c r="C247" s="44"/>
      <c r="D247" s="44"/>
    </row>
    <row r="248">
      <c r="A248" s="44"/>
      <c r="C248" s="44"/>
      <c r="D248" s="44"/>
    </row>
    <row r="249">
      <c r="A249" s="44"/>
      <c r="C249" s="44"/>
      <c r="D249" s="44"/>
    </row>
    <row r="250">
      <c r="A250" s="44"/>
      <c r="C250" s="44"/>
      <c r="D250" s="44"/>
    </row>
    <row r="251">
      <c r="A251" s="44"/>
      <c r="C251" s="44"/>
      <c r="D251" s="44"/>
    </row>
    <row r="252">
      <c r="A252" s="44"/>
      <c r="C252" s="44"/>
      <c r="D252" s="44"/>
    </row>
    <row r="253">
      <c r="A253" s="44"/>
      <c r="C253" s="44"/>
      <c r="D253" s="44"/>
    </row>
    <row r="254">
      <c r="A254" s="44"/>
      <c r="C254" s="44"/>
      <c r="D254" s="44"/>
    </row>
    <row r="255">
      <c r="A255" s="44"/>
      <c r="C255" s="44"/>
      <c r="D255" s="44"/>
    </row>
    <row r="256">
      <c r="A256" s="44"/>
      <c r="C256" s="44"/>
      <c r="D256" s="44"/>
    </row>
    <row r="257">
      <c r="A257" s="44"/>
      <c r="C257" s="44"/>
      <c r="D257" s="44"/>
    </row>
    <row r="258">
      <c r="A258" s="44"/>
      <c r="C258" s="44"/>
      <c r="D258" s="44"/>
    </row>
    <row r="259">
      <c r="A259" s="44"/>
      <c r="C259" s="44"/>
      <c r="D259" s="44"/>
    </row>
    <row r="260">
      <c r="A260" s="44"/>
      <c r="C260" s="44"/>
      <c r="D260" s="44"/>
    </row>
    <row r="261">
      <c r="A261" s="44"/>
      <c r="C261" s="44"/>
      <c r="D261" s="44"/>
    </row>
    <row r="262">
      <c r="A262" s="44"/>
      <c r="C262" s="44"/>
      <c r="D262" s="44"/>
    </row>
    <row r="263">
      <c r="A263" s="44"/>
      <c r="C263" s="44"/>
      <c r="D263" s="44"/>
    </row>
    <row r="264">
      <c r="A264" s="44"/>
      <c r="C264" s="44"/>
      <c r="D264" s="44"/>
    </row>
    <row r="265">
      <c r="A265" s="44"/>
      <c r="C265" s="44"/>
      <c r="D265" s="44"/>
    </row>
    <row r="266">
      <c r="A266" s="44"/>
      <c r="C266" s="44"/>
      <c r="D266" s="44"/>
    </row>
    <row r="267">
      <c r="A267" s="44"/>
      <c r="C267" s="44"/>
      <c r="D267" s="44"/>
    </row>
    <row r="268">
      <c r="A268" s="44"/>
      <c r="C268" s="44"/>
      <c r="D268" s="44"/>
    </row>
    <row r="269">
      <c r="A269" s="44"/>
      <c r="C269" s="44"/>
      <c r="D269" s="44"/>
    </row>
    <row r="270">
      <c r="A270" s="44"/>
      <c r="C270" s="44"/>
      <c r="D270" s="44"/>
    </row>
    <row r="271">
      <c r="A271" s="44"/>
      <c r="C271" s="44"/>
      <c r="D271" s="44"/>
    </row>
    <row r="272">
      <c r="A272" s="44"/>
      <c r="C272" s="44"/>
      <c r="D272" s="44"/>
    </row>
    <row r="273">
      <c r="A273" s="44"/>
      <c r="C273" s="44"/>
      <c r="D273" s="44"/>
    </row>
    <row r="274">
      <c r="A274" s="44"/>
      <c r="C274" s="44"/>
      <c r="D274" s="44"/>
    </row>
    <row r="275">
      <c r="A275" s="44"/>
      <c r="C275" s="44"/>
      <c r="D275" s="44"/>
    </row>
    <row r="276">
      <c r="A276" s="44"/>
      <c r="C276" s="44"/>
      <c r="D276" s="44"/>
    </row>
    <row r="277">
      <c r="A277" s="44"/>
      <c r="C277" s="44"/>
      <c r="D277" s="44"/>
    </row>
    <row r="278">
      <c r="A278" s="44"/>
      <c r="C278" s="44"/>
      <c r="D278" s="44"/>
    </row>
    <row r="279">
      <c r="A279" s="44"/>
      <c r="C279" s="44"/>
      <c r="D279" s="44"/>
    </row>
    <row r="280">
      <c r="A280" s="44"/>
      <c r="C280" s="44"/>
      <c r="D280" s="44"/>
    </row>
    <row r="281">
      <c r="A281" s="44"/>
      <c r="C281" s="44"/>
      <c r="D281" s="44"/>
    </row>
    <row r="282">
      <c r="A282" s="44"/>
      <c r="C282" s="44"/>
      <c r="D282" s="44"/>
    </row>
    <row r="283">
      <c r="A283" s="44"/>
      <c r="C283" s="44"/>
      <c r="D283" s="44"/>
    </row>
    <row r="284">
      <c r="A284" s="44"/>
      <c r="C284" s="44"/>
      <c r="D284" s="44"/>
    </row>
    <row r="285">
      <c r="A285" s="44"/>
      <c r="C285" s="44"/>
      <c r="D285" s="44"/>
    </row>
    <row r="286">
      <c r="A286" s="44"/>
      <c r="C286" s="44"/>
      <c r="D286" s="44"/>
    </row>
    <row r="287">
      <c r="A287" s="44"/>
      <c r="C287" s="44"/>
      <c r="D287" s="44"/>
    </row>
    <row r="288">
      <c r="A288" s="44"/>
      <c r="C288" s="44"/>
      <c r="D288" s="44"/>
    </row>
    <row r="289">
      <c r="A289" s="44"/>
      <c r="C289" s="44"/>
      <c r="D289" s="44"/>
    </row>
    <row r="290">
      <c r="A290" s="44"/>
      <c r="C290" s="44"/>
      <c r="D290" s="44"/>
    </row>
    <row r="291">
      <c r="A291" s="44"/>
      <c r="C291" s="44"/>
      <c r="D291" s="44"/>
    </row>
    <row r="292">
      <c r="A292" s="44"/>
      <c r="C292" s="44"/>
      <c r="D292" s="44"/>
    </row>
    <row r="293">
      <c r="A293" s="44"/>
      <c r="C293" s="44"/>
      <c r="D293" s="44"/>
    </row>
    <row r="294">
      <c r="A294" s="44"/>
      <c r="C294" s="44"/>
      <c r="D294" s="44"/>
    </row>
    <row r="295">
      <c r="A295" s="44"/>
      <c r="C295" s="44"/>
      <c r="D295" s="44"/>
    </row>
    <row r="296">
      <c r="A296" s="44"/>
      <c r="C296" s="44"/>
      <c r="D296" s="44"/>
    </row>
    <row r="297">
      <c r="A297" s="44"/>
      <c r="C297" s="44"/>
      <c r="D297" s="44"/>
    </row>
    <row r="298">
      <c r="A298" s="44"/>
      <c r="C298" s="44"/>
      <c r="D298" s="44"/>
    </row>
    <row r="299">
      <c r="A299" s="44"/>
      <c r="C299" s="44"/>
      <c r="D299" s="44"/>
    </row>
    <row r="300">
      <c r="A300" s="44"/>
      <c r="C300" s="44"/>
      <c r="D300" s="44"/>
    </row>
    <row r="301">
      <c r="A301" s="44"/>
      <c r="C301" s="44"/>
      <c r="D301" s="44"/>
    </row>
    <row r="302">
      <c r="A302" s="44"/>
      <c r="C302" s="44"/>
      <c r="D302" s="44"/>
    </row>
    <row r="303">
      <c r="A303" s="44"/>
      <c r="C303" s="44"/>
      <c r="D303" s="44"/>
    </row>
    <row r="304">
      <c r="A304" s="44"/>
      <c r="C304" s="44"/>
      <c r="D304" s="44"/>
    </row>
    <row r="305">
      <c r="A305" s="44"/>
      <c r="C305" s="44"/>
      <c r="D305" s="44"/>
    </row>
    <row r="306">
      <c r="A306" s="44"/>
      <c r="C306" s="44"/>
      <c r="D306" s="44"/>
    </row>
    <row r="307">
      <c r="A307" s="44"/>
      <c r="C307" s="44"/>
      <c r="D307" s="44"/>
    </row>
    <row r="308">
      <c r="A308" s="44"/>
      <c r="C308" s="44"/>
      <c r="D308" s="44"/>
    </row>
    <row r="309">
      <c r="A309" s="44"/>
      <c r="C309" s="44"/>
      <c r="D309" s="44"/>
    </row>
    <row r="310">
      <c r="A310" s="44"/>
      <c r="C310" s="44"/>
      <c r="D310" s="44"/>
    </row>
    <row r="311">
      <c r="A311" s="44"/>
      <c r="C311" s="44"/>
      <c r="D311" s="44"/>
    </row>
    <row r="312">
      <c r="A312" s="44"/>
      <c r="C312" s="44"/>
      <c r="D312" s="44"/>
    </row>
    <row r="313">
      <c r="A313" s="44"/>
      <c r="C313" s="44"/>
      <c r="D313" s="44"/>
    </row>
    <row r="314">
      <c r="A314" s="44"/>
      <c r="C314" s="44"/>
      <c r="D314" s="44"/>
    </row>
    <row r="315">
      <c r="A315" s="44"/>
      <c r="C315" s="44"/>
      <c r="D315" s="44"/>
    </row>
    <row r="316">
      <c r="A316" s="44"/>
      <c r="C316" s="44"/>
      <c r="D316" s="44"/>
    </row>
    <row r="317">
      <c r="A317" s="44"/>
      <c r="C317" s="44"/>
      <c r="D317" s="44"/>
    </row>
    <row r="318">
      <c r="A318" s="44"/>
      <c r="C318" s="44"/>
      <c r="D318" s="44"/>
    </row>
    <row r="319">
      <c r="A319" s="44"/>
      <c r="C319" s="44"/>
      <c r="D319" s="44"/>
    </row>
    <row r="320">
      <c r="A320" s="44"/>
      <c r="C320" s="44"/>
      <c r="D320" s="44"/>
    </row>
    <row r="321">
      <c r="A321" s="44"/>
      <c r="C321" s="44"/>
      <c r="D321" s="44"/>
    </row>
    <row r="322">
      <c r="A322" s="44"/>
      <c r="C322" s="44"/>
      <c r="D322" s="44"/>
    </row>
    <row r="323">
      <c r="A323" s="44"/>
      <c r="C323" s="44"/>
      <c r="D323" s="44"/>
    </row>
    <row r="324">
      <c r="A324" s="44"/>
      <c r="C324" s="44"/>
      <c r="D324" s="44"/>
    </row>
    <row r="325">
      <c r="A325" s="44"/>
      <c r="C325" s="44"/>
      <c r="D325" s="44"/>
    </row>
    <row r="326">
      <c r="A326" s="44"/>
      <c r="C326" s="44"/>
      <c r="D326" s="44"/>
    </row>
    <row r="327">
      <c r="A327" s="44"/>
      <c r="C327" s="44"/>
      <c r="D327" s="44"/>
    </row>
    <row r="328">
      <c r="A328" s="44"/>
      <c r="C328" s="44"/>
      <c r="D328" s="44"/>
    </row>
    <row r="329">
      <c r="A329" s="44"/>
      <c r="C329" s="44"/>
      <c r="D329" s="44"/>
    </row>
    <row r="330">
      <c r="A330" s="44"/>
      <c r="C330" s="44"/>
      <c r="D330" s="44"/>
    </row>
    <row r="331">
      <c r="A331" s="44"/>
      <c r="C331" s="44"/>
      <c r="D331" s="44"/>
    </row>
    <row r="332">
      <c r="A332" s="44"/>
      <c r="C332" s="44"/>
      <c r="D332" s="44"/>
    </row>
    <row r="333">
      <c r="A333" s="44"/>
      <c r="C333" s="44"/>
      <c r="D333" s="44"/>
    </row>
    <row r="334">
      <c r="A334" s="44"/>
      <c r="C334" s="44"/>
      <c r="D334" s="44"/>
    </row>
    <row r="335">
      <c r="A335" s="44"/>
      <c r="C335" s="44"/>
      <c r="D335" s="44"/>
    </row>
    <row r="336">
      <c r="A336" s="44"/>
      <c r="C336" s="44"/>
      <c r="D336" s="44"/>
    </row>
    <row r="337">
      <c r="A337" s="44"/>
      <c r="C337" s="44"/>
      <c r="D337" s="44"/>
    </row>
    <row r="338">
      <c r="A338" s="44"/>
      <c r="C338" s="44"/>
      <c r="D338" s="44"/>
    </row>
    <row r="339">
      <c r="A339" s="44"/>
      <c r="C339" s="44"/>
      <c r="D339" s="44"/>
    </row>
    <row r="340">
      <c r="A340" s="44"/>
      <c r="C340" s="44"/>
      <c r="D340" s="44"/>
    </row>
    <row r="341">
      <c r="A341" s="44"/>
      <c r="C341" s="44"/>
      <c r="D341" s="44"/>
    </row>
    <row r="342">
      <c r="A342" s="44"/>
      <c r="C342" s="44"/>
      <c r="D342" s="44"/>
    </row>
    <row r="343">
      <c r="A343" s="44"/>
      <c r="C343" s="44"/>
      <c r="D343" s="44"/>
    </row>
    <row r="344">
      <c r="A344" s="44"/>
      <c r="C344" s="44"/>
      <c r="D344" s="44"/>
    </row>
    <row r="345">
      <c r="A345" s="44"/>
      <c r="C345" s="44"/>
      <c r="D345" s="44"/>
    </row>
    <row r="346">
      <c r="A346" s="44"/>
      <c r="C346" s="44"/>
      <c r="D346" s="44"/>
    </row>
    <row r="347">
      <c r="A347" s="44"/>
      <c r="C347" s="44"/>
      <c r="D347" s="44"/>
    </row>
    <row r="348">
      <c r="A348" s="44"/>
      <c r="C348" s="44"/>
      <c r="D348" s="44"/>
    </row>
    <row r="349">
      <c r="A349" s="44"/>
      <c r="C349" s="44"/>
      <c r="D349" s="44"/>
    </row>
    <row r="350">
      <c r="A350" s="44"/>
      <c r="C350" s="44"/>
      <c r="D350" s="44"/>
    </row>
    <row r="351">
      <c r="A351" s="44"/>
      <c r="C351" s="44"/>
      <c r="D351" s="44"/>
    </row>
    <row r="352">
      <c r="A352" s="44"/>
      <c r="C352" s="44"/>
      <c r="D352" s="44"/>
    </row>
    <row r="353">
      <c r="A353" s="44"/>
      <c r="C353" s="44"/>
      <c r="D353" s="44"/>
    </row>
    <row r="354">
      <c r="A354" s="44"/>
      <c r="C354" s="44"/>
      <c r="D354" s="44"/>
    </row>
    <row r="355">
      <c r="A355" s="44"/>
      <c r="C355" s="44"/>
      <c r="D355" s="44"/>
    </row>
    <row r="356">
      <c r="A356" s="44"/>
      <c r="C356" s="44"/>
      <c r="D356" s="44"/>
    </row>
    <row r="357">
      <c r="A357" s="44"/>
      <c r="C357" s="44"/>
      <c r="D357" s="44"/>
    </row>
    <row r="358">
      <c r="A358" s="44"/>
      <c r="C358" s="44"/>
      <c r="D358" s="44"/>
    </row>
    <row r="359">
      <c r="A359" s="44"/>
      <c r="C359" s="44"/>
      <c r="D359" s="44"/>
    </row>
    <row r="360">
      <c r="A360" s="44"/>
      <c r="C360" s="44"/>
      <c r="D360" s="44"/>
    </row>
    <row r="361">
      <c r="A361" s="44"/>
      <c r="C361" s="44"/>
      <c r="D361" s="44"/>
    </row>
    <row r="362">
      <c r="A362" s="44"/>
      <c r="C362" s="44"/>
      <c r="D362" s="44"/>
    </row>
    <row r="363">
      <c r="A363" s="44"/>
      <c r="C363" s="44"/>
      <c r="D363" s="44"/>
    </row>
    <row r="364">
      <c r="A364" s="44"/>
      <c r="C364" s="44"/>
      <c r="D364" s="44"/>
    </row>
    <row r="365">
      <c r="A365" s="44"/>
      <c r="C365" s="44"/>
      <c r="D365" s="44"/>
    </row>
    <row r="366">
      <c r="A366" s="44"/>
      <c r="C366" s="44"/>
      <c r="D366" s="44"/>
    </row>
    <row r="367">
      <c r="A367" s="44"/>
      <c r="C367" s="44"/>
      <c r="D367" s="44"/>
    </row>
    <row r="368">
      <c r="A368" s="44"/>
      <c r="C368" s="44"/>
      <c r="D368" s="44"/>
    </row>
    <row r="369">
      <c r="A369" s="44"/>
      <c r="C369" s="44"/>
      <c r="D369" s="44"/>
    </row>
    <row r="370">
      <c r="A370" s="44"/>
      <c r="C370" s="44"/>
      <c r="D370" s="44"/>
    </row>
    <row r="371">
      <c r="A371" s="44"/>
      <c r="C371" s="44"/>
      <c r="D371" s="44"/>
    </row>
    <row r="372">
      <c r="A372" s="44"/>
      <c r="C372" s="44"/>
      <c r="D372" s="44"/>
    </row>
    <row r="373">
      <c r="A373" s="44"/>
      <c r="C373" s="44"/>
      <c r="D373" s="44"/>
    </row>
    <row r="374">
      <c r="A374" s="44"/>
      <c r="C374" s="44"/>
      <c r="D374" s="44"/>
    </row>
    <row r="375">
      <c r="A375" s="44"/>
      <c r="C375" s="44"/>
      <c r="D375" s="44"/>
    </row>
    <row r="376">
      <c r="A376" s="44"/>
      <c r="C376" s="44"/>
      <c r="D376" s="44"/>
    </row>
    <row r="377">
      <c r="A377" s="44"/>
      <c r="C377" s="44"/>
      <c r="D377" s="44"/>
    </row>
    <row r="378">
      <c r="A378" s="44"/>
      <c r="C378" s="44"/>
      <c r="D378" s="44"/>
    </row>
    <row r="379">
      <c r="A379" s="44"/>
      <c r="C379" s="44"/>
      <c r="D379" s="44"/>
    </row>
    <row r="380">
      <c r="A380" s="44"/>
      <c r="C380" s="44"/>
      <c r="D380" s="44"/>
    </row>
    <row r="381">
      <c r="A381" s="44"/>
      <c r="C381" s="44"/>
      <c r="D381" s="44"/>
    </row>
    <row r="382">
      <c r="A382" s="44"/>
      <c r="C382" s="44"/>
      <c r="D382" s="44"/>
    </row>
    <row r="383">
      <c r="A383" s="44"/>
      <c r="C383" s="44"/>
      <c r="D383" s="44"/>
    </row>
    <row r="384">
      <c r="A384" s="44"/>
      <c r="C384" s="44"/>
      <c r="D384" s="44"/>
    </row>
    <row r="385">
      <c r="A385" s="44"/>
      <c r="C385" s="44"/>
      <c r="D385" s="44"/>
    </row>
    <row r="386">
      <c r="A386" s="44"/>
      <c r="C386" s="44"/>
      <c r="D386" s="44"/>
    </row>
    <row r="387">
      <c r="A387" s="44"/>
      <c r="C387" s="44"/>
      <c r="D387" s="44"/>
    </row>
    <row r="388">
      <c r="A388" s="44"/>
      <c r="C388" s="44"/>
      <c r="D388" s="44"/>
    </row>
    <row r="389">
      <c r="A389" s="44"/>
      <c r="C389" s="44"/>
      <c r="D389" s="44"/>
    </row>
    <row r="390">
      <c r="A390" s="44"/>
      <c r="C390" s="44"/>
      <c r="D390" s="44"/>
    </row>
    <row r="391">
      <c r="A391" s="44"/>
      <c r="C391" s="44"/>
      <c r="D391" s="44"/>
    </row>
    <row r="392">
      <c r="A392" s="44"/>
      <c r="C392" s="44"/>
      <c r="D392" s="44"/>
    </row>
    <row r="393">
      <c r="A393" s="44"/>
      <c r="C393" s="44"/>
      <c r="D393" s="44"/>
    </row>
    <row r="394">
      <c r="A394" s="44"/>
      <c r="C394" s="44"/>
      <c r="D394" s="44"/>
    </row>
    <row r="395">
      <c r="A395" s="44"/>
      <c r="C395" s="44"/>
      <c r="D395" s="44"/>
    </row>
    <row r="396">
      <c r="A396" s="44"/>
      <c r="C396" s="44"/>
      <c r="D396" s="44"/>
    </row>
    <row r="397">
      <c r="A397" s="44"/>
      <c r="C397" s="44"/>
      <c r="D397" s="44"/>
    </row>
    <row r="398">
      <c r="A398" s="44"/>
      <c r="C398" s="44"/>
      <c r="D398" s="44"/>
    </row>
    <row r="399">
      <c r="A399" s="44"/>
      <c r="C399" s="44"/>
      <c r="D399" s="44"/>
    </row>
    <row r="400">
      <c r="A400" s="44"/>
      <c r="C400" s="44"/>
      <c r="D400" s="44"/>
    </row>
    <row r="401">
      <c r="A401" s="44"/>
      <c r="C401" s="44"/>
      <c r="D401" s="44"/>
    </row>
    <row r="402">
      <c r="A402" s="44"/>
      <c r="C402" s="44"/>
      <c r="D402" s="44"/>
    </row>
    <row r="403">
      <c r="A403" s="44"/>
      <c r="C403" s="44"/>
      <c r="D403" s="44"/>
    </row>
    <row r="404">
      <c r="A404" s="44"/>
      <c r="C404" s="44"/>
      <c r="D404" s="44"/>
    </row>
    <row r="405">
      <c r="A405" s="44"/>
      <c r="C405" s="44"/>
      <c r="D405" s="44"/>
    </row>
    <row r="406">
      <c r="A406" s="44"/>
      <c r="C406" s="44"/>
      <c r="D406" s="44"/>
    </row>
    <row r="407">
      <c r="A407" s="44"/>
      <c r="C407" s="44"/>
      <c r="D407" s="44"/>
    </row>
    <row r="408">
      <c r="A408" s="44"/>
      <c r="C408" s="44"/>
      <c r="D408" s="44"/>
    </row>
    <row r="409">
      <c r="A409" s="44"/>
      <c r="C409" s="44"/>
      <c r="D409" s="44"/>
    </row>
    <row r="410">
      <c r="A410" s="44"/>
      <c r="C410" s="44"/>
      <c r="D410" s="44"/>
    </row>
    <row r="411">
      <c r="A411" s="44"/>
      <c r="C411" s="44"/>
      <c r="D411" s="44"/>
    </row>
    <row r="412">
      <c r="A412" s="44"/>
      <c r="C412" s="44"/>
      <c r="D412" s="44"/>
    </row>
    <row r="413">
      <c r="A413" s="44"/>
      <c r="C413" s="44"/>
      <c r="D413" s="44"/>
    </row>
    <row r="414">
      <c r="A414" s="44"/>
      <c r="C414" s="44"/>
      <c r="D414" s="44"/>
    </row>
    <row r="415">
      <c r="A415" s="44"/>
      <c r="C415" s="44"/>
      <c r="D415" s="44"/>
    </row>
    <row r="416">
      <c r="A416" s="44"/>
      <c r="C416" s="44"/>
      <c r="D416" s="44"/>
    </row>
    <row r="417">
      <c r="A417" s="44"/>
      <c r="C417" s="44"/>
      <c r="D417" s="44"/>
    </row>
    <row r="418">
      <c r="A418" s="44"/>
      <c r="C418" s="44"/>
      <c r="D418" s="44"/>
    </row>
    <row r="419">
      <c r="A419" s="44"/>
      <c r="C419" s="44"/>
      <c r="D419" s="44"/>
    </row>
    <row r="420">
      <c r="A420" s="44"/>
      <c r="C420" s="44"/>
      <c r="D420" s="44"/>
    </row>
    <row r="421">
      <c r="A421" s="44"/>
      <c r="C421" s="44"/>
      <c r="D421" s="44"/>
    </row>
    <row r="422">
      <c r="A422" s="44"/>
      <c r="C422" s="44"/>
      <c r="D422" s="44"/>
    </row>
    <row r="423">
      <c r="A423" s="44"/>
      <c r="C423" s="44"/>
      <c r="D423" s="44"/>
    </row>
    <row r="424">
      <c r="A424" s="44"/>
      <c r="C424" s="44"/>
      <c r="D424" s="44"/>
    </row>
    <row r="425">
      <c r="A425" s="44"/>
      <c r="C425" s="44"/>
      <c r="D425" s="44"/>
    </row>
    <row r="426">
      <c r="A426" s="44"/>
      <c r="C426" s="44"/>
      <c r="D426" s="44"/>
    </row>
    <row r="427">
      <c r="A427" s="44"/>
      <c r="C427" s="44"/>
      <c r="D427" s="44"/>
    </row>
    <row r="428">
      <c r="A428" s="44"/>
      <c r="C428" s="44"/>
      <c r="D428" s="44"/>
    </row>
    <row r="429">
      <c r="A429" s="44"/>
      <c r="C429" s="44"/>
      <c r="D429" s="44"/>
    </row>
    <row r="430">
      <c r="A430" s="44"/>
      <c r="C430" s="44"/>
      <c r="D430" s="44"/>
    </row>
    <row r="431">
      <c r="A431" s="44"/>
      <c r="C431" s="44"/>
      <c r="D431" s="44"/>
    </row>
    <row r="432">
      <c r="A432" s="44"/>
      <c r="C432" s="44"/>
      <c r="D432" s="44"/>
    </row>
    <row r="433">
      <c r="A433" s="44"/>
      <c r="C433" s="44"/>
      <c r="D433" s="44"/>
    </row>
    <row r="434">
      <c r="A434" s="44"/>
      <c r="C434" s="44"/>
      <c r="D434" s="44"/>
    </row>
    <row r="435">
      <c r="A435" s="44"/>
      <c r="C435" s="44"/>
      <c r="D435" s="44"/>
    </row>
    <row r="436">
      <c r="A436" s="44"/>
      <c r="C436" s="44"/>
      <c r="D436" s="44"/>
    </row>
    <row r="437">
      <c r="A437" s="44"/>
      <c r="C437" s="44"/>
      <c r="D437" s="44"/>
    </row>
    <row r="438">
      <c r="A438" s="44"/>
      <c r="C438" s="44"/>
      <c r="D438" s="44"/>
    </row>
    <row r="439">
      <c r="A439" s="44"/>
      <c r="C439" s="44"/>
      <c r="D439" s="44"/>
    </row>
    <row r="440">
      <c r="A440" s="44"/>
      <c r="C440" s="44"/>
      <c r="D440" s="44"/>
    </row>
    <row r="441">
      <c r="A441" s="44"/>
      <c r="C441" s="44"/>
      <c r="D441" s="44"/>
    </row>
    <row r="442">
      <c r="A442" s="44"/>
      <c r="C442" s="44"/>
      <c r="D442" s="44"/>
    </row>
    <row r="443">
      <c r="A443" s="44"/>
      <c r="C443" s="44"/>
      <c r="D443" s="44"/>
    </row>
    <row r="444">
      <c r="A444" s="44"/>
      <c r="C444" s="44"/>
      <c r="D444" s="44"/>
    </row>
    <row r="445">
      <c r="A445" s="44"/>
      <c r="C445" s="44"/>
      <c r="D445" s="44"/>
    </row>
    <row r="446">
      <c r="A446" s="44"/>
      <c r="C446" s="44"/>
      <c r="D446" s="44"/>
    </row>
    <row r="447">
      <c r="A447" s="44"/>
      <c r="C447" s="44"/>
      <c r="D447" s="44"/>
    </row>
    <row r="448">
      <c r="A448" s="44"/>
      <c r="C448" s="44"/>
      <c r="D448" s="44"/>
    </row>
    <row r="449">
      <c r="A449" s="44"/>
      <c r="C449" s="44"/>
      <c r="D449" s="44"/>
    </row>
    <row r="450">
      <c r="A450" s="44"/>
      <c r="C450" s="44"/>
      <c r="D450" s="44"/>
    </row>
    <row r="451">
      <c r="A451" s="44"/>
      <c r="C451" s="44"/>
      <c r="D451" s="44"/>
    </row>
    <row r="452">
      <c r="A452" s="44"/>
      <c r="C452" s="44"/>
      <c r="D452" s="44"/>
    </row>
    <row r="453">
      <c r="A453" s="44"/>
      <c r="C453" s="44"/>
      <c r="D453" s="44"/>
    </row>
    <row r="454">
      <c r="A454" s="44"/>
      <c r="C454" s="44"/>
      <c r="D454" s="44"/>
    </row>
    <row r="455">
      <c r="A455" s="44"/>
      <c r="C455" s="44"/>
      <c r="D455" s="44"/>
    </row>
    <row r="456">
      <c r="A456" s="44"/>
      <c r="C456" s="44"/>
      <c r="D456" s="44"/>
    </row>
    <row r="457">
      <c r="A457" s="44"/>
      <c r="C457" s="44"/>
      <c r="D457" s="44"/>
    </row>
    <row r="458">
      <c r="A458" s="44"/>
      <c r="C458" s="44"/>
      <c r="D458" s="44"/>
    </row>
    <row r="459">
      <c r="A459" s="44"/>
      <c r="C459" s="44"/>
      <c r="D459" s="44"/>
    </row>
    <row r="460">
      <c r="A460" s="44"/>
      <c r="C460" s="44"/>
      <c r="D460" s="44"/>
    </row>
    <row r="461">
      <c r="A461" s="44"/>
      <c r="C461" s="44"/>
      <c r="D461" s="44"/>
    </row>
    <row r="462">
      <c r="A462" s="44"/>
      <c r="C462" s="44"/>
      <c r="D462" s="44"/>
    </row>
    <row r="463">
      <c r="A463" s="44"/>
      <c r="C463" s="44"/>
      <c r="D463" s="44"/>
    </row>
    <row r="464">
      <c r="A464" s="44"/>
      <c r="C464" s="44"/>
      <c r="D464" s="44"/>
    </row>
    <row r="465">
      <c r="A465" s="44"/>
      <c r="C465" s="44"/>
      <c r="D465" s="44"/>
    </row>
    <row r="466">
      <c r="A466" s="44"/>
      <c r="C466" s="44"/>
      <c r="D466" s="44"/>
    </row>
    <row r="467">
      <c r="A467" s="44"/>
      <c r="C467" s="44"/>
      <c r="D467" s="44"/>
    </row>
    <row r="468">
      <c r="A468" s="44"/>
      <c r="C468" s="44"/>
      <c r="D468" s="44"/>
    </row>
    <row r="469">
      <c r="A469" s="44"/>
      <c r="C469" s="44"/>
      <c r="D469" s="44"/>
    </row>
    <row r="470">
      <c r="A470" s="44"/>
      <c r="C470" s="44"/>
      <c r="D470" s="44"/>
    </row>
    <row r="471">
      <c r="A471" s="44"/>
      <c r="C471" s="44"/>
      <c r="D471" s="44"/>
    </row>
    <row r="472">
      <c r="A472" s="44"/>
      <c r="C472" s="44"/>
      <c r="D472" s="44"/>
    </row>
    <row r="473">
      <c r="A473" s="44"/>
      <c r="C473" s="44"/>
      <c r="D473" s="44"/>
    </row>
    <row r="474">
      <c r="A474" s="44"/>
      <c r="C474" s="44"/>
      <c r="D474" s="44"/>
    </row>
    <row r="475">
      <c r="A475" s="44"/>
      <c r="C475" s="44"/>
      <c r="D475" s="44"/>
    </row>
    <row r="476">
      <c r="A476" s="44"/>
      <c r="C476" s="44"/>
      <c r="D476" s="44"/>
    </row>
    <row r="477">
      <c r="A477" s="44"/>
      <c r="C477" s="44"/>
      <c r="D477" s="44"/>
    </row>
    <row r="478">
      <c r="A478" s="44"/>
      <c r="C478" s="44"/>
      <c r="D478" s="44"/>
    </row>
    <row r="479">
      <c r="A479" s="44"/>
      <c r="C479" s="44"/>
      <c r="D479" s="44"/>
    </row>
    <row r="480">
      <c r="A480" s="44"/>
      <c r="C480" s="44"/>
      <c r="D480" s="44"/>
    </row>
    <row r="481">
      <c r="A481" s="44"/>
      <c r="C481" s="44"/>
      <c r="D481" s="44"/>
    </row>
    <row r="482">
      <c r="A482" s="44"/>
      <c r="C482" s="44"/>
      <c r="D482" s="44"/>
    </row>
    <row r="483">
      <c r="A483" s="44"/>
      <c r="C483" s="44"/>
      <c r="D483" s="44"/>
    </row>
    <row r="484">
      <c r="A484" s="44"/>
      <c r="C484" s="44"/>
      <c r="D484" s="44"/>
    </row>
    <row r="485">
      <c r="A485" s="44"/>
      <c r="C485" s="44"/>
      <c r="D485" s="44"/>
    </row>
    <row r="486">
      <c r="A486" s="44"/>
      <c r="C486" s="44"/>
      <c r="D486" s="44"/>
    </row>
    <row r="487">
      <c r="A487" s="44"/>
      <c r="C487" s="44"/>
      <c r="D487" s="44"/>
    </row>
    <row r="488">
      <c r="A488" s="44"/>
      <c r="C488" s="44"/>
      <c r="D488" s="44"/>
    </row>
    <row r="489">
      <c r="A489" s="44"/>
      <c r="C489" s="44"/>
      <c r="D489" s="44"/>
    </row>
    <row r="490">
      <c r="A490" s="44"/>
      <c r="C490" s="44"/>
      <c r="D490" s="44"/>
    </row>
    <row r="491">
      <c r="A491" s="44"/>
      <c r="C491" s="44"/>
      <c r="D491" s="44"/>
    </row>
    <row r="492">
      <c r="A492" s="44"/>
      <c r="C492" s="44"/>
      <c r="D492" s="44"/>
    </row>
    <row r="493">
      <c r="A493" s="44"/>
      <c r="C493" s="44"/>
      <c r="D493" s="44"/>
    </row>
    <row r="494">
      <c r="A494" s="44"/>
      <c r="C494" s="44"/>
      <c r="D494" s="44"/>
    </row>
    <row r="495">
      <c r="A495" s="44"/>
      <c r="C495" s="44"/>
      <c r="D495" s="44"/>
    </row>
    <row r="496">
      <c r="A496" s="44"/>
      <c r="C496" s="44"/>
      <c r="D496" s="44"/>
    </row>
    <row r="497">
      <c r="A497" s="44"/>
      <c r="C497" s="44"/>
      <c r="D497" s="44"/>
    </row>
    <row r="498">
      <c r="A498" s="44"/>
      <c r="C498" s="44"/>
      <c r="D498" s="44"/>
    </row>
    <row r="499">
      <c r="A499" s="44"/>
      <c r="C499" s="44"/>
      <c r="D499" s="44"/>
    </row>
    <row r="500">
      <c r="A500" s="44"/>
      <c r="C500" s="44"/>
      <c r="D500" s="44"/>
    </row>
    <row r="501">
      <c r="A501" s="44"/>
      <c r="C501" s="44"/>
      <c r="D501" s="44"/>
    </row>
    <row r="502">
      <c r="A502" s="44"/>
      <c r="C502" s="44"/>
      <c r="D502" s="44"/>
    </row>
    <row r="503">
      <c r="A503" s="44"/>
      <c r="C503" s="44"/>
      <c r="D503" s="44"/>
    </row>
    <row r="504">
      <c r="A504" s="44"/>
      <c r="C504" s="44"/>
      <c r="D504" s="44"/>
    </row>
    <row r="505">
      <c r="A505" s="44"/>
      <c r="C505" s="44"/>
      <c r="D505" s="44"/>
    </row>
    <row r="506">
      <c r="A506" s="44"/>
      <c r="C506" s="44"/>
      <c r="D506" s="44"/>
    </row>
    <row r="507">
      <c r="A507" s="44"/>
      <c r="C507" s="44"/>
      <c r="D507" s="44"/>
    </row>
    <row r="508">
      <c r="A508" s="44"/>
      <c r="C508" s="44"/>
      <c r="D508" s="44"/>
    </row>
    <row r="509">
      <c r="A509" s="44"/>
      <c r="C509" s="44"/>
      <c r="D509" s="44"/>
    </row>
    <row r="510">
      <c r="A510" s="44"/>
      <c r="C510" s="44"/>
      <c r="D510" s="44"/>
    </row>
    <row r="511">
      <c r="A511" s="44"/>
      <c r="C511" s="44"/>
      <c r="D511" s="44"/>
    </row>
    <row r="512">
      <c r="A512" s="44"/>
      <c r="C512" s="44"/>
      <c r="D512" s="44"/>
    </row>
    <row r="513">
      <c r="A513" s="44"/>
      <c r="C513" s="44"/>
      <c r="D513" s="44"/>
    </row>
    <row r="514">
      <c r="A514" s="44"/>
      <c r="C514" s="44"/>
      <c r="D514" s="44"/>
    </row>
    <row r="515">
      <c r="A515" s="44"/>
      <c r="C515" s="44"/>
      <c r="D515" s="44"/>
    </row>
    <row r="516">
      <c r="A516" s="44"/>
      <c r="C516" s="44"/>
      <c r="D516" s="44"/>
    </row>
    <row r="517">
      <c r="A517" s="44"/>
      <c r="C517" s="44"/>
      <c r="D517" s="44"/>
    </row>
    <row r="518">
      <c r="A518" s="44"/>
      <c r="C518" s="44"/>
      <c r="D518" s="44"/>
    </row>
    <row r="519">
      <c r="A519" s="44"/>
      <c r="C519" s="44"/>
      <c r="D519" s="44"/>
    </row>
    <row r="520">
      <c r="A520" s="44"/>
      <c r="C520" s="44"/>
      <c r="D520" s="44"/>
    </row>
    <row r="521">
      <c r="A521" s="44"/>
      <c r="C521" s="44"/>
      <c r="D521" s="44"/>
    </row>
    <row r="522">
      <c r="A522" s="44"/>
      <c r="C522" s="44"/>
      <c r="D522" s="44"/>
    </row>
    <row r="523">
      <c r="A523" s="44"/>
      <c r="C523" s="44"/>
      <c r="D523" s="44"/>
    </row>
    <row r="524">
      <c r="A524" s="44"/>
      <c r="C524" s="44"/>
      <c r="D524" s="44"/>
    </row>
    <row r="525">
      <c r="A525" s="44"/>
      <c r="C525" s="44"/>
      <c r="D525" s="44"/>
    </row>
    <row r="526">
      <c r="A526" s="44"/>
      <c r="C526" s="44"/>
      <c r="D526" s="44"/>
    </row>
    <row r="527">
      <c r="A527" s="44"/>
      <c r="C527" s="44"/>
      <c r="D527" s="44"/>
    </row>
    <row r="528">
      <c r="A528" s="44"/>
      <c r="C528" s="44"/>
      <c r="D528" s="44"/>
    </row>
    <row r="529">
      <c r="A529" s="44"/>
      <c r="C529" s="44"/>
      <c r="D529" s="44"/>
    </row>
    <row r="530">
      <c r="A530" s="44"/>
      <c r="C530" s="44"/>
      <c r="D530" s="44"/>
    </row>
    <row r="531">
      <c r="A531" s="44"/>
      <c r="C531" s="44"/>
      <c r="D531" s="44"/>
    </row>
    <row r="532">
      <c r="A532" s="44"/>
      <c r="C532" s="44"/>
      <c r="D532" s="44"/>
    </row>
    <row r="533">
      <c r="A533" s="44"/>
      <c r="C533" s="44"/>
      <c r="D533" s="44"/>
    </row>
    <row r="534">
      <c r="A534" s="44"/>
      <c r="C534" s="44"/>
      <c r="D534" s="44"/>
    </row>
    <row r="535">
      <c r="A535" s="44"/>
      <c r="C535" s="44"/>
      <c r="D535" s="44"/>
    </row>
    <row r="536">
      <c r="A536" s="44"/>
      <c r="C536" s="44"/>
      <c r="D536" s="44"/>
    </row>
    <row r="537">
      <c r="A537" s="44"/>
      <c r="C537" s="44"/>
      <c r="D537" s="44"/>
    </row>
    <row r="538">
      <c r="A538" s="44"/>
      <c r="C538" s="44"/>
      <c r="D538" s="44"/>
    </row>
    <row r="539">
      <c r="A539" s="44"/>
      <c r="C539" s="44"/>
      <c r="D539" s="44"/>
    </row>
    <row r="540">
      <c r="A540" s="44"/>
      <c r="C540" s="44"/>
      <c r="D540" s="44"/>
    </row>
    <row r="541">
      <c r="A541" s="44"/>
      <c r="C541" s="44"/>
      <c r="D541" s="44"/>
    </row>
    <row r="542">
      <c r="A542" s="44"/>
      <c r="C542" s="44"/>
      <c r="D542" s="44"/>
    </row>
    <row r="543">
      <c r="A543" s="44"/>
      <c r="C543" s="44"/>
      <c r="D543" s="44"/>
    </row>
    <row r="544">
      <c r="A544" s="44"/>
      <c r="C544" s="44"/>
      <c r="D544" s="44"/>
    </row>
    <row r="545">
      <c r="A545" s="44"/>
      <c r="C545" s="44"/>
      <c r="D545" s="44"/>
    </row>
    <row r="546">
      <c r="A546" s="44"/>
      <c r="C546" s="44"/>
      <c r="D546" s="44"/>
    </row>
    <row r="547">
      <c r="A547" s="44"/>
      <c r="C547" s="44"/>
      <c r="D547" s="44"/>
    </row>
    <row r="548">
      <c r="A548" s="44"/>
      <c r="C548" s="44"/>
      <c r="D548" s="44"/>
    </row>
    <row r="549">
      <c r="A549" s="44"/>
      <c r="C549" s="44"/>
      <c r="D549" s="44"/>
    </row>
    <row r="550">
      <c r="A550" s="44"/>
      <c r="C550" s="44"/>
      <c r="D550" s="44"/>
    </row>
    <row r="551">
      <c r="A551" s="44"/>
      <c r="C551" s="44"/>
      <c r="D551" s="44"/>
    </row>
    <row r="552">
      <c r="A552" s="44"/>
      <c r="C552" s="44"/>
      <c r="D552" s="44"/>
    </row>
    <row r="553">
      <c r="A553" s="44"/>
      <c r="C553" s="44"/>
      <c r="D553" s="44"/>
    </row>
    <row r="554">
      <c r="A554" s="44"/>
      <c r="C554" s="44"/>
      <c r="D554" s="44"/>
    </row>
    <row r="555">
      <c r="A555" s="44"/>
      <c r="C555" s="44"/>
      <c r="D555" s="44"/>
    </row>
    <row r="556">
      <c r="A556" s="44"/>
      <c r="C556" s="44"/>
      <c r="D556" s="44"/>
    </row>
    <row r="557">
      <c r="A557" s="44"/>
      <c r="C557" s="44"/>
      <c r="D557" s="44"/>
    </row>
    <row r="558">
      <c r="A558" s="44"/>
      <c r="C558" s="44"/>
      <c r="D558" s="44"/>
    </row>
    <row r="559">
      <c r="A559" s="44"/>
      <c r="C559" s="44"/>
      <c r="D559" s="44"/>
    </row>
    <row r="560">
      <c r="A560" s="44"/>
      <c r="C560" s="44"/>
      <c r="D560" s="44"/>
    </row>
    <row r="561">
      <c r="A561" s="44"/>
      <c r="C561" s="44"/>
      <c r="D561" s="44"/>
    </row>
    <row r="562">
      <c r="A562" s="44"/>
      <c r="C562" s="44"/>
      <c r="D562" s="44"/>
    </row>
    <row r="563">
      <c r="A563" s="44"/>
      <c r="C563" s="44"/>
      <c r="D563" s="44"/>
    </row>
    <row r="564">
      <c r="A564" s="44"/>
      <c r="C564" s="44"/>
      <c r="D564" s="44"/>
    </row>
    <row r="565">
      <c r="A565" s="44"/>
      <c r="C565" s="44"/>
      <c r="D565" s="44"/>
    </row>
    <row r="566">
      <c r="A566" s="44"/>
      <c r="C566" s="44"/>
      <c r="D566" s="44"/>
    </row>
    <row r="567">
      <c r="A567" s="44"/>
      <c r="C567" s="44"/>
      <c r="D567" s="44"/>
    </row>
    <row r="568">
      <c r="A568" s="44"/>
      <c r="C568" s="44"/>
      <c r="D568" s="44"/>
    </row>
    <row r="569">
      <c r="A569" s="44"/>
      <c r="C569" s="44"/>
      <c r="D569" s="44"/>
    </row>
    <row r="570">
      <c r="A570" s="44"/>
      <c r="C570" s="44"/>
      <c r="D570" s="44"/>
    </row>
    <row r="571">
      <c r="A571" s="44"/>
      <c r="C571" s="44"/>
      <c r="D571" s="44"/>
    </row>
    <row r="572">
      <c r="A572" s="44"/>
      <c r="C572" s="44"/>
      <c r="D572" s="44"/>
    </row>
    <row r="573">
      <c r="A573" s="44"/>
      <c r="C573" s="44"/>
      <c r="D573" s="44"/>
    </row>
    <row r="574">
      <c r="A574" s="44"/>
      <c r="C574" s="44"/>
      <c r="D574" s="44"/>
    </row>
    <row r="575">
      <c r="A575" s="44"/>
      <c r="C575" s="44"/>
      <c r="D575" s="44"/>
    </row>
    <row r="576">
      <c r="A576" s="44"/>
      <c r="C576" s="44"/>
      <c r="D576" s="44"/>
    </row>
    <row r="577">
      <c r="A577" s="44"/>
      <c r="C577" s="44"/>
      <c r="D577" s="44"/>
    </row>
    <row r="578">
      <c r="A578" s="44"/>
      <c r="C578" s="44"/>
      <c r="D578" s="44"/>
    </row>
    <row r="579">
      <c r="A579" s="44"/>
      <c r="C579" s="44"/>
      <c r="D579" s="44"/>
    </row>
    <row r="580">
      <c r="A580" s="44"/>
      <c r="C580" s="44"/>
      <c r="D580" s="44"/>
    </row>
    <row r="581">
      <c r="A581" s="44"/>
      <c r="C581" s="44"/>
      <c r="D581" s="44"/>
    </row>
    <row r="582">
      <c r="A582" s="44"/>
      <c r="C582" s="44"/>
      <c r="D582" s="44"/>
    </row>
    <row r="583">
      <c r="A583" s="44"/>
      <c r="C583" s="44"/>
      <c r="D583" s="44"/>
    </row>
    <row r="584">
      <c r="A584" s="44"/>
      <c r="C584" s="44"/>
      <c r="D584" s="44"/>
    </row>
    <row r="585">
      <c r="A585" s="44"/>
      <c r="C585" s="44"/>
      <c r="D585" s="44"/>
    </row>
    <row r="586">
      <c r="A586" s="44"/>
      <c r="C586" s="44"/>
      <c r="D586" s="44"/>
    </row>
    <row r="587">
      <c r="A587" s="44"/>
      <c r="C587" s="44"/>
      <c r="D587" s="44"/>
    </row>
    <row r="588">
      <c r="A588" s="44"/>
      <c r="C588" s="44"/>
      <c r="D588" s="44"/>
    </row>
    <row r="589">
      <c r="A589" s="44"/>
      <c r="C589" s="44"/>
      <c r="D589" s="44"/>
    </row>
    <row r="590">
      <c r="A590" s="44"/>
      <c r="C590" s="44"/>
      <c r="D590" s="44"/>
    </row>
    <row r="591">
      <c r="A591" s="44"/>
      <c r="C591" s="44"/>
      <c r="D591" s="44"/>
    </row>
    <row r="592">
      <c r="A592" s="44"/>
      <c r="C592" s="44"/>
      <c r="D592" s="44"/>
    </row>
    <row r="593">
      <c r="A593" s="44"/>
      <c r="C593" s="44"/>
      <c r="D593" s="44"/>
    </row>
    <row r="594">
      <c r="A594" s="44"/>
      <c r="C594" s="44"/>
      <c r="D594" s="44"/>
    </row>
    <row r="595">
      <c r="A595" s="44"/>
      <c r="C595" s="44"/>
      <c r="D595" s="44"/>
    </row>
    <row r="596">
      <c r="A596" s="44"/>
      <c r="C596" s="44"/>
      <c r="D596" s="44"/>
    </row>
    <row r="597">
      <c r="A597" s="44"/>
      <c r="C597" s="44"/>
      <c r="D597" s="44"/>
    </row>
    <row r="598">
      <c r="A598" s="44"/>
      <c r="C598" s="44"/>
      <c r="D598" s="44"/>
    </row>
    <row r="599">
      <c r="A599" s="44"/>
      <c r="C599" s="44"/>
      <c r="D599" s="44"/>
    </row>
    <row r="600">
      <c r="A600" s="44"/>
      <c r="C600" s="44"/>
      <c r="D600" s="44"/>
    </row>
    <row r="601">
      <c r="A601" s="44"/>
      <c r="C601" s="44"/>
      <c r="D601" s="44"/>
    </row>
    <row r="602">
      <c r="A602" s="44"/>
      <c r="C602" s="44"/>
      <c r="D602" s="44"/>
    </row>
    <row r="603">
      <c r="A603" s="44"/>
      <c r="C603" s="44"/>
      <c r="D603" s="44"/>
    </row>
    <row r="604">
      <c r="A604" s="44"/>
      <c r="C604" s="44"/>
      <c r="D604" s="44"/>
    </row>
    <row r="605">
      <c r="A605" s="44"/>
      <c r="C605" s="44"/>
      <c r="D605" s="44"/>
    </row>
    <row r="606">
      <c r="A606" s="44"/>
      <c r="C606" s="44"/>
      <c r="D606" s="44"/>
    </row>
    <row r="607">
      <c r="A607" s="44"/>
      <c r="C607" s="44"/>
      <c r="D607" s="44"/>
    </row>
    <row r="608">
      <c r="A608" s="44"/>
      <c r="C608" s="44"/>
      <c r="D608" s="44"/>
    </row>
    <row r="609">
      <c r="A609" s="44"/>
      <c r="C609" s="44"/>
      <c r="D609" s="44"/>
    </row>
    <row r="610">
      <c r="A610" s="44"/>
      <c r="C610" s="44"/>
      <c r="D610" s="44"/>
    </row>
    <row r="611">
      <c r="A611" s="44"/>
      <c r="C611" s="44"/>
      <c r="D611" s="44"/>
    </row>
    <row r="612">
      <c r="A612" s="44"/>
      <c r="C612" s="44"/>
      <c r="D612" s="44"/>
    </row>
    <row r="613">
      <c r="A613" s="44"/>
      <c r="C613" s="44"/>
      <c r="D613" s="44"/>
    </row>
    <row r="614">
      <c r="A614" s="44"/>
      <c r="C614" s="44"/>
      <c r="D614" s="44"/>
    </row>
    <row r="615">
      <c r="A615" s="44"/>
      <c r="C615" s="44"/>
      <c r="D615" s="44"/>
    </row>
    <row r="616">
      <c r="A616" s="44"/>
      <c r="C616" s="44"/>
      <c r="D616" s="44"/>
    </row>
    <row r="617">
      <c r="A617" s="44"/>
      <c r="C617" s="44"/>
      <c r="D617" s="44"/>
    </row>
    <row r="618">
      <c r="A618" s="44"/>
      <c r="C618" s="44"/>
      <c r="D618" s="44"/>
    </row>
    <row r="619">
      <c r="A619" s="44"/>
      <c r="C619" s="44"/>
      <c r="D619" s="44"/>
    </row>
    <row r="620">
      <c r="A620" s="44"/>
      <c r="C620" s="44"/>
      <c r="D620" s="44"/>
    </row>
    <row r="621">
      <c r="A621" s="44"/>
      <c r="C621" s="44"/>
      <c r="D621" s="44"/>
    </row>
    <row r="622">
      <c r="A622" s="44"/>
      <c r="C622" s="44"/>
      <c r="D622" s="44"/>
    </row>
    <row r="623">
      <c r="A623" s="44"/>
      <c r="C623" s="44"/>
      <c r="D623" s="44"/>
    </row>
    <row r="624">
      <c r="A624" s="44"/>
      <c r="C624" s="44"/>
      <c r="D624" s="44"/>
    </row>
    <row r="625">
      <c r="A625" s="44"/>
      <c r="C625" s="44"/>
      <c r="D625" s="44"/>
    </row>
    <row r="626">
      <c r="A626" s="44"/>
      <c r="C626" s="44"/>
      <c r="D626" s="44"/>
    </row>
    <row r="627">
      <c r="A627" s="44"/>
      <c r="C627" s="44"/>
      <c r="D627" s="44"/>
    </row>
    <row r="628">
      <c r="A628" s="44"/>
      <c r="C628" s="44"/>
      <c r="D628" s="44"/>
    </row>
    <row r="629">
      <c r="A629" s="44"/>
      <c r="C629" s="44"/>
      <c r="D629" s="44"/>
    </row>
    <row r="630">
      <c r="A630" s="44"/>
      <c r="C630" s="44"/>
      <c r="D630" s="44"/>
    </row>
    <row r="631">
      <c r="A631" s="44"/>
      <c r="C631" s="44"/>
      <c r="D631" s="44"/>
    </row>
    <row r="632">
      <c r="A632" s="44"/>
      <c r="C632" s="44"/>
      <c r="D632" s="44"/>
    </row>
    <row r="633">
      <c r="A633" s="44"/>
      <c r="C633" s="44"/>
      <c r="D633" s="44"/>
    </row>
    <row r="634">
      <c r="A634" s="44"/>
      <c r="C634" s="44"/>
      <c r="D634" s="44"/>
    </row>
    <row r="635">
      <c r="A635" s="44"/>
      <c r="C635" s="44"/>
      <c r="D635" s="44"/>
    </row>
    <row r="636">
      <c r="A636" s="44"/>
      <c r="C636" s="44"/>
      <c r="D636" s="44"/>
    </row>
    <row r="637">
      <c r="A637" s="44"/>
      <c r="C637" s="44"/>
      <c r="D637" s="44"/>
    </row>
    <row r="638">
      <c r="A638" s="44"/>
      <c r="C638" s="44"/>
      <c r="D638" s="44"/>
    </row>
    <row r="639">
      <c r="A639" s="44"/>
      <c r="C639" s="44"/>
      <c r="D639" s="44"/>
    </row>
    <row r="640">
      <c r="A640" s="44"/>
      <c r="C640" s="44"/>
      <c r="D640" s="44"/>
    </row>
    <row r="641">
      <c r="A641" s="44"/>
      <c r="C641" s="44"/>
      <c r="D641" s="44"/>
    </row>
    <row r="642">
      <c r="A642" s="44"/>
      <c r="C642" s="44"/>
      <c r="D642" s="44"/>
    </row>
    <row r="643">
      <c r="A643" s="44"/>
      <c r="C643" s="44"/>
      <c r="D643" s="44"/>
    </row>
    <row r="644">
      <c r="A644" s="44"/>
      <c r="C644" s="44"/>
      <c r="D644" s="44"/>
    </row>
    <row r="645">
      <c r="A645" s="44"/>
      <c r="C645" s="44"/>
      <c r="D645" s="44"/>
    </row>
    <row r="646">
      <c r="A646" s="44"/>
      <c r="C646" s="44"/>
      <c r="D646" s="44"/>
    </row>
    <row r="647">
      <c r="A647" s="44"/>
      <c r="C647" s="44"/>
      <c r="D647" s="44"/>
    </row>
    <row r="648">
      <c r="A648" s="44"/>
      <c r="C648" s="44"/>
      <c r="D648" s="44"/>
    </row>
    <row r="649">
      <c r="A649" s="44"/>
      <c r="C649" s="44"/>
      <c r="D649" s="44"/>
    </row>
    <row r="650">
      <c r="A650" s="44"/>
      <c r="C650" s="44"/>
      <c r="D650" s="44"/>
    </row>
    <row r="651">
      <c r="A651" s="44"/>
      <c r="C651" s="44"/>
      <c r="D651" s="44"/>
    </row>
    <row r="652">
      <c r="A652" s="44"/>
      <c r="C652" s="44"/>
      <c r="D652" s="44"/>
    </row>
    <row r="653">
      <c r="A653" s="44"/>
      <c r="C653" s="44"/>
      <c r="D653" s="44"/>
    </row>
    <row r="654">
      <c r="A654" s="44"/>
      <c r="C654" s="44"/>
      <c r="D654" s="44"/>
    </row>
    <row r="655">
      <c r="A655" s="44"/>
      <c r="C655" s="44"/>
      <c r="D655" s="44"/>
    </row>
    <row r="656">
      <c r="A656" s="44"/>
      <c r="C656" s="44"/>
      <c r="D656" s="44"/>
    </row>
    <row r="657">
      <c r="A657" s="44"/>
      <c r="C657" s="44"/>
      <c r="D657" s="44"/>
    </row>
    <row r="658">
      <c r="A658" s="44"/>
      <c r="C658" s="44"/>
      <c r="D658" s="44"/>
    </row>
    <row r="659">
      <c r="A659" s="44"/>
      <c r="C659" s="44"/>
      <c r="D659" s="44"/>
    </row>
    <row r="660">
      <c r="A660" s="44"/>
      <c r="C660" s="44"/>
      <c r="D660" s="44"/>
    </row>
    <row r="661">
      <c r="A661" s="44"/>
      <c r="C661" s="44"/>
      <c r="D661" s="44"/>
    </row>
    <row r="662">
      <c r="A662" s="44"/>
      <c r="C662" s="44"/>
      <c r="D662" s="44"/>
    </row>
    <row r="663">
      <c r="A663" s="44"/>
      <c r="C663" s="44"/>
      <c r="D663" s="44"/>
    </row>
    <row r="664">
      <c r="A664" s="44"/>
      <c r="C664" s="44"/>
      <c r="D664" s="44"/>
    </row>
    <row r="665">
      <c r="A665" s="44"/>
      <c r="C665" s="44"/>
      <c r="D665" s="44"/>
    </row>
    <row r="666">
      <c r="A666" s="44"/>
      <c r="C666" s="44"/>
      <c r="D666" s="44"/>
    </row>
    <row r="667">
      <c r="A667" s="44"/>
      <c r="C667" s="44"/>
      <c r="D667" s="44"/>
    </row>
    <row r="668">
      <c r="A668" s="44"/>
      <c r="C668" s="44"/>
      <c r="D668" s="44"/>
    </row>
    <row r="669">
      <c r="A669" s="44"/>
      <c r="C669" s="44"/>
      <c r="D669" s="44"/>
    </row>
    <row r="670">
      <c r="A670" s="44"/>
      <c r="C670" s="44"/>
      <c r="D670" s="44"/>
    </row>
    <row r="671">
      <c r="A671" s="44"/>
      <c r="C671" s="44"/>
      <c r="D671" s="44"/>
    </row>
    <row r="672">
      <c r="A672" s="44"/>
      <c r="C672" s="44"/>
      <c r="D672" s="44"/>
    </row>
    <row r="673">
      <c r="A673" s="44"/>
      <c r="C673" s="44"/>
      <c r="D673" s="44"/>
    </row>
    <row r="674">
      <c r="A674" s="44"/>
      <c r="C674" s="44"/>
      <c r="D674" s="44"/>
    </row>
    <row r="675">
      <c r="A675" s="44"/>
      <c r="C675" s="44"/>
      <c r="D675" s="44"/>
    </row>
    <row r="676">
      <c r="A676" s="44"/>
      <c r="C676" s="44"/>
      <c r="D676" s="44"/>
    </row>
    <row r="677">
      <c r="A677" s="44"/>
      <c r="C677" s="44"/>
      <c r="D677" s="44"/>
    </row>
    <row r="678">
      <c r="A678" s="44"/>
      <c r="C678" s="44"/>
      <c r="D678" s="44"/>
    </row>
    <row r="679">
      <c r="A679" s="44"/>
      <c r="C679" s="44"/>
      <c r="D679" s="44"/>
    </row>
    <row r="680">
      <c r="A680" s="44"/>
      <c r="C680" s="44"/>
      <c r="D680" s="44"/>
    </row>
    <row r="681">
      <c r="A681" s="44"/>
      <c r="C681" s="44"/>
      <c r="D681" s="44"/>
    </row>
    <row r="682">
      <c r="A682" s="44"/>
      <c r="C682" s="44"/>
      <c r="D682" s="44"/>
    </row>
    <row r="683">
      <c r="A683" s="44"/>
      <c r="C683" s="44"/>
      <c r="D683" s="44"/>
    </row>
    <row r="684">
      <c r="A684" s="44"/>
      <c r="C684" s="44"/>
      <c r="D684" s="44"/>
    </row>
    <row r="685">
      <c r="A685" s="44"/>
      <c r="C685" s="44"/>
      <c r="D685" s="44"/>
    </row>
    <row r="686">
      <c r="A686" s="44"/>
      <c r="C686" s="44"/>
      <c r="D686" s="44"/>
    </row>
    <row r="687">
      <c r="A687" s="44"/>
      <c r="C687" s="44"/>
      <c r="D687" s="44"/>
    </row>
    <row r="688">
      <c r="A688" s="44"/>
      <c r="C688" s="44"/>
      <c r="D688" s="44"/>
    </row>
    <row r="689">
      <c r="A689" s="44"/>
      <c r="C689" s="44"/>
      <c r="D689" s="44"/>
    </row>
    <row r="690">
      <c r="A690" s="44"/>
      <c r="C690" s="44"/>
      <c r="D690" s="44"/>
    </row>
    <row r="691">
      <c r="A691" s="44"/>
      <c r="C691" s="44"/>
      <c r="D691" s="44"/>
    </row>
    <row r="692">
      <c r="A692" s="44"/>
      <c r="C692" s="44"/>
      <c r="D692" s="44"/>
    </row>
    <row r="693">
      <c r="A693" s="44"/>
      <c r="C693" s="44"/>
      <c r="D693" s="44"/>
    </row>
    <row r="694">
      <c r="A694" s="44"/>
      <c r="C694" s="44"/>
      <c r="D694" s="44"/>
    </row>
    <row r="695">
      <c r="A695" s="44"/>
      <c r="C695" s="44"/>
      <c r="D695" s="44"/>
    </row>
    <row r="696">
      <c r="A696" s="44"/>
      <c r="C696" s="44"/>
      <c r="D696" s="44"/>
    </row>
    <row r="697">
      <c r="A697" s="44"/>
      <c r="C697" s="44"/>
      <c r="D697" s="44"/>
    </row>
    <row r="698">
      <c r="A698" s="44"/>
      <c r="C698" s="44"/>
      <c r="D698" s="44"/>
    </row>
    <row r="699">
      <c r="A699" s="44"/>
      <c r="C699" s="44"/>
      <c r="D699" s="44"/>
    </row>
    <row r="700">
      <c r="A700" s="44"/>
      <c r="C700" s="44"/>
      <c r="D700" s="44"/>
    </row>
    <row r="701">
      <c r="A701" s="44"/>
      <c r="C701" s="44"/>
      <c r="D701" s="44"/>
    </row>
    <row r="702">
      <c r="A702" s="44"/>
      <c r="C702" s="44"/>
      <c r="D702" s="44"/>
    </row>
    <row r="703">
      <c r="A703" s="44"/>
      <c r="C703" s="44"/>
      <c r="D703" s="44"/>
    </row>
    <row r="704">
      <c r="A704" s="44"/>
      <c r="C704" s="44"/>
      <c r="D704" s="44"/>
    </row>
    <row r="705">
      <c r="A705" s="44"/>
      <c r="C705" s="44"/>
      <c r="D705" s="44"/>
    </row>
    <row r="706">
      <c r="A706" s="44"/>
      <c r="C706" s="44"/>
      <c r="D706" s="44"/>
    </row>
    <row r="707">
      <c r="A707" s="44"/>
      <c r="C707" s="44"/>
      <c r="D707" s="44"/>
    </row>
    <row r="708">
      <c r="A708" s="44"/>
      <c r="C708" s="44"/>
      <c r="D708" s="44"/>
    </row>
    <row r="709">
      <c r="A709" s="44"/>
      <c r="C709" s="44"/>
      <c r="D709" s="44"/>
    </row>
    <row r="710">
      <c r="A710" s="44"/>
      <c r="C710" s="44"/>
      <c r="D710" s="44"/>
    </row>
    <row r="711">
      <c r="A711" s="44"/>
      <c r="C711" s="44"/>
      <c r="D711" s="44"/>
    </row>
    <row r="712">
      <c r="A712" s="44"/>
      <c r="C712" s="44"/>
      <c r="D712" s="44"/>
    </row>
    <row r="713">
      <c r="A713" s="44"/>
      <c r="C713" s="44"/>
      <c r="D713" s="44"/>
    </row>
    <row r="714">
      <c r="A714" s="44"/>
      <c r="C714" s="44"/>
      <c r="D714" s="44"/>
    </row>
    <row r="715">
      <c r="A715" s="44"/>
      <c r="C715" s="44"/>
      <c r="D715" s="44"/>
    </row>
    <row r="716">
      <c r="A716" s="44"/>
      <c r="C716" s="44"/>
      <c r="D716" s="44"/>
    </row>
    <row r="717">
      <c r="A717" s="44"/>
      <c r="C717" s="44"/>
      <c r="D717" s="44"/>
    </row>
    <row r="718">
      <c r="A718" s="44"/>
      <c r="C718" s="44"/>
      <c r="D718" s="44"/>
    </row>
    <row r="719">
      <c r="A719" s="44"/>
      <c r="C719" s="44"/>
      <c r="D719" s="44"/>
    </row>
    <row r="720">
      <c r="A720" s="44"/>
      <c r="C720" s="44"/>
      <c r="D720" s="44"/>
    </row>
    <row r="721">
      <c r="A721" s="44"/>
      <c r="C721" s="44"/>
      <c r="D721" s="44"/>
    </row>
    <row r="722">
      <c r="A722" s="44"/>
      <c r="C722" s="44"/>
      <c r="D722" s="44"/>
    </row>
    <row r="723">
      <c r="A723" s="44"/>
      <c r="C723" s="44"/>
      <c r="D723" s="44"/>
    </row>
    <row r="724">
      <c r="A724" s="44"/>
      <c r="C724" s="44"/>
      <c r="D724" s="44"/>
    </row>
    <row r="725">
      <c r="A725" s="44"/>
      <c r="C725" s="44"/>
      <c r="D725" s="44"/>
    </row>
    <row r="726">
      <c r="A726" s="44"/>
      <c r="C726" s="44"/>
      <c r="D726" s="44"/>
    </row>
    <row r="727">
      <c r="A727" s="44"/>
      <c r="C727" s="44"/>
      <c r="D727" s="44"/>
    </row>
    <row r="728">
      <c r="A728" s="44"/>
      <c r="C728" s="44"/>
      <c r="D728" s="44"/>
    </row>
    <row r="729">
      <c r="A729" s="44"/>
      <c r="C729" s="44"/>
      <c r="D729" s="44"/>
    </row>
    <row r="730">
      <c r="A730" s="44"/>
      <c r="C730" s="44"/>
      <c r="D730" s="44"/>
    </row>
    <row r="731">
      <c r="A731" s="44"/>
      <c r="C731" s="44"/>
      <c r="D731" s="44"/>
    </row>
    <row r="732">
      <c r="A732" s="44"/>
      <c r="C732" s="44"/>
      <c r="D732" s="44"/>
    </row>
    <row r="733">
      <c r="A733" s="44"/>
      <c r="C733" s="44"/>
      <c r="D733" s="44"/>
    </row>
    <row r="734">
      <c r="A734" s="44"/>
      <c r="C734" s="44"/>
      <c r="D734" s="44"/>
    </row>
    <row r="735">
      <c r="A735" s="44"/>
      <c r="C735" s="44"/>
      <c r="D735" s="44"/>
    </row>
    <row r="736">
      <c r="A736" s="44"/>
      <c r="C736" s="44"/>
      <c r="D736" s="44"/>
    </row>
    <row r="737">
      <c r="A737" s="44"/>
      <c r="C737" s="44"/>
      <c r="D737" s="44"/>
    </row>
    <row r="738">
      <c r="A738" s="44"/>
      <c r="C738" s="44"/>
      <c r="D738" s="44"/>
    </row>
    <row r="739">
      <c r="A739" s="44"/>
      <c r="C739" s="44"/>
      <c r="D739" s="44"/>
    </row>
    <row r="740">
      <c r="A740" s="44"/>
      <c r="C740" s="44"/>
      <c r="D740" s="44"/>
    </row>
    <row r="741">
      <c r="A741" s="44"/>
      <c r="C741" s="44"/>
      <c r="D741" s="44"/>
    </row>
    <row r="742">
      <c r="A742" s="44"/>
      <c r="C742" s="44"/>
      <c r="D742" s="44"/>
    </row>
    <row r="743">
      <c r="A743" s="44"/>
      <c r="C743" s="44"/>
      <c r="D743" s="44"/>
    </row>
    <row r="744">
      <c r="A744" s="44"/>
      <c r="C744" s="44"/>
      <c r="D744" s="44"/>
    </row>
    <row r="745">
      <c r="A745" s="44"/>
      <c r="C745" s="44"/>
      <c r="D745" s="44"/>
    </row>
    <row r="746">
      <c r="A746" s="44"/>
      <c r="C746" s="44"/>
      <c r="D746" s="44"/>
    </row>
    <row r="747">
      <c r="A747" s="44"/>
      <c r="C747" s="44"/>
      <c r="D747" s="44"/>
    </row>
    <row r="748">
      <c r="A748" s="44"/>
      <c r="C748" s="44"/>
      <c r="D748" s="44"/>
    </row>
    <row r="749">
      <c r="A749" s="44"/>
      <c r="C749" s="44"/>
      <c r="D749" s="44"/>
    </row>
    <row r="750">
      <c r="A750" s="44"/>
      <c r="C750" s="44"/>
      <c r="D750" s="44"/>
    </row>
    <row r="751">
      <c r="A751" s="44"/>
      <c r="C751" s="44"/>
      <c r="D751" s="44"/>
    </row>
    <row r="752">
      <c r="A752" s="44"/>
      <c r="C752" s="44"/>
      <c r="D752" s="44"/>
    </row>
    <row r="753">
      <c r="A753" s="44"/>
      <c r="C753" s="44"/>
      <c r="D753" s="44"/>
    </row>
    <row r="754">
      <c r="A754" s="44"/>
      <c r="C754" s="44"/>
      <c r="D754" s="44"/>
    </row>
    <row r="755">
      <c r="A755" s="44"/>
      <c r="C755" s="44"/>
      <c r="D755" s="44"/>
    </row>
    <row r="756">
      <c r="A756" s="44"/>
      <c r="C756" s="44"/>
      <c r="D756" s="44"/>
    </row>
    <row r="757">
      <c r="A757" s="44"/>
      <c r="C757" s="44"/>
      <c r="D757" s="44"/>
    </row>
    <row r="758">
      <c r="A758" s="44"/>
      <c r="C758" s="44"/>
      <c r="D758" s="44"/>
    </row>
    <row r="759">
      <c r="A759" s="44"/>
      <c r="C759" s="44"/>
      <c r="D759" s="44"/>
    </row>
    <row r="760">
      <c r="A760" s="44"/>
      <c r="C760" s="44"/>
      <c r="D760" s="44"/>
    </row>
    <row r="761">
      <c r="A761" s="44"/>
      <c r="C761" s="44"/>
      <c r="D761" s="44"/>
    </row>
    <row r="762">
      <c r="A762" s="44"/>
      <c r="C762" s="44"/>
      <c r="D762" s="44"/>
    </row>
    <row r="763">
      <c r="A763" s="44"/>
      <c r="C763" s="44"/>
      <c r="D763" s="44"/>
    </row>
    <row r="764">
      <c r="A764" s="44"/>
      <c r="C764" s="44"/>
      <c r="D764" s="44"/>
    </row>
    <row r="765">
      <c r="A765" s="44"/>
      <c r="C765" s="44"/>
      <c r="D765" s="44"/>
    </row>
    <row r="766">
      <c r="A766" s="44"/>
      <c r="C766" s="44"/>
      <c r="D766" s="44"/>
    </row>
    <row r="767">
      <c r="A767" s="44"/>
      <c r="C767" s="44"/>
      <c r="D767" s="44"/>
    </row>
    <row r="768">
      <c r="A768" s="44"/>
      <c r="C768" s="44"/>
      <c r="D768" s="44"/>
    </row>
    <row r="769">
      <c r="A769" s="44"/>
      <c r="C769" s="44"/>
      <c r="D769" s="44"/>
    </row>
    <row r="770">
      <c r="A770" s="44"/>
      <c r="C770" s="44"/>
      <c r="D770" s="44"/>
    </row>
    <row r="771">
      <c r="A771" s="44"/>
      <c r="C771" s="44"/>
      <c r="D771" s="44"/>
    </row>
    <row r="772">
      <c r="A772" s="44"/>
      <c r="C772" s="44"/>
      <c r="D772" s="44"/>
    </row>
    <row r="773">
      <c r="A773" s="44"/>
      <c r="C773" s="44"/>
      <c r="D773" s="44"/>
    </row>
    <row r="774">
      <c r="A774" s="44"/>
      <c r="C774" s="44"/>
      <c r="D774" s="44"/>
    </row>
    <row r="775">
      <c r="A775" s="44"/>
      <c r="C775" s="44"/>
      <c r="D775" s="44"/>
    </row>
    <row r="776">
      <c r="A776" s="44"/>
      <c r="C776" s="44"/>
      <c r="D776" s="44"/>
    </row>
    <row r="777">
      <c r="A777" s="44"/>
      <c r="C777" s="44"/>
      <c r="D777" s="44"/>
    </row>
    <row r="778">
      <c r="A778" s="44"/>
      <c r="C778" s="44"/>
      <c r="D778" s="44"/>
    </row>
    <row r="779">
      <c r="A779" s="44"/>
      <c r="C779" s="44"/>
      <c r="D779" s="44"/>
    </row>
    <row r="780">
      <c r="A780" s="44"/>
      <c r="C780" s="44"/>
      <c r="D780" s="44"/>
    </row>
    <row r="781">
      <c r="A781" s="44"/>
      <c r="C781" s="44"/>
      <c r="D781" s="44"/>
    </row>
    <row r="782">
      <c r="A782" s="44"/>
      <c r="C782" s="44"/>
      <c r="D782" s="44"/>
    </row>
    <row r="783">
      <c r="A783" s="44"/>
      <c r="C783" s="44"/>
      <c r="D783" s="44"/>
    </row>
    <row r="784">
      <c r="A784" s="44"/>
      <c r="C784" s="44"/>
      <c r="D784" s="44"/>
    </row>
    <row r="785">
      <c r="A785" s="44"/>
      <c r="C785" s="44"/>
      <c r="D785" s="44"/>
    </row>
    <row r="786">
      <c r="A786" s="44"/>
      <c r="C786" s="44"/>
      <c r="D786" s="44"/>
    </row>
    <row r="787">
      <c r="A787" s="44"/>
      <c r="C787" s="44"/>
      <c r="D787" s="44"/>
    </row>
    <row r="788">
      <c r="A788" s="44"/>
      <c r="C788" s="44"/>
      <c r="D788" s="44"/>
    </row>
    <row r="789">
      <c r="A789" s="44"/>
      <c r="C789" s="44"/>
      <c r="D789" s="44"/>
    </row>
    <row r="790">
      <c r="A790" s="44"/>
      <c r="C790" s="44"/>
      <c r="D790" s="44"/>
    </row>
    <row r="791">
      <c r="A791" s="44"/>
      <c r="C791" s="44"/>
      <c r="D791" s="44"/>
    </row>
    <row r="792">
      <c r="A792" s="44"/>
      <c r="C792" s="44"/>
      <c r="D792" s="44"/>
    </row>
    <row r="793">
      <c r="A793" s="44"/>
      <c r="C793" s="44"/>
      <c r="D793" s="44"/>
    </row>
    <row r="794">
      <c r="A794" s="44"/>
      <c r="C794" s="44"/>
      <c r="D794" s="44"/>
    </row>
    <row r="795">
      <c r="A795" s="44"/>
      <c r="C795" s="44"/>
      <c r="D795" s="44"/>
    </row>
    <row r="796">
      <c r="A796" s="44"/>
      <c r="C796" s="44"/>
      <c r="D796" s="44"/>
    </row>
    <row r="797">
      <c r="A797" s="44"/>
      <c r="C797" s="44"/>
      <c r="D797" s="44"/>
    </row>
    <row r="798">
      <c r="A798" s="44"/>
      <c r="C798" s="44"/>
      <c r="D798" s="44"/>
    </row>
    <row r="799">
      <c r="A799" s="44"/>
      <c r="C799" s="44"/>
      <c r="D799" s="44"/>
    </row>
    <row r="800">
      <c r="A800" s="44"/>
      <c r="C800" s="44"/>
      <c r="D800" s="44"/>
    </row>
    <row r="801">
      <c r="A801" s="44"/>
      <c r="C801" s="44"/>
      <c r="D801" s="44"/>
    </row>
    <row r="802">
      <c r="A802" s="44"/>
      <c r="C802" s="44"/>
      <c r="D802" s="44"/>
    </row>
    <row r="803">
      <c r="A803" s="44"/>
      <c r="C803" s="44"/>
      <c r="D803" s="44"/>
    </row>
    <row r="804">
      <c r="A804" s="44"/>
      <c r="C804" s="44"/>
      <c r="D804" s="44"/>
    </row>
    <row r="805">
      <c r="A805" s="44"/>
      <c r="C805" s="44"/>
      <c r="D805" s="44"/>
    </row>
    <row r="806">
      <c r="A806" s="44"/>
      <c r="C806" s="44"/>
      <c r="D806" s="44"/>
    </row>
    <row r="807">
      <c r="A807" s="44"/>
      <c r="C807" s="44"/>
      <c r="D807" s="44"/>
    </row>
    <row r="808">
      <c r="A808" s="44"/>
      <c r="C808" s="44"/>
      <c r="D808" s="44"/>
    </row>
    <row r="809">
      <c r="A809" s="44"/>
      <c r="C809" s="44"/>
      <c r="D809" s="44"/>
    </row>
    <row r="810">
      <c r="A810" s="44"/>
      <c r="C810" s="44"/>
      <c r="D810" s="44"/>
    </row>
    <row r="811">
      <c r="A811" s="44"/>
      <c r="C811" s="44"/>
      <c r="D811" s="44"/>
    </row>
    <row r="812">
      <c r="A812" s="44"/>
      <c r="C812" s="44"/>
      <c r="D812" s="44"/>
    </row>
    <row r="813">
      <c r="A813" s="44"/>
      <c r="C813" s="44"/>
      <c r="D813" s="44"/>
    </row>
    <row r="814">
      <c r="A814" s="44"/>
      <c r="C814" s="44"/>
      <c r="D814" s="44"/>
    </row>
    <row r="815">
      <c r="A815" s="44"/>
      <c r="C815" s="44"/>
      <c r="D815" s="44"/>
    </row>
    <row r="816">
      <c r="A816" s="44"/>
      <c r="C816" s="44"/>
      <c r="D816" s="44"/>
    </row>
    <row r="817">
      <c r="A817" s="44"/>
      <c r="C817" s="44"/>
      <c r="D817" s="44"/>
    </row>
    <row r="818">
      <c r="A818" s="44"/>
      <c r="C818" s="44"/>
      <c r="D818" s="44"/>
    </row>
    <row r="819">
      <c r="A819" s="44"/>
      <c r="C819" s="44"/>
      <c r="D819" s="44"/>
    </row>
    <row r="820">
      <c r="A820" s="44"/>
      <c r="C820" s="44"/>
      <c r="D820" s="44"/>
    </row>
    <row r="821">
      <c r="A821" s="44"/>
      <c r="C821" s="44"/>
      <c r="D821" s="44"/>
    </row>
    <row r="822">
      <c r="A822" s="44"/>
      <c r="C822" s="44"/>
      <c r="D822" s="44"/>
    </row>
    <row r="823">
      <c r="A823" s="44"/>
      <c r="C823" s="44"/>
      <c r="D823" s="44"/>
    </row>
    <row r="824">
      <c r="A824" s="44"/>
      <c r="C824" s="44"/>
      <c r="D824" s="44"/>
    </row>
    <row r="825">
      <c r="A825" s="44"/>
      <c r="C825" s="44"/>
      <c r="D825" s="44"/>
    </row>
    <row r="826">
      <c r="A826" s="44"/>
      <c r="C826" s="44"/>
      <c r="D826" s="44"/>
    </row>
    <row r="827">
      <c r="A827" s="44"/>
      <c r="C827" s="44"/>
      <c r="D827" s="44"/>
    </row>
    <row r="828">
      <c r="A828" s="44"/>
      <c r="C828" s="44"/>
      <c r="D828" s="44"/>
    </row>
    <row r="829">
      <c r="A829" s="44"/>
      <c r="C829" s="44"/>
      <c r="D829" s="44"/>
    </row>
    <row r="830">
      <c r="A830" s="44"/>
      <c r="C830" s="44"/>
      <c r="D830" s="44"/>
    </row>
    <row r="831">
      <c r="A831" s="44"/>
      <c r="C831" s="44"/>
      <c r="D831" s="44"/>
    </row>
    <row r="832">
      <c r="A832" s="44"/>
      <c r="C832" s="44"/>
      <c r="D832" s="44"/>
    </row>
    <row r="833">
      <c r="A833" s="44"/>
      <c r="C833" s="44"/>
      <c r="D833" s="44"/>
    </row>
    <row r="834">
      <c r="A834" s="44"/>
      <c r="C834" s="44"/>
      <c r="D834" s="44"/>
    </row>
    <row r="835">
      <c r="A835" s="44"/>
      <c r="C835" s="44"/>
      <c r="D835" s="44"/>
    </row>
    <row r="836">
      <c r="A836" s="44"/>
      <c r="C836" s="44"/>
      <c r="D836" s="44"/>
    </row>
    <row r="837">
      <c r="A837" s="44"/>
      <c r="C837" s="44"/>
      <c r="D837" s="44"/>
    </row>
    <row r="838">
      <c r="A838" s="44"/>
      <c r="C838" s="44"/>
      <c r="D838" s="44"/>
    </row>
    <row r="839">
      <c r="A839" s="44"/>
      <c r="C839" s="44"/>
      <c r="D839" s="44"/>
    </row>
    <row r="840">
      <c r="A840" s="44"/>
      <c r="C840" s="44"/>
      <c r="D840" s="44"/>
    </row>
    <row r="841">
      <c r="A841" s="44"/>
      <c r="C841" s="44"/>
      <c r="D841" s="44"/>
    </row>
    <row r="842">
      <c r="A842" s="44"/>
      <c r="C842" s="44"/>
      <c r="D842" s="44"/>
    </row>
    <row r="843">
      <c r="A843" s="44"/>
      <c r="C843" s="44"/>
      <c r="D843" s="44"/>
    </row>
    <row r="844">
      <c r="A844" s="44"/>
      <c r="C844" s="44"/>
      <c r="D844" s="44"/>
    </row>
    <row r="845">
      <c r="A845" s="44"/>
      <c r="C845" s="44"/>
      <c r="D845" s="44"/>
    </row>
    <row r="846">
      <c r="A846" s="44"/>
      <c r="C846" s="44"/>
      <c r="D846" s="44"/>
    </row>
    <row r="847">
      <c r="A847" s="44"/>
      <c r="C847" s="44"/>
      <c r="D847" s="44"/>
    </row>
    <row r="848">
      <c r="A848" s="44"/>
      <c r="C848" s="44"/>
      <c r="D848" s="44"/>
    </row>
    <row r="849">
      <c r="A849" s="44"/>
      <c r="C849" s="44"/>
      <c r="D849" s="44"/>
    </row>
    <row r="850">
      <c r="A850" s="44"/>
      <c r="C850" s="44"/>
      <c r="D850" s="44"/>
    </row>
    <row r="851">
      <c r="A851" s="44"/>
      <c r="C851" s="44"/>
      <c r="D851" s="44"/>
    </row>
    <row r="852">
      <c r="A852" s="44"/>
      <c r="C852" s="44"/>
      <c r="D852" s="44"/>
    </row>
    <row r="853">
      <c r="A853" s="44"/>
      <c r="C853" s="44"/>
      <c r="D853" s="44"/>
    </row>
    <row r="854">
      <c r="A854" s="44"/>
      <c r="C854" s="44"/>
      <c r="D854" s="44"/>
    </row>
    <row r="855">
      <c r="A855" s="44"/>
      <c r="C855" s="44"/>
      <c r="D855" s="44"/>
    </row>
    <row r="856">
      <c r="A856" s="44"/>
      <c r="C856" s="44"/>
      <c r="D856" s="44"/>
    </row>
    <row r="857">
      <c r="A857" s="44"/>
      <c r="C857" s="44"/>
      <c r="D857" s="44"/>
    </row>
    <row r="858">
      <c r="A858" s="44"/>
      <c r="C858" s="44"/>
      <c r="D858" s="44"/>
    </row>
    <row r="859">
      <c r="A859" s="44"/>
      <c r="C859" s="44"/>
      <c r="D859" s="44"/>
    </row>
    <row r="860">
      <c r="A860" s="44"/>
      <c r="C860" s="44"/>
      <c r="D860" s="44"/>
    </row>
    <row r="861">
      <c r="A861" s="44"/>
      <c r="C861" s="44"/>
      <c r="D861" s="44"/>
    </row>
    <row r="862">
      <c r="A862" s="44"/>
      <c r="C862" s="44"/>
      <c r="D862" s="44"/>
    </row>
    <row r="863">
      <c r="A863" s="44"/>
      <c r="C863" s="44"/>
      <c r="D863" s="44"/>
    </row>
    <row r="864">
      <c r="A864" s="44"/>
      <c r="C864" s="44"/>
      <c r="D864" s="44"/>
    </row>
    <row r="865">
      <c r="A865" s="44"/>
      <c r="C865" s="44"/>
      <c r="D865" s="44"/>
    </row>
    <row r="866">
      <c r="A866" s="44"/>
      <c r="C866" s="44"/>
      <c r="D866" s="44"/>
    </row>
    <row r="867">
      <c r="A867" s="44"/>
      <c r="C867" s="44"/>
      <c r="D867" s="44"/>
    </row>
    <row r="868">
      <c r="A868" s="44"/>
      <c r="C868" s="44"/>
      <c r="D868" s="44"/>
    </row>
    <row r="869">
      <c r="A869" s="44"/>
      <c r="C869" s="44"/>
      <c r="D869" s="44"/>
    </row>
    <row r="870">
      <c r="A870" s="44"/>
      <c r="C870" s="44"/>
      <c r="D870" s="44"/>
    </row>
    <row r="871">
      <c r="A871" s="44"/>
      <c r="C871" s="44"/>
      <c r="D871" s="44"/>
    </row>
    <row r="872">
      <c r="A872" s="44"/>
      <c r="C872" s="44"/>
      <c r="D872" s="44"/>
    </row>
    <row r="873">
      <c r="A873" s="44"/>
      <c r="C873" s="44"/>
      <c r="D873" s="44"/>
    </row>
    <row r="874">
      <c r="A874" s="44"/>
      <c r="C874" s="44"/>
      <c r="D874" s="44"/>
    </row>
    <row r="875">
      <c r="A875" s="44"/>
      <c r="C875" s="44"/>
      <c r="D875" s="44"/>
    </row>
    <row r="876">
      <c r="A876" s="44"/>
      <c r="C876" s="44"/>
      <c r="D876" s="44"/>
    </row>
    <row r="877">
      <c r="A877" s="44"/>
      <c r="C877" s="44"/>
      <c r="D877" s="44"/>
    </row>
    <row r="878">
      <c r="A878" s="44"/>
      <c r="C878" s="44"/>
      <c r="D878" s="44"/>
    </row>
    <row r="879">
      <c r="A879" s="44"/>
      <c r="C879" s="44"/>
      <c r="D879" s="44"/>
    </row>
    <row r="880">
      <c r="A880" s="44"/>
      <c r="C880" s="44"/>
      <c r="D880" s="44"/>
    </row>
    <row r="881">
      <c r="A881" s="44"/>
      <c r="C881" s="44"/>
      <c r="D881" s="44"/>
    </row>
    <row r="882">
      <c r="A882" s="44"/>
      <c r="C882" s="44"/>
      <c r="D882" s="44"/>
    </row>
    <row r="883">
      <c r="A883" s="44"/>
      <c r="C883" s="44"/>
      <c r="D883" s="44"/>
    </row>
    <row r="884">
      <c r="A884" s="44"/>
      <c r="C884" s="44"/>
      <c r="D884" s="44"/>
    </row>
    <row r="885">
      <c r="A885" s="44"/>
      <c r="C885" s="44"/>
      <c r="D885" s="44"/>
    </row>
    <row r="886">
      <c r="A886" s="44"/>
      <c r="C886" s="44"/>
      <c r="D886" s="44"/>
    </row>
    <row r="887">
      <c r="A887" s="44"/>
      <c r="C887" s="44"/>
      <c r="D887" s="44"/>
    </row>
    <row r="888">
      <c r="A888" s="44"/>
      <c r="C888" s="44"/>
      <c r="D888" s="44"/>
    </row>
    <row r="889">
      <c r="A889" s="44"/>
      <c r="C889" s="44"/>
      <c r="D889" s="44"/>
    </row>
    <row r="890">
      <c r="A890" s="44"/>
      <c r="C890" s="44"/>
      <c r="D890" s="44"/>
    </row>
    <row r="891">
      <c r="A891" s="44"/>
      <c r="C891" s="44"/>
      <c r="D891" s="44"/>
    </row>
    <row r="892">
      <c r="A892" s="44"/>
      <c r="C892" s="44"/>
      <c r="D892" s="44"/>
    </row>
    <row r="893">
      <c r="A893" s="44"/>
      <c r="C893" s="44"/>
      <c r="D893" s="44"/>
    </row>
    <row r="894">
      <c r="A894" s="44"/>
      <c r="C894" s="44"/>
      <c r="D894" s="44"/>
    </row>
    <row r="895">
      <c r="A895" s="44"/>
      <c r="C895" s="44"/>
      <c r="D895" s="44"/>
    </row>
    <row r="896">
      <c r="A896" s="44"/>
      <c r="C896" s="44"/>
      <c r="D896" s="44"/>
    </row>
    <row r="897">
      <c r="A897" s="44"/>
      <c r="C897" s="44"/>
      <c r="D897" s="44"/>
    </row>
    <row r="898">
      <c r="A898" s="44"/>
      <c r="C898" s="44"/>
      <c r="D898" s="44"/>
    </row>
    <row r="899">
      <c r="A899" s="44"/>
      <c r="C899" s="44"/>
      <c r="D899" s="44"/>
    </row>
    <row r="900">
      <c r="A900" s="44"/>
      <c r="C900" s="44"/>
      <c r="D900" s="44"/>
    </row>
    <row r="901">
      <c r="A901" s="44"/>
      <c r="C901" s="44"/>
      <c r="D901" s="44"/>
    </row>
    <row r="902">
      <c r="A902" s="44"/>
      <c r="C902" s="44"/>
      <c r="D902" s="44"/>
    </row>
    <row r="903">
      <c r="A903" s="44"/>
      <c r="C903" s="44"/>
      <c r="D903" s="44"/>
    </row>
    <row r="904">
      <c r="A904" s="44"/>
      <c r="C904" s="44"/>
      <c r="D904" s="44"/>
    </row>
    <row r="905">
      <c r="A905" s="44"/>
      <c r="C905" s="44"/>
      <c r="D905" s="44"/>
    </row>
    <row r="906">
      <c r="A906" s="44"/>
      <c r="C906" s="44"/>
      <c r="D906" s="44"/>
    </row>
    <row r="907">
      <c r="A907" s="44"/>
      <c r="C907" s="44"/>
      <c r="D907" s="44"/>
    </row>
    <row r="908">
      <c r="A908" s="44"/>
      <c r="C908" s="44"/>
      <c r="D908" s="44"/>
    </row>
    <row r="909">
      <c r="A909" s="44"/>
      <c r="C909" s="44"/>
      <c r="D909" s="44"/>
    </row>
    <row r="910">
      <c r="A910" s="44"/>
      <c r="C910" s="44"/>
      <c r="D910" s="44"/>
    </row>
    <row r="911">
      <c r="A911" s="44"/>
      <c r="C911" s="44"/>
      <c r="D911" s="44"/>
    </row>
    <row r="912">
      <c r="A912" s="44"/>
      <c r="C912" s="44"/>
      <c r="D912" s="44"/>
    </row>
    <row r="913">
      <c r="A913" s="44"/>
      <c r="C913" s="44"/>
      <c r="D913" s="44"/>
    </row>
    <row r="914">
      <c r="A914" s="44"/>
      <c r="C914" s="44"/>
      <c r="D914" s="44"/>
    </row>
    <row r="915">
      <c r="A915" s="44"/>
      <c r="C915" s="44"/>
      <c r="D915" s="44"/>
    </row>
    <row r="916">
      <c r="A916" s="44"/>
      <c r="C916" s="44"/>
      <c r="D916" s="44"/>
    </row>
    <row r="917">
      <c r="A917" s="44"/>
      <c r="C917" s="44"/>
      <c r="D917" s="44"/>
    </row>
    <row r="918">
      <c r="A918" s="44"/>
      <c r="C918" s="44"/>
      <c r="D918" s="44"/>
    </row>
    <row r="919">
      <c r="A919" s="44"/>
      <c r="C919" s="44"/>
      <c r="D919" s="44"/>
    </row>
    <row r="920">
      <c r="A920" s="44"/>
      <c r="C920" s="44"/>
      <c r="D920" s="44"/>
    </row>
    <row r="921">
      <c r="A921" s="44"/>
      <c r="C921" s="44"/>
      <c r="D921" s="44"/>
    </row>
    <row r="922">
      <c r="A922" s="44"/>
      <c r="C922" s="44"/>
      <c r="D922" s="44"/>
    </row>
    <row r="923">
      <c r="A923" s="44"/>
      <c r="C923" s="44"/>
      <c r="D923" s="44"/>
    </row>
    <row r="924">
      <c r="A924" s="44"/>
      <c r="C924" s="44"/>
      <c r="D924" s="44"/>
    </row>
    <row r="925">
      <c r="A925" s="44"/>
      <c r="C925" s="44"/>
      <c r="D925" s="44"/>
    </row>
    <row r="926">
      <c r="A926" s="44"/>
      <c r="C926" s="44"/>
      <c r="D926" s="44"/>
    </row>
    <row r="927">
      <c r="A927" s="44"/>
      <c r="C927" s="44"/>
      <c r="D927" s="44"/>
    </row>
    <row r="928">
      <c r="A928" s="44"/>
      <c r="C928" s="44"/>
      <c r="D928" s="44"/>
    </row>
    <row r="929">
      <c r="A929" s="44"/>
      <c r="C929" s="44"/>
      <c r="D929" s="44"/>
    </row>
    <row r="930">
      <c r="A930" s="44"/>
      <c r="C930" s="44"/>
      <c r="D930" s="44"/>
    </row>
    <row r="931">
      <c r="A931" s="44"/>
      <c r="C931" s="44"/>
      <c r="D931" s="44"/>
    </row>
    <row r="932">
      <c r="A932" s="44"/>
      <c r="C932" s="44"/>
      <c r="D932" s="44"/>
    </row>
    <row r="933">
      <c r="A933" s="44"/>
      <c r="C933" s="44"/>
      <c r="D933" s="44"/>
    </row>
    <row r="934">
      <c r="A934" s="44"/>
      <c r="C934" s="44"/>
      <c r="D934" s="44"/>
    </row>
    <row r="935">
      <c r="A935" s="44"/>
      <c r="C935" s="44"/>
      <c r="D935" s="44"/>
    </row>
    <row r="936">
      <c r="A936" s="44"/>
      <c r="C936" s="44"/>
      <c r="D936" s="44"/>
    </row>
    <row r="937">
      <c r="A937" s="44"/>
      <c r="C937" s="44"/>
      <c r="D937" s="44"/>
    </row>
    <row r="938">
      <c r="A938" s="44"/>
      <c r="C938" s="44"/>
      <c r="D938" s="44"/>
    </row>
    <row r="939">
      <c r="A939" s="44"/>
      <c r="C939" s="44"/>
      <c r="D939" s="44"/>
    </row>
    <row r="940">
      <c r="A940" s="44"/>
      <c r="C940" s="44"/>
      <c r="D940" s="44"/>
    </row>
    <row r="941">
      <c r="A941" s="44"/>
      <c r="C941" s="44"/>
      <c r="D941" s="44"/>
    </row>
    <row r="942">
      <c r="A942" s="44"/>
      <c r="C942" s="44"/>
      <c r="D942" s="44"/>
    </row>
    <row r="943">
      <c r="A943" s="44"/>
      <c r="C943" s="44"/>
      <c r="D943" s="44"/>
    </row>
    <row r="944">
      <c r="A944" s="44"/>
      <c r="C944" s="44"/>
      <c r="D944" s="44"/>
    </row>
    <row r="945">
      <c r="A945" s="44"/>
      <c r="C945" s="44"/>
      <c r="D945" s="44"/>
    </row>
    <row r="946">
      <c r="A946" s="44"/>
      <c r="C946" s="44"/>
      <c r="D946" s="44"/>
    </row>
    <row r="947">
      <c r="A947" s="44"/>
      <c r="C947" s="44"/>
      <c r="D947" s="44"/>
    </row>
    <row r="948">
      <c r="A948" s="44"/>
      <c r="C948" s="44"/>
      <c r="D948" s="44"/>
    </row>
    <row r="949">
      <c r="A949" s="44"/>
      <c r="C949" s="44"/>
      <c r="D949" s="44"/>
    </row>
    <row r="950">
      <c r="A950" s="44"/>
      <c r="C950" s="44"/>
      <c r="D950" s="44"/>
    </row>
    <row r="951">
      <c r="A951" s="44"/>
      <c r="C951" s="44"/>
      <c r="D951" s="44"/>
    </row>
    <row r="952">
      <c r="A952" s="44"/>
      <c r="C952" s="44"/>
      <c r="D952" s="44"/>
    </row>
    <row r="953">
      <c r="A953" s="44"/>
      <c r="C953" s="44"/>
      <c r="D953" s="44"/>
    </row>
    <row r="954">
      <c r="A954" s="44"/>
      <c r="C954" s="44"/>
      <c r="D954" s="44"/>
    </row>
    <row r="955">
      <c r="A955" s="44"/>
      <c r="C955" s="44"/>
      <c r="D955" s="44"/>
    </row>
    <row r="956">
      <c r="A956" s="44"/>
      <c r="C956" s="44"/>
      <c r="D956" s="44"/>
    </row>
    <row r="957">
      <c r="A957" s="44"/>
      <c r="C957" s="44"/>
      <c r="D957" s="44"/>
    </row>
    <row r="958">
      <c r="A958" s="44"/>
      <c r="C958" s="44"/>
      <c r="D958" s="44"/>
    </row>
    <row r="959">
      <c r="A959" s="44"/>
      <c r="C959" s="44"/>
      <c r="D959" s="44"/>
    </row>
    <row r="960">
      <c r="A960" s="44"/>
      <c r="C960" s="44"/>
      <c r="D960" s="44"/>
    </row>
    <row r="961">
      <c r="A961" s="44"/>
      <c r="C961" s="44"/>
      <c r="D961" s="44"/>
    </row>
    <row r="962">
      <c r="A962" s="44"/>
      <c r="C962" s="44"/>
      <c r="D962" s="44"/>
    </row>
    <row r="963">
      <c r="A963" s="44"/>
      <c r="C963" s="44"/>
      <c r="D963" s="44"/>
    </row>
    <row r="964">
      <c r="A964" s="44"/>
      <c r="C964" s="44"/>
      <c r="D964" s="44"/>
    </row>
    <row r="965">
      <c r="A965" s="44"/>
      <c r="C965" s="44"/>
      <c r="D965" s="44"/>
    </row>
    <row r="966">
      <c r="A966" s="44"/>
      <c r="C966" s="44"/>
      <c r="D966" s="44"/>
    </row>
    <row r="967">
      <c r="A967" s="44"/>
      <c r="C967" s="44"/>
      <c r="D967" s="44"/>
    </row>
    <row r="968">
      <c r="A968" s="44"/>
      <c r="C968" s="44"/>
      <c r="D968" s="44"/>
    </row>
    <row r="969">
      <c r="A969" s="44"/>
      <c r="C969" s="44"/>
      <c r="D969" s="44"/>
    </row>
    <row r="970">
      <c r="A970" s="44"/>
      <c r="C970" s="44"/>
      <c r="D970" s="44"/>
    </row>
    <row r="971">
      <c r="A971" s="44"/>
      <c r="C971" s="44"/>
      <c r="D971" s="44"/>
    </row>
    <row r="972">
      <c r="A972" s="44"/>
      <c r="C972" s="44"/>
      <c r="D972" s="44"/>
    </row>
    <row r="973">
      <c r="A973" s="44"/>
      <c r="C973" s="44"/>
      <c r="D973" s="44"/>
    </row>
    <row r="974">
      <c r="A974" s="44"/>
      <c r="C974" s="44"/>
      <c r="D974" s="44"/>
    </row>
    <row r="975">
      <c r="A975" s="44"/>
      <c r="C975" s="44"/>
      <c r="D975" s="44"/>
    </row>
    <row r="976">
      <c r="A976" s="44"/>
      <c r="C976" s="44"/>
      <c r="D976" s="44"/>
    </row>
    <row r="977">
      <c r="A977" s="44"/>
      <c r="C977" s="44"/>
      <c r="D977" s="44"/>
    </row>
    <row r="978">
      <c r="A978" s="44"/>
      <c r="C978" s="44"/>
      <c r="D978" s="44"/>
    </row>
    <row r="979">
      <c r="A979" s="44"/>
      <c r="C979" s="44"/>
      <c r="D979" s="44"/>
    </row>
    <row r="980">
      <c r="A980" s="44"/>
      <c r="C980" s="44"/>
      <c r="D980" s="44"/>
    </row>
    <row r="981">
      <c r="A981" s="44"/>
      <c r="C981" s="44"/>
      <c r="D981" s="44"/>
    </row>
    <row r="982">
      <c r="A982" s="44"/>
      <c r="C982" s="44"/>
      <c r="D982" s="44"/>
    </row>
    <row r="983">
      <c r="A983" s="44"/>
      <c r="C983" s="44"/>
      <c r="D983" s="44"/>
    </row>
    <row r="984">
      <c r="A984" s="44"/>
      <c r="C984" s="44"/>
      <c r="D984" s="44"/>
    </row>
    <row r="985">
      <c r="A985" s="44"/>
      <c r="C985" s="44"/>
      <c r="D985" s="44"/>
    </row>
    <row r="986">
      <c r="A986" s="44"/>
      <c r="C986" s="44"/>
      <c r="D986" s="44"/>
    </row>
    <row r="987">
      <c r="A987" s="44"/>
      <c r="C987" s="44"/>
      <c r="D987" s="44"/>
    </row>
    <row r="988">
      <c r="A988" s="44"/>
      <c r="C988" s="44"/>
      <c r="D988" s="44"/>
    </row>
    <row r="989">
      <c r="A989" s="44"/>
      <c r="C989" s="44"/>
      <c r="D989" s="44"/>
    </row>
    <row r="990">
      <c r="A990" s="44"/>
      <c r="C990" s="44"/>
      <c r="D990" s="44"/>
    </row>
    <row r="991">
      <c r="A991" s="44"/>
      <c r="C991" s="44"/>
      <c r="D991" s="44"/>
    </row>
    <row r="992">
      <c r="A992" s="44"/>
      <c r="C992" s="44"/>
      <c r="D992" s="44"/>
    </row>
    <row r="993">
      <c r="A993" s="44"/>
      <c r="C993" s="44"/>
      <c r="D993" s="44"/>
    </row>
    <row r="994">
      <c r="A994" s="44"/>
      <c r="C994" s="44"/>
      <c r="D994" s="44"/>
    </row>
    <row r="995">
      <c r="A995" s="44"/>
      <c r="C995" s="44"/>
      <c r="D995" s="44"/>
    </row>
    <row r="996">
      <c r="A996" s="44"/>
      <c r="C996" s="44"/>
      <c r="D996" s="44"/>
    </row>
    <row r="997">
      <c r="A997" s="44"/>
      <c r="C997" s="44"/>
      <c r="D997" s="44"/>
    </row>
    <row r="998">
      <c r="A998" s="44"/>
      <c r="C998" s="44"/>
      <c r="D998" s="44"/>
    </row>
    <row r="999">
      <c r="A999" s="44"/>
      <c r="C999" s="44"/>
      <c r="D999" s="44"/>
    </row>
    <row r="1000">
      <c r="A1000" s="44"/>
      <c r="C1000" s="44"/>
      <c r="D1000" s="44"/>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F18"/>
    <hyperlink r:id="rId19" ref="B19"/>
    <hyperlink r:id="rId20" ref="B20"/>
    <hyperlink r:id="rId21" ref="B21"/>
    <hyperlink r:id="rId22" ref="B22"/>
    <hyperlink r:id="rId23" ref="B23"/>
    <hyperlink r:id="rId24" ref="B24"/>
    <hyperlink r:id="rId25" ref="B25"/>
    <hyperlink r:id="rId26" ref="B26"/>
    <hyperlink r:id="rId27" ref="B27"/>
    <hyperlink r:id="rId28" ref="B28"/>
    <hyperlink r:id="rId29" ref="B29"/>
    <hyperlink r:id="rId30" ref="B30"/>
    <hyperlink r:id="rId31" ref="B31"/>
    <hyperlink r:id="rId32" ref="B32"/>
    <hyperlink r:id="rId33" ref="B33"/>
    <hyperlink r:id="rId34" ref="B34"/>
    <hyperlink r:id="rId35" ref="B35"/>
    <hyperlink r:id="rId36" ref="B36"/>
    <hyperlink r:id="rId37" ref="B37"/>
    <hyperlink r:id="rId38" ref="B38"/>
    <hyperlink r:id="rId39" ref="B39"/>
    <hyperlink r:id="rId40" ref="B40"/>
    <hyperlink r:id="rId41" ref="B41"/>
    <hyperlink r:id="rId42" ref="B42"/>
    <hyperlink r:id="rId43" ref="B43"/>
    <hyperlink r:id="rId44" ref="B44"/>
    <hyperlink r:id="rId45" ref="B45"/>
    <hyperlink r:id="rId46" ref="B46"/>
    <hyperlink r:id="rId47" ref="B47"/>
    <hyperlink r:id="rId48" ref="B48"/>
    <hyperlink r:id="rId49" ref="B49"/>
    <hyperlink r:id="rId50" ref="B50"/>
    <hyperlink r:id="rId51" ref="B51"/>
    <hyperlink r:id="rId52" ref="B52"/>
    <hyperlink r:id="rId53" ref="B53"/>
    <hyperlink r:id="rId54" ref="B54"/>
    <hyperlink r:id="rId55" ref="B55"/>
    <hyperlink r:id="rId56" ref="B56"/>
    <hyperlink r:id="rId57" ref="B57"/>
    <hyperlink r:id="rId58" ref="B58"/>
    <hyperlink r:id="rId59" ref="B59"/>
    <hyperlink r:id="rId60" ref="B60"/>
    <hyperlink r:id="rId61" ref="B61"/>
    <hyperlink r:id="rId62" ref="B62"/>
    <hyperlink r:id="rId63" ref="B63"/>
    <hyperlink r:id="rId64" ref="B64"/>
    <hyperlink r:id="rId65" ref="B65"/>
    <hyperlink r:id="rId66" ref="B66"/>
    <hyperlink r:id="rId67" ref="B67"/>
    <hyperlink r:id="rId68" ref="B68"/>
    <hyperlink r:id="rId69" ref="B69"/>
    <hyperlink r:id="rId70" ref="B70"/>
    <hyperlink r:id="rId71" ref="B71"/>
    <hyperlink r:id="rId72" ref="B72"/>
    <hyperlink r:id="rId73" ref="B73"/>
    <hyperlink r:id="rId74" ref="B74"/>
    <hyperlink r:id="rId75" ref="B75"/>
    <hyperlink r:id="rId76" ref="B76"/>
  </hyperlinks>
  <drawing r:id="rId7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0"/>
    <col customWidth="1" min="2" max="2" width="34.63"/>
    <col customWidth="1" min="3" max="3" width="17.63"/>
  </cols>
  <sheetData>
    <row r="1">
      <c r="A1" s="45" t="s">
        <v>1697</v>
      </c>
      <c r="B1" s="45" t="s">
        <v>1698</v>
      </c>
      <c r="C1" s="45" t="s">
        <v>1699</v>
      </c>
      <c r="D1" s="44"/>
      <c r="E1" s="44"/>
      <c r="F1" s="44"/>
      <c r="G1" s="44"/>
      <c r="H1" s="44"/>
      <c r="I1" s="44"/>
      <c r="J1" s="44"/>
      <c r="K1" s="44"/>
      <c r="L1" s="44"/>
      <c r="M1" s="44"/>
      <c r="N1" s="44"/>
      <c r="O1" s="44"/>
      <c r="P1" s="44"/>
      <c r="Q1" s="44"/>
      <c r="R1" s="44"/>
      <c r="S1" s="44"/>
      <c r="T1" s="44"/>
    </row>
    <row r="2">
      <c r="A2" s="43" t="s">
        <v>231</v>
      </c>
      <c r="B2" s="42" t="s">
        <v>1707</v>
      </c>
      <c r="C2" s="45">
        <f>COUNTIFS('Kế hoạch chèn link (mới)'!$B$3:$B$2213,A2,'Kế hoạch chèn link (mới)'!$C$3:$C$2213,B2)</f>
        <v>33</v>
      </c>
    </row>
    <row r="3">
      <c r="A3" s="43" t="s">
        <v>231</v>
      </c>
      <c r="B3" s="42" t="s">
        <v>1711</v>
      </c>
      <c r="C3" s="46">
        <f>COUNTIFS('Kế hoạch chèn link (mới)'!$B$3:$B$2213,A3,'Kế hoạch chèn link (mới)'!$C$3:$C$2213,B3)</f>
        <v>2</v>
      </c>
    </row>
    <row r="4">
      <c r="A4" s="43" t="s">
        <v>231</v>
      </c>
      <c r="B4" s="42" t="s">
        <v>1715</v>
      </c>
      <c r="C4" s="46">
        <f>COUNTIFS('Kế hoạch chèn link (mới)'!$B$3:$B$2213,A4,'Kế hoạch chèn link (mới)'!$C$3:$C$2213,B4)</f>
        <v>2</v>
      </c>
    </row>
    <row r="5">
      <c r="A5" s="43" t="s">
        <v>231</v>
      </c>
      <c r="B5" s="42" t="s">
        <v>1720</v>
      </c>
      <c r="C5" s="46">
        <f>COUNTIFS('Kế hoạch chèn link (mới)'!$B$3:$B$2213,A5,'Kế hoạch chèn link (mới)'!$C$3:$C$2213,B5)</f>
        <v>9</v>
      </c>
    </row>
    <row r="6">
      <c r="A6" s="43" t="s">
        <v>231</v>
      </c>
      <c r="B6" s="42" t="s">
        <v>1707</v>
      </c>
      <c r="C6" s="46">
        <f>COUNTIFS('Kế hoạch chèn link (mới)'!$B$3:$B$2213,A6,'Kế hoạch chèn link (mới)'!$C$3:$C$2213,B6)</f>
        <v>33</v>
      </c>
    </row>
    <row r="7">
      <c r="A7" s="43" t="s">
        <v>231</v>
      </c>
      <c r="B7" s="42" t="s">
        <v>1711</v>
      </c>
      <c r="C7" s="46">
        <f>COUNTIFS('Kế hoạch chèn link (mới)'!$B$3:$B$2213,A7,'Kế hoạch chèn link (mới)'!$C$3:$C$2213,B7)</f>
        <v>2</v>
      </c>
    </row>
    <row r="8">
      <c r="A8" s="43" t="s">
        <v>231</v>
      </c>
      <c r="B8" s="42" t="s">
        <v>1715</v>
      </c>
      <c r="C8" s="46">
        <f>COUNTIFS('Kế hoạch chèn link (mới)'!$B$3:$B$2213,A8,'Kế hoạch chèn link (mới)'!$C$3:$C$2213,B8)</f>
        <v>2</v>
      </c>
    </row>
    <row r="9">
      <c r="A9" s="43" t="s">
        <v>231</v>
      </c>
      <c r="B9" s="42" t="s">
        <v>1720</v>
      </c>
      <c r="C9" s="46">
        <f>COUNTIFS('Kế hoạch chèn link (mới)'!$B$3:$B$2213,A9,'Kế hoạch chèn link (mới)'!$C$3:$C$2213,B9)</f>
        <v>9</v>
      </c>
    </row>
    <row r="10">
      <c r="A10" s="43" t="s">
        <v>231</v>
      </c>
      <c r="B10" s="42" t="s">
        <v>1707</v>
      </c>
      <c r="C10" s="46">
        <f>COUNTIFS('Kế hoạch chèn link (mới)'!$B$3:$B$2213,A10,'Kế hoạch chèn link (mới)'!$C$3:$C$2213,B10)</f>
        <v>33</v>
      </c>
    </row>
    <row r="11">
      <c r="A11" s="43" t="s">
        <v>231</v>
      </c>
      <c r="B11" s="42" t="s">
        <v>1741</v>
      </c>
      <c r="C11" s="46">
        <f>COUNTIFS('Kế hoạch chèn link (mới)'!$B$3:$B$2213,A11,'Kế hoạch chèn link (mới)'!$C$3:$C$2213,B11)</f>
        <v>21</v>
      </c>
    </row>
    <row r="12">
      <c r="A12" s="43" t="s">
        <v>231</v>
      </c>
      <c r="B12" s="42" t="s">
        <v>1707</v>
      </c>
      <c r="C12" s="46">
        <f>COUNTIFS('Kế hoạch chèn link (mới)'!$B$3:$B$2213,A12,'Kế hoạch chèn link (mới)'!$C$3:$C$2213,B12)</f>
        <v>33</v>
      </c>
    </row>
    <row r="13">
      <c r="A13" s="43" t="s">
        <v>231</v>
      </c>
      <c r="B13" s="42" t="s">
        <v>1747</v>
      </c>
      <c r="C13" s="46">
        <f>COUNTIFS('Kế hoạch chèn link (mới)'!$B$3:$B$2213,A13,'Kế hoạch chèn link (mới)'!$C$3:$C$2213,B13)</f>
        <v>27</v>
      </c>
    </row>
    <row r="14">
      <c r="A14" s="43" t="s">
        <v>231</v>
      </c>
      <c r="B14" s="42" t="s">
        <v>1707</v>
      </c>
      <c r="C14" s="46">
        <f>COUNTIFS('Kế hoạch chèn link (mới)'!$B$3:$B$2213,A14,'Kế hoạch chèn link (mới)'!$C$3:$C$2213,B14)</f>
        <v>33</v>
      </c>
    </row>
    <row r="15">
      <c r="A15" s="43" t="s">
        <v>231</v>
      </c>
      <c r="B15" s="42" t="s">
        <v>1752</v>
      </c>
      <c r="C15" s="46">
        <f>COUNTIFS('Kế hoạch chèn link (mới)'!$B$3:$B$2213,A15,'Kế hoạch chèn link (mới)'!$C$3:$C$2213,B15)</f>
        <v>18</v>
      </c>
    </row>
    <row r="16">
      <c r="A16" s="43" t="s">
        <v>93</v>
      </c>
      <c r="B16" s="42" t="s">
        <v>1759</v>
      </c>
      <c r="C16" s="46">
        <f>COUNTIFS('Kế hoạch chèn link (mới)'!$B$3:$B$2213,A16,'Kế hoạch chèn link (mới)'!$C$3:$C$2213,B16)</f>
        <v>1</v>
      </c>
    </row>
    <row r="17">
      <c r="A17" s="43" t="s">
        <v>93</v>
      </c>
      <c r="B17" s="42" t="s">
        <v>1762</v>
      </c>
      <c r="C17" s="46">
        <f>COUNTIFS('Kế hoạch chèn link (mới)'!$B$3:$B$2213,A17,'Kế hoạch chèn link (mới)'!$C$3:$C$2213,B17)</f>
        <v>6</v>
      </c>
    </row>
    <row r="18">
      <c r="A18" s="43" t="s">
        <v>93</v>
      </c>
      <c r="B18" s="42" t="s">
        <v>1766</v>
      </c>
      <c r="C18" s="46">
        <f>COUNTIFS('Kế hoạch chèn link (mới)'!$B$3:$B$2213,A18,'Kế hoạch chèn link (mới)'!$C$3:$C$2213,B18)</f>
        <v>26</v>
      </c>
    </row>
    <row r="19">
      <c r="A19" s="43" t="s">
        <v>93</v>
      </c>
      <c r="B19" s="42" t="s">
        <v>1772</v>
      </c>
      <c r="C19" s="46">
        <f>COUNTIFS('Kế hoạch chèn link (mới)'!$B$3:$B$2213,A19,'Kế hoạch chèn link (mới)'!$C$3:$C$2213,B19)</f>
        <v>19</v>
      </c>
    </row>
    <row r="20">
      <c r="A20" s="43" t="s">
        <v>93</v>
      </c>
      <c r="B20" s="42" t="s">
        <v>1759</v>
      </c>
      <c r="C20" s="46">
        <f>COUNTIFS('Kế hoạch chèn link (mới)'!$B$3:$B$2213,A20,'Kế hoạch chèn link (mới)'!$C$3:$C$2213,B20)</f>
        <v>1</v>
      </c>
    </row>
    <row r="21">
      <c r="A21" s="43" t="s">
        <v>374</v>
      </c>
      <c r="B21" s="42" t="s">
        <v>1783</v>
      </c>
      <c r="C21" s="46">
        <f>COUNTIFS('Kế hoạch chèn link (mới)'!$B$3:$B$2213,A21,'Kế hoạch chèn link (mới)'!$C$3:$C$2213,B21)</f>
        <v>10</v>
      </c>
    </row>
    <row r="22">
      <c r="A22" s="43" t="s">
        <v>374</v>
      </c>
      <c r="B22" s="42" t="s">
        <v>1785</v>
      </c>
      <c r="C22" s="46">
        <f>COUNTIFS('Kế hoạch chèn link (mới)'!$B$3:$B$2213,A22,'Kế hoạch chèn link (mới)'!$C$3:$C$2213,B22)</f>
        <v>60</v>
      </c>
    </row>
    <row r="23">
      <c r="A23" s="43" t="s">
        <v>374</v>
      </c>
      <c r="B23" s="42" t="s">
        <v>1789</v>
      </c>
      <c r="C23" s="46">
        <f>COUNTIFS('Kế hoạch chèn link (mới)'!$B$3:$B$2213,A23,'Kế hoạch chèn link (mới)'!$C$3:$C$2213,B23)</f>
        <v>29</v>
      </c>
    </row>
    <row r="24">
      <c r="A24" s="43" t="s">
        <v>374</v>
      </c>
      <c r="B24" s="42" t="s">
        <v>1790</v>
      </c>
      <c r="C24" s="46">
        <f>COUNTIFS('Kế hoạch chèn link (mới)'!$B$3:$B$2213,A24,'Kế hoạch chèn link (mới)'!$C$3:$C$2213,B24)</f>
        <v>0</v>
      </c>
    </row>
    <row r="25">
      <c r="A25" s="43" t="s">
        <v>374</v>
      </c>
      <c r="B25" s="42" t="s">
        <v>1790</v>
      </c>
      <c r="C25" s="46">
        <f>COUNTIFS('Kế hoạch chèn link (mới)'!$B$3:$B$2213,A25,'Kế hoạch chèn link (mới)'!$C$3:$C$2213,B25)</f>
        <v>0</v>
      </c>
    </row>
    <row r="26">
      <c r="A26" s="43" t="s">
        <v>374</v>
      </c>
      <c r="B26" s="42" t="s">
        <v>1789</v>
      </c>
      <c r="C26" s="46">
        <f>COUNTIFS('Kế hoạch chèn link (mới)'!$B$3:$B$2213,A26,'Kế hoạch chèn link (mới)'!$C$3:$C$2213,B26)</f>
        <v>29</v>
      </c>
    </row>
    <row r="27">
      <c r="A27" s="43" t="s">
        <v>374</v>
      </c>
      <c r="B27" s="42" t="s">
        <v>1798</v>
      </c>
      <c r="C27" s="46">
        <f>COUNTIFS('Kế hoạch chèn link (mới)'!$B$3:$B$2213,A27,'Kế hoạch chèn link (mới)'!$C$3:$C$2213,B27)</f>
        <v>1</v>
      </c>
    </row>
    <row r="28">
      <c r="A28" s="43" t="s">
        <v>374</v>
      </c>
      <c r="B28" s="42" t="s">
        <v>1803</v>
      </c>
      <c r="C28" s="46">
        <f>COUNTIFS('Kế hoạch chèn link (mới)'!$B$3:$B$2213,A28,'Kế hoạch chèn link (mới)'!$C$3:$C$2213,B28)</f>
        <v>1</v>
      </c>
    </row>
    <row r="29">
      <c r="A29" s="43" t="s">
        <v>374</v>
      </c>
      <c r="B29" s="42" t="s">
        <v>1804</v>
      </c>
      <c r="C29" s="46">
        <f>COUNTIFS('Kế hoạch chèn link (mới)'!$B$3:$B$2213,A29,'Kế hoạch chèn link (mới)'!$C$3:$C$2213,B29)</f>
        <v>1</v>
      </c>
    </row>
    <row r="30">
      <c r="A30" s="43" t="s">
        <v>374</v>
      </c>
      <c r="B30" s="42" t="s">
        <v>1803</v>
      </c>
      <c r="C30" s="46">
        <f>COUNTIFS('Kế hoạch chèn link (mới)'!$B$3:$B$2213,A30,'Kế hoạch chèn link (mới)'!$C$3:$C$2213,B30)</f>
        <v>1</v>
      </c>
    </row>
    <row r="31">
      <c r="A31" s="43" t="s">
        <v>374</v>
      </c>
      <c r="B31" s="42" t="s">
        <v>1804</v>
      </c>
      <c r="C31" s="46">
        <f>COUNTIFS('Kế hoạch chèn link (mới)'!$B$3:$B$2213,A31,'Kế hoạch chèn link (mới)'!$C$3:$C$2213,B31)</f>
        <v>1</v>
      </c>
    </row>
    <row r="32">
      <c r="A32" s="43" t="s">
        <v>374</v>
      </c>
      <c r="B32" s="42" t="s">
        <v>1809</v>
      </c>
      <c r="C32" s="46">
        <f>COUNTIFS('Kế hoạch chèn link (mới)'!$B$3:$B$2213,A32,'Kế hoạch chèn link (mới)'!$C$3:$C$2213,B32)</f>
        <v>1</v>
      </c>
    </row>
    <row r="33">
      <c r="A33" s="43" t="s">
        <v>374</v>
      </c>
      <c r="B33" s="42" t="s">
        <v>1811</v>
      </c>
      <c r="C33" s="46">
        <f>COUNTIFS('Kế hoạch chèn link (mới)'!$B$3:$B$2213,A33,'Kế hoạch chèn link (mới)'!$C$3:$C$2213,B33)</f>
        <v>1</v>
      </c>
    </row>
    <row r="34">
      <c r="A34" s="43" t="s">
        <v>374</v>
      </c>
      <c r="B34" s="42" t="s">
        <v>1811</v>
      </c>
      <c r="C34" s="46">
        <f>COUNTIFS('Kế hoạch chèn link (mới)'!$B$3:$B$2213,A34,'Kế hoạch chèn link (mới)'!$C$3:$C$2213,B34)</f>
        <v>1</v>
      </c>
    </row>
    <row r="35">
      <c r="A35" s="43" t="s">
        <v>464</v>
      </c>
      <c r="B35" s="42" t="s">
        <v>1821</v>
      </c>
      <c r="C35" s="46">
        <f>COUNTIFS('Kế hoạch chèn link (mới)'!$B$3:$B$2213,A35,'Kế hoạch chèn link (mới)'!$C$3:$C$2213,B35)</f>
        <v>3</v>
      </c>
    </row>
    <row r="36">
      <c r="A36" s="43" t="s">
        <v>464</v>
      </c>
      <c r="B36" s="42" t="s">
        <v>1826</v>
      </c>
      <c r="C36" s="46">
        <f>COUNTIFS('Kế hoạch chèn link (mới)'!$B$3:$B$2213,A36,'Kế hoạch chèn link (mới)'!$C$3:$C$2213,B36)</f>
        <v>7</v>
      </c>
    </row>
    <row r="37">
      <c r="A37" s="43" t="s">
        <v>464</v>
      </c>
      <c r="B37" s="42" t="s">
        <v>1831</v>
      </c>
      <c r="C37" s="46">
        <f>COUNTIFS('Kế hoạch chèn link (mới)'!$B$3:$B$2213,A37,'Kế hoạch chèn link (mới)'!$C$3:$C$2213,B37)</f>
        <v>42</v>
      </c>
    </row>
    <row r="38">
      <c r="A38" s="43" t="s">
        <v>464</v>
      </c>
      <c r="B38" s="42" t="s">
        <v>1835</v>
      </c>
      <c r="C38" s="46">
        <f>COUNTIFS('Kế hoạch chèn link (mới)'!$B$3:$B$2213,A38,'Kế hoạch chèn link (mới)'!$C$3:$C$2213,B38)</f>
        <v>48</v>
      </c>
    </row>
    <row r="39">
      <c r="A39" s="43" t="s">
        <v>464</v>
      </c>
      <c r="B39" s="42" t="s">
        <v>1826</v>
      </c>
      <c r="C39" s="46">
        <f>COUNTIFS('Kế hoạch chèn link (mới)'!$B$3:$B$2213,A39,'Kế hoạch chèn link (mới)'!$C$3:$C$2213,B39)</f>
        <v>7</v>
      </c>
    </row>
    <row r="40">
      <c r="A40" s="43" t="s">
        <v>464</v>
      </c>
      <c r="B40" s="42" t="s">
        <v>1831</v>
      </c>
      <c r="C40" s="46">
        <f>COUNTIFS('Kế hoạch chèn link (mới)'!$B$3:$B$2213,A40,'Kế hoạch chèn link (mới)'!$C$3:$C$2213,B40)</f>
        <v>42</v>
      </c>
    </row>
    <row r="41">
      <c r="A41" s="43" t="s">
        <v>464</v>
      </c>
      <c r="B41" s="42" t="s">
        <v>1835</v>
      </c>
      <c r="C41" s="46">
        <f>COUNTIFS('Kế hoạch chèn link (mới)'!$B$3:$B$2213,A41,'Kế hoạch chèn link (mới)'!$C$3:$C$2213,B41)</f>
        <v>48</v>
      </c>
    </row>
    <row r="42">
      <c r="A42" s="43" t="s">
        <v>464</v>
      </c>
      <c r="B42" s="42" t="s">
        <v>1831</v>
      </c>
      <c r="C42" s="46">
        <f>COUNTIFS('Kế hoạch chèn link (mới)'!$B$3:$B$2213,A42,'Kế hoạch chèn link (mới)'!$C$3:$C$2213,B42)</f>
        <v>42</v>
      </c>
    </row>
    <row r="43">
      <c r="A43" s="43" t="s">
        <v>551</v>
      </c>
      <c r="B43" s="42" t="s">
        <v>1855</v>
      </c>
      <c r="C43" s="46">
        <f>COUNTIFS('Kế hoạch chèn link (mới)'!$B$3:$B$2213,A43,'Kế hoạch chèn link (mới)'!$C$3:$C$2213,B43)</f>
        <v>52</v>
      </c>
    </row>
    <row r="44">
      <c r="A44" s="43" t="s">
        <v>551</v>
      </c>
      <c r="B44" s="42" t="s">
        <v>1859</v>
      </c>
      <c r="C44" s="46">
        <f>COUNTIFS('Kế hoạch chèn link (mới)'!$B$3:$B$2213,A44,'Kế hoạch chèn link (mới)'!$C$3:$C$2213,B44)</f>
        <v>43</v>
      </c>
    </row>
    <row r="45">
      <c r="A45" s="43" t="s">
        <v>551</v>
      </c>
      <c r="B45" s="42" t="s">
        <v>1860</v>
      </c>
      <c r="C45" s="46">
        <f>COUNTIFS('Kế hoạch chèn link (mới)'!$B$3:$B$2213,A45,'Kế hoạch chèn link (mới)'!$C$3:$C$2213,B45)</f>
        <v>2</v>
      </c>
    </row>
    <row r="46">
      <c r="A46" s="43" t="s">
        <v>313</v>
      </c>
      <c r="B46" s="42" t="s">
        <v>401</v>
      </c>
      <c r="C46" s="46">
        <f>COUNTIFS('Kế hoạch chèn link (mới)'!$B$3:$B$2213,A46,'Kế hoạch chèn link (mới)'!$C$3:$C$2213,B46)</f>
        <v>2</v>
      </c>
    </row>
    <row r="47">
      <c r="A47" s="43" t="s">
        <v>313</v>
      </c>
      <c r="B47" s="42" t="s">
        <v>451</v>
      </c>
      <c r="C47" s="46">
        <f>COUNTIFS('Kế hoạch chèn link (mới)'!$B$3:$B$2213,A47,'Kế hoạch chèn link (mới)'!$C$3:$C$2213,B47)</f>
        <v>3</v>
      </c>
    </row>
    <row r="48">
      <c r="A48" s="43" t="s">
        <v>313</v>
      </c>
      <c r="B48" s="42" t="s">
        <v>315</v>
      </c>
      <c r="C48" s="46">
        <f>COUNTIFS('Kế hoạch chèn link (mới)'!$B$3:$B$2213,A48,'Kế hoạch chèn link (mới)'!$C$3:$C$2213,B48)</f>
        <v>3</v>
      </c>
    </row>
    <row r="49">
      <c r="A49" s="43" t="s">
        <v>624</v>
      </c>
      <c r="B49" s="42" t="s">
        <v>1865</v>
      </c>
      <c r="C49" s="46">
        <f>COUNTIFS('Kế hoạch chèn link (mới)'!$B$3:$B$2213,A49,'Kế hoạch chèn link (mới)'!$C$3:$C$2213,B49)</f>
        <v>44</v>
      </c>
    </row>
    <row r="50">
      <c r="A50" s="43" t="s">
        <v>624</v>
      </c>
      <c r="B50" s="42" t="s">
        <v>1867</v>
      </c>
      <c r="C50" s="46">
        <f>COUNTIFS('Kế hoạch chèn link (mới)'!$B$3:$B$2213,A50,'Kế hoạch chèn link (mới)'!$C$3:$C$2213,B50)</f>
        <v>11</v>
      </c>
    </row>
    <row r="51">
      <c r="A51" s="43" t="s">
        <v>624</v>
      </c>
      <c r="B51" s="42" t="s">
        <v>1870</v>
      </c>
      <c r="C51" s="46">
        <f>COUNTIFS('Kế hoạch chèn link (mới)'!$B$3:$B$2213,A51,'Kế hoạch chèn link (mới)'!$C$3:$C$2213,B51)</f>
        <v>25</v>
      </c>
    </row>
    <row r="52">
      <c r="A52" s="43" t="s">
        <v>624</v>
      </c>
      <c r="B52" s="42" t="s">
        <v>1872</v>
      </c>
      <c r="C52" s="46">
        <f>COUNTIFS('Kế hoạch chèn link (mới)'!$B$3:$B$2213,A52,'Kế hoạch chèn link (mới)'!$C$3:$C$2213,B52)</f>
        <v>12</v>
      </c>
    </row>
    <row r="53">
      <c r="A53" s="43" t="s">
        <v>624</v>
      </c>
      <c r="B53" s="42" t="s">
        <v>1873</v>
      </c>
      <c r="C53" s="46">
        <f>COUNTIFS('Kế hoạch chèn link (mới)'!$B$3:$B$2213,A53,'Kế hoạch chèn link (mới)'!$C$3:$C$2213,B53)</f>
        <v>1</v>
      </c>
    </row>
    <row r="54">
      <c r="A54" s="43" t="s">
        <v>624</v>
      </c>
      <c r="B54" s="42" t="s">
        <v>1867</v>
      </c>
      <c r="C54" s="46">
        <f>COUNTIFS('Kế hoạch chèn link (mới)'!$B$3:$B$2213,A54,'Kế hoạch chèn link (mới)'!$C$3:$C$2213,B54)</f>
        <v>11</v>
      </c>
    </row>
    <row r="55">
      <c r="A55" s="43" t="s">
        <v>735</v>
      </c>
      <c r="B55" s="42" t="s">
        <v>1877</v>
      </c>
      <c r="C55" s="46">
        <f>COUNTIFS('Kế hoạch chèn link (mới)'!$B$3:$B$2213,A55,'Kế hoạch chèn link (mới)'!$C$3:$C$2213,B55)</f>
        <v>4</v>
      </c>
    </row>
    <row r="56">
      <c r="A56" s="43" t="s">
        <v>735</v>
      </c>
      <c r="B56" s="42" t="s">
        <v>1879</v>
      </c>
      <c r="C56" s="46">
        <f>COUNTIFS('Kế hoạch chèn link (mới)'!$B$3:$B$2213,A56,'Kế hoạch chèn link (mới)'!$C$3:$C$2213,B56)</f>
        <v>26</v>
      </c>
    </row>
    <row r="57">
      <c r="A57" s="43" t="s">
        <v>735</v>
      </c>
      <c r="B57" s="42" t="s">
        <v>1882</v>
      </c>
      <c r="C57" s="46">
        <f>COUNTIFS('Kế hoạch chèn link (mới)'!$B$3:$B$2213,A57,'Kế hoạch chèn link (mới)'!$C$3:$C$2213,B57)</f>
        <v>12</v>
      </c>
    </row>
    <row r="58">
      <c r="A58" s="43" t="s">
        <v>735</v>
      </c>
      <c r="B58" s="42" t="s">
        <v>1885</v>
      </c>
      <c r="C58" s="46">
        <f>COUNTIFS('Kế hoạch chèn link (mới)'!$B$3:$B$2213,A58,'Kế hoạch chèn link (mới)'!$C$3:$C$2213,B58)</f>
        <v>0</v>
      </c>
    </row>
    <row r="59">
      <c r="A59" s="43" t="s">
        <v>640</v>
      </c>
      <c r="B59" s="42" t="s">
        <v>725</v>
      </c>
      <c r="C59" s="46">
        <f>COUNTIFS('Kế hoạch chèn link (mới)'!$B$3:$B$2213,A59,'Kế hoạch chèn link (mới)'!$C$3:$C$2213,B59)</f>
        <v>39</v>
      </c>
    </row>
    <row r="60">
      <c r="A60" s="43" t="s">
        <v>640</v>
      </c>
      <c r="B60" s="42" t="s">
        <v>847</v>
      </c>
      <c r="C60" s="46">
        <f>COUNTIFS('Kế hoạch chèn link (mới)'!$B$3:$B$2213,A60,'Kế hoạch chèn link (mới)'!$C$3:$C$2213,B60)</f>
        <v>3</v>
      </c>
    </row>
    <row r="61">
      <c r="A61" s="43" t="s">
        <v>682</v>
      </c>
      <c r="B61" s="42" t="s">
        <v>1905</v>
      </c>
      <c r="C61" s="46">
        <f>COUNTIFS('Kế hoạch chèn link (mới)'!$B$3:$B$2213,A61,'Kế hoạch chèn link (mới)'!$C$3:$C$2213,B61)</f>
        <v>41</v>
      </c>
    </row>
    <row r="62">
      <c r="A62" s="43" t="s">
        <v>682</v>
      </c>
      <c r="B62" s="42" t="s">
        <v>1909</v>
      </c>
      <c r="C62" s="46">
        <f>COUNTIFS('Kế hoạch chèn link (mới)'!$B$3:$B$2213,A62,'Kế hoạch chèn link (mới)'!$C$3:$C$2213,B62)</f>
        <v>0</v>
      </c>
    </row>
    <row r="63">
      <c r="A63" s="43" t="s">
        <v>591</v>
      </c>
      <c r="B63" s="42" t="s">
        <v>1916</v>
      </c>
      <c r="C63" s="46">
        <f>COUNTIFS('Kế hoạch chèn link (mới)'!$B$3:$B$2213,A63,'Kế hoạch chèn link (mới)'!$C$3:$C$2213,B63)</f>
        <v>42</v>
      </c>
    </row>
    <row r="64">
      <c r="A64" s="43" t="s">
        <v>591</v>
      </c>
      <c r="B64" s="42" t="s">
        <v>1920</v>
      </c>
      <c r="C64" s="46">
        <f>COUNTIFS('Kế hoạch chèn link (mới)'!$B$3:$B$2213,A64,'Kế hoạch chèn link (mới)'!$C$3:$C$2213,B64)</f>
        <v>2</v>
      </c>
    </row>
    <row r="65">
      <c r="A65" s="43" t="s">
        <v>654</v>
      </c>
      <c r="B65" s="42" t="s">
        <v>1396</v>
      </c>
      <c r="C65" s="46">
        <f>COUNTIFS('Kế hoạch chèn link (mới)'!$B$3:$B$2213,A65,'Kế hoạch chèn link (mới)'!$C$3:$C$2213,B65)</f>
        <v>8</v>
      </c>
    </row>
    <row r="66">
      <c r="A66" s="43" t="s">
        <v>654</v>
      </c>
      <c r="B66" s="42" t="s">
        <v>1401</v>
      </c>
      <c r="C66" s="46">
        <f>COUNTIFS('Kế hoạch chèn link (mới)'!$B$3:$B$2213,A66,'Kế hoạch chèn link (mới)'!$C$3:$C$2213,B66)</f>
        <v>15</v>
      </c>
    </row>
    <row r="67">
      <c r="A67" s="43" t="s">
        <v>474</v>
      </c>
      <c r="B67" s="42" t="s">
        <v>1395</v>
      </c>
      <c r="C67" s="46">
        <f>COUNTIFS('Kế hoạch chèn link (mới)'!$B$3:$B$2213,A67,'Kế hoạch chèn link (mới)'!$C$3:$C$2213,B67)</f>
        <v>40</v>
      </c>
    </row>
    <row r="68">
      <c r="A68" s="43" t="s">
        <v>474</v>
      </c>
      <c r="B68" s="42" t="s">
        <v>1622</v>
      </c>
      <c r="C68" s="46">
        <f>COUNTIFS('Kế hoạch chèn link (mới)'!$B$3:$B$2213,A68,'Kế hoạch chèn link (mới)'!$C$3:$C$2213,B68)</f>
        <v>1</v>
      </c>
    </row>
    <row r="69">
      <c r="A69" s="43" t="s">
        <v>723</v>
      </c>
      <c r="B69" s="42" t="s">
        <v>1936</v>
      </c>
      <c r="C69" s="46">
        <f>COUNTIFS('Kế hoạch chèn link (mới)'!$B$3:$B$2213,A69,'Kế hoạch chèn link (mới)'!$C$3:$C$2213,B69)</f>
        <v>14</v>
      </c>
    </row>
    <row r="70">
      <c r="A70" s="43" t="s">
        <v>723</v>
      </c>
      <c r="B70" s="42" t="s">
        <v>1940</v>
      </c>
      <c r="C70" s="46">
        <f>COUNTIFS('Kế hoạch chèn link (mới)'!$B$3:$B$2213,A70,'Kế hoạch chèn link (mới)'!$C$3:$C$2213,B70)</f>
        <v>26</v>
      </c>
    </row>
    <row r="71">
      <c r="A71" s="43" t="s">
        <v>316</v>
      </c>
      <c r="B71" s="42" t="s">
        <v>512</v>
      </c>
      <c r="C71" s="46">
        <f>COUNTIFS('Kế hoạch chèn link (mới)'!$B$3:$B$2213,A71,'Kế hoạch chèn link (mới)'!$C$3:$C$2213,B71)</f>
        <v>17</v>
      </c>
    </row>
    <row r="72">
      <c r="A72" s="43" t="s">
        <v>316</v>
      </c>
      <c r="B72" s="42" t="s">
        <v>547</v>
      </c>
      <c r="C72" s="46">
        <f>COUNTIFS('Kế hoạch chèn link (mới)'!$B$3:$B$2213,A72,'Kế hoạch chèn link (mới)'!$C$3:$C$2213,B72)</f>
        <v>16</v>
      </c>
    </row>
    <row r="73">
      <c r="A73" s="43" t="s">
        <v>783</v>
      </c>
      <c r="B73" s="42" t="s">
        <v>1352</v>
      </c>
      <c r="C73" s="46">
        <f>COUNTIFS('Kế hoạch chèn link (mới)'!$B$3:$B$2213,A73,'Kế hoạch chèn link (mới)'!$C$3:$C$2213,B73)</f>
        <v>2</v>
      </c>
    </row>
    <row r="74">
      <c r="A74" s="43" t="s">
        <v>783</v>
      </c>
      <c r="B74" s="42" t="s">
        <v>1358</v>
      </c>
      <c r="C74" s="46">
        <f>COUNTIFS('Kế hoạch chèn link (mới)'!$B$3:$B$2213,A74,'Kế hoạch chèn link (mới)'!$C$3:$C$2213,B74)</f>
        <v>1</v>
      </c>
    </row>
    <row r="75">
      <c r="A75" s="43" t="s">
        <v>783</v>
      </c>
      <c r="B75" s="42" t="s">
        <v>1317</v>
      </c>
      <c r="C75" s="46">
        <f>COUNTIFS('Kế hoạch chèn link (mới)'!$B$3:$B$2213,A75,'Kế hoạch chèn link (mới)'!$C$3:$C$2213,B75)</f>
        <v>9</v>
      </c>
    </row>
    <row r="76">
      <c r="A76" s="43" t="s">
        <v>783</v>
      </c>
      <c r="B76" s="42" t="s">
        <v>1347</v>
      </c>
      <c r="C76" s="46">
        <f>COUNTIFS('Kế hoạch chèn link (mới)'!$B$3:$B$2213,A76,'Kế hoạch chèn link (mới)'!$C$3:$C$2213,B76)</f>
        <v>4</v>
      </c>
    </row>
    <row r="77">
      <c r="A77" s="43" t="s">
        <v>799</v>
      </c>
      <c r="B77" s="42" t="s">
        <v>1757</v>
      </c>
      <c r="C77" s="46">
        <f>COUNTIFS('Kế hoạch chèn link (mới)'!$B$3:$B$2213,A77,'Kế hoạch chèn link (mới)'!$C$3:$C$2213,B77)</f>
        <v>11</v>
      </c>
    </row>
    <row r="78">
      <c r="A78" s="43" t="s">
        <v>799</v>
      </c>
      <c r="B78" s="42" t="s">
        <v>1733</v>
      </c>
      <c r="C78" s="46">
        <f>COUNTIFS('Kế hoạch chèn link (mới)'!$B$3:$B$2213,A78,'Kế hoạch chèn link (mới)'!$C$3:$C$2213,B78)</f>
        <v>18</v>
      </c>
    </row>
    <row r="79">
      <c r="A79" s="43" t="s">
        <v>792</v>
      </c>
      <c r="B79" s="42" t="s">
        <v>1649</v>
      </c>
      <c r="C79" s="46">
        <f>COUNTIFS('Kế hoạch chèn link (mới)'!$B$3:$B$2213,A79,'Kế hoạch chèn link (mới)'!$C$3:$C$2213,B79)</f>
        <v>9</v>
      </c>
    </row>
    <row r="80">
      <c r="A80" s="43" t="s">
        <v>792</v>
      </c>
      <c r="B80" s="42" t="s">
        <v>1624</v>
      </c>
      <c r="C80" s="46">
        <f>COUNTIFS('Kế hoạch chèn link (mới)'!$B$3:$B$2213,A80,'Kế hoạch chèn link (mới)'!$C$3:$C$2213,B80)</f>
        <v>19</v>
      </c>
    </row>
    <row r="81">
      <c r="C81" s="44"/>
    </row>
    <row r="82">
      <c r="C82" s="44"/>
    </row>
    <row r="83">
      <c r="C83" s="44"/>
    </row>
    <row r="84">
      <c r="C84" s="44"/>
    </row>
    <row r="85">
      <c r="C85" s="44"/>
    </row>
    <row r="86">
      <c r="C86" s="44"/>
    </row>
    <row r="87">
      <c r="C87" s="44"/>
    </row>
    <row r="88">
      <c r="C88" s="44"/>
    </row>
    <row r="89">
      <c r="C89" s="44"/>
    </row>
    <row r="90">
      <c r="C90" s="44"/>
    </row>
    <row r="91">
      <c r="C91" s="44"/>
    </row>
    <row r="92">
      <c r="C92" s="44"/>
    </row>
    <row r="93">
      <c r="C93" s="44"/>
    </row>
    <row r="94">
      <c r="C94" s="44"/>
    </row>
    <row r="95">
      <c r="C95" s="44"/>
    </row>
    <row r="96">
      <c r="C96" s="44"/>
    </row>
    <row r="97">
      <c r="C97" s="44"/>
    </row>
    <row r="98">
      <c r="C98" s="44"/>
    </row>
    <row r="99">
      <c r="C99" s="44"/>
    </row>
    <row r="100">
      <c r="C100" s="44"/>
    </row>
    <row r="101">
      <c r="C101" s="44"/>
    </row>
    <row r="102">
      <c r="C102" s="44"/>
    </row>
    <row r="103">
      <c r="C103" s="44"/>
    </row>
    <row r="104">
      <c r="C104" s="44"/>
    </row>
    <row r="105">
      <c r="C105" s="44"/>
    </row>
    <row r="106">
      <c r="C106" s="44"/>
    </row>
    <row r="107">
      <c r="C107" s="44"/>
    </row>
    <row r="108">
      <c r="C108" s="44"/>
    </row>
    <row r="109">
      <c r="C109" s="44"/>
    </row>
    <row r="110">
      <c r="C110" s="44"/>
    </row>
    <row r="111">
      <c r="C111" s="44"/>
    </row>
    <row r="112">
      <c r="C112" s="44"/>
    </row>
    <row r="113">
      <c r="C113" s="44"/>
    </row>
    <row r="114">
      <c r="C114" s="44"/>
    </row>
    <row r="115">
      <c r="C115" s="44"/>
    </row>
    <row r="116">
      <c r="C116" s="44"/>
    </row>
    <row r="117">
      <c r="C117" s="44"/>
    </row>
    <row r="118">
      <c r="C118" s="44"/>
    </row>
    <row r="119">
      <c r="C119" s="44"/>
    </row>
    <row r="120">
      <c r="C120" s="44"/>
    </row>
    <row r="121">
      <c r="C121" s="44"/>
    </row>
    <row r="122">
      <c r="C122" s="44"/>
    </row>
    <row r="123">
      <c r="C123" s="44"/>
    </row>
    <row r="124">
      <c r="C124" s="44"/>
    </row>
    <row r="125">
      <c r="C125" s="44"/>
    </row>
    <row r="126">
      <c r="C126" s="44"/>
    </row>
    <row r="127">
      <c r="C127" s="44"/>
    </row>
    <row r="128">
      <c r="C128" s="44"/>
    </row>
    <row r="129">
      <c r="C129" s="44"/>
    </row>
    <row r="130">
      <c r="C130" s="44"/>
    </row>
    <row r="131">
      <c r="C131" s="44"/>
    </row>
    <row r="132">
      <c r="C132" s="44"/>
    </row>
    <row r="133">
      <c r="C133" s="44"/>
    </row>
    <row r="134">
      <c r="C134" s="44"/>
    </row>
    <row r="135">
      <c r="C135" s="44"/>
    </row>
    <row r="136">
      <c r="C136" s="44"/>
    </row>
    <row r="137">
      <c r="C137" s="44"/>
    </row>
    <row r="138">
      <c r="C138" s="44"/>
    </row>
    <row r="139">
      <c r="C139" s="44"/>
    </row>
    <row r="140">
      <c r="C140" s="44"/>
    </row>
    <row r="141">
      <c r="C141" s="44"/>
    </row>
    <row r="142">
      <c r="C142" s="44"/>
    </row>
    <row r="143">
      <c r="C143" s="44"/>
    </row>
    <row r="144">
      <c r="C144" s="44"/>
    </row>
    <row r="145">
      <c r="C145" s="44"/>
    </row>
    <row r="146">
      <c r="C146" s="44"/>
    </row>
    <row r="147">
      <c r="C147" s="44"/>
    </row>
    <row r="148">
      <c r="C148" s="44"/>
    </row>
    <row r="149">
      <c r="C149" s="44"/>
    </row>
    <row r="150">
      <c r="C150" s="44"/>
    </row>
    <row r="151">
      <c r="C151" s="44"/>
    </row>
    <row r="152">
      <c r="C152" s="44"/>
    </row>
    <row r="153">
      <c r="C153" s="44"/>
    </row>
    <row r="154">
      <c r="C154" s="44"/>
    </row>
    <row r="155">
      <c r="C155" s="44"/>
    </row>
    <row r="156">
      <c r="C156" s="44"/>
    </row>
    <row r="157">
      <c r="C157" s="44"/>
    </row>
    <row r="158">
      <c r="C158" s="44"/>
    </row>
    <row r="159">
      <c r="C159" s="44"/>
    </row>
    <row r="160">
      <c r="C160" s="44"/>
    </row>
    <row r="161">
      <c r="C161" s="44"/>
    </row>
    <row r="162">
      <c r="C162" s="44"/>
    </row>
    <row r="163">
      <c r="C163" s="44"/>
    </row>
    <row r="164">
      <c r="C164" s="44"/>
    </row>
    <row r="165">
      <c r="C165" s="44"/>
    </row>
    <row r="166">
      <c r="C166" s="44"/>
    </row>
    <row r="167">
      <c r="C167" s="44"/>
    </row>
    <row r="168">
      <c r="C168" s="44"/>
    </row>
    <row r="169">
      <c r="C169" s="44"/>
    </row>
    <row r="170">
      <c r="C170" s="44"/>
    </row>
    <row r="171">
      <c r="C171" s="44"/>
    </row>
    <row r="172">
      <c r="C172" s="44"/>
    </row>
    <row r="173">
      <c r="C173" s="44"/>
    </row>
    <row r="174">
      <c r="C174" s="44"/>
    </row>
    <row r="175">
      <c r="C175" s="44"/>
    </row>
    <row r="176">
      <c r="C176" s="44"/>
    </row>
    <row r="177">
      <c r="C177" s="44"/>
    </row>
    <row r="178">
      <c r="C178" s="44"/>
    </row>
    <row r="179">
      <c r="C179" s="44"/>
    </row>
    <row r="180">
      <c r="C180" s="44"/>
    </row>
    <row r="181">
      <c r="C181" s="44"/>
    </row>
    <row r="182">
      <c r="C182" s="44"/>
    </row>
    <row r="183">
      <c r="C183" s="44"/>
    </row>
    <row r="184">
      <c r="C184" s="44"/>
    </row>
    <row r="185">
      <c r="C185" s="44"/>
    </row>
    <row r="186">
      <c r="C186" s="44"/>
    </row>
    <row r="187">
      <c r="C187" s="44"/>
    </row>
    <row r="188">
      <c r="C188" s="44"/>
    </row>
    <row r="189">
      <c r="C189" s="44"/>
    </row>
    <row r="190">
      <c r="C190" s="44"/>
    </row>
    <row r="191">
      <c r="C191" s="44"/>
    </row>
    <row r="192">
      <c r="C192" s="44"/>
    </row>
    <row r="193">
      <c r="C193" s="44"/>
    </row>
    <row r="194">
      <c r="C194" s="44"/>
    </row>
    <row r="195">
      <c r="C195" s="44"/>
    </row>
    <row r="196">
      <c r="C196" s="44"/>
    </row>
    <row r="197">
      <c r="C197" s="44"/>
    </row>
    <row r="198">
      <c r="C198" s="44"/>
    </row>
    <row r="199">
      <c r="C199" s="44"/>
    </row>
    <row r="200">
      <c r="C200" s="44"/>
    </row>
    <row r="201">
      <c r="C201" s="44"/>
    </row>
    <row r="202">
      <c r="C202" s="44"/>
    </row>
    <row r="203">
      <c r="C203" s="44"/>
    </row>
    <row r="204">
      <c r="C204" s="44"/>
    </row>
    <row r="205">
      <c r="C205" s="44"/>
    </row>
    <row r="206">
      <c r="C206" s="44"/>
    </row>
    <row r="207">
      <c r="C207" s="44"/>
    </row>
    <row r="208">
      <c r="C208" s="44"/>
    </row>
    <row r="209">
      <c r="C209" s="44"/>
    </row>
    <row r="210">
      <c r="C210" s="44"/>
    </row>
    <row r="211">
      <c r="C211" s="44"/>
    </row>
    <row r="212">
      <c r="C212" s="44"/>
    </row>
    <row r="213">
      <c r="C213" s="44"/>
    </row>
    <row r="214">
      <c r="C214" s="44"/>
    </row>
    <row r="215">
      <c r="C215" s="44"/>
    </row>
    <row r="216">
      <c r="C216" s="44"/>
    </row>
    <row r="217">
      <c r="C217" s="44"/>
    </row>
    <row r="218">
      <c r="C218" s="44"/>
    </row>
    <row r="219">
      <c r="C219" s="44"/>
    </row>
    <row r="220">
      <c r="C220" s="44"/>
    </row>
    <row r="221">
      <c r="C221" s="44"/>
    </row>
    <row r="222">
      <c r="C222" s="44"/>
    </row>
    <row r="223">
      <c r="C223" s="44"/>
    </row>
    <row r="224">
      <c r="C224" s="44"/>
    </row>
    <row r="225">
      <c r="C225" s="44"/>
    </row>
    <row r="226">
      <c r="C226" s="44"/>
    </row>
    <row r="227">
      <c r="C227" s="44"/>
    </row>
    <row r="228">
      <c r="C228" s="44"/>
    </row>
    <row r="229">
      <c r="C229" s="44"/>
    </row>
    <row r="230">
      <c r="C230" s="44"/>
    </row>
    <row r="231">
      <c r="C231" s="44"/>
    </row>
    <row r="232">
      <c r="C232" s="44"/>
    </row>
    <row r="233">
      <c r="C233" s="44"/>
    </row>
    <row r="234">
      <c r="C234" s="44"/>
    </row>
    <row r="235">
      <c r="C235" s="44"/>
    </row>
    <row r="236">
      <c r="C236" s="44"/>
    </row>
    <row r="237">
      <c r="C237" s="44"/>
    </row>
    <row r="238">
      <c r="C238" s="44"/>
    </row>
    <row r="239">
      <c r="C239" s="44"/>
    </row>
    <row r="240">
      <c r="C240" s="44"/>
    </row>
    <row r="241">
      <c r="C241" s="44"/>
    </row>
    <row r="242">
      <c r="C242" s="44"/>
    </row>
    <row r="243">
      <c r="C243" s="44"/>
    </row>
    <row r="244">
      <c r="C244" s="44"/>
    </row>
    <row r="245">
      <c r="C245" s="44"/>
    </row>
    <row r="246">
      <c r="C246" s="44"/>
    </row>
    <row r="247">
      <c r="C247" s="44"/>
    </row>
    <row r="248">
      <c r="C248" s="44"/>
    </row>
    <row r="249">
      <c r="C249" s="44"/>
    </row>
    <row r="250">
      <c r="C250" s="44"/>
    </row>
    <row r="251">
      <c r="C251" s="44"/>
    </row>
    <row r="252">
      <c r="C252" s="44"/>
    </row>
    <row r="253">
      <c r="C253" s="44"/>
    </row>
    <row r="254">
      <c r="C254" s="44"/>
    </row>
    <row r="255">
      <c r="C255" s="44"/>
    </row>
    <row r="256">
      <c r="C256" s="44"/>
    </row>
    <row r="257">
      <c r="C257" s="44"/>
    </row>
    <row r="258">
      <c r="C258" s="44"/>
    </row>
    <row r="259">
      <c r="C259" s="44"/>
    </row>
    <row r="260">
      <c r="C260" s="44"/>
    </row>
    <row r="261">
      <c r="C261" s="44"/>
    </row>
    <row r="262">
      <c r="C262" s="44"/>
    </row>
    <row r="263">
      <c r="C263" s="44"/>
    </row>
    <row r="264">
      <c r="C264" s="44"/>
    </row>
    <row r="265">
      <c r="C265" s="44"/>
    </row>
    <row r="266">
      <c r="C266" s="44"/>
    </row>
    <row r="267">
      <c r="C267" s="44"/>
    </row>
    <row r="268">
      <c r="C268" s="44"/>
    </row>
    <row r="269">
      <c r="C269" s="44"/>
    </row>
    <row r="270">
      <c r="C270" s="44"/>
    </row>
    <row r="271">
      <c r="C271" s="44"/>
    </row>
    <row r="272">
      <c r="C272" s="44"/>
    </row>
    <row r="273">
      <c r="C273" s="44"/>
    </row>
    <row r="274">
      <c r="C274" s="44"/>
    </row>
    <row r="275">
      <c r="C275" s="44"/>
    </row>
    <row r="276">
      <c r="C276" s="44"/>
    </row>
    <row r="277">
      <c r="C277" s="44"/>
    </row>
    <row r="278">
      <c r="C278" s="44"/>
    </row>
    <row r="279">
      <c r="C279" s="44"/>
    </row>
    <row r="280">
      <c r="C280" s="44"/>
    </row>
    <row r="281">
      <c r="C281" s="44"/>
    </row>
    <row r="282">
      <c r="C282" s="44"/>
    </row>
    <row r="283">
      <c r="C283" s="44"/>
    </row>
    <row r="284">
      <c r="C284" s="44"/>
    </row>
    <row r="285">
      <c r="C285" s="44"/>
    </row>
    <row r="286">
      <c r="C286" s="44"/>
    </row>
    <row r="287">
      <c r="C287" s="44"/>
    </row>
    <row r="288">
      <c r="C288" s="44"/>
    </row>
    <row r="289">
      <c r="C289" s="44"/>
    </row>
    <row r="290">
      <c r="C290" s="44"/>
    </row>
    <row r="291">
      <c r="C291" s="44"/>
    </row>
    <row r="292">
      <c r="C292" s="44"/>
    </row>
    <row r="293">
      <c r="C293" s="44"/>
    </row>
    <row r="294">
      <c r="C294" s="44"/>
    </row>
    <row r="295">
      <c r="C295" s="44"/>
    </row>
    <row r="296">
      <c r="C296" s="44"/>
    </row>
    <row r="297">
      <c r="C297" s="44"/>
    </row>
    <row r="298">
      <c r="C298" s="44"/>
    </row>
    <row r="299">
      <c r="C299" s="44"/>
    </row>
    <row r="300">
      <c r="C300" s="44"/>
    </row>
    <row r="301">
      <c r="C301" s="44"/>
    </row>
    <row r="302">
      <c r="C302" s="44"/>
    </row>
    <row r="303">
      <c r="C303" s="44"/>
    </row>
    <row r="304">
      <c r="C304" s="44"/>
    </row>
    <row r="305">
      <c r="C305" s="44"/>
    </row>
    <row r="306">
      <c r="C306" s="44"/>
    </row>
    <row r="307">
      <c r="C307" s="44"/>
    </row>
    <row r="308">
      <c r="C308" s="44"/>
    </row>
    <row r="309">
      <c r="C309" s="44"/>
    </row>
    <row r="310">
      <c r="C310" s="44"/>
    </row>
    <row r="311">
      <c r="C311" s="44"/>
    </row>
    <row r="312">
      <c r="C312" s="44"/>
    </row>
    <row r="313">
      <c r="C313" s="44"/>
    </row>
    <row r="314">
      <c r="C314" s="44"/>
    </row>
    <row r="315">
      <c r="C315" s="44"/>
    </row>
    <row r="316">
      <c r="C316" s="44"/>
    </row>
    <row r="317">
      <c r="C317" s="44"/>
    </row>
    <row r="318">
      <c r="C318" s="44"/>
    </row>
    <row r="319">
      <c r="C319" s="44"/>
    </row>
    <row r="320">
      <c r="C320" s="44"/>
    </row>
    <row r="321">
      <c r="C321" s="44"/>
    </row>
    <row r="322">
      <c r="C322" s="44"/>
    </row>
    <row r="323">
      <c r="C323" s="44"/>
    </row>
    <row r="324">
      <c r="C324" s="44"/>
    </row>
    <row r="325">
      <c r="C325" s="44"/>
    </row>
    <row r="326">
      <c r="C326" s="44"/>
    </row>
    <row r="327">
      <c r="C327" s="44"/>
    </row>
    <row r="328">
      <c r="C328" s="44"/>
    </row>
    <row r="329">
      <c r="C329" s="44"/>
    </row>
    <row r="330">
      <c r="C330" s="44"/>
    </row>
    <row r="331">
      <c r="C331" s="44"/>
    </row>
    <row r="332">
      <c r="C332" s="44"/>
    </row>
    <row r="333">
      <c r="C333" s="44"/>
    </row>
    <row r="334">
      <c r="C334" s="44"/>
    </row>
    <row r="335">
      <c r="C335" s="44"/>
    </row>
    <row r="336">
      <c r="C336" s="44"/>
    </row>
    <row r="337">
      <c r="C337" s="44"/>
    </row>
    <row r="338">
      <c r="C338" s="44"/>
    </row>
    <row r="339">
      <c r="C339" s="44"/>
    </row>
    <row r="340">
      <c r="C340" s="44"/>
    </row>
    <row r="341">
      <c r="C341" s="44"/>
    </row>
    <row r="342">
      <c r="C342" s="44"/>
    </row>
    <row r="343">
      <c r="C343" s="44"/>
    </row>
    <row r="344">
      <c r="C344" s="44"/>
    </row>
    <row r="345">
      <c r="C345" s="44"/>
    </row>
    <row r="346">
      <c r="C346" s="44"/>
    </row>
    <row r="347">
      <c r="C347" s="44"/>
    </row>
    <row r="348">
      <c r="C348" s="44"/>
    </row>
    <row r="349">
      <c r="C349" s="44"/>
    </row>
    <row r="350">
      <c r="C350" s="44"/>
    </row>
    <row r="351">
      <c r="C351" s="44"/>
    </row>
    <row r="352">
      <c r="C352" s="44"/>
    </row>
    <row r="353">
      <c r="C353" s="44"/>
    </row>
    <row r="354">
      <c r="C354" s="44"/>
    </row>
    <row r="355">
      <c r="C355" s="44"/>
    </row>
    <row r="356">
      <c r="C356" s="44"/>
    </row>
    <row r="357">
      <c r="C357" s="44"/>
    </row>
    <row r="358">
      <c r="C358" s="44"/>
    </row>
    <row r="359">
      <c r="C359" s="44"/>
    </row>
    <row r="360">
      <c r="C360" s="44"/>
    </row>
    <row r="361">
      <c r="C361" s="44"/>
    </row>
    <row r="362">
      <c r="C362" s="44"/>
    </row>
    <row r="363">
      <c r="C363" s="44"/>
    </row>
    <row r="364">
      <c r="C364" s="44"/>
    </row>
    <row r="365">
      <c r="C365" s="44"/>
    </row>
    <row r="366">
      <c r="C366" s="44"/>
    </row>
    <row r="367">
      <c r="C367" s="44"/>
    </row>
    <row r="368">
      <c r="C368" s="44"/>
    </row>
    <row r="369">
      <c r="C369" s="44"/>
    </row>
    <row r="370">
      <c r="C370" s="44"/>
    </row>
    <row r="371">
      <c r="C371" s="44"/>
    </row>
    <row r="372">
      <c r="C372" s="44"/>
    </row>
    <row r="373">
      <c r="C373" s="44"/>
    </row>
    <row r="374">
      <c r="C374" s="44"/>
    </row>
    <row r="375">
      <c r="C375" s="44"/>
    </row>
    <row r="376">
      <c r="C376" s="44"/>
    </row>
    <row r="377">
      <c r="C377" s="44"/>
    </row>
    <row r="378">
      <c r="C378" s="44"/>
    </row>
    <row r="379">
      <c r="C379" s="44"/>
    </row>
    <row r="380">
      <c r="C380" s="44"/>
    </row>
    <row r="381">
      <c r="C381" s="44"/>
    </row>
    <row r="382">
      <c r="C382" s="44"/>
    </row>
    <row r="383">
      <c r="C383" s="44"/>
    </row>
    <row r="384">
      <c r="C384" s="44"/>
    </row>
    <row r="385">
      <c r="C385" s="44"/>
    </row>
    <row r="386">
      <c r="C386" s="44"/>
    </row>
    <row r="387">
      <c r="C387" s="44"/>
    </row>
    <row r="388">
      <c r="C388" s="44"/>
    </row>
    <row r="389">
      <c r="C389" s="44"/>
    </row>
    <row r="390">
      <c r="C390" s="44"/>
    </row>
    <row r="391">
      <c r="C391" s="44"/>
    </row>
    <row r="392">
      <c r="C392" s="44"/>
    </row>
    <row r="393">
      <c r="C393" s="44"/>
    </row>
    <row r="394">
      <c r="C394" s="44"/>
    </row>
    <row r="395">
      <c r="C395" s="44"/>
    </row>
    <row r="396">
      <c r="C396" s="44"/>
    </row>
    <row r="397">
      <c r="C397" s="44"/>
    </row>
    <row r="398">
      <c r="C398" s="44"/>
    </row>
    <row r="399">
      <c r="C399" s="44"/>
    </row>
    <row r="400">
      <c r="C400" s="44"/>
    </row>
    <row r="401">
      <c r="C401" s="44"/>
    </row>
    <row r="402">
      <c r="C402" s="44"/>
    </row>
    <row r="403">
      <c r="C403" s="44"/>
    </row>
    <row r="404">
      <c r="C404" s="44"/>
    </row>
    <row r="405">
      <c r="C405" s="44"/>
    </row>
    <row r="406">
      <c r="C406" s="44"/>
    </row>
    <row r="407">
      <c r="C407" s="44"/>
    </row>
    <row r="408">
      <c r="C408" s="44"/>
    </row>
    <row r="409">
      <c r="C409" s="44"/>
    </row>
    <row r="410">
      <c r="C410" s="44"/>
    </row>
    <row r="411">
      <c r="C411" s="44"/>
    </row>
    <row r="412">
      <c r="C412" s="44"/>
    </row>
    <row r="413">
      <c r="C413" s="44"/>
    </row>
    <row r="414">
      <c r="C414" s="44"/>
    </row>
    <row r="415">
      <c r="C415" s="44"/>
    </row>
    <row r="416">
      <c r="C416" s="44"/>
    </row>
    <row r="417">
      <c r="C417" s="44"/>
    </row>
    <row r="418">
      <c r="C418" s="44"/>
    </row>
    <row r="419">
      <c r="C419" s="44"/>
    </row>
    <row r="420">
      <c r="C420" s="44"/>
    </row>
    <row r="421">
      <c r="C421" s="44"/>
    </row>
    <row r="422">
      <c r="C422" s="44"/>
    </row>
    <row r="423">
      <c r="C423" s="44"/>
    </row>
    <row r="424">
      <c r="C424" s="44"/>
    </row>
    <row r="425">
      <c r="C425" s="44"/>
    </row>
    <row r="426">
      <c r="C426" s="44"/>
    </row>
    <row r="427">
      <c r="C427" s="44"/>
    </row>
    <row r="428">
      <c r="C428" s="44"/>
    </row>
    <row r="429">
      <c r="C429" s="44"/>
    </row>
    <row r="430">
      <c r="C430" s="44"/>
    </row>
    <row r="431">
      <c r="C431" s="44"/>
    </row>
    <row r="432">
      <c r="C432" s="44"/>
    </row>
    <row r="433">
      <c r="C433" s="44"/>
    </row>
    <row r="434">
      <c r="C434" s="44"/>
    </row>
    <row r="435">
      <c r="C435" s="44"/>
    </row>
    <row r="436">
      <c r="C436" s="44"/>
    </row>
    <row r="437">
      <c r="C437" s="44"/>
    </row>
    <row r="438">
      <c r="C438" s="44"/>
    </row>
    <row r="439">
      <c r="C439" s="44"/>
    </row>
    <row r="440">
      <c r="C440" s="44"/>
    </row>
    <row r="441">
      <c r="C441" s="44"/>
    </row>
    <row r="442">
      <c r="C442" s="44"/>
    </row>
    <row r="443">
      <c r="C443" s="44"/>
    </row>
    <row r="444">
      <c r="C444" s="44"/>
    </row>
    <row r="445">
      <c r="C445" s="44"/>
    </row>
    <row r="446">
      <c r="C446" s="44"/>
    </row>
    <row r="447">
      <c r="C447" s="44"/>
    </row>
    <row r="448">
      <c r="C448" s="44"/>
    </row>
    <row r="449">
      <c r="C449" s="44"/>
    </row>
    <row r="450">
      <c r="C450" s="44"/>
    </row>
    <row r="451">
      <c r="C451" s="44"/>
    </row>
    <row r="452">
      <c r="C452" s="44"/>
    </row>
    <row r="453">
      <c r="C453" s="44"/>
    </row>
    <row r="454">
      <c r="C454" s="44"/>
    </row>
    <row r="455">
      <c r="C455" s="44"/>
    </row>
    <row r="456">
      <c r="C456" s="44"/>
    </row>
    <row r="457">
      <c r="C457" s="44"/>
    </row>
    <row r="458">
      <c r="C458" s="44"/>
    </row>
    <row r="459">
      <c r="C459" s="44"/>
    </row>
    <row r="460">
      <c r="C460" s="44"/>
    </row>
    <row r="461">
      <c r="C461" s="44"/>
    </row>
    <row r="462">
      <c r="C462" s="44"/>
    </row>
    <row r="463">
      <c r="C463" s="44"/>
    </row>
    <row r="464">
      <c r="C464" s="44"/>
    </row>
    <row r="465">
      <c r="C465" s="44"/>
    </row>
    <row r="466">
      <c r="C466" s="44"/>
    </row>
    <row r="467">
      <c r="C467" s="44"/>
    </row>
    <row r="468">
      <c r="C468" s="44"/>
    </row>
    <row r="469">
      <c r="C469" s="44"/>
    </row>
    <row r="470">
      <c r="C470" s="44"/>
    </row>
    <row r="471">
      <c r="C471" s="44"/>
    </row>
    <row r="472">
      <c r="C472" s="44"/>
    </row>
    <row r="473">
      <c r="C473" s="44"/>
    </row>
    <row r="474">
      <c r="C474" s="44"/>
    </row>
    <row r="475">
      <c r="C475" s="44"/>
    </row>
    <row r="476">
      <c r="C476" s="44"/>
    </row>
    <row r="477">
      <c r="C477" s="44"/>
    </row>
    <row r="478">
      <c r="C478" s="44"/>
    </row>
    <row r="479">
      <c r="C479" s="44"/>
    </row>
    <row r="480">
      <c r="C480" s="44"/>
    </row>
    <row r="481">
      <c r="C481" s="44"/>
    </row>
    <row r="482">
      <c r="C482" s="44"/>
    </row>
    <row r="483">
      <c r="C483" s="44"/>
    </row>
    <row r="484">
      <c r="C484" s="44"/>
    </row>
    <row r="485">
      <c r="C485" s="44"/>
    </row>
    <row r="486">
      <c r="C486" s="44"/>
    </row>
    <row r="487">
      <c r="C487" s="44"/>
    </row>
    <row r="488">
      <c r="C488" s="44"/>
    </row>
    <row r="489">
      <c r="C489" s="44"/>
    </row>
    <row r="490">
      <c r="C490" s="44"/>
    </row>
    <row r="491">
      <c r="C491" s="44"/>
    </row>
    <row r="492">
      <c r="C492" s="44"/>
    </row>
    <row r="493">
      <c r="C493" s="44"/>
    </row>
    <row r="494">
      <c r="C494" s="44"/>
    </row>
    <row r="495">
      <c r="C495" s="44"/>
    </row>
    <row r="496">
      <c r="C496" s="44"/>
    </row>
    <row r="497">
      <c r="C497" s="44"/>
    </row>
    <row r="498">
      <c r="C498" s="44"/>
    </row>
    <row r="499">
      <c r="C499" s="44"/>
    </row>
    <row r="500">
      <c r="C500" s="44"/>
    </row>
    <row r="501">
      <c r="C501" s="44"/>
    </row>
    <row r="502">
      <c r="C502" s="44"/>
    </row>
    <row r="503">
      <c r="C503" s="44"/>
    </row>
    <row r="504">
      <c r="C504" s="44"/>
    </row>
    <row r="505">
      <c r="C505" s="44"/>
    </row>
    <row r="506">
      <c r="C506" s="44"/>
    </row>
    <row r="507">
      <c r="C507" s="44"/>
    </row>
    <row r="508">
      <c r="C508" s="44"/>
    </row>
    <row r="509">
      <c r="C509" s="44"/>
    </row>
    <row r="510">
      <c r="C510" s="44"/>
    </row>
    <row r="511">
      <c r="C511" s="44"/>
    </row>
    <row r="512">
      <c r="C512" s="44"/>
    </row>
    <row r="513">
      <c r="C513" s="44"/>
    </row>
    <row r="514">
      <c r="C514" s="44"/>
    </row>
    <row r="515">
      <c r="C515" s="44"/>
    </row>
    <row r="516">
      <c r="C516" s="44"/>
    </row>
    <row r="517">
      <c r="C517" s="44"/>
    </row>
    <row r="518">
      <c r="C518" s="44"/>
    </row>
    <row r="519">
      <c r="C519" s="44"/>
    </row>
    <row r="520">
      <c r="C520" s="44"/>
    </row>
    <row r="521">
      <c r="C521" s="44"/>
    </row>
    <row r="522">
      <c r="C522" s="44"/>
    </row>
    <row r="523">
      <c r="C523" s="44"/>
    </row>
    <row r="524">
      <c r="C524" s="44"/>
    </row>
    <row r="525">
      <c r="C525" s="44"/>
    </row>
    <row r="526">
      <c r="C526" s="44"/>
    </row>
    <row r="527">
      <c r="C527" s="44"/>
    </row>
    <row r="528">
      <c r="C528" s="44"/>
    </row>
    <row r="529">
      <c r="C529" s="44"/>
    </row>
    <row r="530">
      <c r="C530" s="44"/>
    </row>
    <row r="531">
      <c r="C531" s="44"/>
    </row>
    <row r="532">
      <c r="C532" s="44"/>
    </row>
    <row r="533">
      <c r="C533" s="44"/>
    </row>
    <row r="534">
      <c r="C534" s="44"/>
    </row>
    <row r="535">
      <c r="C535" s="44"/>
    </row>
    <row r="536">
      <c r="C536" s="44"/>
    </row>
    <row r="537">
      <c r="C537" s="44"/>
    </row>
    <row r="538">
      <c r="C538" s="44"/>
    </row>
    <row r="539">
      <c r="C539" s="44"/>
    </row>
    <row r="540">
      <c r="C540" s="44"/>
    </row>
    <row r="541">
      <c r="C541" s="44"/>
    </row>
    <row r="542">
      <c r="C542" s="44"/>
    </row>
    <row r="543">
      <c r="C543" s="44"/>
    </row>
    <row r="544">
      <c r="C544" s="44"/>
    </row>
    <row r="545">
      <c r="C545" s="44"/>
    </row>
    <row r="546">
      <c r="C546" s="44"/>
    </row>
    <row r="547">
      <c r="C547" s="44"/>
    </row>
    <row r="548">
      <c r="C548" s="44"/>
    </row>
    <row r="549">
      <c r="C549" s="44"/>
    </row>
    <row r="550">
      <c r="C550" s="44"/>
    </row>
    <row r="551">
      <c r="C551" s="44"/>
    </row>
    <row r="552">
      <c r="C552" s="44"/>
    </row>
    <row r="553">
      <c r="C553" s="44"/>
    </row>
    <row r="554">
      <c r="C554" s="44"/>
    </row>
    <row r="555">
      <c r="C555" s="44"/>
    </row>
    <row r="556">
      <c r="C556" s="44"/>
    </row>
    <row r="557">
      <c r="C557" s="44"/>
    </row>
    <row r="558">
      <c r="C558" s="44"/>
    </row>
    <row r="559">
      <c r="C559" s="44"/>
    </row>
    <row r="560">
      <c r="C560" s="44"/>
    </row>
    <row r="561">
      <c r="C561" s="44"/>
    </row>
    <row r="562">
      <c r="C562" s="44"/>
    </row>
    <row r="563">
      <c r="C563" s="44"/>
    </row>
    <row r="564">
      <c r="C564" s="44"/>
    </row>
    <row r="565">
      <c r="C565" s="44"/>
    </row>
    <row r="566">
      <c r="C566" s="44"/>
    </row>
    <row r="567">
      <c r="C567" s="44"/>
    </row>
    <row r="568">
      <c r="C568" s="44"/>
    </row>
    <row r="569">
      <c r="C569" s="44"/>
    </row>
    <row r="570">
      <c r="C570" s="44"/>
    </row>
    <row r="571">
      <c r="C571" s="44"/>
    </row>
    <row r="572">
      <c r="C572" s="44"/>
    </row>
    <row r="573">
      <c r="C573" s="44"/>
    </row>
    <row r="574">
      <c r="C574" s="44"/>
    </row>
    <row r="575">
      <c r="C575" s="44"/>
    </row>
    <row r="576">
      <c r="C576" s="44"/>
    </row>
    <row r="577">
      <c r="C577" s="44"/>
    </row>
    <row r="578">
      <c r="C578" s="44"/>
    </row>
    <row r="579">
      <c r="C579" s="44"/>
    </row>
    <row r="580">
      <c r="C580" s="44"/>
    </row>
    <row r="581">
      <c r="C581" s="44"/>
    </row>
    <row r="582">
      <c r="C582" s="44"/>
    </row>
    <row r="583">
      <c r="C583" s="44"/>
    </row>
    <row r="584">
      <c r="C584" s="44"/>
    </row>
    <row r="585">
      <c r="C585" s="44"/>
    </row>
    <row r="586">
      <c r="C586" s="44"/>
    </row>
    <row r="587">
      <c r="C587" s="44"/>
    </row>
    <row r="588">
      <c r="C588" s="44"/>
    </row>
    <row r="589">
      <c r="C589" s="44"/>
    </row>
    <row r="590">
      <c r="C590" s="44"/>
    </row>
    <row r="591">
      <c r="C591" s="44"/>
    </row>
    <row r="592">
      <c r="C592" s="44"/>
    </row>
    <row r="593">
      <c r="C593" s="44"/>
    </row>
    <row r="594">
      <c r="C594" s="44"/>
    </row>
    <row r="595">
      <c r="C595" s="44"/>
    </row>
    <row r="596">
      <c r="C596" s="44"/>
    </row>
    <row r="597">
      <c r="C597" s="44"/>
    </row>
    <row r="598">
      <c r="C598" s="44"/>
    </row>
    <row r="599">
      <c r="C599" s="44"/>
    </row>
    <row r="600">
      <c r="C600" s="44"/>
    </row>
    <row r="601">
      <c r="C601" s="44"/>
    </row>
    <row r="602">
      <c r="C602" s="44"/>
    </row>
    <row r="603">
      <c r="C603" s="44"/>
    </row>
    <row r="604">
      <c r="C604" s="44"/>
    </row>
    <row r="605">
      <c r="C605" s="44"/>
    </row>
    <row r="606">
      <c r="C606" s="44"/>
    </row>
    <row r="607">
      <c r="C607" s="44"/>
    </row>
    <row r="608">
      <c r="C608" s="44"/>
    </row>
    <row r="609">
      <c r="C609" s="44"/>
    </row>
    <row r="610">
      <c r="C610" s="44"/>
    </row>
    <row r="611">
      <c r="C611" s="44"/>
    </row>
    <row r="612">
      <c r="C612" s="44"/>
    </row>
    <row r="613">
      <c r="C613" s="44"/>
    </row>
    <row r="614">
      <c r="C614" s="44"/>
    </row>
    <row r="615">
      <c r="C615" s="44"/>
    </row>
    <row r="616">
      <c r="C616" s="44"/>
    </row>
    <row r="617">
      <c r="C617" s="44"/>
    </row>
    <row r="618">
      <c r="C618" s="44"/>
    </row>
    <row r="619">
      <c r="C619" s="44"/>
    </row>
    <row r="620">
      <c r="C620" s="44"/>
    </row>
    <row r="621">
      <c r="C621" s="44"/>
    </row>
    <row r="622">
      <c r="C622" s="44"/>
    </row>
    <row r="623">
      <c r="C623" s="44"/>
    </row>
    <row r="624">
      <c r="C624" s="44"/>
    </row>
    <row r="625">
      <c r="C625" s="44"/>
    </row>
    <row r="626">
      <c r="C626" s="44"/>
    </row>
    <row r="627">
      <c r="C627" s="44"/>
    </row>
    <row r="628">
      <c r="C628" s="44"/>
    </row>
    <row r="629">
      <c r="C629" s="44"/>
    </row>
    <row r="630">
      <c r="C630" s="44"/>
    </row>
    <row r="631">
      <c r="C631" s="44"/>
    </row>
    <row r="632">
      <c r="C632" s="44"/>
    </row>
    <row r="633">
      <c r="C633" s="44"/>
    </row>
    <row r="634">
      <c r="C634" s="44"/>
    </row>
    <row r="635">
      <c r="C635" s="44"/>
    </row>
    <row r="636">
      <c r="C636" s="44"/>
    </row>
    <row r="637">
      <c r="C637" s="44"/>
    </row>
    <row r="638">
      <c r="C638" s="44"/>
    </row>
    <row r="639">
      <c r="C639" s="44"/>
    </row>
    <row r="640">
      <c r="C640" s="44"/>
    </row>
    <row r="641">
      <c r="C641" s="44"/>
    </row>
    <row r="642">
      <c r="C642" s="44"/>
    </row>
    <row r="643">
      <c r="C643" s="44"/>
    </row>
    <row r="644">
      <c r="C644" s="44"/>
    </row>
    <row r="645">
      <c r="C645" s="44"/>
    </row>
    <row r="646">
      <c r="C646" s="44"/>
    </row>
    <row r="647">
      <c r="C647" s="44"/>
    </row>
    <row r="648">
      <c r="C648" s="44"/>
    </row>
    <row r="649">
      <c r="C649" s="44"/>
    </row>
    <row r="650">
      <c r="C650" s="44"/>
    </row>
    <row r="651">
      <c r="C651" s="44"/>
    </row>
    <row r="652">
      <c r="C652" s="44"/>
    </row>
    <row r="653">
      <c r="C653" s="44"/>
    </row>
    <row r="654">
      <c r="C654" s="44"/>
    </row>
    <row r="655">
      <c r="C655" s="44"/>
    </row>
    <row r="656">
      <c r="C656" s="44"/>
    </row>
    <row r="657">
      <c r="C657" s="44"/>
    </row>
    <row r="658">
      <c r="C658" s="44"/>
    </row>
    <row r="659">
      <c r="C659" s="44"/>
    </row>
    <row r="660">
      <c r="C660" s="44"/>
    </row>
    <row r="661">
      <c r="C661" s="44"/>
    </row>
    <row r="662">
      <c r="C662" s="44"/>
    </row>
    <row r="663">
      <c r="C663" s="44"/>
    </row>
    <row r="664">
      <c r="C664" s="44"/>
    </row>
    <row r="665">
      <c r="C665" s="44"/>
    </row>
    <row r="666">
      <c r="C666" s="44"/>
    </row>
    <row r="667">
      <c r="C667" s="44"/>
    </row>
    <row r="668">
      <c r="C668" s="44"/>
    </row>
    <row r="669">
      <c r="C669" s="44"/>
    </row>
    <row r="670">
      <c r="C670" s="44"/>
    </row>
    <row r="671">
      <c r="C671" s="44"/>
    </row>
    <row r="672">
      <c r="C672" s="44"/>
    </row>
    <row r="673">
      <c r="C673" s="44"/>
    </row>
    <row r="674">
      <c r="C674" s="44"/>
    </row>
    <row r="675">
      <c r="C675" s="44"/>
    </row>
    <row r="676">
      <c r="C676" s="44"/>
    </row>
    <row r="677">
      <c r="C677" s="44"/>
    </row>
    <row r="678">
      <c r="C678" s="44"/>
    </row>
    <row r="679">
      <c r="C679" s="44"/>
    </row>
    <row r="680">
      <c r="C680" s="44"/>
    </row>
    <row r="681">
      <c r="C681" s="44"/>
    </row>
    <row r="682">
      <c r="C682" s="44"/>
    </row>
    <row r="683">
      <c r="C683" s="44"/>
    </row>
    <row r="684">
      <c r="C684" s="44"/>
    </row>
    <row r="685">
      <c r="C685" s="44"/>
    </row>
    <row r="686">
      <c r="C686" s="44"/>
    </row>
    <row r="687">
      <c r="C687" s="44"/>
    </row>
    <row r="688">
      <c r="C688" s="44"/>
    </row>
    <row r="689">
      <c r="C689" s="44"/>
    </row>
    <row r="690">
      <c r="C690" s="44"/>
    </row>
    <row r="691">
      <c r="C691" s="44"/>
    </row>
    <row r="692">
      <c r="C692" s="44"/>
    </row>
    <row r="693">
      <c r="C693" s="44"/>
    </row>
    <row r="694">
      <c r="C694" s="44"/>
    </row>
    <row r="695">
      <c r="C695" s="44"/>
    </row>
    <row r="696">
      <c r="C696" s="44"/>
    </row>
    <row r="697">
      <c r="C697" s="44"/>
    </row>
    <row r="698">
      <c r="C698" s="44"/>
    </row>
    <row r="699">
      <c r="C699" s="44"/>
    </row>
    <row r="700">
      <c r="C700" s="44"/>
    </row>
    <row r="701">
      <c r="C701" s="44"/>
    </row>
    <row r="702">
      <c r="C702" s="44"/>
    </row>
    <row r="703">
      <c r="C703" s="44"/>
    </row>
    <row r="704">
      <c r="C704" s="44"/>
    </row>
    <row r="705">
      <c r="C705" s="44"/>
    </row>
    <row r="706">
      <c r="C706" s="44"/>
    </row>
    <row r="707">
      <c r="C707" s="44"/>
    </row>
    <row r="708">
      <c r="C708" s="44"/>
    </row>
    <row r="709">
      <c r="C709" s="44"/>
    </row>
    <row r="710">
      <c r="C710" s="44"/>
    </row>
    <row r="711">
      <c r="C711" s="44"/>
    </row>
    <row r="712">
      <c r="C712" s="44"/>
    </row>
    <row r="713">
      <c r="C713" s="44"/>
    </row>
    <row r="714">
      <c r="C714" s="44"/>
    </row>
    <row r="715">
      <c r="C715" s="44"/>
    </row>
    <row r="716">
      <c r="C716" s="44"/>
    </row>
    <row r="717">
      <c r="C717" s="44"/>
    </row>
    <row r="718">
      <c r="C718" s="44"/>
    </row>
    <row r="719">
      <c r="C719" s="44"/>
    </row>
    <row r="720">
      <c r="C720" s="44"/>
    </row>
    <row r="721">
      <c r="C721" s="44"/>
    </row>
    <row r="722">
      <c r="C722" s="44"/>
    </row>
    <row r="723">
      <c r="C723" s="44"/>
    </row>
    <row r="724">
      <c r="C724" s="44"/>
    </row>
    <row r="725">
      <c r="C725" s="44"/>
    </row>
    <row r="726">
      <c r="C726" s="44"/>
    </row>
    <row r="727">
      <c r="C727" s="44"/>
    </row>
    <row r="728">
      <c r="C728" s="44"/>
    </row>
    <row r="729">
      <c r="C729" s="44"/>
    </row>
    <row r="730">
      <c r="C730" s="44"/>
    </row>
    <row r="731">
      <c r="C731" s="44"/>
    </row>
    <row r="732">
      <c r="C732" s="44"/>
    </row>
    <row r="733">
      <c r="C733" s="44"/>
    </row>
    <row r="734">
      <c r="C734" s="44"/>
    </row>
    <row r="735">
      <c r="C735" s="44"/>
    </row>
    <row r="736">
      <c r="C736" s="44"/>
    </row>
    <row r="737">
      <c r="C737" s="44"/>
    </row>
    <row r="738">
      <c r="C738" s="44"/>
    </row>
    <row r="739">
      <c r="C739" s="44"/>
    </row>
    <row r="740">
      <c r="C740" s="44"/>
    </row>
    <row r="741">
      <c r="C741" s="44"/>
    </row>
    <row r="742">
      <c r="C742" s="44"/>
    </row>
    <row r="743">
      <c r="C743" s="44"/>
    </row>
    <row r="744">
      <c r="C744" s="44"/>
    </row>
    <row r="745">
      <c r="C745" s="44"/>
    </row>
    <row r="746">
      <c r="C746" s="44"/>
    </row>
    <row r="747">
      <c r="C747" s="44"/>
    </row>
    <row r="748">
      <c r="C748" s="44"/>
    </row>
    <row r="749">
      <c r="C749" s="44"/>
    </row>
    <row r="750">
      <c r="C750" s="44"/>
    </row>
    <row r="751">
      <c r="C751" s="44"/>
    </row>
    <row r="752">
      <c r="C752" s="44"/>
    </row>
    <row r="753">
      <c r="C753" s="44"/>
    </row>
    <row r="754">
      <c r="C754" s="44"/>
    </row>
    <row r="755">
      <c r="C755" s="44"/>
    </row>
    <row r="756">
      <c r="C756" s="44"/>
    </row>
    <row r="757">
      <c r="C757" s="44"/>
    </row>
    <row r="758">
      <c r="C758" s="44"/>
    </row>
    <row r="759">
      <c r="C759" s="44"/>
    </row>
    <row r="760">
      <c r="C760" s="44"/>
    </row>
    <row r="761">
      <c r="C761" s="44"/>
    </row>
    <row r="762">
      <c r="C762" s="44"/>
    </row>
    <row r="763">
      <c r="C763" s="44"/>
    </row>
    <row r="764">
      <c r="C764" s="44"/>
    </row>
    <row r="765">
      <c r="C765" s="44"/>
    </row>
    <row r="766">
      <c r="C766" s="44"/>
    </row>
    <row r="767">
      <c r="C767" s="44"/>
    </row>
    <row r="768">
      <c r="C768" s="44"/>
    </row>
    <row r="769">
      <c r="C769" s="44"/>
    </row>
    <row r="770">
      <c r="C770" s="44"/>
    </row>
    <row r="771">
      <c r="C771" s="44"/>
    </row>
    <row r="772">
      <c r="C772" s="44"/>
    </row>
    <row r="773">
      <c r="C773" s="44"/>
    </row>
    <row r="774">
      <c r="C774" s="44"/>
    </row>
    <row r="775">
      <c r="C775" s="44"/>
    </row>
    <row r="776">
      <c r="C776" s="44"/>
    </row>
    <row r="777">
      <c r="C777" s="44"/>
    </row>
    <row r="778">
      <c r="C778" s="44"/>
    </row>
    <row r="779">
      <c r="C779" s="44"/>
    </row>
    <row r="780">
      <c r="C780" s="44"/>
    </row>
    <row r="781">
      <c r="C781" s="44"/>
    </row>
    <row r="782">
      <c r="C782" s="44"/>
    </row>
    <row r="783">
      <c r="C783" s="44"/>
    </row>
    <row r="784">
      <c r="C784" s="44"/>
    </row>
    <row r="785">
      <c r="C785" s="44"/>
    </row>
    <row r="786">
      <c r="C786" s="44"/>
    </row>
    <row r="787">
      <c r="C787" s="44"/>
    </row>
    <row r="788">
      <c r="C788" s="44"/>
    </row>
    <row r="789">
      <c r="C789" s="44"/>
    </row>
    <row r="790">
      <c r="C790" s="44"/>
    </row>
    <row r="791">
      <c r="C791" s="44"/>
    </row>
    <row r="792">
      <c r="C792" s="44"/>
    </row>
    <row r="793">
      <c r="C793" s="44"/>
    </row>
    <row r="794">
      <c r="C794" s="44"/>
    </row>
    <row r="795">
      <c r="C795" s="44"/>
    </row>
    <row r="796">
      <c r="C796" s="44"/>
    </row>
    <row r="797">
      <c r="C797" s="44"/>
    </row>
    <row r="798">
      <c r="C798" s="44"/>
    </row>
    <row r="799">
      <c r="C799" s="44"/>
    </row>
    <row r="800">
      <c r="C800" s="44"/>
    </row>
    <row r="801">
      <c r="C801" s="44"/>
    </row>
    <row r="802">
      <c r="C802" s="44"/>
    </row>
    <row r="803">
      <c r="C803" s="44"/>
    </row>
    <row r="804">
      <c r="C804" s="44"/>
    </row>
    <row r="805">
      <c r="C805" s="44"/>
    </row>
    <row r="806">
      <c r="C806" s="44"/>
    </row>
    <row r="807">
      <c r="C807" s="44"/>
    </row>
    <row r="808">
      <c r="C808" s="44"/>
    </row>
    <row r="809">
      <c r="C809" s="44"/>
    </row>
    <row r="810">
      <c r="C810" s="44"/>
    </row>
    <row r="811">
      <c r="C811" s="44"/>
    </row>
    <row r="812">
      <c r="C812" s="44"/>
    </row>
    <row r="813">
      <c r="C813" s="44"/>
    </row>
    <row r="814">
      <c r="C814" s="44"/>
    </row>
    <row r="815">
      <c r="C815" s="44"/>
    </row>
    <row r="816">
      <c r="C816" s="44"/>
    </row>
    <row r="817">
      <c r="C817" s="44"/>
    </row>
    <row r="818">
      <c r="C818" s="44"/>
    </row>
    <row r="819">
      <c r="C819" s="44"/>
    </row>
    <row r="820">
      <c r="C820" s="44"/>
    </row>
    <row r="821">
      <c r="C821" s="44"/>
    </row>
    <row r="822">
      <c r="C822" s="44"/>
    </row>
    <row r="823">
      <c r="C823" s="44"/>
    </row>
    <row r="824">
      <c r="C824" s="44"/>
    </row>
    <row r="825">
      <c r="C825" s="44"/>
    </row>
    <row r="826">
      <c r="C826" s="44"/>
    </row>
    <row r="827">
      <c r="C827" s="44"/>
    </row>
    <row r="828">
      <c r="C828" s="44"/>
    </row>
    <row r="829">
      <c r="C829" s="44"/>
    </row>
    <row r="830">
      <c r="C830" s="44"/>
    </row>
    <row r="831">
      <c r="C831" s="44"/>
    </row>
    <row r="832">
      <c r="C832" s="44"/>
    </row>
    <row r="833">
      <c r="C833" s="44"/>
    </row>
    <row r="834">
      <c r="C834" s="44"/>
    </row>
    <row r="835">
      <c r="C835" s="44"/>
    </row>
    <row r="836">
      <c r="C836" s="44"/>
    </row>
    <row r="837">
      <c r="C837" s="44"/>
    </row>
    <row r="838">
      <c r="C838" s="44"/>
    </row>
    <row r="839">
      <c r="C839" s="44"/>
    </row>
    <row r="840">
      <c r="C840" s="44"/>
    </row>
    <row r="841">
      <c r="C841" s="44"/>
    </row>
    <row r="842">
      <c r="C842" s="44"/>
    </row>
    <row r="843">
      <c r="C843" s="44"/>
    </row>
    <row r="844">
      <c r="C844" s="44"/>
    </row>
    <row r="845">
      <c r="C845" s="44"/>
    </row>
    <row r="846">
      <c r="C846" s="44"/>
    </row>
    <row r="847">
      <c r="C847" s="44"/>
    </row>
    <row r="848">
      <c r="C848" s="44"/>
    </row>
    <row r="849">
      <c r="C849" s="44"/>
    </row>
    <row r="850">
      <c r="C850" s="44"/>
    </row>
    <row r="851">
      <c r="C851" s="44"/>
    </row>
    <row r="852">
      <c r="C852" s="44"/>
    </row>
    <row r="853">
      <c r="C853" s="44"/>
    </row>
    <row r="854">
      <c r="C854" s="44"/>
    </row>
    <row r="855">
      <c r="C855" s="44"/>
    </row>
    <row r="856">
      <c r="C856" s="44"/>
    </row>
    <row r="857">
      <c r="C857" s="44"/>
    </row>
    <row r="858">
      <c r="C858" s="44"/>
    </row>
    <row r="859">
      <c r="C859" s="44"/>
    </row>
    <row r="860">
      <c r="C860" s="44"/>
    </row>
    <row r="861">
      <c r="C861" s="44"/>
    </row>
    <row r="862">
      <c r="C862" s="44"/>
    </row>
    <row r="863">
      <c r="C863" s="44"/>
    </row>
    <row r="864">
      <c r="C864" s="44"/>
    </row>
    <row r="865">
      <c r="C865" s="44"/>
    </row>
    <row r="866">
      <c r="C866" s="44"/>
    </row>
    <row r="867">
      <c r="C867" s="44"/>
    </row>
    <row r="868">
      <c r="C868" s="44"/>
    </row>
    <row r="869">
      <c r="C869" s="44"/>
    </row>
    <row r="870">
      <c r="C870" s="44"/>
    </row>
    <row r="871">
      <c r="C871" s="44"/>
    </row>
    <row r="872">
      <c r="C872" s="44"/>
    </row>
    <row r="873">
      <c r="C873" s="44"/>
    </row>
    <row r="874">
      <c r="C874" s="44"/>
    </row>
    <row r="875">
      <c r="C875" s="44"/>
    </row>
    <row r="876">
      <c r="C876" s="44"/>
    </row>
    <row r="877">
      <c r="C877" s="44"/>
    </row>
    <row r="878">
      <c r="C878" s="44"/>
    </row>
    <row r="879">
      <c r="C879" s="44"/>
    </row>
    <row r="880">
      <c r="C880" s="44"/>
    </row>
    <row r="881">
      <c r="C881" s="44"/>
    </row>
    <row r="882">
      <c r="C882" s="44"/>
    </row>
    <row r="883">
      <c r="C883" s="44"/>
    </row>
    <row r="884">
      <c r="C884" s="44"/>
    </row>
    <row r="885">
      <c r="C885" s="44"/>
    </row>
    <row r="886">
      <c r="C886" s="44"/>
    </row>
    <row r="887">
      <c r="C887" s="44"/>
    </row>
    <row r="888">
      <c r="C888" s="44"/>
    </row>
    <row r="889">
      <c r="C889" s="44"/>
    </row>
    <row r="890">
      <c r="C890" s="44"/>
    </row>
    <row r="891">
      <c r="C891" s="44"/>
    </row>
    <row r="892">
      <c r="C892" s="44"/>
    </row>
    <row r="893">
      <c r="C893" s="44"/>
    </row>
    <row r="894">
      <c r="C894" s="44"/>
    </row>
    <row r="895">
      <c r="C895" s="44"/>
    </row>
    <row r="896">
      <c r="C896" s="44"/>
    </row>
    <row r="897">
      <c r="C897" s="44"/>
    </row>
    <row r="898">
      <c r="C898" s="44"/>
    </row>
    <row r="899">
      <c r="C899" s="44"/>
    </row>
    <row r="900">
      <c r="C900" s="44"/>
    </row>
    <row r="901">
      <c r="C901" s="44"/>
    </row>
    <row r="902">
      <c r="C902" s="44"/>
    </row>
    <row r="903">
      <c r="C903" s="44"/>
    </row>
    <row r="904">
      <c r="C904" s="44"/>
    </row>
    <row r="905">
      <c r="C905" s="44"/>
    </row>
    <row r="906">
      <c r="C906" s="44"/>
    </row>
    <row r="907">
      <c r="C907" s="44"/>
    </row>
    <row r="908">
      <c r="C908" s="44"/>
    </row>
    <row r="909">
      <c r="C909" s="44"/>
    </row>
    <row r="910">
      <c r="C910" s="44"/>
    </row>
    <row r="911">
      <c r="C911" s="44"/>
    </row>
    <row r="912">
      <c r="C912" s="44"/>
    </row>
    <row r="913">
      <c r="C913" s="44"/>
    </row>
    <row r="914">
      <c r="C914" s="44"/>
    </row>
    <row r="915">
      <c r="C915" s="44"/>
    </row>
    <row r="916">
      <c r="C916" s="44"/>
    </row>
    <row r="917">
      <c r="C917" s="44"/>
    </row>
    <row r="918">
      <c r="C918" s="44"/>
    </row>
    <row r="919">
      <c r="C919" s="44"/>
    </row>
    <row r="920">
      <c r="C920" s="44"/>
    </row>
    <row r="921">
      <c r="C921" s="44"/>
    </row>
    <row r="922">
      <c r="C922" s="44"/>
    </row>
    <row r="923">
      <c r="C923" s="44"/>
    </row>
    <row r="924">
      <c r="C924" s="44"/>
    </row>
    <row r="925">
      <c r="C925" s="44"/>
    </row>
    <row r="926">
      <c r="C926" s="44"/>
    </row>
    <row r="927">
      <c r="C927" s="44"/>
    </row>
    <row r="928">
      <c r="C928" s="44"/>
    </row>
    <row r="929">
      <c r="C929" s="44"/>
    </row>
    <row r="930">
      <c r="C930" s="44"/>
    </row>
    <row r="931">
      <c r="C931" s="44"/>
    </row>
    <row r="932">
      <c r="C932" s="44"/>
    </row>
    <row r="933">
      <c r="C933" s="44"/>
    </row>
    <row r="934">
      <c r="C934" s="44"/>
    </row>
    <row r="935">
      <c r="C935" s="44"/>
    </row>
    <row r="936">
      <c r="C936" s="44"/>
    </row>
    <row r="937">
      <c r="C937" s="44"/>
    </row>
    <row r="938">
      <c r="C938" s="44"/>
    </row>
    <row r="939">
      <c r="C939" s="44"/>
    </row>
    <row r="940">
      <c r="C940" s="44"/>
    </row>
    <row r="941">
      <c r="C941" s="44"/>
    </row>
    <row r="942">
      <c r="C942" s="44"/>
    </row>
    <row r="943">
      <c r="C943" s="44"/>
    </row>
    <row r="944">
      <c r="C944" s="44"/>
    </row>
    <row r="945">
      <c r="C945" s="44"/>
    </row>
    <row r="946">
      <c r="C946" s="44"/>
    </row>
    <row r="947">
      <c r="C947" s="44"/>
    </row>
    <row r="948">
      <c r="C948" s="44"/>
    </row>
    <row r="949">
      <c r="C949" s="44"/>
    </row>
    <row r="950">
      <c r="C950" s="44"/>
    </row>
    <row r="951">
      <c r="C951" s="44"/>
    </row>
    <row r="952">
      <c r="C952" s="44"/>
    </row>
    <row r="953">
      <c r="C953" s="44"/>
    </row>
    <row r="954">
      <c r="C954" s="44"/>
    </row>
    <row r="955">
      <c r="C955" s="44"/>
    </row>
    <row r="956">
      <c r="C956" s="44"/>
    </row>
    <row r="957">
      <c r="C957" s="44"/>
    </row>
    <row r="958">
      <c r="C958" s="44"/>
    </row>
    <row r="959">
      <c r="C959" s="44"/>
    </row>
    <row r="960">
      <c r="C960" s="44"/>
    </row>
    <row r="961">
      <c r="C961" s="44"/>
    </row>
    <row r="962">
      <c r="C962" s="44"/>
    </row>
    <row r="963">
      <c r="C963" s="44"/>
    </row>
    <row r="964">
      <c r="C964" s="44"/>
    </row>
    <row r="965">
      <c r="C965" s="44"/>
    </row>
    <row r="966">
      <c r="C966" s="44"/>
    </row>
    <row r="967">
      <c r="C967" s="44"/>
    </row>
    <row r="968">
      <c r="C968" s="44"/>
    </row>
    <row r="969">
      <c r="C969" s="44"/>
    </row>
    <row r="970">
      <c r="C970" s="44"/>
    </row>
    <row r="971">
      <c r="C971" s="44"/>
    </row>
    <row r="972">
      <c r="C972" s="44"/>
    </row>
    <row r="973">
      <c r="C973" s="44"/>
    </row>
    <row r="974">
      <c r="C974" s="44"/>
    </row>
    <row r="975">
      <c r="C975" s="44"/>
    </row>
    <row r="976">
      <c r="C976" s="44"/>
    </row>
    <row r="977">
      <c r="C977" s="44"/>
    </row>
    <row r="978">
      <c r="C978" s="44"/>
    </row>
    <row r="979">
      <c r="C979" s="44"/>
    </row>
    <row r="980">
      <c r="C980" s="44"/>
    </row>
    <row r="981">
      <c r="C981" s="44"/>
    </row>
    <row r="982">
      <c r="C982" s="44"/>
    </row>
    <row r="983">
      <c r="C983" s="44"/>
    </row>
    <row r="984">
      <c r="C984" s="44"/>
    </row>
    <row r="985">
      <c r="C985" s="44"/>
    </row>
    <row r="986">
      <c r="C986" s="44"/>
    </row>
    <row r="987">
      <c r="C987" s="44"/>
    </row>
    <row r="988">
      <c r="C988" s="44"/>
    </row>
    <row r="989">
      <c r="C989" s="44"/>
    </row>
    <row r="990">
      <c r="C990" s="44"/>
    </row>
    <row r="991">
      <c r="C991" s="44"/>
    </row>
    <row r="992">
      <c r="C992" s="44"/>
    </row>
    <row r="993">
      <c r="C993" s="44"/>
    </row>
    <row r="994">
      <c r="C994" s="44"/>
    </row>
    <row r="995">
      <c r="C995" s="44"/>
    </row>
    <row r="996">
      <c r="C996" s="44"/>
    </row>
    <row r="997">
      <c r="C997" s="44"/>
    </row>
    <row r="998">
      <c r="C998" s="44"/>
    </row>
    <row r="999">
      <c r="C999" s="44"/>
    </row>
    <row r="1000">
      <c r="C1000" s="44"/>
    </row>
  </sheetData>
  <autoFilter ref="$A$1:$T$80"/>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s>
  <drawing r:id="rId8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3" t="s">
        <v>1</v>
      </c>
      <c r="B1" s="3" t="s">
        <v>2218</v>
      </c>
      <c r="C1" s="3" t="s">
        <v>12</v>
      </c>
      <c r="D1" s="3" t="s">
        <v>2219</v>
      </c>
      <c r="E1" s="3" t="s">
        <v>2220</v>
      </c>
      <c r="F1" s="3" t="s">
        <v>2221</v>
      </c>
      <c r="G1" s="3" t="s">
        <v>2222</v>
      </c>
      <c r="H1" s="3" t="s">
        <v>2223</v>
      </c>
      <c r="I1" s="3" t="s">
        <v>2224</v>
      </c>
      <c r="J1" s="3" t="s">
        <v>2225</v>
      </c>
      <c r="K1" s="3" t="s">
        <v>2226</v>
      </c>
      <c r="L1" s="47"/>
      <c r="M1" s="47"/>
      <c r="N1" s="47"/>
      <c r="O1" s="47"/>
      <c r="P1" s="47"/>
      <c r="Q1" s="47"/>
      <c r="R1" s="47"/>
      <c r="S1" s="47"/>
      <c r="T1" s="47"/>
      <c r="U1" s="47"/>
      <c r="V1" s="47"/>
      <c r="W1" s="47"/>
      <c r="X1" s="47"/>
      <c r="Y1" s="47"/>
      <c r="Z1" s="47"/>
    </row>
    <row r="2">
      <c r="A2" s="48">
        <v>1.0</v>
      </c>
      <c r="B2" s="49" t="s">
        <v>53</v>
      </c>
      <c r="C2" s="50" t="s">
        <v>595</v>
      </c>
      <c r="D2" s="49" t="s">
        <v>1923</v>
      </c>
      <c r="E2" s="51" t="s">
        <v>69</v>
      </c>
      <c r="F2" s="51" t="s">
        <v>2234</v>
      </c>
      <c r="G2" s="51" t="s">
        <v>2235</v>
      </c>
      <c r="H2" s="51" t="s">
        <v>2235</v>
      </c>
      <c r="I2" s="51" t="s">
        <v>2236</v>
      </c>
      <c r="J2" s="51" t="s">
        <v>55</v>
      </c>
      <c r="K2" s="51" t="s">
        <v>2237</v>
      </c>
      <c r="L2" s="47"/>
      <c r="M2" s="47"/>
      <c r="N2" s="47"/>
      <c r="O2" s="47"/>
      <c r="P2" s="47"/>
      <c r="Q2" s="47"/>
      <c r="R2" s="47"/>
      <c r="S2" s="47"/>
      <c r="T2" s="47"/>
      <c r="U2" s="47"/>
      <c r="V2" s="47"/>
      <c r="W2" s="47"/>
      <c r="X2" s="47"/>
      <c r="Y2" s="47"/>
      <c r="Z2" s="47"/>
    </row>
    <row r="3">
      <c r="A3" s="48">
        <v>1.0</v>
      </c>
      <c r="B3" s="49" t="s">
        <v>53</v>
      </c>
      <c r="C3" s="50" t="s">
        <v>595</v>
      </c>
      <c r="D3" s="49" t="s">
        <v>2239</v>
      </c>
      <c r="E3" s="51" t="s">
        <v>69</v>
      </c>
      <c r="F3" s="51" t="s">
        <v>2241</v>
      </c>
      <c r="G3" s="51" t="s">
        <v>2235</v>
      </c>
      <c r="H3" s="51" t="s">
        <v>2235</v>
      </c>
      <c r="I3" s="51" t="s">
        <v>2236</v>
      </c>
      <c r="J3" s="51" t="s">
        <v>124</v>
      </c>
      <c r="K3" s="51" t="s">
        <v>2237</v>
      </c>
      <c r="L3" s="47"/>
      <c r="M3" s="47"/>
      <c r="N3" s="47"/>
      <c r="O3" s="47"/>
      <c r="P3" s="47"/>
      <c r="Q3" s="47"/>
      <c r="R3" s="47"/>
      <c r="S3" s="47"/>
      <c r="T3" s="47"/>
      <c r="U3" s="47"/>
      <c r="V3" s="47"/>
      <c r="W3" s="47"/>
      <c r="X3" s="47"/>
      <c r="Y3" s="47"/>
      <c r="Z3" s="47"/>
    </row>
    <row r="4">
      <c r="A4" s="48">
        <v>1.0</v>
      </c>
      <c r="B4" s="49" t="s">
        <v>53</v>
      </c>
      <c r="C4" s="50" t="s">
        <v>595</v>
      </c>
      <c r="D4" s="49" t="s">
        <v>173</v>
      </c>
      <c r="E4" s="51" t="s">
        <v>69</v>
      </c>
      <c r="F4" s="51" t="s">
        <v>2245</v>
      </c>
      <c r="G4" s="51" t="s">
        <v>2235</v>
      </c>
      <c r="H4" s="51" t="s">
        <v>2235</v>
      </c>
      <c r="I4" s="51" t="s">
        <v>2236</v>
      </c>
      <c r="J4" s="51" t="s">
        <v>220</v>
      </c>
      <c r="K4" s="51" t="s">
        <v>2237</v>
      </c>
      <c r="L4" s="47"/>
      <c r="M4" s="47"/>
      <c r="N4" s="47"/>
      <c r="O4" s="47"/>
      <c r="P4" s="47"/>
      <c r="Q4" s="47"/>
      <c r="R4" s="47"/>
      <c r="S4" s="47"/>
      <c r="T4" s="47"/>
      <c r="U4" s="47"/>
      <c r="V4" s="47"/>
      <c r="W4" s="47"/>
      <c r="X4" s="47"/>
      <c r="Y4" s="47"/>
      <c r="Z4" s="47"/>
    </row>
    <row r="5">
      <c r="A5" s="48">
        <v>1.0</v>
      </c>
      <c r="B5" s="49" t="s">
        <v>53</v>
      </c>
      <c r="C5" s="50" t="s">
        <v>595</v>
      </c>
      <c r="D5" s="49" t="s">
        <v>62</v>
      </c>
      <c r="E5" s="51" t="s">
        <v>69</v>
      </c>
      <c r="F5" s="51" t="s">
        <v>2251</v>
      </c>
      <c r="G5" s="51" t="s">
        <v>2235</v>
      </c>
      <c r="H5" s="51" t="s">
        <v>2235</v>
      </c>
      <c r="I5" s="51" t="s">
        <v>2236</v>
      </c>
      <c r="J5" s="51" t="s">
        <v>193</v>
      </c>
      <c r="K5" s="51" t="s">
        <v>2237</v>
      </c>
      <c r="L5" s="47"/>
      <c r="M5" s="47"/>
      <c r="N5" s="47"/>
      <c r="O5" s="47"/>
      <c r="P5" s="47"/>
      <c r="Q5" s="47"/>
      <c r="R5" s="47"/>
      <c r="S5" s="47"/>
      <c r="T5" s="47"/>
      <c r="U5" s="47"/>
      <c r="V5" s="47"/>
      <c r="W5" s="47"/>
      <c r="X5" s="47"/>
      <c r="Y5" s="47"/>
      <c r="Z5" s="47"/>
    </row>
    <row r="6">
      <c r="A6" s="48">
        <v>1.0</v>
      </c>
      <c r="B6" s="49" t="s">
        <v>53</v>
      </c>
      <c r="C6" s="50" t="s">
        <v>595</v>
      </c>
      <c r="D6" s="49" t="s">
        <v>72</v>
      </c>
      <c r="E6" s="51" t="s">
        <v>155</v>
      </c>
      <c r="F6" s="51" t="s">
        <v>2257</v>
      </c>
      <c r="G6" s="51" t="s">
        <v>2235</v>
      </c>
      <c r="H6" s="51" t="s">
        <v>2235</v>
      </c>
      <c r="I6" s="51" t="s">
        <v>2236</v>
      </c>
      <c r="J6" s="51" t="s">
        <v>55</v>
      </c>
      <c r="K6" s="51" t="s">
        <v>2237</v>
      </c>
      <c r="L6" s="47"/>
      <c r="M6" s="47"/>
      <c r="N6" s="47"/>
      <c r="O6" s="47"/>
      <c r="P6" s="47"/>
      <c r="Q6" s="47"/>
      <c r="R6" s="47"/>
      <c r="S6" s="47"/>
      <c r="T6" s="47"/>
      <c r="U6" s="47"/>
      <c r="V6" s="47"/>
      <c r="W6" s="47"/>
      <c r="X6" s="47"/>
      <c r="Y6" s="47"/>
      <c r="Z6" s="47"/>
    </row>
    <row r="7">
      <c r="A7" s="48">
        <v>2.0</v>
      </c>
      <c r="B7" s="49" t="s">
        <v>313</v>
      </c>
      <c r="C7" s="50" t="s">
        <v>603</v>
      </c>
      <c r="D7" s="49" t="s">
        <v>548</v>
      </c>
      <c r="E7" s="51" t="s">
        <v>69</v>
      </c>
      <c r="F7" s="51" t="s">
        <v>2259</v>
      </c>
      <c r="G7" s="51" t="s">
        <v>2235</v>
      </c>
      <c r="H7" s="51" t="s">
        <v>2235</v>
      </c>
      <c r="I7" s="51" t="s">
        <v>2236</v>
      </c>
      <c r="J7" s="51" t="s">
        <v>685</v>
      </c>
      <c r="K7" s="51" t="s">
        <v>2260</v>
      </c>
      <c r="L7" s="47"/>
      <c r="M7" s="47"/>
      <c r="N7" s="47"/>
      <c r="O7" s="47"/>
      <c r="P7" s="47"/>
      <c r="Q7" s="47"/>
      <c r="R7" s="47"/>
      <c r="S7" s="47"/>
      <c r="T7" s="47"/>
      <c r="U7" s="47"/>
      <c r="V7" s="47"/>
      <c r="W7" s="47"/>
      <c r="X7" s="47"/>
      <c r="Y7" s="47"/>
      <c r="Z7" s="47"/>
    </row>
    <row r="8">
      <c r="A8" s="48">
        <v>2.0</v>
      </c>
      <c r="B8" s="49" t="s">
        <v>313</v>
      </c>
      <c r="C8" s="50" t="s">
        <v>603</v>
      </c>
      <c r="D8" s="49" t="s">
        <v>316</v>
      </c>
      <c r="E8" s="51" t="s">
        <v>155</v>
      </c>
      <c r="F8" s="51" t="s">
        <v>2267</v>
      </c>
      <c r="G8" s="51" t="s">
        <v>2235</v>
      </c>
      <c r="H8" s="51" t="s">
        <v>2235</v>
      </c>
      <c r="I8" s="51" t="s">
        <v>2236</v>
      </c>
      <c r="J8" s="51" t="s">
        <v>315</v>
      </c>
      <c r="K8" s="51" t="s">
        <v>2237</v>
      </c>
      <c r="L8" s="47"/>
      <c r="M8" s="47"/>
      <c r="N8" s="47"/>
      <c r="O8" s="47"/>
      <c r="P8" s="47"/>
      <c r="Q8" s="47"/>
      <c r="R8" s="47"/>
      <c r="S8" s="47"/>
      <c r="T8" s="47"/>
      <c r="U8" s="47"/>
      <c r="V8" s="47"/>
      <c r="W8" s="47"/>
      <c r="X8" s="47"/>
      <c r="Y8" s="47"/>
      <c r="Z8" s="47"/>
    </row>
    <row r="9">
      <c r="A9" s="48">
        <v>3.0</v>
      </c>
      <c r="B9" s="49" t="s">
        <v>316</v>
      </c>
      <c r="C9" s="50" t="s">
        <v>603</v>
      </c>
      <c r="D9" s="49" t="s">
        <v>548</v>
      </c>
      <c r="E9" s="51" t="s">
        <v>69</v>
      </c>
      <c r="F9" s="51" t="s">
        <v>2269</v>
      </c>
      <c r="G9" s="51" t="s">
        <v>2235</v>
      </c>
      <c r="H9" s="51" t="s">
        <v>2235</v>
      </c>
      <c r="I9" s="51" t="s">
        <v>2236</v>
      </c>
      <c r="J9" s="51" t="s">
        <v>749</v>
      </c>
      <c r="K9" s="51" t="s">
        <v>2260</v>
      </c>
      <c r="L9" s="47"/>
      <c r="M9" s="47"/>
      <c r="N9" s="47"/>
      <c r="O9" s="47"/>
      <c r="P9" s="47"/>
      <c r="Q9" s="47"/>
      <c r="R9" s="47"/>
      <c r="S9" s="47"/>
      <c r="T9" s="47"/>
      <c r="U9" s="47"/>
      <c r="V9" s="47"/>
      <c r="W9" s="47"/>
      <c r="X9" s="47"/>
      <c r="Y9" s="47"/>
      <c r="Z9" s="47"/>
    </row>
    <row r="10">
      <c r="A10" s="48">
        <v>3.0</v>
      </c>
      <c r="B10" s="49" t="s">
        <v>316</v>
      </c>
      <c r="C10" s="50" t="s">
        <v>603</v>
      </c>
      <c r="D10" s="49" t="s">
        <v>686</v>
      </c>
      <c r="E10" s="51" t="s">
        <v>69</v>
      </c>
      <c r="F10" s="51" t="s">
        <v>2278</v>
      </c>
      <c r="G10" s="51" t="s">
        <v>2235</v>
      </c>
      <c r="H10" s="51" t="s">
        <v>2235</v>
      </c>
      <c r="I10" s="51" t="s">
        <v>2236</v>
      </c>
      <c r="J10" s="51" t="s">
        <v>2281</v>
      </c>
      <c r="K10" s="51" t="s">
        <v>2282</v>
      </c>
      <c r="L10" s="47"/>
      <c r="M10" s="47"/>
      <c r="N10" s="47"/>
      <c r="O10" s="47"/>
      <c r="P10" s="47"/>
      <c r="Q10" s="47"/>
      <c r="R10" s="47"/>
      <c r="S10" s="47"/>
      <c r="T10" s="47"/>
      <c r="U10" s="47"/>
      <c r="V10" s="47"/>
      <c r="W10" s="47"/>
      <c r="X10" s="47"/>
      <c r="Y10" s="47"/>
      <c r="Z10" s="47"/>
    </row>
    <row r="11">
      <c r="A11" s="48">
        <v>3.0</v>
      </c>
      <c r="B11" s="49" t="s">
        <v>316</v>
      </c>
      <c r="C11" s="50" t="s">
        <v>603</v>
      </c>
      <c r="D11" s="49" t="s">
        <v>631</v>
      </c>
      <c r="E11" s="51" t="s">
        <v>69</v>
      </c>
      <c r="F11" s="51" t="s">
        <v>2285</v>
      </c>
      <c r="G11" s="51" t="s">
        <v>2235</v>
      </c>
      <c r="H11" s="51" t="s">
        <v>2235</v>
      </c>
      <c r="I11" s="51" t="s">
        <v>2236</v>
      </c>
      <c r="J11" s="51" t="s">
        <v>2286</v>
      </c>
      <c r="K11" s="51" t="s">
        <v>2287</v>
      </c>
      <c r="L11" s="47"/>
      <c r="M11" s="47"/>
      <c r="N11" s="47"/>
      <c r="O11" s="47"/>
      <c r="P11" s="47"/>
      <c r="Q11" s="47"/>
      <c r="R11" s="47"/>
      <c r="S11" s="47"/>
      <c r="T11" s="47"/>
      <c r="U11" s="47"/>
      <c r="V11" s="47"/>
      <c r="W11" s="47"/>
      <c r="X11" s="47"/>
      <c r="Y11" s="47"/>
      <c r="Z11" s="47"/>
    </row>
    <row r="12">
      <c r="A12" s="48">
        <v>3.0</v>
      </c>
      <c r="B12" s="49" t="s">
        <v>316</v>
      </c>
      <c r="C12" s="50" t="s">
        <v>603</v>
      </c>
      <c r="D12" s="49" t="s">
        <v>635</v>
      </c>
      <c r="E12" s="51" t="s">
        <v>155</v>
      </c>
      <c r="F12" s="51" t="s">
        <v>2293</v>
      </c>
      <c r="G12" s="51" t="s">
        <v>2235</v>
      </c>
      <c r="H12" s="51" t="s">
        <v>2235</v>
      </c>
      <c r="I12" s="51" t="s">
        <v>2236</v>
      </c>
      <c r="J12" s="51" t="s">
        <v>749</v>
      </c>
      <c r="K12" s="51" t="s">
        <v>2282</v>
      </c>
      <c r="L12" s="47"/>
      <c r="M12" s="47"/>
      <c r="N12" s="47"/>
      <c r="O12" s="47"/>
      <c r="P12" s="47"/>
      <c r="Q12" s="47"/>
      <c r="R12" s="47"/>
      <c r="S12" s="47"/>
      <c r="T12" s="47"/>
      <c r="U12" s="47"/>
      <c r="V12" s="47"/>
      <c r="W12" s="47"/>
      <c r="X12" s="47"/>
      <c r="Y12" s="47"/>
      <c r="Z12" s="47"/>
    </row>
    <row r="13">
      <c r="A13" s="48">
        <v>3.0</v>
      </c>
      <c r="B13" s="49" t="s">
        <v>316</v>
      </c>
      <c r="C13" s="50" t="s">
        <v>603</v>
      </c>
      <c r="D13" s="49" t="s">
        <v>709</v>
      </c>
      <c r="E13" s="51" t="s">
        <v>155</v>
      </c>
      <c r="F13" s="51" t="s">
        <v>2302</v>
      </c>
      <c r="G13" s="51" t="s">
        <v>2235</v>
      </c>
      <c r="H13" s="51" t="s">
        <v>2235</v>
      </c>
      <c r="I13" s="51" t="s">
        <v>2236</v>
      </c>
      <c r="J13" s="51" t="s">
        <v>2281</v>
      </c>
      <c r="K13" s="51" t="s">
        <v>2237</v>
      </c>
      <c r="L13" s="47"/>
      <c r="M13" s="47"/>
      <c r="N13" s="47"/>
      <c r="O13" s="47"/>
      <c r="P13" s="47"/>
      <c r="Q13" s="47"/>
      <c r="R13" s="47"/>
      <c r="S13" s="47"/>
      <c r="T13" s="47"/>
      <c r="U13" s="47"/>
      <c r="V13" s="47"/>
      <c r="W13" s="47"/>
      <c r="X13" s="47"/>
      <c r="Y13" s="47"/>
      <c r="Z13" s="47"/>
    </row>
    <row r="14">
      <c r="A14" s="48">
        <v>4.0</v>
      </c>
      <c r="B14" s="49" t="s">
        <v>640</v>
      </c>
      <c r="C14" s="50" t="s">
        <v>603</v>
      </c>
      <c r="D14" s="49" t="s">
        <v>726</v>
      </c>
      <c r="E14" s="51" t="s">
        <v>69</v>
      </c>
      <c r="F14" s="51" t="s">
        <v>2305</v>
      </c>
      <c r="G14" s="51" t="s">
        <v>2235</v>
      </c>
      <c r="H14" s="51" t="s">
        <v>2235</v>
      </c>
      <c r="I14" s="51" t="s">
        <v>2236</v>
      </c>
      <c r="J14" s="51" t="s">
        <v>725</v>
      </c>
      <c r="K14" s="51" t="s">
        <v>2287</v>
      </c>
      <c r="L14" s="47"/>
      <c r="M14" s="47"/>
      <c r="N14" s="47"/>
      <c r="O14" s="47"/>
      <c r="P14" s="47"/>
      <c r="Q14" s="47"/>
      <c r="R14" s="47"/>
      <c r="S14" s="47"/>
      <c r="T14" s="47"/>
      <c r="U14" s="47"/>
      <c r="V14" s="47"/>
      <c r="W14" s="47"/>
      <c r="X14" s="47"/>
      <c r="Y14" s="47"/>
      <c r="Z14" s="47"/>
    </row>
    <row r="15">
      <c r="A15" s="48">
        <v>4.0</v>
      </c>
      <c r="B15" s="49" t="s">
        <v>640</v>
      </c>
      <c r="C15" s="50" t="s">
        <v>603</v>
      </c>
      <c r="D15" s="49" t="s">
        <v>714</v>
      </c>
      <c r="E15" s="51" t="s">
        <v>69</v>
      </c>
      <c r="F15" s="51" t="s">
        <v>2310</v>
      </c>
      <c r="G15" s="51" t="s">
        <v>2235</v>
      </c>
      <c r="H15" s="51" t="s">
        <v>2235</v>
      </c>
      <c r="I15" s="51" t="s">
        <v>2236</v>
      </c>
      <c r="J15" s="51" t="s">
        <v>2312</v>
      </c>
      <c r="K15" s="51" t="s">
        <v>2287</v>
      </c>
      <c r="L15" s="47"/>
      <c r="M15" s="47"/>
      <c r="N15" s="47"/>
      <c r="O15" s="47"/>
      <c r="P15" s="47"/>
      <c r="Q15" s="47"/>
      <c r="R15" s="47"/>
      <c r="S15" s="47"/>
      <c r="T15" s="47"/>
      <c r="U15" s="47"/>
      <c r="V15" s="47"/>
      <c r="W15" s="47"/>
      <c r="X15" s="47"/>
      <c r="Y15" s="47"/>
      <c r="Z15" s="47"/>
    </row>
    <row r="16">
      <c r="A16" s="48">
        <v>4.0</v>
      </c>
      <c r="B16" s="49" t="s">
        <v>640</v>
      </c>
      <c r="C16" s="50" t="s">
        <v>603</v>
      </c>
      <c r="D16" s="49" t="s">
        <v>669</v>
      </c>
      <c r="E16" s="51" t="s">
        <v>69</v>
      </c>
      <c r="F16" s="51" t="s">
        <v>2319</v>
      </c>
      <c r="G16" s="51" t="s">
        <v>2235</v>
      </c>
      <c r="H16" s="51" t="s">
        <v>2235</v>
      </c>
      <c r="I16" s="51" t="s">
        <v>2236</v>
      </c>
      <c r="J16" s="51" t="s">
        <v>2320</v>
      </c>
      <c r="K16" s="51" t="s">
        <v>2237</v>
      </c>
      <c r="L16" s="47"/>
      <c r="M16" s="47"/>
      <c r="N16" s="47"/>
      <c r="O16" s="47"/>
      <c r="P16" s="47"/>
      <c r="Q16" s="47"/>
      <c r="R16" s="47"/>
      <c r="S16" s="47"/>
      <c r="T16" s="47"/>
      <c r="U16" s="47"/>
      <c r="V16" s="47"/>
      <c r="W16" s="47"/>
      <c r="X16" s="47"/>
      <c r="Y16" s="47"/>
      <c r="Z16" s="47"/>
    </row>
    <row r="17">
      <c r="A17" s="48">
        <v>4.0</v>
      </c>
      <c r="B17" s="49" t="s">
        <v>640</v>
      </c>
      <c r="C17" s="50" t="s">
        <v>603</v>
      </c>
      <c r="D17" s="49" t="s">
        <v>736</v>
      </c>
      <c r="E17" s="51" t="s">
        <v>155</v>
      </c>
      <c r="F17" s="51" t="s">
        <v>2328</v>
      </c>
      <c r="G17" s="51" t="s">
        <v>2235</v>
      </c>
      <c r="H17" s="51" t="s">
        <v>2235</v>
      </c>
      <c r="I17" s="51" t="s">
        <v>2236</v>
      </c>
      <c r="J17" s="51" t="s">
        <v>725</v>
      </c>
      <c r="K17" s="51" t="s">
        <v>2237</v>
      </c>
      <c r="L17" s="47"/>
      <c r="M17" s="47"/>
      <c r="N17" s="47"/>
      <c r="O17" s="47"/>
      <c r="P17" s="47"/>
      <c r="Q17" s="47"/>
      <c r="R17" s="47"/>
      <c r="S17" s="47"/>
      <c r="T17" s="47"/>
      <c r="U17" s="47"/>
      <c r="V17" s="47"/>
      <c r="W17" s="47"/>
      <c r="X17" s="47"/>
      <c r="Y17" s="47"/>
      <c r="Z17" s="47"/>
    </row>
    <row r="18">
      <c r="A18" s="48">
        <v>4.0</v>
      </c>
      <c r="B18" s="49" t="s">
        <v>640</v>
      </c>
      <c r="C18" s="50" t="s">
        <v>603</v>
      </c>
      <c r="D18" s="49" t="s">
        <v>852</v>
      </c>
      <c r="E18" s="51" t="s">
        <v>155</v>
      </c>
      <c r="F18" s="51" t="s">
        <v>2357</v>
      </c>
      <c r="G18" s="51" t="s">
        <v>2235</v>
      </c>
      <c r="H18" s="51" t="s">
        <v>2235</v>
      </c>
      <c r="I18" s="51" t="s">
        <v>2236</v>
      </c>
      <c r="J18" s="51" t="s">
        <v>2312</v>
      </c>
      <c r="K18" s="51" t="s">
        <v>2287</v>
      </c>
      <c r="L18" s="47"/>
      <c r="M18" s="47"/>
      <c r="N18" s="47"/>
      <c r="O18" s="47"/>
      <c r="P18" s="47"/>
      <c r="Q18" s="47"/>
      <c r="R18" s="47"/>
      <c r="S18" s="47"/>
      <c r="T18" s="47"/>
      <c r="U18" s="47"/>
      <c r="V18" s="47"/>
      <c r="W18" s="47"/>
      <c r="X18" s="47"/>
      <c r="Y18" s="47"/>
      <c r="Z18" s="47"/>
    </row>
    <row r="19">
      <c r="A19" s="48">
        <v>5.0</v>
      </c>
      <c r="B19" s="49" t="s">
        <v>753</v>
      </c>
      <c r="C19" s="50" t="s">
        <v>603</v>
      </c>
      <c r="D19" s="49" t="s">
        <v>776</v>
      </c>
      <c r="E19" s="51" t="s">
        <v>69</v>
      </c>
      <c r="F19" s="51" t="s">
        <v>2369</v>
      </c>
      <c r="G19" s="51" t="s">
        <v>2235</v>
      </c>
      <c r="H19" s="51" t="s">
        <v>2235</v>
      </c>
      <c r="I19" s="51" t="s">
        <v>2236</v>
      </c>
      <c r="J19" s="51" t="s">
        <v>815</v>
      </c>
      <c r="K19" s="51" t="s">
        <v>2287</v>
      </c>
      <c r="L19" s="47"/>
      <c r="M19" s="47"/>
      <c r="N19" s="47"/>
      <c r="O19" s="47"/>
      <c r="P19" s="47"/>
      <c r="Q19" s="47"/>
      <c r="R19" s="47"/>
      <c r="S19" s="47"/>
      <c r="T19" s="47"/>
      <c r="U19" s="47"/>
      <c r="V19" s="47"/>
      <c r="W19" s="47"/>
      <c r="X19" s="47"/>
      <c r="Y19" s="47"/>
      <c r="Z19" s="47"/>
    </row>
    <row r="20">
      <c r="A20" s="48">
        <v>5.0</v>
      </c>
      <c r="B20" s="49" t="s">
        <v>753</v>
      </c>
      <c r="C20" s="50" t="s">
        <v>603</v>
      </c>
      <c r="D20" s="49" t="s">
        <v>852</v>
      </c>
      <c r="E20" s="51" t="s">
        <v>69</v>
      </c>
      <c r="F20" s="51" t="s">
        <v>2370</v>
      </c>
      <c r="G20" s="51" t="s">
        <v>2235</v>
      </c>
      <c r="H20" s="51" t="s">
        <v>2235</v>
      </c>
      <c r="I20" s="51" t="s">
        <v>2236</v>
      </c>
      <c r="J20" s="51" t="s">
        <v>905</v>
      </c>
      <c r="K20" s="51" t="s">
        <v>2287</v>
      </c>
      <c r="L20" s="47"/>
      <c r="M20" s="47"/>
      <c r="N20" s="47"/>
      <c r="O20" s="47"/>
      <c r="P20" s="47"/>
      <c r="Q20" s="47"/>
      <c r="R20" s="47"/>
      <c r="S20" s="47"/>
      <c r="T20" s="47"/>
      <c r="U20" s="47"/>
      <c r="V20" s="47"/>
      <c r="W20" s="47"/>
      <c r="X20" s="47"/>
      <c r="Y20" s="47"/>
      <c r="Z20" s="47"/>
    </row>
    <row r="21">
      <c r="A21" s="48">
        <v>5.0</v>
      </c>
      <c r="B21" s="49" t="s">
        <v>753</v>
      </c>
      <c r="C21" s="50" t="s">
        <v>603</v>
      </c>
      <c r="D21" s="49" t="s">
        <v>2373</v>
      </c>
      <c r="E21" s="51" t="s">
        <v>155</v>
      </c>
      <c r="F21" s="51" t="s">
        <v>2378</v>
      </c>
      <c r="G21" s="51" t="s">
        <v>2235</v>
      </c>
      <c r="H21" s="51" t="s">
        <v>2235</v>
      </c>
      <c r="I21" s="51" t="s">
        <v>2236</v>
      </c>
      <c r="J21" s="51" t="s">
        <v>995</v>
      </c>
      <c r="K21" s="51" t="s">
        <v>2237</v>
      </c>
      <c r="L21" s="47"/>
      <c r="M21" s="47"/>
      <c r="N21" s="47"/>
      <c r="O21" s="47"/>
      <c r="P21" s="47"/>
      <c r="Q21" s="47"/>
      <c r="R21" s="47"/>
      <c r="S21" s="47"/>
      <c r="T21" s="47"/>
      <c r="U21" s="47"/>
      <c r="V21" s="47"/>
      <c r="W21" s="47"/>
      <c r="X21" s="47"/>
      <c r="Y21" s="47"/>
      <c r="Z21" s="47"/>
    </row>
    <row r="22">
      <c r="A22" s="48">
        <v>5.0</v>
      </c>
      <c r="B22" s="49" t="s">
        <v>753</v>
      </c>
      <c r="C22" s="50" t="s">
        <v>603</v>
      </c>
      <c r="D22" s="49" t="s">
        <v>584</v>
      </c>
      <c r="E22" s="51" t="s">
        <v>155</v>
      </c>
      <c r="F22" s="51" t="s">
        <v>2383</v>
      </c>
      <c r="G22" s="51" t="s">
        <v>2235</v>
      </c>
      <c r="H22" s="51" t="s">
        <v>2235</v>
      </c>
      <c r="I22" s="51" t="s">
        <v>2236</v>
      </c>
      <c r="J22" s="51" t="s">
        <v>815</v>
      </c>
      <c r="K22" s="51" t="s">
        <v>2287</v>
      </c>
      <c r="L22" s="47"/>
      <c r="M22" s="47"/>
      <c r="N22" s="47"/>
      <c r="O22" s="47"/>
      <c r="P22" s="47"/>
      <c r="Q22" s="47"/>
      <c r="R22" s="47"/>
      <c r="S22" s="47"/>
      <c r="T22" s="47"/>
      <c r="U22" s="47"/>
      <c r="V22" s="47"/>
      <c r="W22" s="47"/>
      <c r="X22" s="47"/>
      <c r="Y22" s="47"/>
      <c r="Z22" s="47"/>
    </row>
    <row r="23">
      <c r="A23" s="48">
        <v>6.0</v>
      </c>
      <c r="B23" s="49" t="s">
        <v>765</v>
      </c>
      <c r="C23" s="50" t="s">
        <v>603</v>
      </c>
      <c r="D23" s="49" t="s">
        <v>1029</v>
      </c>
      <c r="E23" s="51" t="s">
        <v>69</v>
      </c>
      <c r="F23" s="51" t="s">
        <v>2393</v>
      </c>
      <c r="G23" s="51" t="s">
        <v>2235</v>
      </c>
      <c r="H23" s="51" t="s">
        <v>2235</v>
      </c>
      <c r="I23" s="51" t="s">
        <v>2236</v>
      </c>
      <c r="J23" s="51" t="s">
        <v>842</v>
      </c>
      <c r="K23" s="51" t="s">
        <v>2237</v>
      </c>
      <c r="L23" s="47"/>
      <c r="M23" s="47"/>
      <c r="N23" s="47"/>
      <c r="O23" s="47"/>
      <c r="P23" s="47"/>
      <c r="Q23" s="47"/>
      <c r="R23" s="47"/>
      <c r="S23" s="47"/>
      <c r="T23" s="47"/>
      <c r="U23" s="47"/>
      <c r="V23" s="47"/>
      <c r="W23" s="47"/>
      <c r="X23" s="47"/>
      <c r="Y23" s="47"/>
      <c r="Z23" s="47"/>
    </row>
    <row r="24">
      <c r="A24" s="48">
        <v>6.0</v>
      </c>
      <c r="B24" s="49" t="s">
        <v>765</v>
      </c>
      <c r="C24" s="50" t="s">
        <v>603</v>
      </c>
      <c r="D24" s="49" t="s">
        <v>679</v>
      </c>
      <c r="E24" s="51" t="s">
        <v>69</v>
      </c>
      <c r="F24" s="51" t="s">
        <v>2397</v>
      </c>
      <c r="G24" s="51" t="s">
        <v>2235</v>
      </c>
      <c r="H24" s="51" t="s">
        <v>2235</v>
      </c>
      <c r="I24" s="51" t="s">
        <v>2236</v>
      </c>
      <c r="J24" s="51" t="s">
        <v>1014</v>
      </c>
      <c r="K24" s="51" t="s">
        <v>2398</v>
      </c>
      <c r="L24" s="47"/>
      <c r="M24" s="47"/>
      <c r="N24" s="47"/>
      <c r="O24" s="47"/>
      <c r="P24" s="47"/>
      <c r="Q24" s="47"/>
      <c r="R24" s="47"/>
      <c r="S24" s="47"/>
      <c r="T24" s="47"/>
      <c r="U24" s="47"/>
      <c r="V24" s="47"/>
      <c r="W24" s="47"/>
      <c r="X24" s="47"/>
      <c r="Y24" s="47"/>
      <c r="Z24" s="47"/>
    </row>
    <row r="25">
      <c r="A25" s="48">
        <v>6.0</v>
      </c>
      <c r="B25" s="49" t="s">
        <v>765</v>
      </c>
      <c r="C25" s="50" t="s">
        <v>603</v>
      </c>
      <c r="D25" s="49" t="s">
        <v>714</v>
      </c>
      <c r="E25" s="51" t="s">
        <v>155</v>
      </c>
      <c r="F25" s="51" t="s">
        <v>2399</v>
      </c>
      <c r="G25" s="51" t="s">
        <v>2235</v>
      </c>
      <c r="H25" s="51" t="s">
        <v>2235</v>
      </c>
      <c r="I25" s="51" t="s">
        <v>2236</v>
      </c>
      <c r="J25" s="51" t="s">
        <v>1009</v>
      </c>
      <c r="K25" s="51" t="s">
        <v>2287</v>
      </c>
      <c r="L25" s="47"/>
      <c r="M25" s="47"/>
      <c r="N25" s="47"/>
      <c r="O25" s="47"/>
      <c r="P25" s="47"/>
      <c r="Q25" s="47"/>
      <c r="R25" s="47"/>
      <c r="S25" s="47"/>
      <c r="T25" s="47"/>
      <c r="U25" s="47"/>
      <c r="V25" s="47"/>
      <c r="W25" s="47"/>
      <c r="X25" s="47"/>
      <c r="Y25" s="47"/>
      <c r="Z25" s="47"/>
    </row>
    <row r="26">
      <c r="A26" s="48">
        <v>6.0</v>
      </c>
      <c r="B26" s="49" t="s">
        <v>765</v>
      </c>
      <c r="C26" s="50" t="s">
        <v>603</v>
      </c>
      <c r="D26" s="49" t="s">
        <v>776</v>
      </c>
      <c r="E26" s="51" t="s">
        <v>155</v>
      </c>
      <c r="F26" s="51" t="s">
        <v>2404</v>
      </c>
      <c r="G26" s="51" t="s">
        <v>2235</v>
      </c>
      <c r="H26" s="51" t="s">
        <v>2235</v>
      </c>
      <c r="I26" s="51" t="s">
        <v>2236</v>
      </c>
      <c r="J26" s="51" t="s">
        <v>842</v>
      </c>
      <c r="K26" s="51" t="s">
        <v>2287</v>
      </c>
      <c r="L26" s="47"/>
      <c r="M26" s="47"/>
      <c r="N26" s="47"/>
      <c r="O26" s="47"/>
      <c r="P26" s="47"/>
      <c r="Q26" s="47"/>
      <c r="R26" s="47"/>
      <c r="S26" s="47"/>
      <c r="T26" s="47"/>
      <c r="U26" s="47"/>
      <c r="V26" s="47"/>
      <c r="W26" s="47"/>
      <c r="X26" s="47"/>
      <c r="Y26" s="47"/>
      <c r="Z26" s="47"/>
    </row>
    <row r="27">
      <c r="A27" s="48">
        <v>6.0</v>
      </c>
      <c r="B27" s="49" t="s">
        <v>765</v>
      </c>
      <c r="C27" s="50" t="s">
        <v>603</v>
      </c>
      <c r="D27" s="49" t="s">
        <v>1060</v>
      </c>
      <c r="E27" s="51" t="s">
        <v>155</v>
      </c>
      <c r="F27" s="51" t="s">
        <v>2409</v>
      </c>
      <c r="G27" s="51" t="s">
        <v>2235</v>
      </c>
      <c r="H27" s="51" t="s">
        <v>2235</v>
      </c>
      <c r="I27" s="51" t="s">
        <v>2236</v>
      </c>
      <c r="J27" s="51" t="s">
        <v>1014</v>
      </c>
      <c r="K27" s="51" t="s">
        <v>2237</v>
      </c>
      <c r="L27" s="47"/>
      <c r="M27" s="47"/>
      <c r="N27" s="47"/>
      <c r="O27" s="47"/>
      <c r="P27" s="47"/>
      <c r="Q27" s="47"/>
      <c r="R27" s="47"/>
      <c r="S27" s="47"/>
      <c r="T27" s="47"/>
      <c r="U27" s="47"/>
      <c r="V27" s="47"/>
      <c r="W27" s="47"/>
      <c r="X27" s="47"/>
      <c r="Y27" s="47"/>
      <c r="Z27" s="47"/>
    </row>
    <row r="28">
      <c r="A28" s="48">
        <v>7.0</v>
      </c>
      <c r="B28" s="49" t="s">
        <v>769</v>
      </c>
      <c r="C28" s="50" t="s">
        <v>603</v>
      </c>
      <c r="D28" s="49" t="s">
        <v>762</v>
      </c>
      <c r="E28" s="51" t="s">
        <v>69</v>
      </c>
      <c r="F28" s="51" t="s">
        <v>2417</v>
      </c>
      <c r="G28" s="51" t="s">
        <v>2235</v>
      </c>
      <c r="H28" s="51" t="s">
        <v>2235</v>
      </c>
      <c r="I28" s="51" t="s">
        <v>2236</v>
      </c>
      <c r="J28" s="51" t="s">
        <v>886</v>
      </c>
      <c r="K28" s="51" t="s">
        <v>2237</v>
      </c>
      <c r="L28" s="47"/>
      <c r="M28" s="47"/>
      <c r="N28" s="47"/>
      <c r="O28" s="47"/>
      <c r="P28" s="47"/>
      <c r="Q28" s="47"/>
      <c r="R28" s="47"/>
      <c r="S28" s="47"/>
      <c r="T28" s="47"/>
      <c r="U28" s="47"/>
      <c r="V28" s="47"/>
      <c r="W28" s="47"/>
      <c r="X28" s="47"/>
      <c r="Y28" s="47"/>
      <c r="Z28" s="47"/>
    </row>
    <row r="29">
      <c r="A29" s="48">
        <v>7.0</v>
      </c>
      <c r="B29" s="49" t="s">
        <v>769</v>
      </c>
      <c r="C29" s="50" t="s">
        <v>603</v>
      </c>
      <c r="D29" s="49" t="s">
        <v>793</v>
      </c>
      <c r="E29" s="51" t="s">
        <v>69</v>
      </c>
      <c r="F29" s="51" t="s">
        <v>2422</v>
      </c>
      <c r="G29" s="51" t="s">
        <v>2235</v>
      </c>
      <c r="H29" s="51" t="s">
        <v>2235</v>
      </c>
      <c r="I29" s="51" t="s">
        <v>2236</v>
      </c>
      <c r="J29" s="51" t="s">
        <v>1095</v>
      </c>
      <c r="K29" s="51" t="s">
        <v>2237</v>
      </c>
      <c r="L29" s="47"/>
      <c r="M29" s="47"/>
      <c r="N29" s="47"/>
      <c r="O29" s="47"/>
      <c r="P29" s="47"/>
      <c r="Q29" s="47"/>
      <c r="R29" s="47"/>
      <c r="S29" s="47"/>
      <c r="T29" s="47"/>
      <c r="U29" s="47"/>
      <c r="V29" s="47"/>
      <c r="W29" s="47"/>
      <c r="X29" s="47"/>
      <c r="Y29" s="47"/>
      <c r="Z29" s="47"/>
    </row>
    <row r="30">
      <c r="A30" s="48">
        <v>7.0</v>
      </c>
      <c r="B30" s="49" t="s">
        <v>769</v>
      </c>
      <c r="C30" s="50" t="s">
        <v>603</v>
      </c>
      <c r="D30" s="49" t="s">
        <v>785</v>
      </c>
      <c r="E30" s="51" t="s">
        <v>69</v>
      </c>
      <c r="F30" s="51" t="s">
        <v>2428</v>
      </c>
      <c r="G30" s="51" t="s">
        <v>2235</v>
      </c>
      <c r="H30" s="51" t="s">
        <v>2235</v>
      </c>
      <c r="I30" s="51" t="s">
        <v>2236</v>
      </c>
      <c r="J30" s="51" t="s">
        <v>2431</v>
      </c>
      <c r="K30" s="51" t="s">
        <v>2237</v>
      </c>
      <c r="L30" s="47"/>
      <c r="M30" s="47"/>
      <c r="N30" s="47"/>
      <c r="O30" s="47"/>
      <c r="P30" s="47"/>
      <c r="Q30" s="47"/>
      <c r="R30" s="47"/>
      <c r="S30" s="47"/>
      <c r="T30" s="47"/>
      <c r="U30" s="47"/>
      <c r="V30" s="47"/>
      <c r="W30" s="47"/>
      <c r="X30" s="47"/>
      <c r="Y30" s="47"/>
      <c r="Z30" s="47"/>
    </row>
    <row r="31">
      <c r="A31" s="48">
        <v>7.0</v>
      </c>
      <c r="B31" s="49" t="s">
        <v>769</v>
      </c>
      <c r="C31" s="50" t="s">
        <v>603</v>
      </c>
      <c r="D31" s="49" t="s">
        <v>719</v>
      </c>
      <c r="E31" s="51" t="s">
        <v>155</v>
      </c>
      <c r="F31" s="51" t="s">
        <v>2436</v>
      </c>
      <c r="G31" s="51" t="s">
        <v>2235</v>
      </c>
      <c r="H31" s="51" t="s">
        <v>2235</v>
      </c>
      <c r="I31" s="51" t="s">
        <v>2236</v>
      </c>
      <c r="J31" s="51" t="s">
        <v>886</v>
      </c>
      <c r="K31" s="51" t="s">
        <v>2398</v>
      </c>
      <c r="L31" s="47"/>
      <c r="M31" s="47"/>
      <c r="N31" s="47"/>
      <c r="O31" s="47"/>
      <c r="P31" s="47"/>
      <c r="Q31" s="47"/>
      <c r="R31" s="47"/>
      <c r="S31" s="47"/>
      <c r="T31" s="47"/>
      <c r="U31" s="47"/>
      <c r="V31" s="47"/>
      <c r="W31" s="47"/>
      <c r="X31" s="47"/>
      <c r="Y31" s="47"/>
      <c r="Z31" s="47"/>
    </row>
    <row r="32">
      <c r="A32" s="48">
        <v>8.0</v>
      </c>
      <c r="B32" s="49" t="s">
        <v>773</v>
      </c>
      <c r="C32" s="50" t="s">
        <v>603</v>
      </c>
      <c r="D32" s="49" t="s">
        <v>829</v>
      </c>
      <c r="E32" s="51" t="s">
        <v>69</v>
      </c>
      <c r="F32" s="51" t="s">
        <v>2444</v>
      </c>
      <c r="G32" s="51" t="s">
        <v>2235</v>
      </c>
      <c r="H32" s="51" t="s">
        <v>2235</v>
      </c>
      <c r="I32" s="51" t="s">
        <v>2236</v>
      </c>
      <c r="J32" s="51" t="s">
        <v>914</v>
      </c>
      <c r="K32" s="47"/>
      <c r="L32" s="47"/>
      <c r="M32" s="47"/>
      <c r="N32" s="47"/>
      <c r="O32" s="47"/>
      <c r="P32" s="47"/>
      <c r="Q32" s="47"/>
      <c r="R32" s="47"/>
      <c r="S32" s="47"/>
      <c r="T32" s="47"/>
      <c r="U32" s="47"/>
      <c r="V32" s="47"/>
      <c r="W32" s="47"/>
      <c r="X32" s="47"/>
      <c r="Y32" s="47"/>
      <c r="Z32" s="47"/>
    </row>
    <row r="33">
      <c r="A33" s="48">
        <v>8.0</v>
      </c>
      <c r="B33" s="49" t="s">
        <v>773</v>
      </c>
      <c r="C33" s="50" t="s">
        <v>603</v>
      </c>
      <c r="D33" s="49" t="s">
        <v>494</v>
      </c>
      <c r="E33" s="51" t="s">
        <v>69</v>
      </c>
      <c r="F33" s="51" t="s">
        <v>2445</v>
      </c>
      <c r="G33" s="51" t="s">
        <v>2235</v>
      </c>
      <c r="H33" s="51" t="s">
        <v>2235</v>
      </c>
      <c r="I33" s="51" t="s">
        <v>2236</v>
      </c>
      <c r="J33" s="51" t="s">
        <v>1197</v>
      </c>
      <c r="K33" s="51" t="s">
        <v>2237</v>
      </c>
      <c r="L33" s="47"/>
      <c r="M33" s="47"/>
      <c r="N33" s="47"/>
      <c r="O33" s="47"/>
      <c r="P33" s="47"/>
      <c r="Q33" s="47"/>
      <c r="R33" s="47"/>
      <c r="S33" s="47"/>
      <c r="T33" s="47"/>
      <c r="U33" s="47"/>
      <c r="V33" s="47"/>
      <c r="W33" s="47"/>
      <c r="X33" s="47"/>
      <c r="Y33" s="47"/>
      <c r="Z33" s="47"/>
    </row>
    <row r="34">
      <c r="A34" s="48">
        <v>8.0</v>
      </c>
      <c r="B34" s="49" t="s">
        <v>773</v>
      </c>
      <c r="C34" s="50" t="s">
        <v>603</v>
      </c>
      <c r="D34" s="49" t="s">
        <v>750</v>
      </c>
      <c r="E34" s="51" t="s">
        <v>69</v>
      </c>
      <c r="F34" s="51" t="s">
        <v>2446</v>
      </c>
      <c r="G34" s="51" t="s">
        <v>2235</v>
      </c>
      <c r="H34" s="51" t="s">
        <v>2235</v>
      </c>
      <c r="I34" s="51" t="s">
        <v>2236</v>
      </c>
      <c r="J34" s="51" t="s">
        <v>914</v>
      </c>
      <c r="K34" s="51" t="s">
        <v>2237</v>
      </c>
      <c r="L34" s="47"/>
      <c r="M34" s="47"/>
      <c r="N34" s="47"/>
      <c r="O34" s="47"/>
      <c r="P34" s="47"/>
      <c r="Q34" s="47"/>
      <c r="R34" s="47"/>
      <c r="S34" s="47"/>
      <c r="T34" s="47"/>
      <c r="U34" s="47"/>
      <c r="V34" s="47"/>
      <c r="W34" s="47"/>
      <c r="X34" s="47"/>
      <c r="Y34" s="47"/>
      <c r="Z34" s="47"/>
    </row>
    <row r="35">
      <c r="A35" s="48">
        <v>8.0</v>
      </c>
      <c r="B35" s="49" t="s">
        <v>773</v>
      </c>
      <c r="C35" s="50" t="s">
        <v>603</v>
      </c>
      <c r="D35" s="49" t="s">
        <v>705</v>
      </c>
      <c r="E35" s="51" t="s">
        <v>155</v>
      </c>
      <c r="F35" s="51" t="s">
        <v>2448</v>
      </c>
      <c r="G35" s="51" t="s">
        <v>2235</v>
      </c>
      <c r="H35" s="51" t="s">
        <v>2235</v>
      </c>
      <c r="I35" s="51" t="s">
        <v>2236</v>
      </c>
      <c r="J35" s="51" t="s">
        <v>1197</v>
      </c>
      <c r="K35" s="51" t="s">
        <v>2449</v>
      </c>
      <c r="L35" s="47"/>
      <c r="M35" s="47"/>
      <c r="N35" s="47"/>
      <c r="O35" s="47"/>
      <c r="P35" s="47"/>
      <c r="Q35" s="47"/>
      <c r="R35" s="47"/>
      <c r="S35" s="47"/>
      <c r="T35" s="47"/>
      <c r="U35" s="47"/>
      <c r="V35" s="47"/>
      <c r="W35" s="47"/>
      <c r="X35" s="47"/>
      <c r="Y35" s="47"/>
      <c r="Z35" s="47"/>
    </row>
    <row r="36">
      <c r="A36" s="48">
        <v>9.0</v>
      </c>
      <c r="B36" s="49" t="s">
        <v>758</v>
      </c>
      <c r="C36" s="50" t="s">
        <v>603</v>
      </c>
      <c r="D36" s="49" t="s">
        <v>726</v>
      </c>
      <c r="E36" s="51" t="s">
        <v>69</v>
      </c>
      <c r="F36" s="51" t="s">
        <v>2450</v>
      </c>
      <c r="G36" s="51" t="s">
        <v>2235</v>
      </c>
      <c r="H36" s="51" t="s">
        <v>2235</v>
      </c>
      <c r="I36" s="51" t="s">
        <v>2236</v>
      </c>
      <c r="J36" s="51" t="s">
        <v>942</v>
      </c>
      <c r="K36" s="51" t="s">
        <v>2287</v>
      </c>
      <c r="L36" s="47"/>
      <c r="M36" s="47"/>
      <c r="N36" s="47"/>
      <c r="O36" s="47"/>
      <c r="P36" s="47"/>
      <c r="Q36" s="47"/>
      <c r="R36" s="47"/>
      <c r="S36" s="47"/>
      <c r="T36" s="47"/>
      <c r="U36" s="47"/>
      <c r="V36" s="47"/>
      <c r="W36" s="47"/>
      <c r="X36" s="47"/>
      <c r="Y36" s="47"/>
      <c r="Z36" s="47"/>
    </row>
    <row r="37">
      <c r="A37" s="48">
        <v>9.0</v>
      </c>
      <c r="B37" s="49" t="s">
        <v>758</v>
      </c>
      <c r="C37" s="50" t="s">
        <v>603</v>
      </c>
      <c r="D37" s="49" t="s">
        <v>754</v>
      </c>
      <c r="E37" s="51" t="s">
        <v>69</v>
      </c>
      <c r="F37" s="51" t="s">
        <v>2455</v>
      </c>
      <c r="G37" s="51" t="s">
        <v>2235</v>
      </c>
      <c r="H37" s="51" t="s">
        <v>2235</v>
      </c>
      <c r="I37" s="51" t="s">
        <v>2236</v>
      </c>
      <c r="J37" s="51" t="s">
        <v>1247</v>
      </c>
      <c r="K37" s="51" t="s">
        <v>2237</v>
      </c>
      <c r="L37" s="47"/>
      <c r="M37" s="47"/>
      <c r="N37" s="47"/>
      <c r="O37" s="47"/>
      <c r="P37" s="47"/>
      <c r="Q37" s="47"/>
      <c r="R37" s="47"/>
      <c r="S37" s="47"/>
      <c r="T37" s="47"/>
      <c r="U37" s="47"/>
      <c r="V37" s="47"/>
      <c r="W37" s="47"/>
      <c r="X37" s="47"/>
      <c r="Y37" s="47"/>
      <c r="Z37" s="47"/>
    </row>
    <row r="38">
      <c r="A38" s="48">
        <v>9.0</v>
      </c>
      <c r="B38" s="49" t="s">
        <v>758</v>
      </c>
      <c r="C38" s="50" t="s">
        <v>603</v>
      </c>
      <c r="D38" s="49" t="s">
        <v>766</v>
      </c>
      <c r="E38" s="51" t="s">
        <v>155</v>
      </c>
      <c r="F38" s="51" t="s">
        <v>2461</v>
      </c>
      <c r="G38" s="51" t="s">
        <v>2235</v>
      </c>
      <c r="H38" s="51" t="s">
        <v>2235</v>
      </c>
      <c r="I38" s="51" t="s">
        <v>2236</v>
      </c>
      <c r="J38" s="51" t="s">
        <v>1251</v>
      </c>
      <c r="K38" s="51" t="s">
        <v>2237</v>
      </c>
      <c r="L38" s="47"/>
      <c r="M38" s="47"/>
      <c r="N38" s="47"/>
      <c r="O38" s="47"/>
      <c r="P38" s="47"/>
      <c r="Q38" s="47"/>
      <c r="R38" s="47"/>
      <c r="S38" s="47"/>
      <c r="T38" s="47"/>
      <c r="U38" s="47"/>
      <c r="V38" s="47"/>
      <c r="W38" s="47"/>
      <c r="X38" s="47"/>
      <c r="Y38" s="47"/>
      <c r="Z38" s="47"/>
    </row>
    <row r="39">
      <c r="A39" s="48">
        <v>9.0</v>
      </c>
      <c r="B39" s="49" t="s">
        <v>758</v>
      </c>
      <c r="C39" s="50" t="s">
        <v>603</v>
      </c>
      <c r="D39" s="49" t="s">
        <v>2462</v>
      </c>
      <c r="E39" s="51" t="s">
        <v>155</v>
      </c>
      <c r="F39" s="51" t="s">
        <v>2467</v>
      </c>
      <c r="G39" s="51" t="s">
        <v>2235</v>
      </c>
      <c r="H39" s="51" t="s">
        <v>2235</v>
      </c>
      <c r="I39" s="51" t="s">
        <v>2236</v>
      </c>
      <c r="J39" s="51" t="s">
        <v>942</v>
      </c>
      <c r="K39" s="51" t="s">
        <v>2237</v>
      </c>
      <c r="L39" s="47"/>
      <c r="M39" s="47"/>
      <c r="N39" s="47"/>
      <c r="O39" s="47"/>
      <c r="P39" s="47"/>
      <c r="Q39" s="47"/>
      <c r="R39" s="47"/>
      <c r="S39" s="47"/>
      <c r="T39" s="47"/>
      <c r="U39" s="47"/>
      <c r="V39" s="47"/>
      <c r="W39" s="47"/>
      <c r="X39" s="47"/>
      <c r="Y39" s="47"/>
      <c r="Z39" s="47"/>
    </row>
    <row r="40">
      <c r="A40" s="48">
        <v>10.0</v>
      </c>
      <c r="B40" s="49" t="s">
        <v>783</v>
      </c>
      <c r="C40" s="50" t="s">
        <v>655</v>
      </c>
      <c r="D40" s="49" t="s">
        <v>1353</v>
      </c>
      <c r="E40" s="51" t="s">
        <v>69</v>
      </c>
      <c r="F40" s="51" t="s">
        <v>2475</v>
      </c>
      <c r="G40" s="51" t="s">
        <v>2235</v>
      </c>
      <c r="H40" s="51" t="s">
        <v>2235</v>
      </c>
      <c r="I40" s="51" t="s">
        <v>2236</v>
      </c>
      <c r="J40" s="51" t="s">
        <v>977</v>
      </c>
      <c r="K40" s="51" t="s">
        <v>2237</v>
      </c>
      <c r="L40" s="47"/>
      <c r="M40" s="47"/>
      <c r="N40" s="47"/>
      <c r="O40" s="47"/>
      <c r="P40" s="47"/>
      <c r="Q40" s="47"/>
      <c r="R40" s="47"/>
      <c r="S40" s="47"/>
      <c r="T40" s="47"/>
      <c r="U40" s="47"/>
      <c r="V40" s="47"/>
      <c r="W40" s="47"/>
      <c r="X40" s="47"/>
      <c r="Y40" s="47"/>
      <c r="Z40" s="47"/>
    </row>
    <row r="41">
      <c r="A41" s="48">
        <v>10.0</v>
      </c>
      <c r="B41" s="49" t="s">
        <v>783</v>
      </c>
      <c r="C41" s="50" t="s">
        <v>655</v>
      </c>
      <c r="D41" s="49" t="s">
        <v>1327</v>
      </c>
      <c r="E41" s="51" t="s">
        <v>69</v>
      </c>
      <c r="F41" s="51" t="s">
        <v>2481</v>
      </c>
      <c r="G41" s="51" t="s">
        <v>2235</v>
      </c>
      <c r="H41" s="51" t="s">
        <v>2235</v>
      </c>
      <c r="I41" s="51" t="s">
        <v>2236</v>
      </c>
      <c r="J41" s="51" t="s">
        <v>2482</v>
      </c>
      <c r="K41" s="51" t="s">
        <v>2237</v>
      </c>
      <c r="L41" s="47"/>
      <c r="M41" s="47"/>
      <c r="N41" s="47"/>
      <c r="O41" s="47"/>
      <c r="P41" s="47"/>
      <c r="Q41" s="47"/>
      <c r="R41" s="47"/>
      <c r="S41" s="47"/>
      <c r="T41" s="47"/>
      <c r="U41" s="47"/>
      <c r="V41" s="47"/>
      <c r="W41" s="47"/>
      <c r="X41" s="47"/>
      <c r="Y41" s="47"/>
      <c r="Z41" s="47"/>
    </row>
    <row r="42">
      <c r="A42" s="48">
        <v>10.0</v>
      </c>
      <c r="B42" s="49" t="s">
        <v>783</v>
      </c>
      <c r="C42" s="50" t="s">
        <v>655</v>
      </c>
      <c r="D42" s="49" t="s">
        <v>1348</v>
      </c>
      <c r="E42" s="51" t="s">
        <v>69</v>
      </c>
      <c r="F42" s="51" t="s">
        <v>2488</v>
      </c>
      <c r="G42" s="51" t="s">
        <v>2235</v>
      </c>
      <c r="H42" s="51" t="s">
        <v>2235</v>
      </c>
      <c r="I42" s="51" t="s">
        <v>2236</v>
      </c>
      <c r="J42" s="51" t="s">
        <v>2489</v>
      </c>
      <c r="K42" s="51" t="s">
        <v>2237</v>
      </c>
      <c r="L42" s="47"/>
      <c r="M42" s="47"/>
      <c r="N42" s="47"/>
      <c r="O42" s="47"/>
      <c r="P42" s="47"/>
      <c r="Q42" s="47"/>
      <c r="R42" s="47"/>
      <c r="S42" s="47"/>
      <c r="T42" s="47"/>
      <c r="U42" s="47"/>
      <c r="V42" s="47"/>
      <c r="W42" s="47"/>
      <c r="X42" s="47"/>
      <c r="Y42" s="47"/>
      <c r="Z42" s="47"/>
    </row>
    <row r="43">
      <c r="A43" s="48">
        <v>10.0</v>
      </c>
      <c r="B43" s="49" t="s">
        <v>783</v>
      </c>
      <c r="C43" s="50" t="s">
        <v>655</v>
      </c>
      <c r="D43" s="49" t="s">
        <v>1318</v>
      </c>
      <c r="E43" s="51" t="s">
        <v>155</v>
      </c>
      <c r="F43" s="51" t="s">
        <v>2496</v>
      </c>
      <c r="G43" s="51" t="s">
        <v>2235</v>
      </c>
      <c r="H43" s="51" t="s">
        <v>2235</v>
      </c>
      <c r="I43" s="51" t="s">
        <v>2236</v>
      </c>
      <c r="J43" s="51" t="s">
        <v>977</v>
      </c>
      <c r="K43" s="51" t="s">
        <v>2237</v>
      </c>
      <c r="L43" s="47"/>
      <c r="M43" s="47"/>
      <c r="N43" s="47"/>
      <c r="O43" s="47"/>
      <c r="P43" s="47"/>
      <c r="Q43" s="47"/>
      <c r="R43" s="47"/>
      <c r="S43" s="47"/>
      <c r="T43" s="47"/>
      <c r="U43" s="47"/>
      <c r="V43" s="47"/>
      <c r="W43" s="47"/>
      <c r="X43" s="47"/>
      <c r="Y43" s="47"/>
      <c r="Z43" s="47"/>
    </row>
    <row r="44">
      <c r="A44" s="48">
        <v>10.0</v>
      </c>
      <c r="B44" s="49" t="s">
        <v>783</v>
      </c>
      <c r="C44" s="50" t="s">
        <v>655</v>
      </c>
      <c r="D44" s="49" t="s">
        <v>1323</v>
      </c>
      <c r="E44" s="51" t="s">
        <v>155</v>
      </c>
      <c r="F44" s="51" t="s">
        <v>2502</v>
      </c>
      <c r="G44" s="51" t="s">
        <v>2235</v>
      </c>
      <c r="H44" s="51" t="s">
        <v>2235</v>
      </c>
      <c r="I44" s="51" t="s">
        <v>2236</v>
      </c>
      <c r="J44" s="51" t="s">
        <v>2482</v>
      </c>
      <c r="K44" s="51" t="s">
        <v>2237</v>
      </c>
      <c r="L44" s="47"/>
      <c r="M44" s="47"/>
      <c r="N44" s="47"/>
      <c r="O44" s="47"/>
      <c r="P44" s="47"/>
      <c r="Q44" s="47"/>
      <c r="R44" s="47"/>
      <c r="S44" s="47"/>
      <c r="T44" s="47"/>
      <c r="U44" s="47"/>
      <c r="V44" s="47"/>
      <c r="W44" s="47"/>
      <c r="X44" s="47"/>
      <c r="Y44" s="47"/>
      <c r="Z44" s="47"/>
    </row>
    <row r="45">
      <c r="A45" s="48">
        <v>11.0</v>
      </c>
      <c r="B45" s="49" t="s">
        <v>654</v>
      </c>
      <c r="C45" s="50" t="s">
        <v>655</v>
      </c>
      <c r="D45" s="49" t="s">
        <v>910</v>
      </c>
      <c r="E45" s="51" t="s">
        <v>69</v>
      </c>
      <c r="F45" s="51" t="s">
        <v>2512</v>
      </c>
      <c r="G45" s="51" t="s">
        <v>2235</v>
      </c>
      <c r="H45" s="51" t="s">
        <v>2235</v>
      </c>
      <c r="I45" s="51" t="s">
        <v>2236</v>
      </c>
      <c r="J45" s="51" t="s">
        <v>1013</v>
      </c>
      <c r="K45" s="51" t="s">
        <v>2237</v>
      </c>
      <c r="L45" s="47"/>
      <c r="M45" s="47"/>
      <c r="N45" s="47"/>
      <c r="O45" s="47"/>
      <c r="P45" s="47"/>
      <c r="Q45" s="47"/>
      <c r="R45" s="47"/>
      <c r="S45" s="47"/>
      <c r="T45" s="47"/>
      <c r="U45" s="47"/>
      <c r="V45" s="47"/>
      <c r="W45" s="47"/>
      <c r="X45" s="47"/>
      <c r="Y45" s="47"/>
      <c r="Z45" s="47"/>
    </row>
    <row r="46">
      <c r="A46" s="48">
        <v>11.0</v>
      </c>
      <c r="B46" s="49" t="s">
        <v>654</v>
      </c>
      <c r="C46" s="50" t="s">
        <v>655</v>
      </c>
      <c r="D46" s="49" t="s">
        <v>1402</v>
      </c>
      <c r="E46" s="51" t="s">
        <v>69</v>
      </c>
      <c r="F46" s="51" t="s">
        <v>2517</v>
      </c>
      <c r="G46" s="51" t="s">
        <v>2235</v>
      </c>
      <c r="H46" s="51" t="s">
        <v>2235</v>
      </c>
      <c r="I46" s="51" t="s">
        <v>2236</v>
      </c>
      <c r="J46" s="51" t="s">
        <v>2518</v>
      </c>
      <c r="K46" s="51" t="s">
        <v>2237</v>
      </c>
      <c r="L46" s="47"/>
      <c r="M46" s="47"/>
      <c r="N46" s="47"/>
      <c r="O46" s="47"/>
      <c r="P46" s="47"/>
      <c r="Q46" s="47"/>
      <c r="R46" s="47"/>
      <c r="S46" s="47"/>
      <c r="T46" s="47"/>
      <c r="U46" s="47"/>
      <c r="V46" s="47"/>
      <c r="W46" s="47"/>
      <c r="X46" s="47"/>
      <c r="Y46" s="47"/>
      <c r="Z46" s="47"/>
    </row>
    <row r="47">
      <c r="A47" s="48">
        <v>11.0</v>
      </c>
      <c r="B47" s="49" t="s">
        <v>654</v>
      </c>
      <c r="C47" s="50" t="s">
        <v>655</v>
      </c>
      <c r="D47" s="49" t="s">
        <v>1373</v>
      </c>
      <c r="E47" s="51" t="s">
        <v>69</v>
      </c>
      <c r="F47" s="51" t="s">
        <v>2525</v>
      </c>
      <c r="G47" s="51" t="s">
        <v>2235</v>
      </c>
      <c r="H47" s="51" t="s">
        <v>2235</v>
      </c>
      <c r="I47" s="51" t="s">
        <v>2236</v>
      </c>
      <c r="J47" s="51" t="s">
        <v>2527</v>
      </c>
      <c r="K47" s="51" t="s">
        <v>2237</v>
      </c>
      <c r="L47" s="47"/>
      <c r="M47" s="47"/>
      <c r="N47" s="47"/>
      <c r="O47" s="47"/>
      <c r="P47" s="47"/>
      <c r="Q47" s="47"/>
      <c r="R47" s="47"/>
      <c r="S47" s="47"/>
      <c r="T47" s="47"/>
      <c r="U47" s="47"/>
      <c r="V47" s="47"/>
      <c r="W47" s="47"/>
      <c r="X47" s="47"/>
      <c r="Y47" s="47"/>
      <c r="Z47" s="47"/>
    </row>
    <row r="48">
      <c r="A48" s="48">
        <v>11.0</v>
      </c>
      <c r="B48" s="49" t="s">
        <v>654</v>
      </c>
      <c r="C48" s="50" t="s">
        <v>655</v>
      </c>
      <c r="D48" s="49" t="s">
        <v>1182</v>
      </c>
      <c r="E48" s="51" t="s">
        <v>155</v>
      </c>
      <c r="F48" s="51" t="s">
        <v>2528</v>
      </c>
      <c r="G48" s="51" t="s">
        <v>2235</v>
      </c>
      <c r="H48" s="51" t="s">
        <v>2235</v>
      </c>
      <c r="I48" s="51" t="s">
        <v>2236</v>
      </c>
      <c r="J48" s="51" t="s">
        <v>1013</v>
      </c>
      <c r="K48" s="51" t="s">
        <v>2237</v>
      </c>
      <c r="L48" s="47"/>
      <c r="M48" s="47"/>
      <c r="N48" s="47"/>
      <c r="O48" s="47"/>
      <c r="P48" s="47"/>
      <c r="Q48" s="47"/>
      <c r="R48" s="47"/>
      <c r="S48" s="47"/>
      <c r="T48" s="47"/>
      <c r="U48" s="47"/>
      <c r="V48" s="47"/>
      <c r="W48" s="47"/>
      <c r="X48" s="47"/>
      <c r="Y48" s="47"/>
      <c r="Z48" s="47"/>
    </row>
    <row r="49">
      <c r="A49" s="48">
        <v>11.0</v>
      </c>
      <c r="B49" s="49" t="s">
        <v>654</v>
      </c>
      <c r="C49" s="50" t="s">
        <v>655</v>
      </c>
      <c r="D49" s="49" t="s">
        <v>1416</v>
      </c>
      <c r="E49" s="51" t="s">
        <v>155</v>
      </c>
      <c r="F49" s="51" t="s">
        <v>2534</v>
      </c>
      <c r="G49" s="51" t="s">
        <v>2235</v>
      </c>
      <c r="H49" s="51" t="s">
        <v>2235</v>
      </c>
      <c r="I49" s="51" t="s">
        <v>2236</v>
      </c>
      <c r="J49" s="51" t="s">
        <v>2518</v>
      </c>
      <c r="K49" s="51" t="s">
        <v>2287</v>
      </c>
      <c r="L49" s="47"/>
      <c r="M49" s="47"/>
      <c r="N49" s="47"/>
      <c r="O49" s="47"/>
      <c r="P49" s="47"/>
      <c r="Q49" s="47"/>
      <c r="R49" s="47"/>
      <c r="S49" s="47"/>
      <c r="T49" s="47"/>
      <c r="U49" s="47"/>
      <c r="V49" s="47"/>
      <c r="W49" s="47"/>
      <c r="X49" s="47"/>
      <c r="Y49" s="47"/>
      <c r="Z49" s="47"/>
    </row>
    <row r="50">
      <c r="A50" s="48">
        <v>12.0</v>
      </c>
      <c r="B50" s="49" t="s">
        <v>474</v>
      </c>
      <c r="C50" s="50" t="s">
        <v>655</v>
      </c>
      <c r="D50" s="49" t="s">
        <v>686</v>
      </c>
      <c r="E50" s="51" t="s">
        <v>69</v>
      </c>
      <c r="F50" s="51" t="s">
        <v>2541</v>
      </c>
      <c r="G50" s="51" t="s">
        <v>2235</v>
      </c>
      <c r="H50" s="51" t="s">
        <v>2235</v>
      </c>
      <c r="I50" s="51" t="s">
        <v>2236</v>
      </c>
      <c r="J50" s="51" t="s">
        <v>1039</v>
      </c>
      <c r="K50" s="51" t="s">
        <v>2282</v>
      </c>
      <c r="L50" s="47"/>
      <c r="M50" s="47"/>
      <c r="N50" s="47"/>
      <c r="O50" s="47"/>
      <c r="P50" s="47"/>
      <c r="Q50" s="47"/>
      <c r="R50" s="47"/>
      <c r="S50" s="47"/>
      <c r="T50" s="47"/>
      <c r="U50" s="47"/>
      <c r="V50" s="47"/>
      <c r="W50" s="47"/>
      <c r="X50" s="47"/>
      <c r="Y50" s="47"/>
      <c r="Z50" s="47"/>
    </row>
    <row r="51">
      <c r="A51" s="48">
        <v>12.0</v>
      </c>
      <c r="B51" s="49" t="s">
        <v>474</v>
      </c>
      <c r="C51" s="50" t="s">
        <v>655</v>
      </c>
      <c r="D51" s="49" t="s">
        <v>635</v>
      </c>
      <c r="E51" s="51" t="s">
        <v>69</v>
      </c>
      <c r="F51" s="51" t="s">
        <v>2545</v>
      </c>
      <c r="G51" s="51" t="s">
        <v>2235</v>
      </c>
      <c r="H51" s="51" t="s">
        <v>2235</v>
      </c>
      <c r="I51" s="51" t="s">
        <v>2236</v>
      </c>
      <c r="J51" s="51" t="s">
        <v>2546</v>
      </c>
      <c r="K51" s="51" t="s">
        <v>2282</v>
      </c>
      <c r="L51" s="47"/>
      <c r="M51" s="47"/>
      <c r="N51" s="47"/>
      <c r="O51" s="47"/>
      <c r="P51" s="47"/>
      <c r="Q51" s="47"/>
      <c r="R51" s="47"/>
      <c r="S51" s="47"/>
      <c r="T51" s="47"/>
      <c r="U51" s="47"/>
      <c r="V51" s="47"/>
      <c r="W51" s="47"/>
      <c r="X51" s="47"/>
      <c r="Y51" s="47"/>
      <c r="Z51" s="47"/>
    </row>
    <row r="52">
      <c r="A52" s="48">
        <v>12.0</v>
      </c>
      <c r="B52" s="49" t="s">
        <v>474</v>
      </c>
      <c r="C52" s="50" t="s">
        <v>655</v>
      </c>
      <c r="D52" s="49" t="s">
        <v>695</v>
      </c>
      <c r="E52" s="51" t="s">
        <v>155</v>
      </c>
      <c r="F52" s="51" t="s">
        <v>2552</v>
      </c>
      <c r="G52" s="51" t="s">
        <v>2235</v>
      </c>
      <c r="H52" s="51" t="s">
        <v>2235</v>
      </c>
      <c r="I52" s="51" t="s">
        <v>2236</v>
      </c>
      <c r="J52" s="51" t="s">
        <v>2553</v>
      </c>
      <c r="K52" s="51" t="s">
        <v>2449</v>
      </c>
      <c r="L52" s="47"/>
      <c r="M52" s="47"/>
      <c r="N52" s="47"/>
      <c r="O52" s="47"/>
      <c r="P52" s="47"/>
      <c r="Q52" s="47"/>
      <c r="R52" s="47"/>
      <c r="S52" s="47"/>
      <c r="T52" s="47"/>
      <c r="U52" s="47"/>
      <c r="V52" s="47"/>
      <c r="W52" s="47"/>
      <c r="X52" s="47"/>
      <c r="Y52" s="47"/>
      <c r="Z52" s="47"/>
    </row>
    <row r="53">
      <c r="A53" s="48">
        <v>13.0</v>
      </c>
      <c r="B53" s="49" t="s">
        <v>792</v>
      </c>
      <c r="C53" s="50" t="s">
        <v>655</v>
      </c>
      <c r="D53" s="49" t="s">
        <v>1625</v>
      </c>
      <c r="E53" s="51" t="s">
        <v>69</v>
      </c>
      <c r="F53" s="51" t="s">
        <v>2560</v>
      </c>
      <c r="G53" s="51" t="s">
        <v>2235</v>
      </c>
      <c r="H53" s="51" t="s">
        <v>2235</v>
      </c>
      <c r="I53" s="51" t="s">
        <v>2236</v>
      </c>
      <c r="J53" s="51" t="s">
        <v>1080</v>
      </c>
      <c r="K53" s="51" t="s">
        <v>2237</v>
      </c>
      <c r="L53" s="47"/>
      <c r="M53" s="47"/>
      <c r="N53" s="47"/>
      <c r="O53" s="47"/>
      <c r="P53" s="47"/>
      <c r="Q53" s="47"/>
      <c r="R53" s="47"/>
      <c r="S53" s="47"/>
      <c r="T53" s="47"/>
      <c r="U53" s="47"/>
      <c r="V53" s="47"/>
      <c r="W53" s="47"/>
      <c r="X53" s="47"/>
      <c r="Y53" s="47"/>
      <c r="Z53" s="47"/>
    </row>
    <row r="54">
      <c r="A54" s="48">
        <v>13.0</v>
      </c>
      <c r="B54" s="49" t="s">
        <v>792</v>
      </c>
      <c r="C54" s="50" t="s">
        <v>655</v>
      </c>
      <c r="D54" s="49" t="s">
        <v>1650</v>
      </c>
      <c r="E54" s="51" t="s">
        <v>69</v>
      </c>
      <c r="F54" s="51" t="s">
        <v>2566</v>
      </c>
      <c r="G54" s="51" t="s">
        <v>2235</v>
      </c>
      <c r="H54" s="51" t="s">
        <v>2235</v>
      </c>
      <c r="I54" s="51" t="s">
        <v>2236</v>
      </c>
      <c r="J54" s="51" t="s">
        <v>2567</v>
      </c>
      <c r="K54" s="51" t="s">
        <v>2237</v>
      </c>
      <c r="L54" s="47"/>
      <c r="M54" s="47"/>
      <c r="N54" s="47"/>
      <c r="O54" s="47"/>
      <c r="P54" s="47"/>
      <c r="Q54" s="47"/>
      <c r="R54" s="47"/>
      <c r="S54" s="47"/>
      <c r="T54" s="47"/>
      <c r="U54" s="47"/>
      <c r="V54" s="47"/>
      <c r="W54" s="47"/>
      <c r="X54" s="47"/>
      <c r="Y54" s="47"/>
      <c r="Z54" s="47"/>
    </row>
    <row r="55">
      <c r="A55" s="48">
        <v>13.0</v>
      </c>
      <c r="B55" s="49" t="s">
        <v>792</v>
      </c>
      <c r="C55" s="50" t="s">
        <v>655</v>
      </c>
      <c r="D55" s="49" t="s">
        <v>1726</v>
      </c>
      <c r="E55" s="51" t="s">
        <v>155</v>
      </c>
      <c r="F55" s="51" t="s">
        <v>2575</v>
      </c>
      <c r="G55" s="51" t="s">
        <v>2235</v>
      </c>
      <c r="H55" s="51" t="s">
        <v>2235</v>
      </c>
      <c r="I55" s="51" t="s">
        <v>2236</v>
      </c>
      <c r="J55" s="51" t="s">
        <v>2576</v>
      </c>
      <c r="K55" s="51" t="s">
        <v>2287</v>
      </c>
      <c r="L55" s="47"/>
      <c r="M55" s="47"/>
      <c r="N55" s="47"/>
      <c r="O55" s="47"/>
      <c r="P55" s="47"/>
      <c r="Q55" s="47"/>
      <c r="R55" s="47"/>
      <c r="S55" s="47"/>
      <c r="T55" s="47"/>
      <c r="U55" s="47"/>
      <c r="V55" s="47"/>
      <c r="W55" s="47"/>
      <c r="X55" s="47"/>
      <c r="Y55" s="47"/>
      <c r="Z55" s="47"/>
    </row>
    <row r="56">
      <c r="A56" s="48">
        <v>13.0</v>
      </c>
      <c r="B56" s="49" t="s">
        <v>792</v>
      </c>
      <c r="C56" s="50" t="s">
        <v>655</v>
      </c>
      <c r="D56" s="49" t="s">
        <v>1675</v>
      </c>
      <c r="E56" s="51" t="s">
        <v>155</v>
      </c>
      <c r="F56" s="51" t="s">
        <v>2584</v>
      </c>
      <c r="G56" s="51" t="s">
        <v>2235</v>
      </c>
      <c r="H56" s="51" t="s">
        <v>2235</v>
      </c>
      <c r="I56" s="51" t="s">
        <v>2236</v>
      </c>
      <c r="J56" s="51" t="s">
        <v>1080</v>
      </c>
      <c r="K56" s="51" t="s">
        <v>2237</v>
      </c>
      <c r="L56" s="47"/>
      <c r="M56" s="47"/>
      <c r="N56" s="47"/>
      <c r="O56" s="47"/>
      <c r="P56" s="47"/>
      <c r="Q56" s="47"/>
      <c r="R56" s="47"/>
      <c r="S56" s="47"/>
      <c r="T56" s="47"/>
      <c r="U56" s="47"/>
      <c r="V56" s="47"/>
      <c r="W56" s="47"/>
      <c r="X56" s="47"/>
      <c r="Y56" s="47"/>
      <c r="Z56" s="47"/>
    </row>
    <row r="57">
      <c r="A57" s="48">
        <v>13.0</v>
      </c>
      <c r="B57" s="49" t="s">
        <v>792</v>
      </c>
      <c r="C57" s="50" t="s">
        <v>655</v>
      </c>
      <c r="D57" s="49" t="s">
        <v>1040</v>
      </c>
      <c r="E57" s="51" t="s">
        <v>155</v>
      </c>
      <c r="F57" s="51" t="s">
        <v>2592</v>
      </c>
      <c r="G57" s="51" t="s">
        <v>2235</v>
      </c>
      <c r="H57" s="51" t="s">
        <v>2235</v>
      </c>
      <c r="I57" s="51" t="s">
        <v>2236</v>
      </c>
      <c r="J57" s="51" t="s">
        <v>2567</v>
      </c>
      <c r="K57" s="51" t="s">
        <v>2237</v>
      </c>
      <c r="L57" s="47"/>
      <c r="M57" s="47"/>
      <c r="N57" s="47"/>
      <c r="O57" s="47"/>
      <c r="P57" s="47"/>
      <c r="Q57" s="47"/>
      <c r="R57" s="47"/>
      <c r="S57" s="47"/>
      <c r="T57" s="47"/>
      <c r="U57" s="47"/>
      <c r="V57" s="47"/>
      <c r="W57" s="47"/>
      <c r="X57" s="47"/>
      <c r="Y57" s="47"/>
      <c r="Z57" s="47"/>
    </row>
    <row r="58">
      <c r="A58" s="48">
        <v>14.0</v>
      </c>
      <c r="B58" s="49" t="s">
        <v>799</v>
      </c>
      <c r="C58" s="50" t="s">
        <v>655</v>
      </c>
      <c r="D58" s="49" t="s">
        <v>1748</v>
      </c>
      <c r="E58" s="51" t="s">
        <v>69</v>
      </c>
      <c r="F58" s="51" t="s">
        <v>2595</v>
      </c>
      <c r="G58" s="51" t="s">
        <v>2235</v>
      </c>
      <c r="H58" s="51" t="s">
        <v>2235</v>
      </c>
      <c r="I58" s="51" t="s">
        <v>2236</v>
      </c>
      <c r="J58" s="51" t="s">
        <v>1108</v>
      </c>
      <c r="K58" s="51" t="s">
        <v>2237</v>
      </c>
      <c r="L58" s="47"/>
      <c r="M58" s="47"/>
      <c r="N58" s="47"/>
      <c r="O58" s="47"/>
      <c r="P58" s="47"/>
      <c r="Q58" s="47"/>
      <c r="R58" s="47"/>
      <c r="S58" s="47"/>
      <c r="T58" s="47"/>
      <c r="U58" s="47"/>
      <c r="V58" s="47"/>
      <c r="W58" s="47"/>
      <c r="X58" s="47"/>
      <c r="Y58" s="47"/>
      <c r="Z58" s="47"/>
    </row>
    <row r="59">
      <c r="A59" s="48">
        <v>14.0</v>
      </c>
      <c r="B59" s="49" t="s">
        <v>799</v>
      </c>
      <c r="C59" s="50" t="s">
        <v>655</v>
      </c>
      <c r="D59" s="49" t="s">
        <v>2597</v>
      </c>
      <c r="E59" s="51" t="s">
        <v>69</v>
      </c>
      <c r="F59" s="51" t="s">
        <v>2599</v>
      </c>
      <c r="G59" s="51" t="s">
        <v>2235</v>
      </c>
      <c r="H59" s="51" t="s">
        <v>2235</v>
      </c>
      <c r="I59" s="51" t="s">
        <v>2236</v>
      </c>
      <c r="J59" s="51" t="s">
        <v>1733</v>
      </c>
      <c r="K59" s="51" t="s">
        <v>2237</v>
      </c>
      <c r="L59" s="47"/>
      <c r="M59" s="47"/>
      <c r="N59" s="47"/>
      <c r="O59" s="47"/>
      <c r="P59" s="47"/>
      <c r="Q59" s="47"/>
      <c r="R59" s="47"/>
      <c r="S59" s="47"/>
      <c r="T59" s="47"/>
      <c r="U59" s="47"/>
      <c r="V59" s="47"/>
      <c r="W59" s="47"/>
      <c r="X59" s="47"/>
      <c r="Y59" s="47"/>
      <c r="Z59" s="47"/>
    </row>
    <row r="60">
      <c r="A60" s="48">
        <v>14.0</v>
      </c>
      <c r="B60" s="49" t="s">
        <v>799</v>
      </c>
      <c r="C60" s="50" t="s">
        <v>655</v>
      </c>
      <c r="D60" s="49" t="s">
        <v>1716</v>
      </c>
      <c r="E60" s="51" t="s">
        <v>69</v>
      </c>
      <c r="F60" s="51" t="s">
        <v>2607</v>
      </c>
      <c r="G60" s="51" t="s">
        <v>2235</v>
      </c>
      <c r="H60" s="51" t="s">
        <v>2235</v>
      </c>
      <c r="I60" s="51" t="s">
        <v>2236</v>
      </c>
      <c r="J60" s="51" t="s">
        <v>2609</v>
      </c>
      <c r="K60" s="51" t="s">
        <v>2237</v>
      </c>
      <c r="L60" s="47"/>
      <c r="M60" s="47"/>
      <c r="N60" s="47"/>
      <c r="O60" s="47"/>
      <c r="P60" s="47"/>
      <c r="Q60" s="47"/>
      <c r="R60" s="47"/>
      <c r="S60" s="47"/>
      <c r="T60" s="47"/>
      <c r="U60" s="47"/>
      <c r="V60" s="47"/>
      <c r="W60" s="47"/>
      <c r="X60" s="47"/>
      <c r="Y60" s="47"/>
      <c r="Z60" s="47"/>
    </row>
    <row r="61">
      <c r="A61" s="48">
        <v>14.0</v>
      </c>
      <c r="B61" s="49" t="s">
        <v>799</v>
      </c>
      <c r="C61" s="50" t="s">
        <v>655</v>
      </c>
      <c r="D61" s="49" t="s">
        <v>1721</v>
      </c>
      <c r="E61" s="51" t="s">
        <v>69</v>
      </c>
      <c r="F61" s="51" t="s">
        <v>2613</v>
      </c>
      <c r="G61" s="51" t="s">
        <v>2235</v>
      </c>
      <c r="H61" s="51" t="s">
        <v>2235</v>
      </c>
      <c r="I61" s="51" t="s">
        <v>2236</v>
      </c>
      <c r="J61" s="51" t="s">
        <v>1108</v>
      </c>
      <c r="K61" s="51" t="s">
        <v>2237</v>
      </c>
      <c r="L61" s="47"/>
      <c r="M61" s="47"/>
      <c r="N61" s="47"/>
      <c r="O61" s="47"/>
      <c r="P61" s="47"/>
      <c r="Q61" s="47"/>
      <c r="R61" s="47"/>
      <c r="S61" s="47"/>
      <c r="T61" s="47"/>
      <c r="U61" s="47"/>
      <c r="V61" s="47"/>
      <c r="W61" s="47"/>
      <c r="X61" s="47"/>
      <c r="Y61" s="47"/>
      <c r="Z61" s="47"/>
    </row>
    <row r="62">
      <c r="A62" s="48">
        <v>14.0</v>
      </c>
      <c r="B62" s="49" t="s">
        <v>799</v>
      </c>
      <c r="C62" s="50" t="s">
        <v>655</v>
      </c>
      <c r="D62" s="49" t="s">
        <v>349</v>
      </c>
      <c r="E62" s="51" t="s">
        <v>155</v>
      </c>
      <c r="F62" s="51" t="s">
        <v>2621</v>
      </c>
      <c r="G62" s="51" t="s">
        <v>2235</v>
      </c>
      <c r="H62" s="51" t="s">
        <v>2235</v>
      </c>
      <c r="I62" s="51" t="s">
        <v>2236</v>
      </c>
      <c r="J62" s="51" t="s">
        <v>1733</v>
      </c>
      <c r="K62" s="51" t="s">
        <v>2237</v>
      </c>
      <c r="L62" s="47"/>
      <c r="M62" s="47"/>
      <c r="N62" s="47"/>
      <c r="O62" s="47"/>
      <c r="P62" s="47"/>
      <c r="Q62" s="47"/>
      <c r="R62" s="47"/>
      <c r="S62" s="47"/>
      <c r="T62" s="47"/>
      <c r="U62" s="47"/>
      <c r="V62" s="47"/>
      <c r="W62" s="47"/>
      <c r="X62" s="47"/>
      <c r="Y62" s="47"/>
      <c r="Z62" s="47"/>
    </row>
    <row r="63">
      <c r="A63" s="48">
        <v>15.0</v>
      </c>
      <c r="B63" s="49" t="s">
        <v>810</v>
      </c>
      <c r="C63" s="50" t="s">
        <v>655</v>
      </c>
      <c r="D63" s="49" t="s">
        <v>1276</v>
      </c>
      <c r="E63" s="51" t="s">
        <v>69</v>
      </c>
      <c r="F63" s="51" t="s">
        <v>2629</v>
      </c>
      <c r="G63" s="51" t="s">
        <v>2235</v>
      </c>
      <c r="H63" s="51" t="s">
        <v>2235</v>
      </c>
      <c r="I63" s="51" t="s">
        <v>2236</v>
      </c>
      <c r="J63" s="51" t="s">
        <v>1131</v>
      </c>
      <c r="K63" s="51" t="s">
        <v>2237</v>
      </c>
      <c r="L63" s="47"/>
      <c r="M63" s="47"/>
      <c r="N63" s="47"/>
      <c r="O63" s="47"/>
      <c r="P63" s="47"/>
      <c r="Q63" s="47"/>
      <c r="R63" s="47"/>
      <c r="S63" s="47"/>
      <c r="T63" s="47"/>
      <c r="U63" s="47"/>
      <c r="V63" s="47"/>
      <c r="W63" s="47"/>
      <c r="X63" s="47"/>
      <c r="Y63" s="47"/>
      <c r="Z63" s="47"/>
    </row>
    <row r="64">
      <c r="A64" s="48">
        <v>15.0</v>
      </c>
      <c r="B64" s="49" t="s">
        <v>810</v>
      </c>
      <c r="C64" s="50" t="s">
        <v>655</v>
      </c>
      <c r="D64" s="49" t="s">
        <v>1847</v>
      </c>
      <c r="E64" s="51" t="s">
        <v>69</v>
      </c>
      <c r="F64" s="51" t="s">
        <v>2633</v>
      </c>
      <c r="G64" s="51" t="s">
        <v>2235</v>
      </c>
      <c r="H64" s="51" t="s">
        <v>2235</v>
      </c>
      <c r="I64" s="51" t="s">
        <v>2236</v>
      </c>
      <c r="J64" s="51" t="s">
        <v>1846</v>
      </c>
      <c r="K64" s="51" t="s">
        <v>2237</v>
      </c>
      <c r="L64" s="47"/>
      <c r="M64" s="47"/>
      <c r="N64" s="47"/>
      <c r="O64" s="47"/>
      <c r="P64" s="47"/>
      <c r="Q64" s="47"/>
      <c r="R64" s="47"/>
      <c r="S64" s="47"/>
      <c r="T64" s="47"/>
      <c r="U64" s="47"/>
      <c r="V64" s="47"/>
      <c r="W64" s="47"/>
      <c r="X64" s="47"/>
      <c r="Y64" s="47"/>
      <c r="Z64" s="47"/>
    </row>
    <row r="65">
      <c r="A65" s="48">
        <v>15.0</v>
      </c>
      <c r="B65" s="49" t="s">
        <v>810</v>
      </c>
      <c r="C65" s="50" t="s">
        <v>655</v>
      </c>
      <c r="D65" s="49" t="s">
        <v>1836</v>
      </c>
      <c r="E65" s="51" t="s">
        <v>155</v>
      </c>
      <c r="F65" s="51" t="s">
        <v>2640</v>
      </c>
      <c r="G65" s="51" t="s">
        <v>2235</v>
      </c>
      <c r="H65" s="51" t="s">
        <v>2235</v>
      </c>
      <c r="I65" s="51" t="s">
        <v>2236</v>
      </c>
      <c r="J65" s="51" t="s">
        <v>1131</v>
      </c>
      <c r="K65" s="51" t="s">
        <v>2237</v>
      </c>
      <c r="L65" s="47"/>
      <c r="M65" s="47"/>
      <c r="N65" s="47"/>
      <c r="O65" s="47"/>
      <c r="P65" s="47"/>
      <c r="Q65" s="47"/>
      <c r="R65" s="47"/>
      <c r="S65" s="47"/>
      <c r="T65" s="47"/>
      <c r="U65" s="47"/>
      <c r="V65" s="47"/>
      <c r="W65" s="47"/>
      <c r="X65" s="47"/>
      <c r="Y65" s="47"/>
      <c r="Z65" s="47"/>
    </row>
    <row r="66">
      <c r="A66" s="48">
        <v>16.0</v>
      </c>
      <c r="B66" s="49" t="s">
        <v>823</v>
      </c>
      <c r="C66" s="50" t="s">
        <v>655</v>
      </c>
      <c r="D66" s="49" t="s">
        <v>1621</v>
      </c>
      <c r="E66" s="51" t="s">
        <v>69</v>
      </c>
      <c r="F66" s="51" t="s">
        <v>2650</v>
      </c>
      <c r="G66" s="51" t="s">
        <v>2235</v>
      </c>
      <c r="H66" s="51" t="s">
        <v>2235</v>
      </c>
      <c r="I66" s="51" t="s">
        <v>2236</v>
      </c>
      <c r="J66" s="51" t="s">
        <v>1157</v>
      </c>
      <c r="K66" s="51" t="s">
        <v>2237</v>
      </c>
      <c r="L66" s="47"/>
      <c r="M66" s="47"/>
      <c r="N66" s="47"/>
      <c r="O66" s="47"/>
      <c r="P66" s="47"/>
      <c r="Q66" s="47"/>
      <c r="R66" s="47"/>
      <c r="S66" s="47"/>
      <c r="T66" s="47"/>
      <c r="U66" s="47"/>
      <c r="V66" s="47"/>
      <c r="W66" s="47"/>
      <c r="X66" s="47"/>
      <c r="Y66" s="47"/>
      <c r="Z66" s="47"/>
    </row>
    <row r="67">
      <c r="A67" s="48">
        <v>16.0</v>
      </c>
      <c r="B67" s="49" t="s">
        <v>823</v>
      </c>
      <c r="C67" s="50" t="s">
        <v>655</v>
      </c>
      <c r="D67" s="49" t="s">
        <v>2654</v>
      </c>
      <c r="E67" s="51" t="s">
        <v>69</v>
      </c>
      <c r="F67" s="51" t="s">
        <v>2660</v>
      </c>
      <c r="G67" s="51" t="s">
        <v>2235</v>
      </c>
      <c r="H67" s="51" t="s">
        <v>2235</v>
      </c>
      <c r="I67" s="51" t="s">
        <v>2236</v>
      </c>
      <c r="J67" s="51" t="s">
        <v>1967</v>
      </c>
      <c r="K67" s="51" t="s">
        <v>2237</v>
      </c>
      <c r="L67" s="47"/>
      <c r="M67" s="47"/>
      <c r="N67" s="47"/>
      <c r="O67" s="47"/>
      <c r="P67" s="47"/>
      <c r="Q67" s="47"/>
      <c r="R67" s="47"/>
      <c r="S67" s="47"/>
      <c r="T67" s="47"/>
      <c r="U67" s="47"/>
      <c r="V67" s="47"/>
      <c r="W67" s="47"/>
      <c r="X67" s="47"/>
      <c r="Y67" s="47"/>
      <c r="Z67" s="47"/>
    </row>
    <row r="68">
      <c r="A68" s="48">
        <v>16.0</v>
      </c>
      <c r="B68" s="49" t="s">
        <v>823</v>
      </c>
      <c r="C68" s="50" t="s">
        <v>655</v>
      </c>
      <c r="D68" s="49" t="s">
        <v>1726</v>
      </c>
      <c r="E68" s="51" t="s">
        <v>69</v>
      </c>
      <c r="F68" s="51" t="s">
        <v>2666</v>
      </c>
      <c r="G68" s="51" t="s">
        <v>2235</v>
      </c>
      <c r="H68" s="51" t="s">
        <v>2235</v>
      </c>
      <c r="I68" s="51" t="s">
        <v>2236</v>
      </c>
      <c r="J68" s="51" t="s">
        <v>1989</v>
      </c>
      <c r="K68" s="51" t="s">
        <v>2287</v>
      </c>
      <c r="L68" s="47"/>
      <c r="M68" s="47"/>
      <c r="N68" s="47"/>
      <c r="O68" s="47"/>
      <c r="P68" s="47"/>
      <c r="Q68" s="47"/>
      <c r="R68" s="47"/>
      <c r="S68" s="47"/>
      <c r="T68" s="47"/>
      <c r="U68" s="47"/>
      <c r="V68" s="47"/>
      <c r="W68" s="47"/>
      <c r="X68" s="47"/>
      <c r="Y68" s="47"/>
      <c r="Z68" s="47"/>
    </row>
    <row r="69">
      <c r="A69" s="48">
        <v>16.0</v>
      </c>
      <c r="B69" s="49" t="s">
        <v>823</v>
      </c>
      <c r="C69" s="50" t="s">
        <v>655</v>
      </c>
      <c r="D69" s="49" t="s">
        <v>1993</v>
      </c>
      <c r="E69" s="51" t="s">
        <v>69</v>
      </c>
      <c r="F69" s="51" t="s">
        <v>2680</v>
      </c>
      <c r="G69" s="51" t="s">
        <v>2235</v>
      </c>
      <c r="H69" s="51" t="s">
        <v>2235</v>
      </c>
      <c r="I69" s="51" t="s">
        <v>2236</v>
      </c>
      <c r="J69" s="51" t="s">
        <v>1157</v>
      </c>
      <c r="K69" s="51" t="s">
        <v>2237</v>
      </c>
      <c r="L69" s="47"/>
      <c r="M69" s="47"/>
      <c r="N69" s="47"/>
      <c r="O69" s="47"/>
      <c r="P69" s="47"/>
      <c r="Q69" s="47"/>
      <c r="R69" s="47"/>
      <c r="S69" s="47"/>
      <c r="T69" s="47"/>
      <c r="U69" s="47"/>
      <c r="V69" s="47"/>
      <c r="W69" s="47"/>
      <c r="X69" s="47"/>
      <c r="Y69" s="47"/>
      <c r="Z69" s="47"/>
    </row>
    <row r="70">
      <c r="A70" s="48">
        <v>16.0</v>
      </c>
      <c r="B70" s="49" t="s">
        <v>823</v>
      </c>
      <c r="C70" s="50" t="s">
        <v>655</v>
      </c>
      <c r="D70" s="49" t="s">
        <v>1962</v>
      </c>
      <c r="E70" s="51" t="s">
        <v>155</v>
      </c>
      <c r="F70" s="51" t="s">
        <v>2697</v>
      </c>
      <c r="G70" s="51" t="s">
        <v>2235</v>
      </c>
      <c r="H70" s="51" t="s">
        <v>2235</v>
      </c>
      <c r="I70" s="51" t="s">
        <v>2236</v>
      </c>
      <c r="J70" s="51" t="s">
        <v>1967</v>
      </c>
      <c r="K70" s="51" t="s">
        <v>2237</v>
      </c>
      <c r="L70" s="47"/>
      <c r="M70" s="47"/>
      <c r="N70" s="47"/>
      <c r="O70" s="47"/>
      <c r="P70" s="47"/>
      <c r="Q70" s="47"/>
      <c r="R70" s="47"/>
      <c r="S70" s="47"/>
      <c r="T70" s="47"/>
      <c r="U70" s="47"/>
      <c r="V70" s="47"/>
      <c r="W70" s="47"/>
      <c r="X70" s="47"/>
      <c r="Y70" s="47"/>
      <c r="Z70" s="47"/>
    </row>
    <row r="71">
      <c r="A71" s="48">
        <v>17.0</v>
      </c>
      <c r="B71" s="49" t="s">
        <v>834</v>
      </c>
      <c r="C71" s="50" t="s">
        <v>655</v>
      </c>
      <c r="D71" s="49" t="s">
        <v>2053</v>
      </c>
      <c r="E71" s="51" t="s">
        <v>69</v>
      </c>
      <c r="F71" s="51" t="s">
        <v>2707</v>
      </c>
      <c r="G71" s="51" t="s">
        <v>2235</v>
      </c>
      <c r="H71" s="51" t="s">
        <v>2235</v>
      </c>
      <c r="I71" s="51" t="s">
        <v>2236</v>
      </c>
      <c r="J71" s="51" t="s">
        <v>1169</v>
      </c>
      <c r="K71" s="51" t="s">
        <v>2237</v>
      </c>
      <c r="L71" s="47"/>
      <c r="M71" s="47"/>
      <c r="N71" s="47"/>
      <c r="O71" s="47"/>
      <c r="P71" s="47"/>
      <c r="Q71" s="47"/>
      <c r="R71" s="47"/>
      <c r="S71" s="47"/>
      <c r="T71" s="47"/>
      <c r="U71" s="47"/>
      <c r="V71" s="47"/>
      <c r="W71" s="47"/>
      <c r="X71" s="47"/>
      <c r="Y71" s="47"/>
      <c r="Z71" s="47"/>
    </row>
    <row r="72">
      <c r="A72" s="48">
        <v>17.0</v>
      </c>
      <c r="B72" s="49" t="s">
        <v>834</v>
      </c>
      <c r="C72" s="50" t="s">
        <v>655</v>
      </c>
      <c r="D72" s="49" t="s">
        <v>1906</v>
      </c>
      <c r="E72" s="51" t="s">
        <v>69</v>
      </c>
      <c r="F72" s="51" t="s">
        <v>2710</v>
      </c>
      <c r="G72" s="51" t="s">
        <v>2235</v>
      </c>
      <c r="H72" s="51" t="s">
        <v>2235</v>
      </c>
      <c r="I72" s="51" t="s">
        <v>2236</v>
      </c>
      <c r="J72" s="51" t="s">
        <v>2052</v>
      </c>
      <c r="K72" s="51" t="s">
        <v>2237</v>
      </c>
      <c r="L72" s="47"/>
      <c r="M72" s="47"/>
      <c r="N72" s="47"/>
      <c r="O72" s="47"/>
      <c r="P72" s="47"/>
      <c r="Q72" s="47"/>
      <c r="R72" s="47"/>
      <c r="S72" s="47"/>
      <c r="T72" s="47"/>
      <c r="U72" s="47"/>
      <c r="V72" s="47"/>
      <c r="W72" s="47"/>
      <c r="X72" s="47"/>
      <c r="Y72" s="47"/>
      <c r="Z72" s="47"/>
    </row>
    <row r="73">
      <c r="A73" s="48">
        <v>17.0</v>
      </c>
      <c r="B73" s="49" t="s">
        <v>834</v>
      </c>
      <c r="C73" s="50" t="s">
        <v>655</v>
      </c>
      <c r="D73" s="49" t="s">
        <v>1817</v>
      </c>
      <c r="E73" s="51" t="s">
        <v>155</v>
      </c>
      <c r="F73" s="51" t="s">
        <v>2711</v>
      </c>
      <c r="G73" s="51" t="s">
        <v>2235</v>
      </c>
      <c r="H73" s="51" t="s">
        <v>2235</v>
      </c>
      <c r="I73" s="51" t="s">
        <v>2236</v>
      </c>
      <c r="J73" s="51" t="s">
        <v>1169</v>
      </c>
      <c r="K73" s="51" t="s">
        <v>2237</v>
      </c>
      <c r="L73" s="47"/>
      <c r="M73" s="47"/>
      <c r="N73" s="47"/>
      <c r="O73" s="47"/>
      <c r="P73" s="47"/>
      <c r="Q73" s="47"/>
      <c r="R73" s="47"/>
      <c r="S73" s="47"/>
      <c r="T73" s="47"/>
      <c r="U73" s="47"/>
      <c r="V73" s="47"/>
      <c r="W73" s="47"/>
      <c r="X73" s="47"/>
      <c r="Y73" s="47"/>
      <c r="Z73" s="47"/>
    </row>
    <row r="74">
      <c r="A74" s="48">
        <v>18.0</v>
      </c>
      <c r="B74" s="49" t="s">
        <v>835</v>
      </c>
      <c r="C74" s="50" t="s">
        <v>655</v>
      </c>
      <c r="D74" s="49" t="s">
        <v>2088</v>
      </c>
      <c r="E74" s="51" t="s">
        <v>69</v>
      </c>
      <c r="F74" s="51" t="s">
        <v>2716</v>
      </c>
      <c r="G74" s="51" t="s">
        <v>2235</v>
      </c>
      <c r="H74" s="51" t="s">
        <v>2235</v>
      </c>
      <c r="I74" s="51" t="s">
        <v>2236</v>
      </c>
      <c r="J74" s="51" t="s">
        <v>1196</v>
      </c>
      <c r="K74" s="51" t="s">
        <v>2237</v>
      </c>
      <c r="L74" s="47"/>
      <c r="M74" s="47"/>
      <c r="N74" s="47"/>
      <c r="O74" s="47"/>
      <c r="P74" s="47"/>
      <c r="Q74" s="47"/>
      <c r="R74" s="47"/>
      <c r="S74" s="47"/>
      <c r="T74" s="47"/>
      <c r="U74" s="47"/>
      <c r="V74" s="47"/>
      <c r="W74" s="47"/>
      <c r="X74" s="47"/>
      <c r="Y74" s="47"/>
      <c r="Z74" s="47"/>
    </row>
    <row r="75">
      <c r="A75" s="48">
        <v>18.0</v>
      </c>
      <c r="B75" s="49" t="s">
        <v>835</v>
      </c>
      <c r="C75" s="50" t="s">
        <v>655</v>
      </c>
      <c r="D75" s="49" t="s">
        <v>2719</v>
      </c>
      <c r="E75" s="51" t="s">
        <v>69</v>
      </c>
      <c r="F75" s="51" t="s">
        <v>2725</v>
      </c>
      <c r="G75" s="51" t="s">
        <v>2235</v>
      </c>
      <c r="H75" s="51" t="s">
        <v>2235</v>
      </c>
      <c r="I75" s="51" t="s">
        <v>2236</v>
      </c>
      <c r="J75" s="51" t="s">
        <v>2137</v>
      </c>
      <c r="K75" s="51" t="s">
        <v>2237</v>
      </c>
      <c r="L75" s="47"/>
      <c r="M75" s="47"/>
      <c r="N75" s="47"/>
      <c r="O75" s="47"/>
      <c r="P75" s="47"/>
      <c r="Q75" s="47"/>
      <c r="R75" s="47"/>
      <c r="S75" s="47"/>
      <c r="T75" s="47"/>
      <c r="U75" s="47"/>
      <c r="V75" s="47"/>
      <c r="W75" s="47"/>
      <c r="X75" s="47"/>
      <c r="Y75" s="47"/>
      <c r="Z75" s="47"/>
    </row>
    <row r="76">
      <c r="A76" s="48">
        <v>18.0</v>
      </c>
      <c r="B76" s="49" t="s">
        <v>835</v>
      </c>
      <c r="C76" s="50" t="s">
        <v>655</v>
      </c>
      <c r="D76" s="49" t="s">
        <v>1476</v>
      </c>
      <c r="E76" s="51" t="s">
        <v>155</v>
      </c>
      <c r="F76" s="51" t="s">
        <v>2732</v>
      </c>
      <c r="G76" s="51" t="s">
        <v>2235</v>
      </c>
      <c r="H76" s="51" t="s">
        <v>2235</v>
      </c>
      <c r="I76" s="51" t="s">
        <v>2236</v>
      </c>
      <c r="J76" s="51" t="s">
        <v>1196</v>
      </c>
      <c r="K76" s="51" t="s">
        <v>2287</v>
      </c>
      <c r="L76" s="47"/>
      <c r="M76" s="47"/>
      <c r="N76" s="47"/>
      <c r="O76" s="47"/>
      <c r="P76" s="47"/>
      <c r="Q76" s="47"/>
      <c r="R76" s="47"/>
      <c r="S76" s="47"/>
      <c r="T76" s="47"/>
      <c r="U76" s="47"/>
      <c r="V76" s="47"/>
      <c r="W76" s="47"/>
      <c r="X76" s="47"/>
      <c r="Y76" s="47"/>
      <c r="Z76" s="47"/>
    </row>
    <row r="77">
      <c r="A77" s="48">
        <v>19.0</v>
      </c>
      <c r="B77" s="49" t="s">
        <v>840</v>
      </c>
      <c r="C77" s="50" t="s">
        <v>655</v>
      </c>
      <c r="D77" s="49" t="s">
        <v>1633</v>
      </c>
      <c r="E77" s="51" t="s">
        <v>69</v>
      </c>
      <c r="F77" s="51" t="s">
        <v>2736</v>
      </c>
      <c r="G77" s="51" t="s">
        <v>2235</v>
      </c>
      <c r="H77" s="51" t="s">
        <v>2235</v>
      </c>
      <c r="I77" s="51" t="s">
        <v>2236</v>
      </c>
      <c r="J77" s="51" t="s">
        <v>1223</v>
      </c>
      <c r="K77" s="51" t="s">
        <v>2237</v>
      </c>
      <c r="L77" s="47"/>
      <c r="M77" s="47"/>
      <c r="N77" s="47"/>
      <c r="O77" s="47"/>
      <c r="P77" s="47"/>
      <c r="Q77" s="47"/>
      <c r="R77" s="47"/>
      <c r="S77" s="47"/>
      <c r="T77" s="47"/>
      <c r="U77" s="47"/>
      <c r="V77" s="47"/>
      <c r="W77" s="47"/>
      <c r="X77" s="47"/>
      <c r="Y77" s="47"/>
      <c r="Z77" s="47"/>
    </row>
    <row r="78">
      <c r="A78" s="48">
        <v>19.0</v>
      </c>
      <c r="B78" s="49" t="s">
        <v>840</v>
      </c>
      <c r="C78" s="50" t="s">
        <v>655</v>
      </c>
      <c r="D78" s="49" t="s">
        <v>1359</v>
      </c>
      <c r="E78" s="51" t="s">
        <v>69</v>
      </c>
      <c r="F78" s="51" t="s">
        <v>2739</v>
      </c>
      <c r="G78" s="51" t="s">
        <v>2235</v>
      </c>
      <c r="H78" s="51" t="s">
        <v>2235</v>
      </c>
      <c r="I78" s="51" t="s">
        <v>2236</v>
      </c>
      <c r="J78" s="51" t="s">
        <v>2213</v>
      </c>
      <c r="K78" s="51" t="s">
        <v>2237</v>
      </c>
      <c r="L78" s="47"/>
      <c r="M78" s="47"/>
      <c r="N78" s="47"/>
      <c r="O78" s="47"/>
      <c r="P78" s="47"/>
      <c r="Q78" s="47"/>
      <c r="R78" s="47"/>
      <c r="S78" s="47"/>
      <c r="T78" s="47"/>
      <c r="U78" s="47"/>
      <c r="V78" s="47"/>
      <c r="W78" s="47"/>
      <c r="X78" s="47"/>
      <c r="Y78" s="47"/>
      <c r="Z78" s="47"/>
    </row>
    <row r="79">
      <c r="A79" s="48">
        <v>19.0</v>
      </c>
      <c r="B79" s="49" t="s">
        <v>840</v>
      </c>
      <c r="C79" s="50" t="s">
        <v>655</v>
      </c>
      <c r="D79" s="49" t="s">
        <v>2230</v>
      </c>
      <c r="E79" s="51" t="s">
        <v>155</v>
      </c>
      <c r="F79" s="51" t="s">
        <v>2744</v>
      </c>
      <c r="G79" s="51" t="s">
        <v>2235</v>
      </c>
      <c r="H79" s="51" t="s">
        <v>2235</v>
      </c>
      <c r="I79" s="51" t="s">
        <v>2236</v>
      </c>
      <c r="J79" s="51" t="s">
        <v>1223</v>
      </c>
      <c r="K79" s="51" t="s">
        <v>2237</v>
      </c>
      <c r="L79" s="47"/>
      <c r="M79" s="47"/>
      <c r="N79" s="47"/>
      <c r="O79" s="47"/>
      <c r="P79" s="47"/>
      <c r="Q79" s="47"/>
      <c r="R79" s="47"/>
      <c r="S79" s="47"/>
      <c r="T79" s="47"/>
      <c r="U79" s="47"/>
      <c r="V79" s="47"/>
      <c r="W79" s="47"/>
      <c r="X79" s="47"/>
      <c r="Y79" s="47"/>
      <c r="Z79" s="47"/>
    </row>
    <row r="80">
      <c r="A80" s="48">
        <v>19.0</v>
      </c>
      <c r="B80" s="49" t="s">
        <v>840</v>
      </c>
      <c r="C80" s="50" t="s">
        <v>655</v>
      </c>
      <c r="D80" s="49" t="s">
        <v>1201</v>
      </c>
      <c r="E80" s="51" t="s">
        <v>155</v>
      </c>
      <c r="F80" s="51" t="s">
        <v>2592</v>
      </c>
      <c r="G80" s="51" t="s">
        <v>2235</v>
      </c>
      <c r="H80" s="51" t="s">
        <v>2235</v>
      </c>
      <c r="I80" s="51" t="s">
        <v>2236</v>
      </c>
      <c r="J80" s="51" t="s">
        <v>2213</v>
      </c>
      <c r="K80" s="51" t="s">
        <v>2237</v>
      </c>
      <c r="L80" s="47"/>
      <c r="M80" s="47"/>
      <c r="N80" s="47"/>
      <c r="O80" s="47"/>
      <c r="P80" s="47"/>
      <c r="Q80" s="47"/>
      <c r="R80" s="47"/>
      <c r="S80" s="47"/>
      <c r="T80" s="47"/>
      <c r="U80" s="47"/>
      <c r="V80" s="47"/>
      <c r="W80" s="47"/>
      <c r="X80" s="47"/>
      <c r="Y80" s="47"/>
      <c r="Z80" s="47"/>
    </row>
    <row r="81">
      <c r="A81" s="48">
        <v>19.0</v>
      </c>
      <c r="B81" s="49" t="s">
        <v>840</v>
      </c>
      <c r="C81" s="50" t="s">
        <v>655</v>
      </c>
      <c r="D81" s="49" t="s">
        <v>2625</v>
      </c>
      <c r="E81" s="51" t="s">
        <v>155</v>
      </c>
      <c r="F81" s="51" t="s">
        <v>2769</v>
      </c>
      <c r="G81" s="51" t="s">
        <v>2235</v>
      </c>
      <c r="H81" s="51" t="s">
        <v>2235</v>
      </c>
      <c r="I81" s="51" t="s">
        <v>2236</v>
      </c>
      <c r="J81" s="51" t="s">
        <v>1223</v>
      </c>
      <c r="K81" s="51" t="s">
        <v>2287</v>
      </c>
      <c r="L81" s="47"/>
      <c r="M81" s="47"/>
      <c r="N81" s="47"/>
      <c r="O81" s="47"/>
      <c r="P81" s="47"/>
      <c r="Q81" s="47"/>
      <c r="R81" s="47"/>
      <c r="S81" s="47"/>
      <c r="T81" s="47"/>
      <c r="U81" s="47"/>
      <c r="V81" s="47"/>
      <c r="W81" s="47"/>
      <c r="X81" s="47"/>
      <c r="Y81" s="47"/>
      <c r="Z81" s="47"/>
    </row>
    <row r="82">
      <c r="A82" s="48">
        <v>20.0</v>
      </c>
      <c r="B82" s="49" t="s">
        <v>850</v>
      </c>
      <c r="C82" s="50" t="s">
        <v>655</v>
      </c>
      <c r="D82" s="49" t="s">
        <v>1577</v>
      </c>
      <c r="E82" s="51" t="s">
        <v>69</v>
      </c>
      <c r="F82" s="51" t="s">
        <v>2784</v>
      </c>
      <c r="G82" s="51" t="s">
        <v>2235</v>
      </c>
      <c r="H82" s="51" t="s">
        <v>2235</v>
      </c>
      <c r="I82" s="51" t="s">
        <v>2236</v>
      </c>
      <c r="J82" s="51" t="s">
        <v>1254</v>
      </c>
      <c r="K82" s="51" t="s">
        <v>2237</v>
      </c>
      <c r="L82" s="47"/>
      <c r="M82" s="47"/>
      <c r="N82" s="47"/>
      <c r="O82" s="47"/>
      <c r="P82" s="47"/>
      <c r="Q82" s="47"/>
      <c r="R82" s="47"/>
      <c r="S82" s="47"/>
      <c r="T82" s="47"/>
      <c r="U82" s="47"/>
      <c r="V82" s="47"/>
      <c r="W82" s="47"/>
      <c r="X82" s="47"/>
      <c r="Y82" s="47"/>
      <c r="Z82" s="47"/>
    </row>
    <row r="83">
      <c r="A83" s="48">
        <v>20.0</v>
      </c>
      <c r="B83" s="49" t="s">
        <v>850</v>
      </c>
      <c r="C83" s="50" t="s">
        <v>655</v>
      </c>
      <c r="D83" s="49" t="s">
        <v>1051</v>
      </c>
      <c r="E83" s="51" t="s">
        <v>155</v>
      </c>
      <c r="F83" s="51" t="s">
        <v>2795</v>
      </c>
      <c r="G83" s="51" t="s">
        <v>2235</v>
      </c>
      <c r="H83" s="51" t="s">
        <v>2235</v>
      </c>
      <c r="I83" s="51" t="s">
        <v>2236</v>
      </c>
      <c r="J83" s="51" t="s">
        <v>2336</v>
      </c>
      <c r="K83" s="51" t="s">
        <v>2237</v>
      </c>
      <c r="L83" s="47"/>
      <c r="M83" s="47"/>
      <c r="N83" s="47"/>
      <c r="O83" s="47"/>
      <c r="P83" s="47"/>
      <c r="Q83" s="47"/>
      <c r="R83" s="47"/>
      <c r="S83" s="47"/>
      <c r="T83" s="47"/>
      <c r="U83" s="47"/>
      <c r="V83" s="47"/>
      <c r="W83" s="47"/>
      <c r="X83" s="47"/>
      <c r="Y83" s="47"/>
      <c r="Z83" s="47"/>
    </row>
    <row r="84">
      <c r="A84" s="48">
        <v>20.0</v>
      </c>
      <c r="B84" s="49" t="s">
        <v>850</v>
      </c>
      <c r="C84" s="50" t="s">
        <v>655</v>
      </c>
      <c r="D84" s="49" t="s">
        <v>2365</v>
      </c>
      <c r="E84" s="51" t="s">
        <v>155</v>
      </c>
      <c r="F84" s="51" t="s">
        <v>2805</v>
      </c>
      <c r="G84" s="51" t="s">
        <v>2235</v>
      </c>
      <c r="H84" s="51" t="s">
        <v>2235</v>
      </c>
      <c r="I84" s="51" t="s">
        <v>2236</v>
      </c>
      <c r="J84" s="51" t="s">
        <v>1254</v>
      </c>
      <c r="K84" s="51" t="s">
        <v>2237</v>
      </c>
      <c r="L84" s="47"/>
      <c r="M84" s="47"/>
      <c r="N84" s="47"/>
      <c r="O84" s="47"/>
      <c r="P84" s="47"/>
      <c r="Q84" s="47"/>
      <c r="R84" s="47"/>
      <c r="S84" s="47"/>
      <c r="T84" s="47"/>
      <c r="U84" s="47"/>
      <c r="V84" s="47"/>
      <c r="W84" s="47"/>
      <c r="X84" s="47"/>
      <c r="Y84" s="47"/>
      <c r="Z84" s="47"/>
    </row>
    <row r="85">
      <c r="A85" s="48">
        <v>21.0</v>
      </c>
      <c r="B85" s="49" t="s">
        <v>864</v>
      </c>
      <c r="C85" s="50" t="s">
        <v>655</v>
      </c>
      <c r="D85" s="49" t="s">
        <v>1032</v>
      </c>
      <c r="E85" s="51" t="s">
        <v>69</v>
      </c>
      <c r="F85" s="51" t="s">
        <v>2828</v>
      </c>
      <c r="G85" s="51" t="s">
        <v>2235</v>
      </c>
      <c r="H85" s="51" t="s">
        <v>2235</v>
      </c>
      <c r="I85" s="51" t="s">
        <v>2236</v>
      </c>
      <c r="J85" s="51" t="s">
        <v>1285</v>
      </c>
      <c r="K85" s="51" t="s">
        <v>2237</v>
      </c>
      <c r="L85" s="47"/>
      <c r="M85" s="47"/>
      <c r="N85" s="47"/>
      <c r="O85" s="47"/>
      <c r="P85" s="47"/>
      <c r="Q85" s="47"/>
      <c r="R85" s="47"/>
      <c r="S85" s="47"/>
      <c r="T85" s="47"/>
      <c r="U85" s="47"/>
      <c r="V85" s="47"/>
      <c r="W85" s="47"/>
      <c r="X85" s="47"/>
      <c r="Y85" s="47"/>
      <c r="Z85" s="47"/>
    </row>
    <row r="86">
      <c r="A86" s="48">
        <v>21.0</v>
      </c>
      <c r="B86" s="49" t="s">
        <v>864</v>
      </c>
      <c r="C86" s="50" t="s">
        <v>655</v>
      </c>
      <c r="D86" s="49" t="s">
        <v>1700</v>
      </c>
      <c r="E86" s="51" t="s">
        <v>69</v>
      </c>
      <c r="F86" s="51" t="s">
        <v>2839</v>
      </c>
      <c r="G86" s="51" t="s">
        <v>2235</v>
      </c>
      <c r="H86" s="51" t="s">
        <v>2235</v>
      </c>
      <c r="I86" s="51" t="s">
        <v>2236</v>
      </c>
      <c r="J86" s="51" t="s">
        <v>2471</v>
      </c>
      <c r="K86" s="51" t="s">
        <v>2237</v>
      </c>
      <c r="L86" s="47"/>
      <c r="M86" s="47"/>
      <c r="N86" s="47"/>
      <c r="O86" s="47"/>
      <c r="P86" s="47"/>
      <c r="Q86" s="47"/>
      <c r="R86" s="47"/>
      <c r="S86" s="47"/>
      <c r="T86" s="47"/>
      <c r="U86" s="47"/>
      <c r="V86" s="47"/>
      <c r="W86" s="47"/>
      <c r="X86" s="47"/>
      <c r="Y86" s="47"/>
      <c r="Z86" s="47"/>
    </row>
    <row r="87">
      <c r="A87" s="48">
        <v>21.0</v>
      </c>
      <c r="B87" s="49" t="s">
        <v>864</v>
      </c>
      <c r="C87" s="50" t="s">
        <v>655</v>
      </c>
      <c r="D87" s="49" t="s">
        <v>1692</v>
      </c>
      <c r="E87" s="51" t="s">
        <v>69</v>
      </c>
      <c r="F87" s="51" t="s">
        <v>2842</v>
      </c>
      <c r="G87" s="51" t="s">
        <v>2235</v>
      </c>
      <c r="H87" s="51" t="s">
        <v>2235</v>
      </c>
      <c r="I87" s="51" t="s">
        <v>2236</v>
      </c>
      <c r="J87" s="51" t="s">
        <v>1285</v>
      </c>
      <c r="K87" s="51" t="s">
        <v>2237</v>
      </c>
      <c r="L87" s="47"/>
      <c r="M87" s="47"/>
      <c r="N87" s="47"/>
      <c r="O87" s="47"/>
      <c r="P87" s="47"/>
      <c r="Q87" s="47"/>
      <c r="R87" s="47"/>
      <c r="S87" s="47"/>
      <c r="T87" s="47"/>
      <c r="U87" s="47"/>
      <c r="V87" s="47"/>
      <c r="W87" s="47"/>
      <c r="X87" s="47"/>
      <c r="Y87" s="47"/>
      <c r="Z87" s="47"/>
    </row>
    <row r="88">
      <c r="A88" s="48">
        <v>21.0</v>
      </c>
      <c r="B88" s="49" t="s">
        <v>864</v>
      </c>
      <c r="C88" s="50" t="s">
        <v>655</v>
      </c>
      <c r="D88" s="49" t="s">
        <v>1597</v>
      </c>
      <c r="E88" s="51" t="s">
        <v>69</v>
      </c>
      <c r="F88" s="51" t="s">
        <v>2848</v>
      </c>
      <c r="G88" s="51" t="s">
        <v>2235</v>
      </c>
      <c r="H88" s="51" t="s">
        <v>2235</v>
      </c>
      <c r="I88" s="51" t="s">
        <v>2236</v>
      </c>
      <c r="J88" s="51" t="s">
        <v>2471</v>
      </c>
      <c r="K88" s="51" t="s">
        <v>2237</v>
      </c>
      <c r="L88" s="47"/>
      <c r="M88" s="47"/>
      <c r="N88" s="47"/>
      <c r="O88" s="47"/>
      <c r="P88" s="47"/>
      <c r="Q88" s="47"/>
      <c r="R88" s="47"/>
      <c r="S88" s="47"/>
      <c r="T88" s="47"/>
      <c r="U88" s="47"/>
      <c r="V88" s="47"/>
      <c r="W88" s="47"/>
      <c r="X88" s="47"/>
      <c r="Y88" s="47"/>
      <c r="Z88" s="47"/>
    </row>
    <row r="89">
      <c r="A89" s="48">
        <v>21.0</v>
      </c>
      <c r="B89" s="49" t="s">
        <v>864</v>
      </c>
      <c r="C89" s="50" t="s">
        <v>655</v>
      </c>
      <c r="D89" s="49" t="s">
        <v>2497</v>
      </c>
      <c r="E89" s="51" t="s">
        <v>155</v>
      </c>
      <c r="F89" s="51" t="s">
        <v>2855</v>
      </c>
      <c r="G89" s="51" t="s">
        <v>2235</v>
      </c>
      <c r="H89" s="51" t="s">
        <v>2235</v>
      </c>
      <c r="I89" s="51" t="s">
        <v>2236</v>
      </c>
      <c r="J89" s="51" t="s">
        <v>1285</v>
      </c>
      <c r="K89" s="51" t="s">
        <v>2237</v>
      </c>
      <c r="L89" s="47"/>
      <c r="M89" s="47"/>
      <c r="N89" s="47"/>
      <c r="O89" s="47"/>
      <c r="P89" s="47"/>
      <c r="Q89" s="47"/>
      <c r="R89" s="47"/>
      <c r="S89" s="47"/>
      <c r="T89" s="47"/>
      <c r="U89" s="47"/>
      <c r="V89" s="47"/>
      <c r="W89" s="47"/>
      <c r="X89" s="47"/>
      <c r="Y89" s="47"/>
      <c r="Z89" s="47"/>
    </row>
    <row r="90">
      <c r="A90" s="48">
        <v>22.0</v>
      </c>
      <c r="B90" s="49" t="s">
        <v>876</v>
      </c>
      <c r="C90" s="50" t="s">
        <v>655</v>
      </c>
      <c r="D90" s="49" t="s">
        <v>1075</v>
      </c>
      <c r="E90" s="51" t="s">
        <v>69</v>
      </c>
      <c r="F90" s="51" t="s">
        <v>2866</v>
      </c>
      <c r="G90" s="51" t="s">
        <v>2235</v>
      </c>
      <c r="H90" s="51" t="s">
        <v>2235</v>
      </c>
      <c r="I90" s="51" t="s">
        <v>2236</v>
      </c>
      <c r="J90" s="51" t="s">
        <v>1322</v>
      </c>
      <c r="K90" s="51" t="s">
        <v>2287</v>
      </c>
      <c r="L90" s="47"/>
      <c r="M90" s="47"/>
      <c r="N90" s="47"/>
      <c r="O90" s="47"/>
      <c r="P90" s="47"/>
      <c r="Q90" s="47"/>
      <c r="R90" s="47"/>
      <c r="S90" s="47"/>
      <c r="T90" s="47"/>
      <c r="U90" s="47"/>
      <c r="V90" s="47"/>
      <c r="W90" s="47"/>
      <c r="X90" s="47"/>
      <c r="Y90" s="47"/>
      <c r="Z90" s="47"/>
    </row>
    <row r="91">
      <c r="A91" s="48">
        <v>22.0</v>
      </c>
      <c r="B91" s="49" t="s">
        <v>876</v>
      </c>
      <c r="C91" s="50" t="s">
        <v>655</v>
      </c>
      <c r="D91" s="49" t="s">
        <v>695</v>
      </c>
      <c r="E91" s="51" t="s">
        <v>69</v>
      </c>
      <c r="F91" s="51" t="s">
        <v>2872</v>
      </c>
      <c r="G91" s="51" t="s">
        <v>2235</v>
      </c>
      <c r="H91" s="51" t="s">
        <v>2235</v>
      </c>
      <c r="I91" s="51" t="s">
        <v>2236</v>
      </c>
      <c r="J91" s="51" t="s">
        <v>2571</v>
      </c>
      <c r="K91" s="51" t="s">
        <v>2449</v>
      </c>
      <c r="L91" s="47"/>
      <c r="M91" s="47"/>
      <c r="N91" s="47"/>
      <c r="O91" s="47"/>
      <c r="P91" s="47"/>
      <c r="Q91" s="47"/>
      <c r="R91" s="47"/>
      <c r="S91" s="47"/>
      <c r="T91" s="47"/>
      <c r="U91" s="47"/>
      <c r="V91" s="47"/>
      <c r="W91" s="47"/>
      <c r="X91" s="47"/>
      <c r="Y91" s="47"/>
      <c r="Z91" s="47"/>
    </row>
    <row r="92">
      <c r="A92" s="48">
        <v>22.0</v>
      </c>
      <c r="B92" s="49" t="s">
        <v>876</v>
      </c>
      <c r="C92" s="50" t="s">
        <v>655</v>
      </c>
      <c r="D92" s="49" t="s">
        <v>548</v>
      </c>
      <c r="E92" s="51" t="s">
        <v>155</v>
      </c>
      <c r="F92" s="51" t="s">
        <v>2876</v>
      </c>
      <c r="G92" s="51" t="s">
        <v>2235</v>
      </c>
      <c r="H92" s="51" t="s">
        <v>2235</v>
      </c>
      <c r="I92" s="51" t="s">
        <v>2236</v>
      </c>
      <c r="J92" s="51" t="s">
        <v>2554</v>
      </c>
      <c r="K92" s="51" t="s">
        <v>2260</v>
      </c>
      <c r="L92" s="47"/>
      <c r="M92" s="47"/>
      <c r="N92" s="47"/>
      <c r="O92" s="47"/>
      <c r="P92" s="47"/>
      <c r="Q92" s="47"/>
      <c r="R92" s="47"/>
      <c r="S92" s="47"/>
      <c r="T92" s="47"/>
      <c r="U92" s="47"/>
      <c r="V92" s="47"/>
      <c r="W92" s="47"/>
      <c r="X92" s="47"/>
      <c r="Y92" s="47"/>
      <c r="Z92" s="47"/>
    </row>
    <row r="93">
      <c r="A93" s="48">
        <v>22.0</v>
      </c>
      <c r="B93" s="49" t="s">
        <v>876</v>
      </c>
      <c r="C93" s="50" t="s">
        <v>655</v>
      </c>
      <c r="D93" s="49" t="s">
        <v>635</v>
      </c>
      <c r="E93" s="51" t="s">
        <v>155</v>
      </c>
      <c r="F93" s="51" t="s">
        <v>2878</v>
      </c>
      <c r="G93" s="51" t="s">
        <v>2235</v>
      </c>
      <c r="H93" s="51" t="s">
        <v>2235</v>
      </c>
      <c r="I93" s="51" t="s">
        <v>2236</v>
      </c>
      <c r="J93" s="51" t="s">
        <v>1322</v>
      </c>
      <c r="K93" s="51" t="s">
        <v>2282</v>
      </c>
      <c r="L93" s="47"/>
      <c r="M93" s="47"/>
      <c r="N93" s="47"/>
      <c r="O93" s="47"/>
      <c r="P93" s="47"/>
      <c r="Q93" s="47"/>
      <c r="R93" s="47"/>
      <c r="S93" s="47"/>
      <c r="T93" s="47"/>
      <c r="U93" s="47"/>
      <c r="V93" s="47"/>
      <c r="W93" s="47"/>
      <c r="X93" s="47"/>
      <c r="Y93" s="47"/>
      <c r="Z93" s="47"/>
    </row>
    <row r="94">
      <c r="A94" s="48">
        <v>22.0</v>
      </c>
      <c r="B94" s="49" t="s">
        <v>876</v>
      </c>
      <c r="C94" s="50" t="s">
        <v>655</v>
      </c>
      <c r="D94" s="49" t="s">
        <v>686</v>
      </c>
      <c r="E94" s="51" t="s">
        <v>155</v>
      </c>
      <c r="F94" s="51" t="s">
        <v>2884</v>
      </c>
      <c r="G94" s="51" t="s">
        <v>2235</v>
      </c>
      <c r="H94" s="51" t="s">
        <v>2235</v>
      </c>
      <c r="I94" s="51" t="s">
        <v>2236</v>
      </c>
      <c r="J94" s="51" t="s">
        <v>2571</v>
      </c>
      <c r="K94" s="51" t="s">
        <v>2282</v>
      </c>
      <c r="L94" s="47"/>
      <c r="M94" s="47"/>
      <c r="N94" s="47"/>
      <c r="O94" s="47"/>
      <c r="P94" s="47"/>
      <c r="Q94" s="47"/>
      <c r="R94" s="47"/>
      <c r="S94" s="47"/>
      <c r="T94" s="47"/>
      <c r="U94" s="47"/>
      <c r="V94" s="47"/>
      <c r="W94" s="47"/>
      <c r="X94" s="47"/>
      <c r="Y94" s="47"/>
      <c r="Z94" s="47"/>
    </row>
    <row r="95">
      <c r="A95" s="48">
        <v>23.0</v>
      </c>
      <c r="B95" s="49" t="s">
        <v>885</v>
      </c>
      <c r="C95" s="50" t="s">
        <v>655</v>
      </c>
      <c r="D95" s="49" t="s">
        <v>1696</v>
      </c>
      <c r="E95" s="51" t="s">
        <v>69</v>
      </c>
      <c r="F95" s="51" t="s">
        <v>2900</v>
      </c>
      <c r="G95" s="51" t="s">
        <v>2235</v>
      </c>
      <c r="H95" s="51" t="s">
        <v>2235</v>
      </c>
      <c r="I95" s="51" t="s">
        <v>2236</v>
      </c>
      <c r="J95" s="51" t="s">
        <v>1357</v>
      </c>
      <c r="K95" s="51" t="s">
        <v>2237</v>
      </c>
      <c r="L95" s="47"/>
      <c r="M95" s="47"/>
      <c r="N95" s="47"/>
      <c r="O95" s="47"/>
      <c r="P95" s="47"/>
      <c r="Q95" s="47"/>
      <c r="R95" s="47"/>
      <c r="S95" s="47"/>
      <c r="T95" s="47"/>
      <c r="U95" s="47"/>
      <c r="V95" s="47"/>
      <c r="W95" s="47"/>
      <c r="X95" s="47"/>
      <c r="Y95" s="47"/>
      <c r="Z95" s="47"/>
    </row>
    <row r="96">
      <c r="A96" s="48">
        <v>23.0</v>
      </c>
      <c r="B96" s="49" t="s">
        <v>885</v>
      </c>
      <c r="C96" s="50" t="s">
        <v>655</v>
      </c>
      <c r="D96" s="49" t="s">
        <v>2905</v>
      </c>
      <c r="E96" s="51" t="s">
        <v>69</v>
      </c>
      <c r="F96" s="51" t="s">
        <v>2912</v>
      </c>
      <c r="G96" s="51" t="s">
        <v>2235</v>
      </c>
      <c r="H96" s="51" t="s">
        <v>2235</v>
      </c>
      <c r="I96" s="51" t="s">
        <v>2236</v>
      </c>
      <c r="J96" s="51" t="s">
        <v>2588</v>
      </c>
      <c r="K96" s="51" t="s">
        <v>2237</v>
      </c>
      <c r="L96" s="47"/>
      <c r="M96" s="47"/>
      <c r="N96" s="47"/>
      <c r="O96" s="47"/>
      <c r="P96" s="47"/>
      <c r="Q96" s="47"/>
      <c r="R96" s="47"/>
      <c r="S96" s="47"/>
      <c r="T96" s="47"/>
      <c r="U96" s="47"/>
      <c r="V96" s="47"/>
      <c r="W96" s="47"/>
      <c r="X96" s="47"/>
      <c r="Y96" s="47"/>
      <c r="Z96" s="47"/>
    </row>
    <row r="97">
      <c r="A97" s="48">
        <v>23.0</v>
      </c>
      <c r="B97" s="49" t="s">
        <v>885</v>
      </c>
      <c r="C97" s="50" t="s">
        <v>655</v>
      </c>
      <c r="D97" s="49" t="s">
        <v>1582</v>
      </c>
      <c r="E97" s="51" t="s">
        <v>69</v>
      </c>
      <c r="F97" s="51" t="s">
        <v>2922</v>
      </c>
      <c r="G97" s="51" t="s">
        <v>2235</v>
      </c>
      <c r="H97" s="51" t="s">
        <v>2235</v>
      </c>
      <c r="I97" s="51" t="s">
        <v>2236</v>
      </c>
      <c r="J97" s="51" t="s">
        <v>1357</v>
      </c>
      <c r="K97" s="51" t="s">
        <v>2237</v>
      </c>
      <c r="L97" s="47"/>
      <c r="M97" s="47"/>
      <c r="N97" s="47"/>
      <c r="O97" s="47"/>
      <c r="P97" s="47"/>
      <c r="Q97" s="47"/>
      <c r="R97" s="47"/>
      <c r="S97" s="47"/>
      <c r="T97" s="47"/>
      <c r="U97" s="47"/>
      <c r="V97" s="47"/>
      <c r="W97" s="47"/>
      <c r="X97" s="47"/>
      <c r="Y97" s="47"/>
      <c r="Z97" s="47"/>
    </row>
    <row r="98">
      <c r="A98" s="48">
        <v>23.0</v>
      </c>
      <c r="B98" s="49" t="s">
        <v>885</v>
      </c>
      <c r="C98" s="50" t="s">
        <v>655</v>
      </c>
      <c r="D98" s="49" t="s">
        <v>2619</v>
      </c>
      <c r="E98" s="51" t="s">
        <v>155</v>
      </c>
      <c r="F98" s="51" t="s">
        <v>2931</v>
      </c>
      <c r="G98" s="51" t="s">
        <v>2235</v>
      </c>
      <c r="H98" s="51" t="s">
        <v>2235</v>
      </c>
      <c r="I98" s="51" t="s">
        <v>2236</v>
      </c>
      <c r="J98" s="51" t="s">
        <v>2588</v>
      </c>
      <c r="K98" s="51" t="s">
        <v>2237</v>
      </c>
      <c r="L98" s="47"/>
      <c r="M98" s="47"/>
      <c r="N98" s="47"/>
      <c r="O98" s="47"/>
      <c r="P98" s="47"/>
      <c r="Q98" s="47"/>
      <c r="R98" s="47"/>
      <c r="S98" s="47"/>
      <c r="T98" s="47"/>
      <c r="U98" s="47"/>
      <c r="V98" s="47"/>
      <c r="W98" s="47"/>
      <c r="X98" s="47"/>
      <c r="Y98" s="47"/>
      <c r="Z98" s="47"/>
    </row>
    <row r="99">
      <c r="A99" s="48">
        <v>23.0</v>
      </c>
      <c r="B99" s="49" t="s">
        <v>885</v>
      </c>
      <c r="C99" s="50" t="s">
        <v>655</v>
      </c>
      <c r="D99" s="49" t="s">
        <v>1391</v>
      </c>
      <c r="E99" s="51" t="s">
        <v>155</v>
      </c>
      <c r="F99" s="51" t="s">
        <v>2948</v>
      </c>
      <c r="G99" s="51" t="s">
        <v>2235</v>
      </c>
      <c r="H99" s="51" t="s">
        <v>2235</v>
      </c>
      <c r="I99" s="51" t="s">
        <v>2236</v>
      </c>
      <c r="J99" s="51" t="s">
        <v>1357</v>
      </c>
      <c r="K99" s="51" t="s">
        <v>2237</v>
      </c>
      <c r="L99" s="47"/>
      <c r="M99" s="47"/>
      <c r="N99" s="47"/>
      <c r="O99" s="47"/>
      <c r="P99" s="47"/>
      <c r="Q99" s="47"/>
      <c r="R99" s="47"/>
      <c r="S99" s="47"/>
      <c r="T99" s="47"/>
      <c r="U99" s="47"/>
      <c r="V99" s="47"/>
      <c r="W99" s="47"/>
      <c r="X99" s="47"/>
      <c r="Y99" s="47"/>
      <c r="Z99" s="47"/>
    </row>
    <row r="100">
      <c r="A100" s="48">
        <v>24.0</v>
      </c>
      <c r="B100" s="49" t="s">
        <v>403</v>
      </c>
      <c r="C100" s="50" t="s">
        <v>655</v>
      </c>
      <c r="D100" s="49" t="s">
        <v>705</v>
      </c>
      <c r="E100" s="51" t="s">
        <v>69</v>
      </c>
      <c r="F100" s="51" t="s">
        <v>2960</v>
      </c>
      <c r="G100" s="51" t="s">
        <v>2235</v>
      </c>
      <c r="H100" s="51" t="s">
        <v>2235</v>
      </c>
      <c r="I100" s="51" t="s">
        <v>2236</v>
      </c>
      <c r="J100" s="51" t="s">
        <v>1395</v>
      </c>
      <c r="K100" s="51" t="s">
        <v>2449</v>
      </c>
      <c r="L100" s="47"/>
      <c r="M100" s="47"/>
      <c r="N100" s="47"/>
      <c r="O100" s="47"/>
      <c r="P100" s="47"/>
      <c r="Q100" s="47"/>
      <c r="R100" s="47"/>
      <c r="S100" s="47"/>
      <c r="T100" s="47"/>
      <c r="U100" s="47"/>
      <c r="V100" s="47"/>
      <c r="W100" s="47"/>
      <c r="X100" s="47"/>
      <c r="Y100" s="47"/>
      <c r="Z100" s="47"/>
    </row>
    <row r="101">
      <c r="A101" s="48">
        <v>24.0</v>
      </c>
      <c r="B101" s="49" t="s">
        <v>403</v>
      </c>
      <c r="C101" s="50" t="s">
        <v>655</v>
      </c>
      <c r="D101" s="49" t="s">
        <v>1075</v>
      </c>
      <c r="E101" s="51" t="s">
        <v>155</v>
      </c>
      <c r="F101" s="51" t="s">
        <v>2966</v>
      </c>
      <c r="G101" s="51" t="s">
        <v>2235</v>
      </c>
      <c r="H101" s="51" t="s">
        <v>2235</v>
      </c>
      <c r="I101" s="51" t="s">
        <v>2236</v>
      </c>
      <c r="J101" s="51" t="s">
        <v>2720</v>
      </c>
      <c r="K101" s="51" t="s">
        <v>2287</v>
      </c>
      <c r="L101" s="47"/>
      <c r="M101" s="47"/>
      <c r="N101" s="47"/>
      <c r="O101" s="47"/>
      <c r="P101" s="47"/>
      <c r="Q101" s="47"/>
      <c r="R101" s="47"/>
      <c r="S101" s="47"/>
      <c r="T101" s="47"/>
      <c r="U101" s="47"/>
      <c r="V101" s="47"/>
      <c r="W101" s="47"/>
      <c r="X101" s="47"/>
      <c r="Y101" s="47"/>
      <c r="Z101" s="47"/>
    </row>
    <row r="102">
      <c r="A102" s="48">
        <v>25.0</v>
      </c>
      <c r="B102" s="49" t="s">
        <v>893</v>
      </c>
      <c r="C102" s="50" t="s">
        <v>655</v>
      </c>
      <c r="D102" s="49" t="s">
        <v>2315</v>
      </c>
      <c r="E102" s="51" t="s">
        <v>69</v>
      </c>
      <c r="F102" s="51" t="s">
        <v>2981</v>
      </c>
      <c r="G102" s="51" t="s">
        <v>2235</v>
      </c>
      <c r="H102" s="51" t="s">
        <v>2235</v>
      </c>
      <c r="I102" s="51" t="s">
        <v>2236</v>
      </c>
      <c r="J102" s="51" t="s">
        <v>1410</v>
      </c>
      <c r="K102" s="51" t="s">
        <v>2237</v>
      </c>
      <c r="L102" s="47"/>
      <c r="M102" s="47"/>
      <c r="N102" s="47"/>
      <c r="O102" s="47"/>
      <c r="P102" s="47"/>
      <c r="Q102" s="47"/>
      <c r="R102" s="47"/>
      <c r="S102" s="47"/>
      <c r="T102" s="47"/>
      <c r="U102" s="47"/>
      <c r="V102" s="47"/>
      <c r="W102" s="47"/>
      <c r="X102" s="47"/>
      <c r="Y102" s="47"/>
      <c r="Z102" s="47"/>
    </row>
    <row r="103">
      <c r="A103" s="48">
        <v>25.0</v>
      </c>
      <c r="B103" s="49" t="s">
        <v>893</v>
      </c>
      <c r="C103" s="50" t="s">
        <v>655</v>
      </c>
      <c r="D103" s="49" t="s">
        <v>2080</v>
      </c>
      <c r="E103" s="51" t="s">
        <v>69</v>
      </c>
      <c r="F103" s="51" t="s">
        <v>2994</v>
      </c>
      <c r="G103" s="51" t="s">
        <v>2235</v>
      </c>
      <c r="H103" s="51" t="s">
        <v>2235</v>
      </c>
      <c r="I103" s="51" t="s">
        <v>2236</v>
      </c>
      <c r="J103" s="51" t="s">
        <v>2880</v>
      </c>
      <c r="K103" s="51" t="s">
        <v>2237</v>
      </c>
      <c r="L103" s="47"/>
      <c r="M103" s="47"/>
      <c r="N103" s="47"/>
      <c r="O103" s="47"/>
      <c r="P103" s="47"/>
      <c r="Q103" s="47"/>
      <c r="R103" s="47"/>
      <c r="S103" s="47"/>
      <c r="T103" s="47"/>
      <c r="U103" s="47"/>
      <c r="V103" s="47"/>
      <c r="W103" s="47"/>
      <c r="X103" s="47"/>
      <c r="Y103" s="47"/>
      <c r="Z103" s="47"/>
    </row>
    <row r="104">
      <c r="A104" s="48">
        <v>25.0</v>
      </c>
      <c r="B104" s="49" t="s">
        <v>893</v>
      </c>
      <c r="C104" s="50" t="s">
        <v>655</v>
      </c>
      <c r="D104" s="49" t="s">
        <v>2276</v>
      </c>
      <c r="E104" s="51" t="s">
        <v>69</v>
      </c>
      <c r="F104" s="51" t="s">
        <v>3008</v>
      </c>
      <c r="G104" s="51" t="s">
        <v>2235</v>
      </c>
      <c r="H104" s="51" t="s">
        <v>2235</v>
      </c>
      <c r="I104" s="51" t="s">
        <v>2236</v>
      </c>
      <c r="J104" s="51" t="s">
        <v>2811</v>
      </c>
      <c r="K104" s="51" t="s">
        <v>2237</v>
      </c>
      <c r="L104" s="47"/>
      <c r="M104" s="47"/>
      <c r="N104" s="47"/>
      <c r="O104" s="47"/>
      <c r="P104" s="47"/>
      <c r="Q104" s="47"/>
      <c r="R104" s="47"/>
      <c r="S104" s="47"/>
      <c r="T104" s="47"/>
      <c r="U104" s="47"/>
      <c r="V104" s="47"/>
      <c r="W104" s="47"/>
      <c r="X104" s="47"/>
      <c r="Y104" s="47"/>
      <c r="Z104" s="47"/>
    </row>
    <row r="105">
      <c r="A105" s="48">
        <v>25.0</v>
      </c>
      <c r="B105" s="49" t="s">
        <v>893</v>
      </c>
      <c r="C105" s="50" t="s">
        <v>655</v>
      </c>
      <c r="D105" s="49" t="s">
        <v>1486</v>
      </c>
      <c r="E105" s="51" t="s">
        <v>155</v>
      </c>
      <c r="F105" s="51" t="s">
        <v>3018</v>
      </c>
      <c r="G105" s="51" t="s">
        <v>2235</v>
      </c>
      <c r="H105" s="51" t="s">
        <v>2235</v>
      </c>
      <c r="I105" s="51" t="s">
        <v>2236</v>
      </c>
      <c r="J105" s="51" t="s">
        <v>1410</v>
      </c>
      <c r="K105" s="51" t="s">
        <v>2237</v>
      </c>
      <c r="L105" s="47"/>
      <c r="M105" s="47"/>
      <c r="N105" s="47"/>
      <c r="O105" s="47"/>
      <c r="P105" s="47"/>
      <c r="Q105" s="47"/>
      <c r="R105" s="47"/>
      <c r="S105" s="47"/>
      <c r="T105" s="47"/>
      <c r="U105" s="47"/>
      <c r="V105" s="47"/>
      <c r="W105" s="47"/>
      <c r="X105" s="47"/>
      <c r="Y105" s="47"/>
      <c r="Z105" s="47"/>
    </row>
    <row r="106">
      <c r="A106" s="48">
        <v>25.0</v>
      </c>
      <c r="B106" s="49" t="s">
        <v>893</v>
      </c>
      <c r="C106" s="50" t="s">
        <v>655</v>
      </c>
      <c r="D106" s="49" t="s">
        <v>2625</v>
      </c>
      <c r="E106" s="51" t="s">
        <v>155</v>
      </c>
      <c r="F106" s="51" t="s">
        <v>3024</v>
      </c>
      <c r="G106" s="51" t="s">
        <v>2235</v>
      </c>
      <c r="H106" s="51" t="s">
        <v>2235</v>
      </c>
      <c r="I106" s="51" t="s">
        <v>2236</v>
      </c>
      <c r="J106" s="51" t="s">
        <v>2880</v>
      </c>
      <c r="K106" s="51" t="s">
        <v>2287</v>
      </c>
      <c r="L106" s="47"/>
      <c r="M106" s="47"/>
      <c r="N106" s="47"/>
      <c r="O106" s="47"/>
      <c r="P106" s="47"/>
      <c r="Q106" s="47"/>
      <c r="R106" s="47"/>
      <c r="S106" s="47"/>
      <c r="T106" s="47"/>
      <c r="U106" s="47"/>
      <c r="V106" s="47"/>
      <c r="W106" s="47"/>
      <c r="X106" s="47"/>
      <c r="Y106" s="47"/>
      <c r="Z106" s="47"/>
    </row>
    <row r="107">
      <c r="A107" s="48">
        <v>26.0</v>
      </c>
      <c r="B107" s="49" t="s">
        <v>900</v>
      </c>
      <c r="C107" s="50" t="s">
        <v>655</v>
      </c>
      <c r="D107" s="49" t="s">
        <v>1742</v>
      </c>
      <c r="E107" s="51" t="s">
        <v>69</v>
      </c>
      <c r="F107" s="51" t="s">
        <v>3045</v>
      </c>
      <c r="G107" s="51" t="s">
        <v>2235</v>
      </c>
      <c r="H107" s="51" t="s">
        <v>2235</v>
      </c>
      <c r="I107" s="51" t="s">
        <v>2236</v>
      </c>
      <c r="J107" s="51" t="s">
        <v>1417</v>
      </c>
      <c r="K107" s="51" t="s">
        <v>2237</v>
      </c>
      <c r="L107" s="47"/>
      <c r="M107" s="47"/>
      <c r="N107" s="47"/>
      <c r="O107" s="47"/>
      <c r="P107" s="47"/>
      <c r="Q107" s="47"/>
      <c r="R107" s="47"/>
      <c r="S107" s="47"/>
      <c r="T107" s="47"/>
      <c r="U107" s="47"/>
      <c r="V107" s="47"/>
      <c r="W107" s="47"/>
      <c r="X107" s="47"/>
      <c r="Y107" s="47"/>
      <c r="Z107" s="47"/>
    </row>
    <row r="108">
      <c r="A108" s="48">
        <v>26.0</v>
      </c>
      <c r="B108" s="49" t="s">
        <v>900</v>
      </c>
      <c r="C108" s="50" t="s">
        <v>655</v>
      </c>
      <c r="D108" s="49" t="s">
        <v>1779</v>
      </c>
      <c r="E108" s="51" t="s">
        <v>69</v>
      </c>
      <c r="F108" s="51" t="s">
        <v>3054</v>
      </c>
      <c r="G108" s="51" t="s">
        <v>2235</v>
      </c>
      <c r="H108" s="51" t="s">
        <v>2235</v>
      </c>
      <c r="I108" s="51" t="s">
        <v>2236</v>
      </c>
      <c r="J108" s="51" t="s">
        <v>2977</v>
      </c>
      <c r="K108" s="51" t="s">
        <v>2237</v>
      </c>
      <c r="L108" s="47"/>
      <c r="M108" s="47"/>
      <c r="N108" s="47"/>
      <c r="O108" s="47"/>
      <c r="P108" s="47"/>
      <c r="Q108" s="47"/>
      <c r="R108" s="47"/>
      <c r="S108" s="47"/>
      <c r="T108" s="47"/>
      <c r="U108" s="47"/>
      <c r="V108" s="47"/>
      <c r="W108" s="47"/>
      <c r="X108" s="47"/>
      <c r="Y108" s="47"/>
      <c r="Z108" s="47"/>
    </row>
    <row r="109">
      <c r="A109" s="48">
        <v>26.0</v>
      </c>
      <c r="B109" s="49" t="s">
        <v>900</v>
      </c>
      <c r="C109" s="50" t="s">
        <v>655</v>
      </c>
      <c r="D109" s="49" t="s">
        <v>2153</v>
      </c>
      <c r="E109" s="51" t="s">
        <v>69</v>
      </c>
      <c r="F109" s="51" t="s">
        <v>3062</v>
      </c>
      <c r="G109" s="51" t="s">
        <v>2235</v>
      </c>
      <c r="H109" s="51" t="s">
        <v>2235</v>
      </c>
      <c r="I109" s="51" t="s">
        <v>2236</v>
      </c>
      <c r="J109" s="51" t="s">
        <v>3006</v>
      </c>
      <c r="K109" s="51" t="s">
        <v>2237</v>
      </c>
      <c r="L109" s="47"/>
      <c r="M109" s="47"/>
      <c r="N109" s="47"/>
      <c r="O109" s="47"/>
      <c r="P109" s="47"/>
      <c r="Q109" s="47"/>
      <c r="R109" s="47"/>
      <c r="S109" s="47"/>
      <c r="T109" s="47"/>
      <c r="U109" s="47"/>
      <c r="V109" s="47"/>
      <c r="W109" s="47"/>
      <c r="X109" s="47"/>
      <c r="Y109" s="47"/>
      <c r="Z109" s="47"/>
    </row>
    <row r="110">
      <c r="A110" s="48">
        <v>26.0</v>
      </c>
      <c r="B110" s="49" t="s">
        <v>900</v>
      </c>
      <c r="C110" s="50" t="s">
        <v>655</v>
      </c>
      <c r="D110" s="49" t="s">
        <v>1658</v>
      </c>
      <c r="E110" s="51" t="s">
        <v>69</v>
      </c>
      <c r="F110" s="51" t="s">
        <v>3072</v>
      </c>
      <c r="G110" s="51" t="s">
        <v>2235</v>
      </c>
      <c r="H110" s="51" t="s">
        <v>2235</v>
      </c>
      <c r="I110" s="51" t="s">
        <v>2236</v>
      </c>
      <c r="J110" s="51" t="s">
        <v>1417</v>
      </c>
      <c r="K110" s="51" t="s">
        <v>2237</v>
      </c>
      <c r="L110" s="47"/>
      <c r="M110" s="47"/>
      <c r="N110" s="47"/>
      <c r="O110" s="47"/>
      <c r="P110" s="47"/>
      <c r="Q110" s="47"/>
      <c r="R110" s="47"/>
      <c r="S110" s="47"/>
      <c r="T110" s="47"/>
      <c r="U110" s="47"/>
      <c r="V110" s="47"/>
      <c r="W110" s="47"/>
      <c r="X110" s="47"/>
      <c r="Y110" s="47"/>
      <c r="Z110" s="47"/>
    </row>
    <row r="111">
      <c r="A111" s="48">
        <v>26.0</v>
      </c>
      <c r="B111" s="49" t="s">
        <v>900</v>
      </c>
      <c r="C111" s="50" t="s">
        <v>655</v>
      </c>
      <c r="D111" s="49" t="s">
        <v>1476</v>
      </c>
      <c r="E111" s="51" t="s">
        <v>155</v>
      </c>
      <c r="F111" s="51" t="s">
        <v>3073</v>
      </c>
      <c r="G111" s="51" t="s">
        <v>2235</v>
      </c>
      <c r="H111" s="51" t="s">
        <v>2235</v>
      </c>
      <c r="I111" s="51" t="s">
        <v>2236</v>
      </c>
      <c r="J111" s="51" t="s">
        <v>2977</v>
      </c>
      <c r="K111" s="51" t="s">
        <v>2287</v>
      </c>
      <c r="L111" s="47"/>
      <c r="M111" s="47"/>
      <c r="N111" s="47"/>
      <c r="O111" s="47"/>
      <c r="P111" s="47"/>
      <c r="Q111" s="47"/>
      <c r="R111" s="47"/>
      <c r="S111" s="47"/>
      <c r="T111" s="47"/>
      <c r="U111" s="47"/>
      <c r="V111" s="47"/>
      <c r="W111" s="47"/>
      <c r="X111" s="47"/>
      <c r="Y111" s="47"/>
      <c r="Z111" s="47"/>
    </row>
    <row r="112">
      <c r="A112" s="48">
        <v>27.0</v>
      </c>
      <c r="B112" s="49" t="s">
        <v>909</v>
      </c>
      <c r="C112" s="50" t="s">
        <v>655</v>
      </c>
      <c r="D112" s="49" t="s">
        <v>2825</v>
      </c>
      <c r="E112" s="51" t="s">
        <v>69</v>
      </c>
      <c r="F112" s="51" t="s">
        <v>3085</v>
      </c>
      <c r="G112" s="51" t="s">
        <v>2235</v>
      </c>
      <c r="H112" s="51" t="s">
        <v>2235</v>
      </c>
      <c r="I112" s="51" t="s">
        <v>2236</v>
      </c>
      <c r="J112" s="51" t="s">
        <v>1446</v>
      </c>
      <c r="K112" s="51" t="s">
        <v>2237</v>
      </c>
      <c r="L112" s="47"/>
      <c r="M112" s="47"/>
      <c r="N112" s="47"/>
      <c r="O112" s="47"/>
      <c r="P112" s="47"/>
      <c r="Q112" s="47"/>
      <c r="R112" s="47"/>
      <c r="S112" s="47"/>
      <c r="T112" s="47"/>
      <c r="U112" s="47"/>
      <c r="V112" s="47"/>
      <c r="W112" s="47"/>
      <c r="X112" s="47"/>
      <c r="Y112" s="47"/>
      <c r="Z112" s="47"/>
    </row>
    <row r="113">
      <c r="A113" s="48">
        <v>27.0</v>
      </c>
      <c r="B113" s="49" t="s">
        <v>909</v>
      </c>
      <c r="C113" s="50" t="s">
        <v>655</v>
      </c>
      <c r="D113" s="49" t="s">
        <v>3092</v>
      </c>
      <c r="E113" s="51" t="s">
        <v>69</v>
      </c>
      <c r="F113" s="51" t="s">
        <v>3096</v>
      </c>
      <c r="G113" s="51" t="s">
        <v>2235</v>
      </c>
      <c r="H113" s="51" t="s">
        <v>2235</v>
      </c>
      <c r="I113" s="51" t="s">
        <v>2236</v>
      </c>
      <c r="J113" s="51" t="s">
        <v>3097</v>
      </c>
      <c r="K113" s="51" t="s">
        <v>2237</v>
      </c>
      <c r="L113" s="47"/>
      <c r="M113" s="47"/>
      <c r="N113" s="47"/>
      <c r="O113" s="47"/>
      <c r="P113" s="47"/>
      <c r="Q113" s="47"/>
      <c r="R113" s="47"/>
      <c r="S113" s="47"/>
      <c r="T113" s="47"/>
      <c r="U113" s="47"/>
      <c r="V113" s="47"/>
      <c r="W113" s="47"/>
      <c r="X113" s="47"/>
      <c r="Y113" s="47"/>
      <c r="Z113" s="47"/>
    </row>
    <row r="114">
      <c r="A114" s="48">
        <v>27.0</v>
      </c>
      <c r="B114" s="49" t="s">
        <v>909</v>
      </c>
      <c r="C114" s="50" t="s">
        <v>655</v>
      </c>
      <c r="D114" s="49" t="s">
        <v>3101</v>
      </c>
      <c r="E114" s="51" t="s">
        <v>69</v>
      </c>
      <c r="F114" s="51" t="s">
        <v>3102</v>
      </c>
      <c r="G114" s="51" t="s">
        <v>2235</v>
      </c>
      <c r="H114" s="51" t="s">
        <v>2235</v>
      </c>
      <c r="I114" s="51" t="s">
        <v>2236</v>
      </c>
      <c r="J114" s="51" t="s">
        <v>3103</v>
      </c>
      <c r="K114" s="51" t="s">
        <v>2237</v>
      </c>
      <c r="L114" s="47"/>
      <c r="M114" s="47"/>
      <c r="N114" s="47"/>
      <c r="O114" s="47"/>
      <c r="P114" s="47"/>
      <c r="Q114" s="47"/>
      <c r="R114" s="47"/>
      <c r="S114" s="47"/>
      <c r="T114" s="47"/>
      <c r="U114" s="47"/>
      <c r="V114" s="47"/>
      <c r="W114" s="47"/>
      <c r="X114" s="47"/>
      <c r="Y114" s="47"/>
      <c r="Z114" s="47"/>
    </row>
    <row r="115">
      <c r="A115" s="48">
        <v>27.0</v>
      </c>
      <c r="B115" s="49" t="s">
        <v>909</v>
      </c>
      <c r="C115" s="50" t="s">
        <v>655</v>
      </c>
      <c r="D115" s="49" t="s">
        <v>2207</v>
      </c>
      <c r="E115" s="51" t="s">
        <v>155</v>
      </c>
      <c r="F115" s="51" t="s">
        <v>3110</v>
      </c>
      <c r="G115" s="51" t="s">
        <v>2235</v>
      </c>
      <c r="H115" s="51" t="s">
        <v>2235</v>
      </c>
      <c r="I115" s="51" t="s">
        <v>2236</v>
      </c>
      <c r="J115" s="51" t="s">
        <v>1446</v>
      </c>
      <c r="K115" s="51" t="s">
        <v>2237</v>
      </c>
      <c r="L115" s="47"/>
      <c r="M115" s="47"/>
      <c r="N115" s="47"/>
      <c r="O115" s="47"/>
      <c r="P115" s="47"/>
      <c r="Q115" s="47"/>
      <c r="R115" s="47"/>
      <c r="S115" s="47"/>
      <c r="T115" s="47"/>
      <c r="U115" s="47"/>
      <c r="V115" s="47"/>
      <c r="W115" s="47"/>
      <c r="X115" s="47"/>
      <c r="Y115" s="47"/>
      <c r="Z115" s="47"/>
    </row>
    <row r="116">
      <c r="A116" s="48">
        <v>28.0</v>
      </c>
      <c r="B116" s="49" t="s">
        <v>93</v>
      </c>
      <c r="C116" s="50" t="s">
        <v>97</v>
      </c>
      <c r="D116" s="49" t="s">
        <v>2835</v>
      </c>
      <c r="E116" s="51" t="s">
        <v>69</v>
      </c>
      <c r="F116" s="51" t="s">
        <v>3123</v>
      </c>
      <c r="G116" s="51" t="s">
        <v>2235</v>
      </c>
      <c r="H116" s="51" t="s">
        <v>2235</v>
      </c>
      <c r="I116" s="51" t="s">
        <v>2236</v>
      </c>
      <c r="J116" s="51" t="s">
        <v>1471</v>
      </c>
      <c r="K116" s="51" t="s">
        <v>2237</v>
      </c>
      <c r="L116" s="47"/>
      <c r="M116" s="47"/>
      <c r="N116" s="47"/>
      <c r="O116" s="47"/>
      <c r="P116" s="47"/>
      <c r="Q116" s="47"/>
      <c r="R116" s="47"/>
      <c r="S116" s="47"/>
      <c r="T116" s="47"/>
      <c r="U116" s="47"/>
      <c r="V116" s="47"/>
      <c r="W116" s="47"/>
      <c r="X116" s="47"/>
      <c r="Y116" s="47"/>
      <c r="Z116" s="47"/>
    </row>
    <row r="117">
      <c r="A117" s="48">
        <v>28.0</v>
      </c>
      <c r="B117" s="49" t="s">
        <v>93</v>
      </c>
      <c r="C117" s="50" t="s">
        <v>97</v>
      </c>
      <c r="D117" s="49" t="s">
        <v>2973</v>
      </c>
      <c r="E117" s="51" t="s">
        <v>69</v>
      </c>
      <c r="F117" s="51" t="s">
        <v>3133</v>
      </c>
      <c r="G117" s="51" t="s">
        <v>2235</v>
      </c>
      <c r="H117" s="51" t="s">
        <v>2235</v>
      </c>
      <c r="I117" s="51" t="s">
        <v>2236</v>
      </c>
      <c r="J117" s="51" t="s">
        <v>3136</v>
      </c>
      <c r="K117" s="51" t="s">
        <v>2287</v>
      </c>
      <c r="L117" s="47"/>
      <c r="M117" s="47"/>
      <c r="N117" s="47"/>
      <c r="O117" s="47"/>
      <c r="P117" s="47"/>
      <c r="Q117" s="47"/>
      <c r="R117" s="47"/>
      <c r="S117" s="47"/>
      <c r="T117" s="47"/>
      <c r="U117" s="47"/>
      <c r="V117" s="47"/>
      <c r="W117" s="47"/>
      <c r="X117" s="47"/>
      <c r="Y117" s="47"/>
      <c r="Z117" s="47"/>
    </row>
    <row r="118">
      <c r="A118" s="48">
        <v>28.0</v>
      </c>
      <c r="B118" s="49" t="s">
        <v>93</v>
      </c>
      <c r="C118" s="50" t="s">
        <v>97</v>
      </c>
      <c r="D118" s="49" t="s">
        <v>3063</v>
      </c>
      <c r="E118" s="51" t="s">
        <v>69</v>
      </c>
      <c r="F118" s="51" t="s">
        <v>3146</v>
      </c>
      <c r="G118" s="51" t="s">
        <v>2235</v>
      </c>
      <c r="H118" s="51" t="s">
        <v>2235</v>
      </c>
      <c r="I118" s="51" t="s">
        <v>2236</v>
      </c>
      <c r="J118" s="51" t="s">
        <v>3147</v>
      </c>
      <c r="K118" s="51" t="s">
        <v>2287</v>
      </c>
      <c r="L118" s="47"/>
      <c r="M118" s="47"/>
      <c r="N118" s="47"/>
      <c r="O118" s="47"/>
      <c r="P118" s="47"/>
      <c r="Q118" s="47"/>
      <c r="R118" s="47"/>
      <c r="S118" s="47"/>
      <c r="T118" s="47"/>
      <c r="U118" s="47"/>
      <c r="V118" s="47"/>
      <c r="W118" s="47"/>
      <c r="X118" s="47"/>
      <c r="Y118" s="47"/>
      <c r="Z118" s="47"/>
    </row>
    <row r="119">
      <c r="A119" s="48">
        <v>28.0</v>
      </c>
      <c r="B119" s="49" t="s">
        <v>93</v>
      </c>
      <c r="C119" s="50" t="s">
        <v>97</v>
      </c>
      <c r="D119" s="49" t="s">
        <v>3059</v>
      </c>
      <c r="E119" s="51" t="s">
        <v>155</v>
      </c>
      <c r="F119" s="51" t="s">
        <v>3158</v>
      </c>
      <c r="G119" s="51" t="s">
        <v>2235</v>
      </c>
      <c r="H119" s="51" t="s">
        <v>2235</v>
      </c>
      <c r="I119" s="51" t="s">
        <v>2236</v>
      </c>
      <c r="J119" s="51" t="s">
        <v>3159</v>
      </c>
      <c r="K119" s="51" t="s">
        <v>2287</v>
      </c>
      <c r="L119" s="47"/>
      <c r="M119" s="47"/>
      <c r="N119" s="47"/>
      <c r="O119" s="47"/>
      <c r="P119" s="47"/>
      <c r="Q119" s="47"/>
      <c r="R119" s="47"/>
      <c r="S119" s="47"/>
      <c r="T119" s="47"/>
      <c r="U119" s="47"/>
      <c r="V119" s="47"/>
      <c r="W119" s="47"/>
      <c r="X119" s="47"/>
      <c r="Y119" s="47"/>
      <c r="Z119" s="47"/>
    </row>
    <row r="120">
      <c r="A120" s="48">
        <v>28.0</v>
      </c>
      <c r="B120" s="49" t="s">
        <v>93</v>
      </c>
      <c r="C120" s="50" t="s">
        <v>97</v>
      </c>
      <c r="D120" s="49" t="s">
        <v>3074</v>
      </c>
      <c r="E120" s="51" t="s">
        <v>155</v>
      </c>
      <c r="F120" s="51" t="s">
        <v>3169</v>
      </c>
      <c r="G120" s="51" t="s">
        <v>2235</v>
      </c>
      <c r="H120" s="51" t="s">
        <v>2235</v>
      </c>
      <c r="I120" s="51" t="s">
        <v>2236</v>
      </c>
      <c r="J120" s="51" t="s">
        <v>3170</v>
      </c>
      <c r="K120" s="51" t="s">
        <v>2287</v>
      </c>
      <c r="L120" s="47"/>
      <c r="M120" s="47"/>
      <c r="N120" s="47"/>
      <c r="O120" s="47"/>
      <c r="P120" s="47"/>
      <c r="Q120" s="47"/>
      <c r="R120" s="47"/>
      <c r="S120" s="47"/>
      <c r="T120" s="47"/>
      <c r="U120" s="47"/>
      <c r="V120" s="47"/>
      <c r="W120" s="47"/>
      <c r="X120" s="47"/>
      <c r="Y120" s="47"/>
      <c r="Z120" s="47"/>
    </row>
    <row r="121">
      <c r="A121" s="48">
        <v>29.0</v>
      </c>
      <c r="B121" s="49" t="s">
        <v>682</v>
      </c>
      <c r="C121" s="50" t="s">
        <v>97</v>
      </c>
      <c r="D121" s="49" t="s">
        <v>3080</v>
      </c>
      <c r="E121" s="51" t="s">
        <v>69</v>
      </c>
      <c r="F121" s="51" t="s">
        <v>3184</v>
      </c>
      <c r="G121" s="51" t="s">
        <v>2235</v>
      </c>
      <c r="H121" s="51" t="s">
        <v>2235</v>
      </c>
      <c r="I121" s="51" t="s">
        <v>2236</v>
      </c>
      <c r="J121" s="51" t="s">
        <v>1483</v>
      </c>
      <c r="K121" s="51" t="s">
        <v>2237</v>
      </c>
      <c r="L121" s="47"/>
      <c r="M121" s="47"/>
      <c r="N121" s="47"/>
      <c r="O121" s="47"/>
      <c r="P121" s="47"/>
      <c r="Q121" s="47"/>
      <c r="R121" s="47"/>
      <c r="S121" s="47"/>
      <c r="T121" s="47"/>
      <c r="U121" s="47"/>
      <c r="V121" s="47"/>
      <c r="W121" s="47"/>
      <c r="X121" s="47"/>
      <c r="Y121" s="47"/>
      <c r="Z121" s="47"/>
    </row>
    <row r="122">
      <c r="A122" s="48">
        <v>29.0</v>
      </c>
      <c r="B122" s="49" t="s">
        <v>682</v>
      </c>
      <c r="C122" s="50" t="s">
        <v>97</v>
      </c>
      <c r="D122" s="49" t="s">
        <v>3187</v>
      </c>
      <c r="E122" s="51" t="s">
        <v>69</v>
      </c>
      <c r="F122" s="51" t="s">
        <v>3195</v>
      </c>
      <c r="G122" s="51" t="s">
        <v>2235</v>
      </c>
      <c r="H122" s="51" t="s">
        <v>2235</v>
      </c>
      <c r="I122" s="51" t="s">
        <v>2236</v>
      </c>
      <c r="J122" s="51" t="s">
        <v>3197</v>
      </c>
      <c r="K122" s="51" t="s">
        <v>2237</v>
      </c>
      <c r="L122" s="47"/>
      <c r="M122" s="47"/>
      <c r="N122" s="47"/>
      <c r="O122" s="47"/>
      <c r="P122" s="47"/>
      <c r="Q122" s="47"/>
      <c r="R122" s="47"/>
      <c r="S122" s="47"/>
      <c r="T122" s="47"/>
      <c r="U122" s="47"/>
      <c r="V122" s="47"/>
      <c r="W122" s="47"/>
      <c r="X122" s="47"/>
      <c r="Y122" s="47"/>
      <c r="Z122" s="47"/>
    </row>
    <row r="123">
      <c r="A123" s="48">
        <v>29.0</v>
      </c>
      <c r="B123" s="49" t="s">
        <v>682</v>
      </c>
      <c r="C123" s="50" t="s">
        <v>97</v>
      </c>
      <c r="D123" s="49" t="s">
        <v>3183</v>
      </c>
      <c r="E123" s="51" t="s">
        <v>69</v>
      </c>
      <c r="F123" s="51" t="s">
        <v>3204</v>
      </c>
      <c r="G123" s="51" t="s">
        <v>2235</v>
      </c>
      <c r="H123" s="51" t="s">
        <v>2235</v>
      </c>
      <c r="I123" s="51" t="s">
        <v>2236</v>
      </c>
      <c r="J123" s="51" t="s">
        <v>1905</v>
      </c>
      <c r="K123" s="51" t="s">
        <v>2237</v>
      </c>
      <c r="L123" s="47"/>
      <c r="M123" s="47"/>
      <c r="N123" s="47"/>
      <c r="O123" s="47"/>
      <c r="P123" s="47"/>
      <c r="Q123" s="47"/>
      <c r="R123" s="47"/>
      <c r="S123" s="47"/>
      <c r="T123" s="47"/>
      <c r="U123" s="47"/>
      <c r="V123" s="47"/>
      <c r="W123" s="47"/>
      <c r="X123" s="47"/>
      <c r="Y123" s="47"/>
      <c r="Z123" s="47"/>
    </row>
    <row r="124">
      <c r="A124" s="48">
        <v>29.0</v>
      </c>
      <c r="B124" s="49" t="s">
        <v>682</v>
      </c>
      <c r="C124" s="50" t="s">
        <v>97</v>
      </c>
      <c r="D124" s="49" t="s">
        <v>2885</v>
      </c>
      <c r="E124" s="51" t="s">
        <v>155</v>
      </c>
      <c r="F124" s="51" t="s">
        <v>3215</v>
      </c>
      <c r="G124" s="51" t="s">
        <v>2235</v>
      </c>
      <c r="H124" s="51" t="s">
        <v>2235</v>
      </c>
      <c r="I124" s="51" t="s">
        <v>2236</v>
      </c>
      <c r="J124" s="51" t="s">
        <v>1483</v>
      </c>
      <c r="K124" s="51" t="s">
        <v>2237</v>
      </c>
      <c r="L124" s="47"/>
      <c r="M124" s="47"/>
      <c r="N124" s="47"/>
      <c r="O124" s="47"/>
      <c r="P124" s="47"/>
      <c r="Q124" s="47"/>
      <c r="R124" s="47"/>
      <c r="S124" s="47"/>
      <c r="T124" s="47"/>
      <c r="U124" s="47"/>
      <c r="V124" s="47"/>
      <c r="W124" s="47"/>
      <c r="X124" s="47"/>
      <c r="Y124" s="47"/>
      <c r="Z124" s="47"/>
    </row>
    <row r="125">
      <c r="A125" s="48">
        <v>29.0</v>
      </c>
      <c r="B125" s="49" t="s">
        <v>682</v>
      </c>
      <c r="C125" s="50" t="s">
        <v>97</v>
      </c>
      <c r="D125" s="49" t="s">
        <v>2946</v>
      </c>
      <c r="E125" s="51" t="s">
        <v>155</v>
      </c>
      <c r="F125" s="51" t="s">
        <v>3225</v>
      </c>
      <c r="G125" s="51" t="s">
        <v>2235</v>
      </c>
      <c r="H125" s="51" t="s">
        <v>2235</v>
      </c>
      <c r="I125" s="51" t="s">
        <v>2236</v>
      </c>
      <c r="J125" s="51" t="s">
        <v>3197</v>
      </c>
      <c r="K125" s="51" t="s">
        <v>2237</v>
      </c>
      <c r="L125" s="47"/>
      <c r="M125" s="47"/>
      <c r="N125" s="47"/>
      <c r="O125" s="47"/>
      <c r="P125" s="47"/>
      <c r="Q125" s="47"/>
      <c r="R125" s="47"/>
      <c r="S125" s="47"/>
      <c r="T125" s="47"/>
      <c r="U125" s="47"/>
      <c r="V125" s="47"/>
      <c r="W125" s="47"/>
      <c r="X125" s="47"/>
      <c r="Y125" s="47"/>
      <c r="Z125" s="47"/>
    </row>
    <row r="126">
      <c r="A126" s="48">
        <v>30.0</v>
      </c>
      <c r="B126" s="49" t="s">
        <v>918</v>
      </c>
      <c r="C126" s="50" t="s">
        <v>97</v>
      </c>
      <c r="D126" s="49" t="s">
        <v>1463</v>
      </c>
      <c r="E126" s="51" t="s">
        <v>69</v>
      </c>
      <c r="F126" s="51" t="s">
        <v>3242</v>
      </c>
      <c r="G126" s="51" t="s">
        <v>2235</v>
      </c>
      <c r="H126" s="51" t="s">
        <v>2235</v>
      </c>
      <c r="I126" s="51" t="s">
        <v>2236</v>
      </c>
      <c r="J126" s="51" t="s">
        <v>1494</v>
      </c>
      <c r="K126" s="51" t="s">
        <v>2237</v>
      </c>
      <c r="L126" s="47"/>
      <c r="M126" s="47"/>
      <c r="N126" s="47"/>
      <c r="O126" s="47"/>
      <c r="P126" s="47"/>
      <c r="Q126" s="47"/>
      <c r="R126" s="47"/>
      <c r="S126" s="47"/>
      <c r="T126" s="47"/>
      <c r="U126" s="47"/>
      <c r="V126" s="47"/>
      <c r="W126" s="47"/>
      <c r="X126" s="47"/>
      <c r="Y126" s="47"/>
      <c r="Z126" s="47"/>
    </row>
    <row r="127">
      <c r="A127" s="48">
        <v>30.0</v>
      </c>
      <c r="B127" s="49" t="s">
        <v>918</v>
      </c>
      <c r="C127" s="50" t="s">
        <v>97</v>
      </c>
      <c r="D127" s="49" t="s">
        <v>2400</v>
      </c>
      <c r="E127" s="51" t="s">
        <v>69</v>
      </c>
      <c r="F127" s="51" t="s">
        <v>3253</v>
      </c>
      <c r="G127" s="51" t="s">
        <v>2235</v>
      </c>
      <c r="H127" s="51" t="s">
        <v>2235</v>
      </c>
      <c r="I127" s="51" t="s">
        <v>2236</v>
      </c>
      <c r="J127" s="51" t="s">
        <v>3254</v>
      </c>
      <c r="K127" s="51" t="s">
        <v>2237</v>
      </c>
      <c r="L127" s="47"/>
      <c r="M127" s="47"/>
      <c r="N127" s="47"/>
      <c r="O127" s="47"/>
      <c r="P127" s="47"/>
      <c r="Q127" s="47"/>
      <c r="R127" s="47"/>
      <c r="S127" s="47"/>
      <c r="T127" s="47"/>
      <c r="U127" s="47"/>
      <c r="V127" s="47"/>
      <c r="W127" s="47"/>
      <c r="X127" s="47"/>
      <c r="Y127" s="47"/>
      <c r="Z127" s="47"/>
    </row>
    <row r="128">
      <c r="A128" s="48">
        <v>30.0</v>
      </c>
      <c r="B128" s="49" t="s">
        <v>918</v>
      </c>
      <c r="C128" s="50" t="s">
        <v>97</v>
      </c>
      <c r="D128" s="49" t="s">
        <v>2967</v>
      </c>
      <c r="E128" s="51" t="s">
        <v>69</v>
      </c>
      <c r="F128" s="51" t="s">
        <v>3261</v>
      </c>
      <c r="G128" s="51" t="s">
        <v>2235</v>
      </c>
      <c r="H128" s="51" t="s">
        <v>2235</v>
      </c>
      <c r="I128" s="51" t="s">
        <v>2236</v>
      </c>
      <c r="J128" s="51" t="s">
        <v>1494</v>
      </c>
      <c r="K128" s="51" t="s">
        <v>2237</v>
      </c>
      <c r="L128" s="47"/>
      <c r="M128" s="47"/>
      <c r="N128" s="47"/>
      <c r="O128" s="47"/>
      <c r="P128" s="47"/>
      <c r="Q128" s="47"/>
      <c r="R128" s="47"/>
      <c r="S128" s="47"/>
      <c r="T128" s="47"/>
      <c r="U128" s="47"/>
      <c r="V128" s="47"/>
      <c r="W128" s="47"/>
      <c r="X128" s="47"/>
      <c r="Y128" s="47"/>
      <c r="Z128" s="47"/>
    </row>
    <row r="129">
      <c r="A129" s="48">
        <v>30.0</v>
      </c>
      <c r="B129" s="49" t="s">
        <v>918</v>
      </c>
      <c r="C129" s="50" t="s">
        <v>97</v>
      </c>
      <c r="D129" s="49" t="s">
        <v>3020</v>
      </c>
      <c r="E129" s="51" t="s">
        <v>69</v>
      </c>
      <c r="F129" s="51" t="s">
        <v>3278</v>
      </c>
      <c r="G129" s="51" t="s">
        <v>2235</v>
      </c>
      <c r="H129" s="51" t="s">
        <v>2235</v>
      </c>
      <c r="I129" s="51" t="s">
        <v>2236</v>
      </c>
      <c r="J129" s="51" t="s">
        <v>3254</v>
      </c>
      <c r="K129" s="51" t="s">
        <v>2237</v>
      </c>
      <c r="L129" s="47"/>
      <c r="M129" s="47"/>
      <c r="N129" s="47"/>
      <c r="O129" s="47"/>
      <c r="P129" s="47"/>
      <c r="Q129" s="47"/>
      <c r="R129" s="47"/>
      <c r="S129" s="47"/>
      <c r="T129" s="47"/>
      <c r="U129" s="47"/>
      <c r="V129" s="47"/>
      <c r="W129" s="47"/>
      <c r="X129" s="47"/>
      <c r="Y129" s="47"/>
      <c r="Z129" s="47"/>
    </row>
    <row r="130">
      <c r="A130" s="48">
        <v>30.0</v>
      </c>
      <c r="B130" s="49" t="s">
        <v>918</v>
      </c>
      <c r="C130" s="50" t="s">
        <v>97</v>
      </c>
      <c r="D130" s="49" t="s">
        <v>2794</v>
      </c>
      <c r="E130" s="51" t="s">
        <v>155</v>
      </c>
      <c r="F130" s="51" t="s">
        <v>3294</v>
      </c>
      <c r="G130" s="51" t="s">
        <v>2235</v>
      </c>
      <c r="H130" s="51" t="s">
        <v>2235</v>
      </c>
      <c r="I130" s="51" t="s">
        <v>2236</v>
      </c>
      <c r="J130" s="51" t="s">
        <v>1494</v>
      </c>
      <c r="K130" s="51" t="s">
        <v>2237</v>
      </c>
      <c r="L130" s="47"/>
      <c r="M130" s="47"/>
      <c r="N130" s="47"/>
      <c r="O130" s="47"/>
      <c r="P130" s="47"/>
      <c r="Q130" s="47"/>
      <c r="R130" s="47"/>
      <c r="S130" s="47"/>
      <c r="T130" s="47"/>
      <c r="U130" s="47"/>
      <c r="V130" s="47"/>
      <c r="W130" s="47"/>
      <c r="X130" s="47"/>
      <c r="Y130" s="47"/>
      <c r="Z130" s="47"/>
    </row>
    <row r="131">
      <c r="A131" s="48">
        <v>31.0</v>
      </c>
      <c r="B131" s="49" t="s">
        <v>922</v>
      </c>
      <c r="C131" s="50" t="s">
        <v>97</v>
      </c>
      <c r="D131" s="49" t="s">
        <v>3189</v>
      </c>
      <c r="E131" s="51" t="s">
        <v>69</v>
      </c>
      <c r="F131" s="51" t="s">
        <v>3316</v>
      </c>
      <c r="G131" s="51" t="s">
        <v>2235</v>
      </c>
      <c r="H131" s="51" t="s">
        <v>2235</v>
      </c>
      <c r="I131" s="51" t="s">
        <v>2236</v>
      </c>
      <c r="J131" s="51" t="s">
        <v>1507</v>
      </c>
      <c r="K131" s="51" t="s">
        <v>2237</v>
      </c>
      <c r="L131" s="47"/>
      <c r="M131" s="47"/>
      <c r="N131" s="47"/>
      <c r="O131" s="47"/>
      <c r="P131" s="47"/>
      <c r="Q131" s="47"/>
      <c r="R131" s="47"/>
      <c r="S131" s="47"/>
      <c r="T131" s="47"/>
      <c r="U131" s="47"/>
      <c r="V131" s="47"/>
      <c r="W131" s="47"/>
      <c r="X131" s="47"/>
      <c r="Y131" s="47"/>
      <c r="Z131" s="47"/>
    </row>
    <row r="132">
      <c r="A132" s="48">
        <v>31.0</v>
      </c>
      <c r="B132" s="49" t="s">
        <v>922</v>
      </c>
      <c r="C132" s="50" t="s">
        <v>97</v>
      </c>
      <c r="D132" s="49" t="s">
        <v>1426</v>
      </c>
      <c r="E132" s="51" t="s">
        <v>69</v>
      </c>
      <c r="F132" s="51" t="s">
        <v>3328</v>
      </c>
      <c r="G132" s="51" t="s">
        <v>2235</v>
      </c>
      <c r="H132" s="51" t="s">
        <v>2235</v>
      </c>
      <c r="I132" s="51" t="s">
        <v>2236</v>
      </c>
      <c r="J132" s="51" t="s">
        <v>3331</v>
      </c>
      <c r="K132" s="51" t="s">
        <v>2237</v>
      </c>
      <c r="L132" s="47"/>
      <c r="M132" s="47"/>
      <c r="N132" s="47"/>
      <c r="O132" s="47"/>
      <c r="P132" s="47"/>
      <c r="Q132" s="47"/>
      <c r="R132" s="47"/>
      <c r="S132" s="47"/>
      <c r="T132" s="47"/>
      <c r="U132" s="47"/>
      <c r="V132" s="47"/>
      <c r="W132" s="47"/>
      <c r="X132" s="47"/>
      <c r="Y132" s="47"/>
      <c r="Z132" s="47"/>
    </row>
    <row r="133">
      <c r="A133" s="48">
        <v>31.0</v>
      </c>
      <c r="B133" s="49" t="s">
        <v>922</v>
      </c>
      <c r="C133" s="50" t="s">
        <v>97</v>
      </c>
      <c r="D133" s="49" t="s">
        <v>3269</v>
      </c>
      <c r="E133" s="51" t="s">
        <v>155</v>
      </c>
      <c r="F133" s="51" t="s">
        <v>3343</v>
      </c>
      <c r="G133" s="51" t="s">
        <v>2235</v>
      </c>
      <c r="H133" s="51" t="s">
        <v>2235</v>
      </c>
      <c r="I133" s="51" t="s">
        <v>2236</v>
      </c>
      <c r="J133" s="51" t="s">
        <v>1507</v>
      </c>
      <c r="K133" s="51" t="s">
        <v>2237</v>
      </c>
      <c r="L133" s="47"/>
      <c r="M133" s="47"/>
      <c r="N133" s="47"/>
      <c r="O133" s="47"/>
      <c r="P133" s="47"/>
      <c r="Q133" s="47"/>
      <c r="R133" s="47"/>
      <c r="S133" s="47"/>
      <c r="T133" s="47"/>
      <c r="U133" s="47"/>
      <c r="V133" s="47"/>
      <c r="W133" s="47"/>
      <c r="X133" s="47"/>
      <c r="Y133" s="47"/>
      <c r="Z133" s="47"/>
    </row>
    <row r="134">
      <c r="A134" s="48">
        <v>31.0</v>
      </c>
      <c r="B134" s="49" t="s">
        <v>922</v>
      </c>
      <c r="C134" s="50" t="s">
        <v>97</v>
      </c>
      <c r="D134" s="49" t="s">
        <v>1561</v>
      </c>
      <c r="E134" s="51" t="s">
        <v>155</v>
      </c>
      <c r="F134" s="51" t="s">
        <v>3352</v>
      </c>
      <c r="G134" s="51" t="s">
        <v>2235</v>
      </c>
      <c r="H134" s="51" t="s">
        <v>2235</v>
      </c>
      <c r="I134" s="51" t="s">
        <v>2236</v>
      </c>
      <c r="J134" s="51" t="s">
        <v>3331</v>
      </c>
      <c r="K134" s="51" t="s">
        <v>2237</v>
      </c>
      <c r="L134" s="47"/>
      <c r="M134" s="47"/>
      <c r="N134" s="47"/>
      <c r="O134" s="47"/>
      <c r="P134" s="47"/>
      <c r="Q134" s="47"/>
      <c r="R134" s="47"/>
      <c r="S134" s="47"/>
      <c r="T134" s="47"/>
      <c r="U134" s="47"/>
      <c r="V134" s="47"/>
      <c r="W134" s="47"/>
      <c r="X134" s="47"/>
      <c r="Y134" s="47"/>
      <c r="Z134" s="47"/>
    </row>
    <row r="135">
      <c r="A135" s="48">
        <v>31.0</v>
      </c>
      <c r="B135" s="49" t="s">
        <v>922</v>
      </c>
      <c r="C135" s="50" t="s">
        <v>97</v>
      </c>
      <c r="D135" s="49" t="s">
        <v>259</v>
      </c>
      <c r="E135" s="51" t="s">
        <v>155</v>
      </c>
      <c r="F135" s="51" t="s">
        <v>3362</v>
      </c>
      <c r="G135" s="51" t="s">
        <v>2235</v>
      </c>
      <c r="H135" s="51" t="s">
        <v>2235</v>
      </c>
      <c r="I135" s="51" t="s">
        <v>2236</v>
      </c>
      <c r="J135" s="51" t="s">
        <v>1507</v>
      </c>
      <c r="K135" s="51" t="s">
        <v>2237</v>
      </c>
      <c r="L135" s="47"/>
      <c r="M135" s="47"/>
      <c r="N135" s="47"/>
      <c r="O135" s="47"/>
      <c r="P135" s="47"/>
      <c r="Q135" s="47"/>
      <c r="R135" s="47"/>
      <c r="S135" s="47"/>
      <c r="T135" s="47"/>
      <c r="U135" s="47"/>
      <c r="V135" s="47"/>
      <c r="W135" s="47"/>
      <c r="X135" s="47"/>
      <c r="Y135" s="47"/>
      <c r="Z135" s="47"/>
    </row>
    <row r="136">
      <c r="A136" s="48">
        <v>32.0</v>
      </c>
      <c r="B136" s="49" t="s">
        <v>925</v>
      </c>
      <c r="C136" s="50" t="s">
        <v>97</v>
      </c>
      <c r="D136" s="49" t="s">
        <v>1416</v>
      </c>
      <c r="E136" s="51" t="s">
        <v>69</v>
      </c>
      <c r="F136" s="51" t="s">
        <v>3366</v>
      </c>
      <c r="G136" s="51" t="s">
        <v>2235</v>
      </c>
      <c r="H136" s="51" t="s">
        <v>2235</v>
      </c>
      <c r="I136" s="51" t="s">
        <v>2236</v>
      </c>
      <c r="J136" s="51" t="s">
        <v>1528</v>
      </c>
      <c r="K136" s="51" t="s">
        <v>2287</v>
      </c>
      <c r="L136" s="47"/>
      <c r="M136" s="47"/>
      <c r="N136" s="47"/>
      <c r="O136" s="47"/>
      <c r="P136" s="47"/>
      <c r="Q136" s="47"/>
      <c r="R136" s="47"/>
      <c r="S136" s="47"/>
      <c r="T136" s="47"/>
      <c r="U136" s="47"/>
      <c r="V136" s="47"/>
      <c r="W136" s="47"/>
      <c r="X136" s="47"/>
      <c r="Y136" s="47"/>
      <c r="Z136" s="47"/>
    </row>
    <row r="137">
      <c r="A137" s="48">
        <v>32.0</v>
      </c>
      <c r="B137" s="49" t="s">
        <v>925</v>
      </c>
      <c r="C137" s="50" t="s">
        <v>97</v>
      </c>
      <c r="D137" s="49" t="s">
        <v>2600</v>
      </c>
      <c r="E137" s="51" t="s">
        <v>155</v>
      </c>
      <c r="F137" s="51" t="s">
        <v>3371</v>
      </c>
      <c r="G137" s="51" t="s">
        <v>2235</v>
      </c>
      <c r="H137" s="51" t="s">
        <v>2235</v>
      </c>
      <c r="I137" s="51" t="s">
        <v>2236</v>
      </c>
      <c r="J137" s="51" t="s">
        <v>3372</v>
      </c>
      <c r="K137" s="51" t="s">
        <v>2237</v>
      </c>
      <c r="L137" s="47"/>
      <c r="M137" s="47"/>
      <c r="N137" s="47"/>
      <c r="O137" s="47"/>
      <c r="P137" s="47"/>
      <c r="Q137" s="47"/>
      <c r="R137" s="47"/>
      <c r="S137" s="47"/>
      <c r="T137" s="47"/>
      <c r="U137" s="47"/>
      <c r="V137" s="47"/>
      <c r="W137" s="47"/>
      <c r="X137" s="47"/>
      <c r="Y137" s="47"/>
      <c r="Z137" s="47"/>
    </row>
    <row r="138">
      <c r="A138" s="48">
        <v>32.0</v>
      </c>
      <c r="B138" s="49" t="s">
        <v>925</v>
      </c>
      <c r="C138" s="50" t="s">
        <v>97</v>
      </c>
      <c r="D138" s="49" t="s">
        <v>1901</v>
      </c>
      <c r="E138" s="51" t="s">
        <v>155</v>
      </c>
      <c r="F138" s="51" t="s">
        <v>3379</v>
      </c>
      <c r="G138" s="51" t="s">
        <v>2235</v>
      </c>
      <c r="H138" s="51" t="s">
        <v>2235</v>
      </c>
      <c r="I138" s="51" t="s">
        <v>2236</v>
      </c>
      <c r="J138" s="51" t="s">
        <v>3381</v>
      </c>
      <c r="K138" s="51" t="s">
        <v>2237</v>
      </c>
      <c r="L138" s="47"/>
      <c r="M138" s="47"/>
      <c r="N138" s="47"/>
      <c r="O138" s="47"/>
      <c r="P138" s="47"/>
      <c r="Q138" s="47"/>
      <c r="R138" s="47"/>
      <c r="S138" s="47"/>
      <c r="T138" s="47"/>
      <c r="U138" s="47"/>
      <c r="V138" s="47"/>
      <c r="W138" s="47"/>
      <c r="X138" s="47"/>
      <c r="Y138" s="47"/>
      <c r="Z138" s="47"/>
    </row>
    <row r="139">
      <c r="A139" s="48">
        <v>32.0</v>
      </c>
      <c r="B139" s="49" t="s">
        <v>925</v>
      </c>
      <c r="C139" s="50" t="s">
        <v>97</v>
      </c>
      <c r="D139" s="49" t="s">
        <v>3188</v>
      </c>
      <c r="E139" s="51" t="s">
        <v>155</v>
      </c>
      <c r="F139" s="51" t="s">
        <v>3386</v>
      </c>
      <c r="G139" s="51" t="s">
        <v>2235</v>
      </c>
      <c r="H139" s="51" t="s">
        <v>2235</v>
      </c>
      <c r="I139" s="51" t="s">
        <v>2236</v>
      </c>
      <c r="J139" s="51" t="s">
        <v>1528</v>
      </c>
      <c r="K139" s="51" t="s">
        <v>2237</v>
      </c>
      <c r="L139" s="47"/>
      <c r="M139" s="47"/>
      <c r="N139" s="47"/>
      <c r="O139" s="47"/>
      <c r="P139" s="47"/>
      <c r="Q139" s="47"/>
      <c r="R139" s="47"/>
      <c r="S139" s="47"/>
      <c r="T139" s="47"/>
      <c r="U139" s="47"/>
      <c r="V139" s="47"/>
      <c r="W139" s="47"/>
      <c r="X139" s="47"/>
      <c r="Y139" s="47"/>
      <c r="Z139" s="47"/>
    </row>
    <row r="140">
      <c r="A140" s="48">
        <v>32.0</v>
      </c>
      <c r="B140" s="49" t="s">
        <v>925</v>
      </c>
      <c r="C140" s="50" t="s">
        <v>97</v>
      </c>
      <c r="D140" s="49" t="s">
        <v>293</v>
      </c>
      <c r="E140" s="51" t="s">
        <v>155</v>
      </c>
      <c r="F140" s="51" t="s">
        <v>3392</v>
      </c>
      <c r="G140" s="51" t="s">
        <v>2235</v>
      </c>
      <c r="H140" s="51" t="s">
        <v>2235</v>
      </c>
      <c r="I140" s="51" t="s">
        <v>2236</v>
      </c>
      <c r="J140" s="51" t="s">
        <v>3372</v>
      </c>
      <c r="K140" s="51" t="s">
        <v>2237</v>
      </c>
      <c r="L140" s="47"/>
      <c r="M140" s="47"/>
      <c r="N140" s="47"/>
      <c r="O140" s="47"/>
      <c r="P140" s="47"/>
      <c r="Q140" s="47"/>
      <c r="R140" s="47"/>
      <c r="S140" s="47"/>
      <c r="T140" s="47"/>
      <c r="U140" s="47"/>
      <c r="V140" s="47"/>
      <c r="W140" s="47"/>
      <c r="X140" s="47"/>
      <c r="Y140" s="47"/>
      <c r="Z140" s="47"/>
    </row>
    <row r="141">
      <c r="A141" s="48">
        <v>33.0</v>
      </c>
      <c r="B141" s="49" t="s">
        <v>700</v>
      </c>
      <c r="C141" s="50" t="s">
        <v>97</v>
      </c>
      <c r="D141" s="49" t="s">
        <v>3081</v>
      </c>
      <c r="E141" s="51" t="s">
        <v>69</v>
      </c>
      <c r="F141" s="51" t="s">
        <v>3398</v>
      </c>
      <c r="G141" s="51" t="s">
        <v>2235</v>
      </c>
      <c r="H141" s="51" t="s">
        <v>2235</v>
      </c>
      <c r="I141" s="51" t="s">
        <v>2236</v>
      </c>
      <c r="J141" s="51" t="s">
        <v>1537</v>
      </c>
      <c r="K141" s="51" t="s">
        <v>2237</v>
      </c>
      <c r="L141" s="47"/>
      <c r="M141" s="47"/>
      <c r="N141" s="47"/>
      <c r="O141" s="47"/>
      <c r="P141" s="47"/>
      <c r="Q141" s="47"/>
      <c r="R141" s="47"/>
      <c r="S141" s="47"/>
      <c r="T141" s="47"/>
      <c r="U141" s="47"/>
      <c r="V141" s="47"/>
      <c r="W141" s="47"/>
      <c r="X141" s="47"/>
      <c r="Y141" s="47"/>
      <c r="Z141" s="47"/>
    </row>
    <row r="142">
      <c r="A142" s="48">
        <v>33.0</v>
      </c>
      <c r="B142" s="49" t="s">
        <v>700</v>
      </c>
      <c r="C142" s="50" t="s">
        <v>97</v>
      </c>
      <c r="D142" s="49" t="s">
        <v>2921</v>
      </c>
      <c r="E142" s="51" t="s">
        <v>69</v>
      </c>
      <c r="F142" s="51" t="s">
        <v>3407</v>
      </c>
      <c r="G142" s="51" t="s">
        <v>2235</v>
      </c>
      <c r="H142" s="51" t="s">
        <v>2235</v>
      </c>
      <c r="I142" s="51" t="s">
        <v>2236</v>
      </c>
      <c r="J142" s="51" t="s">
        <v>3408</v>
      </c>
      <c r="K142" s="51" t="s">
        <v>2237</v>
      </c>
      <c r="L142" s="47"/>
      <c r="M142" s="47"/>
      <c r="N142" s="47"/>
      <c r="O142" s="47"/>
      <c r="P142" s="47"/>
      <c r="Q142" s="47"/>
      <c r="R142" s="47"/>
      <c r="S142" s="47"/>
      <c r="T142" s="47"/>
      <c r="U142" s="47"/>
      <c r="V142" s="47"/>
      <c r="W142" s="47"/>
      <c r="X142" s="47"/>
      <c r="Y142" s="47"/>
      <c r="Z142" s="47"/>
    </row>
    <row r="143">
      <c r="A143" s="48">
        <v>33.0</v>
      </c>
      <c r="B143" s="49" t="s">
        <v>700</v>
      </c>
      <c r="C143" s="50" t="s">
        <v>97</v>
      </c>
      <c r="D143" s="49" t="s">
        <v>1767</v>
      </c>
      <c r="E143" s="51" t="s">
        <v>69</v>
      </c>
      <c r="F143" s="51" t="s">
        <v>3411</v>
      </c>
      <c r="G143" s="51" t="s">
        <v>2235</v>
      </c>
      <c r="H143" s="51" t="s">
        <v>2235</v>
      </c>
      <c r="I143" s="51" t="s">
        <v>2236</v>
      </c>
      <c r="J143" s="51" t="s">
        <v>1537</v>
      </c>
      <c r="K143" s="51" t="s">
        <v>2237</v>
      </c>
      <c r="L143" s="47"/>
      <c r="M143" s="47"/>
      <c r="N143" s="47"/>
      <c r="O143" s="47"/>
      <c r="P143" s="47"/>
      <c r="Q143" s="47"/>
      <c r="R143" s="47"/>
      <c r="S143" s="47"/>
      <c r="T143" s="47"/>
      <c r="U143" s="47"/>
      <c r="V143" s="47"/>
      <c r="W143" s="47"/>
      <c r="X143" s="47"/>
      <c r="Y143" s="47"/>
      <c r="Z143" s="47"/>
    </row>
    <row r="144">
      <c r="A144" s="48">
        <v>33.0</v>
      </c>
      <c r="B144" s="49" t="s">
        <v>700</v>
      </c>
      <c r="C144" s="50" t="s">
        <v>97</v>
      </c>
      <c r="D144" s="49" t="s">
        <v>3182</v>
      </c>
      <c r="E144" s="51" t="s">
        <v>155</v>
      </c>
      <c r="F144" s="51" t="s">
        <v>3415</v>
      </c>
      <c r="G144" s="51" t="s">
        <v>2235</v>
      </c>
      <c r="H144" s="51" t="s">
        <v>2235</v>
      </c>
      <c r="I144" s="51" t="s">
        <v>2236</v>
      </c>
      <c r="J144" s="51" t="s">
        <v>3408</v>
      </c>
      <c r="K144" s="51" t="s">
        <v>2237</v>
      </c>
      <c r="L144" s="47"/>
      <c r="M144" s="47"/>
      <c r="N144" s="47"/>
      <c r="O144" s="47"/>
      <c r="P144" s="47"/>
      <c r="Q144" s="47"/>
      <c r="R144" s="47"/>
      <c r="S144" s="47"/>
      <c r="T144" s="47"/>
      <c r="U144" s="47"/>
      <c r="V144" s="47"/>
      <c r="W144" s="47"/>
      <c r="X144" s="47"/>
      <c r="Y144" s="47"/>
      <c r="Z144" s="47"/>
    </row>
    <row r="145">
      <c r="A145" s="48">
        <v>33.0</v>
      </c>
      <c r="B145" s="49" t="s">
        <v>700</v>
      </c>
      <c r="C145" s="50" t="s">
        <v>97</v>
      </c>
      <c r="D145" s="49" t="s">
        <v>3186</v>
      </c>
      <c r="E145" s="51" t="s">
        <v>155</v>
      </c>
      <c r="F145" s="51" t="s">
        <v>3422</v>
      </c>
      <c r="G145" s="51" t="s">
        <v>2235</v>
      </c>
      <c r="H145" s="51" t="s">
        <v>2235</v>
      </c>
      <c r="I145" s="51" t="s">
        <v>2236</v>
      </c>
      <c r="J145" s="51" t="s">
        <v>1537</v>
      </c>
      <c r="K145" s="51" t="s">
        <v>2237</v>
      </c>
      <c r="L145" s="47"/>
      <c r="M145" s="47"/>
      <c r="N145" s="47"/>
      <c r="O145" s="47"/>
      <c r="P145" s="47"/>
      <c r="Q145" s="47"/>
      <c r="R145" s="47"/>
      <c r="S145" s="47"/>
      <c r="T145" s="47"/>
      <c r="U145" s="47"/>
      <c r="V145" s="47"/>
      <c r="W145" s="47"/>
      <c r="X145" s="47"/>
      <c r="Y145" s="47"/>
      <c r="Z145" s="47"/>
    </row>
    <row r="146">
      <c r="A146" s="48">
        <v>34.0</v>
      </c>
      <c r="B146" s="49" t="s">
        <v>934</v>
      </c>
      <c r="C146" s="50" t="s">
        <v>97</v>
      </c>
      <c r="D146" s="49" t="s">
        <v>2973</v>
      </c>
      <c r="E146" s="51" t="s">
        <v>69</v>
      </c>
      <c r="F146" s="51" t="s">
        <v>3426</v>
      </c>
      <c r="G146" s="51" t="s">
        <v>2235</v>
      </c>
      <c r="H146" s="51" t="s">
        <v>2235</v>
      </c>
      <c r="I146" s="51" t="s">
        <v>2236</v>
      </c>
      <c r="J146" s="51" t="s">
        <v>1552</v>
      </c>
      <c r="K146" s="51" t="s">
        <v>2287</v>
      </c>
      <c r="L146" s="47"/>
      <c r="M146" s="47"/>
      <c r="N146" s="47"/>
      <c r="O146" s="47"/>
      <c r="P146" s="47"/>
      <c r="Q146" s="47"/>
      <c r="R146" s="47"/>
      <c r="S146" s="47"/>
      <c r="T146" s="47"/>
      <c r="U146" s="47"/>
      <c r="V146" s="47"/>
      <c r="W146" s="47"/>
      <c r="X146" s="47"/>
      <c r="Y146" s="47"/>
      <c r="Z146" s="47"/>
    </row>
    <row r="147">
      <c r="A147" s="48">
        <v>34.0</v>
      </c>
      <c r="B147" s="49" t="s">
        <v>934</v>
      </c>
      <c r="C147" s="50" t="s">
        <v>97</v>
      </c>
      <c r="D147" s="49" t="s">
        <v>1953</v>
      </c>
      <c r="E147" s="51" t="s">
        <v>155</v>
      </c>
      <c r="F147" s="51" t="s">
        <v>3431</v>
      </c>
      <c r="G147" s="51" t="s">
        <v>2235</v>
      </c>
      <c r="H147" s="51" t="s">
        <v>2235</v>
      </c>
      <c r="I147" s="51" t="s">
        <v>2236</v>
      </c>
      <c r="J147" s="51" t="s">
        <v>3432</v>
      </c>
      <c r="K147" s="51" t="s">
        <v>2287</v>
      </c>
      <c r="L147" s="47"/>
      <c r="M147" s="47"/>
      <c r="N147" s="47"/>
      <c r="O147" s="47"/>
      <c r="P147" s="47"/>
      <c r="Q147" s="47"/>
      <c r="R147" s="47"/>
      <c r="S147" s="47"/>
      <c r="T147" s="47"/>
      <c r="U147" s="47"/>
      <c r="V147" s="47"/>
      <c r="W147" s="47"/>
      <c r="X147" s="47"/>
      <c r="Y147" s="47"/>
      <c r="Z147" s="47"/>
    </row>
    <row r="148">
      <c r="A148" s="48">
        <v>34.0</v>
      </c>
      <c r="B148" s="49" t="s">
        <v>934</v>
      </c>
      <c r="C148" s="50" t="s">
        <v>97</v>
      </c>
      <c r="D148" s="49" t="s">
        <v>3067</v>
      </c>
      <c r="E148" s="51" t="s">
        <v>155</v>
      </c>
      <c r="F148" s="51" t="s">
        <v>3441</v>
      </c>
      <c r="G148" s="51" t="s">
        <v>2235</v>
      </c>
      <c r="H148" s="51" t="s">
        <v>2235</v>
      </c>
      <c r="I148" s="51" t="s">
        <v>2236</v>
      </c>
      <c r="J148" s="51" t="s">
        <v>1552</v>
      </c>
      <c r="K148" s="51" t="s">
        <v>2287</v>
      </c>
      <c r="L148" s="47"/>
      <c r="M148" s="47"/>
      <c r="N148" s="47"/>
      <c r="O148" s="47"/>
      <c r="P148" s="47"/>
      <c r="Q148" s="47"/>
      <c r="R148" s="47"/>
      <c r="S148" s="47"/>
      <c r="T148" s="47"/>
      <c r="U148" s="47"/>
      <c r="V148" s="47"/>
      <c r="W148" s="47"/>
      <c r="X148" s="47"/>
      <c r="Y148" s="47"/>
      <c r="Z148" s="47"/>
    </row>
    <row r="149">
      <c r="A149" s="48">
        <v>35.0</v>
      </c>
      <c r="B149" s="49" t="s">
        <v>941</v>
      </c>
      <c r="C149" s="50" t="s">
        <v>97</v>
      </c>
      <c r="D149" s="49" t="s">
        <v>3163</v>
      </c>
      <c r="E149" s="51" t="s">
        <v>69</v>
      </c>
      <c r="F149" s="51" t="s">
        <v>3445</v>
      </c>
      <c r="G149" s="51" t="s">
        <v>2235</v>
      </c>
      <c r="H149" s="51" t="s">
        <v>2235</v>
      </c>
      <c r="I149" s="51" t="s">
        <v>2236</v>
      </c>
      <c r="J149" s="51" t="s">
        <v>1558</v>
      </c>
      <c r="K149" s="51" t="s">
        <v>2237</v>
      </c>
      <c r="L149" s="47"/>
      <c r="M149" s="47"/>
      <c r="N149" s="47"/>
      <c r="O149" s="47"/>
      <c r="P149" s="47"/>
      <c r="Q149" s="47"/>
      <c r="R149" s="47"/>
      <c r="S149" s="47"/>
      <c r="T149" s="47"/>
      <c r="U149" s="47"/>
      <c r="V149" s="47"/>
      <c r="W149" s="47"/>
      <c r="X149" s="47"/>
      <c r="Y149" s="47"/>
      <c r="Z149" s="47"/>
    </row>
    <row r="150">
      <c r="A150" s="48">
        <v>35.0</v>
      </c>
      <c r="B150" s="49" t="s">
        <v>941</v>
      </c>
      <c r="C150" s="50" t="s">
        <v>97</v>
      </c>
      <c r="D150" s="49" t="s">
        <v>3089</v>
      </c>
      <c r="E150" s="51" t="s">
        <v>69</v>
      </c>
      <c r="F150" s="51" t="s">
        <v>3450</v>
      </c>
      <c r="G150" s="51" t="s">
        <v>2235</v>
      </c>
      <c r="H150" s="51" t="s">
        <v>2235</v>
      </c>
      <c r="I150" s="51" t="s">
        <v>2236</v>
      </c>
      <c r="J150" s="51" t="s">
        <v>3453</v>
      </c>
      <c r="K150" s="51" t="s">
        <v>2237</v>
      </c>
      <c r="L150" s="47"/>
      <c r="M150" s="47"/>
      <c r="N150" s="47"/>
      <c r="O150" s="47"/>
      <c r="P150" s="47"/>
      <c r="Q150" s="47"/>
      <c r="R150" s="47"/>
      <c r="S150" s="47"/>
      <c r="T150" s="47"/>
      <c r="U150" s="47"/>
      <c r="V150" s="47"/>
      <c r="W150" s="47"/>
      <c r="X150" s="47"/>
      <c r="Y150" s="47"/>
      <c r="Z150" s="47"/>
    </row>
    <row r="151">
      <c r="A151" s="48">
        <v>35.0</v>
      </c>
      <c r="B151" s="49" t="s">
        <v>941</v>
      </c>
      <c r="C151" s="50" t="s">
        <v>97</v>
      </c>
      <c r="D151" s="49" t="s">
        <v>2394</v>
      </c>
      <c r="E151" s="51" t="s">
        <v>69</v>
      </c>
      <c r="F151" s="51" t="s">
        <v>3457</v>
      </c>
      <c r="G151" s="51" t="s">
        <v>2235</v>
      </c>
      <c r="H151" s="51" t="s">
        <v>2235</v>
      </c>
      <c r="I151" s="51" t="s">
        <v>2236</v>
      </c>
      <c r="J151" s="51" t="s">
        <v>3458</v>
      </c>
      <c r="K151" s="51" t="s">
        <v>2237</v>
      </c>
      <c r="L151" s="47"/>
      <c r="M151" s="47"/>
      <c r="N151" s="47"/>
      <c r="O151" s="47"/>
      <c r="P151" s="47"/>
      <c r="Q151" s="47"/>
      <c r="R151" s="47"/>
      <c r="S151" s="47"/>
      <c r="T151" s="47"/>
      <c r="U151" s="47"/>
      <c r="V151" s="47"/>
      <c r="W151" s="47"/>
      <c r="X151" s="47"/>
      <c r="Y151" s="47"/>
      <c r="Z151" s="47"/>
    </row>
    <row r="152">
      <c r="A152" s="48">
        <v>35.0</v>
      </c>
      <c r="B152" s="49" t="s">
        <v>941</v>
      </c>
      <c r="C152" s="50" t="s">
        <v>97</v>
      </c>
      <c r="D152" s="49" t="s">
        <v>3064</v>
      </c>
      <c r="E152" s="51" t="s">
        <v>69</v>
      </c>
      <c r="F152" s="51" t="s">
        <v>3462</v>
      </c>
      <c r="G152" s="51" t="s">
        <v>2235</v>
      </c>
      <c r="H152" s="51" t="s">
        <v>2235</v>
      </c>
      <c r="I152" s="51" t="s">
        <v>2236</v>
      </c>
      <c r="J152" s="51" t="s">
        <v>1558</v>
      </c>
      <c r="K152" s="51" t="s">
        <v>2260</v>
      </c>
      <c r="L152" s="47"/>
      <c r="M152" s="47"/>
      <c r="N152" s="47"/>
      <c r="O152" s="47"/>
      <c r="P152" s="47"/>
      <c r="Q152" s="47"/>
      <c r="R152" s="47"/>
      <c r="S152" s="47"/>
      <c r="T152" s="47"/>
      <c r="U152" s="47"/>
      <c r="V152" s="47"/>
      <c r="W152" s="47"/>
      <c r="X152" s="47"/>
      <c r="Y152" s="47"/>
      <c r="Z152" s="47"/>
    </row>
    <row r="153">
      <c r="A153" s="48">
        <v>35.0</v>
      </c>
      <c r="B153" s="49" t="s">
        <v>941</v>
      </c>
      <c r="C153" s="50" t="s">
        <v>97</v>
      </c>
      <c r="D153" s="49" t="s">
        <v>1957</v>
      </c>
      <c r="E153" s="51" t="s">
        <v>69</v>
      </c>
      <c r="F153" s="51" t="s">
        <v>3466</v>
      </c>
      <c r="G153" s="51" t="s">
        <v>2235</v>
      </c>
      <c r="H153" s="51" t="s">
        <v>2235</v>
      </c>
      <c r="I153" s="51" t="s">
        <v>2236</v>
      </c>
      <c r="J153" s="51" t="s">
        <v>3453</v>
      </c>
      <c r="K153" s="51" t="s">
        <v>2237</v>
      </c>
      <c r="L153" s="47"/>
      <c r="M153" s="47"/>
      <c r="N153" s="47"/>
      <c r="O153" s="47"/>
      <c r="P153" s="47"/>
      <c r="Q153" s="47"/>
      <c r="R153" s="47"/>
      <c r="S153" s="47"/>
      <c r="T153" s="47"/>
      <c r="U153" s="47"/>
      <c r="V153" s="47"/>
      <c r="W153" s="47"/>
      <c r="X153" s="47"/>
      <c r="Y153" s="47"/>
      <c r="Z153" s="47"/>
    </row>
    <row r="154">
      <c r="A154" s="48">
        <v>36.0</v>
      </c>
      <c r="B154" s="49" t="s">
        <v>949</v>
      </c>
      <c r="C154" s="50" t="s">
        <v>950</v>
      </c>
      <c r="D154" s="49" t="s">
        <v>2771</v>
      </c>
      <c r="E154" s="51" t="s">
        <v>69</v>
      </c>
      <c r="F154" s="51" t="s">
        <v>3478</v>
      </c>
      <c r="G154" s="51" t="s">
        <v>2235</v>
      </c>
      <c r="H154" s="51" t="s">
        <v>2235</v>
      </c>
      <c r="I154" s="51" t="s">
        <v>2236</v>
      </c>
      <c r="J154" s="51" t="s">
        <v>1572</v>
      </c>
      <c r="K154" s="51" t="s">
        <v>2237</v>
      </c>
      <c r="L154" s="47"/>
      <c r="M154" s="47"/>
      <c r="N154" s="47"/>
      <c r="O154" s="47"/>
      <c r="P154" s="47"/>
      <c r="Q154" s="47"/>
      <c r="R154" s="47"/>
      <c r="S154" s="47"/>
      <c r="T154" s="47"/>
      <c r="U154" s="47"/>
      <c r="V154" s="47"/>
      <c r="W154" s="47"/>
      <c r="X154" s="47"/>
      <c r="Y154" s="47"/>
      <c r="Z154" s="47"/>
    </row>
    <row r="155">
      <c r="A155" s="48">
        <v>36.0</v>
      </c>
      <c r="B155" s="49" t="s">
        <v>949</v>
      </c>
      <c r="C155" s="50" t="s">
        <v>950</v>
      </c>
      <c r="D155" s="49" t="s">
        <v>2770</v>
      </c>
      <c r="E155" s="51" t="s">
        <v>69</v>
      </c>
      <c r="F155" s="51" t="s">
        <v>3484</v>
      </c>
      <c r="G155" s="51" t="s">
        <v>2235</v>
      </c>
      <c r="H155" s="51" t="s">
        <v>2235</v>
      </c>
      <c r="I155" s="51" t="s">
        <v>2236</v>
      </c>
      <c r="J155" s="51" t="s">
        <v>3485</v>
      </c>
      <c r="K155" s="51" t="s">
        <v>2237</v>
      </c>
      <c r="L155" s="47"/>
      <c r="M155" s="47"/>
      <c r="N155" s="47"/>
      <c r="O155" s="47"/>
      <c r="P155" s="47"/>
      <c r="Q155" s="47"/>
      <c r="R155" s="47"/>
      <c r="S155" s="47"/>
      <c r="T155" s="47"/>
      <c r="U155" s="47"/>
      <c r="V155" s="47"/>
      <c r="W155" s="47"/>
      <c r="X155" s="47"/>
      <c r="Y155" s="47"/>
      <c r="Z155" s="47"/>
    </row>
    <row r="156">
      <c r="A156" s="48">
        <v>36.0</v>
      </c>
      <c r="B156" s="49" t="s">
        <v>949</v>
      </c>
      <c r="C156" s="50" t="s">
        <v>950</v>
      </c>
      <c r="D156" s="49" t="s">
        <v>2796</v>
      </c>
      <c r="E156" s="51" t="s">
        <v>69</v>
      </c>
      <c r="F156" s="51" t="s">
        <v>3489</v>
      </c>
      <c r="G156" s="51" t="s">
        <v>2235</v>
      </c>
      <c r="H156" s="51" t="s">
        <v>2235</v>
      </c>
      <c r="I156" s="51" t="s">
        <v>2236</v>
      </c>
      <c r="J156" s="51" t="s">
        <v>1572</v>
      </c>
      <c r="K156" s="51" t="s">
        <v>2237</v>
      </c>
      <c r="L156" s="47"/>
      <c r="M156" s="47"/>
      <c r="N156" s="47"/>
      <c r="O156" s="47"/>
      <c r="P156" s="47"/>
      <c r="Q156" s="47"/>
      <c r="R156" s="47"/>
      <c r="S156" s="47"/>
      <c r="T156" s="47"/>
      <c r="U156" s="47"/>
      <c r="V156" s="47"/>
      <c r="W156" s="47"/>
      <c r="X156" s="47"/>
      <c r="Y156" s="47"/>
      <c r="Z156" s="47"/>
    </row>
    <row r="157">
      <c r="A157" s="48">
        <v>36.0</v>
      </c>
      <c r="B157" s="49" t="s">
        <v>949</v>
      </c>
      <c r="C157" s="50" t="s">
        <v>950</v>
      </c>
      <c r="D157" s="49" t="s">
        <v>2763</v>
      </c>
      <c r="E157" s="51" t="s">
        <v>69</v>
      </c>
      <c r="F157" s="51" t="s">
        <v>3494</v>
      </c>
      <c r="G157" s="51" t="s">
        <v>2235</v>
      </c>
      <c r="H157" s="51" t="s">
        <v>2235</v>
      </c>
      <c r="I157" s="51" t="s">
        <v>2236</v>
      </c>
      <c r="J157" s="51" t="s">
        <v>3485</v>
      </c>
      <c r="K157" s="51" t="s">
        <v>2237</v>
      </c>
      <c r="L157" s="47"/>
      <c r="M157" s="47"/>
      <c r="N157" s="47"/>
      <c r="O157" s="47"/>
      <c r="P157" s="47"/>
      <c r="Q157" s="47"/>
      <c r="R157" s="47"/>
      <c r="S157" s="47"/>
      <c r="T157" s="47"/>
      <c r="U157" s="47"/>
      <c r="V157" s="47"/>
      <c r="W157" s="47"/>
      <c r="X157" s="47"/>
      <c r="Y157" s="47"/>
      <c r="Z157" s="47"/>
    </row>
    <row r="158">
      <c r="A158" s="48">
        <v>36.0</v>
      </c>
      <c r="B158" s="49" t="s">
        <v>949</v>
      </c>
      <c r="C158" s="50" t="s">
        <v>950</v>
      </c>
      <c r="D158" s="49" t="s">
        <v>3235</v>
      </c>
      <c r="E158" s="51" t="s">
        <v>155</v>
      </c>
      <c r="F158" s="51" t="s">
        <v>3498</v>
      </c>
      <c r="G158" s="51" t="s">
        <v>2235</v>
      </c>
      <c r="H158" s="51" t="s">
        <v>2235</v>
      </c>
      <c r="I158" s="51" t="s">
        <v>2236</v>
      </c>
      <c r="J158" s="51" t="s">
        <v>1572</v>
      </c>
      <c r="K158" s="51" t="s">
        <v>2237</v>
      </c>
      <c r="L158" s="47"/>
      <c r="M158" s="47"/>
      <c r="N158" s="47"/>
      <c r="O158" s="47"/>
      <c r="P158" s="47"/>
      <c r="Q158" s="47"/>
      <c r="R158" s="47"/>
      <c r="S158" s="47"/>
      <c r="T158" s="47"/>
      <c r="U158" s="47"/>
      <c r="V158" s="47"/>
      <c r="W158" s="47"/>
      <c r="X158" s="47"/>
      <c r="Y158" s="47"/>
      <c r="Z158" s="47"/>
    </row>
    <row r="159">
      <c r="A159" s="48">
        <v>37.0</v>
      </c>
      <c r="B159" s="49" t="s">
        <v>961</v>
      </c>
      <c r="C159" s="50" t="s">
        <v>950</v>
      </c>
      <c r="D159" s="49" t="s">
        <v>2425</v>
      </c>
      <c r="E159" s="51" t="s">
        <v>69</v>
      </c>
      <c r="F159" s="51" t="s">
        <v>3506</v>
      </c>
      <c r="G159" s="51" t="s">
        <v>2235</v>
      </c>
      <c r="H159" s="51" t="s">
        <v>2235</v>
      </c>
      <c r="I159" s="51" t="s">
        <v>2236</v>
      </c>
      <c r="J159" s="51" t="s">
        <v>1601</v>
      </c>
      <c r="K159" s="51" t="s">
        <v>2237</v>
      </c>
      <c r="L159" s="47"/>
      <c r="M159" s="47"/>
      <c r="N159" s="47"/>
      <c r="O159" s="47"/>
      <c r="P159" s="47"/>
      <c r="Q159" s="47"/>
      <c r="R159" s="47"/>
      <c r="S159" s="47"/>
      <c r="T159" s="47"/>
      <c r="U159" s="47"/>
      <c r="V159" s="47"/>
      <c r="W159" s="47"/>
      <c r="X159" s="47"/>
      <c r="Y159" s="47"/>
      <c r="Z159" s="47"/>
    </row>
    <row r="160">
      <c r="A160" s="48">
        <v>37.0</v>
      </c>
      <c r="B160" s="49" t="s">
        <v>961</v>
      </c>
      <c r="C160" s="50" t="s">
        <v>950</v>
      </c>
      <c r="D160" s="49" t="s">
        <v>3137</v>
      </c>
      <c r="E160" s="51" t="s">
        <v>155</v>
      </c>
      <c r="F160" s="51" t="s">
        <v>3511</v>
      </c>
      <c r="G160" s="51" t="s">
        <v>2235</v>
      </c>
      <c r="H160" s="51" t="s">
        <v>2235</v>
      </c>
      <c r="I160" s="51" t="s">
        <v>2236</v>
      </c>
      <c r="J160" s="51" t="s">
        <v>3513</v>
      </c>
      <c r="K160" s="51" t="s">
        <v>2237</v>
      </c>
      <c r="L160" s="47"/>
      <c r="M160" s="47"/>
      <c r="N160" s="47"/>
      <c r="O160" s="47"/>
      <c r="P160" s="47"/>
      <c r="Q160" s="47"/>
      <c r="R160" s="47"/>
      <c r="S160" s="47"/>
      <c r="T160" s="47"/>
      <c r="U160" s="47"/>
      <c r="V160" s="47"/>
      <c r="W160" s="47"/>
      <c r="X160" s="47"/>
      <c r="Y160" s="47"/>
      <c r="Z160" s="47"/>
    </row>
    <row r="161">
      <c r="A161" s="48">
        <v>37.0</v>
      </c>
      <c r="B161" s="49" t="s">
        <v>961</v>
      </c>
      <c r="C161" s="50" t="s">
        <v>950</v>
      </c>
      <c r="D161" s="49" t="s">
        <v>2768</v>
      </c>
      <c r="E161" s="51" t="s">
        <v>155</v>
      </c>
      <c r="F161" s="51" t="s">
        <v>3517</v>
      </c>
      <c r="G161" s="51" t="s">
        <v>2235</v>
      </c>
      <c r="H161" s="51" t="s">
        <v>2235</v>
      </c>
      <c r="I161" s="51" t="s">
        <v>2236</v>
      </c>
      <c r="J161" s="51" t="s">
        <v>3518</v>
      </c>
      <c r="K161" s="51" t="s">
        <v>2237</v>
      </c>
      <c r="L161" s="47"/>
      <c r="M161" s="47"/>
      <c r="N161" s="47"/>
      <c r="O161" s="47"/>
      <c r="P161" s="47"/>
      <c r="Q161" s="47"/>
      <c r="R161" s="47"/>
      <c r="S161" s="47"/>
      <c r="T161" s="47"/>
      <c r="U161" s="47"/>
      <c r="V161" s="47"/>
      <c r="W161" s="47"/>
      <c r="X161" s="47"/>
      <c r="Y161" s="47"/>
      <c r="Z161" s="47"/>
    </row>
    <row r="162">
      <c r="A162" s="48">
        <v>37.0</v>
      </c>
      <c r="B162" s="49" t="s">
        <v>961</v>
      </c>
      <c r="C162" s="50" t="s">
        <v>950</v>
      </c>
      <c r="D162" s="49" t="s">
        <v>1525</v>
      </c>
      <c r="E162" s="51" t="s">
        <v>155</v>
      </c>
      <c r="F162" s="51" t="s">
        <v>3522</v>
      </c>
      <c r="G162" s="51" t="s">
        <v>2235</v>
      </c>
      <c r="H162" s="51" t="s">
        <v>2235</v>
      </c>
      <c r="I162" s="51" t="s">
        <v>2236</v>
      </c>
      <c r="J162" s="51" t="s">
        <v>1601</v>
      </c>
      <c r="K162" s="51" t="s">
        <v>2237</v>
      </c>
      <c r="L162" s="47"/>
      <c r="M162" s="47"/>
      <c r="N162" s="47"/>
      <c r="O162" s="47"/>
      <c r="P162" s="47"/>
      <c r="Q162" s="47"/>
      <c r="R162" s="47"/>
      <c r="S162" s="47"/>
      <c r="T162" s="47"/>
      <c r="U162" s="47"/>
      <c r="V162" s="47"/>
      <c r="W162" s="47"/>
      <c r="X162" s="47"/>
      <c r="Y162" s="47"/>
      <c r="Z162" s="47"/>
    </row>
    <row r="163">
      <c r="A163" s="48">
        <v>38.0</v>
      </c>
      <c r="B163" s="49" t="s">
        <v>732</v>
      </c>
      <c r="C163" s="50" t="s">
        <v>971</v>
      </c>
      <c r="D163" s="49" t="s">
        <v>3239</v>
      </c>
      <c r="E163" s="51" t="s">
        <v>69</v>
      </c>
      <c r="F163" s="51" t="s">
        <v>3532</v>
      </c>
      <c r="G163" s="51" t="s">
        <v>2235</v>
      </c>
      <c r="H163" s="51" t="s">
        <v>2235</v>
      </c>
      <c r="I163" s="51" t="s">
        <v>2236</v>
      </c>
      <c r="J163" s="51" t="s">
        <v>1620</v>
      </c>
      <c r="K163" s="51" t="s">
        <v>2237</v>
      </c>
      <c r="L163" s="47"/>
      <c r="M163" s="47"/>
      <c r="N163" s="47"/>
      <c r="O163" s="47"/>
      <c r="P163" s="47"/>
      <c r="Q163" s="47"/>
      <c r="R163" s="47"/>
      <c r="S163" s="47"/>
      <c r="T163" s="47"/>
      <c r="U163" s="47"/>
      <c r="V163" s="47"/>
      <c r="W163" s="47"/>
      <c r="X163" s="47"/>
      <c r="Y163" s="47"/>
      <c r="Z163" s="47"/>
    </row>
    <row r="164">
      <c r="A164" s="48">
        <v>38.0</v>
      </c>
      <c r="B164" s="49" t="s">
        <v>732</v>
      </c>
      <c r="C164" s="50" t="s">
        <v>971</v>
      </c>
      <c r="D164" s="49" t="s">
        <v>784</v>
      </c>
      <c r="E164" s="51" t="s">
        <v>69</v>
      </c>
      <c r="F164" s="51" t="s">
        <v>3540</v>
      </c>
      <c r="G164" s="51" t="s">
        <v>2235</v>
      </c>
      <c r="H164" s="51" t="s">
        <v>2235</v>
      </c>
      <c r="I164" s="51" t="s">
        <v>2236</v>
      </c>
      <c r="J164" s="51" t="s">
        <v>3541</v>
      </c>
      <c r="K164" s="51" t="s">
        <v>2237</v>
      </c>
      <c r="L164" s="47"/>
      <c r="M164" s="47"/>
      <c r="N164" s="47"/>
      <c r="O164" s="47"/>
      <c r="P164" s="47"/>
      <c r="Q164" s="47"/>
      <c r="R164" s="47"/>
      <c r="S164" s="47"/>
      <c r="T164" s="47"/>
      <c r="U164" s="47"/>
      <c r="V164" s="47"/>
      <c r="W164" s="47"/>
      <c r="X164" s="47"/>
      <c r="Y164" s="47"/>
      <c r="Z164" s="47"/>
    </row>
    <row r="165">
      <c r="A165" s="48">
        <v>38.0</v>
      </c>
      <c r="B165" s="49" t="s">
        <v>732</v>
      </c>
      <c r="C165" s="50" t="s">
        <v>971</v>
      </c>
      <c r="D165" s="49" t="s">
        <v>888</v>
      </c>
      <c r="E165" s="51" t="s">
        <v>69</v>
      </c>
      <c r="F165" s="51" t="s">
        <v>3546</v>
      </c>
      <c r="G165" s="51" t="s">
        <v>2235</v>
      </c>
      <c r="H165" s="51" t="s">
        <v>2235</v>
      </c>
      <c r="I165" s="51" t="s">
        <v>2236</v>
      </c>
      <c r="J165" s="51" t="s">
        <v>1620</v>
      </c>
      <c r="K165" s="51" t="s">
        <v>2237</v>
      </c>
      <c r="L165" s="47"/>
      <c r="M165" s="47"/>
      <c r="N165" s="47"/>
      <c r="O165" s="47"/>
      <c r="P165" s="47"/>
      <c r="Q165" s="47"/>
      <c r="R165" s="47"/>
      <c r="S165" s="47"/>
      <c r="T165" s="47"/>
      <c r="U165" s="47"/>
      <c r="V165" s="47"/>
      <c r="W165" s="47"/>
      <c r="X165" s="47"/>
      <c r="Y165" s="47"/>
      <c r="Z165" s="47"/>
    </row>
    <row r="166">
      <c r="A166" s="48">
        <v>38.0</v>
      </c>
      <c r="B166" s="49" t="s">
        <v>732</v>
      </c>
      <c r="C166" s="50" t="s">
        <v>971</v>
      </c>
      <c r="D166" s="49" t="s">
        <v>3154</v>
      </c>
      <c r="E166" s="51" t="s">
        <v>69</v>
      </c>
      <c r="F166" s="51" t="s">
        <v>3553</v>
      </c>
      <c r="G166" s="51" t="s">
        <v>2235</v>
      </c>
      <c r="H166" s="51" t="s">
        <v>2235</v>
      </c>
      <c r="I166" s="51" t="s">
        <v>2236</v>
      </c>
      <c r="J166" s="51" t="s">
        <v>3541</v>
      </c>
      <c r="K166" s="51" t="s">
        <v>2237</v>
      </c>
      <c r="L166" s="47"/>
      <c r="M166" s="47"/>
      <c r="N166" s="47"/>
      <c r="O166" s="47"/>
      <c r="P166" s="47"/>
      <c r="Q166" s="47"/>
      <c r="R166" s="47"/>
      <c r="S166" s="47"/>
      <c r="T166" s="47"/>
      <c r="U166" s="47"/>
      <c r="V166" s="47"/>
      <c r="W166" s="47"/>
      <c r="X166" s="47"/>
      <c r="Y166" s="47"/>
      <c r="Z166" s="47"/>
    </row>
    <row r="167">
      <c r="A167" s="48">
        <v>39.0</v>
      </c>
      <c r="B167" s="49" t="s">
        <v>597</v>
      </c>
      <c r="C167" s="50" t="s">
        <v>971</v>
      </c>
      <c r="D167" s="49" t="s">
        <v>3365</v>
      </c>
      <c r="E167" s="51" t="s">
        <v>69</v>
      </c>
      <c r="F167" s="51" t="s">
        <v>3563</v>
      </c>
      <c r="G167" s="51" t="s">
        <v>2235</v>
      </c>
      <c r="H167" s="51" t="s">
        <v>2235</v>
      </c>
      <c r="I167" s="51" t="s">
        <v>2236</v>
      </c>
      <c r="J167" s="51" t="s">
        <v>1654</v>
      </c>
      <c r="K167" s="51" t="s">
        <v>2287</v>
      </c>
      <c r="L167" s="47"/>
      <c r="M167" s="47"/>
      <c r="N167" s="47"/>
      <c r="O167" s="47"/>
      <c r="P167" s="47"/>
      <c r="Q167" s="47"/>
      <c r="R167" s="47"/>
      <c r="S167" s="47"/>
      <c r="T167" s="47"/>
      <c r="U167" s="47"/>
      <c r="V167" s="47"/>
      <c r="W167" s="47"/>
      <c r="X167" s="47"/>
      <c r="Y167" s="47"/>
      <c r="Z167" s="47"/>
    </row>
    <row r="168">
      <c r="A168" s="48">
        <v>39.0</v>
      </c>
      <c r="B168" s="49" t="s">
        <v>597</v>
      </c>
      <c r="C168" s="50" t="s">
        <v>971</v>
      </c>
      <c r="D168" s="49" t="s">
        <v>2837</v>
      </c>
      <c r="E168" s="51" t="s">
        <v>69</v>
      </c>
      <c r="F168" s="51" t="s">
        <v>3570</v>
      </c>
      <c r="G168" s="51" t="s">
        <v>2235</v>
      </c>
      <c r="H168" s="51" t="s">
        <v>2235</v>
      </c>
      <c r="I168" s="51" t="s">
        <v>2236</v>
      </c>
      <c r="J168" s="51" t="s">
        <v>3571</v>
      </c>
      <c r="K168" s="51" t="s">
        <v>2287</v>
      </c>
      <c r="L168" s="47"/>
      <c r="M168" s="47"/>
      <c r="N168" s="47"/>
      <c r="O168" s="47"/>
      <c r="P168" s="47"/>
      <c r="Q168" s="47"/>
      <c r="R168" s="47"/>
      <c r="S168" s="47"/>
      <c r="T168" s="47"/>
      <c r="U168" s="47"/>
      <c r="V168" s="47"/>
      <c r="W168" s="47"/>
      <c r="X168" s="47"/>
      <c r="Y168" s="47"/>
      <c r="Z168" s="47"/>
    </row>
    <row r="169">
      <c r="A169" s="48">
        <v>39.0</v>
      </c>
      <c r="B169" s="49" t="s">
        <v>597</v>
      </c>
      <c r="C169" s="50" t="s">
        <v>971</v>
      </c>
      <c r="D169" s="49" t="s">
        <v>27</v>
      </c>
      <c r="E169" s="51" t="s">
        <v>69</v>
      </c>
      <c r="F169" s="51" t="s">
        <v>3575</v>
      </c>
      <c r="G169" s="51" t="s">
        <v>2235</v>
      </c>
      <c r="H169" s="51" t="s">
        <v>2235</v>
      </c>
      <c r="I169" s="51" t="s">
        <v>2236</v>
      </c>
      <c r="J169" s="51" t="s">
        <v>3576</v>
      </c>
      <c r="K169" s="51" t="s">
        <v>2237</v>
      </c>
      <c r="L169" s="47"/>
      <c r="M169" s="47"/>
      <c r="N169" s="47"/>
      <c r="O169" s="47"/>
      <c r="P169" s="47"/>
      <c r="Q169" s="47"/>
      <c r="R169" s="47"/>
      <c r="S169" s="47"/>
      <c r="T169" s="47"/>
      <c r="U169" s="47"/>
      <c r="V169" s="47"/>
      <c r="W169" s="47"/>
      <c r="X169" s="47"/>
      <c r="Y169" s="47"/>
      <c r="Z169" s="47"/>
    </row>
    <row r="170">
      <c r="A170" s="48">
        <v>39.0</v>
      </c>
      <c r="B170" s="49" t="s">
        <v>597</v>
      </c>
      <c r="C170" s="50" t="s">
        <v>971</v>
      </c>
      <c r="D170" s="49" t="s">
        <v>2938</v>
      </c>
      <c r="E170" s="51" t="s">
        <v>155</v>
      </c>
      <c r="F170" s="51" t="s">
        <v>3581</v>
      </c>
      <c r="G170" s="51" t="s">
        <v>2235</v>
      </c>
      <c r="H170" s="51" t="s">
        <v>2235</v>
      </c>
      <c r="I170" s="51" t="s">
        <v>2236</v>
      </c>
      <c r="J170" s="51" t="s">
        <v>1654</v>
      </c>
      <c r="K170" s="51" t="s">
        <v>2237</v>
      </c>
      <c r="L170" s="47"/>
      <c r="M170" s="47"/>
      <c r="N170" s="47"/>
      <c r="O170" s="47"/>
      <c r="P170" s="47"/>
      <c r="Q170" s="47"/>
      <c r="R170" s="47"/>
      <c r="S170" s="47"/>
      <c r="T170" s="47"/>
      <c r="U170" s="47"/>
      <c r="V170" s="47"/>
      <c r="W170" s="47"/>
      <c r="X170" s="47"/>
      <c r="Y170" s="47"/>
      <c r="Z170" s="47"/>
    </row>
    <row r="171">
      <c r="A171" s="48">
        <v>39.0</v>
      </c>
      <c r="B171" s="49" t="s">
        <v>597</v>
      </c>
      <c r="C171" s="50" t="s">
        <v>971</v>
      </c>
      <c r="D171" s="49" t="s">
        <v>2787</v>
      </c>
      <c r="E171" s="51" t="s">
        <v>155</v>
      </c>
      <c r="F171" s="51" t="s">
        <v>3588</v>
      </c>
      <c r="G171" s="51" t="s">
        <v>2235</v>
      </c>
      <c r="H171" s="51" t="s">
        <v>2235</v>
      </c>
      <c r="I171" s="51" t="s">
        <v>2236</v>
      </c>
      <c r="J171" s="51" t="s">
        <v>3571</v>
      </c>
      <c r="K171" s="51" t="s">
        <v>2287</v>
      </c>
      <c r="L171" s="47"/>
      <c r="M171" s="47"/>
      <c r="N171" s="47"/>
      <c r="O171" s="47"/>
      <c r="P171" s="47"/>
      <c r="Q171" s="47"/>
      <c r="R171" s="47"/>
      <c r="S171" s="47"/>
      <c r="T171" s="47"/>
      <c r="U171" s="47"/>
      <c r="V171" s="47"/>
      <c r="W171" s="47"/>
      <c r="X171" s="47"/>
      <c r="Y171" s="47"/>
      <c r="Z171" s="47"/>
    </row>
    <row r="172">
      <c r="A172" s="48">
        <v>40.0</v>
      </c>
      <c r="B172" s="49" t="s">
        <v>979</v>
      </c>
      <c r="C172" s="50" t="s">
        <v>971</v>
      </c>
      <c r="D172" s="49" t="s">
        <v>3153</v>
      </c>
      <c r="E172" s="51" t="s">
        <v>69</v>
      </c>
      <c r="F172" s="51" t="s">
        <v>3595</v>
      </c>
      <c r="G172" s="51" t="s">
        <v>2235</v>
      </c>
      <c r="H172" s="51" t="s">
        <v>2235</v>
      </c>
      <c r="I172" s="51" t="s">
        <v>2236</v>
      </c>
      <c r="J172" s="51" t="s">
        <v>1674</v>
      </c>
      <c r="K172" s="51" t="s">
        <v>2287</v>
      </c>
      <c r="L172" s="47"/>
      <c r="M172" s="47"/>
      <c r="N172" s="47"/>
      <c r="O172" s="47"/>
      <c r="P172" s="47"/>
      <c r="Q172" s="47"/>
      <c r="R172" s="47"/>
      <c r="S172" s="47"/>
      <c r="T172" s="47"/>
      <c r="U172" s="47"/>
      <c r="V172" s="47"/>
      <c r="W172" s="47"/>
      <c r="X172" s="47"/>
      <c r="Y172" s="47"/>
      <c r="Z172" s="47"/>
    </row>
    <row r="173">
      <c r="A173" s="48">
        <v>40.0</v>
      </c>
      <c r="B173" s="49" t="s">
        <v>979</v>
      </c>
      <c r="C173" s="50" t="s">
        <v>971</v>
      </c>
      <c r="D173" s="49" t="s">
        <v>2788</v>
      </c>
      <c r="E173" s="51" t="s">
        <v>69</v>
      </c>
      <c r="F173" s="51" t="s">
        <v>3600</v>
      </c>
      <c r="G173" s="51" t="s">
        <v>2235</v>
      </c>
      <c r="H173" s="51" t="s">
        <v>2235</v>
      </c>
      <c r="I173" s="51" t="s">
        <v>2236</v>
      </c>
      <c r="J173" s="51" t="s">
        <v>3603</v>
      </c>
      <c r="K173" s="51" t="s">
        <v>2260</v>
      </c>
      <c r="L173" s="47"/>
      <c r="M173" s="47"/>
      <c r="N173" s="47"/>
      <c r="O173" s="47"/>
      <c r="P173" s="47"/>
      <c r="Q173" s="47"/>
      <c r="R173" s="47"/>
      <c r="S173" s="47"/>
      <c r="T173" s="47"/>
      <c r="U173" s="47"/>
      <c r="V173" s="47"/>
      <c r="W173" s="47"/>
      <c r="X173" s="47"/>
      <c r="Y173" s="47"/>
      <c r="Z173" s="47"/>
    </row>
    <row r="174">
      <c r="A174" s="48">
        <v>40.0</v>
      </c>
      <c r="B174" s="49" t="s">
        <v>979</v>
      </c>
      <c r="C174" s="50" t="s">
        <v>971</v>
      </c>
      <c r="D174" s="49" t="s">
        <v>841</v>
      </c>
      <c r="E174" s="51" t="s">
        <v>69</v>
      </c>
      <c r="F174" s="51" t="s">
        <v>3607</v>
      </c>
      <c r="G174" s="51" t="s">
        <v>2235</v>
      </c>
      <c r="H174" s="51" t="s">
        <v>2235</v>
      </c>
      <c r="I174" s="51" t="s">
        <v>2236</v>
      </c>
      <c r="J174" s="51" t="s">
        <v>1674</v>
      </c>
      <c r="K174" s="51" t="s">
        <v>2287</v>
      </c>
      <c r="L174" s="47"/>
      <c r="M174" s="47"/>
      <c r="N174" s="47"/>
      <c r="O174" s="47"/>
      <c r="P174" s="47"/>
      <c r="Q174" s="47"/>
      <c r="R174" s="47"/>
      <c r="S174" s="47"/>
      <c r="T174" s="47"/>
      <c r="U174" s="47"/>
      <c r="V174" s="47"/>
      <c r="W174" s="47"/>
      <c r="X174" s="47"/>
      <c r="Y174" s="47"/>
      <c r="Z174" s="47"/>
    </row>
    <row r="175">
      <c r="A175" s="48">
        <v>40.0</v>
      </c>
      <c r="B175" s="49" t="s">
        <v>979</v>
      </c>
      <c r="C175" s="50" t="s">
        <v>971</v>
      </c>
      <c r="D175" s="49" t="s">
        <v>641</v>
      </c>
      <c r="E175" s="51" t="s">
        <v>69</v>
      </c>
      <c r="F175" s="51" t="s">
        <v>3610</v>
      </c>
      <c r="G175" s="51" t="s">
        <v>2235</v>
      </c>
      <c r="H175" s="51" t="s">
        <v>2235</v>
      </c>
      <c r="I175" s="51" t="s">
        <v>2236</v>
      </c>
      <c r="J175" s="51" t="s">
        <v>3603</v>
      </c>
      <c r="K175" s="51" t="s">
        <v>2287</v>
      </c>
      <c r="L175" s="47"/>
      <c r="M175" s="47"/>
      <c r="N175" s="47"/>
      <c r="O175" s="47"/>
      <c r="P175" s="47"/>
      <c r="Q175" s="47"/>
      <c r="R175" s="47"/>
      <c r="S175" s="47"/>
      <c r="T175" s="47"/>
      <c r="U175" s="47"/>
      <c r="V175" s="47"/>
      <c r="W175" s="47"/>
      <c r="X175" s="47"/>
      <c r="Y175" s="47"/>
      <c r="Z175" s="47"/>
    </row>
    <row r="176">
      <c r="A176" s="48">
        <v>41.0</v>
      </c>
      <c r="B176" s="49" t="s">
        <v>841</v>
      </c>
      <c r="C176" s="50" t="s">
        <v>971</v>
      </c>
      <c r="D176" s="49" t="s">
        <v>926</v>
      </c>
      <c r="E176" s="51" t="s">
        <v>69</v>
      </c>
      <c r="F176" s="51" t="s">
        <v>3617</v>
      </c>
      <c r="G176" s="51" t="s">
        <v>2235</v>
      </c>
      <c r="H176" s="51" t="s">
        <v>2235</v>
      </c>
      <c r="I176" s="51" t="s">
        <v>2236</v>
      </c>
      <c r="J176" s="51" t="s">
        <v>1688</v>
      </c>
      <c r="K176" s="51" t="s">
        <v>2287</v>
      </c>
      <c r="L176" s="47"/>
      <c r="M176" s="47"/>
      <c r="N176" s="47"/>
      <c r="O176" s="47"/>
      <c r="P176" s="47"/>
      <c r="Q176" s="47"/>
      <c r="R176" s="47"/>
      <c r="S176" s="47"/>
      <c r="T176" s="47"/>
      <c r="U176" s="47"/>
      <c r="V176" s="47"/>
      <c r="W176" s="47"/>
      <c r="X176" s="47"/>
      <c r="Y176" s="47"/>
      <c r="Z176" s="47"/>
    </row>
    <row r="177">
      <c r="A177" s="48">
        <v>41.0</v>
      </c>
      <c r="B177" s="49" t="s">
        <v>841</v>
      </c>
      <c r="C177" s="50" t="s">
        <v>971</v>
      </c>
      <c r="D177" s="49" t="s">
        <v>979</v>
      </c>
      <c r="E177" s="51" t="s">
        <v>69</v>
      </c>
      <c r="F177" s="51" t="s">
        <v>3618</v>
      </c>
      <c r="G177" s="51" t="s">
        <v>2235</v>
      </c>
      <c r="H177" s="51" t="s">
        <v>2235</v>
      </c>
      <c r="I177" s="51" t="s">
        <v>2236</v>
      </c>
      <c r="J177" s="51" t="s">
        <v>3621</v>
      </c>
      <c r="K177" s="51" t="s">
        <v>2287</v>
      </c>
      <c r="L177" s="47"/>
      <c r="M177" s="47"/>
      <c r="N177" s="47"/>
      <c r="O177" s="47"/>
      <c r="P177" s="47"/>
      <c r="Q177" s="47"/>
      <c r="R177" s="47"/>
      <c r="S177" s="47"/>
      <c r="T177" s="47"/>
      <c r="U177" s="47"/>
      <c r="V177" s="47"/>
      <c r="W177" s="47"/>
      <c r="X177" s="47"/>
      <c r="Y177" s="47"/>
      <c r="Z177" s="47"/>
    </row>
    <row r="178">
      <c r="A178" s="48">
        <v>41.0</v>
      </c>
      <c r="B178" s="49" t="s">
        <v>841</v>
      </c>
      <c r="C178" s="50" t="s">
        <v>971</v>
      </c>
      <c r="D178" s="49" t="s">
        <v>641</v>
      </c>
      <c r="E178" s="51" t="s">
        <v>69</v>
      </c>
      <c r="F178" s="51" t="s">
        <v>3623</v>
      </c>
      <c r="G178" s="51" t="s">
        <v>2235</v>
      </c>
      <c r="H178" s="51" t="s">
        <v>2235</v>
      </c>
      <c r="I178" s="51" t="s">
        <v>2236</v>
      </c>
      <c r="J178" s="51" t="s">
        <v>1688</v>
      </c>
      <c r="K178" s="51" t="s">
        <v>2287</v>
      </c>
      <c r="L178" s="47"/>
      <c r="M178" s="47"/>
      <c r="N178" s="47"/>
      <c r="O178" s="47"/>
      <c r="P178" s="47"/>
      <c r="Q178" s="47"/>
      <c r="R178" s="47"/>
      <c r="S178" s="47"/>
      <c r="T178" s="47"/>
      <c r="U178" s="47"/>
      <c r="V178" s="47"/>
      <c r="W178" s="47"/>
      <c r="X178" s="47"/>
      <c r="Y178" s="47"/>
      <c r="Z178" s="47"/>
    </row>
    <row r="179">
      <c r="A179" s="48">
        <v>41.0</v>
      </c>
      <c r="B179" s="49" t="s">
        <v>841</v>
      </c>
      <c r="C179" s="50" t="s">
        <v>971</v>
      </c>
      <c r="D179" s="49" t="s">
        <v>2788</v>
      </c>
      <c r="E179" s="51" t="s">
        <v>155</v>
      </c>
      <c r="F179" s="51" t="s">
        <v>3627</v>
      </c>
      <c r="G179" s="51" t="s">
        <v>2235</v>
      </c>
      <c r="H179" s="51" t="s">
        <v>2235</v>
      </c>
      <c r="I179" s="51" t="s">
        <v>2236</v>
      </c>
      <c r="J179" s="51" t="s">
        <v>3621</v>
      </c>
      <c r="K179" s="51" t="s">
        <v>2260</v>
      </c>
      <c r="L179" s="47"/>
      <c r="M179" s="47"/>
      <c r="N179" s="47"/>
      <c r="O179" s="47"/>
      <c r="P179" s="47"/>
      <c r="Q179" s="47"/>
      <c r="R179" s="47"/>
      <c r="S179" s="47"/>
      <c r="T179" s="47"/>
      <c r="U179" s="47"/>
      <c r="V179" s="47"/>
      <c r="W179" s="47"/>
      <c r="X179" s="47"/>
      <c r="Y179" s="47"/>
      <c r="Z179" s="47"/>
    </row>
    <row r="180">
      <c r="A180" s="48">
        <v>42.0</v>
      </c>
      <c r="B180" s="49" t="s">
        <v>830</v>
      </c>
      <c r="C180" s="50" t="s">
        <v>971</v>
      </c>
      <c r="D180" s="49" t="s">
        <v>772</v>
      </c>
      <c r="E180" s="51" t="s">
        <v>69</v>
      </c>
      <c r="F180" s="51" t="s">
        <v>3634</v>
      </c>
      <c r="G180" s="51" t="s">
        <v>2235</v>
      </c>
      <c r="H180" s="51" t="s">
        <v>2235</v>
      </c>
      <c r="I180" s="51" t="s">
        <v>2236</v>
      </c>
      <c r="J180" s="51" t="s">
        <v>1706</v>
      </c>
      <c r="K180" s="51" t="s">
        <v>2287</v>
      </c>
      <c r="L180" s="47"/>
      <c r="M180" s="47"/>
      <c r="N180" s="47"/>
      <c r="O180" s="47"/>
      <c r="P180" s="47"/>
      <c r="Q180" s="47"/>
      <c r="R180" s="47"/>
      <c r="S180" s="47"/>
      <c r="T180" s="47"/>
      <c r="U180" s="47"/>
      <c r="V180" s="47"/>
      <c r="W180" s="47"/>
      <c r="X180" s="47"/>
      <c r="Y180" s="47"/>
      <c r="Z180" s="47"/>
    </row>
    <row r="181">
      <c r="A181" s="48">
        <v>42.0</v>
      </c>
      <c r="B181" s="49" t="s">
        <v>830</v>
      </c>
      <c r="C181" s="50" t="s">
        <v>971</v>
      </c>
      <c r="D181" s="49" t="s">
        <v>908</v>
      </c>
      <c r="E181" s="51" t="s">
        <v>69</v>
      </c>
      <c r="F181" s="51" t="s">
        <v>3641</v>
      </c>
      <c r="G181" s="51" t="s">
        <v>2235</v>
      </c>
      <c r="H181" s="51" t="s">
        <v>2235</v>
      </c>
      <c r="I181" s="51" t="s">
        <v>2236</v>
      </c>
      <c r="J181" s="51" t="s">
        <v>3642</v>
      </c>
      <c r="K181" s="51" t="s">
        <v>2237</v>
      </c>
      <c r="L181" s="47"/>
      <c r="M181" s="47"/>
      <c r="N181" s="47"/>
      <c r="O181" s="47"/>
      <c r="P181" s="47"/>
      <c r="Q181" s="47"/>
      <c r="R181" s="47"/>
      <c r="S181" s="47"/>
      <c r="T181" s="47"/>
      <c r="U181" s="47"/>
      <c r="V181" s="47"/>
      <c r="W181" s="47"/>
      <c r="X181" s="47"/>
      <c r="Y181" s="47"/>
      <c r="Z181" s="47"/>
    </row>
    <row r="182">
      <c r="A182" s="48">
        <v>42.0</v>
      </c>
      <c r="B182" s="49" t="s">
        <v>830</v>
      </c>
      <c r="C182" s="50" t="s">
        <v>971</v>
      </c>
      <c r="D182" s="49" t="s">
        <v>3150</v>
      </c>
      <c r="E182" s="51" t="s">
        <v>69</v>
      </c>
      <c r="F182" s="51" t="s">
        <v>3648</v>
      </c>
      <c r="G182" s="51" t="s">
        <v>2235</v>
      </c>
      <c r="H182" s="51" t="s">
        <v>2235</v>
      </c>
      <c r="I182" s="51" t="s">
        <v>2236</v>
      </c>
      <c r="J182" s="51" t="s">
        <v>1706</v>
      </c>
      <c r="K182" s="51" t="s">
        <v>2287</v>
      </c>
      <c r="L182" s="47"/>
      <c r="M182" s="47"/>
      <c r="N182" s="47"/>
      <c r="O182" s="47"/>
      <c r="P182" s="47"/>
      <c r="Q182" s="47"/>
      <c r="R182" s="47"/>
      <c r="S182" s="47"/>
      <c r="T182" s="47"/>
      <c r="U182" s="47"/>
      <c r="V182" s="47"/>
      <c r="W182" s="47"/>
      <c r="X182" s="47"/>
      <c r="Y182" s="47"/>
      <c r="Z182" s="47"/>
    </row>
    <row r="183">
      <c r="A183" s="48">
        <v>42.0</v>
      </c>
      <c r="B183" s="49" t="s">
        <v>830</v>
      </c>
      <c r="C183" s="50" t="s">
        <v>971</v>
      </c>
      <c r="D183" s="49" t="s">
        <v>2786</v>
      </c>
      <c r="E183" s="51" t="s">
        <v>69</v>
      </c>
      <c r="F183" s="51" t="s">
        <v>3654</v>
      </c>
      <c r="G183" s="51" t="s">
        <v>2235</v>
      </c>
      <c r="H183" s="51" t="s">
        <v>2235</v>
      </c>
      <c r="I183" s="51" t="s">
        <v>2236</v>
      </c>
      <c r="J183" s="51" t="s">
        <v>3642</v>
      </c>
      <c r="K183" s="51" t="s">
        <v>2287</v>
      </c>
      <c r="L183" s="47"/>
      <c r="M183" s="47"/>
      <c r="N183" s="47"/>
      <c r="O183" s="47"/>
      <c r="P183" s="47"/>
      <c r="Q183" s="47"/>
      <c r="R183" s="47"/>
      <c r="S183" s="47"/>
      <c r="T183" s="47"/>
      <c r="U183" s="47"/>
      <c r="V183" s="47"/>
      <c r="W183" s="47"/>
      <c r="X183" s="47"/>
      <c r="Y183" s="47"/>
      <c r="Z183" s="47"/>
    </row>
    <row r="184">
      <c r="A184" s="48">
        <v>42.0</v>
      </c>
      <c r="B184" s="49" t="s">
        <v>830</v>
      </c>
      <c r="C184" s="50" t="s">
        <v>971</v>
      </c>
      <c r="D184" s="49" t="s">
        <v>1917</v>
      </c>
      <c r="E184" s="51" t="s">
        <v>155</v>
      </c>
      <c r="F184" s="51" t="s">
        <v>3659</v>
      </c>
      <c r="G184" s="51" t="s">
        <v>2235</v>
      </c>
      <c r="H184" s="51" t="s">
        <v>2235</v>
      </c>
      <c r="I184" s="51" t="s">
        <v>2236</v>
      </c>
      <c r="J184" s="51" t="s">
        <v>1706</v>
      </c>
      <c r="K184" s="51" t="s">
        <v>2260</v>
      </c>
      <c r="L184" s="47"/>
      <c r="M184" s="47"/>
      <c r="N184" s="47"/>
      <c r="O184" s="47"/>
      <c r="P184" s="47"/>
      <c r="Q184" s="47"/>
      <c r="R184" s="47"/>
      <c r="S184" s="47"/>
      <c r="T184" s="47"/>
      <c r="U184" s="47"/>
      <c r="V184" s="47"/>
      <c r="W184" s="47"/>
      <c r="X184" s="47"/>
      <c r="Y184" s="47"/>
      <c r="Z184" s="47"/>
    </row>
    <row r="185">
      <c r="A185" s="48">
        <v>43.0</v>
      </c>
      <c r="B185" s="49" t="s">
        <v>1002</v>
      </c>
      <c r="C185" s="50" t="s">
        <v>971</v>
      </c>
      <c r="D185" s="49" t="s">
        <v>804</v>
      </c>
      <c r="E185" s="51" t="s">
        <v>69</v>
      </c>
      <c r="F185" s="51" t="s">
        <v>3668</v>
      </c>
      <c r="G185" s="51" t="s">
        <v>2235</v>
      </c>
      <c r="H185" s="51" t="s">
        <v>2235</v>
      </c>
      <c r="I185" s="51" t="s">
        <v>2236</v>
      </c>
      <c r="J185" s="51" t="s">
        <v>1734</v>
      </c>
      <c r="K185" s="51" t="s">
        <v>2237</v>
      </c>
      <c r="L185" s="47"/>
      <c r="M185" s="47"/>
      <c r="N185" s="47"/>
      <c r="O185" s="47"/>
      <c r="P185" s="47"/>
      <c r="Q185" s="47"/>
      <c r="R185" s="47"/>
      <c r="S185" s="47"/>
      <c r="T185" s="47"/>
      <c r="U185" s="47"/>
      <c r="V185" s="47"/>
      <c r="W185" s="47"/>
      <c r="X185" s="47"/>
      <c r="Y185" s="47"/>
      <c r="Z185" s="47"/>
    </row>
    <row r="186">
      <c r="A186" s="48">
        <v>43.0</v>
      </c>
      <c r="B186" s="49" t="s">
        <v>1002</v>
      </c>
      <c r="C186" s="50" t="s">
        <v>971</v>
      </c>
      <c r="D186" s="49" t="s">
        <v>3050</v>
      </c>
      <c r="E186" s="51" t="s">
        <v>155</v>
      </c>
      <c r="F186" s="51" t="s">
        <v>3672</v>
      </c>
      <c r="G186" s="51" t="s">
        <v>2235</v>
      </c>
      <c r="H186" s="51" t="s">
        <v>2235</v>
      </c>
      <c r="I186" s="51" t="s">
        <v>2236</v>
      </c>
      <c r="J186" s="51" t="s">
        <v>3673</v>
      </c>
      <c r="K186" s="51" t="s">
        <v>2237</v>
      </c>
      <c r="L186" s="47"/>
      <c r="M186" s="47"/>
      <c r="N186" s="47"/>
      <c r="O186" s="47"/>
      <c r="P186" s="47"/>
      <c r="Q186" s="47"/>
      <c r="R186" s="47"/>
      <c r="S186" s="47"/>
      <c r="T186" s="47"/>
      <c r="U186" s="47"/>
      <c r="V186" s="47"/>
      <c r="W186" s="47"/>
      <c r="X186" s="47"/>
      <c r="Y186" s="47"/>
      <c r="Z186" s="47"/>
    </row>
    <row r="187">
      <c r="A187" s="48">
        <v>43.0</v>
      </c>
      <c r="B187" s="49" t="s">
        <v>1002</v>
      </c>
      <c r="C187" s="50" t="s">
        <v>971</v>
      </c>
      <c r="D187" s="49" t="s">
        <v>1917</v>
      </c>
      <c r="E187" s="51" t="s">
        <v>155</v>
      </c>
      <c r="F187" s="51" t="s">
        <v>3676</v>
      </c>
      <c r="G187" s="51" t="s">
        <v>2235</v>
      </c>
      <c r="H187" s="51" t="s">
        <v>2235</v>
      </c>
      <c r="I187" s="51" t="s">
        <v>2236</v>
      </c>
      <c r="J187" s="51" t="s">
        <v>3677</v>
      </c>
      <c r="K187" s="51" t="s">
        <v>2260</v>
      </c>
      <c r="L187" s="47"/>
      <c r="M187" s="47"/>
      <c r="N187" s="47"/>
      <c r="O187" s="47"/>
      <c r="P187" s="47"/>
      <c r="Q187" s="47"/>
      <c r="R187" s="47"/>
      <c r="S187" s="47"/>
      <c r="T187" s="47"/>
      <c r="U187" s="47"/>
      <c r="V187" s="47"/>
      <c r="W187" s="47"/>
      <c r="X187" s="47"/>
      <c r="Y187" s="47"/>
      <c r="Z187" s="47"/>
    </row>
    <row r="188">
      <c r="A188" s="48">
        <v>43.0</v>
      </c>
      <c r="B188" s="49" t="s">
        <v>1002</v>
      </c>
      <c r="C188" s="50" t="s">
        <v>971</v>
      </c>
      <c r="D188" s="49" t="s">
        <v>2879</v>
      </c>
      <c r="E188" s="51" t="s">
        <v>155</v>
      </c>
      <c r="F188" s="51" t="s">
        <v>3681</v>
      </c>
      <c r="G188" s="51" t="s">
        <v>2235</v>
      </c>
      <c r="H188" s="51" t="s">
        <v>2235</v>
      </c>
      <c r="I188" s="51" t="s">
        <v>2236</v>
      </c>
      <c r="J188" s="51" t="s">
        <v>1734</v>
      </c>
      <c r="K188" s="51" t="s">
        <v>2260</v>
      </c>
      <c r="L188" s="47"/>
      <c r="M188" s="47"/>
      <c r="N188" s="47"/>
      <c r="O188" s="47"/>
      <c r="P188" s="47"/>
      <c r="Q188" s="47"/>
      <c r="R188" s="47"/>
      <c r="S188" s="47"/>
      <c r="T188" s="47"/>
      <c r="U188" s="47"/>
      <c r="V188" s="47"/>
      <c r="W188" s="47"/>
      <c r="X188" s="47"/>
      <c r="Y188" s="47"/>
      <c r="Z188" s="47"/>
    </row>
    <row r="189">
      <c r="A189" s="48">
        <v>44.0</v>
      </c>
      <c r="B189" s="49" t="s">
        <v>641</v>
      </c>
      <c r="C189" s="50" t="s">
        <v>971</v>
      </c>
      <c r="D189" s="49" t="s">
        <v>979</v>
      </c>
      <c r="E189" s="51" t="s">
        <v>69</v>
      </c>
      <c r="F189" s="51" t="s">
        <v>3685</v>
      </c>
      <c r="G189" s="51" t="s">
        <v>2235</v>
      </c>
      <c r="H189" s="51" t="s">
        <v>2235</v>
      </c>
      <c r="I189" s="51" t="s">
        <v>2236</v>
      </c>
      <c r="J189" s="51" t="s">
        <v>1764</v>
      </c>
      <c r="K189" s="51" t="s">
        <v>2287</v>
      </c>
      <c r="L189" s="47"/>
      <c r="M189" s="47"/>
      <c r="N189" s="47"/>
      <c r="O189" s="47"/>
      <c r="P189" s="47"/>
      <c r="Q189" s="47"/>
      <c r="R189" s="47"/>
      <c r="S189" s="47"/>
      <c r="T189" s="47"/>
      <c r="U189" s="47"/>
      <c r="V189" s="47"/>
      <c r="W189" s="47"/>
      <c r="X189" s="47"/>
      <c r="Y189" s="47"/>
      <c r="Z189" s="47"/>
    </row>
    <row r="190">
      <c r="A190" s="48">
        <v>44.0</v>
      </c>
      <c r="B190" s="49" t="s">
        <v>641</v>
      </c>
      <c r="C190" s="50" t="s">
        <v>971</v>
      </c>
      <c r="D190" s="49" t="s">
        <v>841</v>
      </c>
      <c r="E190" s="51" t="s">
        <v>69</v>
      </c>
      <c r="F190" s="51" t="s">
        <v>3686</v>
      </c>
      <c r="G190" s="51" t="s">
        <v>2235</v>
      </c>
      <c r="H190" s="51" t="s">
        <v>2235</v>
      </c>
      <c r="I190" s="51" t="s">
        <v>2236</v>
      </c>
      <c r="J190" s="51" t="s">
        <v>3687</v>
      </c>
      <c r="K190" s="51" t="s">
        <v>2287</v>
      </c>
      <c r="L190" s="47"/>
      <c r="M190" s="47"/>
      <c r="N190" s="47"/>
      <c r="O190" s="47"/>
      <c r="P190" s="47"/>
      <c r="Q190" s="47"/>
      <c r="R190" s="47"/>
      <c r="S190" s="47"/>
      <c r="T190" s="47"/>
      <c r="U190" s="47"/>
      <c r="V190" s="47"/>
      <c r="W190" s="47"/>
      <c r="X190" s="47"/>
      <c r="Y190" s="47"/>
      <c r="Z190" s="47"/>
    </row>
    <row r="191">
      <c r="A191" s="48">
        <v>44.0</v>
      </c>
      <c r="B191" s="49" t="s">
        <v>641</v>
      </c>
      <c r="C191" s="50" t="s">
        <v>971</v>
      </c>
      <c r="D191" s="49" t="s">
        <v>926</v>
      </c>
      <c r="E191" s="51" t="s">
        <v>69</v>
      </c>
      <c r="F191" s="51" t="s">
        <v>3691</v>
      </c>
      <c r="G191" s="51" t="s">
        <v>2235</v>
      </c>
      <c r="H191" s="51" t="s">
        <v>2235</v>
      </c>
      <c r="I191" s="51" t="s">
        <v>2236</v>
      </c>
      <c r="J191" s="51" t="s">
        <v>1764</v>
      </c>
      <c r="K191" s="51" t="s">
        <v>2287</v>
      </c>
      <c r="L191" s="47"/>
      <c r="M191" s="47"/>
      <c r="N191" s="47"/>
      <c r="O191" s="47"/>
      <c r="P191" s="47"/>
      <c r="Q191" s="47"/>
      <c r="R191" s="47"/>
      <c r="S191" s="47"/>
      <c r="T191" s="47"/>
      <c r="U191" s="47"/>
      <c r="V191" s="47"/>
      <c r="W191" s="47"/>
      <c r="X191" s="47"/>
      <c r="Y191" s="47"/>
      <c r="Z191" s="47"/>
    </row>
    <row r="192">
      <c r="A192" s="48">
        <v>44.0</v>
      </c>
      <c r="B192" s="49" t="s">
        <v>641</v>
      </c>
      <c r="C192" s="50" t="s">
        <v>971</v>
      </c>
      <c r="D192" s="49" t="s">
        <v>2788</v>
      </c>
      <c r="E192" s="51" t="s">
        <v>69</v>
      </c>
      <c r="F192" s="51" t="s">
        <v>3692</v>
      </c>
      <c r="G192" s="51" t="s">
        <v>2235</v>
      </c>
      <c r="H192" s="51" t="s">
        <v>2235</v>
      </c>
      <c r="I192" s="51" t="s">
        <v>2236</v>
      </c>
      <c r="J192" s="51" t="s">
        <v>3687</v>
      </c>
      <c r="K192" s="51" t="s">
        <v>2260</v>
      </c>
      <c r="L192" s="47"/>
      <c r="M192" s="47"/>
      <c r="N192" s="47"/>
      <c r="O192" s="47"/>
      <c r="P192" s="47"/>
      <c r="Q192" s="47"/>
      <c r="R192" s="47"/>
      <c r="S192" s="47"/>
      <c r="T192" s="47"/>
      <c r="U192" s="47"/>
      <c r="V192" s="47"/>
      <c r="W192" s="47"/>
      <c r="X192" s="47"/>
      <c r="Y192" s="47"/>
      <c r="Z192" s="47"/>
    </row>
    <row r="193">
      <c r="A193" s="48">
        <v>44.0</v>
      </c>
      <c r="B193" s="49" t="s">
        <v>641</v>
      </c>
      <c r="C193" s="50" t="s">
        <v>971</v>
      </c>
      <c r="D193" s="49" t="s">
        <v>3153</v>
      </c>
      <c r="E193" s="51" t="s">
        <v>155</v>
      </c>
      <c r="F193" s="51" t="s">
        <v>3695</v>
      </c>
      <c r="G193" s="51" t="s">
        <v>2235</v>
      </c>
      <c r="H193" s="51" t="s">
        <v>2235</v>
      </c>
      <c r="I193" s="51" t="s">
        <v>2236</v>
      </c>
      <c r="J193" s="51" t="s">
        <v>1764</v>
      </c>
      <c r="K193" s="51" t="s">
        <v>2287</v>
      </c>
      <c r="L193" s="47"/>
      <c r="M193" s="47"/>
      <c r="N193" s="47"/>
      <c r="O193" s="47"/>
      <c r="P193" s="47"/>
      <c r="Q193" s="47"/>
      <c r="R193" s="47"/>
      <c r="S193" s="47"/>
      <c r="T193" s="47"/>
      <c r="U193" s="47"/>
      <c r="V193" s="47"/>
      <c r="W193" s="47"/>
      <c r="X193" s="47"/>
      <c r="Y193" s="47"/>
      <c r="Z193" s="47"/>
    </row>
    <row r="194">
      <c r="A194" s="48">
        <v>45.0</v>
      </c>
      <c r="B194" s="49" t="s">
        <v>1020</v>
      </c>
      <c r="C194" s="50" t="s">
        <v>971</v>
      </c>
      <c r="D194" s="49" t="s">
        <v>1003</v>
      </c>
      <c r="E194" s="51" t="s">
        <v>69</v>
      </c>
      <c r="F194" s="51" t="s">
        <v>3702</v>
      </c>
      <c r="G194" s="51" t="s">
        <v>2235</v>
      </c>
      <c r="H194" s="51" t="s">
        <v>2235</v>
      </c>
      <c r="I194" s="51" t="s">
        <v>2236</v>
      </c>
      <c r="J194" s="51" t="s">
        <v>1797</v>
      </c>
      <c r="K194" s="51" t="s">
        <v>2237</v>
      </c>
      <c r="L194" s="47"/>
      <c r="M194" s="47"/>
      <c r="N194" s="47"/>
      <c r="O194" s="47"/>
      <c r="P194" s="47"/>
      <c r="Q194" s="47"/>
      <c r="R194" s="47"/>
      <c r="S194" s="47"/>
      <c r="T194" s="47"/>
      <c r="U194" s="47"/>
      <c r="V194" s="47"/>
      <c r="W194" s="47"/>
      <c r="X194" s="47"/>
      <c r="Y194" s="47"/>
      <c r="Z194" s="47"/>
    </row>
    <row r="195">
      <c r="A195" s="48">
        <v>45.0</v>
      </c>
      <c r="B195" s="49" t="s">
        <v>1020</v>
      </c>
      <c r="C195" s="50" t="s">
        <v>971</v>
      </c>
      <c r="D195" s="49" t="s">
        <v>3161</v>
      </c>
      <c r="E195" s="51" t="s">
        <v>69</v>
      </c>
      <c r="F195" s="51" t="s">
        <v>3708</v>
      </c>
      <c r="G195" s="51" t="s">
        <v>2235</v>
      </c>
      <c r="H195" s="51" t="s">
        <v>2235</v>
      </c>
      <c r="I195" s="51" t="s">
        <v>2236</v>
      </c>
      <c r="J195" s="51" t="s">
        <v>3709</v>
      </c>
      <c r="K195" s="51" t="s">
        <v>2237</v>
      </c>
      <c r="L195" s="47"/>
      <c r="M195" s="47"/>
      <c r="N195" s="47"/>
      <c r="O195" s="47"/>
      <c r="P195" s="47"/>
      <c r="Q195" s="47"/>
      <c r="R195" s="47"/>
      <c r="S195" s="47"/>
      <c r="T195" s="47"/>
      <c r="U195" s="47"/>
      <c r="V195" s="47"/>
      <c r="W195" s="47"/>
      <c r="X195" s="47"/>
      <c r="Y195" s="47"/>
      <c r="Z195" s="47"/>
    </row>
    <row r="196">
      <c r="A196" s="48">
        <v>45.0</v>
      </c>
      <c r="B196" s="49" t="s">
        <v>1020</v>
      </c>
      <c r="C196" s="50" t="s">
        <v>971</v>
      </c>
      <c r="D196" s="49" t="s">
        <v>2879</v>
      </c>
      <c r="E196" s="51" t="s">
        <v>155</v>
      </c>
      <c r="F196" s="51" t="s">
        <v>3710</v>
      </c>
      <c r="G196" s="51" t="s">
        <v>2235</v>
      </c>
      <c r="H196" s="51" t="s">
        <v>2235</v>
      </c>
      <c r="I196" s="51" t="s">
        <v>2236</v>
      </c>
      <c r="J196" s="51" t="s">
        <v>3711</v>
      </c>
      <c r="K196" s="51" t="s">
        <v>2260</v>
      </c>
      <c r="L196" s="47"/>
      <c r="M196" s="47"/>
      <c r="N196" s="47"/>
      <c r="O196" s="47"/>
      <c r="P196" s="47"/>
      <c r="Q196" s="47"/>
      <c r="R196" s="47"/>
      <c r="S196" s="47"/>
      <c r="T196" s="47"/>
      <c r="U196" s="47"/>
      <c r="V196" s="47"/>
      <c r="W196" s="47"/>
      <c r="X196" s="47"/>
      <c r="Y196" s="47"/>
      <c r="Z196" s="47"/>
    </row>
    <row r="197">
      <c r="A197" s="48">
        <v>45.0</v>
      </c>
      <c r="B197" s="49" t="s">
        <v>1020</v>
      </c>
      <c r="C197" s="50" t="s">
        <v>971</v>
      </c>
      <c r="D197" s="49" t="s">
        <v>2834</v>
      </c>
      <c r="E197" s="51" t="s">
        <v>155</v>
      </c>
      <c r="F197" s="51" t="s">
        <v>3714</v>
      </c>
      <c r="G197" s="51" t="s">
        <v>2235</v>
      </c>
      <c r="H197" s="51" t="s">
        <v>2235</v>
      </c>
      <c r="I197" s="51" t="s">
        <v>2236</v>
      </c>
      <c r="J197" s="51" t="s">
        <v>1797</v>
      </c>
      <c r="K197" s="51" t="s">
        <v>2287</v>
      </c>
      <c r="L197" s="47"/>
      <c r="M197" s="47"/>
      <c r="N197" s="47"/>
      <c r="O197" s="47"/>
      <c r="P197" s="47"/>
      <c r="Q197" s="47"/>
      <c r="R197" s="47"/>
      <c r="S197" s="47"/>
      <c r="T197" s="47"/>
      <c r="U197" s="47"/>
      <c r="V197" s="47"/>
      <c r="W197" s="47"/>
      <c r="X197" s="47"/>
      <c r="Y197" s="47"/>
      <c r="Z197" s="47"/>
    </row>
    <row r="198">
      <c r="A198" s="48">
        <v>45.0</v>
      </c>
      <c r="B198" s="49" t="s">
        <v>1020</v>
      </c>
      <c r="C198" s="50" t="s">
        <v>971</v>
      </c>
      <c r="D198" s="49" t="s">
        <v>3145</v>
      </c>
      <c r="E198" s="51" t="s">
        <v>155</v>
      </c>
      <c r="F198" s="51" t="s">
        <v>3721</v>
      </c>
      <c r="G198" s="51" t="s">
        <v>2235</v>
      </c>
      <c r="H198" s="51" t="s">
        <v>2235</v>
      </c>
      <c r="I198" s="51" t="s">
        <v>2236</v>
      </c>
      <c r="J198" s="51" t="s">
        <v>3709</v>
      </c>
      <c r="K198" s="51" t="s">
        <v>2237</v>
      </c>
      <c r="L198" s="47"/>
      <c r="M198" s="47"/>
      <c r="N198" s="47"/>
      <c r="O198" s="47"/>
      <c r="P198" s="47"/>
      <c r="Q198" s="47"/>
      <c r="R198" s="47"/>
      <c r="S198" s="47"/>
      <c r="T198" s="47"/>
      <c r="U198" s="47"/>
      <c r="V198" s="47"/>
      <c r="W198" s="47"/>
      <c r="X198" s="47"/>
      <c r="Y198" s="47"/>
      <c r="Z198" s="47"/>
    </row>
    <row r="199">
      <c r="A199" s="48">
        <v>46.0</v>
      </c>
      <c r="B199" s="49" t="s">
        <v>757</v>
      </c>
      <c r="C199" s="50" t="s">
        <v>971</v>
      </c>
      <c r="D199" s="49" t="s">
        <v>597</v>
      </c>
      <c r="E199" s="51" t="s">
        <v>69</v>
      </c>
      <c r="F199" s="51" t="s">
        <v>3726</v>
      </c>
      <c r="G199" s="51" t="s">
        <v>2235</v>
      </c>
      <c r="H199" s="51" t="s">
        <v>2235</v>
      </c>
      <c r="I199" s="51" t="s">
        <v>2236</v>
      </c>
      <c r="J199" s="51" t="s">
        <v>1822</v>
      </c>
      <c r="K199" s="51" t="s">
        <v>2237</v>
      </c>
      <c r="L199" s="47"/>
      <c r="M199" s="47"/>
      <c r="N199" s="47"/>
      <c r="O199" s="47"/>
      <c r="P199" s="47"/>
      <c r="Q199" s="47"/>
      <c r="R199" s="47"/>
      <c r="S199" s="47"/>
      <c r="T199" s="47"/>
      <c r="U199" s="47"/>
      <c r="V199" s="47"/>
      <c r="W199" s="47"/>
      <c r="X199" s="47"/>
      <c r="Y199" s="47"/>
      <c r="Z199" s="47"/>
    </row>
    <row r="200">
      <c r="A200" s="48">
        <v>46.0</v>
      </c>
      <c r="B200" s="49" t="s">
        <v>757</v>
      </c>
      <c r="C200" s="50" t="s">
        <v>971</v>
      </c>
      <c r="D200" s="49" t="s">
        <v>3729</v>
      </c>
      <c r="E200" s="51" t="s">
        <v>155</v>
      </c>
      <c r="F200" s="51" t="s">
        <v>3732</v>
      </c>
      <c r="G200" s="51" t="s">
        <v>2235</v>
      </c>
      <c r="H200" s="51" t="s">
        <v>2235</v>
      </c>
      <c r="I200" s="51" t="s">
        <v>2236</v>
      </c>
      <c r="J200" s="51" t="s">
        <v>1822</v>
      </c>
      <c r="K200" s="51" t="s">
        <v>2237</v>
      </c>
      <c r="L200" s="47"/>
      <c r="M200" s="47"/>
      <c r="N200" s="47"/>
      <c r="O200" s="47"/>
      <c r="P200" s="47"/>
      <c r="Q200" s="47"/>
      <c r="R200" s="47"/>
      <c r="S200" s="47"/>
      <c r="T200" s="47"/>
      <c r="U200" s="47"/>
      <c r="V200" s="47"/>
      <c r="W200" s="47"/>
      <c r="X200" s="47"/>
      <c r="Y200" s="47"/>
      <c r="Z200" s="47"/>
    </row>
    <row r="201">
      <c r="A201" s="48">
        <v>46.0</v>
      </c>
      <c r="B201" s="49" t="s">
        <v>757</v>
      </c>
      <c r="C201" s="50" t="s">
        <v>971</v>
      </c>
      <c r="D201" s="49" t="s">
        <v>3365</v>
      </c>
      <c r="E201" s="51" t="s">
        <v>155</v>
      </c>
      <c r="F201" s="51" t="s">
        <v>3736</v>
      </c>
      <c r="G201" s="51" t="s">
        <v>2235</v>
      </c>
      <c r="H201" s="51" t="s">
        <v>2235</v>
      </c>
      <c r="I201" s="51" t="s">
        <v>2236</v>
      </c>
      <c r="J201" s="51" t="s">
        <v>1822</v>
      </c>
      <c r="K201" s="51" t="s">
        <v>2287</v>
      </c>
      <c r="L201" s="47"/>
      <c r="M201" s="47"/>
      <c r="N201" s="47"/>
      <c r="O201" s="47"/>
      <c r="P201" s="47"/>
      <c r="Q201" s="47"/>
      <c r="R201" s="47"/>
      <c r="S201" s="47"/>
      <c r="T201" s="47"/>
      <c r="U201" s="47"/>
      <c r="V201" s="47"/>
      <c r="W201" s="47"/>
      <c r="X201" s="47"/>
      <c r="Y201" s="47"/>
      <c r="Z201" s="47"/>
    </row>
    <row r="202">
      <c r="A202" s="48">
        <v>47.0</v>
      </c>
      <c r="B202" s="49" t="s">
        <v>908</v>
      </c>
      <c r="C202" s="50" t="s">
        <v>971</v>
      </c>
      <c r="D202" s="49" t="s">
        <v>830</v>
      </c>
      <c r="E202" s="51" t="s">
        <v>69</v>
      </c>
      <c r="F202" s="51" t="s">
        <v>3737</v>
      </c>
      <c r="G202" s="51" t="s">
        <v>2235</v>
      </c>
      <c r="H202" s="51" t="s">
        <v>2235</v>
      </c>
      <c r="I202" s="51" t="s">
        <v>2236</v>
      </c>
      <c r="J202" s="51" t="s">
        <v>1861</v>
      </c>
      <c r="K202" s="51" t="s">
        <v>2237</v>
      </c>
      <c r="L202" s="47"/>
      <c r="M202" s="47"/>
      <c r="N202" s="47"/>
      <c r="O202" s="47"/>
      <c r="P202" s="47"/>
      <c r="Q202" s="47"/>
      <c r="R202" s="47"/>
      <c r="S202" s="47"/>
      <c r="T202" s="47"/>
      <c r="U202" s="47"/>
      <c r="V202" s="47"/>
      <c r="W202" s="47"/>
      <c r="X202" s="47"/>
      <c r="Y202" s="47"/>
      <c r="Z202" s="47"/>
    </row>
    <row r="203">
      <c r="A203" s="48">
        <v>47.0</v>
      </c>
      <c r="B203" s="49" t="s">
        <v>908</v>
      </c>
      <c r="C203" s="50" t="s">
        <v>971</v>
      </c>
      <c r="D203" s="49" t="s">
        <v>772</v>
      </c>
      <c r="E203" s="51" t="s">
        <v>69</v>
      </c>
      <c r="F203" s="51" t="s">
        <v>3742</v>
      </c>
      <c r="G203" s="51" t="s">
        <v>2235</v>
      </c>
      <c r="H203" s="51" t="s">
        <v>2235</v>
      </c>
      <c r="I203" s="51" t="s">
        <v>2236</v>
      </c>
      <c r="J203" s="51" t="s">
        <v>3743</v>
      </c>
      <c r="K203" s="51" t="s">
        <v>2287</v>
      </c>
      <c r="L203" s="47"/>
      <c r="M203" s="47"/>
      <c r="N203" s="47"/>
      <c r="O203" s="47"/>
      <c r="P203" s="47"/>
      <c r="Q203" s="47"/>
      <c r="R203" s="47"/>
      <c r="S203" s="47"/>
      <c r="T203" s="47"/>
      <c r="U203" s="47"/>
      <c r="V203" s="47"/>
      <c r="W203" s="47"/>
      <c r="X203" s="47"/>
      <c r="Y203" s="47"/>
      <c r="Z203" s="47"/>
    </row>
    <row r="204">
      <c r="A204" s="48">
        <v>47.0</v>
      </c>
      <c r="B204" s="49" t="s">
        <v>908</v>
      </c>
      <c r="C204" s="50" t="s">
        <v>971</v>
      </c>
      <c r="D204" s="49" t="s">
        <v>3150</v>
      </c>
      <c r="E204" s="51" t="s">
        <v>69</v>
      </c>
      <c r="F204" s="51" t="s">
        <v>3744</v>
      </c>
      <c r="G204" s="51" t="s">
        <v>2235</v>
      </c>
      <c r="H204" s="51" t="s">
        <v>2235</v>
      </c>
      <c r="I204" s="51" t="s">
        <v>2236</v>
      </c>
      <c r="J204" s="51" t="s">
        <v>1861</v>
      </c>
      <c r="K204" s="51" t="s">
        <v>2287</v>
      </c>
      <c r="L204" s="47"/>
      <c r="M204" s="47"/>
      <c r="N204" s="47"/>
      <c r="O204" s="47"/>
      <c r="P204" s="47"/>
      <c r="Q204" s="47"/>
      <c r="R204" s="47"/>
      <c r="S204" s="47"/>
      <c r="T204" s="47"/>
      <c r="U204" s="47"/>
      <c r="V204" s="47"/>
      <c r="W204" s="47"/>
      <c r="X204" s="47"/>
      <c r="Y204" s="47"/>
      <c r="Z204" s="47"/>
    </row>
    <row r="205">
      <c r="A205" s="48">
        <v>47.0</v>
      </c>
      <c r="B205" s="49" t="s">
        <v>908</v>
      </c>
      <c r="C205" s="50" t="s">
        <v>971</v>
      </c>
      <c r="D205" s="49" t="s">
        <v>2786</v>
      </c>
      <c r="E205" s="51" t="s">
        <v>155</v>
      </c>
      <c r="F205" s="51" t="s">
        <v>3748</v>
      </c>
      <c r="G205" s="51" t="s">
        <v>2235</v>
      </c>
      <c r="H205" s="51" t="s">
        <v>2235</v>
      </c>
      <c r="I205" s="51" t="s">
        <v>2236</v>
      </c>
      <c r="J205" s="51" t="s">
        <v>3743</v>
      </c>
      <c r="K205" s="51" t="s">
        <v>2287</v>
      </c>
      <c r="L205" s="47"/>
      <c r="M205" s="47"/>
      <c r="N205" s="47"/>
      <c r="O205" s="47"/>
      <c r="P205" s="47"/>
      <c r="Q205" s="47"/>
      <c r="R205" s="47"/>
      <c r="S205" s="47"/>
      <c r="T205" s="47"/>
      <c r="U205" s="47"/>
      <c r="V205" s="47"/>
      <c r="W205" s="47"/>
      <c r="X205" s="47"/>
      <c r="Y205" s="47"/>
      <c r="Z205" s="47"/>
    </row>
    <row r="206">
      <c r="A206" s="48">
        <v>48.0</v>
      </c>
      <c r="B206" s="49" t="s">
        <v>1038</v>
      </c>
      <c r="C206" s="50" t="s">
        <v>971</v>
      </c>
      <c r="D206" s="49" t="s">
        <v>1569</v>
      </c>
      <c r="E206" s="51" t="s">
        <v>69</v>
      </c>
      <c r="F206" s="51" t="s">
        <v>3755</v>
      </c>
      <c r="G206" s="51" t="s">
        <v>2235</v>
      </c>
      <c r="H206" s="51" t="s">
        <v>2235</v>
      </c>
      <c r="I206" s="51" t="s">
        <v>2236</v>
      </c>
      <c r="J206" s="51" t="s">
        <v>1874</v>
      </c>
      <c r="K206" s="51" t="s">
        <v>2237</v>
      </c>
      <c r="L206" s="47"/>
      <c r="M206" s="47"/>
      <c r="N206" s="47"/>
      <c r="O206" s="47"/>
      <c r="P206" s="47"/>
      <c r="Q206" s="47"/>
      <c r="R206" s="47"/>
      <c r="S206" s="47"/>
      <c r="T206" s="47"/>
      <c r="U206" s="47"/>
      <c r="V206" s="47"/>
      <c r="W206" s="47"/>
      <c r="X206" s="47"/>
      <c r="Y206" s="47"/>
      <c r="Z206" s="47"/>
    </row>
    <row r="207">
      <c r="A207" s="48">
        <v>48.0</v>
      </c>
      <c r="B207" s="49" t="s">
        <v>1038</v>
      </c>
      <c r="C207" s="50" t="s">
        <v>971</v>
      </c>
      <c r="D207" s="49" t="s">
        <v>3053</v>
      </c>
      <c r="E207" s="51" t="s">
        <v>69</v>
      </c>
      <c r="F207" s="51" t="s">
        <v>3756</v>
      </c>
      <c r="G207" s="51" t="s">
        <v>2235</v>
      </c>
      <c r="H207" s="51" t="s">
        <v>2235</v>
      </c>
      <c r="I207" s="51" t="s">
        <v>2236</v>
      </c>
      <c r="J207" s="51" t="s">
        <v>3757</v>
      </c>
      <c r="K207" s="51" t="s">
        <v>2237</v>
      </c>
      <c r="L207" s="47"/>
      <c r="M207" s="47"/>
      <c r="N207" s="47"/>
      <c r="O207" s="47"/>
      <c r="P207" s="47"/>
      <c r="Q207" s="47"/>
      <c r="R207" s="47"/>
      <c r="S207" s="47"/>
      <c r="T207" s="47"/>
      <c r="U207" s="47"/>
      <c r="V207" s="47"/>
      <c r="W207" s="47"/>
      <c r="X207" s="47"/>
      <c r="Y207" s="47"/>
      <c r="Z207" s="47"/>
    </row>
    <row r="208">
      <c r="A208" s="48">
        <v>48.0</v>
      </c>
      <c r="B208" s="49" t="s">
        <v>1038</v>
      </c>
      <c r="C208" s="50" t="s">
        <v>971</v>
      </c>
      <c r="D208" s="49" t="s">
        <v>2999</v>
      </c>
      <c r="E208" s="51" t="s">
        <v>69</v>
      </c>
      <c r="F208" s="51" t="s">
        <v>3762</v>
      </c>
      <c r="G208" s="51" t="s">
        <v>2235</v>
      </c>
      <c r="H208" s="51" t="s">
        <v>2235</v>
      </c>
      <c r="I208" s="51" t="s">
        <v>2236</v>
      </c>
      <c r="J208" s="51" t="s">
        <v>3763</v>
      </c>
      <c r="K208" s="51" t="s">
        <v>2237</v>
      </c>
      <c r="L208" s="47"/>
      <c r="M208" s="47"/>
      <c r="N208" s="47"/>
      <c r="O208" s="47"/>
      <c r="P208" s="47"/>
      <c r="Q208" s="47"/>
      <c r="R208" s="47"/>
      <c r="S208" s="47"/>
      <c r="T208" s="47"/>
      <c r="U208" s="47"/>
      <c r="V208" s="47"/>
      <c r="W208" s="47"/>
      <c r="X208" s="47"/>
      <c r="Y208" s="47"/>
      <c r="Z208" s="47"/>
    </row>
    <row r="209">
      <c r="A209" s="48">
        <v>48.0</v>
      </c>
      <c r="B209" s="49" t="s">
        <v>1038</v>
      </c>
      <c r="C209" s="50" t="s">
        <v>971</v>
      </c>
      <c r="D209" s="49" t="s">
        <v>2787</v>
      </c>
      <c r="E209" s="51" t="s">
        <v>69</v>
      </c>
      <c r="F209" s="51" t="s">
        <v>3764</v>
      </c>
      <c r="G209" s="51" t="s">
        <v>2235</v>
      </c>
      <c r="H209" s="51" t="s">
        <v>2235</v>
      </c>
      <c r="I209" s="51" t="s">
        <v>2236</v>
      </c>
      <c r="J209" s="51" t="s">
        <v>1874</v>
      </c>
      <c r="K209" s="51" t="s">
        <v>2287</v>
      </c>
      <c r="L209" s="47"/>
      <c r="M209" s="47"/>
      <c r="N209" s="47"/>
      <c r="O209" s="47"/>
      <c r="P209" s="47"/>
      <c r="Q209" s="47"/>
      <c r="R209" s="47"/>
      <c r="S209" s="47"/>
      <c r="T209" s="47"/>
      <c r="U209" s="47"/>
      <c r="V209" s="47"/>
      <c r="W209" s="47"/>
      <c r="X209" s="47"/>
      <c r="Y209" s="47"/>
      <c r="Z209" s="47"/>
    </row>
    <row r="210">
      <c r="A210" s="48">
        <v>48.0</v>
      </c>
      <c r="B210" s="49" t="s">
        <v>1038</v>
      </c>
      <c r="C210" s="50" t="s">
        <v>971</v>
      </c>
      <c r="D210" s="49" t="s">
        <v>2016</v>
      </c>
      <c r="E210" s="51" t="s">
        <v>69</v>
      </c>
      <c r="F210" s="51" t="s">
        <v>3769</v>
      </c>
      <c r="G210" s="51" t="s">
        <v>2235</v>
      </c>
      <c r="H210" s="51" t="s">
        <v>2235</v>
      </c>
      <c r="I210" s="51" t="s">
        <v>2236</v>
      </c>
      <c r="J210" s="51" t="s">
        <v>3757</v>
      </c>
      <c r="K210" s="51" t="s">
        <v>2237</v>
      </c>
      <c r="L210" s="47"/>
      <c r="M210" s="47"/>
      <c r="N210" s="47"/>
      <c r="O210" s="47"/>
      <c r="P210" s="47"/>
      <c r="Q210" s="47"/>
      <c r="R210" s="47"/>
      <c r="S210" s="47"/>
      <c r="T210" s="47"/>
      <c r="U210" s="47"/>
      <c r="V210" s="47"/>
      <c r="W210" s="47"/>
      <c r="X210" s="47"/>
      <c r="Y210" s="47"/>
      <c r="Z210" s="47"/>
    </row>
    <row r="211">
      <c r="A211" s="48">
        <v>49.0</v>
      </c>
      <c r="B211" s="49" t="s">
        <v>1047</v>
      </c>
      <c r="C211" s="50" t="s">
        <v>971</v>
      </c>
      <c r="D211" s="49" t="s">
        <v>2837</v>
      </c>
      <c r="E211" s="51" t="s">
        <v>69</v>
      </c>
      <c r="F211" s="51" t="s">
        <v>3773</v>
      </c>
      <c r="G211" s="51" t="s">
        <v>2235</v>
      </c>
      <c r="H211" s="51" t="s">
        <v>2235</v>
      </c>
      <c r="I211" s="51" t="s">
        <v>2236</v>
      </c>
      <c r="J211" s="51" t="s">
        <v>1904</v>
      </c>
      <c r="K211" s="51" t="s">
        <v>2287</v>
      </c>
      <c r="L211" s="47"/>
      <c r="M211" s="47"/>
      <c r="N211" s="47"/>
      <c r="O211" s="47"/>
      <c r="P211" s="47"/>
      <c r="Q211" s="47"/>
      <c r="R211" s="47"/>
      <c r="S211" s="47"/>
      <c r="T211" s="47"/>
      <c r="U211" s="47"/>
      <c r="V211" s="47"/>
      <c r="W211" s="47"/>
      <c r="X211" s="47"/>
      <c r="Y211" s="47"/>
      <c r="Z211" s="47"/>
    </row>
    <row r="212">
      <c r="A212" s="48">
        <v>49.0</v>
      </c>
      <c r="B212" s="49" t="s">
        <v>1047</v>
      </c>
      <c r="C212" s="50" t="s">
        <v>971</v>
      </c>
      <c r="D212" s="49" t="s">
        <v>2879</v>
      </c>
      <c r="E212" s="51" t="s">
        <v>69</v>
      </c>
      <c r="F212" s="51" t="s">
        <v>3774</v>
      </c>
      <c r="G212" s="51" t="s">
        <v>2235</v>
      </c>
      <c r="H212" s="51" t="s">
        <v>2235</v>
      </c>
      <c r="I212" s="51" t="s">
        <v>2236</v>
      </c>
      <c r="J212" s="51" t="s">
        <v>3775</v>
      </c>
      <c r="K212" s="51" t="s">
        <v>2260</v>
      </c>
      <c r="L212" s="47"/>
      <c r="M212" s="47"/>
      <c r="N212" s="47"/>
      <c r="O212" s="47"/>
      <c r="P212" s="47"/>
      <c r="Q212" s="47"/>
      <c r="R212" s="47"/>
      <c r="S212" s="47"/>
      <c r="T212" s="47"/>
      <c r="U212" s="47"/>
      <c r="V212" s="47"/>
      <c r="W212" s="47"/>
      <c r="X212" s="47"/>
      <c r="Y212" s="47"/>
      <c r="Z212" s="47"/>
    </row>
    <row r="213">
      <c r="A213" s="48">
        <v>49.0</v>
      </c>
      <c r="B213" s="49" t="s">
        <v>1047</v>
      </c>
      <c r="C213" s="50" t="s">
        <v>971</v>
      </c>
      <c r="D213" s="49" t="s">
        <v>1917</v>
      </c>
      <c r="E213" s="51" t="s">
        <v>155</v>
      </c>
      <c r="F213" s="51" t="s">
        <v>3778</v>
      </c>
      <c r="G213" s="51" t="s">
        <v>2235</v>
      </c>
      <c r="H213" s="51" t="s">
        <v>2235</v>
      </c>
      <c r="I213" s="51" t="s">
        <v>2236</v>
      </c>
      <c r="J213" s="51" t="s">
        <v>1904</v>
      </c>
      <c r="K213" s="51" t="s">
        <v>2260</v>
      </c>
      <c r="L213" s="47"/>
      <c r="M213" s="47"/>
      <c r="N213" s="47"/>
      <c r="O213" s="47"/>
      <c r="P213" s="47"/>
      <c r="Q213" s="47"/>
      <c r="R213" s="47"/>
      <c r="S213" s="47"/>
      <c r="T213" s="47"/>
      <c r="U213" s="47"/>
      <c r="V213" s="47"/>
      <c r="W213" s="47"/>
      <c r="X213" s="47"/>
      <c r="Y213" s="47"/>
      <c r="Z213" s="47"/>
    </row>
    <row r="214">
      <c r="A214" s="48">
        <v>49.0</v>
      </c>
      <c r="B214" s="49" t="s">
        <v>1047</v>
      </c>
      <c r="C214" s="50" t="s">
        <v>971</v>
      </c>
      <c r="D214" s="49" t="s">
        <v>2834</v>
      </c>
      <c r="E214" s="51" t="s">
        <v>155</v>
      </c>
      <c r="F214" s="51" t="s">
        <v>3780</v>
      </c>
      <c r="G214" s="51" t="s">
        <v>2235</v>
      </c>
      <c r="H214" s="51" t="s">
        <v>2235</v>
      </c>
      <c r="I214" s="51" t="s">
        <v>2236</v>
      </c>
      <c r="J214" s="51" t="s">
        <v>3775</v>
      </c>
      <c r="K214" s="51" t="s">
        <v>2287</v>
      </c>
      <c r="L214" s="47"/>
      <c r="M214" s="47"/>
      <c r="N214" s="47"/>
      <c r="O214" s="47"/>
      <c r="P214" s="47"/>
      <c r="Q214" s="47"/>
      <c r="R214" s="47"/>
      <c r="S214" s="47"/>
      <c r="T214" s="47"/>
      <c r="U214" s="47"/>
      <c r="V214" s="47"/>
      <c r="W214" s="47"/>
      <c r="X214" s="47"/>
      <c r="Y214" s="47"/>
      <c r="Z214" s="47"/>
    </row>
    <row r="215">
      <c r="A215" s="48">
        <v>49.0</v>
      </c>
      <c r="B215" s="49" t="s">
        <v>1047</v>
      </c>
      <c r="C215" s="50" t="s">
        <v>971</v>
      </c>
      <c r="D215" s="49" t="s">
        <v>757</v>
      </c>
      <c r="E215" s="51" t="s">
        <v>155</v>
      </c>
      <c r="F215" s="51" t="s">
        <v>3781</v>
      </c>
      <c r="G215" s="51" t="s">
        <v>2235</v>
      </c>
      <c r="H215" s="51" t="s">
        <v>2235</v>
      </c>
      <c r="I215" s="51" t="s">
        <v>2236</v>
      </c>
      <c r="J215" s="51" t="s">
        <v>1904</v>
      </c>
      <c r="K215" s="51" t="s">
        <v>2237</v>
      </c>
      <c r="L215" s="47"/>
      <c r="M215" s="47"/>
      <c r="N215" s="47"/>
      <c r="O215" s="47"/>
      <c r="P215" s="47"/>
      <c r="Q215" s="47"/>
      <c r="R215" s="47"/>
      <c r="S215" s="47"/>
      <c r="T215" s="47"/>
      <c r="U215" s="47"/>
      <c r="V215" s="47"/>
      <c r="W215" s="47"/>
      <c r="X215" s="47"/>
      <c r="Y215" s="47"/>
      <c r="Z215" s="47"/>
    </row>
    <row r="216">
      <c r="A216" s="48">
        <v>50.0</v>
      </c>
      <c r="B216" s="49" t="s">
        <v>1056</v>
      </c>
      <c r="C216" s="50" t="s">
        <v>1057</v>
      </c>
      <c r="D216" s="49" t="s">
        <v>2799</v>
      </c>
      <c r="E216" s="51" t="s">
        <v>69</v>
      </c>
      <c r="F216" s="51" t="s">
        <v>3783</v>
      </c>
      <c r="G216" s="51" t="s">
        <v>2235</v>
      </c>
      <c r="H216" s="51" t="s">
        <v>2235</v>
      </c>
      <c r="I216" s="51" t="s">
        <v>2236</v>
      </c>
      <c r="J216" s="51" t="s">
        <v>1928</v>
      </c>
      <c r="K216" s="51" t="s">
        <v>2237</v>
      </c>
      <c r="L216" s="47"/>
      <c r="M216" s="47"/>
      <c r="N216" s="47"/>
      <c r="O216" s="47"/>
      <c r="P216" s="47"/>
      <c r="Q216" s="47"/>
      <c r="R216" s="47"/>
      <c r="S216" s="47"/>
      <c r="T216" s="47"/>
      <c r="U216" s="47"/>
      <c r="V216" s="47"/>
      <c r="W216" s="47"/>
      <c r="X216" s="47"/>
      <c r="Y216" s="47"/>
      <c r="Z216" s="47"/>
    </row>
    <row r="217">
      <c r="A217" s="48">
        <v>50.0</v>
      </c>
      <c r="B217" s="49" t="s">
        <v>1056</v>
      </c>
      <c r="C217" s="50" t="s">
        <v>1057</v>
      </c>
      <c r="D217" s="49" t="s">
        <v>3213</v>
      </c>
      <c r="E217" s="51" t="s">
        <v>69</v>
      </c>
      <c r="F217" s="51" t="s">
        <v>3789</v>
      </c>
      <c r="G217" s="51" t="s">
        <v>2235</v>
      </c>
      <c r="H217" s="51" t="s">
        <v>2235</v>
      </c>
      <c r="I217" s="51" t="s">
        <v>2236</v>
      </c>
      <c r="J217" s="51" t="s">
        <v>3790</v>
      </c>
      <c r="K217" s="51" t="s">
        <v>2237</v>
      </c>
      <c r="L217" s="47"/>
      <c r="M217" s="47"/>
      <c r="N217" s="47"/>
      <c r="O217" s="47"/>
      <c r="P217" s="47"/>
      <c r="Q217" s="47"/>
      <c r="R217" s="47"/>
      <c r="S217" s="47"/>
      <c r="T217" s="47"/>
      <c r="U217" s="47"/>
      <c r="V217" s="47"/>
      <c r="W217" s="47"/>
      <c r="X217" s="47"/>
      <c r="Y217" s="47"/>
      <c r="Z217" s="47"/>
    </row>
    <row r="218">
      <c r="A218" s="48">
        <v>50.0</v>
      </c>
      <c r="B218" s="49" t="s">
        <v>1056</v>
      </c>
      <c r="C218" s="50" t="s">
        <v>1057</v>
      </c>
      <c r="D218" s="49" t="s">
        <v>2929</v>
      </c>
      <c r="E218" s="51" t="s">
        <v>69</v>
      </c>
      <c r="F218" s="51" t="s">
        <v>3796</v>
      </c>
      <c r="G218" s="51" t="s">
        <v>2235</v>
      </c>
      <c r="H218" s="51" t="s">
        <v>2235</v>
      </c>
      <c r="I218" s="51" t="s">
        <v>2236</v>
      </c>
      <c r="J218" s="51" t="s">
        <v>3797</v>
      </c>
      <c r="K218" s="51" t="s">
        <v>2237</v>
      </c>
      <c r="L218" s="47"/>
      <c r="M218" s="47"/>
      <c r="N218" s="47"/>
      <c r="O218" s="47"/>
      <c r="P218" s="47"/>
      <c r="Q218" s="47"/>
      <c r="R218" s="47"/>
      <c r="S218" s="47"/>
      <c r="T218" s="47"/>
      <c r="U218" s="47"/>
      <c r="V218" s="47"/>
      <c r="W218" s="47"/>
      <c r="X218" s="47"/>
      <c r="Y218" s="47"/>
      <c r="Z218" s="47"/>
    </row>
    <row r="219">
      <c r="A219" s="48">
        <v>50.0</v>
      </c>
      <c r="B219" s="49" t="s">
        <v>1056</v>
      </c>
      <c r="C219" s="50" t="s">
        <v>1057</v>
      </c>
      <c r="D219" s="49" t="s">
        <v>3301</v>
      </c>
      <c r="E219" s="51" t="s">
        <v>69</v>
      </c>
      <c r="F219" s="51" t="s">
        <v>3800</v>
      </c>
      <c r="G219" s="51" t="s">
        <v>2235</v>
      </c>
      <c r="H219" s="51" t="s">
        <v>2235</v>
      </c>
      <c r="I219" s="51" t="s">
        <v>2236</v>
      </c>
      <c r="J219" s="51" t="s">
        <v>1928</v>
      </c>
      <c r="K219" s="51" t="s">
        <v>2237</v>
      </c>
      <c r="L219" s="47"/>
      <c r="M219" s="47"/>
      <c r="N219" s="47"/>
      <c r="O219" s="47"/>
      <c r="P219" s="47"/>
      <c r="Q219" s="47"/>
      <c r="R219" s="47"/>
      <c r="S219" s="47"/>
      <c r="T219" s="47"/>
      <c r="U219" s="47"/>
      <c r="V219" s="47"/>
      <c r="W219" s="47"/>
      <c r="X219" s="47"/>
      <c r="Y219" s="47"/>
      <c r="Z219" s="47"/>
    </row>
    <row r="220">
      <c r="A220" s="48">
        <v>50.0</v>
      </c>
      <c r="B220" s="49" t="s">
        <v>1056</v>
      </c>
      <c r="C220" s="50" t="s">
        <v>1057</v>
      </c>
      <c r="D220" s="49" t="s">
        <v>2950</v>
      </c>
      <c r="E220" s="51" t="s">
        <v>155</v>
      </c>
      <c r="F220" s="51" t="s">
        <v>3805</v>
      </c>
      <c r="G220" s="51" t="s">
        <v>2235</v>
      </c>
      <c r="H220" s="51" t="s">
        <v>2235</v>
      </c>
      <c r="I220" s="51" t="s">
        <v>2236</v>
      </c>
      <c r="J220" s="51" t="s">
        <v>3790</v>
      </c>
      <c r="K220" s="51" t="s">
        <v>3806</v>
      </c>
      <c r="L220" s="47"/>
      <c r="M220" s="47"/>
      <c r="N220" s="47"/>
      <c r="O220" s="47"/>
      <c r="P220" s="47"/>
      <c r="Q220" s="47"/>
      <c r="R220" s="47"/>
      <c r="S220" s="47"/>
      <c r="T220" s="47"/>
      <c r="U220" s="47"/>
      <c r="V220" s="47"/>
      <c r="W220" s="47"/>
      <c r="X220" s="47"/>
      <c r="Y220" s="47"/>
      <c r="Z220" s="47"/>
    </row>
    <row r="221">
      <c r="A221" s="48">
        <v>51.0</v>
      </c>
      <c r="B221" s="49" t="s">
        <v>1064</v>
      </c>
      <c r="C221" s="50" t="s">
        <v>1065</v>
      </c>
      <c r="D221" s="49" t="s">
        <v>2820</v>
      </c>
      <c r="E221" s="51" t="s">
        <v>69</v>
      </c>
      <c r="F221" s="51" t="s">
        <v>3812</v>
      </c>
      <c r="G221" s="51" t="s">
        <v>2235</v>
      </c>
      <c r="H221" s="51" t="s">
        <v>2235</v>
      </c>
      <c r="I221" s="51" t="s">
        <v>2236</v>
      </c>
      <c r="J221" s="51" t="s">
        <v>1961</v>
      </c>
      <c r="K221" s="51" t="s">
        <v>2237</v>
      </c>
      <c r="L221" s="47"/>
      <c r="M221" s="47"/>
      <c r="N221" s="47"/>
      <c r="O221" s="47"/>
      <c r="P221" s="47"/>
      <c r="Q221" s="47"/>
      <c r="R221" s="47"/>
      <c r="S221" s="47"/>
      <c r="T221" s="47"/>
      <c r="U221" s="47"/>
      <c r="V221" s="47"/>
      <c r="W221" s="47"/>
      <c r="X221" s="47"/>
      <c r="Y221" s="47"/>
      <c r="Z221" s="47"/>
    </row>
    <row r="222">
      <c r="A222" s="48">
        <v>51.0</v>
      </c>
      <c r="B222" s="49" t="s">
        <v>1064</v>
      </c>
      <c r="C222" s="50" t="s">
        <v>1065</v>
      </c>
      <c r="D222" s="49" t="s">
        <v>3033</v>
      </c>
      <c r="E222" s="51" t="s">
        <v>69</v>
      </c>
      <c r="F222" s="51" t="s">
        <v>3814</v>
      </c>
      <c r="G222" s="51" t="s">
        <v>2235</v>
      </c>
      <c r="H222" s="51" t="s">
        <v>2235</v>
      </c>
      <c r="I222" s="51" t="s">
        <v>2236</v>
      </c>
      <c r="J222" s="51" t="s">
        <v>3815</v>
      </c>
      <c r="K222" s="51" t="s">
        <v>2237</v>
      </c>
      <c r="L222" s="47"/>
      <c r="M222" s="47"/>
      <c r="N222" s="47"/>
      <c r="O222" s="47"/>
      <c r="P222" s="47"/>
      <c r="Q222" s="47"/>
      <c r="R222" s="47"/>
      <c r="S222" s="47"/>
      <c r="T222" s="47"/>
      <c r="U222" s="47"/>
      <c r="V222" s="47"/>
      <c r="W222" s="47"/>
      <c r="X222" s="47"/>
      <c r="Y222" s="47"/>
      <c r="Z222" s="47"/>
    </row>
    <row r="223">
      <c r="A223" s="48">
        <v>51.0</v>
      </c>
      <c r="B223" s="49" t="s">
        <v>1064</v>
      </c>
      <c r="C223" s="50" t="s">
        <v>1065</v>
      </c>
      <c r="D223" s="49" t="s">
        <v>3817</v>
      </c>
      <c r="E223" s="51" t="s">
        <v>69</v>
      </c>
      <c r="F223" s="51" t="s">
        <v>3820</v>
      </c>
      <c r="G223" s="51" t="s">
        <v>2235</v>
      </c>
      <c r="H223" s="51" t="s">
        <v>2235</v>
      </c>
      <c r="I223" s="51" t="s">
        <v>2236</v>
      </c>
      <c r="J223" s="51" t="s">
        <v>1961</v>
      </c>
      <c r="K223" s="51" t="s">
        <v>2237</v>
      </c>
      <c r="L223" s="47"/>
      <c r="M223" s="47"/>
      <c r="N223" s="47"/>
      <c r="O223" s="47"/>
      <c r="P223" s="47"/>
      <c r="Q223" s="47"/>
      <c r="R223" s="47"/>
      <c r="S223" s="47"/>
      <c r="T223" s="47"/>
      <c r="U223" s="47"/>
      <c r="V223" s="47"/>
      <c r="W223" s="47"/>
      <c r="X223" s="47"/>
      <c r="Y223" s="47"/>
      <c r="Z223" s="47"/>
    </row>
    <row r="224">
      <c r="A224" s="48">
        <v>51.0</v>
      </c>
      <c r="B224" s="49" t="s">
        <v>1064</v>
      </c>
      <c r="C224" s="50" t="s">
        <v>1065</v>
      </c>
      <c r="D224" s="49" t="s">
        <v>3821</v>
      </c>
      <c r="E224" s="51" t="s">
        <v>155</v>
      </c>
      <c r="F224" s="51" t="s">
        <v>3825</v>
      </c>
      <c r="G224" s="51" t="s">
        <v>2235</v>
      </c>
      <c r="H224" s="51" t="s">
        <v>2235</v>
      </c>
      <c r="I224" s="51" t="s">
        <v>2236</v>
      </c>
      <c r="J224" s="51" t="s">
        <v>3815</v>
      </c>
      <c r="K224" s="51" t="s">
        <v>2237</v>
      </c>
      <c r="L224" s="47"/>
      <c r="M224" s="47"/>
      <c r="N224" s="47"/>
      <c r="O224" s="47"/>
      <c r="P224" s="47"/>
      <c r="Q224" s="47"/>
      <c r="R224" s="47"/>
      <c r="S224" s="47"/>
      <c r="T224" s="47"/>
      <c r="U224" s="47"/>
      <c r="V224" s="47"/>
      <c r="W224" s="47"/>
      <c r="X224" s="47"/>
      <c r="Y224" s="47"/>
      <c r="Z224" s="47"/>
    </row>
    <row r="225">
      <c r="A225" s="48">
        <v>52.0</v>
      </c>
      <c r="B225" s="49" t="s">
        <v>591</v>
      </c>
      <c r="C225" s="50" t="s">
        <v>708</v>
      </c>
      <c r="D225" s="49" t="s">
        <v>627</v>
      </c>
      <c r="E225" s="51" t="s">
        <v>69</v>
      </c>
      <c r="F225" s="51" t="s">
        <v>3832</v>
      </c>
      <c r="G225" s="51" t="s">
        <v>2235</v>
      </c>
      <c r="H225" s="51" t="s">
        <v>2235</v>
      </c>
      <c r="I225" s="51" t="s">
        <v>2236</v>
      </c>
      <c r="J225" s="51" t="s">
        <v>1920</v>
      </c>
      <c r="K225" s="51" t="s">
        <v>2237</v>
      </c>
      <c r="L225" s="47"/>
      <c r="M225" s="47"/>
      <c r="N225" s="47"/>
      <c r="O225" s="47"/>
      <c r="P225" s="47"/>
      <c r="Q225" s="47"/>
      <c r="R225" s="47"/>
      <c r="S225" s="47"/>
      <c r="T225" s="47"/>
      <c r="U225" s="47"/>
      <c r="V225" s="47"/>
      <c r="W225" s="47"/>
      <c r="X225" s="47"/>
      <c r="Y225" s="47"/>
      <c r="Z225" s="47"/>
    </row>
    <row r="226">
      <c r="A226" s="48">
        <v>52.0</v>
      </c>
      <c r="B226" s="49" t="s">
        <v>591</v>
      </c>
      <c r="C226" s="50" t="s">
        <v>708</v>
      </c>
      <c r="D226" s="49" t="s">
        <v>620</v>
      </c>
      <c r="E226" s="51" t="s">
        <v>69</v>
      </c>
      <c r="F226" s="51" t="s">
        <v>3839</v>
      </c>
      <c r="G226" s="51" t="s">
        <v>2235</v>
      </c>
      <c r="H226" s="51" t="s">
        <v>2235</v>
      </c>
      <c r="I226" s="51" t="s">
        <v>2236</v>
      </c>
      <c r="J226" s="51" t="s">
        <v>3840</v>
      </c>
      <c r="K226" s="51" t="s">
        <v>2237</v>
      </c>
      <c r="L226" s="47"/>
      <c r="M226" s="47"/>
      <c r="N226" s="47"/>
      <c r="O226" s="47"/>
      <c r="P226" s="47"/>
      <c r="Q226" s="47"/>
      <c r="R226" s="47"/>
      <c r="S226" s="47"/>
      <c r="T226" s="47"/>
      <c r="U226" s="47"/>
      <c r="V226" s="47"/>
      <c r="W226" s="47"/>
      <c r="X226" s="47"/>
      <c r="Y226" s="47"/>
      <c r="Z226" s="47"/>
    </row>
    <row r="227">
      <c r="A227" s="48">
        <v>52.0</v>
      </c>
      <c r="B227" s="49" t="s">
        <v>591</v>
      </c>
      <c r="C227" s="50" t="s">
        <v>708</v>
      </c>
      <c r="D227" s="49" t="s">
        <v>972</v>
      </c>
      <c r="E227" s="51" t="s">
        <v>69</v>
      </c>
      <c r="F227" s="51" t="s">
        <v>3844</v>
      </c>
      <c r="G227" s="51" t="s">
        <v>2235</v>
      </c>
      <c r="H227" s="51" t="s">
        <v>2235</v>
      </c>
      <c r="I227" s="51" t="s">
        <v>2236</v>
      </c>
      <c r="J227" s="51" t="s">
        <v>1916</v>
      </c>
      <c r="K227" s="51" t="s">
        <v>2237</v>
      </c>
      <c r="L227" s="47"/>
      <c r="M227" s="47"/>
      <c r="N227" s="47"/>
      <c r="O227" s="47"/>
      <c r="P227" s="47"/>
      <c r="Q227" s="47"/>
      <c r="R227" s="47"/>
      <c r="S227" s="47"/>
      <c r="T227" s="47"/>
      <c r="U227" s="47"/>
      <c r="V227" s="47"/>
      <c r="W227" s="47"/>
      <c r="X227" s="47"/>
      <c r="Y227" s="47"/>
      <c r="Z227" s="47"/>
    </row>
    <row r="228">
      <c r="A228" s="48">
        <v>52.0</v>
      </c>
      <c r="B228" s="49" t="s">
        <v>591</v>
      </c>
      <c r="C228" s="50" t="s">
        <v>708</v>
      </c>
      <c r="D228" s="49" t="s">
        <v>642</v>
      </c>
      <c r="E228" s="51" t="s">
        <v>69</v>
      </c>
      <c r="F228" s="51" t="s">
        <v>3850</v>
      </c>
      <c r="G228" s="51" t="s">
        <v>2235</v>
      </c>
      <c r="H228" s="51" t="s">
        <v>2235</v>
      </c>
      <c r="I228" s="51" t="s">
        <v>2236</v>
      </c>
      <c r="J228" s="51" t="s">
        <v>3851</v>
      </c>
      <c r="K228" s="51" t="s">
        <v>2237</v>
      </c>
      <c r="L228" s="47"/>
      <c r="M228" s="47"/>
      <c r="N228" s="47"/>
      <c r="O228" s="47"/>
      <c r="P228" s="47"/>
      <c r="Q228" s="47"/>
      <c r="R228" s="47"/>
      <c r="S228" s="47"/>
      <c r="T228" s="47"/>
      <c r="U228" s="47"/>
      <c r="V228" s="47"/>
      <c r="W228" s="47"/>
      <c r="X228" s="47"/>
      <c r="Y228" s="47"/>
      <c r="Z228" s="47"/>
    </row>
    <row r="229">
      <c r="A229" s="48">
        <v>52.0</v>
      </c>
      <c r="B229" s="49" t="s">
        <v>591</v>
      </c>
      <c r="C229" s="50" t="s">
        <v>708</v>
      </c>
      <c r="D229" s="49" t="s">
        <v>987</v>
      </c>
      <c r="E229" s="51" t="s">
        <v>155</v>
      </c>
      <c r="F229" s="51" t="s">
        <v>3855</v>
      </c>
      <c r="G229" s="51" t="s">
        <v>2235</v>
      </c>
      <c r="H229" s="51" t="s">
        <v>2235</v>
      </c>
      <c r="I229" s="51" t="s">
        <v>2236</v>
      </c>
      <c r="J229" s="51" t="s">
        <v>1920</v>
      </c>
      <c r="K229" s="51" t="s">
        <v>2398</v>
      </c>
      <c r="L229" s="47"/>
      <c r="M229" s="47"/>
      <c r="N229" s="47"/>
      <c r="O229" s="47"/>
      <c r="P229" s="47"/>
      <c r="Q229" s="47"/>
      <c r="R229" s="47"/>
      <c r="S229" s="47"/>
      <c r="T229" s="47"/>
      <c r="U229" s="47"/>
      <c r="V229" s="47"/>
      <c r="W229" s="47"/>
      <c r="X229" s="47"/>
      <c r="Y229" s="47"/>
      <c r="Z229" s="47"/>
    </row>
    <row r="230">
      <c r="A230" s="48">
        <v>53.0</v>
      </c>
      <c r="B230" s="49" t="s">
        <v>1074</v>
      </c>
      <c r="C230" s="50" t="s">
        <v>708</v>
      </c>
      <c r="D230" s="49" t="s">
        <v>3057</v>
      </c>
      <c r="E230" s="51" t="s">
        <v>69</v>
      </c>
      <c r="F230" s="51" t="s">
        <v>3865</v>
      </c>
      <c r="G230" s="51" t="s">
        <v>2235</v>
      </c>
      <c r="H230" s="51" t="s">
        <v>2235</v>
      </c>
      <c r="I230" s="51" t="s">
        <v>2236</v>
      </c>
      <c r="J230" s="51" t="s">
        <v>2011</v>
      </c>
      <c r="K230" s="51" t="s">
        <v>2237</v>
      </c>
      <c r="L230" s="47"/>
      <c r="M230" s="47"/>
      <c r="N230" s="47"/>
      <c r="O230" s="47"/>
      <c r="P230" s="47"/>
      <c r="Q230" s="47"/>
      <c r="R230" s="47"/>
      <c r="S230" s="47"/>
      <c r="T230" s="47"/>
      <c r="U230" s="47"/>
      <c r="V230" s="47"/>
      <c r="W230" s="47"/>
      <c r="X230" s="47"/>
      <c r="Y230" s="47"/>
      <c r="Z230" s="47"/>
    </row>
    <row r="231">
      <c r="A231" s="48">
        <v>53.0</v>
      </c>
      <c r="B231" s="49" t="s">
        <v>1074</v>
      </c>
      <c r="C231" s="50" t="s">
        <v>708</v>
      </c>
      <c r="D231" s="49" t="s">
        <v>646</v>
      </c>
      <c r="E231" s="51" t="s">
        <v>69</v>
      </c>
      <c r="F231" s="51" t="s">
        <v>3869</v>
      </c>
      <c r="G231" s="51" t="s">
        <v>2235</v>
      </c>
      <c r="H231" s="51" t="s">
        <v>2235</v>
      </c>
      <c r="I231" s="51" t="s">
        <v>2236</v>
      </c>
      <c r="J231" s="51" t="s">
        <v>3870</v>
      </c>
      <c r="K231" s="51" t="s">
        <v>2398</v>
      </c>
      <c r="L231" s="47"/>
      <c r="M231" s="47"/>
      <c r="N231" s="47"/>
      <c r="O231" s="47"/>
      <c r="P231" s="47"/>
      <c r="Q231" s="47"/>
      <c r="R231" s="47"/>
      <c r="S231" s="47"/>
      <c r="T231" s="47"/>
      <c r="U231" s="47"/>
      <c r="V231" s="47"/>
      <c r="W231" s="47"/>
      <c r="X231" s="47"/>
      <c r="Y231" s="47"/>
      <c r="Z231" s="47"/>
    </row>
    <row r="232">
      <c r="A232" s="48">
        <v>53.0</v>
      </c>
      <c r="B232" s="49" t="s">
        <v>1074</v>
      </c>
      <c r="C232" s="50" t="s">
        <v>708</v>
      </c>
      <c r="D232" s="49" t="s">
        <v>660</v>
      </c>
      <c r="E232" s="51" t="s">
        <v>155</v>
      </c>
      <c r="F232" s="51" t="s">
        <v>3877</v>
      </c>
      <c r="G232" s="51" t="s">
        <v>2235</v>
      </c>
      <c r="H232" s="51" t="s">
        <v>2235</v>
      </c>
      <c r="I232" s="51" t="s">
        <v>2236</v>
      </c>
      <c r="J232" s="51" t="s">
        <v>2011</v>
      </c>
      <c r="K232" s="51" t="s">
        <v>2237</v>
      </c>
      <c r="L232" s="47"/>
      <c r="M232" s="47"/>
      <c r="N232" s="47"/>
      <c r="O232" s="47"/>
      <c r="P232" s="47"/>
      <c r="Q232" s="47"/>
      <c r="R232" s="47"/>
      <c r="S232" s="47"/>
      <c r="T232" s="47"/>
      <c r="U232" s="47"/>
      <c r="V232" s="47"/>
      <c r="W232" s="47"/>
      <c r="X232" s="47"/>
      <c r="Y232" s="47"/>
      <c r="Z232" s="47"/>
    </row>
    <row r="233">
      <c r="A233" s="48">
        <v>54.0</v>
      </c>
      <c r="B233" s="49" t="s">
        <v>1090</v>
      </c>
      <c r="C233" s="50" t="s">
        <v>708</v>
      </c>
      <c r="D233" s="49" t="s">
        <v>2162</v>
      </c>
      <c r="E233" s="51" t="s">
        <v>69</v>
      </c>
      <c r="F233" s="51" t="s">
        <v>3885</v>
      </c>
      <c r="G233" s="51" t="s">
        <v>2235</v>
      </c>
      <c r="H233" s="51" t="s">
        <v>2235</v>
      </c>
      <c r="I233" s="51" t="s">
        <v>2236</v>
      </c>
      <c r="J233" s="51" t="s">
        <v>2035</v>
      </c>
      <c r="K233" s="51" t="s">
        <v>2237</v>
      </c>
      <c r="L233" s="47"/>
      <c r="M233" s="47"/>
      <c r="N233" s="47"/>
      <c r="O233" s="47"/>
      <c r="P233" s="47"/>
      <c r="Q233" s="47"/>
      <c r="R233" s="47"/>
      <c r="S233" s="47"/>
      <c r="T233" s="47"/>
      <c r="U233" s="47"/>
      <c r="V233" s="47"/>
      <c r="W233" s="47"/>
      <c r="X233" s="47"/>
      <c r="Y233" s="47"/>
      <c r="Z233" s="47"/>
    </row>
    <row r="234">
      <c r="A234" s="48">
        <v>54.0</v>
      </c>
      <c r="B234" s="49" t="s">
        <v>1090</v>
      </c>
      <c r="C234" s="50" t="s">
        <v>708</v>
      </c>
      <c r="D234" s="49" t="s">
        <v>2911</v>
      </c>
      <c r="E234" s="51" t="s">
        <v>69</v>
      </c>
      <c r="F234" s="51" t="s">
        <v>3891</v>
      </c>
      <c r="G234" s="51" t="s">
        <v>2235</v>
      </c>
      <c r="H234" s="51" t="s">
        <v>2235</v>
      </c>
      <c r="I234" s="51" t="s">
        <v>2236</v>
      </c>
      <c r="J234" s="51" t="s">
        <v>3892</v>
      </c>
      <c r="K234" s="51" t="s">
        <v>2237</v>
      </c>
      <c r="L234" s="47"/>
      <c r="M234" s="47"/>
      <c r="N234" s="47"/>
      <c r="O234" s="47"/>
      <c r="P234" s="47"/>
      <c r="Q234" s="47"/>
      <c r="R234" s="47"/>
      <c r="S234" s="47"/>
      <c r="T234" s="47"/>
      <c r="U234" s="47"/>
      <c r="V234" s="47"/>
      <c r="W234" s="47"/>
      <c r="X234" s="47"/>
      <c r="Y234" s="47"/>
      <c r="Z234" s="47"/>
    </row>
    <row r="235">
      <c r="A235" s="48">
        <v>54.0</v>
      </c>
      <c r="B235" s="49" t="s">
        <v>1090</v>
      </c>
      <c r="C235" s="50" t="s">
        <v>708</v>
      </c>
      <c r="D235" s="49" t="s">
        <v>1670</v>
      </c>
      <c r="E235" s="51" t="s">
        <v>69</v>
      </c>
      <c r="F235" s="51" t="s">
        <v>3899</v>
      </c>
      <c r="G235" s="51" t="s">
        <v>2235</v>
      </c>
      <c r="H235" s="51" t="s">
        <v>2235</v>
      </c>
      <c r="I235" s="51" t="s">
        <v>2236</v>
      </c>
      <c r="J235" s="51" t="s">
        <v>2035</v>
      </c>
      <c r="K235" s="51" t="s">
        <v>2237</v>
      </c>
      <c r="L235" s="47"/>
      <c r="M235" s="47"/>
      <c r="N235" s="47"/>
      <c r="O235" s="47"/>
      <c r="P235" s="47"/>
      <c r="Q235" s="47"/>
      <c r="R235" s="47"/>
      <c r="S235" s="47"/>
      <c r="T235" s="47"/>
      <c r="U235" s="47"/>
      <c r="V235" s="47"/>
      <c r="W235" s="47"/>
      <c r="X235" s="47"/>
      <c r="Y235" s="47"/>
      <c r="Z235" s="47"/>
    </row>
    <row r="236">
      <c r="A236" s="48">
        <v>54.0</v>
      </c>
      <c r="B236" s="49" t="s">
        <v>1090</v>
      </c>
      <c r="C236" s="50" t="s">
        <v>708</v>
      </c>
      <c r="D236" s="49" t="s">
        <v>2958</v>
      </c>
      <c r="E236" s="51" t="s">
        <v>69</v>
      </c>
      <c r="F236" s="51" t="s">
        <v>3904</v>
      </c>
      <c r="G236" s="51" t="s">
        <v>2235</v>
      </c>
      <c r="H236" s="51" t="s">
        <v>2235</v>
      </c>
      <c r="I236" s="51" t="s">
        <v>2236</v>
      </c>
      <c r="J236" s="51" t="s">
        <v>3892</v>
      </c>
      <c r="K236" s="51" t="s">
        <v>2237</v>
      </c>
      <c r="L236" s="47"/>
      <c r="M236" s="47"/>
      <c r="N236" s="47"/>
      <c r="O236" s="47"/>
      <c r="P236" s="47"/>
      <c r="Q236" s="47"/>
      <c r="R236" s="47"/>
      <c r="S236" s="47"/>
      <c r="T236" s="47"/>
      <c r="U236" s="47"/>
      <c r="V236" s="47"/>
      <c r="W236" s="47"/>
      <c r="X236" s="47"/>
      <c r="Y236" s="47"/>
      <c r="Z236" s="47"/>
    </row>
    <row r="237">
      <c r="A237" s="48">
        <v>54.0</v>
      </c>
      <c r="B237" s="49" t="s">
        <v>1090</v>
      </c>
      <c r="C237" s="50" t="s">
        <v>708</v>
      </c>
      <c r="D237" s="49" t="s">
        <v>1973</v>
      </c>
      <c r="E237" s="51" t="s">
        <v>155</v>
      </c>
      <c r="F237" s="51" t="s">
        <v>3911</v>
      </c>
      <c r="G237" s="51" t="s">
        <v>2235</v>
      </c>
      <c r="H237" s="51" t="s">
        <v>2235</v>
      </c>
      <c r="I237" s="51" t="s">
        <v>2236</v>
      </c>
      <c r="J237" s="51" t="s">
        <v>2035</v>
      </c>
      <c r="K237" s="51" t="s">
        <v>2237</v>
      </c>
      <c r="L237" s="47"/>
      <c r="M237" s="47"/>
      <c r="N237" s="47"/>
      <c r="O237" s="47"/>
      <c r="P237" s="47"/>
      <c r="Q237" s="47"/>
      <c r="R237" s="47"/>
      <c r="S237" s="47"/>
      <c r="T237" s="47"/>
      <c r="U237" s="47"/>
      <c r="V237" s="47"/>
      <c r="W237" s="47"/>
      <c r="X237" s="47"/>
      <c r="Y237" s="47"/>
      <c r="Z237" s="47"/>
    </row>
    <row r="238">
      <c r="A238" s="48">
        <v>55.0</v>
      </c>
      <c r="B238" s="49" t="s">
        <v>1100</v>
      </c>
      <c r="C238" s="50" t="s">
        <v>708</v>
      </c>
      <c r="D238" s="49" t="s">
        <v>2888</v>
      </c>
      <c r="E238" s="51" t="s">
        <v>69</v>
      </c>
      <c r="F238" s="51" t="s">
        <v>3922</v>
      </c>
      <c r="G238" s="51" t="s">
        <v>2235</v>
      </c>
      <c r="H238" s="51" t="s">
        <v>2235</v>
      </c>
      <c r="I238" s="51" t="s">
        <v>2236</v>
      </c>
      <c r="J238" s="51" t="s">
        <v>2057</v>
      </c>
      <c r="K238" s="51" t="s">
        <v>2237</v>
      </c>
      <c r="L238" s="47"/>
      <c r="M238" s="47"/>
      <c r="N238" s="47"/>
      <c r="O238" s="47"/>
      <c r="P238" s="47"/>
      <c r="Q238" s="47"/>
      <c r="R238" s="47"/>
      <c r="S238" s="47"/>
      <c r="T238" s="47"/>
      <c r="U238" s="47"/>
      <c r="V238" s="47"/>
      <c r="W238" s="47"/>
      <c r="X238" s="47"/>
      <c r="Y238" s="47"/>
      <c r="Z238" s="47"/>
    </row>
    <row r="239">
      <c r="A239" s="48">
        <v>55.0</v>
      </c>
      <c r="B239" s="49" t="s">
        <v>1100</v>
      </c>
      <c r="C239" s="50" t="s">
        <v>708</v>
      </c>
      <c r="D239" s="49" t="s">
        <v>3143</v>
      </c>
      <c r="E239" s="51" t="s">
        <v>69</v>
      </c>
      <c r="F239" s="51" t="s">
        <v>3929</v>
      </c>
      <c r="G239" s="51" t="s">
        <v>2235</v>
      </c>
      <c r="H239" s="51" t="s">
        <v>2235</v>
      </c>
      <c r="I239" s="51" t="s">
        <v>2236</v>
      </c>
      <c r="J239" s="51" t="s">
        <v>3930</v>
      </c>
      <c r="K239" s="51" t="s">
        <v>2237</v>
      </c>
      <c r="L239" s="47"/>
      <c r="M239" s="47"/>
      <c r="N239" s="47"/>
      <c r="O239" s="47"/>
      <c r="P239" s="47"/>
      <c r="Q239" s="47"/>
      <c r="R239" s="47"/>
      <c r="S239" s="47"/>
      <c r="T239" s="47"/>
      <c r="U239" s="47"/>
      <c r="V239" s="47"/>
      <c r="W239" s="47"/>
      <c r="X239" s="47"/>
      <c r="Y239" s="47"/>
      <c r="Z239" s="47"/>
    </row>
    <row r="240">
      <c r="A240" s="48">
        <v>55.0</v>
      </c>
      <c r="B240" s="49" t="s">
        <v>1100</v>
      </c>
      <c r="C240" s="50" t="s">
        <v>708</v>
      </c>
      <c r="D240" s="49" t="s">
        <v>610</v>
      </c>
      <c r="E240" s="51" t="s">
        <v>69</v>
      </c>
      <c r="F240" s="51" t="s">
        <v>3937</v>
      </c>
      <c r="G240" s="51" t="s">
        <v>2235</v>
      </c>
      <c r="H240" s="51" t="s">
        <v>2235</v>
      </c>
      <c r="I240" s="51" t="s">
        <v>2236</v>
      </c>
      <c r="J240" s="51" t="s">
        <v>3938</v>
      </c>
      <c r="K240" s="51" t="s">
        <v>2237</v>
      </c>
      <c r="L240" s="47"/>
      <c r="M240" s="47"/>
      <c r="N240" s="47"/>
      <c r="O240" s="47"/>
      <c r="P240" s="47"/>
      <c r="Q240" s="47"/>
      <c r="R240" s="47"/>
      <c r="S240" s="47"/>
      <c r="T240" s="47"/>
      <c r="U240" s="47"/>
      <c r="V240" s="47"/>
      <c r="W240" s="47"/>
      <c r="X240" s="47"/>
      <c r="Y240" s="47"/>
      <c r="Z240" s="47"/>
    </row>
    <row r="241">
      <c r="A241" s="48">
        <v>55.0</v>
      </c>
      <c r="B241" s="49" t="s">
        <v>1100</v>
      </c>
      <c r="C241" s="50" t="s">
        <v>708</v>
      </c>
      <c r="D241" s="49" t="s">
        <v>915</v>
      </c>
      <c r="E241" s="51" t="s">
        <v>155</v>
      </c>
      <c r="F241" s="51" t="s">
        <v>3943</v>
      </c>
      <c r="G241" s="51" t="s">
        <v>2235</v>
      </c>
      <c r="H241" s="51" t="s">
        <v>2235</v>
      </c>
      <c r="I241" s="51" t="s">
        <v>2236</v>
      </c>
      <c r="J241" s="51" t="s">
        <v>2057</v>
      </c>
      <c r="K241" s="51" t="s">
        <v>2287</v>
      </c>
      <c r="L241" s="47"/>
      <c r="M241" s="47"/>
      <c r="N241" s="47"/>
      <c r="O241" s="47"/>
      <c r="P241" s="47"/>
      <c r="Q241" s="47"/>
      <c r="R241" s="47"/>
      <c r="S241" s="47"/>
      <c r="T241" s="47"/>
      <c r="U241" s="47"/>
      <c r="V241" s="47"/>
      <c r="W241" s="47"/>
      <c r="X241" s="47"/>
      <c r="Y241" s="47"/>
      <c r="Z241" s="47"/>
    </row>
    <row r="242">
      <c r="A242" s="48">
        <v>55.0</v>
      </c>
      <c r="B242" s="49" t="s">
        <v>1100</v>
      </c>
      <c r="C242" s="50" t="s">
        <v>708</v>
      </c>
      <c r="D242" s="49" t="s">
        <v>1666</v>
      </c>
      <c r="E242" s="51" t="s">
        <v>155</v>
      </c>
      <c r="F242" s="51" t="s">
        <v>3949</v>
      </c>
      <c r="G242" s="51" t="s">
        <v>2235</v>
      </c>
      <c r="H242" s="51" t="s">
        <v>2235</v>
      </c>
      <c r="I242" s="51" t="s">
        <v>2236</v>
      </c>
      <c r="J242" s="51" t="s">
        <v>3930</v>
      </c>
      <c r="K242" s="51" t="s">
        <v>2237</v>
      </c>
      <c r="L242" s="47"/>
      <c r="M242" s="47"/>
      <c r="N242" s="47"/>
      <c r="O242" s="47"/>
      <c r="P242" s="47"/>
      <c r="Q242" s="47"/>
      <c r="R242" s="47"/>
      <c r="S242" s="47"/>
      <c r="T242" s="47"/>
      <c r="U242" s="47"/>
      <c r="V242" s="47"/>
      <c r="W242" s="47"/>
      <c r="X242" s="47"/>
      <c r="Y242" s="47"/>
      <c r="Z242" s="47"/>
    </row>
    <row r="243">
      <c r="A243" s="48">
        <v>56.0</v>
      </c>
      <c r="B243" s="49" t="s">
        <v>1105</v>
      </c>
      <c r="C243" s="50" t="s">
        <v>708</v>
      </c>
      <c r="D243" s="49" t="s">
        <v>631</v>
      </c>
      <c r="E243" s="51" t="s">
        <v>69</v>
      </c>
      <c r="F243" s="51" t="s">
        <v>3955</v>
      </c>
      <c r="G243" s="51" t="s">
        <v>2235</v>
      </c>
      <c r="H243" s="51" t="s">
        <v>2235</v>
      </c>
      <c r="I243" s="51" t="s">
        <v>2236</v>
      </c>
      <c r="J243" s="51" t="s">
        <v>2071</v>
      </c>
      <c r="K243" s="51" t="s">
        <v>2287</v>
      </c>
      <c r="L243" s="47"/>
      <c r="M243" s="47"/>
      <c r="N243" s="47"/>
      <c r="O243" s="47"/>
      <c r="P243" s="47"/>
      <c r="Q243" s="47"/>
      <c r="R243" s="47"/>
      <c r="S243" s="47"/>
      <c r="T243" s="47"/>
      <c r="U243" s="47"/>
      <c r="V243" s="47"/>
      <c r="W243" s="47"/>
      <c r="X243" s="47"/>
      <c r="Y243" s="47"/>
      <c r="Z243" s="47"/>
    </row>
    <row r="244">
      <c r="A244" s="48">
        <v>56.0</v>
      </c>
      <c r="B244" s="49" t="s">
        <v>1105</v>
      </c>
      <c r="C244" s="50" t="s">
        <v>708</v>
      </c>
      <c r="D244" s="49" t="s">
        <v>568</v>
      </c>
      <c r="E244" s="51" t="s">
        <v>69</v>
      </c>
      <c r="F244" s="51" t="s">
        <v>3963</v>
      </c>
      <c r="G244" s="51" t="s">
        <v>2235</v>
      </c>
      <c r="H244" s="51" t="s">
        <v>2235</v>
      </c>
      <c r="I244" s="51" t="s">
        <v>2236</v>
      </c>
      <c r="J244" s="51" t="s">
        <v>3965</v>
      </c>
      <c r="K244" s="51" t="s">
        <v>2237</v>
      </c>
      <c r="L244" s="47"/>
      <c r="M244" s="47"/>
      <c r="N244" s="47"/>
      <c r="O244" s="47"/>
      <c r="P244" s="47"/>
      <c r="Q244" s="47"/>
      <c r="R244" s="47"/>
      <c r="S244" s="47"/>
      <c r="T244" s="47"/>
      <c r="U244" s="47"/>
      <c r="V244" s="47"/>
      <c r="W244" s="47"/>
      <c r="X244" s="47"/>
      <c r="Y244" s="47"/>
      <c r="Z244" s="47"/>
    </row>
    <row r="245">
      <c r="A245" s="48">
        <v>56.0</v>
      </c>
      <c r="B245" s="49" t="s">
        <v>1105</v>
      </c>
      <c r="C245" s="50" t="s">
        <v>708</v>
      </c>
      <c r="D245" s="49" t="s">
        <v>584</v>
      </c>
      <c r="E245" s="51" t="s">
        <v>69</v>
      </c>
      <c r="F245" s="51" t="s">
        <v>3966</v>
      </c>
      <c r="G245" s="51" t="s">
        <v>2235</v>
      </c>
      <c r="H245" s="51" t="s">
        <v>2235</v>
      </c>
      <c r="I245" s="51" t="s">
        <v>2236</v>
      </c>
      <c r="J245" s="51" t="s">
        <v>2071</v>
      </c>
      <c r="K245" s="51" t="s">
        <v>2287</v>
      </c>
      <c r="L245" s="47"/>
      <c r="M245" s="47"/>
      <c r="N245" s="47"/>
      <c r="O245" s="47"/>
      <c r="P245" s="47"/>
      <c r="Q245" s="47"/>
      <c r="R245" s="47"/>
      <c r="S245" s="47"/>
      <c r="T245" s="47"/>
      <c r="U245" s="47"/>
      <c r="V245" s="47"/>
      <c r="W245" s="47"/>
      <c r="X245" s="47"/>
      <c r="Y245" s="47"/>
      <c r="Z245" s="47"/>
    </row>
    <row r="246">
      <c r="A246" s="48">
        <v>56.0</v>
      </c>
      <c r="B246" s="49" t="s">
        <v>1105</v>
      </c>
      <c r="C246" s="50" t="s">
        <v>708</v>
      </c>
      <c r="D246" s="49" t="s">
        <v>901</v>
      </c>
      <c r="E246" s="51" t="s">
        <v>155</v>
      </c>
      <c r="F246" s="51" t="s">
        <v>3973</v>
      </c>
      <c r="G246" s="51" t="s">
        <v>2235</v>
      </c>
      <c r="H246" s="51" t="s">
        <v>2235</v>
      </c>
      <c r="I246" s="51" t="s">
        <v>2236</v>
      </c>
      <c r="J246" s="51" t="s">
        <v>3965</v>
      </c>
      <c r="K246" s="51" t="s">
        <v>2237</v>
      </c>
      <c r="L246" s="47"/>
      <c r="M246" s="47"/>
      <c r="N246" s="47"/>
      <c r="O246" s="47"/>
      <c r="P246" s="47"/>
      <c r="Q246" s="47"/>
      <c r="R246" s="47"/>
      <c r="S246" s="47"/>
      <c r="T246" s="47"/>
      <c r="U246" s="47"/>
      <c r="V246" s="47"/>
      <c r="W246" s="47"/>
      <c r="X246" s="47"/>
      <c r="Y246" s="47"/>
      <c r="Z246" s="47"/>
    </row>
    <row r="247">
      <c r="A247" s="48">
        <v>56.0</v>
      </c>
      <c r="B247" s="49" t="s">
        <v>1105</v>
      </c>
      <c r="C247" s="50" t="s">
        <v>708</v>
      </c>
      <c r="D247" s="49" t="s">
        <v>915</v>
      </c>
      <c r="E247" s="51" t="s">
        <v>155</v>
      </c>
      <c r="F247" s="51" t="s">
        <v>3977</v>
      </c>
      <c r="G247" s="51" t="s">
        <v>2235</v>
      </c>
      <c r="H247" s="51" t="s">
        <v>2235</v>
      </c>
      <c r="I247" s="51" t="s">
        <v>2236</v>
      </c>
      <c r="J247" s="51" t="s">
        <v>2071</v>
      </c>
      <c r="K247" s="51" t="s">
        <v>2287</v>
      </c>
      <c r="L247" s="47"/>
      <c r="M247" s="47"/>
      <c r="N247" s="47"/>
      <c r="O247" s="47"/>
      <c r="P247" s="47"/>
      <c r="Q247" s="47"/>
      <c r="R247" s="47"/>
      <c r="S247" s="47"/>
      <c r="T247" s="47"/>
      <c r="U247" s="47"/>
      <c r="V247" s="47"/>
      <c r="W247" s="47"/>
      <c r="X247" s="47"/>
      <c r="Y247" s="47"/>
      <c r="Z247" s="47"/>
    </row>
    <row r="248">
      <c r="A248" s="48">
        <v>57.0</v>
      </c>
      <c r="B248" s="49" t="s">
        <v>723</v>
      </c>
      <c r="C248" s="50" t="s">
        <v>724</v>
      </c>
      <c r="D248" s="49" t="s">
        <v>2846</v>
      </c>
      <c r="E248" s="51" t="s">
        <v>69</v>
      </c>
      <c r="F248" s="51" t="s">
        <v>3984</v>
      </c>
      <c r="G248" s="51" t="s">
        <v>2235</v>
      </c>
      <c r="H248" s="51" t="s">
        <v>2235</v>
      </c>
      <c r="I248" s="51" t="s">
        <v>2236</v>
      </c>
      <c r="J248" s="51" t="s">
        <v>2090</v>
      </c>
      <c r="K248" s="51" t="s">
        <v>2237</v>
      </c>
      <c r="L248" s="47"/>
      <c r="M248" s="47"/>
      <c r="N248" s="47"/>
      <c r="O248" s="47"/>
      <c r="P248" s="47"/>
      <c r="Q248" s="47"/>
      <c r="R248" s="47"/>
      <c r="S248" s="47"/>
      <c r="T248" s="47"/>
      <c r="U248" s="47"/>
      <c r="V248" s="47"/>
      <c r="W248" s="47"/>
      <c r="X248" s="47"/>
      <c r="Y248" s="47"/>
      <c r="Z248" s="47"/>
    </row>
    <row r="249">
      <c r="A249" s="48">
        <v>57.0</v>
      </c>
      <c r="B249" s="49" t="s">
        <v>723</v>
      </c>
      <c r="C249" s="50" t="s">
        <v>724</v>
      </c>
      <c r="D249" s="49" t="s">
        <v>1102</v>
      </c>
      <c r="E249" s="51" t="s">
        <v>69</v>
      </c>
      <c r="F249" s="51" t="s">
        <v>3985</v>
      </c>
      <c r="G249" s="51" t="s">
        <v>2235</v>
      </c>
      <c r="H249" s="51" t="s">
        <v>2235</v>
      </c>
      <c r="I249" s="51" t="s">
        <v>2236</v>
      </c>
      <c r="J249" s="51" t="s">
        <v>1936</v>
      </c>
      <c r="K249" s="51" t="s">
        <v>2237</v>
      </c>
      <c r="L249" s="47"/>
      <c r="M249" s="47"/>
      <c r="N249" s="47"/>
      <c r="O249" s="47"/>
      <c r="P249" s="47"/>
      <c r="Q249" s="47"/>
      <c r="R249" s="47"/>
      <c r="S249" s="47"/>
      <c r="T249" s="47"/>
      <c r="U249" s="47"/>
      <c r="V249" s="47"/>
      <c r="W249" s="47"/>
      <c r="X249" s="47"/>
      <c r="Y249" s="47"/>
      <c r="Z249" s="47"/>
    </row>
    <row r="250">
      <c r="A250" s="48">
        <v>57.0</v>
      </c>
      <c r="B250" s="49" t="s">
        <v>723</v>
      </c>
      <c r="C250" s="50" t="s">
        <v>724</v>
      </c>
      <c r="D250" s="49" t="s">
        <v>2944</v>
      </c>
      <c r="E250" s="51" t="s">
        <v>69</v>
      </c>
      <c r="F250" s="51" t="s">
        <v>3990</v>
      </c>
      <c r="G250" s="51" t="s">
        <v>2235</v>
      </c>
      <c r="H250" s="51" t="s">
        <v>2235</v>
      </c>
      <c r="I250" s="51" t="s">
        <v>2236</v>
      </c>
      <c r="J250" s="51" t="s">
        <v>3991</v>
      </c>
      <c r="K250" s="51" t="s">
        <v>2237</v>
      </c>
      <c r="L250" s="47"/>
      <c r="M250" s="47"/>
      <c r="N250" s="47"/>
      <c r="O250" s="47"/>
      <c r="P250" s="47"/>
      <c r="Q250" s="47"/>
      <c r="R250" s="47"/>
      <c r="S250" s="47"/>
      <c r="T250" s="47"/>
      <c r="U250" s="47"/>
      <c r="V250" s="47"/>
      <c r="W250" s="47"/>
      <c r="X250" s="47"/>
      <c r="Y250" s="47"/>
      <c r="Z250" s="47"/>
    </row>
    <row r="251">
      <c r="A251" s="48">
        <v>57.0</v>
      </c>
      <c r="B251" s="49" t="s">
        <v>723</v>
      </c>
      <c r="C251" s="50" t="s">
        <v>724</v>
      </c>
      <c r="D251" s="49" t="s">
        <v>2800</v>
      </c>
      <c r="E251" s="51" t="s">
        <v>69</v>
      </c>
      <c r="F251" s="51" t="s">
        <v>3995</v>
      </c>
      <c r="G251" s="51" t="s">
        <v>2235</v>
      </c>
      <c r="H251" s="51" t="s">
        <v>2235</v>
      </c>
      <c r="I251" s="51" t="s">
        <v>2236</v>
      </c>
      <c r="J251" s="51" t="s">
        <v>3996</v>
      </c>
      <c r="K251" s="51" t="s">
        <v>2237</v>
      </c>
      <c r="L251" s="47"/>
      <c r="M251" s="47"/>
      <c r="N251" s="47"/>
      <c r="O251" s="47"/>
      <c r="P251" s="47"/>
      <c r="Q251" s="47"/>
      <c r="R251" s="47"/>
      <c r="S251" s="47"/>
      <c r="T251" s="47"/>
      <c r="U251" s="47"/>
      <c r="V251" s="47"/>
      <c r="W251" s="47"/>
      <c r="X251" s="47"/>
      <c r="Y251" s="47"/>
      <c r="Z251" s="47"/>
    </row>
    <row r="252">
      <c r="A252" s="48">
        <v>57.0</v>
      </c>
      <c r="B252" s="49" t="s">
        <v>723</v>
      </c>
      <c r="C252" s="50" t="s">
        <v>724</v>
      </c>
      <c r="D252" s="49" t="s">
        <v>3344</v>
      </c>
      <c r="E252" s="51" t="s">
        <v>155</v>
      </c>
      <c r="F252" s="51" t="s">
        <v>4002</v>
      </c>
      <c r="G252" s="51" t="s">
        <v>2235</v>
      </c>
      <c r="H252" s="51" t="s">
        <v>2235</v>
      </c>
      <c r="I252" s="51" t="s">
        <v>2236</v>
      </c>
      <c r="J252" s="51" t="s">
        <v>2090</v>
      </c>
      <c r="K252" s="51" t="s">
        <v>2287</v>
      </c>
      <c r="L252" s="47"/>
      <c r="M252" s="47"/>
      <c r="N252" s="47"/>
      <c r="O252" s="47"/>
      <c r="P252" s="47"/>
      <c r="Q252" s="47"/>
      <c r="R252" s="47"/>
      <c r="S252" s="47"/>
      <c r="T252" s="47"/>
      <c r="U252" s="47"/>
      <c r="V252" s="47"/>
      <c r="W252" s="47"/>
      <c r="X252" s="47"/>
      <c r="Y252" s="47"/>
      <c r="Z252" s="47"/>
    </row>
    <row r="253">
      <c r="A253" s="48">
        <v>58.0</v>
      </c>
      <c r="B253" s="49" t="s">
        <v>236</v>
      </c>
      <c r="C253" s="50" t="s">
        <v>724</v>
      </c>
      <c r="D253" s="49" t="s">
        <v>2887</v>
      </c>
      <c r="E253" s="51" t="s">
        <v>69</v>
      </c>
      <c r="F253" s="51" t="s">
        <v>4011</v>
      </c>
      <c r="G253" s="51" t="s">
        <v>2235</v>
      </c>
      <c r="H253" s="51" t="s">
        <v>2235</v>
      </c>
      <c r="I253" s="51" t="s">
        <v>2236</v>
      </c>
      <c r="J253" s="51" t="s">
        <v>2117</v>
      </c>
      <c r="K253" s="51" t="s">
        <v>2237</v>
      </c>
      <c r="L253" s="47"/>
      <c r="M253" s="47"/>
      <c r="N253" s="47"/>
      <c r="O253" s="47"/>
      <c r="P253" s="47"/>
      <c r="Q253" s="47"/>
      <c r="R253" s="47"/>
      <c r="S253" s="47"/>
      <c r="T253" s="47"/>
      <c r="U253" s="47"/>
      <c r="V253" s="47"/>
      <c r="W253" s="47"/>
      <c r="X253" s="47"/>
      <c r="Y253" s="47"/>
      <c r="Z253" s="47"/>
    </row>
    <row r="254">
      <c r="A254" s="48">
        <v>58.0</v>
      </c>
      <c r="B254" s="49" t="s">
        <v>236</v>
      </c>
      <c r="C254" s="50" t="s">
        <v>724</v>
      </c>
      <c r="D254" s="49" t="s">
        <v>3325</v>
      </c>
      <c r="E254" s="51" t="s">
        <v>69</v>
      </c>
      <c r="F254" s="51" t="s">
        <v>4017</v>
      </c>
      <c r="G254" s="51" t="s">
        <v>2235</v>
      </c>
      <c r="H254" s="51" t="s">
        <v>2235</v>
      </c>
      <c r="I254" s="51" t="s">
        <v>2236</v>
      </c>
      <c r="J254" s="51" t="s">
        <v>4018</v>
      </c>
      <c r="K254" s="51" t="s">
        <v>2237</v>
      </c>
      <c r="L254" s="47"/>
      <c r="M254" s="47"/>
      <c r="N254" s="47"/>
      <c r="O254" s="47"/>
      <c r="P254" s="47"/>
      <c r="Q254" s="47"/>
      <c r="R254" s="47"/>
      <c r="S254" s="47"/>
      <c r="T254" s="47"/>
      <c r="U254" s="47"/>
      <c r="V254" s="47"/>
      <c r="W254" s="47"/>
      <c r="X254" s="47"/>
      <c r="Y254" s="47"/>
      <c r="Z254" s="47"/>
    </row>
    <row r="255">
      <c r="A255" s="48">
        <v>58.0</v>
      </c>
      <c r="B255" s="49" t="s">
        <v>236</v>
      </c>
      <c r="C255" s="50" t="s">
        <v>724</v>
      </c>
      <c r="D255" s="49" t="s">
        <v>2928</v>
      </c>
      <c r="E255" s="51" t="s">
        <v>69</v>
      </c>
      <c r="F255" s="51" t="s">
        <v>4019</v>
      </c>
      <c r="G255" s="51" t="s">
        <v>2235</v>
      </c>
      <c r="H255" s="51" t="s">
        <v>2235</v>
      </c>
      <c r="I255" s="51" t="s">
        <v>2236</v>
      </c>
      <c r="J255" s="51" t="s">
        <v>4020</v>
      </c>
      <c r="K255" s="51" t="s">
        <v>2237</v>
      </c>
      <c r="L255" s="47"/>
      <c r="M255" s="47"/>
      <c r="N255" s="47"/>
      <c r="O255" s="47"/>
      <c r="P255" s="47"/>
      <c r="Q255" s="47"/>
      <c r="R255" s="47"/>
      <c r="S255" s="47"/>
      <c r="T255" s="47"/>
      <c r="U255" s="47"/>
      <c r="V255" s="47"/>
      <c r="W255" s="47"/>
      <c r="X255" s="47"/>
      <c r="Y255" s="47"/>
      <c r="Z255" s="47"/>
    </row>
    <row r="256">
      <c r="A256" s="48">
        <v>58.0</v>
      </c>
      <c r="B256" s="49" t="s">
        <v>236</v>
      </c>
      <c r="C256" s="50" t="s">
        <v>724</v>
      </c>
      <c r="D256" s="49" t="s">
        <v>1898</v>
      </c>
      <c r="E256" s="51" t="s">
        <v>69</v>
      </c>
      <c r="F256" s="51" t="s">
        <v>4027</v>
      </c>
      <c r="G256" s="51" t="s">
        <v>2235</v>
      </c>
      <c r="H256" s="51" t="s">
        <v>2235</v>
      </c>
      <c r="I256" s="51" t="s">
        <v>2236</v>
      </c>
      <c r="J256" s="51" t="s">
        <v>4028</v>
      </c>
      <c r="K256" s="51" t="s">
        <v>2237</v>
      </c>
      <c r="L256" s="47"/>
      <c r="M256" s="47"/>
      <c r="N256" s="47"/>
      <c r="O256" s="47"/>
      <c r="P256" s="47"/>
      <c r="Q256" s="47"/>
      <c r="R256" s="47"/>
      <c r="S256" s="47"/>
      <c r="T256" s="47"/>
      <c r="U256" s="47"/>
      <c r="V256" s="47"/>
      <c r="W256" s="47"/>
      <c r="X256" s="47"/>
      <c r="Y256" s="47"/>
      <c r="Z256" s="47"/>
    </row>
    <row r="257">
      <c r="A257" s="48">
        <v>58.0</v>
      </c>
      <c r="B257" s="49" t="s">
        <v>236</v>
      </c>
      <c r="C257" s="50" t="s">
        <v>724</v>
      </c>
      <c r="D257" s="49" t="s">
        <v>3320</v>
      </c>
      <c r="E257" s="51" t="s">
        <v>155</v>
      </c>
      <c r="F257" s="51" t="s">
        <v>4032</v>
      </c>
      <c r="G257" s="51" t="s">
        <v>2235</v>
      </c>
      <c r="H257" s="51" t="s">
        <v>2235</v>
      </c>
      <c r="I257" s="51" t="s">
        <v>2236</v>
      </c>
      <c r="J257" s="51" t="s">
        <v>2117</v>
      </c>
      <c r="K257" s="51" t="s">
        <v>2237</v>
      </c>
      <c r="L257" s="47"/>
      <c r="M257" s="47"/>
      <c r="N257" s="47"/>
      <c r="O257" s="47"/>
      <c r="P257" s="47"/>
      <c r="Q257" s="47"/>
      <c r="R257" s="47"/>
      <c r="S257" s="47"/>
      <c r="T257" s="47"/>
      <c r="U257" s="47"/>
      <c r="V257" s="47"/>
      <c r="W257" s="47"/>
      <c r="X257" s="47"/>
      <c r="Y257" s="47"/>
      <c r="Z257" s="47"/>
    </row>
    <row r="258">
      <c r="A258" s="48">
        <v>59.0</v>
      </c>
      <c r="B258" s="49" t="s">
        <v>1116</v>
      </c>
      <c r="C258" s="50" t="s">
        <v>724</v>
      </c>
      <c r="D258" s="49" t="s">
        <v>3100</v>
      </c>
      <c r="E258" s="51" t="s">
        <v>69</v>
      </c>
      <c r="F258" s="51" t="s">
        <v>4039</v>
      </c>
      <c r="G258" s="51" t="s">
        <v>2235</v>
      </c>
      <c r="H258" s="51" t="s">
        <v>2235</v>
      </c>
      <c r="I258" s="51" t="s">
        <v>2236</v>
      </c>
      <c r="J258" s="51" t="s">
        <v>2135</v>
      </c>
      <c r="K258" s="51" t="s">
        <v>2237</v>
      </c>
      <c r="L258" s="47"/>
      <c r="M258" s="47"/>
      <c r="N258" s="47"/>
      <c r="O258" s="47"/>
      <c r="P258" s="47"/>
      <c r="Q258" s="47"/>
      <c r="R258" s="47"/>
      <c r="S258" s="47"/>
      <c r="T258" s="47"/>
      <c r="U258" s="47"/>
      <c r="V258" s="47"/>
      <c r="W258" s="47"/>
      <c r="X258" s="47"/>
      <c r="Y258" s="47"/>
      <c r="Z258" s="47"/>
    </row>
    <row r="259">
      <c r="A259" s="48">
        <v>59.0</v>
      </c>
      <c r="B259" s="49" t="s">
        <v>1116</v>
      </c>
      <c r="C259" s="50" t="s">
        <v>724</v>
      </c>
      <c r="D259" s="49" t="s">
        <v>3135</v>
      </c>
      <c r="E259" s="51" t="s">
        <v>69</v>
      </c>
      <c r="F259" s="51" t="s">
        <v>4043</v>
      </c>
      <c r="G259" s="51" t="s">
        <v>2235</v>
      </c>
      <c r="H259" s="51" t="s">
        <v>2235</v>
      </c>
      <c r="I259" s="51" t="s">
        <v>2236</v>
      </c>
      <c r="J259" s="51" t="s">
        <v>4046</v>
      </c>
      <c r="K259" s="51" t="s">
        <v>2237</v>
      </c>
      <c r="L259" s="47"/>
      <c r="M259" s="47"/>
      <c r="N259" s="47"/>
      <c r="O259" s="47"/>
      <c r="P259" s="47"/>
      <c r="Q259" s="47"/>
      <c r="R259" s="47"/>
      <c r="S259" s="47"/>
      <c r="T259" s="47"/>
      <c r="U259" s="47"/>
      <c r="V259" s="47"/>
      <c r="W259" s="47"/>
      <c r="X259" s="47"/>
      <c r="Y259" s="47"/>
      <c r="Z259" s="47"/>
    </row>
    <row r="260">
      <c r="A260" s="48">
        <v>59.0</v>
      </c>
      <c r="B260" s="49" t="s">
        <v>1116</v>
      </c>
      <c r="C260" s="50" t="s">
        <v>724</v>
      </c>
      <c r="D260" s="49" t="s">
        <v>3172</v>
      </c>
      <c r="E260" s="51" t="s">
        <v>155</v>
      </c>
      <c r="F260" s="51" t="s">
        <v>4051</v>
      </c>
      <c r="G260" s="51" t="s">
        <v>2235</v>
      </c>
      <c r="H260" s="51" t="s">
        <v>2235</v>
      </c>
      <c r="I260" s="51" t="s">
        <v>2236</v>
      </c>
      <c r="J260" s="51" t="s">
        <v>4052</v>
      </c>
      <c r="K260" s="51" t="s">
        <v>2237</v>
      </c>
      <c r="L260" s="47"/>
      <c r="M260" s="47"/>
      <c r="N260" s="47"/>
      <c r="O260" s="47"/>
      <c r="P260" s="47"/>
      <c r="Q260" s="47"/>
      <c r="R260" s="47"/>
      <c r="S260" s="47"/>
      <c r="T260" s="47"/>
      <c r="U260" s="47"/>
      <c r="V260" s="47"/>
      <c r="W260" s="47"/>
      <c r="X260" s="47"/>
      <c r="Y260" s="47"/>
      <c r="Z260" s="47"/>
    </row>
    <row r="261">
      <c r="A261" s="48">
        <v>60.0</v>
      </c>
      <c r="B261" s="49" t="s">
        <v>231</v>
      </c>
      <c r="C261" s="50" t="s">
        <v>233</v>
      </c>
      <c r="D261" s="49" t="s">
        <v>3039</v>
      </c>
      <c r="E261" s="51" t="s">
        <v>69</v>
      </c>
      <c r="F261" s="51" t="s">
        <v>4059</v>
      </c>
      <c r="G261" s="51" t="s">
        <v>2235</v>
      </c>
      <c r="H261" s="51" t="s">
        <v>2235</v>
      </c>
      <c r="I261" s="51" t="s">
        <v>2236</v>
      </c>
      <c r="J261" s="51" t="s">
        <v>2152</v>
      </c>
      <c r="K261" s="51" t="s">
        <v>2237</v>
      </c>
      <c r="L261" s="47"/>
      <c r="M261" s="47"/>
      <c r="N261" s="47"/>
      <c r="O261" s="47"/>
      <c r="P261" s="47"/>
      <c r="Q261" s="47"/>
      <c r="R261" s="47"/>
      <c r="S261" s="47"/>
      <c r="T261" s="47"/>
      <c r="U261" s="47"/>
      <c r="V261" s="47"/>
      <c r="W261" s="47"/>
      <c r="X261" s="47"/>
      <c r="Y261" s="47"/>
      <c r="Z261" s="47"/>
    </row>
    <row r="262">
      <c r="A262" s="48">
        <v>60.0</v>
      </c>
      <c r="B262" s="49" t="s">
        <v>231</v>
      </c>
      <c r="C262" s="50" t="s">
        <v>233</v>
      </c>
      <c r="D262" s="49" t="s">
        <v>3131</v>
      </c>
      <c r="E262" s="51" t="s">
        <v>69</v>
      </c>
      <c r="F262" s="51" t="s">
        <v>4065</v>
      </c>
      <c r="G262" s="51" t="s">
        <v>2235</v>
      </c>
      <c r="H262" s="51" t="s">
        <v>2235</v>
      </c>
      <c r="I262" s="51" t="s">
        <v>2236</v>
      </c>
      <c r="J262" s="51" t="s">
        <v>4066</v>
      </c>
      <c r="K262" s="51" t="s">
        <v>2237</v>
      </c>
      <c r="L262" s="47"/>
      <c r="M262" s="47"/>
      <c r="N262" s="47"/>
      <c r="O262" s="47"/>
      <c r="P262" s="47"/>
      <c r="Q262" s="47"/>
      <c r="R262" s="47"/>
      <c r="S262" s="47"/>
      <c r="T262" s="47"/>
      <c r="U262" s="47"/>
      <c r="V262" s="47"/>
      <c r="W262" s="47"/>
      <c r="X262" s="47"/>
      <c r="Y262" s="47"/>
      <c r="Z262" s="47"/>
    </row>
    <row r="263">
      <c r="A263" s="48">
        <v>60.0</v>
      </c>
      <c r="B263" s="49" t="s">
        <v>231</v>
      </c>
      <c r="C263" s="50" t="s">
        <v>233</v>
      </c>
      <c r="D263" s="49" t="s">
        <v>1892</v>
      </c>
      <c r="E263" s="51" t="s">
        <v>69</v>
      </c>
      <c r="F263" s="51" t="s">
        <v>4071</v>
      </c>
      <c r="G263" s="51" t="s">
        <v>2235</v>
      </c>
      <c r="H263" s="51" t="s">
        <v>2235</v>
      </c>
      <c r="I263" s="51" t="s">
        <v>2236</v>
      </c>
      <c r="J263" s="51" t="s">
        <v>4072</v>
      </c>
      <c r="K263" s="51" t="s">
        <v>2237</v>
      </c>
      <c r="L263" s="47"/>
      <c r="M263" s="47"/>
      <c r="N263" s="47"/>
      <c r="O263" s="47"/>
      <c r="P263" s="47"/>
      <c r="Q263" s="47"/>
      <c r="R263" s="47"/>
      <c r="S263" s="47"/>
      <c r="T263" s="47"/>
      <c r="U263" s="47"/>
      <c r="V263" s="47"/>
      <c r="W263" s="47"/>
      <c r="X263" s="47"/>
      <c r="Y263" s="47"/>
      <c r="Z263" s="47"/>
    </row>
    <row r="264">
      <c r="A264" s="48">
        <v>60.0</v>
      </c>
      <c r="B264" s="49" t="s">
        <v>231</v>
      </c>
      <c r="C264" s="50" t="s">
        <v>233</v>
      </c>
      <c r="D264" s="49" t="s">
        <v>3226</v>
      </c>
      <c r="E264" s="51" t="s">
        <v>69</v>
      </c>
      <c r="F264" s="51" t="s">
        <v>4075</v>
      </c>
      <c r="G264" s="51" t="s">
        <v>2235</v>
      </c>
      <c r="H264" s="51" t="s">
        <v>2235</v>
      </c>
      <c r="I264" s="51" t="s">
        <v>2236</v>
      </c>
      <c r="J264" s="51" t="s">
        <v>2152</v>
      </c>
      <c r="K264" s="51" t="s">
        <v>2237</v>
      </c>
      <c r="L264" s="47"/>
      <c r="M264" s="47"/>
      <c r="N264" s="47"/>
      <c r="O264" s="47"/>
      <c r="P264" s="47"/>
      <c r="Q264" s="47"/>
      <c r="R264" s="47"/>
      <c r="S264" s="47"/>
      <c r="T264" s="47"/>
      <c r="U264" s="47"/>
      <c r="V264" s="47"/>
      <c r="W264" s="47"/>
      <c r="X264" s="47"/>
      <c r="Y264" s="47"/>
      <c r="Z264" s="47"/>
    </row>
    <row r="265">
      <c r="A265" s="48">
        <v>60.0</v>
      </c>
      <c r="B265" s="49" t="s">
        <v>231</v>
      </c>
      <c r="C265" s="50" t="s">
        <v>233</v>
      </c>
      <c r="D265" s="49" t="s">
        <v>3118</v>
      </c>
      <c r="E265" s="51" t="s">
        <v>155</v>
      </c>
      <c r="F265" s="51" t="s">
        <v>4080</v>
      </c>
      <c r="G265" s="51" t="s">
        <v>2235</v>
      </c>
      <c r="H265" s="51" t="s">
        <v>2235</v>
      </c>
      <c r="I265" s="51" t="s">
        <v>2236</v>
      </c>
      <c r="J265" s="51" t="s">
        <v>4066</v>
      </c>
      <c r="K265" s="51" t="s">
        <v>2237</v>
      </c>
      <c r="L265" s="47"/>
      <c r="M265" s="47"/>
      <c r="N265" s="47"/>
      <c r="O265" s="47"/>
      <c r="P265" s="47"/>
      <c r="Q265" s="47"/>
      <c r="R265" s="47"/>
      <c r="S265" s="47"/>
      <c r="T265" s="47"/>
      <c r="U265" s="47"/>
      <c r="V265" s="47"/>
      <c r="W265" s="47"/>
      <c r="X265" s="47"/>
      <c r="Y265" s="47"/>
      <c r="Z265" s="47"/>
    </row>
    <row r="266">
      <c r="A266" s="48">
        <v>61.0</v>
      </c>
      <c r="B266" s="49" t="s">
        <v>464</v>
      </c>
      <c r="C266" s="50" t="s">
        <v>233</v>
      </c>
      <c r="D266" s="49" t="s">
        <v>2932</v>
      </c>
      <c r="E266" s="51" t="s">
        <v>69</v>
      </c>
      <c r="F266" s="51" t="s">
        <v>4090</v>
      </c>
      <c r="G266" s="51" t="s">
        <v>2235</v>
      </c>
      <c r="H266" s="51" t="s">
        <v>2235</v>
      </c>
      <c r="I266" s="51" t="s">
        <v>2236</v>
      </c>
      <c r="J266" s="51" t="s">
        <v>2168</v>
      </c>
      <c r="K266" s="51" t="s">
        <v>2237</v>
      </c>
      <c r="L266" s="47"/>
      <c r="M266" s="47"/>
      <c r="N266" s="47"/>
      <c r="O266" s="47"/>
      <c r="P266" s="47"/>
      <c r="Q266" s="47"/>
      <c r="R266" s="47"/>
      <c r="S266" s="47"/>
      <c r="T266" s="47"/>
      <c r="U266" s="47"/>
      <c r="V266" s="47"/>
      <c r="W266" s="47"/>
      <c r="X266" s="47"/>
      <c r="Y266" s="47"/>
      <c r="Z266" s="47"/>
    </row>
    <row r="267">
      <c r="A267" s="48">
        <v>61.0</v>
      </c>
      <c r="B267" s="49" t="s">
        <v>464</v>
      </c>
      <c r="C267" s="50" t="s">
        <v>233</v>
      </c>
      <c r="D267" s="49" t="s">
        <v>2865</v>
      </c>
      <c r="E267" s="51" t="s">
        <v>69</v>
      </c>
      <c r="F267" s="51" t="s">
        <v>4095</v>
      </c>
      <c r="G267" s="51" t="s">
        <v>2235</v>
      </c>
      <c r="H267" s="51" t="s">
        <v>2235</v>
      </c>
      <c r="I267" s="51" t="s">
        <v>2236</v>
      </c>
      <c r="J267" s="51" t="s">
        <v>4096</v>
      </c>
      <c r="K267" s="51" t="s">
        <v>2237</v>
      </c>
      <c r="L267" s="47"/>
      <c r="M267" s="47"/>
      <c r="N267" s="47"/>
      <c r="O267" s="47"/>
      <c r="P267" s="47"/>
      <c r="Q267" s="47"/>
      <c r="R267" s="47"/>
      <c r="S267" s="47"/>
      <c r="T267" s="47"/>
      <c r="U267" s="47"/>
      <c r="V267" s="47"/>
      <c r="W267" s="47"/>
      <c r="X267" s="47"/>
      <c r="Y267" s="47"/>
      <c r="Z267" s="47"/>
    </row>
    <row r="268">
      <c r="A268" s="48">
        <v>61.0</v>
      </c>
      <c r="B268" s="49" t="s">
        <v>464</v>
      </c>
      <c r="C268" s="50" t="s">
        <v>233</v>
      </c>
      <c r="D268" s="49" t="s">
        <v>2864</v>
      </c>
      <c r="E268" s="51" t="s">
        <v>69</v>
      </c>
      <c r="F268" s="51" t="s">
        <v>4102</v>
      </c>
      <c r="G268" s="51" t="s">
        <v>2235</v>
      </c>
      <c r="H268" s="51" t="s">
        <v>2235</v>
      </c>
      <c r="I268" s="51" t="s">
        <v>2236</v>
      </c>
      <c r="J268" s="51" t="s">
        <v>2168</v>
      </c>
      <c r="K268" s="51" t="s">
        <v>2237</v>
      </c>
      <c r="L268" s="47"/>
      <c r="M268" s="47"/>
      <c r="N268" s="47"/>
      <c r="O268" s="47"/>
      <c r="P268" s="47"/>
      <c r="Q268" s="47"/>
      <c r="R268" s="47"/>
      <c r="S268" s="47"/>
      <c r="T268" s="47"/>
      <c r="U268" s="47"/>
      <c r="V268" s="47"/>
      <c r="W268" s="47"/>
      <c r="X268" s="47"/>
      <c r="Y268" s="47"/>
      <c r="Z268" s="47"/>
    </row>
    <row r="269">
      <c r="A269" s="48">
        <v>61.0</v>
      </c>
      <c r="B269" s="49" t="s">
        <v>464</v>
      </c>
      <c r="C269" s="50" t="s">
        <v>233</v>
      </c>
      <c r="D269" s="49" t="s">
        <v>3227</v>
      </c>
      <c r="E269" s="51" t="s">
        <v>155</v>
      </c>
      <c r="F269" s="51" t="s">
        <v>4106</v>
      </c>
      <c r="G269" s="51" t="s">
        <v>2235</v>
      </c>
      <c r="H269" s="51" t="s">
        <v>2235</v>
      </c>
      <c r="I269" s="51" t="s">
        <v>2236</v>
      </c>
      <c r="J269" s="51" t="s">
        <v>4096</v>
      </c>
      <c r="K269" s="51" t="s">
        <v>2237</v>
      </c>
      <c r="L269" s="47"/>
      <c r="M269" s="47"/>
      <c r="N269" s="47"/>
      <c r="O269" s="47"/>
      <c r="P269" s="47"/>
      <c r="Q269" s="47"/>
      <c r="R269" s="47"/>
      <c r="S269" s="47"/>
      <c r="T269" s="47"/>
      <c r="U269" s="47"/>
      <c r="V269" s="47"/>
      <c r="W269" s="47"/>
      <c r="X269" s="47"/>
      <c r="Y269" s="47"/>
      <c r="Z269" s="47"/>
    </row>
    <row r="270">
      <c r="A270" s="48">
        <v>61.0</v>
      </c>
      <c r="B270" s="49" t="s">
        <v>464</v>
      </c>
      <c r="C270" s="50" t="s">
        <v>233</v>
      </c>
      <c r="D270" s="49" t="s">
        <v>2816</v>
      </c>
      <c r="E270" s="51" t="s">
        <v>155</v>
      </c>
      <c r="F270" s="51" t="s">
        <v>4112</v>
      </c>
      <c r="G270" s="51" t="s">
        <v>2235</v>
      </c>
      <c r="H270" s="51" t="s">
        <v>2235</v>
      </c>
      <c r="I270" s="51" t="s">
        <v>2236</v>
      </c>
      <c r="J270" s="51" t="s">
        <v>2168</v>
      </c>
      <c r="K270" s="51" t="s">
        <v>2237</v>
      </c>
      <c r="L270" s="47"/>
      <c r="M270" s="47"/>
      <c r="N270" s="47"/>
      <c r="O270" s="47"/>
      <c r="P270" s="47"/>
      <c r="Q270" s="47"/>
      <c r="R270" s="47"/>
      <c r="S270" s="47"/>
      <c r="T270" s="47"/>
      <c r="U270" s="47"/>
      <c r="V270" s="47"/>
      <c r="W270" s="47"/>
      <c r="X270" s="47"/>
      <c r="Y270" s="47"/>
      <c r="Z270" s="47"/>
    </row>
    <row r="271">
      <c r="A271" s="48">
        <v>62.0</v>
      </c>
      <c r="B271" s="49" t="s">
        <v>1122</v>
      </c>
      <c r="C271" s="50" t="s">
        <v>233</v>
      </c>
      <c r="D271" s="49" t="s">
        <v>3138</v>
      </c>
      <c r="E271" s="51" t="s">
        <v>69</v>
      </c>
      <c r="F271" s="51" t="s">
        <v>4121</v>
      </c>
      <c r="G271" s="51" t="s">
        <v>2235</v>
      </c>
      <c r="H271" s="51" t="s">
        <v>2235</v>
      </c>
      <c r="I271" s="51" t="s">
        <v>2236</v>
      </c>
      <c r="J271" s="51" t="s">
        <v>2190</v>
      </c>
      <c r="K271" s="51" t="s">
        <v>2237</v>
      </c>
      <c r="L271" s="47"/>
      <c r="M271" s="47"/>
      <c r="N271" s="47"/>
      <c r="O271" s="47"/>
      <c r="P271" s="47"/>
      <c r="Q271" s="47"/>
      <c r="R271" s="47"/>
      <c r="S271" s="47"/>
      <c r="T271" s="47"/>
      <c r="U271" s="47"/>
      <c r="V271" s="47"/>
      <c r="W271" s="47"/>
      <c r="X271" s="47"/>
      <c r="Y271" s="47"/>
      <c r="Z271" s="47"/>
    </row>
    <row r="272">
      <c r="A272" s="48">
        <v>62.0</v>
      </c>
      <c r="B272" s="49" t="s">
        <v>1122</v>
      </c>
      <c r="C272" s="50" t="s">
        <v>233</v>
      </c>
      <c r="D272" s="49" t="s">
        <v>2871</v>
      </c>
      <c r="E272" s="51" t="s">
        <v>69</v>
      </c>
      <c r="F272" s="51" t="s">
        <v>4125</v>
      </c>
      <c r="G272" s="51" t="s">
        <v>2235</v>
      </c>
      <c r="H272" s="51" t="s">
        <v>2235</v>
      </c>
      <c r="I272" s="51" t="s">
        <v>2236</v>
      </c>
      <c r="J272" s="51" t="s">
        <v>4126</v>
      </c>
      <c r="K272" s="51" t="s">
        <v>2237</v>
      </c>
      <c r="L272" s="47"/>
      <c r="M272" s="47"/>
      <c r="N272" s="47"/>
      <c r="O272" s="47"/>
      <c r="P272" s="47"/>
      <c r="Q272" s="47"/>
      <c r="R272" s="47"/>
      <c r="S272" s="47"/>
      <c r="T272" s="47"/>
      <c r="U272" s="47"/>
      <c r="V272" s="47"/>
      <c r="W272" s="47"/>
      <c r="X272" s="47"/>
      <c r="Y272" s="47"/>
      <c r="Z272" s="47"/>
    </row>
    <row r="273">
      <c r="A273" s="48">
        <v>62.0</v>
      </c>
      <c r="B273" s="49" t="s">
        <v>1122</v>
      </c>
      <c r="C273" s="50" t="s">
        <v>233</v>
      </c>
      <c r="D273" s="49" t="s">
        <v>2127</v>
      </c>
      <c r="E273" s="51" t="s">
        <v>69</v>
      </c>
      <c r="F273" s="51" t="s">
        <v>4132</v>
      </c>
      <c r="G273" s="51" t="s">
        <v>2235</v>
      </c>
      <c r="H273" s="51" t="s">
        <v>2235</v>
      </c>
      <c r="I273" s="51" t="s">
        <v>2236</v>
      </c>
      <c r="J273" s="51" t="s">
        <v>2190</v>
      </c>
      <c r="K273" s="51" t="s">
        <v>2237</v>
      </c>
      <c r="L273" s="47"/>
      <c r="M273" s="47"/>
      <c r="N273" s="47"/>
      <c r="O273" s="47"/>
      <c r="P273" s="47"/>
      <c r="Q273" s="47"/>
      <c r="R273" s="47"/>
      <c r="S273" s="47"/>
      <c r="T273" s="47"/>
      <c r="U273" s="47"/>
      <c r="V273" s="47"/>
      <c r="W273" s="47"/>
      <c r="X273" s="47"/>
      <c r="Y273" s="47"/>
      <c r="Z273" s="47"/>
    </row>
    <row r="274">
      <c r="A274" s="48">
        <v>62.0</v>
      </c>
      <c r="B274" s="49" t="s">
        <v>1122</v>
      </c>
      <c r="C274" s="50" t="s">
        <v>233</v>
      </c>
      <c r="D274" s="49" t="s">
        <v>3002</v>
      </c>
      <c r="E274" s="51" t="s">
        <v>155</v>
      </c>
      <c r="F274" s="51" t="s">
        <v>4137</v>
      </c>
      <c r="G274" s="51" t="s">
        <v>2235</v>
      </c>
      <c r="H274" s="51" t="s">
        <v>2235</v>
      </c>
      <c r="I274" s="51" t="s">
        <v>2236</v>
      </c>
      <c r="J274" s="51" t="s">
        <v>4126</v>
      </c>
      <c r="K274" s="51" t="s">
        <v>2287</v>
      </c>
      <c r="L274" s="47"/>
      <c r="M274" s="47"/>
      <c r="N274" s="47"/>
      <c r="O274" s="47"/>
      <c r="P274" s="47"/>
      <c r="Q274" s="47"/>
      <c r="R274" s="47"/>
      <c r="S274" s="47"/>
      <c r="T274" s="47"/>
      <c r="U274" s="47"/>
      <c r="V274" s="47"/>
      <c r="W274" s="47"/>
      <c r="X274" s="47"/>
      <c r="Y274" s="47"/>
      <c r="Z274" s="47"/>
    </row>
    <row r="275">
      <c r="A275" s="48">
        <v>62.0</v>
      </c>
      <c r="B275" s="49" t="s">
        <v>1122</v>
      </c>
      <c r="C275" s="50" t="s">
        <v>233</v>
      </c>
      <c r="D275" s="49" t="s">
        <v>2862</v>
      </c>
      <c r="E275" s="51" t="s">
        <v>155</v>
      </c>
      <c r="F275" s="51" t="s">
        <v>4143</v>
      </c>
      <c r="G275" s="51" t="s">
        <v>2235</v>
      </c>
      <c r="H275" s="51" t="s">
        <v>2235</v>
      </c>
      <c r="I275" s="51" t="s">
        <v>2236</v>
      </c>
      <c r="J275" s="51" t="s">
        <v>2190</v>
      </c>
      <c r="K275" s="51" t="s">
        <v>2287</v>
      </c>
      <c r="L275" s="47"/>
      <c r="M275" s="47"/>
      <c r="N275" s="47"/>
      <c r="O275" s="47"/>
      <c r="P275" s="47"/>
      <c r="Q275" s="47"/>
      <c r="R275" s="47"/>
      <c r="S275" s="47"/>
      <c r="T275" s="47"/>
      <c r="U275" s="47"/>
      <c r="V275" s="47"/>
      <c r="W275" s="47"/>
      <c r="X275" s="47"/>
      <c r="Y275" s="47"/>
      <c r="Z275" s="47"/>
    </row>
    <row r="276">
      <c r="A276" s="48">
        <v>63.0</v>
      </c>
      <c r="B276" s="49" t="s">
        <v>1128</v>
      </c>
      <c r="C276" s="50" t="s">
        <v>233</v>
      </c>
      <c r="D276" s="49" t="s">
        <v>3013</v>
      </c>
      <c r="E276" s="51" t="s">
        <v>69</v>
      </c>
      <c r="F276" s="51" t="s">
        <v>4156</v>
      </c>
      <c r="G276" s="51" t="s">
        <v>2235</v>
      </c>
      <c r="H276" s="51" t="s">
        <v>2235</v>
      </c>
      <c r="I276" s="51" t="s">
        <v>2236</v>
      </c>
      <c r="J276" s="51" t="s">
        <v>2206</v>
      </c>
      <c r="K276" s="51" t="s">
        <v>2237</v>
      </c>
      <c r="L276" s="47"/>
      <c r="M276" s="47"/>
      <c r="N276" s="47"/>
      <c r="O276" s="47"/>
      <c r="P276" s="47"/>
      <c r="Q276" s="47"/>
      <c r="R276" s="47"/>
      <c r="S276" s="47"/>
      <c r="T276" s="47"/>
      <c r="U276" s="47"/>
      <c r="V276" s="47"/>
      <c r="W276" s="47"/>
      <c r="X276" s="47"/>
      <c r="Y276" s="47"/>
      <c r="Z276" s="47"/>
    </row>
    <row r="277">
      <c r="A277" s="48">
        <v>63.0</v>
      </c>
      <c r="B277" s="49" t="s">
        <v>1128</v>
      </c>
      <c r="C277" s="50" t="s">
        <v>233</v>
      </c>
      <c r="D277" s="49" t="s">
        <v>3129</v>
      </c>
      <c r="E277" s="51" t="s">
        <v>69</v>
      </c>
      <c r="F277" s="51" t="s">
        <v>4160</v>
      </c>
      <c r="G277" s="51" t="s">
        <v>2235</v>
      </c>
      <c r="H277" s="51" t="s">
        <v>2235</v>
      </c>
      <c r="I277" s="51" t="s">
        <v>2236</v>
      </c>
      <c r="J277" s="51" t="s">
        <v>4161</v>
      </c>
      <c r="K277" s="51" t="s">
        <v>2237</v>
      </c>
      <c r="L277" s="47"/>
      <c r="M277" s="47"/>
      <c r="N277" s="47"/>
      <c r="O277" s="47"/>
      <c r="P277" s="47"/>
      <c r="Q277" s="47"/>
      <c r="R277" s="47"/>
      <c r="S277" s="47"/>
      <c r="T277" s="47"/>
      <c r="U277" s="47"/>
      <c r="V277" s="47"/>
      <c r="W277" s="47"/>
      <c r="X277" s="47"/>
      <c r="Y277" s="47"/>
      <c r="Z277" s="47"/>
    </row>
    <row r="278">
      <c r="A278" s="48">
        <v>63.0</v>
      </c>
      <c r="B278" s="49" t="s">
        <v>1128</v>
      </c>
      <c r="C278" s="50" t="s">
        <v>233</v>
      </c>
      <c r="D278" s="49" t="s">
        <v>3002</v>
      </c>
      <c r="E278" s="51" t="s">
        <v>69</v>
      </c>
      <c r="F278" s="51" t="s">
        <v>4162</v>
      </c>
      <c r="G278" s="51" t="s">
        <v>2235</v>
      </c>
      <c r="H278" s="51" t="s">
        <v>2235</v>
      </c>
      <c r="I278" s="51" t="s">
        <v>2236</v>
      </c>
      <c r="J278" s="51" t="s">
        <v>2206</v>
      </c>
      <c r="K278" s="51" t="s">
        <v>2287</v>
      </c>
      <c r="L278" s="47"/>
      <c r="M278" s="47"/>
      <c r="N278" s="47"/>
      <c r="O278" s="47"/>
      <c r="P278" s="47"/>
      <c r="Q278" s="47"/>
      <c r="R278" s="47"/>
      <c r="S278" s="47"/>
      <c r="T278" s="47"/>
      <c r="U278" s="47"/>
      <c r="V278" s="47"/>
      <c r="W278" s="47"/>
      <c r="X278" s="47"/>
      <c r="Y278" s="47"/>
      <c r="Z278" s="47"/>
    </row>
    <row r="279">
      <c r="A279" s="48">
        <v>63.0</v>
      </c>
      <c r="B279" s="49" t="s">
        <v>1128</v>
      </c>
      <c r="C279" s="50" t="s">
        <v>233</v>
      </c>
      <c r="D279" s="49" t="s">
        <v>2862</v>
      </c>
      <c r="E279" s="51" t="s">
        <v>69</v>
      </c>
      <c r="F279" s="51" t="s">
        <v>4163</v>
      </c>
      <c r="G279" s="51" t="s">
        <v>2235</v>
      </c>
      <c r="H279" s="51" t="s">
        <v>2235</v>
      </c>
      <c r="I279" s="51" t="s">
        <v>2236</v>
      </c>
      <c r="J279" s="51" t="s">
        <v>4161</v>
      </c>
      <c r="K279" s="51" t="s">
        <v>2287</v>
      </c>
      <c r="L279" s="47"/>
      <c r="M279" s="47"/>
      <c r="N279" s="47"/>
      <c r="O279" s="47"/>
      <c r="P279" s="47"/>
      <c r="Q279" s="47"/>
      <c r="R279" s="47"/>
      <c r="S279" s="47"/>
      <c r="T279" s="47"/>
      <c r="U279" s="47"/>
      <c r="V279" s="47"/>
      <c r="W279" s="47"/>
      <c r="X279" s="47"/>
      <c r="Y279" s="47"/>
      <c r="Z279" s="47"/>
    </row>
    <row r="280">
      <c r="A280" s="48">
        <v>63.0</v>
      </c>
      <c r="B280" s="49" t="s">
        <v>1128</v>
      </c>
      <c r="C280" s="50" t="s">
        <v>233</v>
      </c>
      <c r="D280" s="49" t="s">
        <v>3099</v>
      </c>
      <c r="E280" s="51" t="s">
        <v>155</v>
      </c>
      <c r="F280" s="51" t="s">
        <v>4167</v>
      </c>
      <c r="G280" s="51" t="s">
        <v>2235</v>
      </c>
      <c r="H280" s="51" t="s">
        <v>2235</v>
      </c>
      <c r="I280" s="51" t="s">
        <v>2236</v>
      </c>
      <c r="J280" s="51" t="s">
        <v>2206</v>
      </c>
      <c r="K280" s="51" t="s">
        <v>2287</v>
      </c>
      <c r="L280" s="47"/>
      <c r="M280" s="47"/>
      <c r="N280" s="47"/>
      <c r="O280" s="47"/>
      <c r="P280" s="47"/>
      <c r="Q280" s="47"/>
      <c r="R280" s="47"/>
      <c r="S280" s="47"/>
      <c r="T280" s="47"/>
      <c r="U280" s="47"/>
      <c r="V280" s="47"/>
      <c r="W280" s="47"/>
      <c r="X280" s="47"/>
      <c r="Y280" s="47"/>
      <c r="Z280" s="47"/>
    </row>
    <row r="281">
      <c r="A281" s="48">
        <v>64.0</v>
      </c>
      <c r="B281" s="49" t="s">
        <v>1137</v>
      </c>
      <c r="C281" s="50" t="s">
        <v>233</v>
      </c>
      <c r="D281" s="49" t="s">
        <v>2335</v>
      </c>
      <c r="E281" s="51" t="s">
        <v>69</v>
      </c>
      <c r="F281" s="51" t="s">
        <v>4175</v>
      </c>
      <c r="G281" s="51" t="s">
        <v>2235</v>
      </c>
      <c r="H281" s="51" t="s">
        <v>2235</v>
      </c>
      <c r="I281" s="51" t="s">
        <v>2236</v>
      </c>
      <c r="J281" s="51" t="s">
        <v>2240</v>
      </c>
      <c r="K281" s="51" t="s">
        <v>2237</v>
      </c>
      <c r="L281" s="47"/>
      <c r="M281" s="47"/>
      <c r="N281" s="47"/>
      <c r="O281" s="47"/>
      <c r="P281" s="47"/>
      <c r="Q281" s="47"/>
      <c r="R281" s="47"/>
      <c r="S281" s="47"/>
      <c r="T281" s="47"/>
      <c r="U281" s="47"/>
      <c r="V281" s="47"/>
      <c r="W281" s="47"/>
      <c r="X281" s="47"/>
      <c r="Y281" s="47"/>
      <c r="Z281" s="47"/>
    </row>
    <row r="282">
      <c r="A282" s="48">
        <v>64.0</v>
      </c>
      <c r="B282" s="49" t="s">
        <v>1137</v>
      </c>
      <c r="C282" s="50" t="s">
        <v>233</v>
      </c>
      <c r="D282" s="49" t="s">
        <v>3241</v>
      </c>
      <c r="E282" s="51" t="s">
        <v>69</v>
      </c>
      <c r="F282" s="51" t="s">
        <v>4182</v>
      </c>
      <c r="G282" s="51" t="s">
        <v>2235</v>
      </c>
      <c r="H282" s="51" t="s">
        <v>2235</v>
      </c>
      <c r="I282" s="51" t="s">
        <v>2236</v>
      </c>
      <c r="J282" s="51" t="s">
        <v>4183</v>
      </c>
      <c r="K282" s="51" t="s">
        <v>2237</v>
      </c>
      <c r="L282" s="47"/>
      <c r="M282" s="47"/>
      <c r="N282" s="47"/>
      <c r="O282" s="47"/>
      <c r="P282" s="47"/>
      <c r="Q282" s="47"/>
      <c r="R282" s="47"/>
      <c r="S282" s="47"/>
      <c r="T282" s="47"/>
      <c r="U282" s="47"/>
      <c r="V282" s="47"/>
      <c r="W282" s="47"/>
      <c r="X282" s="47"/>
      <c r="Y282" s="47"/>
      <c r="Z282" s="47"/>
    </row>
    <row r="283">
      <c r="A283" s="48">
        <v>64.0</v>
      </c>
      <c r="B283" s="49" t="s">
        <v>1137</v>
      </c>
      <c r="C283" s="50" t="s">
        <v>233</v>
      </c>
      <c r="D283" s="49" t="s">
        <v>2899</v>
      </c>
      <c r="E283" s="51" t="s">
        <v>69</v>
      </c>
      <c r="F283" s="51" t="s">
        <v>4189</v>
      </c>
      <c r="G283" s="51" t="s">
        <v>2235</v>
      </c>
      <c r="H283" s="51" t="s">
        <v>2235</v>
      </c>
      <c r="I283" s="51" t="s">
        <v>2236</v>
      </c>
      <c r="J283" s="51" t="s">
        <v>2240</v>
      </c>
      <c r="K283" s="51" t="s">
        <v>2237</v>
      </c>
      <c r="L283" s="47"/>
      <c r="M283" s="47"/>
      <c r="N283" s="47"/>
      <c r="O283" s="47"/>
      <c r="P283" s="47"/>
      <c r="Q283" s="47"/>
      <c r="R283" s="47"/>
      <c r="S283" s="47"/>
      <c r="T283" s="47"/>
      <c r="U283" s="47"/>
      <c r="V283" s="47"/>
      <c r="W283" s="47"/>
      <c r="X283" s="47"/>
      <c r="Y283" s="47"/>
      <c r="Z283" s="47"/>
    </row>
    <row r="284">
      <c r="A284" s="48">
        <v>64.0</v>
      </c>
      <c r="B284" s="49" t="s">
        <v>1137</v>
      </c>
      <c r="C284" s="50" t="s">
        <v>233</v>
      </c>
      <c r="D284" s="49" t="s">
        <v>2379</v>
      </c>
      <c r="E284" s="51" t="s">
        <v>69</v>
      </c>
      <c r="F284" s="51" t="s">
        <v>4194</v>
      </c>
      <c r="G284" s="51" t="s">
        <v>2235</v>
      </c>
      <c r="H284" s="51" t="s">
        <v>2235</v>
      </c>
      <c r="I284" s="51" t="s">
        <v>2236</v>
      </c>
      <c r="J284" s="51" t="s">
        <v>4183</v>
      </c>
      <c r="K284" s="51" t="s">
        <v>2237</v>
      </c>
      <c r="L284" s="47"/>
      <c r="M284" s="47"/>
      <c r="N284" s="47"/>
      <c r="O284" s="47"/>
      <c r="P284" s="47"/>
      <c r="Q284" s="47"/>
      <c r="R284" s="47"/>
      <c r="S284" s="47"/>
      <c r="T284" s="47"/>
      <c r="U284" s="47"/>
      <c r="V284" s="47"/>
      <c r="W284" s="47"/>
      <c r="X284" s="47"/>
      <c r="Y284" s="47"/>
      <c r="Z284" s="47"/>
    </row>
    <row r="285">
      <c r="A285" s="48">
        <v>64.0</v>
      </c>
      <c r="B285" s="49" t="s">
        <v>1137</v>
      </c>
      <c r="C285" s="50" t="s">
        <v>233</v>
      </c>
      <c r="D285" s="49" t="s">
        <v>3179</v>
      </c>
      <c r="E285" s="51" t="s">
        <v>69</v>
      </c>
      <c r="F285" s="51" t="s">
        <v>4195</v>
      </c>
      <c r="G285" s="51" t="s">
        <v>2235</v>
      </c>
      <c r="H285" s="51" t="s">
        <v>2235</v>
      </c>
      <c r="I285" s="51" t="s">
        <v>2236</v>
      </c>
      <c r="J285" s="51" t="s">
        <v>2240</v>
      </c>
      <c r="K285" s="51" t="s">
        <v>2237</v>
      </c>
      <c r="L285" s="47"/>
      <c r="M285" s="47"/>
      <c r="N285" s="47"/>
      <c r="O285" s="47"/>
      <c r="P285" s="47"/>
      <c r="Q285" s="47"/>
      <c r="R285" s="47"/>
      <c r="S285" s="47"/>
      <c r="T285" s="47"/>
      <c r="U285" s="47"/>
      <c r="V285" s="47"/>
      <c r="W285" s="47"/>
      <c r="X285" s="47"/>
      <c r="Y285" s="47"/>
      <c r="Z285" s="47"/>
    </row>
    <row r="286">
      <c r="A286" s="48">
        <v>65.0</v>
      </c>
      <c r="B286" s="49" t="s">
        <v>1145</v>
      </c>
      <c r="C286" s="50" t="s">
        <v>233</v>
      </c>
      <c r="D286" s="49" t="s">
        <v>2797</v>
      </c>
      <c r="E286" s="51" t="s">
        <v>69</v>
      </c>
      <c r="F286" s="51" t="s">
        <v>4198</v>
      </c>
      <c r="G286" s="51" t="s">
        <v>2235</v>
      </c>
      <c r="H286" s="51" t="s">
        <v>2235</v>
      </c>
      <c r="I286" s="51" t="s">
        <v>2236</v>
      </c>
      <c r="J286" s="51" t="s">
        <v>2258</v>
      </c>
      <c r="K286" s="51" t="s">
        <v>2237</v>
      </c>
      <c r="L286" s="47"/>
      <c r="M286" s="47"/>
      <c r="N286" s="47"/>
      <c r="O286" s="47"/>
      <c r="P286" s="47"/>
      <c r="Q286" s="47"/>
      <c r="R286" s="47"/>
      <c r="S286" s="47"/>
      <c r="T286" s="47"/>
      <c r="U286" s="47"/>
      <c r="V286" s="47"/>
      <c r="W286" s="47"/>
      <c r="X286" s="47"/>
      <c r="Y286" s="47"/>
      <c r="Z286" s="47"/>
    </row>
    <row r="287">
      <c r="A287" s="48">
        <v>65.0</v>
      </c>
      <c r="B287" s="49" t="s">
        <v>1145</v>
      </c>
      <c r="C287" s="50" t="s">
        <v>233</v>
      </c>
      <c r="D287" s="49" t="s">
        <v>2870</v>
      </c>
      <c r="E287" s="51" t="s">
        <v>69</v>
      </c>
      <c r="F287" s="51" t="s">
        <v>4202</v>
      </c>
      <c r="G287" s="51" t="s">
        <v>2235</v>
      </c>
      <c r="H287" s="51" t="s">
        <v>2235</v>
      </c>
      <c r="I287" s="51" t="s">
        <v>2236</v>
      </c>
      <c r="J287" s="51" t="s">
        <v>4203</v>
      </c>
      <c r="K287" s="51" t="s">
        <v>2237</v>
      </c>
      <c r="L287" s="47"/>
      <c r="M287" s="47"/>
      <c r="N287" s="47"/>
      <c r="O287" s="47"/>
      <c r="P287" s="47"/>
      <c r="Q287" s="47"/>
      <c r="R287" s="47"/>
      <c r="S287" s="47"/>
      <c r="T287" s="47"/>
      <c r="U287" s="47"/>
      <c r="V287" s="47"/>
      <c r="W287" s="47"/>
      <c r="X287" s="47"/>
      <c r="Y287" s="47"/>
      <c r="Z287" s="47"/>
    </row>
    <row r="288">
      <c r="A288" s="48">
        <v>65.0</v>
      </c>
      <c r="B288" s="49" t="s">
        <v>1145</v>
      </c>
      <c r="C288" s="50" t="s">
        <v>233</v>
      </c>
      <c r="D288" s="49" t="s">
        <v>1889</v>
      </c>
      <c r="E288" s="51" t="s">
        <v>69</v>
      </c>
      <c r="F288" s="51" t="s">
        <v>4204</v>
      </c>
      <c r="G288" s="51" t="s">
        <v>2235</v>
      </c>
      <c r="H288" s="51" t="s">
        <v>2235</v>
      </c>
      <c r="I288" s="51" t="s">
        <v>2236</v>
      </c>
      <c r="J288" s="51" t="s">
        <v>2258</v>
      </c>
      <c r="K288" s="51" t="s">
        <v>2237</v>
      </c>
      <c r="L288" s="47"/>
      <c r="M288" s="47"/>
      <c r="N288" s="47"/>
      <c r="O288" s="47"/>
      <c r="P288" s="47"/>
      <c r="Q288" s="47"/>
      <c r="R288" s="47"/>
      <c r="S288" s="47"/>
      <c r="T288" s="47"/>
      <c r="U288" s="47"/>
      <c r="V288" s="47"/>
      <c r="W288" s="47"/>
      <c r="X288" s="47"/>
      <c r="Y288" s="47"/>
      <c r="Z288" s="47"/>
    </row>
    <row r="289">
      <c r="A289" s="48">
        <v>65.0</v>
      </c>
      <c r="B289" s="49" t="s">
        <v>1145</v>
      </c>
      <c r="C289" s="50" t="s">
        <v>233</v>
      </c>
      <c r="D289" s="49" t="s">
        <v>1723</v>
      </c>
      <c r="E289" s="51" t="s">
        <v>69</v>
      </c>
      <c r="F289" s="51" t="s">
        <v>4209</v>
      </c>
      <c r="G289" s="51" t="s">
        <v>2235</v>
      </c>
      <c r="H289" s="51" t="s">
        <v>2235</v>
      </c>
      <c r="I289" s="51" t="s">
        <v>2236</v>
      </c>
      <c r="J289" s="51" t="s">
        <v>4203</v>
      </c>
      <c r="K289" s="51" t="s">
        <v>2237</v>
      </c>
      <c r="L289" s="47"/>
      <c r="M289" s="47"/>
      <c r="N289" s="47"/>
      <c r="O289" s="47"/>
      <c r="P289" s="47"/>
      <c r="Q289" s="47"/>
      <c r="R289" s="47"/>
      <c r="S289" s="47"/>
      <c r="T289" s="47"/>
      <c r="U289" s="47"/>
      <c r="V289" s="47"/>
      <c r="W289" s="47"/>
      <c r="X289" s="47"/>
      <c r="Y289" s="47"/>
      <c r="Z289" s="47"/>
    </row>
    <row r="290">
      <c r="A290" s="48">
        <v>65.0</v>
      </c>
      <c r="B290" s="49" t="s">
        <v>1145</v>
      </c>
      <c r="C290" s="50" t="s">
        <v>233</v>
      </c>
      <c r="D290" s="49" t="s">
        <v>1852</v>
      </c>
      <c r="E290" s="51" t="s">
        <v>69</v>
      </c>
      <c r="F290" s="51" t="s">
        <v>4213</v>
      </c>
      <c r="G290" s="51" t="s">
        <v>2235</v>
      </c>
      <c r="H290" s="51" t="s">
        <v>2235</v>
      </c>
      <c r="I290" s="51" t="s">
        <v>2236</v>
      </c>
      <c r="J290" s="51" t="s">
        <v>2258</v>
      </c>
      <c r="K290" s="51" t="s">
        <v>2237</v>
      </c>
      <c r="L290" s="47"/>
      <c r="M290" s="47"/>
      <c r="N290" s="47"/>
      <c r="O290" s="47"/>
      <c r="P290" s="47"/>
      <c r="Q290" s="47"/>
      <c r="R290" s="47"/>
      <c r="S290" s="47"/>
      <c r="T290" s="47"/>
      <c r="U290" s="47"/>
      <c r="V290" s="47"/>
      <c r="W290" s="47"/>
      <c r="X290" s="47"/>
      <c r="Y290" s="47"/>
      <c r="Z290" s="47"/>
    </row>
    <row r="291">
      <c r="A291" s="48">
        <v>66.0</v>
      </c>
      <c r="B291" s="49" t="s">
        <v>551</v>
      </c>
      <c r="C291" s="50" t="s">
        <v>553</v>
      </c>
      <c r="D291" s="49" t="s">
        <v>3283</v>
      </c>
      <c r="E291" s="51" t="s">
        <v>69</v>
      </c>
      <c r="F291" s="51" t="s">
        <v>4219</v>
      </c>
      <c r="G291" s="51" t="s">
        <v>2235</v>
      </c>
      <c r="H291" s="51" t="s">
        <v>2235</v>
      </c>
      <c r="I291" s="51" t="s">
        <v>2236</v>
      </c>
      <c r="J291" s="51" t="s">
        <v>2297</v>
      </c>
      <c r="K291" s="51" t="s">
        <v>2237</v>
      </c>
      <c r="L291" s="47"/>
      <c r="M291" s="47"/>
      <c r="N291" s="47"/>
      <c r="O291" s="47"/>
      <c r="P291" s="47"/>
      <c r="Q291" s="47"/>
      <c r="R291" s="47"/>
      <c r="S291" s="47"/>
      <c r="T291" s="47"/>
      <c r="U291" s="47"/>
      <c r="V291" s="47"/>
      <c r="W291" s="47"/>
      <c r="X291" s="47"/>
      <c r="Y291" s="47"/>
      <c r="Z291" s="47"/>
    </row>
    <row r="292">
      <c r="A292" s="48">
        <v>66.0</v>
      </c>
      <c r="B292" s="49" t="s">
        <v>551</v>
      </c>
      <c r="C292" s="50" t="s">
        <v>553</v>
      </c>
      <c r="D292" s="49" t="s">
        <v>3286</v>
      </c>
      <c r="E292" s="51" t="s">
        <v>69</v>
      </c>
      <c r="F292" s="51" t="s">
        <v>4223</v>
      </c>
      <c r="G292" s="51" t="s">
        <v>2235</v>
      </c>
      <c r="H292" s="51" t="s">
        <v>2235</v>
      </c>
      <c r="I292" s="51" t="s">
        <v>2236</v>
      </c>
      <c r="J292" s="51" t="s">
        <v>4224</v>
      </c>
      <c r="K292" s="51" t="s">
        <v>2237</v>
      </c>
      <c r="L292" s="47"/>
      <c r="M292" s="47"/>
      <c r="N292" s="47"/>
      <c r="O292" s="47"/>
      <c r="P292" s="47"/>
      <c r="Q292" s="47"/>
      <c r="R292" s="47"/>
      <c r="S292" s="47"/>
      <c r="T292" s="47"/>
      <c r="U292" s="47"/>
      <c r="V292" s="47"/>
      <c r="W292" s="47"/>
      <c r="X292" s="47"/>
      <c r="Y292" s="47"/>
      <c r="Z292" s="47"/>
    </row>
    <row r="293">
      <c r="A293" s="48">
        <v>66.0</v>
      </c>
      <c r="B293" s="49" t="s">
        <v>551</v>
      </c>
      <c r="C293" s="50" t="s">
        <v>553</v>
      </c>
      <c r="D293" s="49" t="s">
        <v>3290</v>
      </c>
      <c r="E293" s="51" t="s">
        <v>69</v>
      </c>
      <c r="F293" s="51" t="s">
        <v>4228</v>
      </c>
      <c r="G293" s="51" t="s">
        <v>2235</v>
      </c>
      <c r="H293" s="51" t="s">
        <v>2235</v>
      </c>
      <c r="I293" s="51" t="s">
        <v>2236</v>
      </c>
      <c r="J293" s="51" t="s">
        <v>4229</v>
      </c>
      <c r="K293" s="51" t="s">
        <v>2237</v>
      </c>
      <c r="L293" s="47"/>
      <c r="M293" s="47"/>
      <c r="N293" s="47"/>
      <c r="O293" s="47"/>
      <c r="P293" s="47"/>
      <c r="Q293" s="47"/>
      <c r="R293" s="47"/>
      <c r="S293" s="47"/>
      <c r="T293" s="47"/>
      <c r="U293" s="47"/>
      <c r="V293" s="47"/>
      <c r="W293" s="47"/>
      <c r="X293" s="47"/>
      <c r="Y293" s="47"/>
      <c r="Z293" s="47"/>
    </row>
    <row r="294">
      <c r="A294" s="48">
        <v>66.0</v>
      </c>
      <c r="B294" s="49" t="s">
        <v>551</v>
      </c>
      <c r="C294" s="50" t="s">
        <v>553</v>
      </c>
      <c r="D294" s="49" t="s">
        <v>3344</v>
      </c>
      <c r="E294" s="51" t="s">
        <v>155</v>
      </c>
      <c r="F294" s="51" t="s">
        <v>4230</v>
      </c>
      <c r="G294" s="51" t="s">
        <v>2235</v>
      </c>
      <c r="H294" s="51" t="s">
        <v>2235</v>
      </c>
      <c r="I294" s="51" t="s">
        <v>2236</v>
      </c>
      <c r="J294" s="51" t="s">
        <v>2297</v>
      </c>
      <c r="K294" s="51" t="s">
        <v>2287</v>
      </c>
      <c r="L294" s="47"/>
      <c r="M294" s="47"/>
      <c r="N294" s="47"/>
      <c r="O294" s="47"/>
      <c r="P294" s="47"/>
      <c r="Q294" s="47"/>
      <c r="R294" s="47"/>
      <c r="S294" s="47"/>
      <c r="T294" s="47"/>
      <c r="U294" s="47"/>
      <c r="V294" s="47"/>
      <c r="W294" s="47"/>
      <c r="X294" s="47"/>
      <c r="Y294" s="47"/>
      <c r="Z294" s="47"/>
    </row>
    <row r="295">
      <c r="A295" s="48">
        <v>66.0</v>
      </c>
      <c r="B295" s="49" t="s">
        <v>551</v>
      </c>
      <c r="C295" s="50" t="s">
        <v>553</v>
      </c>
      <c r="D295" s="49" t="s">
        <v>2810</v>
      </c>
      <c r="E295" s="51" t="s">
        <v>155</v>
      </c>
      <c r="F295" s="51" t="s">
        <v>4235</v>
      </c>
      <c r="G295" s="51" t="s">
        <v>2235</v>
      </c>
      <c r="H295" s="51" t="s">
        <v>2235</v>
      </c>
      <c r="I295" s="51" t="s">
        <v>2236</v>
      </c>
      <c r="J295" s="51" t="s">
        <v>4224</v>
      </c>
      <c r="K295" s="51" t="s">
        <v>2237</v>
      </c>
      <c r="L295" s="47"/>
      <c r="M295" s="47"/>
      <c r="N295" s="47"/>
      <c r="O295" s="47"/>
      <c r="P295" s="47"/>
      <c r="Q295" s="47"/>
      <c r="R295" s="47"/>
      <c r="S295" s="47"/>
      <c r="T295" s="47"/>
      <c r="U295" s="47"/>
      <c r="V295" s="47"/>
      <c r="W295" s="47"/>
      <c r="X295" s="47"/>
      <c r="Y295" s="47"/>
      <c r="Z295" s="47"/>
    </row>
    <row r="296">
      <c r="A296" s="48">
        <v>67.0</v>
      </c>
      <c r="B296" s="49" t="s">
        <v>614</v>
      </c>
      <c r="C296" s="50" t="s">
        <v>553</v>
      </c>
      <c r="D296" s="49" t="s">
        <v>1397</v>
      </c>
      <c r="E296" s="51" t="s">
        <v>69</v>
      </c>
      <c r="F296" s="51" t="s">
        <v>4242</v>
      </c>
      <c r="G296" s="51" t="s">
        <v>2235</v>
      </c>
      <c r="H296" s="51" t="s">
        <v>2235</v>
      </c>
      <c r="I296" s="51" t="s">
        <v>2236</v>
      </c>
      <c r="J296" s="51" t="s">
        <v>2325</v>
      </c>
      <c r="K296" s="51" t="s">
        <v>2237</v>
      </c>
      <c r="L296" s="47"/>
      <c r="M296" s="47"/>
      <c r="N296" s="47"/>
      <c r="O296" s="47"/>
      <c r="P296" s="47"/>
      <c r="Q296" s="47"/>
      <c r="R296" s="47"/>
      <c r="S296" s="47"/>
      <c r="T296" s="47"/>
      <c r="U296" s="47"/>
      <c r="V296" s="47"/>
      <c r="W296" s="47"/>
      <c r="X296" s="47"/>
      <c r="Y296" s="47"/>
      <c r="Z296" s="47"/>
    </row>
    <row r="297">
      <c r="A297" s="48">
        <v>67.0</v>
      </c>
      <c r="B297" s="49" t="s">
        <v>614</v>
      </c>
      <c r="C297" s="50" t="s">
        <v>553</v>
      </c>
      <c r="D297" s="49" t="s">
        <v>2792</v>
      </c>
      <c r="E297" s="51" t="s">
        <v>69</v>
      </c>
      <c r="F297" s="51" t="s">
        <v>4248</v>
      </c>
      <c r="G297" s="51" t="s">
        <v>2235</v>
      </c>
      <c r="H297" s="51" t="s">
        <v>2235</v>
      </c>
      <c r="I297" s="51" t="s">
        <v>2236</v>
      </c>
      <c r="J297" s="51" t="s">
        <v>4249</v>
      </c>
      <c r="K297" s="51" t="s">
        <v>2237</v>
      </c>
      <c r="L297" s="47"/>
      <c r="M297" s="47"/>
      <c r="N297" s="47"/>
      <c r="O297" s="47"/>
      <c r="P297" s="47"/>
      <c r="Q297" s="47"/>
      <c r="R297" s="47"/>
      <c r="S297" s="47"/>
      <c r="T297" s="47"/>
      <c r="U297" s="47"/>
      <c r="V297" s="47"/>
      <c r="W297" s="47"/>
      <c r="X297" s="47"/>
      <c r="Y297" s="47"/>
      <c r="Z297" s="47"/>
    </row>
    <row r="298">
      <c r="A298" s="48">
        <v>67.0</v>
      </c>
      <c r="B298" s="49" t="s">
        <v>614</v>
      </c>
      <c r="C298" s="50" t="s">
        <v>553</v>
      </c>
      <c r="D298" s="49" t="s">
        <v>2227</v>
      </c>
      <c r="E298" s="51" t="s">
        <v>155</v>
      </c>
      <c r="F298" s="51" t="s">
        <v>4252</v>
      </c>
      <c r="G298" s="51" t="s">
        <v>2235</v>
      </c>
      <c r="H298" s="51" t="s">
        <v>2235</v>
      </c>
      <c r="I298" s="51" t="s">
        <v>2236</v>
      </c>
      <c r="J298" s="51" t="s">
        <v>2325</v>
      </c>
      <c r="K298" s="51" t="s">
        <v>2237</v>
      </c>
      <c r="L298" s="47"/>
      <c r="M298" s="47"/>
      <c r="N298" s="47"/>
      <c r="O298" s="47"/>
      <c r="P298" s="47"/>
      <c r="Q298" s="47"/>
      <c r="R298" s="47"/>
      <c r="S298" s="47"/>
      <c r="T298" s="47"/>
      <c r="U298" s="47"/>
      <c r="V298" s="47"/>
      <c r="W298" s="47"/>
      <c r="X298" s="47"/>
      <c r="Y298" s="47"/>
      <c r="Z298" s="47"/>
    </row>
    <row r="299">
      <c r="A299" s="48">
        <v>67.0</v>
      </c>
      <c r="B299" s="49" t="s">
        <v>614</v>
      </c>
      <c r="C299" s="50" t="s">
        <v>553</v>
      </c>
      <c r="D299" s="49" t="s">
        <v>3099</v>
      </c>
      <c r="E299" s="51" t="s">
        <v>155</v>
      </c>
      <c r="F299" s="51" t="s">
        <v>4253</v>
      </c>
      <c r="G299" s="51" t="s">
        <v>2235</v>
      </c>
      <c r="H299" s="51" t="s">
        <v>2235</v>
      </c>
      <c r="I299" s="51" t="s">
        <v>2236</v>
      </c>
      <c r="J299" s="51" t="s">
        <v>4249</v>
      </c>
      <c r="K299" s="51" t="s">
        <v>2287</v>
      </c>
      <c r="L299" s="47"/>
      <c r="M299" s="47"/>
      <c r="N299" s="47"/>
      <c r="O299" s="47"/>
      <c r="P299" s="47"/>
      <c r="Q299" s="47"/>
      <c r="R299" s="47"/>
      <c r="S299" s="47"/>
      <c r="T299" s="47"/>
      <c r="U299" s="47"/>
      <c r="V299" s="47"/>
      <c r="W299" s="47"/>
      <c r="X299" s="47"/>
      <c r="Y299" s="47"/>
      <c r="Z299" s="47"/>
    </row>
    <row r="300">
      <c r="A300" s="48">
        <v>67.0</v>
      </c>
      <c r="B300" s="49" t="s">
        <v>614</v>
      </c>
      <c r="C300" s="50" t="s">
        <v>553</v>
      </c>
      <c r="D300" s="49" t="s">
        <v>3038</v>
      </c>
      <c r="E300" s="51" t="s">
        <v>155</v>
      </c>
      <c r="F300" s="51" t="s">
        <v>4256</v>
      </c>
      <c r="G300" s="51" t="s">
        <v>2235</v>
      </c>
      <c r="H300" s="51" t="s">
        <v>2235</v>
      </c>
      <c r="I300" s="51" t="s">
        <v>2236</v>
      </c>
      <c r="J300" s="51" t="s">
        <v>2325</v>
      </c>
      <c r="K300" s="51" t="s">
        <v>2237</v>
      </c>
      <c r="L300" s="47"/>
      <c r="M300" s="47"/>
      <c r="N300" s="47"/>
      <c r="O300" s="47"/>
      <c r="P300" s="47"/>
      <c r="Q300" s="47"/>
      <c r="R300" s="47"/>
      <c r="S300" s="47"/>
      <c r="T300" s="47"/>
      <c r="U300" s="47"/>
      <c r="V300" s="47"/>
      <c r="W300" s="47"/>
      <c r="X300" s="47"/>
      <c r="Y300" s="47"/>
      <c r="Z300" s="47"/>
    </row>
    <row r="301">
      <c r="A301" s="48">
        <v>68.0</v>
      </c>
      <c r="B301" s="49" t="s">
        <v>374</v>
      </c>
      <c r="C301" s="50" t="s">
        <v>377</v>
      </c>
      <c r="D301" s="49" t="s">
        <v>1608</v>
      </c>
      <c r="E301" s="51" t="s">
        <v>69</v>
      </c>
      <c r="F301" s="51" t="s">
        <v>4261</v>
      </c>
      <c r="G301" s="51" t="s">
        <v>2235</v>
      </c>
      <c r="H301" s="51" t="s">
        <v>2235</v>
      </c>
      <c r="I301" s="51" t="s">
        <v>2236</v>
      </c>
      <c r="J301" s="51" t="s">
        <v>1811</v>
      </c>
      <c r="K301" s="51" t="s">
        <v>4263</v>
      </c>
      <c r="L301" s="47"/>
      <c r="M301" s="47"/>
      <c r="N301" s="47"/>
      <c r="O301" s="47"/>
      <c r="P301" s="47"/>
      <c r="Q301" s="47"/>
      <c r="R301" s="47"/>
      <c r="S301" s="47"/>
      <c r="T301" s="47"/>
      <c r="U301" s="47"/>
      <c r="V301" s="47"/>
      <c r="W301" s="47"/>
      <c r="X301" s="47"/>
      <c r="Y301" s="47"/>
      <c r="Z301" s="47"/>
    </row>
    <row r="302">
      <c r="A302" s="48">
        <v>68.0</v>
      </c>
      <c r="B302" s="49" t="s">
        <v>374</v>
      </c>
      <c r="C302" s="50" t="s">
        <v>377</v>
      </c>
      <c r="D302" s="49" t="s">
        <v>3148</v>
      </c>
      <c r="E302" s="51" t="s">
        <v>69</v>
      </c>
      <c r="F302" s="51" t="s">
        <v>4267</v>
      </c>
      <c r="G302" s="51" t="s">
        <v>2235</v>
      </c>
      <c r="H302" s="51" t="s">
        <v>2235</v>
      </c>
      <c r="I302" s="51" t="s">
        <v>2236</v>
      </c>
      <c r="J302" s="51" t="s">
        <v>4268</v>
      </c>
      <c r="K302" s="51" t="s">
        <v>2237</v>
      </c>
      <c r="L302" s="47"/>
      <c r="M302" s="47"/>
      <c r="N302" s="47"/>
      <c r="O302" s="47"/>
      <c r="P302" s="47"/>
      <c r="Q302" s="47"/>
      <c r="R302" s="47"/>
      <c r="S302" s="47"/>
      <c r="T302" s="47"/>
      <c r="U302" s="47"/>
      <c r="V302" s="47"/>
      <c r="W302" s="47"/>
      <c r="X302" s="47"/>
      <c r="Y302" s="47"/>
      <c r="Z302" s="47"/>
    </row>
    <row r="303">
      <c r="A303" s="48">
        <v>68.0</v>
      </c>
      <c r="B303" s="49" t="s">
        <v>374</v>
      </c>
      <c r="C303" s="50" t="s">
        <v>377</v>
      </c>
      <c r="D303" s="49" t="s">
        <v>3288</v>
      </c>
      <c r="E303" s="51" t="s">
        <v>69</v>
      </c>
      <c r="F303" s="51" t="s">
        <v>4272</v>
      </c>
      <c r="G303" s="51" t="s">
        <v>2235</v>
      </c>
      <c r="H303" s="51" t="s">
        <v>2235</v>
      </c>
      <c r="I303" s="51" t="s">
        <v>2236</v>
      </c>
      <c r="J303" s="51" t="s">
        <v>4273</v>
      </c>
      <c r="K303" s="51" t="s">
        <v>2237</v>
      </c>
      <c r="L303" s="47"/>
      <c r="M303" s="47"/>
      <c r="N303" s="47"/>
      <c r="O303" s="47"/>
      <c r="P303" s="47"/>
      <c r="Q303" s="47"/>
      <c r="R303" s="47"/>
      <c r="S303" s="47"/>
      <c r="T303" s="47"/>
      <c r="U303" s="47"/>
      <c r="V303" s="47"/>
      <c r="W303" s="47"/>
      <c r="X303" s="47"/>
      <c r="Y303" s="47"/>
      <c r="Z303" s="47"/>
    </row>
    <row r="304">
      <c r="A304" s="48">
        <v>68.0</v>
      </c>
      <c r="B304" s="49" t="s">
        <v>374</v>
      </c>
      <c r="C304" s="50" t="s">
        <v>377</v>
      </c>
      <c r="D304" s="49" t="s">
        <v>3292</v>
      </c>
      <c r="E304" s="51" t="s">
        <v>69</v>
      </c>
      <c r="F304" s="51" t="s">
        <v>4279</v>
      </c>
      <c r="G304" s="51" t="s">
        <v>2235</v>
      </c>
      <c r="H304" s="51" t="s">
        <v>2235</v>
      </c>
      <c r="I304" s="51" t="s">
        <v>2236</v>
      </c>
      <c r="J304" s="51" t="s">
        <v>1811</v>
      </c>
      <c r="K304" s="51" t="s">
        <v>2237</v>
      </c>
      <c r="L304" s="47"/>
      <c r="M304" s="47"/>
      <c r="N304" s="47"/>
      <c r="O304" s="47"/>
      <c r="P304" s="47"/>
      <c r="Q304" s="47"/>
      <c r="R304" s="47"/>
      <c r="S304" s="47"/>
      <c r="T304" s="47"/>
      <c r="U304" s="47"/>
      <c r="V304" s="47"/>
      <c r="W304" s="47"/>
      <c r="X304" s="47"/>
      <c r="Y304" s="47"/>
      <c r="Z304" s="47"/>
    </row>
    <row r="305">
      <c r="A305" s="48">
        <v>68.0</v>
      </c>
      <c r="B305" s="49" t="s">
        <v>374</v>
      </c>
      <c r="C305" s="50" t="s">
        <v>377</v>
      </c>
      <c r="D305" s="49" t="s">
        <v>3311</v>
      </c>
      <c r="E305" s="51" t="s">
        <v>155</v>
      </c>
      <c r="F305" s="51" t="s">
        <v>4280</v>
      </c>
      <c r="G305" s="51" t="s">
        <v>2235</v>
      </c>
      <c r="H305" s="51" t="s">
        <v>2235</v>
      </c>
      <c r="I305" s="51" t="s">
        <v>2236</v>
      </c>
      <c r="J305" s="51" t="s">
        <v>4268</v>
      </c>
      <c r="K305" s="51" t="s">
        <v>2237</v>
      </c>
      <c r="L305" s="47"/>
      <c r="M305" s="47"/>
      <c r="N305" s="47"/>
      <c r="O305" s="47"/>
      <c r="P305" s="47"/>
      <c r="Q305" s="47"/>
      <c r="R305" s="47"/>
      <c r="S305" s="47"/>
      <c r="T305" s="47"/>
      <c r="U305" s="47"/>
      <c r="V305" s="47"/>
      <c r="W305" s="47"/>
      <c r="X305" s="47"/>
      <c r="Y305" s="47"/>
      <c r="Z305" s="47"/>
    </row>
    <row r="306">
      <c r="A306" s="48">
        <v>69.0</v>
      </c>
      <c r="B306" s="49" t="s">
        <v>624</v>
      </c>
      <c r="C306" s="50" t="s">
        <v>377</v>
      </c>
      <c r="D306" s="49" t="s">
        <v>2939</v>
      </c>
      <c r="E306" s="51" t="s">
        <v>69</v>
      </c>
      <c r="F306" s="51" t="s">
        <v>4284</v>
      </c>
      <c r="G306" s="51" t="s">
        <v>2235</v>
      </c>
      <c r="H306" s="51" t="s">
        <v>2235</v>
      </c>
      <c r="I306" s="51" t="s">
        <v>2236</v>
      </c>
      <c r="J306" s="51" t="s">
        <v>1865</v>
      </c>
      <c r="K306" s="51" t="s">
        <v>2237</v>
      </c>
      <c r="L306" s="47"/>
      <c r="M306" s="47"/>
      <c r="N306" s="47"/>
      <c r="O306" s="47"/>
      <c r="P306" s="47"/>
      <c r="Q306" s="47"/>
      <c r="R306" s="47"/>
      <c r="S306" s="47"/>
      <c r="T306" s="47"/>
      <c r="U306" s="47"/>
      <c r="V306" s="47"/>
      <c r="W306" s="47"/>
      <c r="X306" s="47"/>
      <c r="Y306" s="47"/>
      <c r="Z306" s="47"/>
    </row>
    <row r="307">
      <c r="A307" s="48">
        <v>69.0</v>
      </c>
      <c r="B307" s="49" t="s">
        <v>624</v>
      </c>
      <c r="C307" s="50" t="s">
        <v>377</v>
      </c>
      <c r="D307" s="49" t="s">
        <v>2955</v>
      </c>
      <c r="E307" s="51" t="s">
        <v>69</v>
      </c>
      <c r="F307" s="51" t="s">
        <v>4292</v>
      </c>
      <c r="G307" s="51" t="s">
        <v>2235</v>
      </c>
      <c r="H307" s="51" t="s">
        <v>2235</v>
      </c>
      <c r="I307" s="51" t="s">
        <v>2236</v>
      </c>
      <c r="J307" s="51" t="s">
        <v>4293</v>
      </c>
      <c r="K307" s="51" t="s">
        <v>2237</v>
      </c>
      <c r="L307" s="47"/>
      <c r="M307" s="47"/>
      <c r="N307" s="47"/>
      <c r="O307" s="47"/>
      <c r="P307" s="47"/>
      <c r="Q307" s="47"/>
      <c r="R307" s="47"/>
      <c r="S307" s="47"/>
      <c r="T307" s="47"/>
      <c r="U307" s="47"/>
      <c r="V307" s="47"/>
      <c r="W307" s="47"/>
      <c r="X307" s="47"/>
      <c r="Y307" s="47"/>
      <c r="Z307" s="47"/>
    </row>
    <row r="308">
      <c r="A308" s="48">
        <v>69.0</v>
      </c>
      <c r="B308" s="49" t="s">
        <v>624</v>
      </c>
      <c r="C308" s="50" t="s">
        <v>377</v>
      </c>
      <c r="D308" s="49" t="s">
        <v>2956</v>
      </c>
      <c r="E308" s="51" t="s">
        <v>69</v>
      </c>
      <c r="F308" s="51" t="s">
        <v>4298</v>
      </c>
      <c r="G308" s="51" t="s">
        <v>2235</v>
      </c>
      <c r="H308" s="51" t="s">
        <v>2235</v>
      </c>
      <c r="I308" s="51" t="s">
        <v>2236</v>
      </c>
      <c r="J308" s="51" t="s">
        <v>1865</v>
      </c>
      <c r="K308" s="51" t="s">
        <v>2287</v>
      </c>
      <c r="L308" s="47"/>
      <c r="M308" s="47"/>
      <c r="N308" s="47"/>
      <c r="O308" s="47"/>
      <c r="P308" s="47"/>
      <c r="Q308" s="47"/>
      <c r="R308" s="47"/>
      <c r="S308" s="47"/>
      <c r="T308" s="47"/>
      <c r="U308" s="47"/>
      <c r="V308" s="47"/>
      <c r="W308" s="47"/>
      <c r="X308" s="47"/>
      <c r="Y308" s="47"/>
      <c r="Z308" s="47"/>
    </row>
    <row r="309">
      <c r="A309" s="48">
        <v>69.0</v>
      </c>
      <c r="B309" s="49" t="s">
        <v>624</v>
      </c>
      <c r="C309" s="50" t="s">
        <v>377</v>
      </c>
      <c r="D309" s="49" t="s">
        <v>1953</v>
      </c>
      <c r="E309" s="51" t="s">
        <v>155</v>
      </c>
      <c r="F309" s="51" t="s">
        <v>4300</v>
      </c>
      <c r="G309" s="51" t="s">
        <v>2235</v>
      </c>
      <c r="H309" s="51" t="s">
        <v>2235</v>
      </c>
      <c r="I309" s="51" t="s">
        <v>2236</v>
      </c>
      <c r="J309" s="51" t="s">
        <v>4293</v>
      </c>
      <c r="K309" s="51" t="s">
        <v>2287</v>
      </c>
      <c r="L309" s="47"/>
      <c r="M309" s="47"/>
      <c r="N309" s="47"/>
      <c r="O309" s="47"/>
      <c r="P309" s="47"/>
      <c r="Q309" s="47"/>
      <c r="R309" s="47"/>
      <c r="S309" s="47"/>
      <c r="T309" s="47"/>
      <c r="U309" s="47"/>
      <c r="V309" s="47"/>
      <c r="W309" s="47"/>
      <c r="X309" s="47"/>
      <c r="Y309" s="47"/>
      <c r="Z309" s="47"/>
    </row>
    <row r="310">
      <c r="A310" s="48">
        <v>69.0</v>
      </c>
      <c r="B310" s="49" t="s">
        <v>624</v>
      </c>
      <c r="C310" s="50" t="s">
        <v>377</v>
      </c>
      <c r="D310" s="49" t="s">
        <v>2941</v>
      </c>
      <c r="E310" s="51" t="s">
        <v>155</v>
      </c>
      <c r="F310" s="51" t="s">
        <v>4301</v>
      </c>
      <c r="G310" s="51" t="s">
        <v>2235</v>
      </c>
      <c r="H310" s="51" t="s">
        <v>2235</v>
      </c>
      <c r="I310" s="51" t="s">
        <v>2236</v>
      </c>
      <c r="J310" s="51" t="s">
        <v>1865</v>
      </c>
      <c r="K310" s="51" t="s">
        <v>2287</v>
      </c>
      <c r="L310" s="47"/>
      <c r="M310" s="47"/>
      <c r="N310" s="47"/>
      <c r="O310" s="47"/>
      <c r="P310" s="47"/>
      <c r="Q310" s="47"/>
      <c r="R310" s="47"/>
      <c r="S310" s="47"/>
      <c r="T310" s="47"/>
      <c r="U310" s="47"/>
      <c r="V310" s="47"/>
      <c r="W310" s="47"/>
      <c r="X310" s="47"/>
      <c r="Y310" s="47"/>
      <c r="Z310" s="47"/>
    </row>
    <row r="311">
      <c r="A311" s="48">
        <v>70.0</v>
      </c>
      <c r="B311" s="49" t="s">
        <v>735</v>
      </c>
      <c r="C311" s="50" t="s">
        <v>377</v>
      </c>
      <c r="D311" s="49" t="s">
        <v>2346</v>
      </c>
      <c r="E311" s="51" t="s">
        <v>69</v>
      </c>
      <c r="F311" s="51" t="s">
        <v>4308</v>
      </c>
      <c r="G311" s="51" t="s">
        <v>2235</v>
      </c>
      <c r="H311" s="51" t="s">
        <v>2235</v>
      </c>
      <c r="I311" s="51" t="s">
        <v>2236</v>
      </c>
      <c r="J311" s="51" t="s">
        <v>1877</v>
      </c>
      <c r="K311" s="51" t="s">
        <v>2237</v>
      </c>
      <c r="L311" s="47"/>
      <c r="M311" s="47"/>
      <c r="N311" s="47"/>
      <c r="O311" s="47"/>
      <c r="P311" s="47"/>
      <c r="Q311" s="47"/>
      <c r="R311" s="47"/>
      <c r="S311" s="47"/>
      <c r="T311" s="47"/>
      <c r="U311" s="47"/>
      <c r="V311" s="47"/>
      <c r="W311" s="47"/>
      <c r="X311" s="47"/>
      <c r="Y311" s="47"/>
      <c r="Z311" s="47"/>
    </row>
    <row r="312">
      <c r="A312" s="48">
        <v>70.0</v>
      </c>
      <c r="B312" s="49" t="s">
        <v>735</v>
      </c>
      <c r="C312" s="50" t="s">
        <v>377</v>
      </c>
      <c r="D312" s="49" t="s">
        <v>2949</v>
      </c>
      <c r="E312" s="51" t="s">
        <v>69</v>
      </c>
      <c r="F312" s="51" t="s">
        <v>4314</v>
      </c>
      <c r="G312" s="51" t="s">
        <v>2235</v>
      </c>
      <c r="H312" s="51" t="s">
        <v>2235</v>
      </c>
      <c r="I312" s="51" t="s">
        <v>2236</v>
      </c>
      <c r="J312" s="51" t="s">
        <v>1879</v>
      </c>
      <c r="K312" s="51" t="s">
        <v>2237</v>
      </c>
      <c r="L312" s="47"/>
      <c r="M312" s="47"/>
      <c r="N312" s="47"/>
      <c r="O312" s="47"/>
      <c r="P312" s="47"/>
      <c r="Q312" s="47"/>
      <c r="R312" s="47"/>
      <c r="S312" s="47"/>
      <c r="T312" s="47"/>
      <c r="U312" s="47"/>
      <c r="V312" s="47"/>
      <c r="W312" s="47"/>
      <c r="X312" s="47"/>
      <c r="Y312" s="47"/>
      <c r="Z312" s="47"/>
    </row>
    <row r="313">
      <c r="A313" s="48">
        <v>70.0</v>
      </c>
      <c r="B313" s="49" t="s">
        <v>735</v>
      </c>
      <c r="C313" s="50" t="s">
        <v>377</v>
      </c>
      <c r="D313" s="49" t="s">
        <v>3208</v>
      </c>
      <c r="E313" s="51" t="s">
        <v>69</v>
      </c>
      <c r="F313" s="51" t="s">
        <v>4319</v>
      </c>
      <c r="G313" s="51" t="s">
        <v>2235</v>
      </c>
      <c r="H313" s="51" t="s">
        <v>2235</v>
      </c>
      <c r="I313" s="51" t="s">
        <v>2236</v>
      </c>
      <c r="J313" s="51" t="s">
        <v>1877</v>
      </c>
      <c r="K313" s="51" t="s">
        <v>2237</v>
      </c>
      <c r="L313" s="47"/>
      <c r="M313" s="47"/>
      <c r="N313" s="47"/>
      <c r="O313" s="47"/>
      <c r="P313" s="47"/>
      <c r="Q313" s="47"/>
      <c r="R313" s="47"/>
      <c r="S313" s="47"/>
      <c r="T313" s="47"/>
      <c r="U313" s="47"/>
      <c r="V313" s="47"/>
      <c r="W313" s="47"/>
      <c r="X313" s="47"/>
      <c r="Y313" s="47"/>
      <c r="Z313" s="47"/>
    </row>
    <row r="314">
      <c r="A314" s="48">
        <v>70.0</v>
      </c>
      <c r="B314" s="49" t="s">
        <v>735</v>
      </c>
      <c r="C314" s="50" t="s">
        <v>377</v>
      </c>
      <c r="D314" s="49" t="s">
        <v>3267</v>
      </c>
      <c r="E314" s="51" t="s">
        <v>69</v>
      </c>
      <c r="F314" s="51" t="s">
        <v>4322</v>
      </c>
      <c r="G314" s="51" t="s">
        <v>2235</v>
      </c>
      <c r="H314" s="51" t="s">
        <v>2235</v>
      </c>
      <c r="I314" s="51" t="s">
        <v>2236</v>
      </c>
      <c r="J314" s="51" t="s">
        <v>1879</v>
      </c>
      <c r="K314" s="51" t="s">
        <v>2237</v>
      </c>
      <c r="L314" s="47"/>
      <c r="M314" s="47"/>
      <c r="N314" s="47"/>
      <c r="O314" s="47"/>
      <c r="P314" s="47"/>
      <c r="Q314" s="47"/>
      <c r="R314" s="47"/>
      <c r="S314" s="47"/>
      <c r="T314" s="47"/>
      <c r="U314" s="47"/>
      <c r="V314" s="47"/>
      <c r="W314" s="47"/>
      <c r="X314" s="47"/>
      <c r="Y314" s="47"/>
      <c r="Z314" s="47"/>
    </row>
    <row r="315">
      <c r="A315" s="48">
        <v>70.0</v>
      </c>
      <c r="B315" s="49" t="s">
        <v>735</v>
      </c>
      <c r="C315" s="50" t="s">
        <v>377</v>
      </c>
      <c r="D315" s="49" t="s">
        <v>3298</v>
      </c>
      <c r="E315" s="51" t="s">
        <v>155</v>
      </c>
      <c r="F315" s="51" t="s">
        <v>4327</v>
      </c>
      <c r="G315" s="51" t="s">
        <v>2235</v>
      </c>
      <c r="H315" s="51" t="s">
        <v>2235</v>
      </c>
      <c r="I315" s="51" t="s">
        <v>2236</v>
      </c>
      <c r="J315" s="51" t="s">
        <v>1877</v>
      </c>
      <c r="K315" s="51" t="s">
        <v>2237</v>
      </c>
      <c r="L315" s="47"/>
      <c r="M315" s="47"/>
      <c r="N315" s="47"/>
      <c r="O315" s="47"/>
      <c r="P315" s="47"/>
      <c r="Q315" s="47"/>
      <c r="R315" s="47"/>
      <c r="S315" s="47"/>
      <c r="T315" s="47"/>
      <c r="U315" s="47"/>
      <c r="V315" s="47"/>
      <c r="W315" s="47"/>
      <c r="X315" s="47"/>
      <c r="Y315" s="47"/>
      <c r="Z315" s="47"/>
    </row>
    <row r="316">
      <c r="A316" s="48">
        <v>71.0</v>
      </c>
      <c r="B316" s="49" t="s">
        <v>1158</v>
      </c>
      <c r="C316" s="50" t="s">
        <v>377</v>
      </c>
      <c r="D316" s="49" t="s">
        <v>3066</v>
      </c>
      <c r="E316" s="51" t="s">
        <v>69</v>
      </c>
      <c r="F316" s="51" t="s">
        <v>4336</v>
      </c>
      <c r="G316" s="51" t="s">
        <v>2235</v>
      </c>
      <c r="H316" s="51" t="s">
        <v>2235</v>
      </c>
      <c r="I316" s="51" t="s">
        <v>2236</v>
      </c>
      <c r="J316" s="51" t="s">
        <v>2447</v>
      </c>
      <c r="K316" s="51" t="s">
        <v>2237</v>
      </c>
      <c r="L316" s="47"/>
      <c r="M316" s="47"/>
      <c r="N316" s="47"/>
      <c r="O316" s="47"/>
      <c r="P316" s="47"/>
      <c r="Q316" s="47"/>
      <c r="R316" s="47"/>
      <c r="S316" s="47"/>
      <c r="T316" s="47"/>
      <c r="U316" s="47"/>
      <c r="V316" s="47"/>
      <c r="W316" s="47"/>
      <c r="X316" s="47"/>
      <c r="Y316" s="47"/>
      <c r="Z316" s="47"/>
    </row>
    <row r="317">
      <c r="A317" s="48">
        <v>71.0</v>
      </c>
      <c r="B317" s="49" t="s">
        <v>1158</v>
      </c>
      <c r="C317" s="50" t="s">
        <v>377</v>
      </c>
      <c r="D317" s="49" t="s">
        <v>3071</v>
      </c>
      <c r="E317" s="51" t="s">
        <v>69</v>
      </c>
      <c r="F317" s="51" t="s">
        <v>4341</v>
      </c>
      <c r="G317" s="51" t="s">
        <v>2235</v>
      </c>
      <c r="H317" s="51" t="s">
        <v>2235</v>
      </c>
      <c r="I317" s="51" t="s">
        <v>2236</v>
      </c>
      <c r="J317" s="51" t="s">
        <v>4342</v>
      </c>
      <c r="K317" s="51" t="s">
        <v>2237</v>
      </c>
      <c r="L317" s="47"/>
      <c r="M317" s="47"/>
      <c r="N317" s="47"/>
      <c r="O317" s="47"/>
      <c r="P317" s="47"/>
      <c r="Q317" s="47"/>
      <c r="R317" s="47"/>
      <c r="S317" s="47"/>
      <c r="T317" s="47"/>
      <c r="U317" s="47"/>
      <c r="V317" s="47"/>
      <c r="W317" s="47"/>
      <c r="X317" s="47"/>
      <c r="Y317" s="47"/>
      <c r="Z317" s="47"/>
    </row>
    <row r="318">
      <c r="A318" s="48">
        <v>71.0</v>
      </c>
      <c r="B318" s="49" t="s">
        <v>1158</v>
      </c>
      <c r="C318" s="50" t="s">
        <v>377</v>
      </c>
      <c r="D318" s="49" t="s">
        <v>3336</v>
      </c>
      <c r="E318" s="51" t="s">
        <v>69</v>
      </c>
      <c r="F318" s="51" t="s">
        <v>4345</v>
      </c>
      <c r="G318" s="51" t="s">
        <v>2235</v>
      </c>
      <c r="H318" s="51" t="s">
        <v>2235</v>
      </c>
      <c r="I318" s="51" t="s">
        <v>2236</v>
      </c>
      <c r="J318" s="51" t="s">
        <v>2447</v>
      </c>
      <c r="K318" s="51" t="s">
        <v>2237</v>
      </c>
      <c r="L318" s="47"/>
      <c r="M318" s="47"/>
      <c r="N318" s="47"/>
      <c r="O318" s="47"/>
      <c r="P318" s="47"/>
      <c r="Q318" s="47"/>
      <c r="R318" s="47"/>
      <c r="S318" s="47"/>
      <c r="T318" s="47"/>
      <c r="U318" s="47"/>
      <c r="V318" s="47"/>
      <c r="W318" s="47"/>
      <c r="X318" s="47"/>
      <c r="Y318" s="47"/>
      <c r="Z318" s="47"/>
    </row>
    <row r="319">
      <c r="A319" s="48">
        <v>71.0</v>
      </c>
      <c r="B319" s="49" t="s">
        <v>1158</v>
      </c>
      <c r="C319" s="50" t="s">
        <v>377</v>
      </c>
      <c r="D319" s="49" t="s">
        <v>3067</v>
      </c>
      <c r="E319" s="51" t="s">
        <v>69</v>
      </c>
      <c r="F319" s="51" t="s">
        <v>4350</v>
      </c>
      <c r="G319" s="51" t="s">
        <v>2235</v>
      </c>
      <c r="H319" s="51" t="s">
        <v>2235</v>
      </c>
      <c r="I319" s="51" t="s">
        <v>2236</v>
      </c>
      <c r="J319" s="51" t="s">
        <v>4342</v>
      </c>
      <c r="K319" s="51" t="s">
        <v>2287</v>
      </c>
      <c r="L319" s="47"/>
      <c r="M319" s="47"/>
      <c r="N319" s="47"/>
      <c r="O319" s="47"/>
      <c r="P319" s="47"/>
      <c r="Q319" s="47"/>
      <c r="R319" s="47"/>
      <c r="S319" s="47"/>
      <c r="T319" s="47"/>
      <c r="U319" s="47"/>
      <c r="V319" s="47"/>
      <c r="W319" s="47"/>
      <c r="X319" s="47"/>
      <c r="Y319" s="47"/>
      <c r="Z319" s="47"/>
    </row>
    <row r="320">
      <c r="A320" s="48">
        <v>71.0</v>
      </c>
      <c r="B320" s="49" t="s">
        <v>1158</v>
      </c>
      <c r="C320" s="50" t="s">
        <v>377</v>
      </c>
      <c r="D320" s="49" t="s">
        <v>3074</v>
      </c>
      <c r="E320" s="51" t="s">
        <v>155</v>
      </c>
      <c r="F320" s="51" t="s">
        <v>4352</v>
      </c>
      <c r="G320" s="51" t="s">
        <v>2235</v>
      </c>
      <c r="H320" s="51" t="s">
        <v>2235</v>
      </c>
      <c r="I320" s="51" t="s">
        <v>2236</v>
      </c>
      <c r="J320" s="51" t="s">
        <v>2447</v>
      </c>
      <c r="K320" s="51" t="s">
        <v>2287</v>
      </c>
      <c r="L320" s="47"/>
      <c r="M320" s="47"/>
      <c r="N320" s="47"/>
      <c r="O320" s="47"/>
      <c r="P320" s="47"/>
      <c r="Q320" s="47"/>
      <c r="R320" s="47"/>
      <c r="S320" s="47"/>
      <c r="T320" s="47"/>
      <c r="U320" s="47"/>
      <c r="V320" s="47"/>
      <c r="W320" s="47"/>
      <c r="X320" s="47"/>
      <c r="Y320" s="47"/>
      <c r="Z320" s="47"/>
    </row>
    <row r="321">
      <c r="A321" s="48">
        <v>72.0</v>
      </c>
      <c r="B321" s="49" t="s">
        <v>1160</v>
      </c>
      <c r="C321" s="50" t="s">
        <v>377</v>
      </c>
      <c r="D321" s="49" t="s">
        <v>3335</v>
      </c>
      <c r="E321" s="51" t="s">
        <v>69</v>
      </c>
      <c r="F321" s="51" t="s">
        <v>4355</v>
      </c>
      <c r="G321" s="51" t="s">
        <v>2235</v>
      </c>
      <c r="H321" s="51" t="s">
        <v>2235</v>
      </c>
      <c r="I321" s="51" t="s">
        <v>2236</v>
      </c>
      <c r="J321" s="51" t="s">
        <v>2463</v>
      </c>
      <c r="K321" s="51" t="s">
        <v>2287</v>
      </c>
      <c r="L321" s="47"/>
      <c r="M321" s="47"/>
      <c r="N321" s="47"/>
      <c r="O321" s="47"/>
      <c r="P321" s="47"/>
      <c r="Q321" s="47"/>
      <c r="R321" s="47"/>
      <c r="S321" s="47"/>
      <c r="T321" s="47"/>
      <c r="U321" s="47"/>
      <c r="V321" s="47"/>
      <c r="W321" s="47"/>
      <c r="X321" s="47"/>
      <c r="Y321" s="47"/>
      <c r="Z321" s="47"/>
    </row>
    <row r="322">
      <c r="A322" s="48">
        <v>72.0</v>
      </c>
      <c r="B322" s="49" t="s">
        <v>1160</v>
      </c>
      <c r="C322" s="50" t="s">
        <v>377</v>
      </c>
      <c r="D322" s="49" t="s">
        <v>2892</v>
      </c>
      <c r="E322" s="51" t="s">
        <v>69</v>
      </c>
      <c r="F322" s="51" t="s">
        <v>4356</v>
      </c>
      <c r="G322" s="51" t="s">
        <v>2235</v>
      </c>
      <c r="H322" s="51" t="s">
        <v>2235</v>
      </c>
      <c r="I322" s="51" t="s">
        <v>2236</v>
      </c>
      <c r="J322" s="51" t="s">
        <v>2463</v>
      </c>
      <c r="K322" s="51" t="s">
        <v>2237</v>
      </c>
      <c r="L322" s="47"/>
      <c r="M322" s="47"/>
      <c r="N322" s="47"/>
      <c r="O322" s="47"/>
      <c r="P322" s="47"/>
      <c r="Q322" s="47"/>
      <c r="R322" s="47"/>
      <c r="S322" s="47"/>
      <c r="T322" s="47"/>
      <c r="U322" s="47"/>
      <c r="V322" s="47"/>
      <c r="W322" s="47"/>
      <c r="X322" s="47"/>
      <c r="Y322" s="47"/>
      <c r="Z322" s="47"/>
    </row>
    <row r="323">
      <c r="A323" s="48">
        <v>72.0</v>
      </c>
      <c r="B323" s="49" t="s">
        <v>1160</v>
      </c>
      <c r="C323" s="50" t="s">
        <v>377</v>
      </c>
      <c r="D323" s="49" t="s">
        <v>3338</v>
      </c>
      <c r="E323" s="51" t="s">
        <v>69</v>
      </c>
      <c r="F323" s="51" t="s">
        <v>4360</v>
      </c>
      <c r="G323" s="51" t="s">
        <v>2235</v>
      </c>
      <c r="H323" s="51" t="s">
        <v>2235</v>
      </c>
      <c r="I323" s="51" t="s">
        <v>2236</v>
      </c>
      <c r="J323" s="51" t="s">
        <v>2463</v>
      </c>
      <c r="K323" s="51" t="s">
        <v>2237</v>
      </c>
      <c r="L323" s="47"/>
      <c r="M323" s="47"/>
      <c r="N323" s="47"/>
      <c r="O323" s="47"/>
      <c r="P323" s="47"/>
      <c r="Q323" s="47"/>
      <c r="R323" s="47"/>
      <c r="S323" s="47"/>
      <c r="T323" s="47"/>
      <c r="U323" s="47"/>
      <c r="V323" s="47"/>
      <c r="W323" s="47"/>
      <c r="X323" s="47"/>
      <c r="Y323" s="47"/>
      <c r="Z323" s="47"/>
    </row>
    <row r="324">
      <c r="A324" s="48">
        <v>72.0</v>
      </c>
      <c r="B324" s="49" t="s">
        <v>1160</v>
      </c>
      <c r="C324" s="50" t="s">
        <v>377</v>
      </c>
      <c r="D324" s="49" t="s">
        <v>3341</v>
      </c>
      <c r="E324" s="51" t="s">
        <v>69</v>
      </c>
      <c r="F324" s="51" t="s">
        <v>4367</v>
      </c>
      <c r="G324" s="51" t="s">
        <v>2235</v>
      </c>
      <c r="H324" s="51" t="s">
        <v>2235</v>
      </c>
      <c r="I324" s="51" t="s">
        <v>2236</v>
      </c>
      <c r="J324" s="51" t="s">
        <v>2463</v>
      </c>
      <c r="K324" s="51" t="s">
        <v>2237</v>
      </c>
      <c r="L324" s="47"/>
      <c r="M324" s="47"/>
      <c r="N324" s="47"/>
      <c r="O324" s="47"/>
      <c r="P324" s="47"/>
      <c r="Q324" s="47"/>
      <c r="R324" s="47"/>
      <c r="S324" s="47"/>
      <c r="T324" s="47"/>
      <c r="U324" s="47"/>
      <c r="V324" s="47"/>
      <c r="W324" s="47"/>
      <c r="X324" s="47"/>
      <c r="Y324" s="47"/>
      <c r="Z324" s="47"/>
    </row>
    <row r="325">
      <c r="A325" s="48">
        <v>72.0</v>
      </c>
      <c r="B325" s="49" t="s">
        <v>1160</v>
      </c>
      <c r="C325" s="50" t="s">
        <v>377</v>
      </c>
      <c r="D325" s="49" t="s">
        <v>2956</v>
      </c>
      <c r="E325" s="51" t="s">
        <v>69</v>
      </c>
      <c r="F325" s="51" t="s">
        <v>4368</v>
      </c>
      <c r="G325" s="51" t="s">
        <v>2235</v>
      </c>
      <c r="H325" s="51" t="s">
        <v>2235</v>
      </c>
      <c r="I325" s="51" t="s">
        <v>2236</v>
      </c>
      <c r="J325" s="51" t="s">
        <v>2463</v>
      </c>
      <c r="K325" s="51" t="s">
        <v>2287</v>
      </c>
      <c r="L325" s="47"/>
      <c r="M325" s="47"/>
      <c r="N325" s="47"/>
      <c r="O325" s="47"/>
      <c r="P325" s="47"/>
      <c r="Q325" s="47"/>
      <c r="R325" s="47"/>
      <c r="S325" s="47"/>
      <c r="T325" s="47"/>
      <c r="U325" s="47"/>
      <c r="V325" s="47"/>
      <c r="W325" s="47"/>
      <c r="X325" s="47"/>
      <c r="Y325" s="47"/>
      <c r="Z325" s="47"/>
    </row>
    <row r="326">
      <c r="A326" s="48">
        <v>73.0</v>
      </c>
      <c r="B326" s="49" t="s">
        <v>1164</v>
      </c>
      <c r="C326" s="50" t="s">
        <v>377</v>
      </c>
      <c r="D326" s="49" t="s">
        <v>3059</v>
      </c>
      <c r="E326" s="51" t="s">
        <v>69</v>
      </c>
      <c r="F326" s="51" t="s">
        <v>4376</v>
      </c>
      <c r="G326" s="51" t="s">
        <v>2235</v>
      </c>
      <c r="H326" s="51" t="s">
        <v>2235</v>
      </c>
      <c r="I326" s="51" t="s">
        <v>2236</v>
      </c>
      <c r="J326" s="51" t="s">
        <v>2495</v>
      </c>
      <c r="K326" s="51" t="s">
        <v>2287</v>
      </c>
      <c r="L326" s="47"/>
      <c r="M326" s="47"/>
      <c r="N326" s="47"/>
      <c r="O326" s="47"/>
      <c r="P326" s="47"/>
      <c r="Q326" s="47"/>
      <c r="R326" s="47"/>
      <c r="S326" s="47"/>
      <c r="T326" s="47"/>
      <c r="U326" s="47"/>
      <c r="V326" s="47"/>
      <c r="W326" s="47"/>
      <c r="X326" s="47"/>
      <c r="Y326" s="47"/>
      <c r="Z326" s="47"/>
    </row>
    <row r="327">
      <c r="A327" s="48">
        <v>73.0</v>
      </c>
      <c r="B327" s="49" t="s">
        <v>1164</v>
      </c>
      <c r="C327" s="50" t="s">
        <v>377</v>
      </c>
      <c r="D327" s="49" t="s">
        <v>3063</v>
      </c>
      <c r="E327" s="51" t="s">
        <v>69</v>
      </c>
      <c r="F327" s="51" t="s">
        <v>4379</v>
      </c>
      <c r="G327" s="51" t="s">
        <v>2235</v>
      </c>
      <c r="H327" s="51" t="s">
        <v>2235</v>
      </c>
      <c r="I327" s="51" t="s">
        <v>2236</v>
      </c>
      <c r="J327" s="51" t="s">
        <v>4380</v>
      </c>
      <c r="K327" s="51" t="s">
        <v>2287</v>
      </c>
      <c r="L327" s="47"/>
      <c r="M327" s="47"/>
      <c r="N327" s="47"/>
      <c r="O327" s="47"/>
      <c r="P327" s="47"/>
      <c r="Q327" s="47"/>
      <c r="R327" s="47"/>
      <c r="S327" s="47"/>
      <c r="T327" s="47"/>
      <c r="U327" s="47"/>
      <c r="V327" s="47"/>
      <c r="W327" s="47"/>
      <c r="X327" s="47"/>
      <c r="Y327" s="47"/>
      <c r="Z327" s="47"/>
    </row>
    <row r="328">
      <c r="A328" s="48">
        <v>73.0</v>
      </c>
      <c r="B328" s="49" t="s">
        <v>1164</v>
      </c>
      <c r="C328" s="50" t="s">
        <v>377</v>
      </c>
      <c r="D328" s="49" t="s">
        <v>2847</v>
      </c>
      <c r="E328" s="51" t="s">
        <v>155</v>
      </c>
      <c r="F328" s="51" t="s">
        <v>4383</v>
      </c>
      <c r="G328" s="51" t="s">
        <v>2235</v>
      </c>
      <c r="H328" s="51" t="s">
        <v>2235</v>
      </c>
      <c r="I328" s="51" t="s">
        <v>2236</v>
      </c>
      <c r="J328" s="51" t="s">
        <v>2495</v>
      </c>
      <c r="K328" s="51" t="s">
        <v>2237</v>
      </c>
      <c r="L328" s="47"/>
      <c r="M328" s="47"/>
      <c r="N328" s="47"/>
      <c r="O328" s="47"/>
      <c r="P328" s="47"/>
      <c r="Q328" s="47"/>
      <c r="R328" s="47"/>
      <c r="S328" s="47"/>
      <c r="T328" s="47"/>
      <c r="U328" s="47"/>
      <c r="V328" s="47"/>
      <c r="W328" s="47"/>
      <c r="X328" s="47"/>
      <c r="Y328" s="47"/>
      <c r="Z328" s="47"/>
    </row>
    <row r="329">
      <c r="A329" s="48">
        <v>73.0</v>
      </c>
      <c r="B329" s="49" t="s">
        <v>1164</v>
      </c>
      <c r="C329" s="50" t="s">
        <v>377</v>
      </c>
      <c r="D329" s="49" t="s">
        <v>3064</v>
      </c>
      <c r="E329" s="51" t="s">
        <v>155</v>
      </c>
      <c r="F329" s="51" t="s">
        <v>4386</v>
      </c>
      <c r="G329" s="51" t="s">
        <v>2235</v>
      </c>
      <c r="H329" s="51" t="s">
        <v>2235</v>
      </c>
      <c r="I329" s="51" t="s">
        <v>2236</v>
      </c>
      <c r="J329" s="51" t="s">
        <v>4380</v>
      </c>
      <c r="K329" s="51" t="s">
        <v>2260</v>
      </c>
      <c r="L329" s="47"/>
      <c r="M329" s="47"/>
      <c r="N329" s="47"/>
      <c r="O329" s="47"/>
      <c r="P329" s="47"/>
      <c r="Q329" s="47"/>
      <c r="R329" s="47"/>
      <c r="S329" s="47"/>
      <c r="T329" s="47"/>
      <c r="U329" s="47"/>
      <c r="V329" s="47"/>
      <c r="W329" s="47"/>
      <c r="X329" s="47"/>
      <c r="Y329" s="47"/>
      <c r="Z329" s="47"/>
    </row>
    <row r="330">
      <c r="A330" s="48">
        <v>74.0</v>
      </c>
      <c r="B330" s="49" t="s">
        <v>1171</v>
      </c>
      <c r="C330" s="50" t="s">
        <v>377</v>
      </c>
      <c r="D330" s="49" t="s">
        <v>3318</v>
      </c>
      <c r="E330" s="51" t="s">
        <v>69</v>
      </c>
      <c r="F330" s="51" t="s">
        <v>4390</v>
      </c>
      <c r="G330" s="51" t="s">
        <v>2235</v>
      </c>
      <c r="H330" s="51" t="s">
        <v>2235</v>
      </c>
      <c r="I330" s="51" t="s">
        <v>2236</v>
      </c>
      <c r="J330" s="51" t="s">
        <v>2521</v>
      </c>
      <c r="K330" s="51" t="s">
        <v>2237</v>
      </c>
      <c r="L330" s="47"/>
      <c r="M330" s="47"/>
      <c r="N330" s="47"/>
      <c r="O330" s="47"/>
      <c r="P330" s="47"/>
      <c r="Q330" s="47"/>
      <c r="R330" s="47"/>
      <c r="S330" s="47"/>
      <c r="T330" s="47"/>
      <c r="U330" s="47"/>
      <c r="V330" s="47"/>
      <c r="W330" s="47"/>
      <c r="X330" s="47"/>
      <c r="Y330" s="47"/>
      <c r="Z330" s="47"/>
    </row>
    <row r="331">
      <c r="A331" s="48">
        <v>74.0</v>
      </c>
      <c r="B331" s="49" t="s">
        <v>1171</v>
      </c>
      <c r="C331" s="50" t="s">
        <v>377</v>
      </c>
      <c r="D331" s="49" t="s">
        <v>2941</v>
      </c>
      <c r="E331" s="51" t="s">
        <v>69</v>
      </c>
      <c r="F331" s="51" t="s">
        <v>4394</v>
      </c>
      <c r="G331" s="51" t="s">
        <v>2235</v>
      </c>
      <c r="H331" s="51" t="s">
        <v>2235</v>
      </c>
      <c r="I331" s="51" t="s">
        <v>2236</v>
      </c>
      <c r="J331" s="51" t="s">
        <v>2521</v>
      </c>
      <c r="K331" s="51" t="s">
        <v>2287</v>
      </c>
      <c r="L331" s="47"/>
      <c r="M331" s="47"/>
      <c r="N331" s="47"/>
      <c r="O331" s="47"/>
      <c r="P331" s="47"/>
      <c r="Q331" s="47"/>
      <c r="R331" s="47"/>
      <c r="S331" s="47"/>
      <c r="T331" s="47"/>
      <c r="U331" s="47"/>
      <c r="V331" s="47"/>
      <c r="W331" s="47"/>
      <c r="X331" s="47"/>
      <c r="Y331" s="47"/>
      <c r="Z331" s="47"/>
    </row>
    <row r="332">
      <c r="A332" s="48">
        <v>74.0</v>
      </c>
      <c r="B332" s="49" t="s">
        <v>1171</v>
      </c>
      <c r="C332" s="50" t="s">
        <v>377</v>
      </c>
      <c r="D332" s="49" t="s">
        <v>3064</v>
      </c>
      <c r="E332" s="51" t="s">
        <v>155</v>
      </c>
      <c r="F332" s="51" t="s">
        <v>4396</v>
      </c>
      <c r="G332" s="51" t="s">
        <v>2235</v>
      </c>
      <c r="H332" s="51" t="s">
        <v>2235</v>
      </c>
      <c r="I332" s="51" t="s">
        <v>2236</v>
      </c>
      <c r="J332" s="51" t="s">
        <v>2521</v>
      </c>
      <c r="K332" s="51" t="s">
        <v>2260</v>
      </c>
      <c r="L332" s="47"/>
      <c r="M332" s="47"/>
      <c r="N332" s="47"/>
      <c r="O332" s="47"/>
      <c r="P332" s="47"/>
      <c r="Q332" s="47"/>
      <c r="R332" s="47"/>
      <c r="S332" s="47"/>
      <c r="T332" s="47"/>
      <c r="U332" s="47"/>
      <c r="V332" s="47"/>
      <c r="W332" s="47"/>
      <c r="X332" s="47"/>
      <c r="Y332" s="47"/>
      <c r="Z332" s="47"/>
    </row>
    <row r="333">
      <c r="A333" s="48">
        <v>74.0</v>
      </c>
      <c r="B333" s="49" t="s">
        <v>1171</v>
      </c>
      <c r="C333" s="50" t="s">
        <v>377</v>
      </c>
      <c r="D333" s="49" t="s">
        <v>3335</v>
      </c>
      <c r="E333" s="51" t="s">
        <v>155</v>
      </c>
      <c r="F333" s="51" t="s">
        <v>4398</v>
      </c>
      <c r="G333" s="51" t="s">
        <v>2235</v>
      </c>
      <c r="H333" s="51" t="s">
        <v>2235</v>
      </c>
      <c r="I333" s="51" t="s">
        <v>2236</v>
      </c>
      <c r="J333" s="51" t="s">
        <v>2521</v>
      </c>
      <c r="K333" s="51" t="s">
        <v>2287</v>
      </c>
      <c r="L333" s="47"/>
      <c r="M333" s="47"/>
      <c r="N333" s="47"/>
      <c r="O333" s="47"/>
      <c r="P333" s="47"/>
      <c r="Q333" s="47"/>
      <c r="R333" s="47"/>
      <c r="S333" s="47"/>
      <c r="T333" s="47"/>
      <c r="U333" s="47"/>
      <c r="V333" s="47"/>
      <c r="W333" s="47"/>
      <c r="X333" s="47"/>
      <c r="Y333" s="47"/>
      <c r="Z333" s="47"/>
    </row>
    <row r="334">
      <c r="A334" s="48">
        <v>75.0</v>
      </c>
      <c r="B334" s="49" t="s">
        <v>1179</v>
      </c>
      <c r="C334" s="50" t="s">
        <v>1181</v>
      </c>
      <c r="D334" s="49" t="s">
        <v>2755</v>
      </c>
      <c r="E334" s="51" t="s">
        <v>69</v>
      </c>
      <c r="F334" s="51" t="s">
        <v>4405</v>
      </c>
      <c r="G334" s="51" t="s">
        <v>2235</v>
      </c>
      <c r="H334" s="51" t="s">
        <v>2235</v>
      </c>
      <c r="I334" s="51" t="s">
        <v>2236</v>
      </c>
      <c r="J334" s="51" t="s">
        <v>2551</v>
      </c>
      <c r="K334" s="51" t="s">
        <v>2237</v>
      </c>
      <c r="L334" s="47"/>
      <c r="M334" s="47"/>
      <c r="N334" s="47"/>
      <c r="O334" s="47"/>
      <c r="P334" s="47"/>
      <c r="Q334" s="47"/>
      <c r="R334" s="47"/>
      <c r="S334" s="47"/>
      <c r="T334" s="47"/>
      <c r="U334" s="47"/>
      <c r="V334" s="47"/>
      <c r="W334" s="47"/>
      <c r="X334" s="47"/>
      <c r="Y334" s="47"/>
      <c r="Z334" s="47"/>
    </row>
    <row r="335">
      <c r="A335" s="48">
        <v>75.0</v>
      </c>
      <c r="B335" s="49" t="s">
        <v>1179</v>
      </c>
      <c r="C335" s="50" t="s">
        <v>1181</v>
      </c>
      <c r="D335" s="49" t="s">
        <v>3025</v>
      </c>
      <c r="E335" s="51" t="s">
        <v>69</v>
      </c>
      <c r="F335" s="51" t="s">
        <v>4412</v>
      </c>
      <c r="G335" s="51" t="s">
        <v>2235</v>
      </c>
      <c r="H335" s="51" t="s">
        <v>2235</v>
      </c>
      <c r="I335" s="51" t="s">
        <v>2236</v>
      </c>
      <c r="J335" s="51" t="s">
        <v>4413</v>
      </c>
      <c r="K335" s="51" t="s">
        <v>2237</v>
      </c>
      <c r="L335" s="47"/>
      <c r="M335" s="47"/>
      <c r="N335" s="47"/>
      <c r="O335" s="47"/>
      <c r="P335" s="47"/>
      <c r="Q335" s="47"/>
      <c r="R335" s="47"/>
      <c r="S335" s="47"/>
      <c r="T335" s="47"/>
      <c r="U335" s="47"/>
      <c r="V335" s="47"/>
      <c r="W335" s="47"/>
      <c r="X335" s="47"/>
      <c r="Y335" s="47"/>
      <c r="Z335" s="47"/>
    </row>
    <row r="336">
      <c r="A336" s="48">
        <v>75.0</v>
      </c>
      <c r="B336" s="49" t="s">
        <v>1179</v>
      </c>
      <c r="C336" s="50" t="s">
        <v>1181</v>
      </c>
      <c r="D336" s="49" t="s">
        <v>1548</v>
      </c>
      <c r="E336" s="51" t="s">
        <v>69</v>
      </c>
      <c r="F336" s="51" t="s">
        <v>4417</v>
      </c>
      <c r="G336" s="51" t="s">
        <v>2235</v>
      </c>
      <c r="H336" s="51" t="s">
        <v>2235</v>
      </c>
      <c r="I336" s="51" t="s">
        <v>2236</v>
      </c>
      <c r="J336" s="51" t="s">
        <v>4418</v>
      </c>
      <c r="K336" s="51" t="s">
        <v>2237</v>
      </c>
      <c r="L336" s="47"/>
      <c r="M336" s="47"/>
      <c r="N336" s="47"/>
      <c r="O336" s="47"/>
      <c r="P336" s="47"/>
      <c r="Q336" s="47"/>
      <c r="R336" s="47"/>
      <c r="S336" s="47"/>
      <c r="T336" s="47"/>
      <c r="U336" s="47"/>
      <c r="V336" s="47"/>
      <c r="W336" s="47"/>
      <c r="X336" s="47"/>
      <c r="Y336" s="47"/>
      <c r="Z336" s="47"/>
    </row>
    <row r="337">
      <c r="A337" s="48">
        <v>75.0</v>
      </c>
      <c r="B337" s="49" t="s">
        <v>1179</v>
      </c>
      <c r="C337" s="50" t="s">
        <v>1181</v>
      </c>
      <c r="D337" s="49" t="s">
        <v>1310</v>
      </c>
      <c r="E337" s="51" t="s">
        <v>69</v>
      </c>
      <c r="F337" s="51" t="s">
        <v>4419</v>
      </c>
      <c r="G337" s="51" t="s">
        <v>2235</v>
      </c>
      <c r="H337" s="51" t="s">
        <v>2235</v>
      </c>
      <c r="I337" s="51" t="s">
        <v>2236</v>
      </c>
      <c r="J337" s="51" t="s">
        <v>2551</v>
      </c>
      <c r="K337" s="51" t="s">
        <v>2237</v>
      </c>
      <c r="L337" s="47"/>
      <c r="M337" s="47"/>
      <c r="N337" s="47"/>
      <c r="O337" s="47"/>
      <c r="P337" s="47"/>
      <c r="Q337" s="47"/>
      <c r="R337" s="47"/>
      <c r="S337" s="47"/>
      <c r="T337" s="47"/>
      <c r="U337" s="47"/>
      <c r="V337" s="47"/>
      <c r="W337" s="47"/>
      <c r="X337" s="47"/>
      <c r="Y337" s="47"/>
      <c r="Z337" s="47"/>
    </row>
    <row r="338">
      <c r="A338" s="48">
        <v>75.0</v>
      </c>
      <c r="B338" s="49" t="s">
        <v>1179</v>
      </c>
      <c r="C338" s="50" t="s">
        <v>1181</v>
      </c>
      <c r="D338" s="49" t="s">
        <v>2762</v>
      </c>
      <c r="E338" s="51" t="s">
        <v>69</v>
      </c>
      <c r="F338" s="51" t="s">
        <v>4420</v>
      </c>
      <c r="G338" s="51" t="s">
        <v>2235</v>
      </c>
      <c r="H338" s="51" t="s">
        <v>2235</v>
      </c>
      <c r="I338" s="51" t="s">
        <v>2236</v>
      </c>
      <c r="J338" s="51" t="s">
        <v>4413</v>
      </c>
      <c r="K338" s="51" t="s">
        <v>2237</v>
      </c>
      <c r="L338" s="47"/>
      <c r="M338" s="47"/>
      <c r="N338" s="47"/>
      <c r="O338" s="47"/>
      <c r="P338" s="47"/>
      <c r="Q338" s="47"/>
      <c r="R338" s="47"/>
      <c r="S338" s="47"/>
      <c r="T338" s="47"/>
      <c r="U338" s="47"/>
      <c r="V338" s="47"/>
      <c r="W338" s="47"/>
      <c r="X338" s="47"/>
      <c r="Y338" s="47"/>
      <c r="Z338" s="47"/>
    </row>
    <row r="339">
      <c r="A339" s="57"/>
      <c r="B339" s="58"/>
      <c r="C339" s="58"/>
      <c r="D339" s="58"/>
      <c r="E339" s="47"/>
      <c r="F339" s="47"/>
      <c r="G339" s="47"/>
      <c r="H339" s="47"/>
      <c r="I339" s="47"/>
      <c r="J339" s="47"/>
      <c r="K339" s="47"/>
      <c r="L339" s="47"/>
      <c r="M339" s="47"/>
      <c r="N339" s="47"/>
      <c r="O339" s="47"/>
      <c r="P339" s="47"/>
      <c r="Q339" s="47"/>
      <c r="R339" s="47"/>
      <c r="S339" s="47"/>
      <c r="T339" s="47"/>
      <c r="U339" s="47"/>
      <c r="V339" s="47"/>
      <c r="W339" s="47"/>
      <c r="X339" s="47"/>
      <c r="Y339" s="47"/>
      <c r="Z339" s="47"/>
    </row>
    <row r="340">
      <c r="A340" s="57"/>
      <c r="B340" s="58"/>
      <c r="C340" s="58"/>
      <c r="D340" s="58"/>
      <c r="E340" s="47"/>
      <c r="F340" s="47"/>
      <c r="G340" s="47"/>
      <c r="H340" s="47"/>
      <c r="I340" s="47"/>
      <c r="J340" s="47"/>
      <c r="K340" s="47"/>
      <c r="L340" s="47"/>
      <c r="M340" s="47"/>
      <c r="N340" s="47"/>
      <c r="O340" s="47"/>
      <c r="P340" s="47"/>
      <c r="Q340" s="47"/>
      <c r="R340" s="47"/>
      <c r="S340" s="47"/>
      <c r="T340" s="47"/>
      <c r="U340" s="47"/>
      <c r="V340" s="47"/>
      <c r="W340" s="47"/>
      <c r="X340" s="47"/>
      <c r="Y340" s="47"/>
      <c r="Z340" s="47"/>
    </row>
    <row r="341">
      <c r="A341" s="57"/>
      <c r="B341" s="58"/>
      <c r="C341" s="58"/>
      <c r="D341" s="58"/>
      <c r="E341" s="47"/>
      <c r="F341" s="47"/>
      <c r="G341" s="47"/>
      <c r="H341" s="47"/>
      <c r="I341" s="47"/>
      <c r="J341" s="47"/>
      <c r="K341" s="47"/>
      <c r="L341" s="47"/>
      <c r="M341" s="47"/>
      <c r="N341" s="47"/>
      <c r="O341" s="47"/>
      <c r="P341" s="47"/>
      <c r="Q341" s="47"/>
      <c r="R341" s="47"/>
      <c r="S341" s="47"/>
      <c r="T341" s="47"/>
      <c r="U341" s="47"/>
      <c r="V341" s="47"/>
      <c r="W341" s="47"/>
      <c r="X341" s="47"/>
      <c r="Y341" s="47"/>
      <c r="Z341" s="47"/>
    </row>
    <row r="342">
      <c r="A342" s="57"/>
      <c r="B342" s="58"/>
      <c r="C342" s="58"/>
      <c r="D342" s="58"/>
      <c r="E342" s="47"/>
      <c r="F342" s="47"/>
      <c r="G342" s="47"/>
      <c r="H342" s="47"/>
      <c r="I342" s="47"/>
      <c r="J342" s="47"/>
      <c r="K342" s="47"/>
      <c r="L342" s="47"/>
      <c r="M342" s="47"/>
      <c r="N342" s="47"/>
      <c r="O342" s="47"/>
      <c r="P342" s="47"/>
      <c r="Q342" s="47"/>
      <c r="R342" s="47"/>
      <c r="S342" s="47"/>
      <c r="T342" s="47"/>
      <c r="U342" s="47"/>
      <c r="V342" s="47"/>
      <c r="W342" s="47"/>
      <c r="X342" s="47"/>
      <c r="Y342" s="47"/>
      <c r="Z342" s="47"/>
    </row>
    <row r="343">
      <c r="A343" s="57"/>
      <c r="B343" s="58"/>
      <c r="C343" s="58"/>
      <c r="D343" s="58"/>
      <c r="E343" s="47"/>
      <c r="F343" s="47"/>
      <c r="G343" s="47"/>
      <c r="H343" s="47"/>
      <c r="I343" s="47"/>
      <c r="J343" s="47"/>
      <c r="K343" s="47"/>
      <c r="L343" s="47"/>
      <c r="M343" s="47"/>
      <c r="N343" s="47"/>
      <c r="O343" s="47"/>
      <c r="P343" s="47"/>
      <c r="Q343" s="47"/>
      <c r="R343" s="47"/>
      <c r="S343" s="47"/>
      <c r="T343" s="47"/>
      <c r="U343" s="47"/>
      <c r="V343" s="47"/>
      <c r="W343" s="47"/>
      <c r="X343" s="47"/>
      <c r="Y343" s="47"/>
      <c r="Z343" s="47"/>
    </row>
    <row r="344">
      <c r="A344" s="57"/>
      <c r="B344" s="58"/>
      <c r="C344" s="58"/>
      <c r="D344" s="58"/>
      <c r="E344" s="47"/>
      <c r="F344" s="47"/>
      <c r="G344" s="47"/>
      <c r="H344" s="47"/>
      <c r="I344" s="47"/>
      <c r="J344" s="47"/>
      <c r="K344" s="47"/>
      <c r="L344" s="47"/>
      <c r="M344" s="47"/>
      <c r="N344" s="47"/>
      <c r="O344" s="47"/>
      <c r="P344" s="47"/>
      <c r="Q344" s="47"/>
      <c r="R344" s="47"/>
      <c r="S344" s="47"/>
      <c r="T344" s="47"/>
      <c r="U344" s="47"/>
      <c r="V344" s="47"/>
      <c r="W344" s="47"/>
      <c r="X344" s="47"/>
      <c r="Y344" s="47"/>
      <c r="Z344" s="47"/>
    </row>
    <row r="345">
      <c r="A345" s="57"/>
      <c r="B345" s="58"/>
      <c r="C345" s="58"/>
      <c r="D345" s="58"/>
      <c r="E345" s="47"/>
      <c r="F345" s="47"/>
      <c r="G345" s="47"/>
      <c r="H345" s="47"/>
      <c r="I345" s="47"/>
      <c r="J345" s="47"/>
      <c r="K345" s="47"/>
      <c r="L345" s="47"/>
      <c r="M345" s="47"/>
      <c r="N345" s="47"/>
      <c r="O345" s="47"/>
      <c r="P345" s="47"/>
      <c r="Q345" s="47"/>
      <c r="R345" s="47"/>
      <c r="S345" s="47"/>
      <c r="T345" s="47"/>
      <c r="U345" s="47"/>
      <c r="V345" s="47"/>
      <c r="W345" s="47"/>
      <c r="X345" s="47"/>
      <c r="Y345" s="47"/>
      <c r="Z345" s="47"/>
    </row>
    <row r="346">
      <c r="A346" s="57"/>
      <c r="B346" s="58"/>
      <c r="C346" s="58"/>
      <c r="D346" s="58"/>
      <c r="E346" s="47"/>
      <c r="F346" s="47"/>
      <c r="G346" s="47"/>
      <c r="H346" s="47"/>
      <c r="I346" s="47"/>
      <c r="J346" s="47"/>
      <c r="K346" s="47"/>
      <c r="L346" s="47"/>
      <c r="M346" s="47"/>
      <c r="N346" s="47"/>
      <c r="O346" s="47"/>
      <c r="P346" s="47"/>
      <c r="Q346" s="47"/>
      <c r="R346" s="47"/>
      <c r="S346" s="47"/>
      <c r="T346" s="47"/>
      <c r="U346" s="47"/>
      <c r="V346" s="47"/>
      <c r="W346" s="47"/>
      <c r="X346" s="47"/>
      <c r="Y346" s="47"/>
      <c r="Z346" s="47"/>
    </row>
    <row r="347">
      <c r="A347" s="57"/>
      <c r="B347" s="58"/>
      <c r="C347" s="58"/>
      <c r="D347" s="58"/>
      <c r="E347" s="47"/>
      <c r="F347" s="47"/>
      <c r="G347" s="47"/>
      <c r="H347" s="47"/>
      <c r="I347" s="47"/>
      <c r="J347" s="47"/>
      <c r="K347" s="47"/>
      <c r="L347" s="47"/>
      <c r="M347" s="47"/>
      <c r="N347" s="47"/>
      <c r="O347" s="47"/>
      <c r="P347" s="47"/>
      <c r="Q347" s="47"/>
      <c r="R347" s="47"/>
      <c r="S347" s="47"/>
      <c r="T347" s="47"/>
      <c r="U347" s="47"/>
      <c r="V347" s="47"/>
      <c r="W347" s="47"/>
      <c r="X347" s="47"/>
      <c r="Y347" s="47"/>
      <c r="Z347" s="47"/>
    </row>
    <row r="348">
      <c r="A348" s="57"/>
      <c r="B348" s="58"/>
      <c r="C348" s="58"/>
      <c r="D348" s="58"/>
      <c r="E348" s="47"/>
      <c r="F348" s="47"/>
      <c r="G348" s="47"/>
      <c r="H348" s="47"/>
      <c r="I348" s="47"/>
      <c r="J348" s="47"/>
      <c r="K348" s="47"/>
      <c r="L348" s="47"/>
      <c r="M348" s="47"/>
      <c r="N348" s="47"/>
      <c r="O348" s="47"/>
      <c r="P348" s="47"/>
      <c r="Q348" s="47"/>
      <c r="R348" s="47"/>
      <c r="S348" s="47"/>
      <c r="T348" s="47"/>
      <c r="U348" s="47"/>
      <c r="V348" s="47"/>
      <c r="W348" s="47"/>
      <c r="X348" s="47"/>
      <c r="Y348" s="47"/>
      <c r="Z348" s="47"/>
    </row>
    <row r="349">
      <c r="A349" s="57"/>
      <c r="B349" s="58"/>
      <c r="C349" s="58"/>
      <c r="D349" s="58"/>
      <c r="E349" s="47"/>
      <c r="F349" s="47"/>
      <c r="G349" s="47"/>
      <c r="H349" s="47"/>
      <c r="I349" s="47"/>
      <c r="J349" s="47"/>
      <c r="K349" s="47"/>
      <c r="L349" s="47"/>
      <c r="M349" s="47"/>
      <c r="N349" s="47"/>
      <c r="O349" s="47"/>
      <c r="P349" s="47"/>
      <c r="Q349" s="47"/>
      <c r="R349" s="47"/>
      <c r="S349" s="47"/>
      <c r="T349" s="47"/>
      <c r="U349" s="47"/>
      <c r="V349" s="47"/>
      <c r="W349" s="47"/>
      <c r="X349" s="47"/>
      <c r="Y349" s="47"/>
      <c r="Z349" s="47"/>
    </row>
    <row r="350">
      <c r="A350" s="57"/>
      <c r="B350" s="58"/>
      <c r="C350" s="58"/>
      <c r="D350" s="58"/>
      <c r="E350" s="47"/>
      <c r="F350" s="47"/>
      <c r="G350" s="47"/>
      <c r="H350" s="47"/>
      <c r="I350" s="47"/>
      <c r="J350" s="47"/>
      <c r="K350" s="47"/>
      <c r="L350" s="47"/>
      <c r="M350" s="47"/>
      <c r="N350" s="47"/>
      <c r="O350" s="47"/>
      <c r="P350" s="47"/>
      <c r="Q350" s="47"/>
      <c r="R350" s="47"/>
      <c r="S350" s="47"/>
      <c r="T350" s="47"/>
      <c r="U350" s="47"/>
      <c r="V350" s="47"/>
      <c r="W350" s="47"/>
      <c r="X350" s="47"/>
      <c r="Y350" s="47"/>
      <c r="Z350" s="47"/>
    </row>
    <row r="351">
      <c r="A351" s="57"/>
      <c r="B351" s="58"/>
      <c r="C351" s="58"/>
      <c r="D351" s="58"/>
      <c r="E351" s="47"/>
      <c r="F351" s="47"/>
      <c r="G351" s="47"/>
      <c r="H351" s="47"/>
      <c r="I351" s="47"/>
      <c r="J351" s="47"/>
      <c r="K351" s="47"/>
      <c r="L351" s="47"/>
      <c r="M351" s="47"/>
      <c r="N351" s="47"/>
      <c r="O351" s="47"/>
      <c r="P351" s="47"/>
      <c r="Q351" s="47"/>
      <c r="R351" s="47"/>
      <c r="S351" s="47"/>
      <c r="T351" s="47"/>
      <c r="U351" s="47"/>
      <c r="V351" s="47"/>
      <c r="W351" s="47"/>
      <c r="X351" s="47"/>
      <c r="Y351" s="47"/>
      <c r="Z351" s="47"/>
    </row>
    <row r="352">
      <c r="A352" s="57"/>
      <c r="B352" s="58"/>
      <c r="C352" s="58"/>
      <c r="D352" s="58"/>
      <c r="E352" s="47"/>
      <c r="F352" s="47"/>
      <c r="G352" s="47"/>
      <c r="H352" s="47"/>
      <c r="I352" s="47"/>
      <c r="J352" s="47"/>
      <c r="K352" s="47"/>
      <c r="L352" s="47"/>
      <c r="M352" s="47"/>
      <c r="N352" s="47"/>
      <c r="O352" s="47"/>
      <c r="P352" s="47"/>
      <c r="Q352" s="47"/>
      <c r="R352" s="47"/>
      <c r="S352" s="47"/>
      <c r="T352" s="47"/>
      <c r="U352" s="47"/>
      <c r="V352" s="47"/>
      <c r="W352" s="47"/>
      <c r="X352" s="47"/>
      <c r="Y352" s="47"/>
      <c r="Z352" s="47"/>
    </row>
    <row r="353">
      <c r="A353" s="57"/>
      <c r="B353" s="58"/>
      <c r="C353" s="58"/>
      <c r="D353" s="58"/>
      <c r="E353" s="47"/>
      <c r="F353" s="47"/>
      <c r="G353" s="47"/>
      <c r="H353" s="47"/>
      <c r="I353" s="47"/>
      <c r="J353" s="47"/>
      <c r="K353" s="47"/>
      <c r="L353" s="47"/>
      <c r="M353" s="47"/>
      <c r="N353" s="47"/>
      <c r="O353" s="47"/>
      <c r="P353" s="47"/>
      <c r="Q353" s="47"/>
      <c r="R353" s="47"/>
      <c r="S353" s="47"/>
      <c r="T353" s="47"/>
      <c r="U353" s="47"/>
      <c r="V353" s="47"/>
      <c r="W353" s="47"/>
      <c r="X353" s="47"/>
      <c r="Y353" s="47"/>
      <c r="Z353" s="47"/>
    </row>
    <row r="354">
      <c r="A354" s="57"/>
      <c r="B354" s="58"/>
      <c r="C354" s="58"/>
      <c r="D354" s="58"/>
      <c r="E354" s="47"/>
      <c r="F354" s="47"/>
      <c r="G354" s="47"/>
      <c r="H354" s="47"/>
      <c r="I354" s="47"/>
      <c r="J354" s="47"/>
      <c r="K354" s="47"/>
      <c r="L354" s="47"/>
      <c r="M354" s="47"/>
      <c r="N354" s="47"/>
      <c r="O354" s="47"/>
      <c r="P354" s="47"/>
      <c r="Q354" s="47"/>
      <c r="R354" s="47"/>
      <c r="S354" s="47"/>
      <c r="T354" s="47"/>
      <c r="U354" s="47"/>
      <c r="V354" s="47"/>
      <c r="W354" s="47"/>
      <c r="X354" s="47"/>
      <c r="Y354" s="47"/>
      <c r="Z354" s="47"/>
    </row>
    <row r="355">
      <c r="A355" s="57"/>
      <c r="B355" s="58"/>
      <c r="C355" s="58"/>
      <c r="D355" s="58"/>
      <c r="E355" s="47"/>
      <c r="F355" s="47"/>
      <c r="G355" s="47"/>
      <c r="H355" s="47"/>
      <c r="I355" s="47"/>
      <c r="J355" s="47"/>
      <c r="K355" s="47"/>
      <c r="L355" s="47"/>
      <c r="M355" s="47"/>
      <c r="N355" s="47"/>
      <c r="O355" s="47"/>
      <c r="P355" s="47"/>
      <c r="Q355" s="47"/>
      <c r="R355" s="47"/>
      <c r="S355" s="47"/>
      <c r="T355" s="47"/>
      <c r="U355" s="47"/>
      <c r="V355" s="47"/>
      <c r="W355" s="47"/>
      <c r="X355" s="47"/>
      <c r="Y355" s="47"/>
      <c r="Z355" s="47"/>
    </row>
    <row r="356">
      <c r="A356" s="57"/>
      <c r="B356" s="58"/>
      <c r="C356" s="58"/>
      <c r="D356" s="58"/>
      <c r="E356" s="47"/>
      <c r="F356" s="47"/>
      <c r="G356" s="47"/>
      <c r="H356" s="47"/>
      <c r="I356" s="47"/>
      <c r="J356" s="47"/>
      <c r="K356" s="47"/>
      <c r="L356" s="47"/>
      <c r="M356" s="47"/>
      <c r="N356" s="47"/>
      <c r="O356" s="47"/>
      <c r="P356" s="47"/>
      <c r="Q356" s="47"/>
      <c r="R356" s="47"/>
      <c r="S356" s="47"/>
      <c r="T356" s="47"/>
      <c r="U356" s="47"/>
      <c r="V356" s="47"/>
      <c r="W356" s="47"/>
      <c r="X356" s="47"/>
      <c r="Y356" s="47"/>
      <c r="Z356" s="47"/>
    </row>
    <row r="357">
      <c r="A357" s="57"/>
      <c r="B357" s="58"/>
      <c r="C357" s="58"/>
      <c r="D357" s="58"/>
      <c r="E357" s="47"/>
      <c r="F357" s="47"/>
      <c r="G357" s="47"/>
      <c r="H357" s="47"/>
      <c r="I357" s="47"/>
      <c r="J357" s="47"/>
      <c r="K357" s="47"/>
      <c r="L357" s="47"/>
      <c r="M357" s="47"/>
      <c r="N357" s="47"/>
      <c r="O357" s="47"/>
      <c r="P357" s="47"/>
      <c r="Q357" s="47"/>
      <c r="R357" s="47"/>
      <c r="S357" s="47"/>
      <c r="T357" s="47"/>
      <c r="U357" s="47"/>
      <c r="V357" s="47"/>
      <c r="W357" s="47"/>
      <c r="X357" s="47"/>
      <c r="Y357" s="47"/>
      <c r="Z357" s="47"/>
    </row>
    <row r="358">
      <c r="A358" s="57"/>
      <c r="B358" s="58"/>
      <c r="C358" s="58"/>
      <c r="D358" s="58"/>
      <c r="E358" s="47"/>
      <c r="F358" s="47"/>
      <c r="G358" s="47"/>
      <c r="H358" s="47"/>
      <c r="I358" s="47"/>
      <c r="J358" s="47"/>
      <c r="K358" s="47"/>
      <c r="L358" s="47"/>
      <c r="M358" s="47"/>
      <c r="N358" s="47"/>
      <c r="O358" s="47"/>
      <c r="P358" s="47"/>
      <c r="Q358" s="47"/>
      <c r="R358" s="47"/>
      <c r="S358" s="47"/>
      <c r="T358" s="47"/>
      <c r="U358" s="47"/>
      <c r="V358" s="47"/>
      <c r="W358" s="47"/>
      <c r="X358" s="47"/>
      <c r="Y358" s="47"/>
      <c r="Z358" s="47"/>
    </row>
    <row r="359">
      <c r="A359" s="57"/>
      <c r="B359" s="58"/>
      <c r="C359" s="58"/>
      <c r="D359" s="58"/>
      <c r="E359" s="47"/>
      <c r="F359" s="47"/>
      <c r="G359" s="47"/>
      <c r="H359" s="47"/>
      <c r="I359" s="47"/>
      <c r="J359" s="47"/>
      <c r="K359" s="47"/>
      <c r="L359" s="47"/>
      <c r="M359" s="47"/>
      <c r="N359" s="47"/>
      <c r="O359" s="47"/>
      <c r="P359" s="47"/>
      <c r="Q359" s="47"/>
      <c r="R359" s="47"/>
      <c r="S359" s="47"/>
      <c r="T359" s="47"/>
      <c r="U359" s="47"/>
      <c r="V359" s="47"/>
      <c r="W359" s="47"/>
      <c r="X359" s="47"/>
      <c r="Y359" s="47"/>
      <c r="Z359" s="47"/>
    </row>
    <row r="360">
      <c r="A360" s="57"/>
      <c r="B360" s="58"/>
      <c r="C360" s="58"/>
      <c r="D360" s="58"/>
      <c r="E360" s="47"/>
      <c r="F360" s="47"/>
      <c r="G360" s="47"/>
      <c r="H360" s="47"/>
      <c r="I360" s="47"/>
      <c r="J360" s="47"/>
      <c r="K360" s="47"/>
      <c r="L360" s="47"/>
      <c r="M360" s="47"/>
      <c r="N360" s="47"/>
      <c r="O360" s="47"/>
      <c r="P360" s="47"/>
      <c r="Q360" s="47"/>
      <c r="R360" s="47"/>
      <c r="S360" s="47"/>
      <c r="T360" s="47"/>
      <c r="U360" s="47"/>
      <c r="V360" s="47"/>
      <c r="W360" s="47"/>
      <c r="X360" s="47"/>
      <c r="Y360" s="47"/>
      <c r="Z360" s="47"/>
    </row>
    <row r="361">
      <c r="A361" s="57"/>
      <c r="B361" s="58"/>
      <c r="C361" s="58"/>
      <c r="D361" s="58"/>
      <c r="E361" s="47"/>
      <c r="F361" s="47"/>
      <c r="G361" s="47"/>
      <c r="H361" s="47"/>
      <c r="I361" s="47"/>
      <c r="J361" s="47"/>
      <c r="K361" s="47"/>
      <c r="L361" s="47"/>
      <c r="M361" s="47"/>
      <c r="N361" s="47"/>
      <c r="O361" s="47"/>
      <c r="P361" s="47"/>
      <c r="Q361" s="47"/>
      <c r="R361" s="47"/>
      <c r="S361" s="47"/>
      <c r="T361" s="47"/>
      <c r="U361" s="47"/>
      <c r="V361" s="47"/>
      <c r="W361" s="47"/>
      <c r="X361" s="47"/>
      <c r="Y361" s="47"/>
      <c r="Z361" s="47"/>
    </row>
    <row r="362">
      <c r="A362" s="57"/>
      <c r="B362" s="58"/>
      <c r="C362" s="58"/>
      <c r="D362" s="58"/>
      <c r="E362" s="47"/>
      <c r="F362" s="47"/>
      <c r="G362" s="47"/>
      <c r="H362" s="47"/>
      <c r="I362" s="47"/>
      <c r="J362" s="47"/>
      <c r="K362" s="47"/>
      <c r="L362" s="47"/>
      <c r="M362" s="47"/>
      <c r="N362" s="47"/>
      <c r="O362" s="47"/>
      <c r="P362" s="47"/>
      <c r="Q362" s="47"/>
      <c r="R362" s="47"/>
      <c r="S362" s="47"/>
      <c r="T362" s="47"/>
      <c r="U362" s="47"/>
      <c r="V362" s="47"/>
      <c r="W362" s="47"/>
      <c r="X362" s="47"/>
      <c r="Y362" s="47"/>
      <c r="Z362" s="47"/>
    </row>
    <row r="363">
      <c r="A363" s="57"/>
      <c r="B363" s="58"/>
      <c r="C363" s="58"/>
      <c r="D363" s="58"/>
      <c r="E363" s="47"/>
      <c r="F363" s="47"/>
      <c r="G363" s="47"/>
      <c r="H363" s="47"/>
      <c r="I363" s="47"/>
      <c r="J363" s="47"/>
      <c r="K363" s="47"/>
      <c r="L363" s="47"/>
      <c r="M363" s="47"/>
      <c r="N363" s="47"/>
      <c r="O363" s="47"/>
      <c r="P363" s="47"/>
      <c r="Q363" s="47"/>
      <c r="R363" s="47"/>
      <c r="S363" s="47"/>
      <c r="T363" s="47"/>
      <c r="U363" s="47"/>
      <c r="V363" s="47"/>
      <c r="W363" s="47"/>
      <c r="X363" s="47"/>
      <c r="Y363" s="47"/>
      <c r="Z363" s="47"/>
    </row>
    <row r="364">
      <c r="A364" s="57"/>
      <c r="B364" s="58"/>
      <c r="C364" s="58"/>
      <c r="D364" s="58"/>
      <c r="E364" s="47"/>
      <c r="F364" s="47"/>
      <c r="G364" s="47"/>
      <c r="H364" s="47"/>
      <c r="I364" s="47"/>
      <c r="J364" s="47"/>
      <c r="K364" s="47"/>
      <c r="L364" s="47"/>
      <c r="M364" s="47"/>
      <c r="N364" s="47"/>
      <c r="O364" s="47"/>
      <c r="P364" s="47"/>
      <c r="Q364" s="47"/>
      <c r="R364" s="47"/>
      <c r="S364" s="47"/>
      <c r="T364" s="47"/>
      <c r="U364" s="47"/>
      <c r="V364" s="47"/>
      <c r="W364" s="47"/>
      <c r="X364" s="47"/>
      <c r="Y364" s="47"/>
      <c r="Z364" s="47"/>
    </row>
    <row r="365">
      <c r="A365" s="57"/>
      <c r="B365" s="58"/>
      <c r="C365" s="58"/>
      <c r="D365" s="58"/>
      <c r="E365" s="47"/>
      <c r="F365" s="47"/>
      <c r="G365" s="47"/>
      <c r="H365" s="47"/>
      <c r="I365" s="47"/>
      <c r="J365" s="47"/>
      <c r="K365" s="47"/>
      <c r="L365" s="47"/>
      <c r="M365" s="47"/>
      <c r="N365" s="47"/>
      <c r="O365" s="47"/>
      <c r="P365" s="47"/>
      <c r="Q365" s="47"/>
      <c r="R365" s="47"/>
      <c r="S365" s="47"/>
      <c r="T365" s="47"/>
      <c r="U365" s="47"/>
      <c r="V365" s="47"/>
      <c r="W365" s="47"/>
      <c r="X365" s="47"/>
      <c r="Y365" s="47"/>
      <c r="Z365" s="47"/>
    </row>
    <row r="366">
      <c r="A366" s="57"/>
      <c r="B366" s="58"/>
      <c r="C366" s="58"/>
      <c r="D366" s="58"/>
      <c r="E366" s="47"/>
      <c r="F366" s="47"/>
      <c r="G366" s="47"/>
      <c r="H366" s="47"/>
      <c r="I366" s="47"/>
      <c r="J366" s="47"/>
      <c r="K366" s="47"/>
      <c r="L366" s="47"/>
      <c r="M366" s="47"/>
      <c r="N366" s="47"/>
      <c r="O366" s="47"/>
      <c r="P366" s="47"/>
      <c r="Q366" s="47"/>
      <c r="R366" s="47"/>
      <c r="S366" s="47"/>
      <c r="T366" s="47"/>
      <c r="U366" s="47"/>
      <c r="V366" s="47"/>
      <c r="W366" s="47"/>
      <c r="X366" s="47"/>
      <c r="Y366" s="47"/>
      <c r="Z366" s="47"/>
    </row>
    <row r="367">
      <c r="A367" s="57"/>
      <c r="B367" s="58"/>
      <c r="C367" s="58"/>
      <c r="D367" s="58"/>
      <c r="E367" s="47"/>
      <c r="F367" s="47"/>
      <c r="G367" s="47"/>
      <c r="H367" s="47"/>
      <c r="I367" s="47"/>
      <c r="J367" s="47"/>
      <c r="K367" s="47"/>
      <c r="L367" s="47"/>
      <c r="M367" s="47"/>
      <c r="N367" s="47"/>
      <c r="O367" s="47"/>
      <c r="P367" s="47"/>
      <c r="Q367" s="47"/>
      <c r="R367" s="47"/>
      <c r="S367" s="47"/>
      <c r="T367" s="47"/>
      <c r="U367" s="47"/>
      <c r="V367" s="47"/>
      <c r="W367" s="47"/>
      <c r="X367" s="47"/>
      <c r="Y367" s="47"/>
      <c r="Z367" s="47"/>
    </row>
    <row r="368">
      <c r="A368" s="57"/>
      <c r="B368" s="58"/>
      <c r="C368" s="58"/>
      <c r="D368" s="58"/>
      <c r="E368" s="47"/>
      <c r="F368" s="47"/>
      <c r="G368" s="47"/>
      <c r="H368" s="47"/>
      <c r="I368" s="47"/>
      <c r="J368" s="47"/>
      <c r="K368" s="47"/>
      <c r="L368" s="47"/>
      <c r="M368" s="47"/>
      <c r="N368" s="47"/>
      <c r="O368" s="47"/>
      <c r="P368" s="47"/>
      <c r="Q368" s="47"/>
      <c r="R368" s="47"/>
      <c r="S368" s="47"/>
      <c r="T368" s="47"/>
      <c r="U368" s="47"/>
      <c r="V368" s="47"/>
      <c r="W368" s="47"/>
      <c r="X368" s="47"/>
      <c r="Y368" s="47"/>
      <c r="Z368" s="47"/>
    </row>
    <row r="369">
      <c r="A369" s="57"/>
      <c r="B369" s="58"/>
      <c r="C369" s="58"/>
      <c r="D369" s="58"/>
      <c r="E369" s="47"/>
      <c r="F369" s="47"/>
      <c r="G369" s="47"/>
      <c r="H369" s="47"/>
      <c r="I369" s="47"/>
      <c r="J369" s="47"/>
      <c r="K369" s="47"/>
      <c r="L369" s="47"/>
      <c r="M369" s="47"/>
      <c r="N369" s="47"/>
      <c r="O369" s="47"/>
      <c r="P369" s="47"/>
      <c r="Q369" s="47"/>
      <c r="R369" s="47"/>
      <c r="S369" s="47"/>
      <c r="T369" s="47"/>
      <c r="U369" s="47"/>
      <c r="V369" s="47"/>
      <c r="W369" s="47"/>
      <c r="X369" s="47"/>
      <c r="Y369" s="47"/>
      <c r="Z369" s="47"/>
    </row>
    <row r="370">
      <c r="A370" s="57"/>
      <c r="B370" s="58"/>
      <c r="C370" s="58"/>
      <c r="D370" s="58"/>
      <c r="E370" s="47"/>
      <c r="F370" s="47"/>
      <c r="G370" s="47"/>
      <c r="H370" s="47"/>
      <c r="I370" s="47"/>
      <c r="J370" s="47"/>
      <c r="K370" s="47"/>
      <c r="L370" s="47"/>
      <c r="M370" s="47"/>
      <c r="N370" s="47"/>
      <c r="O370" s="47"/>
      <c r="P370" s="47"/>
      <c r="Q370" s="47"/>
      <c r="R370" s="47"/>
      <c r="S370" s="47"/>
      <c r="T370" s="47"/>
      <c r="U370" s="47"/>
      <c r="V370" s="47"/>
      <c r="W370" s="47"/>
      <c r="X370" s="47"/>
      <c r="Y370" s="47"/>
      <c r="Z370" s="47"/>
    </row>
    <row r="371">
      <c r="A371" s="57"/>
      <c r="B371" s="58"/>
      <c r="C371" s="58"/>
      <c r="D371" s="58"/>
      <c r="E371" s="47"/>
      <c r="F371" s="47"/>
      <c r="G371" s="47"/>
      <c r="H371" s="47"/>
      <c r="I371" s="47"/>
      <c r="J371" s="47"/>
      <c r="K371" s="47"/>
      <c r="L371" s="47"/>
      <c r="M371" s="47"/>
      <c r="N371" s="47"/>
      <c r="O371" s="47"/>
      <c r="P371" s="47"/>
      <c r="Q371" s="47"/>
      <c r="R371" s="47"/>
      <c r="S371" s="47"/>
      <c r="T371" s="47"/>
      <c r="U371" s="47"/>
      <c r="V371" s="47"/>
      <c r="W371" s="47"/>
      <c r="X371" s="47"/>
      <c r="Y371" s="47"/>
      <c r="Z371" s="47"/>
    </row>
    <row r="372">
      <c r="A372" s="57"/>
      <c r="B372" s="58"/>
      <c r="C372" s="58"/>
      <c r="D372" s="58"/>
      <c r="E372" s="47"/>
      <c r="F372" s="47"/>
      <c r="G372" s="47"/>
      <c r="H372" s="47"/>
      <c r="I372" s="47"/>
      <c r="J372" s="47"/>
      <c r="K372" s="47"/>
      <c r="L372" s="47"/>
      <c r="M372" s="47"/>
      <c r="N372" s="47"/>
      <c r="O372" s="47"/>
      <c r="P372" s="47"/>
      <c r="Q372" s="47"/>
      <c r="R372" s="47"/>
      <c r="S372" s="47"/>
      <c r="T372" s="47"/>
      <c r="U372" s="47"/>
      <c r="V372" s="47"/>
      <c r="W372" s="47"/>
      <c r="X372" s="47"/>
      <c r="Y372" s="47"/>
      <c r="Z372" s="47"/>
    </row>
    <row r="373">
      <c r="A373" s="57"/>
      <c r="B373" s="58"/>
      <c r="C373" s="58"/>
      <c r="D373" s="58"/>
      <c r="E373" s="47"/>
      <c r="F373" s="47"/>
      <c r="G373" s="47"/>
      <c r="H373" s="47"/>
      <c r="I373" s="47"/>
      <c r="J373" s="47"/>
      <c r="K373" s="47"/>
      <c r="L373" s="47"/>
      <c r="M373" s="47"/>
      <c r="N373" s="47"/>
      <c r="O373" s="47"/>
      <c r="P373" s="47"/>
      <c r="Q373" s="47"/>
      <c r="R373" s="47"/>
      <c r="S373" s="47"/>
      <c r="T373" s="47"/>
      <c r="U373" s="47"/>
      <c r="V373" s="47"/>
      <c r="W373" s="47"/>
      <c r="X373" s="47"/>
      <c r="Y373" s="47"/>
      <c r="Z373" s="47"/>
    </row>
    <row r="374">
      <c r="A374" s="57"/>
      <c r="B374" s="58"/>
      <c r="C374" s="58"/>
      <c r="D374" s="58"/>
      <c r="E374" s="47"/>
      <c r="F374" s="47"/>
      <c r="G374" s="47"/>
      <c r="H374" s="47"/>
      <c r="I374" s="47"/>
      <c r="J374" s="47"/>
      <c r="K374" s="47"/>
      <c r="L374" s="47"/>
      <c r="M374" s="47"/>
      <c r="N374" s="47"/>
      <c r="O374" s="47"/>
      <c r="P374" s="47"/>
      <c r="Q374" s="47"/>
      <c r="R374" s="47"/>
      <c r="S374" s="47"/>
      <c r="T374" s="47"/>
      <c r="U374" s="47"/>
      <c r="V374" s="47"/>
      <c r="W374" s="47"/>
      <c r="X374" s="47"/>
      <c r="Y374" s="47"/>
      <c r="Z374" s="47"/>
    </row>
    <row r="375">
      <c r="A375" s="57"/>
      <c r="B375" s="58"/>
      <c r="C375" s="58"/>
      <c r="D375" s="58"/>
      <c r="E375" s="47"/>
      <c r="F375" s="47"/>
      <c r="G375" s="47"/>
      <c r="H375" s="47"/>
      <c r="I375" s="47"/>
      <c r="J375" s="47"/>
      <c r="K375" s="47"/>
      <c r="L375" s="47"/>
      <c r="M375" s="47"/>
      <c r="N375" s="47"/>
      <c r="O375" s="47"/>
      <c r="P375" s="47"/>
      <c r="Q375" s="47"/>
      <c r="R375" s="47"/>
      <c r="S375" s="47"/>
      <c r="T375" s="47"/>
      <c r="U375" s="47"/>
      <c r="V375" s="47"/>
      <c r="W375" s="47"/>
      <c r="X375" s="47"/>
      <c r="Y375" s="47"/>
      <c r="Z375" s="47"/>
    </row>
    <row r="376">
      <c r="A376" s="57"/>
      <c r="B376" s="58"/>
      <c r="C376" s="58"/>
      <c r="D376" s="58"/>
      <c r="E376" s="47"/>
      <c r="F376" s="47"/>
      <c r="G376" s="47"/>
      <c r="H376" s="47"/>
      <c r="I376" s="47"/>
      <c r="J376" s="47"/>
      <c r="K376" s="47"/>
      <c r="L376" s="47"/>
      <c r="M376" s="47"/>
      <c r="N376" s="47"/>
      <c r="O376" s="47"/>
      <c r="P376" s="47"/>
      <c r="Q376" s="47"/>
      <c r="R376" s="47"/>
      <c r="S376" s="47"/>
      <c r="T376" s="47"/>
      <c r="U376" s="47"/>
      <c r="V376" s="47"/>
      <c r="W376" s="47"/>
      <c r="X376" s="47"/>
      <c r="Y376" s="47"/>
      <c r="Z376" s="47"/>
    </row>
    <row r="377">
      <c r="A377" s="57"/>
      <c r="B377" s="58"/>
      <c r="C377" s="58"/>
      <c r="D377" s="58"/>
      <c r="E377" s="47"/>
      <c r="F377" s="47"/>
      <c r="G377" s="47"/>
      <c r="H377" s="47"/>
      <c r="I377" s="47"/>
      <c r="J377" s="47"/>
      <c r="K377" s="47"/>
      <c r="L377" s="47"/>
      <c r="M377" s="47"/>
      <c r="N377" s="47"/>
      <c r="O377" s="47"/>
      <c r="P377" s="47"/>
      <c r="Q377" s="47"/>
      <c r="R377" s="47"/>
      <c r="S377" s="47"/>
      <c r="T377" s="47"/>
      <c r="U377" s="47"/>
      <c r="V377" s="47"/>
      <c r="W377" s="47"/>
      <c r="X377" s="47"/>
      <c r="Y377" s="47"/>
      <c r="Z377" s="47"/>
    </row>
    <row r="378">
      <c r="A378" s="57"/>
      <c r="B378" s="58"/>
      <c r="C378" s="58"/>
      <c r="D378" s="58"/>
      <c r="E378" s="47"/>
      <c r="F378" s="47"/>
      <c r="G378" s="47"/>
      <c r="H378" s="47"/>
      <c r="I378" s="47"/>
      <c r="J378" s="47"/>
      <c r="K378" s="47"/>
      <c r="L378" s="47"/>
      <c r="M378" s="47"/>
      <c r="N378" s="47"/>
      <c r="O378" s="47"/>
      <c r="P378" s="47"/>
      <c r="Q378" s="47"/>
      <c r="R378" s="47"/>
      <c r="S378" s="47"/>
      <c r="T378" s="47"/>
      <c r="U378" s="47"/>
      <c r="V378" s="47"/>
      <c r="W378" s="47"/>
      <c r="X378" s="47"/>
      <c r="Y378" s="47"/>
      <c r="Z378" s="47"/>
    </row>
    <row r="379">
      <c r="A379" s="57"/>
      <c r="B379" s="58"/>
      <c r="C379" s="58"/>
      <c r="D379" s="58"/>
      <c r="E379" s="47"/>
      <c r="F379" s="47"/>
      <c r="G379" s="47"/>
      <c r="H379" s="47"/>
      <c r="I379" s="47"/>
      <c r="J379" s="47"/>
      <c r="K379" s="47"/>
      <c r="L379" s="47"/>
      <c r="M379" s="47"/>
      <c r="N379" s="47"/>
      <c r="O379" s="47"/>
      <c r="P379" s="47"/>
      <c r="Q379" s="47"/>
      <c r="R379" s="47"/>
      <c r="S379" s="47"/>
      <c r="T379" s="47"/>
      <c r="U379" s="47"/>
      <c r="V379" s="47"/>
      <c r="W379" s="47"/>
      <c r="X379" s="47"/>
      <c r="Y379" s="47"/>
      <c r="Z379" s="47"/>
    </row>
    <row r="380">
      <c r="A380" s="57"/>
      <c r="B380" s="58"/>
      <c r="C380" s="58"/>
      <c r="D380" s="58"/>
      <c r="E380" s="47"/>
      <c r="F380" s="47"/>
      <c r="G380" s="47"/>
      <c r="H380" s="47"/>
      <c r="I380" s="47"/>
      <c r="J380" s="47"/>
      <c r="K380" s="47"/>
      <c r="L380" s="47"/>
      <c r="M380" s="47"/>
      <c r="N380" s="47"/>
      <c r="O380" s="47"/>
      <c r="P380" s="47"/>
      <c r="Q380" s="47"/>
      <c r="R380" s="47"/>
      <c r="S380" s="47"/>
      <c r="T380" s="47"/>
      <c r="U380" s="47"/>
      <c r="V380" s="47"/>
      <c r="W380" s="47"/>
      <c r="X380" s="47"/>
      <c r="Y380" s="47"/>
      <c r="Z380" s="47"/>
    </row>
    <row r="381">
      <c r="A381" s="57"/>
      <c r="B381" s="58"/>
      <c r="C381" s="58"/>
      <c r="D381" s="58"/>
      <c r="E381" s="47"/>
      <c r="F381" s="47"/>
      <c r="G381" s="47"/>
      <c r="H381" s="47"/>
      <c r="I381" s="47"/>
      <c r="J381" s="47"/>
      <c r="K381" s="47"/>
      <c r="L381" s="47"/>
      <c r="M381" s="47"/>
      <c r="N381" s="47"/>
      <c r="O381" s="47"/>
      <c r="P381" s="47"/>
      <c r="Q381" s="47"/>
      <c r="R381" s="47"/>
      <c r="S381" s="47"/>
      <c r="T381" s="47"/>
      <c r="U381" s="47"/>
      <c r="V381" s="47"/>
      <c r="W381" s="47"/>
      <c r="X381" s="47"/>
      <c r="Y381" s="47"/>
      <c r="Z381" s="47"/>
    </row>
    <row r="382">
      <c r="A382" s="57"/>
      <c r="B382" s="58"/>
      <c r="C382" s="58"/>
      <c r="D382" s="58"/>
      <c r="E382" s="47"/>
      <c r="F382" s="47"/>
      <c r="G382" s="47"/>
      <c r="H382" s="47"/>
      <c r="I382" s="47"/>
      <c r="J382" s="47"/>
      <c r="K382" s="47"/>
      <c r="L382" s="47"/>
      <c r="M382" s="47"/>
      <c r="N382" s="47"/>
      <c r="O382" s="47"/>
      <c r="P382" s="47"/>
      <c r="Q382" s="47"/>
      <c r="R382" s="47"/>
      <c r="S382" s="47"/>
      <c r="T382" s="47"/>
      <c r="U382" s="47"/>
      <c r="V382" s="47"/>
      <c r="W382" s="47"/>
      <c r="X382" s="47"/>
      <c r="Y382" s="47"/>
      <c r="Z382" s="47"/>
    </row>
    <row r="383">
      <c r="A383" s="57"/>
      <c r="B383" s="58"/>
      <c r="C383" s="58"/>
      <c r="D383" s="58"/>
      <c r="E383" s="47"/>
      <c r="F383" s="47"/>
      <c r="G383" s="47"/>
      <c r="H383" s="47"/>
      <c r="I383" s="47"/>
      <c r="J383" s="47"/>
      <c r="K383" s="47"/>
      <c r="L383" s="47"/>
      <c r="M383" s="47"/>
      <c r="N383" s="47"/>
      <c r="O383" s="47"/>
      <c r="P383" s="47"/>
      <c r="Q383" s="47"/>
      <c r="R383" s="47"/>
      <c r="S383" s="47"/>
      <c r="T383" s="47"/>
      <c r="U383" s="47"/>
      <c r="V383" s="47"/>
      <c r="W383" s="47"/>
      <c r="X383" s="47"/>
      <c r="Y383" s="47"/>
      <c r="Z383" s="47"/>
    </row>
    <row r="384">
      <c r="A384" s="57"/>
      <c r="B384" s="58"/>
      <c r="C384" s="58"/>
      <c r="D384" s="58"/>
      <c r="E384" s="47"/>
      <c r="F384" s="47"/>
      <c r="G384" s="47"/>
      <c r="H384" s="47"/>
      <c r="I384" s="47"/>
      <c r="J384" s="47"/>
      <c r="K384" s="47"/>
      <c r="L384" s="47"/>
      <c r="M384" s="47"/>
      <c r="N384" s="47"/>
      <c r="O384" s="47"/>
      <c r="P384" s="47"/>
      <c r="Q384" s="47"/>
      <c r="R384" s="47"/>
      <c r="S384" s="47"/>
      <c r="T384" s="47"/>
      <c r="U384" s="47"/>
      <c r="V384" s="47"/>
      <c r="W384" s="47"/>
      <c r="X384" s="47"/>
      <c r="Y384" s="47"/>
      <c r="Z384" s="47"/>
    </row>
    <row r="385">
      <c r="A385" s="57"/>
      <c r="B385" s="58"/>
      <c r="C385" s="58"/>
      <c r="D385" s="58"/>
      <c r="E385" s="47"/>
      <c r="F385" s="47"/>
      <c r="G385" s="47"/>
      <c r="H385" s="47"/>
      <c r="I385" s="47"/>
      <c r="J385" s="47"/>
      <c r="K385" s="47"/>
      <c r="L385" s="47"/>
      <c r="M385" s="47"/>
      <c r="N385" s="47"/>
      <c r="O385" s="47"/>
      <c r="P385" s="47"/>
      <c r="Q385" s="47"/>
      <c r="R385" s="47"/>
      <c r="S385" s="47"/>
      <c r="T385" s="47"/>
      <c r="U385" s="47"/>
      <c r="V385" s="47"/>
      <c r="W385" s="47"/>
      <c r="X385" s="47"/>
      <c r="Y385" s="47"/>
      <c r="Z385" s="47"/>
    </row>
    <row r="386">
      <c r="A386" s="57"/>
      <c r="B386" s="58"/>
      <c r="C386" s="58"/>
      <c r="D386" s="58"/>
      <c r="E386" s="47"/>
      <c r="F386" s="47"/>
      <c r="G386" s="47"/>
      <c r="H386" s="47"/>
      <c r="I386" s="47"/>
      <c r="J386" s="47"/>
      <c r="K386" s="47"/>
      <c r="L386" s="47"/>
      <c r="M386" s="47"/>
      <c r="N386" s="47"/>
      <c r="O386" s="47"/>
      <c r="P386" s="47"/>
      <c r="Q386" s="47"/>
      <c r="R386" s="47"/>
      <c r="S386" s="47"/>
      <c r="T386" s="47"/>
      <c r="U386" s="47"/>
      <c r="V386" s="47"/>
      <c r="W386" s="47"/>
      <c r="X386" s="47"/>
      <c r="Y386" s="47"/>
      <c r="Z386" s="47"/>
    </row>
    <row r="387">
      <c r="A387" s="57"/>
      <c r="B387" s="58"/>
      <c r="C387" s="58"/>
      <c r="D387" s="58"/>
      <c r="E387" s="47"/>
      <c r="F387" s="47"/>
      <c r="G387" s="47"/>
      <c r="H387" s="47"/>
      <c r="I387" s="47"/>
      <c r="J387" s="47"/>
      <c r="K387" s="47"/>
      <c r="L387" s="47"/>
      <c r="M387" s="47"/>
      <c r="N387" s="47"/>
      <c r="O387" s="47"/>
      <c r="P387" s="47"/>
      <c r="Q387" s="47"/>
      <c r="R387" s="47"/>
      <c r="S387" s="47"/>
      <c r="T387" s="47"/>
      <c r="U387" s="47"/>
      <c r="V387" s="47"/>
      <c r="W387" s="47"/>
      <c r="X387" s="47"/>
      <c r="Y387" s="47"/>
      <c r="Z387" s="47"/>
    </row>
    <row r="388">
      <c r="A388" s="57"/>
      <c r="B388" s="58"/>
      <c r="C388" s="58"/>
      <c r="D388" s="58"/>
      <c r="E388" s="47"/>
      <c r="F388" s="47"/>
      <c r="G388" s="47"/>
      <c r="H388" s="47"/>
      <c r="I388" s="47"/>
      <c r="J388" s="47"/>
      <c r="K388" s="47"/>
      <c r="L388" s="47"/>
      <c r="M388" s="47"/>
      <c r="N388" s="47"/>
      <c r="O388" s="47"/>
      <c r="P388" s="47"/>
      <c r="Q388" s="47"/>
      <c r="R388" s="47"/>
      <c r="S388" s="47"/>
      <c r="T388" s="47"/>
      <c r="U388" s="47"/>
      <c r="V388" s="47"/>
      <c r="W388" s="47"/>
      <c r="X388" s="47"/>
      <c r="Y388" s="47"/>
      <c r="Z388" s="47"/>
    </row>
    <row r="389">
      <c r="A389" s="57"/>
      <c r="B389" s="58"/>
      <c r="C389" s="58"/>
      <c r="D389" s="58"/>
      <c r="E389" s="47"/>
      <c r="F389" s="47"/>
      <c r="G389" s="47"/>
      <c r="H389" s="47"/>
      <c r="I389" s="47"/>
      <c r="J389" s="47"/>
      <c r="K389" s="47"/>
      <c r="L389" s="47"/>
      <c r="M389" s="47"/>
      <c r="N389" s="47"/>
      <c r="O389" s="47"/>
      <c r="P389" s="47"/>
      <c r="Q389" s="47"/>
      <c r="R389" s="47"/>
      <c r="S389" s="47"/>
      <c r="T389" s="47"/>
      <c r="U389" s="47"/>
      <c r="V389" s="47"/>
      <c r="W389" s="47"/>
      <c r="X389" s="47"/>
      <c r="Y389" s="47"/>
      <c r="Z389" s="47"/>
    </row>
    <row r="390">
      <c r="A390" s="57"/>
      <c r="B390" s="58"/>
      <c r="C390" s="58"/>
      <c r="D390" s="58"/>
      <c r="E390" s="47"/>
      <c r="F390" s="47"/>
      <c r="G390" s="47"/>
      <c r="H390" s="47"/>
      <c r="I390" s="47"/>
      <c r="J390" s="47"/>
      <c r="K390" s="47"/>
      <c r="L390" s="47"/>
      <c r="M390" s="47"/>
      <c r="N390" s="47"/>
      <c r="O390" s="47"/>
      <c r="P390" s="47"/>
      <c r="Q390" s="47"/>
      <c r="R390" s="47"/>
      <c r="S390" s="47"/>
      <c r="T390" s="47"/>
      <c r="U390" s="47"/>
      <c r="V390" s="47"/>
      <c r="W390" s="47"/>
      <c r="X390" s="47"/>
      <c r="Y390" s="47"/>
      <c r="Z390" s="47"/>
    </row>
    <row r="391">
      <c r="A391" s="57"/>
      <c r="B391" s="58"/>
      <c r="C391" s="58"/>
      <c r="D391" s="58"/>
      <c r="E391" s="47"/>
      <c r="F391" s="47"/>
      <c r="G391" s="47"/>
      <c r="H391" s="47"/>
      <c r="I391" s="47"/>
      <c r="J391" s="47"/>
      <c r="K391" s="47"/>
      <c r="L391" s="47"/>
      <c r="M391" s="47"/>
      <c r="N391" s="47"/>
      <c r="O391" s="47"/>
      <c r="P391" s="47"/>
      <c r="Q391" s="47"/>
      <c r="R391" s="47"/>
      <c r="S391" s="47"/>
      <c r="T391" s="47"/>
      <c r="U391" s="47"/>
      <c r="V391" s="47"/>
      <c r="W391" s="47"/>
      <c r="X391" s="47"/>
      <c r="Y391" s="47"/>
      <c r="Z391" s="47"/>
    </row>
    <row r="392">
      <c r="A392" s="57"/>
      <c r="B392" s="58"/>
      <c r="C392" s="58"/>
      <c r="D392" s="58"/>
      <c r="E392" s="47"/>
      <c r="F392" s="47"/>
      <c r="G392" s="47"/>
      <c r="H392" s="47"/>
      <c r="I392" s="47"/>
      <c r="J392" s="47"/>
      <c r="K392" s="47"/>
      <c r="L392" s="47"/>
      <c r="M392" s="47"/>
      <c r="N392" s="47"/>
      <c r="O392" s="47"/>
      <c r="P392" s="47"/>
      <c r="Q392" s="47"/>
      <c r="R392" s="47"/>
      <c r="S392" s="47"/>
      <c r="T392" s="47"/>
      <c r="U392" s="47"/>
      <c r="V392" s="47"/>
      <c r="W392" s="47"/>
      <c r="X392" s="47"/>
      <c r="Y392" s="47"/>
      <c r="Z392" s="47"/>
    </row>
    <row r="393">
      <c r="A393" s="57"/>
      <c r="B393" s="58"/>
      <c r="C393" s="58"/>
      <c r="D393" s="58"/>
      <c r="E393" s="47"/>
      <c r="F393" s="47"/>
      <c r="G393" s="47"/>
      <c r="H393" s="47"/>
      <c r="I393" s="47"/>
      <c r="J393" s="47"/>
      <c r="K393" s="47"/>
      <c r="L393" s="47"/>
      <c r="M393" s="47"/>
      <c r="N393" s="47"/>
      <c r="O393" s="47"/>
      <c r="P393" s="47"/>
      <c r="Q393" s="47"/>
      <c r="R393" s="47"/>
      <c r="S393" s="47"/>
      <c r="T393" s="47"/>
      <c r="U393" s="47"/>
      <c r="V393" s="47"/>
      <c r="W393" s="47"/>
      <c r="X393" s="47"/>
      <c r="Y393" s="47"/>
      <c r="Z393" s="47"/>
    </row>
    <row r="394">
      <c r="A394" s="57"/>
      <c r="B394" s="58"/>
      <c r="C394" s="58"/>
      <c r="D394" s="58"/>
      <c r="E394" s="47"/>
      <c r="F394" s="47"/>
      <c r="G394" s="47"/>
      <c r="H394" s="47"/>
      <c r="I394" s="47"/>
      <c r="J394" s="47"/>
      <c r="K394" s="47"/>
      <c r="L394" s="47"/>
      <c r="M394" s="47"/>
      <c r="N394" s="47"/>
      <c r="O394" s="47"/>
      <c r="P394" s="47"/>
      <c r="Q394" s="47"/>
      <c r="R394" s="47"/>
      <c r="S394" s="47"/>
      <c r="T394" s="47"/>
      <c r="U394" s="47"/>
      <c r="V394" s="47"/>
      <c r="W394" s="47"/>
      <c r="X394" s="47"/>
      <c r="Y394" s="47"/>
      <c r="Z394" s="47"/>
    </row>
    <row r="395">
      <c r="A395" s="57"/>
      <c r="B395" s="58"/>
      <c r="C395" s="58"/>
      <c r="D395" s="58"/>
      <c r="E395" s="47"/>
      <c r="F395" s="47"/>
      <c r="G395" s="47"/>
      <c r="H395" s="47"/>
      <c r="I395" s="47"/>
      <c r="J395" s="47"/>
      <c r="K395" s="47"/>
      <c r="L395" s="47"/>
      <c r="M395" s="47"/>
      <c r="N395" s="47"/>
      <c r="O395" s="47"/>
      <c r="P395" s="47"/>
      <c r="Q395" s="47"/>
      <c r="R395" s="47"/>
      <c r="S395" s="47"/>
      <c r="T395" s="47"/>
      <c r="U395" s="47"/>
      <c r="V395" s="47"/>
      <c r="W395" s="47"/>
      <c r="X395" s="47"/>
      <c r="Y395" s="47"/>
      <c r="Z395" s="47"/>
    </row>
    <row r="396">
      <c r="A396" s="57"/>
      <c r="B396" s="58"/>
      <c r="C396" s="58"/>
      <c r="D396" s="58"/>
      <c r="E396" s="47"/>
      <c r="F396" s="47"/>
      <c r="G396" s="47"/>
      <c r="H396" s="47"/>
      <c r="I396" s="47"/>
      <c r="J396" s="47"/>
      <c r="K396" s="47"/>
      <c r="L396" s="47"/>
      <c r="M396" s="47"/>
      <c r="N396" s="47"/>
      <c r="O396" s="47"/>
      <c r="P396" s="47"/>
      <c r="Q396" s="47"/>
      <c r="R396" s="47"/>
      <c r="S396" s="47"/>
      <c r="T396" s="47"/>
      <c r="U396" s="47"/>
      <c r="V396" s="47"/>
      <c r="W396" s="47"/>
      <c r="X396" s="47"/>
      <c r="Y396" s="47"/>
      <c r="Z396" s="47"/>
    </row>
    <row r="397">
      <c r="A397" s="57"/>
      <c r="B397" s="58"/>
      <c r="C397" s="58"/>
      <c r="D397" s="58"/>
      <c r="E397" s="47"/>
      <c r="F397" s="47"/>
      <c r="G397" s="47"/>
      <c r="H397" s="47"/>
      <c r="I397" s="47"/>
      <c r="J397" s="47"/>
      <c r="K397" s="47"/>
      <c r="L397" s="47"/>
      <c r="M397" s="47"/>
      <c r="N397" s="47"/>
      <c r="O397" s="47"/>
      <c r="P397" s="47"/>
      <c r="Q397" s="47"/>
      <c r="R397" s="47"/>
      <c r="S397" s="47"/>
      <c r="T397" s="47"/>
      <c r="U397" s="47"/>
      <c r="V397" s="47"/>
      <c r="W397" s="47"/>
      <c r="X397" s="47"/>
      <c r="Y397" s="47"/>
      <c r="Z397" s="47"/>
    </row>
    <row r="398">
      <c r="A398" s="57"/>
      <c r="B398" s="58"/>
      <c r="C398" s="58"/>
      <c r="D398" s="58"/>
      <c r="E398" s="47"/>
      <c r="F398" s="47"/>
      <c r="G398" s="47"/>
      <c r="H398" s="47"/>
      <c r="I398" s="47"/>
      <c r="J398" s="47"/>
      <c r="K398" s="47"/>
      <c r="L398" s="47"/>
      <c r="M398" s="47"/>
      <c r="N398" s="47"/>
      <c r="O398" s="47"/>
      <c r="P398" s="47"/>
      <c r="Q398" s="47"/>
      <c r="R398" s="47"/>
      <c r="S398" s="47"/>
      <c r="T398" s="47"/>
      <c r="U398" s="47"/>
      <c r="V398" s="47"/>
      <c r="W398" s="47"/>
      <c r="X398" s="47"/>
      <c r="Y398" s="47"/>
      <c r="Z398" s="47"/>
    </row>
    <row r="399">
      <c r="A399" s="57"/>
      <c r="B399" s="58"/>
      <c r="C399" s="58"/>
      <c r="D399" s="58"/>
      <c r="E399" s="47"/>
      <c r="F399" s="47"/>
      <c r="G399" s="47"/>
      <c r="H399" s="47"/>
      <c r="I399" s="47"/>
      <c r="J399" s="47"/>
      <c r="K399" s="47"/>
      <c r="L399" s="47"/>
      <c r="M399" s="47"/>
      <c r="N399" s="47"/>
      <c r="O399" s="47"/>
      <c r="P399" s="47"/>
      <c r="Q399" s="47"/>
      <c r="R399" s="47"/>
      <c r="S399" s="47"/>
      <c r="T399" s="47"/>
      <c r="U399" s="47"/>
      <c r="V399" s="47"/>
      <c r="W399" s="47"/>
      <c r="X399" s="47"/>
      <c r="Y399" s="47"/>
      <c r="Z399" s="47"/>
    </row>
    <row r="400">
      <c r="A400" s="57"/>
      <c r="B400" s="58"/>
      <c r="C400" s="58"/>
      <c r="D400" s="58"/>
      <c r="E400" s="47"/>
      <c r="F400" s="47"/>
      <c r="G400" s="47"/>
      <c r="H400" s="47"/>
      <c r="I400" s="47"/>
      <c r="J400" s="47"/>
      <c r="K400" s="47"/>
      <c r="L400" s="47"/>
      <c r="M400" s="47"/>
      <c r="N400" s="47"/>
      <c r="O400" s="47"/>
      <c r="P400" s="47"/>
      <c r="Q400" s="47"/>
      <c r="R400" s="47"/>
      <c r="S400" s="47"/>
      <c r="T400" s="47"/>
      <c r="U400" s="47"/>
      <c r="V400" s="47"/>
      <c r="W400" s="47"/>
      <c r="X400" s="47"/>
      <c r="Y400" s="47"/>
      <c r="Z400" s="47"/>
    </row>
    <row r="401">
      <c r="A401" s="57"/>
      <c r="B401" s="58"/>
      <c r="C401" s="58"/>
      <c r="D401" s="58"/>
      <c r="E401" s="47"/>
      <c r="F401" s="47"/>
      <c r="G401" s="47"/>
      <c r="H401" s="47"/>
      <c r="I401" s="47"/>
      <c r="J401" s="47"/>
      <c r="K401" s="47"/>
      <c r="L401" s="47"/>
      <c r="M401" s="47"/>
      <c r="N401" s="47"/>
      <c r="O401" s="47"/>
      <c r="P401" s="47"/>
      <c r="Q401" s="47"/>
      <c r="R401" s="47"/>
      <c r="S401" s="47"/>
      <c r="T401" s="47"/>
      <c r="U401" s="47"/>
      <c r="V401" s="47"/>
      <c r="W401" s="47"/>
      <c r="X401" s="47"/>
      <c r="Y401" s="47"/>
      <c r="Z401" s="47"/>
    </row>
    <row r="402">
      <c r="A402" s="57"/>
      <c r="B402" s="58"/>
      <c r="C402" s="58"/>
      <c r="D402" s="58"/>
      <c r="E402" s="47"/>
      <c r="F402" s="47"/>
      <c r="G402" s="47"/>
      <c r="H402" s="47"/>
      <c r="I402" s="47"/>
      <c r="J402" s="47"/>
      <c r="K402" s="47"/>
      <c r="L402" s="47"/>
      <c r="M402" s="47"/>
      <c r="N402" s="47"/>
      <c r="O402" s="47"/>
      <c r="P402" s="47"/>
      <c r="Q402" s="47"/>
      <c r="R402" s="47"/>
      <c r="S402" s="47"/>
      <c r="T402" s="47"/>
      <c r="U402" s="47"/>
      <c r="V402" s="47"/>
      <c r="W402" s="47"/>
      <c r="X402" s="47"/>
      <c r="Y402" s="47"/>
      <c r="Z402" s="47"/>
    </row>
    <row r="403">
      <c r="A403" s="57"/>
      <c r="B403" s="58"/>
      <c r="C403" s="58"/>
      <c r="D403" s="58"/>
      <c r="E403" s="47"/>
      <c r="F403" s="47"/>
      <c r="G403" s="47"/>
      <c r="H403" s="47"/>
      <c r="I403" s="47"/>
      <c r="J403" s="47"/>
      <c r="K403" s="47"/>
      <c r="L403" s="47"/>
      <c r="M403" s="47"/>
      <c r="N403" s="47"/>
      <c r="O403" s="47"/>
      <c r="P403" s="47"/>
      <c r="Q403" s="47"/>
      <c r="R403" s="47"/>
      <c r="S403" s="47"/>
      <c r="T403" s="47"/>
      <c r="U403" s="47"/>
      <c r="V403" s="47"/>
      <c r="W403" s="47"/>
      <c r="X403" s="47"/>
      <c r="Y403" s="47"/>
      <c r="Z403" s="47"/>
    </row>
    <row r="404">
      <c r="A404" s="57"/>
      <c r="B404" s="58"/>
      <c r="C404" s="58"/>
      <c r="D404" s="58"/>
      <c r="E404" s="47"/>
      <c r="F404" s="47"/>
      <c r="G404" s="47"/>
      <c r="H404" s="47"/>
      <c r="I404" s="47"/>
      <c r="J404" s="47"/>
      <c r="K404" s="47"/>
      <c r="L404" s="47"/>
      <c r="M404" s="47"/>
      <c r="N404" s="47"/>
      <c r="O404" s="47"/>
      <c r="P404" s="47"/>
      <c r="Q404" s="47"/>
      <c r="R404" s="47"/>
      <c r="S404" s="47"/>
      <c r="T404" s="47"/>
      <c r="U404" s="47"/>
      <c r="V404" s="47"/>
      <c r="W404" s="47"/>
      <c r="X404" s="47"/>
      <c r="Y404" s="47"/>
      <c r="Z404" s="47"/>
    </row>
    <row r="405">
      <c r="A405" s="57"/>
      <c r="B405" s="58"/>
      <c r="C405" s="58"/>
      <c r="D405" s="58"/>
      <c r="E405" s="47"/>
      <c r="F405" s="47"/>
      <c r="G405" s="47"/>
      <c r="H405" s="47"/>
      <c r="I405" s="47"/>
      <c r="J405" s="47"/>
      <c r="K405" s="47"/>
      <c r="L405" s="47"/>
      <c r="M405" s="47"/>
      <c r="N405" s="47"/>
      <c r="O405" s="47"/>
      <c r="P405" s="47"/>
      <c r="Q405" s="47"/>
      <c r="R405" s="47"/>
      <c r="S405" s="47"/>
      <c r="T405" s="47"/>
      <c r="U405" s="47"/>
      <c r="V405" s="47"/>
      <c r="W405" s="47"/>
      <c r="X405" s="47"/>
      <c r="Y405" s="47"/>
      <c r="Z405" s="47"/>
    </row>
    <row r="406">
      <c r="A406" s="57"/>
      <c r="B406" s="58"/>
      <c r="C406" s="58"/>
      <c r="D406" s="58"/>
      <c r="E406" s="47"/>
      <c r="F406" s="47"/>
      <c r="G406" s="47"/>
      <c r="H406" s="47"/>
      <c r="I406" s="47"/>
      <c r="J406" s="47"/>
      <c r="K406" s="47"/>
      <c r="L406" s="47"/>
      <c r="M406" s="47"/>
      <c r="N406" s="47"/>
      <c r="O406" s="47"/>
      <c r="P406" s="47"/>
      <c r="Q406" s="47"/>
      <c r="R406" s="47"/>
      <c r="S406" s="47"/>
      <c r="T406" s="47"/>
      <c r="U406" s="47"/>
      <c r="V406" s="47"/>
      <c r="W406" s="47"/>
      <c r="X406" s="47"/>
      <c r="Y406" s="47"/>
      <c r="Z406" s="47"/>
    </row>
    <row r="407">
      <c r="A407" s="57"/>
      <c r="B407" s="58"/>
      <c r="C407" s="58"/>
      <c r="D407" s="58"/>
      <c r="E407" s="47"/>
      <c r="F407" s="47"/>
      <c r="G407" s="47"/>
      <c r="H407" s="47"/>
      <c r="I407" s="47"/>
      <c r="J407" s="47"/>
      <c r="K407" s="47"/>
      <c r="L407" s="47"/>
      <c r="M407" s="47"/>
      <c r="N407" s="47"/>
      <c r="O407" s="47"/>
      <c r="P407" s="47"/>
      <c r="Q407" s="47"/>
      <c r="R407" s="47"/>
      <c r="S407" s="47"/>
      <c r="T407" s="47"/>
      <c r="U407" s="47"/>
      <c r="V407" s="47"/>
      <c r="W407" s="47"/>
      <c r="X407" s="47"/>
      <c r="Y407" s="47"/>
      <c r="Z407" s="47"/>
    </row>
    <row r="408">
      <c r="A408" s="57"/>
      <c r="B408" s="58"/>
      <c r="C408" s="58"/>
      <c r="D408" s="58"/>
      <c r="E408" s="47"/>
      <c r="F408" s="47"/>
      <c r="G408" s="47"/>
      <c r="H408" s="47"/>
      <c r="I408" s="47"/>
      <c r="J408" s="47"/>
      <c r="K408" s="47"/>
      <c r="L408" s="47"/>
      <c r="M408" s="47"/>
      <c r="N408" s="47"/>
      <c r="O408" s="47"/>
      <c r="P408" s="47"/>
      <c r="Q408" s="47"/>
      <c r="R408" s="47"/>
      <c r="S408" s="47"/>
      <c r="T408" s="47"/>
      <c r="U408" s="47"/>
      <c r="V408" s="47"/>
      <c r="W408" s="47"/>
      <c r="X408" s="47"/>
      <c r="Y408" s="47"/>
      <c r="Z408" s="47"/>
    </row>
    <row r="409">
      <c r="A409" s="57"/>
      <c r="B409" s="58"/>
      <c r="C409" s="58"/>
      <c r="D409" s="58"/>
      <c r="E409" s="47"/>
      <c r="F409" s="47"/>
      <c r="G409" s="47"/>
      <c r="H409" s="47"/>
      <c r="I409" s="47"/>
      <c r="J409" s="47"/>
      <c r="K409" s="47"/>
      <c r="L409" s="47"/>
      <c r="M409" s="47"/>
      <c r="N409" s="47"/>
      <c r="O409" s="47"/>
      <c r="P409" s="47"/>
      <c r="Q409" s="47"/>
      <c r="R409" s="47"/>
      <c r="S409" s="47"/>
      <c r="T409" s="47"/>
      <c r="U409" s="47"/>
      <c r="V409" s="47"/>
      <c r="W409" s="47"/>
      <c r="X409" s="47"/>
      <c r="Y409" s="47"/>
      <c r="Z409" s="47"/>
    </row>
    <row r="410">
      <c r="A410" s="57"/>
      <c r="B410" s="58"/>
      <c r="C410" s="58"/>
      <c r="D410" s="58"/>
      <c r="E410" s="47"/>
      <c r="F410" s="47"/>
      <c r="G410" s="47"/>
      <c r="H410" s="47"/>
      <c r="I410" s="47"/>
      <c r="J410" s="47"/>
      <c r="K410" s="47"/>
      <c r="L410" s="47"/>
      <c r="M410" s="47"/>
      <c r="N410" s="47"/>
      <c r="O410" s="47"/>
      <c r="P410" s="47"/>
      <c r="Q410" s="47"/>
      <c r="R410" s="47"/>
      <c r="S410" s="47"/>
      <c r="T410" s="47"/>
      <c r="U410" s="47"/>
      <c r="V410" s="47"/>
      <c r="W410" s="47"/>
      <c r="X410" s="47"/>
      <c r="Y410" s="47"/>
      <c r="Z410" s="47"/>
    </row>
    <row r="411">
      <c r="A411" s="57"/>
      <c r="B411" s="58"/>
      <c r="C411" s="58"/>
      <c r="D411" s="58"/>
      <c r="E411" s="47"/>
      <c r="F411" s="47"/>
      <c r="G411" s="47"/>
      <c r="H411" s="47"/>
      <c r="I411" s="47"/>
      <c r="J411" s="47"/>
      <c r="K411" s="47"/>
      <c r="L411" s="47"/>
      <c r="M411" s="47"/>
      <c r="N411" s="47"/>
      <c r="O411" s="47"/>
      <c r="P411" s="47"/>
      <c r="Q411" s="47"/>
      <c r="R411" s="47"/>
      <c r="S411" s="47"/>
      <c r="T411" s="47"/>
      <c r="U411" s="47"/>
      <c r="V411" s="47"/>
      <c r="W411" s="47"/>
      <c r="X411" s="47"/>
      <c r="Y411" s="47"/>
      <c r="Z411" s="47"/>
    </row>
    <row r="412">
      <c r="A412" s="57"/>
      <c r="B412" s="58"/>
      <c r="C412" s="58"/>
      <c r="D412" s="58"/>
      <c r="E412" s="47"/>
      <c r="F412" s="47"/>
      <c r="G412" s="47"/>
      <c r="H412" s="47"/>
      <c r="I412" s="47"/>
      <c r="J412" s="47"/>
      <c r="K412" s="47"/>
      <c r="L412" s="47"/>
      <c r="M412" s="47"/>
      <c r="N412" s="47"/>
      <c r="O412" s="47"/>
      <c r="P412" s="47"/>
      <c r="Q412" s="47"/>
      <c r="R412" s="47"/>
      <c r="S412" s="47"/>
      <c r="T412" s="47"/>
      <c r="U412" s="47"/>
      <c r="V412" s="47"/>
      <c r="W412" s="47"/>
      <c r="X412" s="47"/>
      <c r="Y412" s="47"/>
      <c r="Z412" s="47"/>
    </row>
    <row r="413">
      <c r="A413" s="57"/>
      <c r="B413" s="58"/>
      <c r="C413" s="58"/>
      <c r="D413" s="58"/>
      <c r="E413" s="47"/>
      <c r="F413" s="47"/>
      <c r="G413" s="47"/>
      <c r="H413" s="47"/>
      <c r="I413" s="47"/>
      <c r="J413" s="47"/>
      <c r="K413" s="47"/>
      <c r="L413" s="47"/>
      <c r="M413" s="47"/>
      <c r="N413" s="47"/>
      <c r="O413" s="47"/>
      <c r="P413" s="47"/>
      <c r="Q413" s="47"/>
      <c r="R413" s="47"/>
      <c r="S413" s="47"/>
      <c r="T413" s="47"/>
      <c r="U413" s="47"/>
      <c r="V413" s="47"/>
      <c r="W413" s="47"/>
      <c r="X413" s="47"/>
      <c r="Y413" s="47"/>
      <c r="Z413" s="47"/>
    </row>
    <row r="414">
      <c r="A414" s="57"/>
      <c r="B414" s="58"/>
      <c r="C414" s="58"/>
      <c r="D414" s="58"/>
      <c r="E414" s="47"/>
      <c r="F414" s="47"/>
      <c r="G414" s="47"/>
      <c r="H414" s="47"/>
      <c r="I414" s="47"/>
      <c r="J414" s="47"/>
      <c r="K414" s="47"/>
      <c r="L414" s="47"/>
      <c r="M414" s="47"/>
      <c r="N414" s="47"/>
      <c r="O414" s="47"/>
      <c r="P414" s="47"/>
      <c r="Q414" s="47"/>
      <c r="R414" s="47"/>
      <c r="S414" s="47"/>
      <c r="T414" s="47"/>
      <c r="U414" s="47"/>
      <c r="V414" s="47"/>
      <c r="W414" s="47"/>
      <c r="X414" s="47"/>
      <c r="Y414" s="47"/>
      <c r="Z414" s="47"/>
    </row>
    <row r="415">
      <c r="A415" s="57"/>
      <c r="B415" s="58"/>
      <c r="C415" s="58"/>
      <c r="D415" s="58"/>
      <c r="E415" s="47"/>
      <c r="F415" s="47"/>
      <c r="G415" s="47"/>
      <c r="H415" s="47"/>
      <c r="I415" s="47"/>
      <c r="J415" s="47"/>
      <c r="K415" s="47"/>
      <c r="L415" s="47"/>
      <c r="M415" s="47"/>
      <c r="N415" s="47"/>
      <c r="O415" s="47"/>
      <c r="P415" s="47"/>
      <c r="Q415" s="47"/>
      <c r="R415" s="47"/>
      <c r="S415" s="47"/>
      <c r="T415" s="47"/>
      <c r="U415" s="47"/>
      <c r="V415" s="47"/>
      <c r="W415" s="47"/>
      <c r="X415" s="47"/>
      <c r="Y415" s="47"/>
      <c r="Z415" s="47"/>
    </row>
    <row r="416">
      <c r="A416" s="57"/>
      <c r="B416" s="58"/>
      <c r="C416" s="58"/>
      <c r="D416" s="58"/>
      <c r="E416" s="47"/>
      <c r="F416" s="47"/>
      <c r="G416" s="47"/>
      <c r="H416" s="47"/>
      <c r="I416" s="47"/>
      <c r="J416" s="47"/>
      <c r="K416" s="47"/>
      <c r="L416" s="47"/>
      <c r="M416" s="47"/>
      <c r="N416" s="47"/>
      <c r="O416" s="47"/>
      <c r="P416" s="47"/>
      <c r="Q416" s="47"/>
      <c r="R416" s="47"/>
      <c r="S416" s="47"/>
      <c r="T416" s="47"/>
      <c r="U416" s="47"/>
      <c r="V416" s="47"/>
      <c r="W416" s="47"/>
      <c r="X416" s="47"/>
      <c r="Y416" s="47"/>
      <c r="Z416" s="47"/>
    </row>
    <row r="417">
      <c r="A417" s="57"/>
      <c r="B417" s="58"/>
      <c r="C417" s="58"/>
      <c r="D417" s="58"/>
      <c r="E417" s="47"/>
      <c r="F417" s="47"/>
      <c r="G417" s="47"/>
      <c r="H417" s="47"/>
      <c r="I417" s="47"/>
      <c r="J417" s="47"/>
      <c r="K417" s="47"/>
      <c r="L417" s="47"/>
      <c r="M417" s="47"/>
      <c r="N417" s="47"/>
      <c r="O417" s="47"/>
      <c r="P417" s="47"/>
      <c r="Q417" s="47"/>
      <c r="R417" s="47"/>
      <c r="S417" s="47"/>
      <c r="T417" s="47"/>
      <c r="U417" s="47"/>
      <c r="V417" s="47"/>
      <c r="W417" s="47"/>
      <c r="X417" s="47"/>
      <c r="Y417" s="47"/>
      <c r="Z417" s="47"/>
    </row>
    <row r="418">
      <c r="A418" s="57"/>
      <c r="B418" s="58"/>
      <c r="C418" s="58"/>
      <c r="D418" s="58"/>
      <c r="E418" s="47"/>
      <c r="F418" s="47"/>
      <c r="G418" s="47"/>
      <c r="H418" s="47"/>
      <c r="I418" s="47"/>
      <c r="J418" s="47"/>
      <c r="K418" s="47"/>
      <c r="L418" s="47"/>
      <c r="M418" s="47"/>
      <c r="N418" s="47"/>
      <c r="O418" s="47"/>
      <c r="P418" s="47"/>
      <c r="Q418" s="47"/>
      <c r="R418" s="47"/>
      <c r="S418" s="47"/>
      <c r="T418" s="47"/>
      <c r="U418" s="47"/>
      <c r="V418" s="47"/>
      <c r="W418" s="47"/>
      <c r="X418" s="47"/>
      <c r="Y418" s="47"/>
      <c r="Z418" s="47"/>
    </row>
    <row r="419">
      <c r="A419" s="57"/>
      <c r="B419" s="58"/>
      <c r="C419" s="58"/>
      <c r="D419" s="58"/>
      <c r="E419" s="47"/>
      <c r="F419" s="47"/>
      <c r="G419" s="47"/>
      <c r="H419" s="47"/>
      <c r="I419" s="47"/>
      <c r="J419" s="47"/>
      <c r="K419" s="47"/>
      <c r="L419" s="47"/>
      <c r="M419" s="47"/>
      <c r="N419" s="47"/>
      <c r="O419" s="47"/>
      <c r="P419" s="47"/>
      <c r="Q419" s="47"/>
      <c r="R419" s="47"/>
      <c r="S419" s="47"/>
      <c r="T419" s="47"/>
      <c r="U419" s="47"/>
      <c r="V419" s="47"/>
      <c r="W419" s="47"/>
      <c r="X419" s="47"/>
      <c r="Y419" s="47"/>
      <c r="Z419" s="47"/>
    </row>
    <row r="420">
      <c r="A420" s="57"/>
      <c r="B420" s="58"/>
      <c r="C420" s="58"/>
      <c r="D420" s="58"/>
      <c r="E420" s="47"/>
      <c r="F420" s="47"/>
      <c r="G420" s="47"/>
      <c r="H420" s="47"/>
      <c r="I420" s="47"/>
      <c r="J420" s="47"/>
      <c r="K420" s="47"/>
      <c r="L420" s="47"/>
      <c r="M420" s="47"/>
      <c r="N420" s="47"/>
      <c r="O420" s="47"/>
      <c r="P420" s="47"/>
      <c r="Q420" s="47"/>
      <c r="R420" s="47"/>
      <c r="S420" s="47"/>
      <c r="T420" s="47"/>
      <c r="U420" s="47"/>
      <c r="V420" s="47"/>
      <c r="W420" s="47"/>
      <c r="X420" s="47"/>
      <c r="Y420" s="47"/>
      <c r="Z420" s="47"/>
    </row>
    <row r="421">
      <c r="A421" s="57"/>
      <c r="B421" s="58"/>
      <c r="C421" s="58"/>
      <c r="D421" s="58"/>
      <c r="E421" s="47"/>
      <c r="F421" s="47"/>
      <c r="G421" s="47"/>
      <c r="H421" s="47"/>
      <c r="I421" s="47"/>
      <c r="J421" s="47"/>
      <c r="K421" s="47"/>
      <c r="L421" s="47"/>
      <c r="M421" s="47"/>
      <c r="N421" s="47"/>
      <c r="O421" s="47"/>
      <c r="P421" s="47"/>
      <c r="Q421" s="47"/>
      <c r="R421" s="47"/>
      <c r="S421" s="47"/>
      <c r="T421" s="47"/>
      <c r="U421" s="47"/>
      <c r="V421" s="47"/>
      <c r="W421" s="47"/>
      <c r="X421" s="47"/>
      <c r="Y421" s="47"/>
      <c r="Z421" s="47"/>
    </row>
    <row r="422">
      <c r="A422" s="57"/>
      <c r="B422" s="58"/>
      <c r="C422" s="58"/>
      <c r="D422" s="58"/>
      <c r="E422" s="47"/>
      <c r="F422" s="47"/>
      <c r="G422" s="47"/>
      <c r="H422" s="47"/>
      <c r="I422" s="47"/>
      <c r="J422" s="47"/>
      <c r="K422" s="47"/>
      <c r="L422" s="47"/>
      <c r="M422" s="47"/>
      <c r="N422" s="47"/>
      <c r="O422" s="47"/>
      <c r="P422" s="47"/>
      <c r="Q422" s="47"/>
      <c r="R422" s="47"/>
      <c r="S422" s="47"/>
      <c r="T422" s="47"/>
      <c r="U422" s="47"/>
      <c r="V422" s="47"/>
      <c r="W422" s="47"/>
      <c r="X422" s="47"/>
      <c r="Y422" s="47"/>
      <c r="Z422" s="47"/>
    </row>
    <row r="423">
      <c r="A423" s="57"/>
      <c r="B423" s="58"/>
      <c r="C423" s="58"/>
      <c r="D423" s="58"/>
      <c r="E423" s="47"/>
      <c r="F423" s="47"/>
      <c r="G423" s="47"/>
      <c r="H423" s="47"/>
      <c r="I423" s="47"/>
      <c r="J423" s="47"/>
      <c r="K423" s="47"/>
      <c r="L423" s="47"/>
      <c r="M423" s="47"/>
      <c r="N423" s="47"/>
      <c r="O423" s="47"/>
      <c r="P423" s="47"/>
      <c r="Q423" s="47"/>
      <c r="R423" s="47"/>
      <c r="S423" s="47"/>
      <c r="T423" s="47"/>
      <c r="U423" s="47"/>
      <c r="V423" s="47"/>
      <c r="W423" s="47"/>
      <c r="X423" s="47"/>
      <c r="Y423" s="47"/>
      <c r="Z423" s="47"/>
    </row>
    <row r="424">
      <c r="A424" s="57"/>
      <c r="B424" s="58"/>
      <c r="C424" s="58"/>
      <c r="D424" s="58"/>
      <c r="E424" s="47"/>
      <c r="F424" s="47"/>
      <c r="G424" s="47"/>
      <c r="H424" s="47"/>
      <c r="I424" s="47"/>
      <c r="J424" s="47"/>
      <c r="K424" s="47"/>
      <c r="L424" s="47"/>
      <c r="M424" s="47"/>
      <c r="N424" s="47"/>
      <c r="O424" s="47"/>
      <c r="P424" s="47"/>
      <c r="Q424" s="47"/>
      <c r="R424" s="47"/>
      <c r="S424" s="47"/>
      <c r="T424" s="47"/>
      <c r="U424" s="47"/>
      <c r="V424" s="47"/>
      <c r="W424" s="47"/>
      <c r="X424" s="47"/>
      <c r="Y424" s="47"/>
      <c r="Z424" s="47"/>
    </row>
    <row r="425">
      <c r="A425" s="57"/>
      <c r="B425" s="58"/>
      <c r="C425" s="58"/>
      <c r="D425" s="58"/>
      <c r="E425" s="47"/>
      <c r="F425" s="47"/>
      <c r="G425" s="47"/>
      <c r="H425" s="47"/>
      <c r="I425" s="47"/>
      <c r="J425" s="47"/>
      <c r="K425" s="47"/>
      <c r="L425" s="47"/>
      <c r="M425" s="47"/>
      <c r="N425" s="47"/>
      <c r="O425" s="47"/>
      <c r="P425" s="47"/>
      <c r="Q425" s="47"/>
      <c r="R425" s="47"/>
      <c r="S425" s="47"/>
      <c r="T425" s="47"/>
      <c r="U425" s="47"/>
      <c r="V425" s="47"/>
      <c r="W425" s="47"/>
      <c r="X425" s="47"/>
      <c r="Y425" s="47"/>
      <c r="Z425" s="47"/>
    </row>
    <row r="426">
      <c r="A426" s="57"/>
      <c r="B426" s="58"/>
      <c r="C426" s="58"/>
      <c r="D426" s="58"/>
      <c r="E426" s="47"/>
      <c r="F426" s="47"/>
      <c r="G426" s="47"/>
      <c r="H426" s="47"/>
      <c r="I426" s="47"/>
      <c r="J426" s="47"/>
      <c r="K426" s="47"/>
      <c r="L426" s="47"/>
      <c r="M426" s="47"/>
      <c r="N426" s="47"/>
      <c r="O426" s="47"/>
      <c r="P426" s="47"/>
      <c r="Q426" s="47"/>
      <c r="R426" s="47"/>
      <c r="S426" s="47"/>
      <c r="T426" s="47"/>
      <c r="U426" s="47"/>
      <c r="V426" s="47"/>
      <c r="W426" s="47"/>
      <c r="X426" s="47"/>
      <c r="Y426" s="47"/>
      <c r="Z426" s="47"/>
    </row>
    <row r="427">
      <c r="A427" s="57"/>
      <c r="B427" s="58"/>
      <c r="C427" s="58"/>
      <c r="D427" s="58"/>
      <c r="E427" s="47"/>
      <c r="F427" s="47"/>
      <c r="G427" s="47"/>
      <c r="H427" s="47"/>
      <c r="I427" s="47"/>
      <c r="J427" s="47"/>
      <c r="K427" s="47"/>
      <c r="L427" s="47"/>
      <c r="M427" s="47"/>
      <c r="N427" s="47"/>
      <c r="O427" s="47"/>
      <c r="P427" s="47"/>
      <c r="Q427" s="47"/>
      <c r="R427" s="47"/>
      <c r="S427" s="47"/>
      <c r="T427" s="47"/>
      <c r="U427" s="47"/>
      <c r="V427" s="47"/>
      <c r="W427" s="47"/>
      <c r="X427" s="47"/>
      <c r="Y427" s="47"/>
      <c r="Z427" s="47"/>
    </row>
    <row r="428">
      <c r="A428" s="57"/>
      <c r="B428" s="58"/>
      <c r="C428" s="58"/>
      <c r="D428" s="58"/>
      <c r="E428" s="47"/>
      <c r="F428" s="47"/>
      <c r="G428" s="47"/>
      <c r="H428" s="47"/>
      <c r="I428" s="47"/>
      <c r="J428" s="47"/>
      <c r="K428" s="47"/>
      <c r="L428" s="47"/>
      <c r="M428" s="47"/>
      <c r="N428" s="47"/>
      <c r="O428" s="47"/>
      <c r="P428" s="47"/>
      <c r="Q428" s="47"/>
      <c r="R428" s="47"/>
      <c r="S428" s="47"/>
      <c r="T428" s="47"/>
      <c r="U428" s="47"/>
      <c r="V428" s="47"/>
      <c r="W428" s="47"/>
      <c r="X428" s="47"/>
      <c r="Y428" s="47"/>
      <c r="Z428" s="47"/>
    </row>
    <row r="429">
      <c r="A429" s="57"/>
      <c r="B429" s="58"/>
      <c r="C429" s="58"/>
      <c r="D429" s="58"/>
      <c r="E429" s="47"/>
      <c r="F429" s="47"/>
      <c r="G429" s="47"/>
      <c r="H429" s="47"/>
      <c r="I429" s="47"/>
      <c r="J429" s="47"/>
      <c r="K429" s="47"/>
      <c r="L429" s="47"/>
      <c r="M429" s="47"/>
      <c r="N429" s="47"/>
      <c r="O429" s="47"/>
      <c r="P429" s="47"/>
      <c r="Q429" s="47"/>
      <c r="R429" s="47"/>
      <c r="S429" s="47"/>
      <c r="T429" s="47"/>
      <c r="U429" s="47"/>
      <c r="V429" s="47"/>
      <c r="W429" s="47"/>
      <c r="X429" s="47"/>
      <c r="Y429" s="47"/>
      <c r="Z429" s="47"/>
    </row>
    <row r="430">
      <c r="A430" s="57"/>
      <c r="B430" s="58"/>
      <c r="C430" s="58"/>
      <c r="D430" s="58"/>
      <c r="E430" s="47"/>
      <c r="F430" s="47"/>
      <c r="G430" s="47"/>
      <c r="H430" s="47"/>
      <c r="I430" s="47"/>
      <c r="J430" s="47"/>
      <c r="K430" s="47"/>
      <c r="L430" s="47"/>
      <c r="M430" s="47"/>
      <c r="N430" s="47"/>
      <c r="O430" s="47"/>
      <c r="P430" s="47"/>
      <c r="Q430" s="47"/>
      <c r="R430" s="47"/>
      <c r="S430" s="47"/>
      <c r="T430" s="47"/>
      <c r="U430" s="47"/>
      <c r="V430" s="47"/>
      <c r="W430" s="47"/>
      <c r="X430" s="47"/>
      <c r="Y430" s="47"/>
      <c r="Z430" s="47"/>
    </row>
    <row r="431">
      <c r="A431" s="57"/>
      <c r="B431" s="58"/>
      <c r="C431" s="58"/>
      <c r="D431" s="58"/>
      <c r="E431" s="47"/>
      <c r="F431" s="47"/>
      <c r="G431" s="47"/>
      <c r="H431" s="47"/>
      <c r="I431" s="47"/>
      <c r="J431" s="47"/>
      <c r="K431" s="47"/>
      <c r="L431" s="47"/>
      <c r="M431" s="47"/>
      <c r="N431" s="47"/>
      <c r="O431" s="47"/>
      <c r="P431" s="47"/>
      <c r="Q431" s="47"/>
      <c r="R431" s="47"/>
      <c r="S431" s="47"/>
      <c r="T431" s="47"/>
      <c r="U431" s="47"/>
      <c r="V431" s="47"/>
      <c r="W431" s="47"/>
      <c r="X431" s="47"/>
      <c r="Y431" s="47"/>
      <c r="Z431" s="47"/>
    </row>
    <row r="432">
      <c r="A432" s="57"/>
      <c r="B432" s="58"/>
      <c r="C432" s="58"/>
      <c r="D432" s="58"/>
      <c r="E432" s="47"/>
      <c r="F432" s="47"/>
      <c r="G432" s="47"/>
      <c r="H432" s="47"/>
      <c r="I432" s="47"/>
      <c r="J432" s="47"/>
      <c r="K432" s="47"/>
      <c r="L432" s="47"/>
      <c r="M432" s="47"/>
      <c r="N432" s="47"/>
      <c r="O432" s="47"/>
      <c r="P432" s="47"/>
      <c r="Q432" s="47"/>
      <c r="R432" s="47"/>
      <c r="S432" s="47"/>
      <c r="T432" s="47"/>
      <c r="U432" s="47"/>
      <c r="V432" s="47"/>
      <c r="W432" s="47"/>
      <c r="X432" s="47"/>
      <c r="Y432" s="47"/>
      <c r="Z432" s="47"/>
    </row>
    <row r="433">
      <c r="A433" s="57"/>
      <c r="B433" s="58"/>
      <c r="C433" s="58"/>
      <c r="D433" s="58"/>
      <c r="E433" s="47"/>
      <c r="F433" s="47"/>
      <c r="G433" s="47"/>
      <c r="H433" s="47"/>
      <c r="I433" s="47"/>
      <c r="J433" s="47"/>
      <c r="K433" s="47"/>
      <c r="L433" s="47"/>
      <c r="M433" s="47"/>
      <c r="N433" s="47"/>
      <c r="O433" s="47"/>
      <c r="P433" s="47"/>
      <c r="Q433" s="47"/>
      <c r="R433" s="47"/>
      <c r="S433" s="47"/>
      <c r="T433" s="47"/>
      <c r="U433" s="47"/>
      <c r="V433" s="47"/>
      <c r="W433" s="47"/>
      <c r="X433" s="47"/>
      <c r="Y433" s="47"/>
      <c r="Z433" s="47"/>
    </row>
    <row r="434">
      <c r="A434" s="57"/>
      <c r="B434" s="58"/>
      <c r="C434" s="58"/>
      <c r="D434" s="58"/>
      <c r="E434" s="47"/>
      <c r="F434" s="47"/>
      <c r="G434" s="47"/>
      <c r="H434" s="47"/>
      <c r="I434" s="47"/>
      <c r="J434" s="47"/>
      <c r="K434" s="47"/>
      <c r="L434" s="47"/>
      <c r="M434" s="47"/>
      <c r="N434" s="47"/>
      <c r="O434" s="47"/>
      <c r="P434" s="47"/>
      <c r="Q434" s="47"/>
      <c r="R434" s="47"/>
      <c r="S434" s="47"/>
      <c r="T434" s="47"/>
      <c r="U434" s="47"/>
      <c r="V434" s="47"/>
      <c r="W434" s="47"/>
      <c r="X434" s="47"/>
      <c r="Y434" s="47"/>
      <c r="Z434" s="47"/>
    </row>
    <row r="435">
      <c r="A435" s="57"/>
      <c r="B435" s="58"/>
      <c r="C435" s="58"/>
      <c r="D435" s="58"/>
      <c r="E435" s="47"/>
      <c r="F435" s="47"/>
      <c r="G435" s="47"/>
      <c r="H435" s="47"/>
      <c r="I435" s="47"/>
      <c r="J435" s="47"/>
      <c r="K435" s="47"/>
      <c r="L435" s="47"/>
      <c r="M435" s="47"/>
      <c r="N435" s="47"/>
      <c r="O435" s="47"/>
      <c r="P435" s="47"/>
      <c r="Q435" s="47"/>
      <c r="R435" s="47"/>
      <c r="S435" s="47"/>
      <c r="T435" s="47"/>
      <c r="U435" s="47"/>
      <c r="V435" s="47"/>
      <c r="W435" s="47"/>
      <c r="X435" s="47"/>
      <c r="Y435" s="47"/>
      <c r="Z435" s="47"/>
    </row>
    <row r="436">
      <c r="A436" s="57"/>
      <c r="B436" s="58"/>
      <c r="C436" s="58"/>
      <c r="D436" s="58"/>
      <c r="E436" s="47"/>
      <c r="F436" s="47"/>
      <c r="G436" s="47"/>
      <c r="H436" s="47"/>
      <c r="I436" s="47"/>
      <c r="J436" s="47"/>
      <c r="K436" s="47"/>
      <c r="L436" s="47"/>
      <c r="M436" s="47"/>
      <c r="N436" s="47"/>
      <c r="O436" s="47"/>
      <c r="P436" s="47"/>
      <c r="Q436" s="47"/>
      <c r="R436" s="47"/>
      <c r="S436" s="47"/>
      <c r="T436" s="47"/>
      <c r="U436" s="47"/>
      <c r="V436" s="47"/>
      <c r="W436" s="47"/>
      <c r="X436" s="47"/>
      <c r="Y436" s="47"/>
      <c r="Z436" s="47"/>
    </row>
    <row r="437">
      <c r="A437" s="57"/>
      <c r="B437" s="58"/>
      <c r="C437" s="58"/>
      <c r="D437" s="58"/>
      <c r="E437" s="47"/>
      <c r="F437" s="47"/>
      <c r="G437" s="47"/>
      <c r="H437" s="47"/>
      <c r="I437" s="47"/>
      <c r="J437" s="47"/>
      <c r="K437" s="47"/>
      <c r="L437" s="47"/>
      <c r="M437" s="47"/>
      <c r="N437" s="47"/>
      <c r="O437" s="47"/>
      <c r="P437" s="47"/>
      <c r="Q437" s="47"/>
      <c r="R437" s="47"/>
      <c r="S437" s="47"/>
      <c r="T437" s="47"/>
      <c r="U437" s="47"/>
      <c r="V437" s="47"/>
      <c r="W437" s="47"/>
      <c r="X437" s="47"/>
      <c r="Y437" s="47"/>
      <c r="Z437" s="47"/>
    </row>
    <row r="438">
      <c r="A438" s="57"/>
      <c r="B438" s="58"/>
      <c r="C438" s="58"/>
      <c r="D438" s="58"/>
      <c r="E438" s="47"/>
      <c r="F438" s="47"/>
      <c r="G438" s="47"/>
      <c r="H438" s="47"/>
      <c r="I438" s="47"/>
      <c r="J438" s="47"/>
      <c r="K438" s="47"/>
      <c r="L438" s="47"/>
      <c r="M438" s="47"/>
      <c r="N438" s="47"/>
      <c r="O438" s="47"/>
      <c r="P438" s="47"/>
      <c r="Q438" s="47"/>
      <c r="R438" s="47"/>
      <c r="S438" s="47"/>
      <c r="T438" s="47"/>
      <c r="U438" s="47"/>
      <c r="V438" s="47"/>
      <c r="W438" s="47"/>
      <c r="X438" s="47"/>
      <c r="Y438" s="47"/>
      <c r="Z438" s="47"/>
    </row>
    <row r="439">
      <c r="A439" s="57"/>
      <c r="B439" s="58"/>
      <c r="C439" s="58"/>
      <c r="D439" s="58"/>
      <c r="E439" s="47"/>
      <c r="F439" s="47"/>
      <c r="G439" s="47"/>
      <c r="H439" s="47"/>
      <c r="I439" s="47"/>
      <c r="J439" s="47"/>
      <c r="K439" s="47"/>
      <c r="L439" s="47"/>
      <c r="M439" s="47"/>
      <c r="N439" s="47"/>
      <c r="O439" s="47"/>
      <c r="P439" s="47"/>
      <c r="Q439" s="47"/>
      <c r="R439" s="47"/>
      <c r="S439" s="47"/>
      <c r="T439" s="47"/>
      <c r="U439" s="47"/>
      <c r="V439" s="47"/>
      <c r="W439" s="47"/>
      <c r="X439" s="47"/>
      <c r="Y439" s="47"/>
      <c r="Z439" s="47"/>
    </row>
    <row r="440">
      <c r="A440" s="57"/>
      <c r="B440" s="58"/>
      <c r="C440" s="58"/>
      <c r="D440" s="58"/>
      <c r="E440" s="47"/>
      <c r="F440" s="47"/>
      <c r="G440" s="47"/>
      <c r="H440" s="47"/>
      <c r="I440" s="47"/>
      <c r="J440" s="47"/>
      <c r="K440" s="47"/>
      <c r="L440" s="47"/>
      <c r="M440" s="47"/>
      <c r="N440" s="47"/>
      <c r="O440" s="47"/>
      <c r="P440" s="47"/>
      <c r="Q440" s="47"/>
      <c r="R440" s="47"/>
      <c r="S440" s="47"/>
      <c r="T440" s="47"/>
      <c r="U440" s="47"/>
      <c r="V440" s="47"/>
      <c r="W440" s="47"/>
      <c r="X440" s="47"/>
      <c r="Y440" s="47"/>
      <c r="Z440" s="47"/>
    </row>
    <row r="441">
      <c r="A441" s="57"/>
      <c r="B441" s="58"/>
      <c r="C441" s="58"/>
      <c r="D441" s="58"/>
      <c r="E441" s="47"/>
      <c r="F441" s="47"/>
      <c r="G441" s="47"/>
      <c r="H441" s="47"/>
      <c r="I441" s="47"/>
      <c r="J441" s="47"/>
      <c r="K441" s="47"/>
      <c r="L441" s="47"/>
      <c r="M441" s="47"/>
      <c r="N441" s="47"/>
      <c r="O441" s="47"/>
      <c r="P441" s="47"/>
      <c r="Q441" s="47"/>
      <c r="R441" s="47"/>
      <c r="S441" s="47"/>
      <c r="T441" s="47"/>
      <c r="U441" s="47"/>
      <c r="V441" s="47"/>
      <c r="W441" s="47"/>
      <c r="X441" s="47"/>
      <c r="Y441" s="47"/>
      <c r="Z441" s="47"/>
    </row>
    <row r="442">
      <c r="A442" s="57"/>
      <c r="B442" s="58"/>
      <c r="C442" s="58"/>
      <c r="D442" s="58"/>
      <c r="E442" s="47"/>
      <c r="F442" s="47"/>
      <c r="G442" s="47"/>
      <c r="H442" s="47"/>
      <c r="I442" s="47"/>
      <c r="J442" s="47"/>
      <c r="K442" s="47"/>
      <c r="L442" s="47"/>
      <c r="M442" s="47"/>
      <c r="N442" s="47"/>
      <c r="O442" s="47"/>
      <c r="P442" s="47"/>
      <c r="Q442" s="47"/>
      <c r="R442" s="47"/>
      <c r="S442" s="47"/>
      <c r="T442" s="47"/>
      <c r="U442" s="47"/>
      <c r="V442" s="47"/>
      <c r="W442" s="47"/>
      <c r="X442" s="47"/>
      <c r="Y442" s="47"/>
      <c r="Z442" s="47"/>
    </row>
    <row r="443">
      <c r="A443" s="57"/>
      <c r="B443" s="58"/>
      <c r="C443" s="58"/>
      <c r="D443" s="58"/>
      <c r="E443" s="47"/>
      <c r="F443" s="47"/>
      <c r="G443" s="47"/>
      <c r="H443" s="47"/>
      <c r="I443" s="47"/>
      <c r="J443" s="47"/>
      <c r="K443" s="47"/>
      <c r="L443" s="47"/>
      <c r="M443" s="47"/>
      <c r="N443" s="47"/>
      <c r="O443" s="47"/>
      <c r="P443" s="47"/>
      <c r="Q443" s="47"/>
      <c r="R443" s="47"/>
      <c r="S443" s="47"/>
      <c r="T443" s="47"/>
      <c r="U443" s="47"/>
      <c r="V443" s="47"/>
      <c r="W443" s="47"/>
      <c r="X443" s="47"/>
      <c r="Y443" s="47"/>
      <c r="Z443" s="47"/>
    </row>
    <row r="444">
      <c r="A444" s="57"/>
      <c r="B444" s="58"/>
      <c r="C444" s="58"/>
      <c r="D444" s="58"/>
      <c r="E444" s="47"/>
      <c r="F444" s="47"/>
      <c r="G444" s="47"/>
      <c r="H444" s="47"/>
      <c r="I444" s="47"/>
      <c r="J444" s="47"/>
      <c r="K444" s="47"/>
      <c r="L444" s="47"/>
      <c r="M444" s="47"/>
      <c r="N444" s="47"/>
      <c r="O444" s="47"/>
      <c r="P444" s="47"/>
      <c r="Q444" s="47"/>
      <c r="R444" s="47"/>
      <c r="S444" s="47"/>
      <c r="T444" s="47"/>
      <c r="U444" s="47"/>
      <c r="V444" s="47"/>
      <c r="W444" s="47"/>
      <c r="X444" s="47"/>
      <c r="Y444" s="47"/>
      <c r="Z444" s="47"/>
    </row>
    <row r="445">
      <c r="A445" s="57"/>
      <c r="B445" s="58"/>
      <c r="C445" s="58"/>
      <c r="D445" s="58"/>
      <c r="E445" s="47"/>
      <c r="F445" s="47"/>
      <c r="G445" s="47"/>
      <c r="H445" s="47"/>
      <c r="I445" s="47"/>
      <c r="J445" s="47"/>
      <c r="K445" s="47"/>
      <c r="L445" s="47"/>
      <c r="M445" s="47"/>
      <c r="N445" s="47"/>
      <c r="O445" s="47"/>
      <c r="P445" s="47"/>
      <c r="Q445" s="47"/>
      <c r="R445" s="47"/>
      <c r="S445" s="47"/>
      <c r="T445" s="47"/>
      <c r="U445" s="47"/>
      <c r="V445" s="47"/>
      <c r="W445" s="47"/>
      <c r="X445" s="47"/>
      <c r="Y445" s="47"/>
      <c r="Z445" s="47"/>
    </row>
    <row r="446">
      <c r="A446" s="57"/>
      <c r="B446" s="58"/>
      <c r="C446" s="58"/>
      <c r="D446" s="58"/>
      <c r="E446" s="47"/>
      <c r="F446" s="47"/>
      <c r="G446" s="47"/>
      <c r="H446" s="47"/>
      <c r="I446" s="47"/>
      <c r="J446" s="47"/>
      <c r="K446" s="47"/>
      <c r="L446" s="47"/>
      <c r="M446" s="47"/>
      <c r="N446" s="47"/>
      <c r="O446" s="47"/>
      <c r="P446" s="47"/>
      <c r="Q446" s="47"/>
      <c r="R446" s="47"/>
      <c r="S446" s="47"/>
      <c r="T446" s="47"/>
      <c r="U446" s="47"/>
      <c r="V446" s="47"/>
      <c r="W446" s="47"/>
      <c r="X446" s="47"/>
      <c r="Y446" s="47"/>
      <c r="Z446" s="47"/>
    </row>
    <row r="447">
      <c r="A447" s="57"/>
      <c r="B447" s="58"/>
      <c r="C447" s="58"/>
      <c r="D447" s="58"/>
      <c r="E447" s="47"/>
      <c r="F447" s="47"/>
      <c r="G447" s="47"/>
      <c r="H447" s="47"/>
      <c r="I447" s="47"/>
      <c r="J447" s="47"/>
      <c r="K447" s="47"/>
      <c r="L447" s="47"/>
      <c r="M447" s="47"/>
      <c r="N447" s="47"/>
      <c r="O447" s="47"/>
      <c r="P447" s="47"/>
      <c r="Q447" s="47"/>
      <c r="R447" s="47"/>
      <c r="S447" s="47"/>
      <c r="T447" s="47"/>
      <c r="U447" s="47"/>
      <c r="V447" s="47"/>
      <c r="W447" s="47"/>
      <c r="X447" s="47"/>
      <c r="Y447" s="47"/>
      <c r="Z447" s="47"/>
    </row>
    <row r="448">
      <c r="A448" s="57"/>
      <c r="B448" s="58"/>
      <c r="C448" s="58"/>
      <c r="D448" s="58"/>
      <c r="E448" s="47"/>
      <c r="F448" s="47"/>
      <c r="G448" s="47"/>
      <c r="H448" s="47"/>
      <c r="I448" s="47"/>
      <c r="J448" s="47"/>
      <c r="K448" s="47"/>
      <c r="L448" s="47"/>
      <c r="M448" s="47"/>
      <c r="N448" s="47"/>
      <c r="O448" s="47"/>
      <c r="P448" s="47"/>
      <c r="Q448" s="47"/>
      <c r="R448" s="47"/>
      <c r="S448" s="47"/>
      <c r="T448" s="47"/>
      <c r="U448" s="47"/>
      <c r="V448" s="47"/>
      <c r="W448" s="47"/>
      <c r="X448" s="47"/>
      <c r="Y448" s="47"/>
      <c r="Z448" s="47"/>
    </row>
    <row r="449">
      <c r="A449" s="57"/>
      <c r="B449" s="58"/>
      <c r="C449" s="58"/>
      <c r="D449" s="58"/>
      <c r="E449" s="47"/>
      <c r="F449" s="47"/>
      <c r="G449" s="47"/>
      <c r="H449" s="47"/>
      <c r="I449" s="47"/>
      <c r="J449" s="47"/>
      <c r="K449" s="47"/>
      <c r="L449" s="47"/>
      <c r="M449" s="47"/>
      <c r="N449" s="47"/>
      <c r="O449" s="47"/>
      <c r="P449" s="47"/>
      <c r="Q449" s="47"/>
      <c r="R449" s="47"/>
      <c r="S449" s="47"/>
      <c r="T449" s="47"/>
      <c r="U449" s="47"/>
      <c r="V449" s="47"/>
      <c r="W449" s="47"/>
      <c r="X449" s="47"/>
      <c r="Y449" s="47"/>
      <c r="Z449" s="47"/>
    </row>
    <row r="450">
      <c r="A450" s="57"/>
      <c r="B450" s="58"/>
      <c r="C450" s="58"/>
      <c r="D450" s="58"/>
      <c r="E450" s="47"/>
      <c r="F450" s="47"/>
      <c r="G450" s="47"/>
      <c r="H450" s="47"/>
      <c r="I450" s="47"/>
      <c r="J450" s="47"/>
      <c r="K450" s="47"/>
      <c r="L450" s="47"/>
      <c r="M450" s="47"/>
      <c r="N450" s="47"/>
      <c r="O450" s="47"/>
      <c r="P450" s="47"/>
      <c r="Q450" s="47"/>
      <c r="R450" s="47"/>
      <c r="S450" s="47"/>
      <c r="T450" s="47"/>
      <c r="U450" s="47"/>
      <c r="V450" s="47"/>
      <c r="W450" s="47"/>
      <c r="X450" s="47"/>
      <c r="Y450" s="47"/>
      <c r="Z450" s="47"/>
    </row>
    <row r="451">
      <c r="A451" s="57"/>
      <c r="B451" s="58"/>
      <c r="C451" s="58"/>
      <c r="D451" s="58"/>
      <c r="E451" s="47"/>
      <c r="F451" s="47"/>
      <c r="G451" s="47"/>
      <c r="H451" s="47"/>
      <c r="I451" s="47"/>
      <c r="J451" s="47"/>
      <c r="K451" s="47"/>
      <c r="L451" s="47"/>
      <c r="M451" s="47"/>
      <c r="N451" s="47"/>
      <c r="O451" s="47"/>
      <c r="P451" s="47"/>
      <c r="Q451" s="47"/>
      <c r="R451" s="47"/>
      <c r="S451" s="47"/>
      <c r="T451" s="47"/>
      <c r="U451" s="47"/>
      <c r="V451" s="47"/>
      <c r="W451" s="47"/>
      <c r="X451" s="47"/>
      <c r="Y451" s="47"/>
      <c r="Z451" s="47"/>
    </row>
    <row r="452">
      <c r="A452" s="57"/>
      <c r="B452" s="58"/>
      <c r="C452" s="58"/>
      <c r="D452" s="58"/>
      <c r="E452" s="47"/>
      <c r="F452" s="47"/>
      <c r="G452" s="47"/>
      <c r="H452" s="47"/>
      <c r="I452" s="47"/>
      <c r="J452" s="47"/>
      <c r="K452" s="47"/>
      <c r="L452" s="47"/>
      <c r="M452" s="47"/>
      <c r="N452" s="47"/>
      <c r="O452" s="47"/>
      <c r="P452" s="47"/>
      <c r="Q452" s="47"/>
      <c r="R452" s="47"/>
      <c r="S452" s="47"/>
      <c r="T452" s="47"/>
      <c r="U452" s="47"/>
      <c r="V452" s="47"/>
      <c r="W452" s="47"/>
      <c r="X452" s="47"/>
      <c r="Y452" s="47"/>
      <c r="Z452" s="47"/>
    </row>
    <row r="453">
      <c r="A453" s="57"/>
      <c r="B453" s="58"/>
      <c r="C453" s="58"/>
      <c r="D453" s="58"/>
      <c r="E453" s="47"/>
      <c r="F453" s="47"/>
      <c r="G453" s="47"/>
      <c r="H453" s="47"/>
      <c r="I453" s="47"/>
      <c r="J453" s="47"/>
      <c r="K453" s="47"/>
      <c r="L453" s="47"/>
      <c r="M453" s="47"/>
      <c r="N453" s="47"/>
      <c r="O453" s="47"/>
      <c r="P453" s="47"/>
      <c r="Q453" s="47"/>
      <c r="R453" s="47"/>
      <c r="S453" s="47"/>
      <c r="T453" s="47"/>
      <c r="U453" s="47"/>
      <c r="V453" s="47"/>
      <c r="W453" s="47"/>
      <c r="X453" s="47"/>
      <c r="Y453" s="47"/>
      <c r="Z453" s="47"/>
    </row>
    <row r="454">
      <c r="A454" s="57"/>
      <c r="B454" s="58"/>
      <c r="C454" s="58"/>
      <c r="D454" s="58"/>
      <c r="E454" s="47"/>
      <c r="F454" s="47"/>
      <c r="G454" s="47"/>
      <c r="H454" s="47"/>
      <c r="I454" s="47"/>
      <c r="J454" s="47"/>
      <c r="K454" s="47"/>
      <c r="L454" s="47"/>
      <c r="M454" s="47"/>
      <c r="N454" s="47"/>
      <c r="O454" s="47"/>
      <c r="P454" s="47"/>
      <c r="Q454" s="47"/>
      <c r="R454" s="47"/>
      <c r="S454" s="47"/>
      <c r="T454" s="47"/>
      <c r="U454" s="47"/>
      <c r="V454" s="47"/>
      <c r="W454" s="47"/>
      <c r="X454" s="47"/>
      <c r="Y454" s="47"/>
      <c r="Z454" s="47"/>
    </row>
    <row r="455">
      <c r="A455" s="57"/>
      <c r="B455" s="58"/>
      <c r="C455" s="58"/>
      <c r="D455" s="58"/>
      <c r="E455" s="47"/>
      <c r="F455" s="47"/>
      <c r="G455" s="47"/>
      <c r="H455" s="47"/>
      <c r="I455" s="47"/>
      <c r="J455" s="47"/>
      <c r="K455" s="47"/>
      <c r="L455" s="47"/>
      <c r="M455" s="47"/>
      <c r="N455" s="47"/>
      <c r="O455" s="47"/>
      <c r="P455" s="47"/>
      <c r="Q455" s="47"/>
      <c r="R455" s="47"/>
      <c r="S455" s="47"/>
      <c r="T455" s="47"/>
      <c r="U455" s="47"/>
      <c r="V455" s="47"/>
      <c r="W455" s="47"/>
      <c r="X455" s="47"/>
      <c r="Y455" s="47"/>
      <c r="Z455" s="47"/>
    </row>
    <row r="456">
      <c r="A456" s="57"/>
      <c r="B456" s="58"/>
      <c r="C456" s="58"/>
      <c r="D456" s="58"/>
      <c r="E456" s="47"/>
      <c r="F456" s="47"/>
      <c r="G456" s="47"/>
      <c r="H456" s="47"/>
      <c r="I456" s="47"/>
      <c r="J456" s="47"/>
      <c r="K456" s="47"/>
      <c r="L456" s="47"/>
      <c r="M456" s="47"/>
      <c r="N456" s="47"/>
      <c r="O456" s="47"/>
      <c r="P456" s="47"/>
      <c r="Q456" s="47"/>
      <c r="R456" s="47"/>
      <c r="S456" s="47"/>
      <c r="T456" s="47"/>
      <c r="U456" s="47"/>
      <c r="V456" s="47"/>
      <c r="W456" s="47"/>
      <c r="X456" s="47"/>
      <c r="Y456" s="47"/>
      <c r="Z456" s="47"/>
    </row>
    <row r="457">
      <c r="A457" s="57"/>
      <c r="B457" s="58"/>
      <c r="C457" s="58"/>
      <c r="D457" s="58"/>
      <c r="E457" s="47"/>
      <c r="F457" s="47"/>
      <c r="G457" s="47"/>
      <c r="H457" s="47"/>
      <c r="I457" s="47"/>
      <c r="J457" s="47"/>
      <c r="K457" s="47"/>
      <c r="L457" s="47"/>
      <c r="M457" s="47"/>
      <c r="N457" s="47"/>
      <c r="O457" s="47"/>
      <c r="P457" s="47"/>
      <c r="Q457" s="47"/>
      <c r="R457" s="47"/>
      <c r="S457" s="47"/>
      <c r="T457" s="47"/>
      <c r="U457" s="47"/>
      <c r="V457" s="47"/>
      <c r="W457" s="47"/>
      <c r="X457" s="47"/>
      <c r="Y457" s="47"/>
      <c r="Z457" s="47"/>
    </row>
    <row r="458">
      <c r="A458" s="57"/>
      <c r="B458" s="58"/>
      <c r="C458" s="58"/>
      <c r="D458" s="58"/>
      <c r="E458" s="47"/>
      <c r="F458" s="47"/>
      <c r="G458" s="47"/>
      <c r="H458" s="47"/>
      <c r="I458" s="47"/>
      <c r="J458" s="47"/>
      <c r="K458" s="47"/>
      <c r="L458" s="47"/>
      <c r="M458" s="47"/>
      <c r="N458" s="47"/>
      <c r="O458" s="47"/>
      <c r="P458" s="47"/>
      <c r="Q458" s="47"/>
      <c r="R458" s="47"/>
      <c r="S458" s="47"/>
      <c r="T458" s="47"/>
      <c r="U458" s="47"/>
      <c r="V458" s="47"/>
      <c r="W458" s="47"/>
      <c r="X458" s="47"/>
      <c r="Y458" s="47"/>
      <c r="Z458" s="47"/>
    </row>
    <row r="459">
      <c r="A459" s="57"/>
      <c r="B459" s="58"/>
      <c r="C459" s="58"/>
      <c r="D459" s="58"/>
      <c r="E459" s="47"/>
      <c r="F459" s="47"/>
      <c r="G459" s="47"/>
      <c r="H459" s="47"/>
      <c r="I459" s="47"/>
      <c r="J459" s="47"/>
      <c r="K459" s="47"/>
      <c r="L459" s="47"/>
      <c r="M459" s="47"/>
      <c r="N459" s="47"/>
      <c r="O459" s="47"/>
      <c r="P459" s="47"/>
      <c r="Q459" s="47"/>
      <c r="R459" s="47"/>
      <c r="S459" s="47"/>
      <c r="T459" s="47"/>
      <c r="U459" s="47"/>
      <c r="V459" s="47"/>
      <c r="W459" s="47"/>
      <c r="X459" s="47"/>
      <c r="Y459" s="47"/>
      <c r="Z459" s="47"/>
    </row>
    <row r="460">
      <c r="A460" s="57"/>
      <c r="B460" s="58"/>
      <c r="C460" s="58"/>
      <c r="D460" s="58"/>
      <c r="E460" s="47"/>
      <c r="F460" s="47"/>
      <c r="G460" s="47"/>
      <c r="H460" s="47"/>
      <c r="I460" s="47"/>
      <c r="J460" s="47"/>
      <c r="K460" s="47"/>
      <c r="L460" s="47"/>
      <c r="M460" s="47"/>
      <c r="N460" s="47"/>
      <c r="O460" s="47"/>
      <c r="P460" s="47"/>
      <c r="Q460" s="47"/>
      <c r="R460" s="47"/>
      <c r="S460" s="47"/>
      <c r="T460" s="47"/>
      <c r="U460" s="47"/>
      <c r="V460" s="47"/>
      <c r="W460" s="47"/>
      <c r="X460" s="47"/>
      <c r="Y460" s="47"/>
      <c r="Z460" s="47"/>
    </row>
    <row r="461">
      <c r="A461" s="57"/>
      <c r="B461" s="58"/>
      <c r="C461" s="58"/>
      <c r="D461" s="58"/>
      <c r="E461" s="47"/>
      <c r="F461" s="47"/>
      <c r="G461" s="47"/>
      <c r="H461" s="47"/>
      <c r="I461" s="47"/>
      <c r="J461" s="47"/>
      <c r="K461" s="47"/>
      <c r="L461" s="47"/>
      <c r="M461" s="47"/>
      <c r="N461" s="47"/>
      <c r="O461" s="47"/>
      <c r="P461" s="47"/>
      <c r="Q461" s="47"/>
      <c r="R461" s="47"/>
      <c r="S461" s="47"/>
      <c r="T461" s="47"/>
      <c r="U461" s="47"/>
      <c r="V461" s="47"/>
      <c r="W461" s="47"/>
      <c r="X461" s="47"/>
      <c r="Y461" s="47"/>
      <c r="Z461" s="47"/>
    </row>
    <row r="462">
      <c r="A462" s="57"/>
      <c r="B462" s="58"/>
      <c r="C462" s="58"/>
      <c r="D462" s="58"/>
      <c r="E462" s="47"/>
      <c r="F462" s="47"/>
      <c r="G462" s="47"/>
      <c r="H462" s="47"/>
      <c r="I462" s="47"/>
      <c r="J462" s="47"/>
      <c r="K462" s="47"/>
      <c r="L462" s="47"/>
      <c r="M462" s="47"/>
      <c r="N462" s="47"/>
      <c r="O462" s="47"/>
      <c r="P462" s="47"/>
      <c r="Q462" s="47"/>
      <c r="R462" s="47"/>
      <c r="S462" s="47"/>
      <c r="T462" s="47"/>
      <c r="U462" s="47"/>
      <c r="V462" s="47"/>
      <c r="W462" s="47"/>
      <c r="X462" s="47"/>
      <c r="Y462" s="47"/>
      <c r="Z462" s="47"/>
    </row>
    <row r="463">
      <c r="A463" s="57"/>
      <c r="B463" s="58"/>
      <c r="C463" s="58"/>
      <c r="D463" s="58"/>
      <c r="E463" s="47"/>
      <c r="F463" s="47"/>
      <c r="G463" s="47"/>
      <c r="H463" s="47"/>
      <c r="I463" s="47"/>
      <c r="J463" s="47"/>
      <c r="K463" s="47"/>
      <c r="L463" s="47"/>
      <c r="M463" s="47"/>
      <c r="N463" s="47"/>
      <c r="O463" s="47"/>
      <c r="P463" s="47"/>
      <c r="Q463" s="47"/>
      <c r="R463" s="47"/>
      <c r="S463" s="47"/>
      <c r="T463" s="47"/>
      <c r="U463" s="47"/>
      <c r="V463" s="47"/>
      <c r="W463" s="47"/>
      <c r="X463" s="47"/>
      <c r="Y463" s="47"/>
      <c r="Z463" s="47"/>
    </row>
    <row r="464">
      <c r="A464" s="57"/>
      <c r="B464" s="58"/>
      <c r="C464" s="58"/>
      <c r="D464" s="58"/>
      <c r="E464" s="47"/>
      <c r="F464" s="47"/>
      <c r="G464" s="47"/>
      <c r="H464" s="47"/>
      <c r="I464" s="47"/>
      <c r="J464" s="47"/>
      <c r="K464" s="47"/>
      <c r="L464" s="47"/>
      <c r="M464" s="47"/>
      <c r="N464" s="47"/>
      <c r="O464" s="47"/>
      <c r="P464" s="47"/>
      <c r="Q464" s="47"/>
      <c r="R464" s="47"/>
      <c r="S464" s="47"/>
      <c r="T464" s="47"/>
      <c r="U464" s="47"/>
      <c r="V464" s="47"/>
      <c r="W464" s="47"/>
      <c r="X464" s="47"/>
      <c r="Y464" s="47"/>
      <c r="Z464" s="47"/>
    </row>
    <row r="465">
      <c r="A465" s="57"/>
      <c r="B465" s="58"/>
      <c r="C465" s="58"/>
      <c r="D465" s="58"/>
      <c r="E465" s="47"/>
      <c r="F465" s="47"/>
      <c r="G465" s="47"/>
      <c r="H465" s="47"/>
      <c r="I465" s="47"/>
      <c r="J465" s="47"/>
      <c r="K465" s="47"/>
      <c r="L465" s="47"/>
      <c r="M465" s="47"/>
      <c r="N465" s="47"/>
      <c r="O465" s="47"/>
      <c r="P465" s="47"/>
      <c r="Q465" s="47"/>
      <c r="R465" s="47"/>
      <c r="S465" s="47"/>
      <c r="T465" s="47"/>
      <c r="U465" s="47"/>
      <c r="V465" s="47"/>
      <c r="W465" s="47"/>
      <c r="X465" s="47"/>
      <c r="Y465" s="47"/>
      <c r="Z465" s="47"/>
    </row>
    <row r="466">
      <c r="A466" s="57"/>
      <c r="B466" s="58"/>
      <c r="C466" s="58"/>
      <c r="D466" s="58"/>
      <c r="E466" s="47"/>
      <c r="F466" s="47"/>
      <c r="G466" s="47"/>
      <c r="H466" s="47"/>
      <c r="I466" s="47"/>
      <c r="J466" s="47"/>
      <c r="K466" s="47"/>
      <c r="L466" s="47"/>
      <c r="M466" s="47"/>
      <c r="N466" s="47"/>
      <c r="O466" s="47"/>
      <c r="P466" s="47"/>
      <c r="Q466" s="47"/>
      <c r="R466" s="47"/>
      <c r="S466" s="47"/>
      <c r="T466" s="47"/>
      <c r="U466" s="47"/>
      <c r="V466" s="47"/>
      <c r="W466" s="47"/>
      <c r="X466" s="47"/>
      <c r="Y466" s="47"/>
      <c r="Z466" s="47"/>
    </row>
    <row r="467">
      <c r="A467" s="57"/>
      <c r="B467" s="58"/>
      <c r="C467" s="58"/>
      <c r="D467" s="58"/>
      <c r="E467" s="47"/>
      <c r="F467" s="47"/>
      <c r="G467" s="47"/>
      <c r="H467" s="47"/>
      <c r="I467" s="47"/>
      <c r="J467" s="47"/>
      <c r="K467" s="47"/>
      <c r="L467" s="47"/>
      <c r="M467" s="47"/>
      <c r="N467" s="47"/>
      <c r="O467" s="47"/>
      <c r="P467" s="47"/>
      <c r="Q467" s="47"/>
      <c r="R467" s="47"/>
      <c r="S467" s="47"/>
      <c r="T467" s="47"/>
      <c r="U467" s="47"/>
      <c r="V467" s="47"/>
      <c r="W467" s="47"/>
      <c r="X467" s="47"/>
      <c r="Y467" s="47"/>
      <c r="Z467" s="47"/>
    </row>
    <row r="468">
      <c r="A468" s="57"/>
      <c r="B468" s="58"/>
      <c r="C468" s="58"/>
      <c r="D468" s="58"/>
      <c r="E468" s="47"/>
      <c r="F468" s="47"/>
      <c r="G468" s="47"/>
      <c r="H468" s="47"/>
      <c r="I468" s="47"/>
      <c r="J468" s="47"/>
      <c r="K468" s="47"/>
      <c r="L468" s="47"/>
      <c r="M468" s="47"/>
      <c r="N468" s="47"/>
      <c r="O468" s="47"/>
      <c r="P468" s="47"/>
      <c r="Q468" s="47"/>
      <c r="R468" s="47"/>
      <c r="S468" s="47"/>
      <c r="T468" s="47"/>
      <c r="U468" s="47"/>
      <c r="V468" s="47"/>
      <c r="W468" s="47"/>
      <c r="X468" s="47"/>
      <c r="Y468" s="47"/>
      <c r="Z468" s="47"/>
    </row>
    <row r="469">
      <c r="A469" s="57"/>
      <c r="B469" s="58"/>
      <c r="C469" s="58"/>
      <c r="D469" s="58"/>
      <c r="E469" s="47"/>
      <c r="F469" s="47"/>
      <c r="G469" s="47"/>
      <c r="H469" s="47"/>
      <c r="I469" s="47"/>
      <c r="J469" s="47"/>
      <c r="K469" s="47"/>
      <c r="L469" s="47"/>
      <c r="M469" s="47"/>
      <c r="N469" s="47"/>
      <c r="O469" s="47"/>
      <c r="P469" s="47"/>
      <c r="Q469" s="47"/>
      <c r="R469" s="47"/>
      <c r="S469" s="47"/>
      <c r="T469" s="47"/>
      <c r="U469" s="47"/>
      <c r="V469" s="47"/>
      <c r="W469" s="47"/>
      <c r="X469" s="47"/>
      <c r="Y469" s="47"/>
      <c r="Z469" s="47"/>
    </row>
    <row r="470">
      <c r="A470" s="57"/>
      <c r="B470" s="58"/>
      <c r="C470" s="58"/>
      <c r="D470" s="58"/>
      <c r="E470" s="47"/>
      <c r="F470" s="47"/>
      <c r="G470" s="47"/>
      <c r="H470" s="47"/>
      <c r="I470" s="47"/>
      <c r="J470" s="47"/>
      <c r="K470" s="47"/>
      <c r="L470" s="47"/>
      <c r="M470" s="47"/>
      <c r="N470" s="47"/>
      <c r="O470" s="47"/>
      <c r="P470" s="47"/>
      <c r="Q470" s="47"/>
      <c r="R470" s="47"/>
      <c r="S470" s="47"/>
      <c r="T470" s="47"/>
      <c r="U470" s="47"/>
      <c r="V470" s="47"/>
      <c r="W470" s="47"/>
      <c r="X470" s="47"/>
      <c r="Y470" s="47"/>
      <c r="Z470" s="47"/>
    </row>
    <row r="471">
      <c r="A471" s="57"/>
      <c r="B471" s="58"/>
      <c r="C471" s="58"/>
      <c r="D471" s="58"/>
      <c r="E471" s="47"/>
      <c r="F471" s="47"/>
      <c r="G471" s="47"/>
      <c r="H471" s="47"/>
      <c r="I471" s="47"/>
      <c r="J471" s="47"/>
      <c r="K471" s="47"/>
      <c r="L471" s="47"/>
      <c r="M471" s="47"/>
      <c r="N471" s="47"/>
      <c r="O471" s="47"/>
      <c r="P471" s="47"/>
      <c r="Q471" s="47"/>
      <c r="R471" s="47"/>
      <c r="S471" s="47"/>
      <c r="T471" s="47"/>
      <c r="U471" s="47"/>
      <c r="V471" s="47"/>
      <c r="W471" s="47"/>
      <c r="X471" s="47"/>
      <c r="Y471" s="47"/>
      <c r="Z471" s="47"/>
    </row>
    <row r="472">
      <c r="A472" s="57"/>
      <c r="B472" s="58"/>
      <c r="C472" s="58"/>
      <c r="D472" s="58"/>
      <c r="E472" s="47"/>
      <c r="F472" s="47"/>
      <c r="G472" s="47"/>
      <c r="H472" s="47"/>
      <c r="I472" s="47"/>
      <c r="J472" s="47"/>
      <c r="K472" s="47"/>
      <c r="L472" s="47"/>
      <c r="M472" s="47"/>
      <c r="N472" s="47"/>
      <c r="O472" s="47"/>
      <c r="P472" s="47"/>
      <c r="Q472" s="47"/>
      <c r="R472" s="47"/>
      <c r="S472" s="47"/>
      <c r="T472" s="47"/>
      <c r="U472" s="47"/>
      <c r="V472" s="47"/>
      <c r="W472" s="47"/>
      <c r="X472" s="47"/>
      <c r="Y472" s="47"/>
      <c r="Z472" s="47"/>
    </row>
    <row r="473">
      <c r="A473" s="57"/>
      <c r="B473" s="58"/>
      <c r="C473" s="58"/>
      <c r="D473" s="58"/>
      <c r="E473" s="47"/>
      <c r="F473" s="47"/>
      <c r="G473" s="47"/>
      <c r="H473" s="47"/>
      <c r="I473" s="47"/>
      <c r="J473" s="47"/>
      <c r="K473" s="47"/>
      <c r="L473" s="47"/>
      <c r="M473" s="47"/>
      <c r="N473" s="47"/>
      <c r="O473" s="47"/>
      <c r="P473" s="47"/>
      <c r="Q473" s="47"/>
      <c r="R473" s="47"/>
      <c r="S473" s="47"/>
      <c r="T473" s="47"/>
      <c r="U473" s="47"/>
      <c r="V473" s="47"/>
      <c r="W473" s="47"/>
      <c r="X473" s="47"/>
      <c r="Y473" s="47"/>
      <c r="Z473" s="47"/>
    </row>
    <row r="474">
      <c r="A474" s="57"/>
      <c r="B474" s="58"/>
      <c r="C474" s="58"/>
      <c r="D474" s="58"/>
      <c r="E474" s="47"/>
      <c r="F474" s="47"/>
      <c r="G474" s="47"/>
      <c r="H474" s="47"/>
      <c r="I474" s="47"/>
      <c r="J474" s="47"/>
      <c r="K474" s="47"/>
      <c r="L474" s="47"/>
      <c r="M474" s="47"/>
      <c r="N474" s="47"/>
      <c r="O474" s="47"/>
      <c r="P474" s="47"/>
      <c r="Q474" s="47"/>
      <c r="R474" s="47"/>
      <c r="S474" s="47"/>
      <c r="T474" s="47"/>
      <c r="U474" s="47"/>
      <c r="V474" s="47"/>
      <c r="W474" s="47"/>
      <c r="X474" s="47"/>
      <c r="Y474" s="47"/>
      <c r="Z474" s="47"/>
    </row>
    <row r="475">
      <c r="A475" s="57"/>
      <c r="B475" s="58"/>
      <c r="C475" s="58"/>
      <c r="D475" s="58"/>
      <c r="E475" s="47"/>
      <c r="F475" s="47"/>
      <c r="G475" s="47"/>
      <c r="H475" s="47"/>
      <c r="I475" s="47"/>
      <c r="J475" s="47"/>
      <c r="K475" s="47"/>
      <c r="L475" s="47"/>
      <c r="M475" s="47"/>
      <c r="N475" s="47"/>
      <c r="O475" s="47"/>
      <c r="P475" s="47"/>
      <c r="Q475" s="47"/>
      <c r="R475" s="47"/>
      <c r="S475" s="47"/>
      <c r="T475" s="47"/>
      <c r="U475" s="47"/>
      <c r="V475" s="47"/>
      <c r="W475" s="47"/>
      <c r="X475" s="47"/>
      <c r="Y475" s="47"/>
      <c r="Z475" s="47"/>
    </row>
    <row r="476">
      <c r="A476" s="57"/>
      <c r="B476" s="58"/>
      <c r="C476" s="58"/>
      <c r="D476" s="58"/>
      <c r="E476" s="47"/>
      <c r="F476" s="47"/>
      <c r="G476" s="47"/>
      <c r="H476" s="47"/>
      <c r="I476" s="47"/>
      <c r="J476" s="47"/>
      <c r="K476" s="47"/>
      <c r="L476" s="47"/>
      <c r="M476" s="47"/>
      <c r="N476" s="47"/>
      <c r="O476" s="47"/>
      <c r="P476" s="47"/>
      <c r="Q476" s="47"/>
      <c r="R476" s="47"/>
      <c r="S476" s="47"/>
      <c r="T476" s="47"/>
      <c r="U476" s="47"/>
      <c r="V476" s="47"/>
      <c r="W476" s="47"/>
      <c r="X476" s="47"/>
      <c r="Y476" s="47"/>
      <c r="Z476" s="47"/>
    </row>
    <row r="477">
      <c r="A477" s="57"/>
      <c r="B477" s="58"/>
      <c r="C477" s="58"/>
      <c r="D477" s="58"/>
      <c r="E477" s="47"/>
      <c r="F477" s="47"/>
      <c r="G477" s="47"/>
      <c r="H477" s="47"/>
      <c r="I477" s="47"/>
      <c r="J477" s="47"/>
      <c r="K477" s="47"/>
      <c r="L477" s="47"/>
      <c r="M477" s="47"/>
      <c r="N477" s="47"/>
      <c r="O477" s="47"/>
      <c r="P477" s="47"/>
      <c r="Q477" s="47"/>
      <c r="R477" s="47"/>
      <c r="S477" s="47"/>
      <c r="T477" s="47"/>
      <c r="U477" s="47"/>
      <c r="V477" s="47"/>
      <c r="W477" s="47"/>
      <c r="X477" s="47"/>
      <c r="Y477" s="47"/>
      <c r="Z477" s="47"/>
    </row>
    <row r="478">
      <c r="A478" s="57"/>
      <c r="B478" s="58"/>
      <c r="C478" s="58"/>
      <c r="D478" s="58"/>
      <c r="E478" s="47"/>
      <c r="F478" s="47"/>
      <c r="G478" s="47"/>
      <c r="H478" s="47"/>
      <c r="I478" s="47"/>
      <c r="J478" s="47"/>
      <c r="K478" s="47"/>
      <c r="L478" s="47"/>
      <c r="M478" s="47"/>
      <c r="N478" s="47"/>
      <c r="O478" s="47"/>
      <c r="P478" s="47"/>
      <c r="Q478" s="47"/>
      <c r="R478" s="47"/>
      <c r="S478" s="47"/>
      <c r="T478" s="47"/>
      <c r="U478" s="47"/>
      <c r="V478" s="47"/>
      <c r="W478" s="47"/>
      <c r="X478" s="47"/>
      <c r="Y478" s="47"/>
      <c r="Z478" s="47"/>
    </row>
    <row r="479">
      <c r="A479" s="57"/>
      <c r="B479" s="58"/>
      <c r="C479" s="58"/>
      <c r="D479" s="58"/>
      <c r="E479" s="47"/>
      <c r="F479" s="47"/>
      <c r="G479" s="47"/>
      <c r="H479" s="47"/>
      <c r="I479" s="47"/>
      <c r="J479" s="47"/>
      <c r="K479" s="47"/>
      <c r="L479" s="47"/>
      <c r="M479" s="47"/>
      <c r="N479" s="47"/>
      <c r="O479" s="47"/>
      <c r="P479" s="47"/>
      <c r="Q479" s="47"/>
      <c r="R479" s="47"/>
      <c r="S479" s="47"/>
      <c r="T479" s="47"/>
      <c r="U479" s="47"/>
      <c r="V479" s="47"/>
      <c r="W479" s="47"/>
      <c r="X479" s="47"/>
      <c r="Y479" s="47"/>
      <c r="Z479" s="47"/>
    </row>
    <row r="480">
      <c r="A480" s="57"/>
      <c r="B480" s="58"/>
      <c r="C480" s="58"/>
      <c r="D480" s="58"/>
      <c r="E480" s="47"/>
      <c r="F480" s="47"/>
      <c r="G480" s="47"/>
      <c r="H480" s="47"/>
      <c r="I480" s="47"/>
      <c r="J480" s="47"/>
      <c r="K480" s="47"/>
      <c r="L480" s="47"/>
      <c r="M480" s="47"/>
      <c r="N480" s="47"/>
      <c r="O480" s="47"/>
      <c r="P480" s="47"/>
      <c r="Q480" s="47"/>
      <c r="R480" s="47"/>
      <c r="S480" s="47"/>
      <c r="T480" s="47"/>
      <c r="U480" s="47"/>
      <c r="V480" s="47"/>
      <c r="W480" s="47"/>
      <c r="X480" s="47"/>
      <c r="Y480" s="47"/>
      <c r="Z480" s="47"/>
    </row>
    <row r="481">
      <c r="A481" s="57"/>
      <c r="B481" s="58"/>
      <c r="C481" s="58"/>
      <c r="D481" s="58"/>
      <c r="E481" s="47"/>
      <c r="F481" s="47"/>
      <c r="G481" s="47"/>
      <c r="H481" s="47"/>
      <c r="I481" s="47"/>
      <c r="J481" s="47"/>
      <c r="K481" s="47"/>
      <c r="L481" s="47"/>
      <c r="M481" s="47"/>
      <c r="N481" s="47"/>
      <c r="O481" s="47"/>
      <c r="P481" s="47"/>
      <c r="Q481" s="47"/>
      <c r="R481" s="47"/>
      <c r="S481" s="47"/>
      <c r="T481" s="47"/>
      <c r="U481" s="47"/>
      <c r="V481" s="47"/>
      <c r="W481" s="47"/>
      <c r="X481" s="47"/>
      <c r="Y481" s="47"/>
      <c r="Z481" s="47"/>
    </row>
    <row r="482">
      <c r="A482" s="57"/>
      <c r="B482" s="58"/>
      <c r="C482" s="58"/>
      <c r="D482" s="58"/>
      <c r="E482" s="47"/>
      <c r="F482" s="47"/>
      <c r="G482" s="47"/>
      <c r="H482" s="47"/>
      <c r="I482" s="47"/>
      <c r="J482" s="47"/>
      <c r="K482" s="47"/>
      <c r="L482" s="47"/>
      <c r="M482" s="47"/>
      <c r="N482" s="47"/>
      <c r="O482" s="47"/>
      <c r="P482" s="47"/>
      <c r="Q482" s="47"/>
      <c r="R482" s="47"/>
      <c r="S482" s="47"/>
      <c r="T482" s="47"/>
      <c r="U482" s="47"/>
      <c r="V482" s="47"/>
      <c r="W482" s="47"/>
      <c r="X482" s="47"/>
      <c r="Y482" s="47"/>
      <c r="Z482" s="47"/>
    </row>
    <row r="483">
      <c r="A483" s="57"/>
      <c r="B483" s="58"/>
      <c r="C483" s="58"/>
      <c r="D483" s="58"/>
      <c r="E483" s="47"/>
      <c r="F483" s="47"/>
      <c r="G483" s="47"/>
      <c r="H483" s="47"/>
      <c r="I483" s="47"/>
      <c r="J483" s="47"/>
      <c r="K483" s="47"/>
      <c r="L483" s="47"/>
      <c r="M483" s="47"/>
      <c r="N483" s="47"/>
      <c r="O483" s="47"/>
      <c r="P483" s="47"/>
      <c r="Q483" s="47"/>
      <c r="R483" s="47"/>
      <c r="S483" s="47"/>
      <c r="T483" s="47"/>
      <c r="U483" s="47"/>
      <c r="V483" s="47"/>
      <c r="W483" s="47"/>
      <c r="X483" s="47"/>
      <c r="Y483" s="47"/>
      <c r="Z483" s="47"/>
    </row>
    <row r="484">
      <c r="A484" s="57"/>
      <c r="B484" s="58"/>
      <c r="C484" s="58"/>
      <c r="D484" s="58"/>
      <c r="E484" s="47"/>
      <c r="F484" s="47"/>
      <c r="G484" s="47"/>
      <c r="H484" s="47"/>
      <c r="I484" s="47"/>
      <c r="J484" s="47"/>
      <c r="K484" s="47"/>
      <c r="L484" s="47"/>
      <c r="M484" s="47"/>
      <c r="N484" s="47"/>
      <c r="O484" s="47"/>
      <c r="P484" s="47"/>
      <c r="Q484" s="47"/>
      <c r="R484" s="47"/>
      <c r="S484" s="47"/>
      <c r="T484" s="47"/>
      <c r="U484" s="47"/>
      <c r="V484" s="47"/>
      <c r="W484" s="47"/>
      <c r="X484" s="47"/>
      <c r="Y484" s="47"/>
      <c r="Z484" s="47"/>
    </row>
    <row r="485">
      <c r="A485" s="57"/>
      <c r="B485" s="58"/>
      <c r="C485" s="58"/>
      <c r="D485" s="58"/>
      <c r="E485" s="47"/>
      <c r="F485" s="47"/>
      <c r="G485" s="47"/>
      <c r="H485" s="47"/>
      <c r="I485" s="47"/>
      <c r="J485" s="47"/>
      <c r="K485" s="47"/>
      <c r="L485" s="47"/>
      <c r="M485" s="47"/>
      <c r="N485" s="47"/>
      <c r="O485" s="47"/>
      <c r="P485" s="47"/>
      <c r="Q485" s="47"/>
      <c r="R485" s="47"/>
      <c r="S485" s="47"/>
      <c r="T485" s="47"/>
      <c r="U485" s="47"/>
      <c r="V485" s="47"/>
      <c r="W485" s="47"/>
      <c r="X485" s="47"/>
      <c r="Y485" s="47"/>
      <c r="Z485" s="47"/>
    </row>
    <row r="486">
      <c r="A486" s="57"/>
      <c r="B486" s="58"/>
      <c r="C486" s="58"/>
      <c r="D486" s="58"/>
      <c r="E486" s="47"/>
      <c r="F486" s="47"/>
      <c r="G486" s="47"/>
      <c r="H486" s="47"/>
      <c r="I486" s="47"/>
      <c r="J486" s="47"/>
      <c r="K486" s="47"/>
      <c r="L486" s="47"/>
      <c r="M486" s="47"/>
      <c r="N486" s="47"/>
      <c r="O486" s="47"/>
      <c r="P486" s="47"/>
      <c r="Q486" s="47"/>
      <c r="R486" s="47"/>
      <c r="S486" s="47"/>
      <c r="T486" s="47"/>
      <c r="U486" s="47"/>
      <c r="V486" s="47"/>
      <c r="W486" s="47"/>
      <c r="X486" s="47"/>
      <c r="Y486" s="47"/>
      <c r="Z486" s="47"/>
    </row>
    <row r="487">
      <c r="A487" s="57"/>
      <c r="B487" s="58"/>
      <c r="C487" s="58"/>
      <c r="D487" s="58"/>
      <c r="E487" s="47"/>
      <c r="F487" s="47"/>
      <c r="G487" s="47"/>
      <c r="H487" s="47"/>
      <c r="I487" s="47"/>
      <c r="J487" s="47"/>
      <c r="K487" s="47"/>
      <c r="L487" s="47"/>
      <c r="M487" s="47"/>
      <c r="N487" s="47"/>
      <c r="O487" s="47"/>
      <c r="P487" s="47"/>
      <c r="Q487" s="47"/>
      <c r="R487" s="47"/>
      <c r="S487" s="47"/>
      <c r="T487" s="47"/>
      <c r="U487" s="47"/>
      <c r="V487" s="47"/>
      <c r="W487" s="47"/>
      <c r="X487" s="47"/>
      <c r="Y487" s="47"/>
      <c r="Z487" s="47"/>
    </row>
    <row r="488">
      <c r="A488" s="57"/>
      <c r="B488" s="58"/>
      <c r="C488" s="58"/>
      <c r="D488" s="58"/>
      <c r="E488" s="47"/>
      <c r="F488" s="47"/>
      <c r="G488" s="47"/>
      <c r="H488" s="47"/>
      <c r="I488" s="47"/>
      <c r="J488" s="47"/>
      <c r="K488" s="47"/>
      <c r="L488" s="47"/>
      <c r="M488" s="47"/>
      <c r="N488" s="47"/>
      <c r="O488" s="47"/>
      <c r="P488" s="47"/>
      <c r="Q488" s="47"/>
      <c r="R488" s="47"/>
      <c r="S488" s="47"/>
      <c r="T488" s="47"/>
      <c r="U488" s="47"/>
      <c r="V488" s="47"/>
      <c r="W488" s="47"/>
      <c r="X488" s="47"/>
      <c r="Y488" s="47"/>
      <c r="Z488" s="47"/>
    </row>
    <row r="489">
      <c r="A489" s="57"/>
      <c r="B489" s="58"/>
      <c r="C489" s="58"/>
      <c r="D489" s="58"/>
      <c r="E489" s="47"/>
      <c r="F489" s="47"/>
      <c r="G489" s="47"/>
      <c r="H489" s="47"/>
      <c r="I489" s="47"/>
      <c r="J489" s="47"/>
      <c r="K489" s="47"/>
      <c r="L489" s="47"/>
      <c r="M489" s="47"/>
      <c r="N489" s="47"/>
      <c r="O489" s="47"/>
      <c r="P489" s="47"/>
      <c r="Q489" s="47"/>
      <c r="R489" s="47"/>
      <c r="S489" s="47"/>
      <c r="T489" s="47"/>
      <c r="U489" s="47"/>
      <c r="V489" s="47"/>
      <c r="W489" s="47"/>
      <c r="X489" s="47"/>
      <c r="Y489" s="47"/>
      <c r="Z489" s="47"/>
    </row>
    <row r="490">
      <c r="A490" s="57"/>
      <c r="B490" s="58"/>
      <c r="C490" s="58"/>
      <c r="D490" s="58"/>
      <c r="E490" s="47"/>
      <c r="F490" s="47"/>
      <c r="G490" s="47"/>
      <c r="H490" s="47"/>
      <c r="I490" s="47"/>
      <c r="J490" s="47"/>
      <c r="K490" s="47"/>
      <c r="L490" s="47"/>
      <c r="M490" s="47"/>
      <c r="N490" s="47"/>
      <c r="O490" s="47"/>
      <c r="P490" s="47"/>
      <c r="Q490" s="47"/>
      <c r="R490" s="47"/>
      <c r="S490" s="47"/>
      <c r="T490" s="47"/>
      <c r="U490" s="47"/>
      <c r="V490" s="47"/>
      <c r="W490" s="47"/>
      <c r="X490" s="47"/>
      <c r="Y490" s="47"/>
      <c r="Z490" s="47"/>
    </row>
    <row r="491">
      <c r="A491" s="57"/>
      <c r="B491" s="58"/>
      <c r="C491" s="58"/>
      <c r="D491" s="58"/>
      <c r="E491" s="47"/>
      <c r="F491" s="47"/>
      <c r="G491" s="47"/>
      <c r="H491" s="47"/>
      <c r="I491" s="47"/>
      <c r="J491" s="47"/>
      <c r="K491" s="47"/>
      <c r="L491" s="47"/>
      <c r="M491" s="47"/>
      <c r="N491" s="47"/>
      <c r="O491" s="47"/>
      <c r="P491" s="47"/>
      <c r="Q491" s="47"/>
      <c r="R491" s="47"/>
      <c r="S491" s="47"/>
      <c r="T491" s="47"/>
      <c r="U491" s="47"/>
      <c r="V491" s="47"/>
      <c r="W491" s="47"/>
      <c r="X491" s="47"/>
      <c r="Y491" s="47"/>
      <c r="Z491" s="47"/>
    </row>
    <row r="492">
      <c r="A492" s="57"/>
      <c r="B492" s="58"/>
      <c r="C492" s="58"/>
      <c r="D492" s="58"/>
      <c r="E492" s="47"/>
      <c r="F492" s="47"/>
      <c r="G492" s="47"/>
      <c r="H492" s="47"/>
      <c r="I492" s="47"/>
      <c r="J492" s="47"/>
      <c r="K492" s="47"/>
      <c r="L492" s="47"/>
      <c r="M492" s="47"/>
      <c r="N492" s="47"/>
      <c r="O492" s="47"/>
      <c r="P492" s="47"/>
      <c r="Q492" s="47"/>
      <c r="R492" s="47"/>
      <c r="S492" s="47"/>
      <c r="T492" s="47"/>
      <c r="U492" s="47"/>
      <c r="V492" s="47"/>
      <c r="W492" s="47"/>
      <c r="X492" s="47"/>
      <c r="Y492" s="47"/>
      <c r="Z492" s="47"/>
    </row>
    <row r="493">
      <c r="A493" s="57"/>
      <c r="B493" s="58"/>
      <c r="C493" s="58"/>
      <c r="D493" s="58"/>
      <c r="E493" s="47"/>
      <c r="F493" s="47"/>
      <c r="G493" s="47"/>
      <c r="H493" s="47"/>
      <c r="I493" s="47"/>
      <c r="J493" s="47"/>
      <c r="K493" s="47"/>
      <c r="L493" s="47"/>
      <c r="M493" s="47"/>
      <c r="N493" s="47"/>
      <c r="O493" s="47"/>
      <c r="P493" s="47"/>
      <c r="Q493" s="47"/>
      <c r="R493" s="47"/>
      <c r="S493" s="47"/>
      <c r="T493" s="47"/>
      <c r="U493" s="47"/>
      <c r="V493" s="47"/>
      <c r="W493" s="47"/>
      <c r="X493" s="47"/>
      <c r="Y493" s="47"/>
      <c r="Z493" s="47"/>
    </row>
    <row r="494">
      <c r="A494" s="57"/>
      <c r="B494" s="58"/>
      <c r="C494" s="58"/>
      <c r="D494" s="58"/>
      <c r="E494" s="47"/>
      <c r="F494" s="47"/>
      <c r="G494" s="47"/>
      <c r="H494" s="47"/>
      <c r="I494" s="47"/>
      <c r="J494" s="47"/>
      <c r="K494" s="47"/>
      <c r="L494" s="47"/>
      <c r="M494" s="47"/>
      <c r="N494" s="47"/>
      <c r="O494" s="47"/>
      <c r="P494" s="47"/>
      <c r="Q494" s="47"/>
      <c r="R494" s="47"/>
      <c r="S494" s="47"/>
      <c r="T494" s="47"/>
      <c r="U494" s="47"/>
      <c r="V494" s="47"/>
      <c r="W494" s="47"/>
      <c r="X494" s="47"/>
      <c r="Y494" s="47"/>
      <c r="Z494" s="47"/>
    </row>
    <row r="495">
      <c r="A495" s="57"/>
      <c r="B495" s="58"/>
      <c r="C495" s="58"/>
      <c r="D495" s="58"/>
      <c r="E495" s="47"/>
      <c r="F495" s="47"/>
      <c r="G495" s="47"/>
      <c r="H495" s="47"/>
      <c r="I495" s="47"/>
      <c r="J495" s="47"/>
      <c r="K495" s="47"/>
      <c r="L495" s="47"/>
      <c r="M495" s="47"/>
      <c r="N495" s="47"/>
      <c r="O495" s="47"/>
      <c r="P495" s="47"/>
      <c r="Q495" s="47"/>
      <c r="R495" s="47"/>
      <c r="S495" s="47"/>
      <c r="T495" s="47"/>
      <c r="U495" s="47"/>
      <c r="V495" s="47"/>
      <c r="W495" s="47"/>
      <c r="X495" s="47"/>
      <c r="Y495" s="47"/>
      <c r="Z495" s="47"/>
    </row>
    <row r="496">
      <c r="A496" s="57"/>
      <c r="B496" s="58"/>
      <c r="C496" s="58"/>
      <c r="D496" s="58"/>
      <c r="E496" s="47"/>
      <c r="F496" s="47"/>
      <c r="G496" s="47"/>
      <c r="H496" s="47"/>
      <c r="I496" s="47"/>
      <c r="J496" s="47"/>
      <c r="K496" s="47"/>
      <c r="L496" s="47"/>
      <c r="M496" s="47"/>
      <c r="N496" s="47"/>
      <c r="O496" s="47"/>
      <c r="P496" s="47"/>
      <c r="Q496" s="47"/>
      <c r="R496" s="47"/>
      <c r="S496" s="47"/>
      <c r="T496" s="47"/>
      <c r="U496" s="47"/>
      <c r="V496" s="47"/>
      <c r="W496" s="47"/>
      <c r="X496" s="47"/>
      <c r="Y496" s="47"/>
      <c r="Z496" s="47"/>
    </row>
    <row r="497">
      <c r="A497" s="57"/>
      <c r="B497" s="58"/>
      <c r="C497" s="58"/>
      <c r="D497" s="58"/>
      <c r="E497" s="47"/>
      <c r="F497" s="47"/>
      <c r="G497" s="47"/>
      <c r="H497" s="47"/>
      <c r="I497" s="47"/>
      <c r="J497" s="47"/>
      <c r="K497" s="47"/>
      <c r="L497" s="47"/>
      <c r="M497" s="47"/>
      <c r="N497" s="47"/>
      <c r="O497" s="47"/>
      <c r="P497" s="47"/>
      <c r="Q497" s="47"/>
      <c r="R497" s="47"/>
      <c r="S497" s="47"/>
      <c r="T497" s="47"/>
      <c r="U497" s="47"/>
      <c r="V497" s="47"/>
      <c r="W497" s="47"/>
      <c r="X497" s="47"/>
      <c r="Y497" s="47"/>
      <c r="Z497" s="47"/>
    </row>
    <row r="498">
      <c r="A498" s="57"/>
      <c r="B498" s="58"/>
      <c r="C498" s="58"/>
      <c r="D498" s="58"/>
      <c r="E498" s="47"/>
      <c r="F498" s="47"/>
      <c r="G498" s="47"/>
      <c r="H498" s="47"/>
      <c r="I498" s="47"/>
      <c r="J498" s="47"/>
      <c r="K498" s="47"/>
      <c r="L498" s="47"/>
      <c r="M498" s="47"/>
      <c r="N498" s="47"/>
      <c r="O498" s="47"/>
      <c r="P498" s="47"/>
      <c r="Q498" s="47"/>
      <c r="R498" s="47"/>
      <c r="S498" s="47"/>
      <c r="T498" s="47"/>
      <c r="U498" s="47"/>
      <c r="V498" s="47"/>
      <c r="W498" s="47"/>
      <c r="X498" s="47"/>
      <c r="Y498" s="47"/>
      <c r="Z498" s="47"/>
    </row>
    <row r="499">
      <c r="A499" s="57"/>
      <c r="B499" s="58"/>
      <c r="C499" s="58"/>
      <c r="D499" s="58"/>
      <c r="E499" s="47"/>
      <c r="F499" s="47"/>
      <c r="G499" s="47"/>
      <c r="H499" s="47"/>
      <c r="I499" s="47"/>
      <c r="J499" s="47"/>
      <c r="K499" s="47"/>
      <c r="L499" s="47"/>
      <c r="M499" s="47"/>
      <c r="N499" s="47"/>
      <c r="O499" s="47"/>
      <c r="P499" s="47"/>
      <c r="Q499" s="47"/>
      <c r="R499" s="47"/>
      <c r="S499" s="47"/>
      <c r="T499" s="47"/>
      <c r="U499" s="47"/>
      <c r="V499" s="47"/>
      <c r="W499" s="47"/>
      <c r="X499" s="47"/>
      <c r="Y499" s="47"/>
      <c r="Z499" s="47"/>
    </row>
    <row r="500">
      <c r="A500" s="57"/>
      <c r="B500" s="58"/>
      <c r="C500" s="58"/>
      <c r="D500" s="58"/>
      <c r="E500" s="47"/>
      <c r="F500" s="47"/>
      <c r="G500" s="47"/>
      <c r="H500" s="47"/>
      <c r="I500" s="47"/>
      <c r="J500" s="47"/>
      <c r="K500" s="47"/>
      <c r="L500" s="47"/>
      <c r="M500" s="47"/>
      <c r="N500" s="47"/>
      <c r="O500" s="47"/>
      <c r="P500" s="47"/>
      <c r="Q500" s="47"/>
      <c r="R500" s="47"/>
      <c r="S500" s="47"/>
      <c r="T500" s="47"/>
      <c r="U500" s="47"/>
      <c r="V500" s="47"/>
      <c r="W500" s="47"/>
      <c r="X500" s="47"/>
      <c r="Y500" s="47"/>
      <c r="Z500" s="47"/>
    </row>
    <row r="501">
      <c r="A501" s="57"/>
      <c r="B501" s="58"/>
      <c r="C501" s="58"/>
      <c r="D501" s="58"/>
      <c r="E501" s="47"/>
      <c r="F501" s="47"/>
      <c r="G501" s="47"/>
      <c r="H501" s="47"/>
      <c r="I501" s="47"/>
      <c r="J501" s="47"/>
      <c r="K501" s="47"/>
      <c r="L501" s="47"/>
      <c r="M501" s="47"/>
      <c r="N501" s="47"/>
      <c r="O501" s="47"/>
      <c r="P501" s="47"/>
      <c r="Q501" s="47"/>
      <c r="R501" s="47"/>
      <c r="S501" s="47"/>
      <c r="T501" s="47"/>
      <c r="U501" s="47"/>
      <c r="V501" s="47"/>
      <c r="W501" s="47"/>
      <c r="X501" s="47"/>
      <c r="Y501" s="47"/>
      <c r="Z501" s="47"/>
    </row>
    <row r="502">
      <c r="A502" s="57"/>
      <c r="B502" s="58"/>
      <c r="C502" s="58"/>
      <c r="D502" s="58"/>
      <c r="E502" s="47"/>
      <c r="F502" s="47"/>
      <c r="G502" s="47"/>
      <c r="H502" s="47"/>
      <c r="I502" s="47"/>
      <c r="J502" s="47"/>
      <c r="K502" s="47"/>
      <c r="L502" s="47"/>
      <c r="M502" s="47"/>
      <c r="N502" s="47"/>
      <c r="O502" s="47"/>
      <c r="P502" s="47"/>
      <c r="Q502" s="47"/>
      <c r="R502" s="47"/>
      <c r="S502" s="47"/>
      <c r="T502" s="47"/>
      <c r="U502" s="47"/>
      <c r="V502" s="47"/>
      <c r="W502" s="47"/>
      <c r="X502" s="47"/>
      <c r="Y502" s="47"/>
      <c r="Z502" s="47"/>
    </row>
    <row r="503">
      <c r="A503" s="57"/>
      <c r="B503" s="58"/>
      <c r="C503" s="58"/>
      <c r="D503" s="58"/>
      <c r="E503" s="47"/>
      <c r="F503" s="47"/>
      <c r="G503" s="47"/>
      <c r="H503" s="47"/>
      <c r="I503" s="47"/>
      <c r="J503" s="47"/>
      <c r="K503" s="47"/>
      <c r="L503" s="47"/>
      <c r="M503" s="47"/>
      <c r="N503" s="47"/>
      <c r="O503" s="47"/>
      <c r="P503" s="47"/>
      <c r="Q503" s="47"/>
      <c r="R503" s="47"/>
      <c r="S503" s="47"/>
      <c r="T503" s="47"/>
      <c r="U503" s="47"/>
      <c r="V503" s="47"/>
      <c r="W503" s="47"/>
      <c r="X503" s="47"/>
      <c r="Y503" s="47"/>
      <c r="Z503" s="47"/>
    </row>
    <row r="504">
      <c r="A504" s="57"/>
      <c r="B504" s="58"/>
      <c r="C504" s="58"/>
      <c r="D504" s="58"/>
      <c r="E504" s="47"/>
      <c r="F504" s="47"/>
      <c r="G504" s="47"/>
      <c r="H504" s="47"/>
      <c r="I504" s="47"/>
      <c r="J504" s="47"/>
      <c r="K504" s="47"/>
      <c r="L504" s="47"/>
      <c r="M504" s="47"/>
      <c r="N504" s="47"/>
      <c r="O504" s="47"/>
      <c r="P504" s="47"/>
      <c r="Q504" s="47"/>
      <c r="R504" s="47"/>
      <c r="S504" s="47"/>
      <c r="T504" s="47"/>
      <c r="U504" s="47"/>
      <c r="V504" s="47"/>
      <c r="W504" s="47"/>
      <c r="X504" s="47"/>
      <c r="Y504" s="47"/>
      <c r="Z504" s="47"/>
    </row>
    <row r="505">
      <c r="A505" s="57"/>
      <c r="B505" s="58"/>
      <c r="C505" s="58"/>
      <c r="D505" s="58"/>
      <c r="E505" s="47"/>
      <c r="F505" s="47"/>
      <c r="G505" s="47"/>
      <c r="H505" s="47"/>
      <c r="I505" s="47"/>
      <c r="J505" s="47"/>
      <c r="K505" s="47"/>
      <c r="L505" s="47"/>
      <c r="M505" s="47"/>
      <c r="N505" s="47"/>
      <c r="O505" s="47"/>
      <c r="P505" s="47"/>
      <c r="Q505" s="47"/>
      <c r="R505" s="47"/>
      <c r="S505" s="47"/>
      <c r="T505" s="47"/>
      <c r="U505" s="47"/>
      <c r="V505" s="47"/>
      <c r="W505" s="47"/>
      <c r="X505" s="47"/>
      <c r="Y505" s="47"/>
      <c r="Z505" s="47"/>
    </row>
    <row r="506">
      <c r="A506" s="57"/>
      <c r="B506" s="58"/>
      <c r="C506" s="58"/>
      <c r="D506" s="58"/>
      <c r="E506" s="47"/>
      <c r="F506" s="47"/>
      <c r="G506" s="47"/>
      <c r="H506" s="47"/>
      <c r="I506" s="47"/>
      <c r="J506" s="47"/>
      <c r="K506" s="47"/>
      <c r="L506" s="47"/>
      <c r="M506" s="47"/>
      <c r="N506" s="47"/>
      <c r="O506" s="47"/>
      <c r="P506" s="47"/>
      <c r="Q506" s="47"/>
      <c r="R506" s="47"/>
      <c r="S506" s="47"/>
      <c r="T506" s="47"/>
      <c r="U506" s="47"/>
      <c r="V506" s="47"/>
      <c r="W506" s="47"/>
      <c r="X506" s="47"/>
      <c r="Y506" s="47"/>
      <c r="Z506" s="47"/>
    </row>
    <row r="507">
      <c r="A507" s="57"/>
      <c r="B507" s="58"/>
      <c r="C507" s="58"/>
      <c r="D507" s="58"/>
      <c r="E507" s="47"/>
      <c r="F507" s="47"/>
      <c r="G507" s="47"/>
      <c r="H507" s="47"/>
      <c r="I507" s="47"/>
      <c r="J507" s="47"/>
      <c r="K507" s="47"/>
      <c r="L507" s="47"/>
      <c r="M507" s="47"/>
      <c r="N507" s="47"/>
      <c r="O507" s="47"/>
      <c r="P507" s="47"/>
      <c r="Q507" s="47"/>
      <c r="R507" s="47"/>
      <c r="S507" s="47"/>
      <c r="T507" s="47"/>
      <c r="U507" s="47"/>
      <c r="V507" s="47"/>
      <c r="W507" s="47"/>
      <c r="X507" s="47"/>
      <c r="Y507" s="47"/>
      <c r="Z507" s="47"/>
    </row>
    <row r="508">
      <c r="A508" s="57"/>
      <c r="B508" s="58"/>
      <c r="C508" s="58"/>
      <c r="D508" s="58"/>
      <c r="E508" s="47"/>
      <c r="F508" s="47"/>
      <c r="G508" s="47"/>
      <c r="H508" s="47"/>
      <c r="I508" s="47"/>
      <c r="J508" s="47"/>
      <c r="K508" s="47"/>
      <c r="L508" s="47"/>
      <c r="M508" s="47"/>
      <c r="N508" s="47"/>
      <c r="O508" s="47"/>
      <c r="P508" s="47"/>
      <c r="Q508" s="47"/>
      <c r="R508" s="47"/>
      <c r="S508" s="47"/>
      <c r="T508" s="47"/>
      <c r="U508" s="47"/>
      <c r="V508" s="47"/>
      <c r="W508" s="47"/>
      <c r="X508" s="47"/>
      <c r="Y508" s="47"/>
      <c r="Z508" s="47"/>
    </row>
    <row r="509">
      <c r="A509" s="57"/>
      <c r="B509" s="58"/>
      <c r="C509" s="58"/>
      <c r="D509" s="58"/>
      <c r="E509" s="47"/>
      <c r="F509" s="47"/>
      <c r="G509" s="47"/>
      <c r="H509" s="47"/>
      <c r="I509" s="47"/>
      <c r="J509" s="47"/>
      <c r="K509" s="47"/>
      <c r="L509" s="47"/>
      <c r="M509" s="47"/>
      <c r="N509" s="47"/>
      <c r="O509" s="47"/>
      <c r="P509" s="47"/>
      <c r="Q509" s="47"/>
      <c r="R509" s="47"/>
      <c r="S509" s="47"/>
      <c r="T509" s="47"/>
      <c r="U509" s="47"/>
      <c r="V509" s="47"/>
      <c r="W509" s="47"/>
      <c r="X509" s="47"/>
      <c r="Y509" s="47"/>
      <c r="Z509" s="47"/>
    </row>
    <row r="510">
      <c r="A510" s="57"/>
      <c r="B510" s="58"/>
      <c r="C510" s="58"/>
      <c r="D510" s="58"/>
      <c r="E510" s="47"/>
      <c r="F510" s="47"/>
      <c r="G510" s="47"/>
      <c r="H510" s="47"/>
      <c r="I510" s="47"/>
      <c r="J510" s="47"/>
      <c r="K510" s="47"/>
      <c r="L510" s="47"/>
      <c r="M510" s="47"/>
      <c r="N510" s="47"/>
      <c r="O510" s="47"/>
      <c r="P510" s="47"/>
      <c r="Q510" s="47"/>
      <c r="R510" s="47"/>
      <c r="S510" s="47"/>
      <c r="T510" s="47"/>
      <c r="U510" s="47"/>
      <c r="V510" s="47"/>
      <c r="W510" s="47"/>
      <c r="X510" s="47"/>
      <c r="Y510" s="47"/>
      <c r="Z510" s="47"/>
    </row>
    <row r="511">
      <c r="A511" s="57"/>
      <c r="B511" s="58"/>
      <c r="C511" s="58"/>
      <c r="D511" s="58"/>
      <c r="E511" s="47"/>
      <c r="F511" s="47"/>
      <c r="G511" s="47"/>
      <c r="H511" s="47"/>
      <c r="I511" s="47"/>
      <c r="J511" s="47"/>
      <c r="K511" s="47"/>
      <c r="L511" s="47"/>
      <c r="M511" s="47"/>
      <c r="N511" s="47"/>
      <c r="O511" s="47"/>
      <c r="P511" s="47"/>
      <c r="Q511" s="47"/>
      <c r="R511" s="47"/>
      <c r="S511" s="47"/>
      <c r="T511" s="47"/>
      <c r="U511" s="47"/>
      <c r="V511" s="47"/>
      <c r="W511" s="47"/>
      <c r="X511" s="47"/>
      <c r="Y511" s="47"/>
      <c r="Z511" s="47"/>
    </row>
    <row r="512">
      <c r="A512" s="57"/>
      <c r="B512" s="58"/>
      <c r="C512" s="58"/>
      <c r="D512" s="58"/>
      <c r="E512" s="47"/>
      <c r="F512" s="47"/>
      <c r="G512" s="47"/>
      <c r="H512" s="47"/>
      <c r="I512" s="47"/>
      <c r="J512" s="47"/>
      <c r="K512" s="47"/>
      <c r="L512" s="47"/>
      <c r="M512" s="47"/>
      <c r="N512" s="47"/>
      <c r="O512" s="47"/>
      <c r="P512" s="47"/>
      <c r="Q512" s="47"/>
      <c r="R512" s="47"/>
      <c r="S512" s="47"/>
      <c r="T512" s="47"/>
      <c r="U512" s="47"/>
      <c r="V512" s="47"/>
      <c r="W512" s="47"/>
      <c r="X512" s="47"/>
      <c r="Y512" s="47"/>
      <c r="Z512" s="47"/>
    </row>
    <row r="513">
      <c r="A513" s="57"/>
      <c r="B513" s="58"/>
      <c r="C513" s="58"/>
      <c r="D513" s="58"/>
      <c r="E513" s="47"/>
      <c r="F513" s="47"/>
      <c r="G513" s="47"/>
      <c r="H513" s="47"/>
      <c r="I513" s="47"/>
      <c r="J513" s="47"/>
      <c r="K513" s="47"/>
      <c r="L513" s="47"/>
      <c r="M513" s="47"/>
      <c r="N513" s="47"/>
      <c r="O513" s="47"/>
      <c r="P513" s="47"/>
      <c r="Q513" s="47"/>
      <c r="R513" s="47"/>
      <c r="S513" s="47"/>
      <c r="T513" s="47"/>
      <c r="U513" s="47"/>
      <c r="V513" s="47"/>
      <c r="W513" s="47"/>
      <c r="X513" s="47"/>
      <c r="Y513" s="47"/>
      <c r="Z513" s="47"/>
    </row>
    <row r="514">
      <c r="A514" s="57"/>
      <c r="B514" s="58"/>
      <c r="C514" s="58"/>
      <c r="D514" s="58"/>
      <c r="E514" s="47"/>
      <c r="F514" s="47"/>
      <c r="G514" s="47"/>
      <c r="H514" s="47"/>
      <c r="I514" s="47"/>
      <c r="J514" s="47"/>
      <c r="K514" s="47"/>
      <c r="L514" s="47"/>
      <c r="M514" s="47"/>
      <c r="N514" s="47"/>
      <c r="O514" s="47"/>
      <c r="P514" s="47"/>
      <c r="Q514" s="47"/>
      <c r="R514" s="47"/>
      <c r="S514" s="47"/>
      <c r="T514" s="47"/>
      <c r="U514" s="47"/>
      <c r="V514" s="47"/>
      <c r="W514" s="47"/>
      <c r="X514" s="47"/>
      <c r="Y514" s="47"/>
      <c r="Z514" s="47"/>
    </row>
    <row r="515">
      <c r="A515" s="57"/>
      <c r="B515" s="58"/>
      <c r="C515" s="58"/>
      <c r="D515" s="58"/>
      <c r="E515" s="47"/>
      <c r="F515" s="47"/>
      <c r="G515" s="47"/>
      <c r="H515" s="47"/>
      <c r="I515" s="47"/>
      <c r="J515" s="47"/>
      <c r="K515" s="47"/>
      <c r="L515" s="47"/>
      <c r="M515" s="47"/>
      <c r="N515" s="47"/>
      <c r="O515" s="47"/>
      <c r="P515" s="47"/>
      <c r="Q515" s="47"/>
      <c r="R515" s="47"/>
      <c r="S515" s="47"/>
      <c r="T515" s="47"/>
      <c r="U515" s="47"/>
      <c r="V515" s="47"/>
      <c r="W515" s="47"/>
      <c r="X515" s="47"/>
      <c r="Y515" s="47"/>
      <c r="Z515" s="47"/>
    </row>
    <row r="516">
      <c r="A516" s="57"/>
      <c r="B516" s="58"/>
      <c r="C516" s="58"/>
      <c r="D516" s="58"/>
      <c r="E516" s="47"/>
      <c r="F516" s="47"/>
      <c r="G516" s="47"/>
      <c r="H516" s="47"/>
      <c r="I516" s="47"/>
      <c r="J516" s="47"/>
      <c r="K516" s="47"/>
      <c r="L516" s="47"/>
      <c r="M516" s="47"/>
      <c r="N516" s="47"/>
      <c r="O516" s="47"/>
      <c r="P516" s="47"/>
      <c r="Q516" s="47"/>
      <c r="R516" s="47"/>
      <c r="S516" s="47"/>
      <c r="T516" s="47"/>
      <c r="U516" s="47"/>
      <c r="V516" s="47"/>
      <c r="W516" s="47"/>
      <c r="X516" s="47"/>
      <c r="Y516" s="47"/>
      <c r="Z516" s="47"/>
    </row>
    <row r="517">
      <c r="A517" s="57"/>
      <c r="B517" s="58"/>
      <c r="C517" s="58"/>
      <c r="D517" s="58"/>
      <c r="E517" s="47"/>
      <c r="F517" s="47"/>
      <c r="G517" s="47"/>
      <c r="H517" s="47"/>
      <c r="I517" s="47"/>
      <c r="J517" s="47"/>
      <c r="K517" s="47"/>
      <c r="L517" s="47"/>
      <c r="M517" s="47"/>
      <c r="N517" s="47"/>
      <c r="O517" s="47"/>
      <c r="P517" s="47"/>
      <c r="Q517" s="47"/>
      <c r="R517" s="47"/>
      <c r="S517" s="47"/>
      <c r="T517" s="47"/>
      <c r="U517" s="47"/>
      <c r="V517" s="47"/>
      <c r="W517" s="47"/>
      <c r="X517" s="47"/>
      <c r="Y517" s="47"/>
      <c r="Z517" s="47"/>
    </row>
    <row r="518">
      <c r="A518" s="57"/>
      <c r="B518" s="58"/>
      <c r="C518" s="58"/>
      <c r="D518" s="58"/>
      <c r="E518" s="47"/>
      <c r="F518" s="47"/>
      <c r="G518" s="47"/>
      <c r="H518" s="47"/>
      <c r="I518" s="47"/>
      <c r="J518" s="47"/>
      <c r="K518" s="47"/>
      <c r="L518" s="47"/>
      <c r="M518" s="47"/>
      <c r="N518" s="47"/>
      <c r="O518" s="47"/>
      <c r="P518" s="47"/>
      <c r="Q518" s="47"/>
      <c r="R518" s="47"/>
      <c r="S518" s="47"/>
      <c r="T518" s="47"/>
      <c r="U518" s="47"/>
      <c r="V518" s="47"/>
      <c r="W518" s="47"/>
      <c r="X518" s="47"/>
      <c r="Y518" s="47"/>
      <c r="Z518" s="47"/>
    </row>
    <row r="519">
      <c r="A519" s="57"/>
      <c r="B519" s="58"/>
      <c r="C519" s="58"/>
      <c r="D519" s="58"/>
      <c r="E519" s="47"/>
      <c r="F519" s="47"/>
      <c r="G519" s="47"/>
      <c r="H519" s="47"/>
      <c r="I519" s="47"/>
      <c r="J519" s="47"/>
      <c r="K519" s="47"/>
      <c r="L519" s="47"/>
      <c r="M519" s="47"/>
      <c r="N519" s="47"/>
      <c r="O519" s="47"/>
      <c r="P519" s="47"/>
      <c r="Q519" s="47"/>
      <c r="R519" s="47"/>
      <c r="S519" s="47"/>
      <c r="T519" s="47"/>
      <c r="U519" s="47"/>
      <c r="V519" s="47"/>
      <c r="W519" s="47"/>
      <c r="X519" s="47"/>
      <c r="Y519" s="47"/>
      <c r="Z519" s="47"/>
    </row>
    <row r="520">
      <c r="A520" s="57"/>
      <c r="B520" s="58"/>
      <c r="C520" s="58"/>
      <c r="D520" s="58"/>
      <c r="E520" s="47"/>
      <c r="F520" s="47"/>
      <c r="G520" s="47"/>
      <c r="H520" s="47"/>
      <c r="I520" s="47"/>
      <c r="J520" s="47"/>
      <c r="K520" s="47"/>
      <c r="L520" s="47"/>
      <c r="M520" s="47"/>
      <c r="N520" s="47"/>
      <c r="O520" s="47"/>
      <c r="P520" s="47"/>
      <c r="Q520" s="47"/>
      <c r="R520" s="47"/>
      <c r="S520" s="47"/>
      <c r="T520" s="47"/>
      <c r="U520" s="47"/>
      <c r="V520" s="47"/>
      <c r="W520" s="47"/>
      <c r="X520" s="47"/>
      <c r="Y520" s="47"/>
      <c r="Z520" s="47"/>
    </row>
    <row r="521">
      <c r="A521" s="57"/>
      <c r="B521" s="58"/>
      <c r="C521" s="58"/>
      <c r="D521" s="58"/>
      <c r="E521" s="47"/>
      <c r="F521" s="47"/>
      <c r="G521" s="47"/>
      <c r="H521" s="47"/>
      <c r="I521" s="47"/>
      <c r="J521" s="47"/>
      <c r="K521" s="47"/>
      <c r="L521" s="47"/>
      <c r="M521" s="47"/>
      <c r="N521" s="47"/>
      <c r="O521" s="47"/>
      <c r="P521" s="47"/>
      <c r="Q521" s="47"/>
      <c r="R521" s="47"/>
      <c r="S521" s="47"/>
      <c r="T521" s="47"/>
      <c r="U521" s="47"/>
      <c r="V521" s="47"/>
      <c r="W521" s="47"/>
      <c r="X521" s="47"/>
      <c r="Y521" s="47"/>
      <c r="Z521" s="47"/>
    </row>
    <row r="522">
      <c r="A522" s="57"/>
      <c r="B522" s="58"/>
      <c r="C522" s="58"/>
      <c r="D522" s="58"/>
      <c r="E522" s="47"/>
      <c r="F522" s="47"/>
      <c r="G522" s="47"/>
      <c r="H522" s="47"/>
      <c r="I522" s="47"/>
      <c r="J522" s="47"/>
      <c r="K522" s="47"/>
      <c r="L522" s="47"/>
      <c r="M522" s="47"/>
      <c r="N522" s="47"/>
      <c r="O522" s="47"/>
      <c r="P522" s="47"/>
      <c r="Q522" s="47"/>
      <c r="R522" s="47"/>
      <c r="S522" s="47"/>
      <c r="T522" s="47"/>
      <c r="U522" s="47"/>
      <c r="V522" s="47"/>
      <c r="W522" s="47"/>
      <c r="X522" s="47"/>
      <c r="Y522" s="47"/>
      <c r="Z522" s="47"/>
    </row>
    <row r="523">
      <c r="A523" s="57"/>
      <c r="B523" s="58"/>
      <c r="C523" s="58"/>
      <c r="D523" s="58"/>
      <c r="E523" s="47"/>
      <c r="F523" s="47"/>
      <c r="G523" s="47"/>
      <c r="H523" s="47"/>
      <c r="I523" s="47"/>
      <c r="J523" s="47"/>
      <c r="K523" s="47"/>
      <c r="L523" s="47"/>
      <c r="M523" s="47"/>
      <c r="N523" s="47"/>
      <c r="O523" s="47"/>
      <c r="P523" s="47"/>
      <c r="Q523" s="47"/>
      <c r="R523" s="47"/>
      <c r="S523" s="47"/>
      <c r="T523" s="47"/>
      <c r="U523" s="47"/>
      <c r="V523" s="47"/>
      <c r="W523" s="47"/>
      <c r="X523" s="47"/>
      <c r="Y523" s="47"/>
      <c r="Z523" s="47"/>
    </row>
    <row r="524">
      <c r="A524" s="57"/>
      <c r="B524" s="58"/>
      <c r="C524" s="58"/>
      <c r="D524" s="58"/>
      <c r="E524" s="47"/>
      <c r="F524" s="47"/>
      <c r="G524" s="47"/>
      <c r="H524" s="47"/>
      <c r="I524" s="47"/>
      <c r="J524" s="47"/>
      <c r="K524" s="47"/>
      <c r="L524" s="47"/>
      <c r="M524" s="47"/>
      <c r="N524" s="47"/>
      <c r="O524" s="47"/>
      <c r="P524" s="47"/>
      <c r="Q524" s="47"/>
      <c r="R524" s="47"/>
      <c r="S524" s="47"/>
      <c r="T524" s="47"/>
      <c r="U524" s="47"/>
      <c r="V524" s="47"/>
      <c r="W524" s="47"/>
      <c r="X524" s="47"/>
      <c r="Y524" s="47"/>
      <c r="Z524" s="47"/>
    </row>
    <row r="525">
      <c r="A525" s="57"/>
      <c r="B525" s="58"/>
      <c r="C525" s="58"/>
      <c r="D525" s="58"/>
      <c r="E525" s="47"/>
      <c r="F525" s="47"/>
      <c r="G525" s="47"/>
      <c r="H525" s="47"/>
      <c r="I525" s="47"/>
      <c r="J525" s="47"/>
      <c r="K525" s="47"/>
      <c r="L525" s="47"/>
      <c r="M525" s="47"/>
      <c r="N525" s="47"/>
      <c r="O525" s="47"/>
      <c r="P525" s="47"/>
      <c r="Q525" s="47"/>
      <c r="R525" s="47"/>
      <c r="S525" s="47"/>
      <c r="T525" s="47"/>
      <c r="U525" s="47"/>
      <c r="V525" s="47"/>
      <c r="W525" s="47"/>
      <c r="X525" s="47"/>
      <c r="Y525" s="47"/>
      <c r="Z525" s="47"/>
    </row>
    <row r="526">
      <c r="A526" s="57"/>
      <c r="B526" s="58"/>
      <c r="C526" s="58"/>
      <c r="D526" s="58"/>
      <c r="E526" s="47"/>
      <c r="F526" s="47"/>
      <c r="G526" s="47"/>
      <c r="H526" s="47"/>
      <c r="I526" s="47"/>
      <c r="J526" s="47"/>
      <c r="K526" s="47"/>
      <c r="L526" s="47"/>
      <c r="M526" s="47"/>
      <c r="N526" s="47"/>
      <c r="O526" s="47"/>
      <c r="P526" s="47"/>
      <c r="Q526" s="47"/>
      <c r="R526" s="47"/>
      <c r="S526" s="47"/>
      <c r="T526" s="47"/>
      <c r="U526" s="47"/>
      <c r="V526" s="47"/>
      <c r="W526" s="47"/>
      <c r="X526" s="47"/>
      <c r="Y526" s="47"/>
      <c r="Z526" s="47"/>
    </row>
    <row r="527">
      <c r="A527" s="57"/>
      <c r="B527" s="58"/>
      <c r="C527" s="58"/>
      <c r="D527" s="58"/>
      <c r="E527" s="47"/>
      <c r="F527" s="47"/>
      <c r="G527" s="47"/>
      <c r="H527" s="47"/>
      <c r="I527" s="47"/>
      <c r="J527" s="47"/>
      <c r="K527" s="47"/>
      <c r="L527" s="47"/>
      <c r="M527" s="47"/>
      <c r="N527" s="47"/>
      <c r="O527" s="47"/>
      <c r="P527" s="47"/>
      <c r="Q527" s="47"/>
      <c r="R527" s="47"/>
      <c r="S527" s="47"/>
      <c r="T527" s="47"/>
      <c r="U527" s="47"/>
      <c r="V527" s="47"/>
      <c r="W527" s="47"/>
      <c r="X527" s="47"/>
      <c r="Y527" s="47"/>
      <c r="Z527" s="47"/>
    </row>
    <row r="528">
      <c r="A528" s="57"/>
      <c r="B528" s="58"/>
      <c r="C528" s="58"/>
      <c r="D528" s="58"/>
      <c r="E528" s="47"/>
      <c r="F528" s="47"/>
      <c r="G528" s="47"/>
      <c r="H528" s="47"/>
      <c r="I528" s="47"/>
      <c r="J528" s="47"/>
      <c r="K528" s="47"/>
      <c r="L528" s="47"/>
      <c r="M528" s="47"/>
      <c r="N528" s="47"/>
      <c r="O528" s="47"/>
      <c r="P528" s="47"/>
      <c r="Q528" s="47"/>
      <c r="R528" s="47"/>
      <c r="S528" s="47"/>
      <c r="T528" s="47"/>
      <c r="U528" s="47"/>
      <c r="V528" s="47"/>
      <c r="W528" s="47"/>
      <c r="X528" s="47"/>
      <c r="Y528" s="47"/>
      <c r="Z528" s="47"/>
    </row>
    <row r="529">
      <c r="A529" s="57"/>
      <c r="B529" s="58"/>
      <c r="C529" s="58"/>
      <c r="D529" s="58"/>
      <c r="E529" s="47"/>
      <c r="F529" s="47"/>
      <c r="G529" s="47"/>
      <c r="H529" s="47"/>
      <c r="I529" s="47"/>
      <c r="J529" s="47"/>
      <c r="K529" s="47"/>
      <c r="L529" s="47"/>
      <c r="M529" s="47"/>
      <c r="N529" s="47"/>
      <c r="O529" s="47"/>
      <c r="P529" s="47"/>
      <c r="Q529" s="47"/>
      <c r="R529" s="47"/>
      <c r="S529" s="47"/>
      <c r="T529" s="47"/>
      <c r="U529" s="47"/>
      <c r="V529" s="47"/>
      <c r="W529" s="47"/>
      <c r="X529" s="47"/>
      <c r="Y529" s="47"/>
      <c r="Z529" s="47"/>
    </row>
    <row r="530">
      <c r="A530" s="57"/>
      <c r="B530" s="58"/>
      <c r="C530" s="58"/>
      <c r="D530" s="58"/>
      <c r="E530" s="47"/>
      <c r="F530" s="47"/>
      <c r="G530" s="47"/>
      <c r="H530" s="47"/>
      <c r="I530" s="47"/>
      <c r="J530" s="47"/>
      <c r="K530" s="47"/>
      <c r="L530" s="47"/>
      <c r="M530" s="47"/>
      <c r="N530" s="47"/>
      <c r="O530" s="47"/>
      <c r="P530" s="47"/>
      <c r="Q530" s="47"/>
      <c r="R530" s="47"/>
      <c r="S530" s="47"/>
      <c r="T530" s="47"/>
      <c r="U530" s="47"/>
      <c r="V530" s="47"/>
      <c r="W530" s="47"/>
      <c r="X530" s="47"/>
      <c r="Y530" s="47"/>
      <c r="Z530" s="47"/>
    </row>
    <row r="531">
      <c r="A531" s="57"/>
      <c r="B531" s="58"/>
      <c r="C531" s="58"/>
      <c r="D531" s="58"/>
      <c r="E531" s="47"/>
      <c r="F531" s="47"/>
      <c r="G531" s="47"/>
      <c r="H531" s="47"/>
      <c r="I531" s="47"/>
      <c r="J531" s="47"/>
      <c r="K531" s="47"/>
      <c r="L531" s="47"/>
      <c r="M531" s="47"/>
      <c r="N531" s="47"/>
      <c r="O531" s="47"/>
      <c r="P531" s="47"/>
      <c r="Q531" s="47"/>
      <c r="R531" s="47"/>
      <c r="S531" s="47"/>
      <c r="T531" s="47"/>
      <c r="U531" s="47"/>
      <c r="V531" s="47"/>
      <c r="W531" s="47"/>
      <c r="X531" s="47"/>
      <c r="Y531" s="47"/>
      <c r="Z531" s="47"/>
    </row>
    <row r="532">
      <c r="A532" s="57"/>
      <c r="B532" s="58"/>
      <c r="C532" s="58"/>
      <c r="D532" s="58"/>
      <c r="E532" s="47"/>
      <c r="F532" s="47"/>
      <c r="G532" s="47"/>
      <c r="H532" s="47"/>
      <c r="I532" s="47"/>
      <c r="J532" s="47"/>
      <c r="K532" s="47"/>
      <c r="L532" s="47"/>
      <c r="M532" s="47"/>
      <c r="N532" s="47"/>
      <c r="O532" s="47"/>
      <c r="P532" s="47"/>
      <c r="Q532" s="47"/>
      <c r="R532" s="47"/>
      <c r="S532" s="47"/>
      <c r="T532" s="47"/>
      <c r="U532" s="47"/>
      <c r="V532" s="47"/>
      <c r="W532" s="47"/>
      <c r="X532" s="47"/>
      <c r="Y532" s="47"/>
      <c r="Z532" s="47"/>
    </row>
    <row r="533">
      <c r="A533" s="57"/>
      <c r="B533" s="58"/>
      <c r="C533" s="58"/>
      <c r="D533" s="58"/>
      <c r="E533" s="47"/>
      <c r="F533" s="47"/>
      <c r="G533" s="47"/>
      <c r="H533" s="47"/>
      <c r="I533" s="47"/>
      <c r="J533" s="47"/>
      <c r="K533" s="47"/>
      <c r="L533" s="47"/>
      <c r="M533" s="47"/>
      <c r="N533" s="47"/>
      <c r="O533" s="47"/>
      <c r="P533" s="47"/>
      <c r="Q533" s="47"/>
      <c r="R533" s="47"/>
      <c r="S533" s="47"/>
      <c r="T533" s="47"/>
      <c r="U533" s="47"/>
      <c r="V533" s="47"/>
      <c r="W533" s="47"/>
      <c r="X533" s="47"/>
      <c r="Y533" s="47"/>
      <c r="Z533" s="47"/>
    </row>
    <row r="534">
      <c r="A534" s="57"/>
      <c r="B534" s="58"/>
      <c r="C534" s="58"/>
      <c r="D534" s="58"/>
      <c r="E534" s="47"/>
      <c r="F534" s="47"/>
      <c r="G534" s="47"/>
      <c r="H534" s="47"/>
      <c r="I534" s="47"/>
      <c r="J534" s="47"/>
      <c r="K534" s="47"/>
      <c r="L534" s="47"/>
      <c r="M534" s="47"/>
      <c r="N534" s="47"/>
      <c r="O534" s="47"/>
      <c r="P534" s="47"/>
      <c r="Q534" s="47"/>
      <c r="R534" s="47"/>
      <c r="S534" s="47"/>
      <c r="T534" s="47"/>
      <c r="U534" s="47"/>
      <c r="V534" s="47"/>
      <c r="W534" s="47"/>
      <c r="X534" s="47"/>
      <c r="Y534" s="47"/>
      <c r="Z534" s="47"/>
    </row>
    <row r="535">
      <c r="A535" s="57"/>
      <c r="B535" s="58"/>
      <c r="C535" s="58"/>
      <c r="D535" s="58"/>
      <c r="E535" s="47"/>
      <c r="F535" s="47"/>
      <c r="G535" s="47"/>
      <c r="H535" s="47"/>
      <c r="I535" s="47"/>
      <c r="J535" s="47"/>
      <c r="K535" s="47"/>
      <c r="L535" s="47"/>
      <c r="M535" s="47"/>
      <c r="N535" s="47"/>
      <c r="O535" s="47"/>
      <c r="P535" s="47"/>
      <c r="Q535" s="47"/>
      <c r="R535" s="47"/>
      <c r="S535" s="47"/>
      <c r="T535" s="47"/>
      <c r="U535" s="47"/>
      <c r="V535" s="47"/>
      <c r="W535" s="47"/>
      <c r="X535" s="47"/>
      <c r="Y535" s="47"/>
      <c r="Z535" s="47"/>
    </row>
    <row r="536">
      <c r="A536" s="57"/>
      <c r="B536" s="58"/>
      <c r="C536" s="58"/>
      <c r="D536" s="58"/>
      <c r="E536" s="47"/>
      <c r="F536" s="47"/>
      <c r="G536" s="47"/>
      <c r="H536" s="47"/>
      <c r="I536" s="47"/>
      <c r="J536" s="47"/>
      <c r="K536" s="47"/>
      <c r="L536" s="47"/>
      <c r="M536" s="47"/>
      <c r="N536" s="47"/>
      <c r="O536" s="47"/>
      <c r="P536" s="47"/>
      <c r="Q536" s="47"/>
      <c r="R536" s="47"/>
      <c r="S536" s="47"/>
      <c r="T536" s="47"/>
      <c r="U536" s="47"/>
      <c r="V536" s="47"/>
      <c r="W536" s="47"/>
      <c r="X536" s="47"/>
      <c r="Y536" s="47"/>
      <c r="Z536" s="47"/>
    </row>
    <row r="537">
      <c r="A537" s="57"/>
      <c r="B537" s="58"/>
      <c r="C537" s="58"/>
      <c r="D537" s="58"/>
      <c r="E537" s="47"/>
      <c r="F537" s="47"/>
      <c r="G537" s="47"/>
      <c r="H537" s="47"/>
      <c r="I537" s="47"/>
      <c r="J537" s="47"/>
      <c r="K537" s="47"/>
      <c r="L537" s="47"/>
      <c r="M537" s="47"/>
      <c r="N537" s="47"/>
      <c r="O537" s="47"/>
      <c r="P537" s="47"/>
      <c r="Q537" s="47"/>
      <c r="R537" s="47"/>
      <c r="S537" s="47"/>
      <c r="T537" s="47"/>
      <c r="U537" s="47"/>
      <c r="V537" s="47"/>
      <c r="W537" s="47"/>
      <c r="X537" s="47"/>
      <c r="Y537" s="47"/>
      <c r="Z537" s="47"/>
    </row>
    <row r="538">
      <c r="A538" s="57"/>
      <c r="B538" s="58"/>
      <c r="C538" s="58"/>
      <c r="D538" s="58"/>
      <c r="E538" s="47"/>
      <c r="F538" s="47"/>
      <c r="G538" s="47"/>
      <c r="H538" s="47"/>
      <c r="I538" s="47"/>
      <c r="J538" s="47"/>
      <c r="K538" s="47"/>
      <c r="L538" s="47"/>
      <c r="M538" s="47"/>
      <c r="N538" s="47"/>
      <c r="O538" s="47"/>
      <c r="P538" s="47"/>
      <c r="Q538" s="47"/>
      <c r="R538" s="47"/>
      <c r="S538" s="47"/>
      <c r="T538" s="47"/>
      <c r="U538" s="47"/>
      <c r="V538" s="47"/>
      <c r="W538" s="47"/>
      <c r="X538" s="47"/>
      <c r="Y538" s="47"/>
      <c r="Z538" s="47"/>
    </row>
    <row r="539">
      <c r="A539" s="57"/>
      <c r="B539" s="58"/>
      <c r="C539" s="58"/>
      <c r="D539" s="58"/>
      <c r="E539" s="47"/>
      <c r="F539" s="47"/>
      <c r="G539" s="47"/>
      <c r="H539" s="47"/>
      <c r="I539" s="47"/>
      <c r="J539" s="47"/>
      <c r="K539" s="47"/>
      <c r="L539" s="47"/>
      <c r="M539" s="47"/>
      <c r="N539" s="47"/>
      <c r="O539" s="47"/>
      <c r="P539" s="47"/>
      <c r="Q539" s="47"/>
      <c r="R539" s="47"/>
      <c r="S539" s="47"/>
      <c r="T539" s="47"/>
      <c r="U539" s="47"/>
      <c r="V539" s="47"/>
      <c r="W539" s="47"/>
      <c r="X539" s="47"/>
      <c r="Y539" s="47"/>
      <c r="Z539" s="47"/>
    </row>
    <row r="540">
      <c r="A540" s="57"/>
      <c r="B540" s="58"/>
      <c r="C540" s="58"/>
      <c r="D540" s="58"/>
      <c r="E540" s="47"/>
      <c r="F540" s="47"/>
      <c r="G540" s="47"/>
      <c r="H540" s="47"/>
      <c r="I540" s="47"/>
      <c r="J540" s="47"/>
      <c r="K540" s="47"/>
      <c r="L540" s="47"/>
      <c r="M540" s="47"/>
      <c r="N540" s="47"/>
      <c r="O540" s="47"/>
      <c r="P540" s="47"/>
      <c r="Q540" s="47"/>
      <c r="R540" s="47"/>
      <c r="S540" s="47"/>
      <c r="T540" s="47"/>
      <c r="U540" s="47"/>
      <c r="V540" s="47"/>
      <c r="W540" s="47"/>
      <c r="X540" s="47"/>
      <c r="Y540" s="47"/>
      <c r="Z540" s="47"/>
    </row>
    <row r="541">
      <c r="A541" s="57"/>
      <c r="B541" s="58"/>
      <c r="C541" s="58"/>
      <c r="D541" s="58"/>
      <c r="E541" s="47"/>
      <c r="F541" s="47"/>
      <c r="G541" s="47"/>
      <c r="H541" s="47"/>
      <c r="I541" s="47"/>
      <c r="J541" s="47"/>
      <c r="K541" s="47"/>
      <c r="L541" s="47"/>
      <c r="M541" s="47"/>
      <c r="N541" s="47"/>
      <c r="O541" s="47"/>
      <c r="P541" s="47"/>
      <c r="Q541" s="47"/>
      <c r="R541" s="47"/>
      <c r="S541" s="47"/>
      <c r="T541" s="47"/>
      <c r="U541" s="47"/>
      <c r="V541" s="47"/>
      <c r="W541" s="47"/>
      <c r="X541" s="47"/>
      <c r="Y541" s="47"/>
      <c r="Z541" s="47"/>
    </row>
    <row r="542">
      <c r="A542" s="57"/>
      <c r="B542" s="58"/>
      <c r="C542" s="58"/>
      <c r="D542" s="58"/>
      <c r="E542" s="47"/>
      <c r="F542" s="47"/>
      <c r="G542" s="47"/>
      <c r="H542" s="47"/>
      <c r="I542" s="47"/>
      <c r="J542" s="47"/>
      <c r="K542" s="47"/>
      <c r="L542" s="47"/>
      <c r="M542" s="47"/>
      <c r="N542" s="47"/>
      <c r="O542" s="47"/>
      <c r="P542" s="47"/>
      <c r="Q542" s="47"/>
      <c r="R542" s="47"/>
      <c r="S542" s="47"/>
      <c r="T542" s="47"/>
      <c r="U542" s="47"/>
      <c r="V542" s="47"/>
      <c r="W542" s="47"/>
      <c r="X542" s="47"/>
      <c r="Y542" s="47"/>
      <c r="Z542" s="47"/>
    </row>
    <row r="543">
      <c r="A543" s="57"/>
      <c r="B543" s="58"/>
      <c r="C543" s="58"/>
      <c r="D543" s="58"/>
      <c r="E543" s="47"/>
      <c r="F543" s="47"/>
      <c r="G543" s="47"/>
      <c r="H543" s="47"/>
      <c r="I543" s="47"/>
      <c r="J543" s="47"/>
      <c r="K543" s="47"/>
      <c r="L543" s="47"/>
      <c r="M543" s="47"/>
      <c r="N543" s="47"/>
      <c r="O543" s="47"/>
      <c r="P543" s="47"/>
      <c r="Q543" s="47"/>
      <c r="R543" s="47"/>
      <c r="S543" s="47"/>
      <c r="T543" s="47"/>
      <c r="U543" s="47"/>
      <c r="V543" s="47"/>
      <c r="W543" s="47"/>
      <c r="X543" s="47"/>
      <c r="Y543" s="47"/>
      <c r="Z543" s="47"/>
    </row>
    <row r="544">
      <c r="A544" s="57"/>
      <c r="B544" s="58"/>
      <c r="C544" s="58"/>
      <c r="D544" s="58"/>
      <c r="E544" s="47"/>
      <c r="F544" s="47"/>
      <c r="G544" s="47"/>
      <c r="H544" s="47"/>
      <c r="I544" s="47"/>
      <c r="J544" s="47"/>
      <c r="K544" s="47"/>
      <c r="L544" s="47"/>
      <c r="M544" s="47"/>
      <c r="N544" s="47"/>
      <c r="O544" s="47"/>
      <c r="P544" s="47"/>
      <c r="Q544" s="47"/>
      <c r="R544" s="47"/>
      <c r="S544" s="47"/>
      <c r="T544" s="47"/>
      <c r="U544" s="47"/>
      <c r="V544" s="47"/>
      <c r="W544" s="47"/>
      <c r="X544" s="47"/>
      <c r="Y544" s="47"/>
      <c r="Z544" s="47"/>
    </row>
    <row r="545">
      <c r="A545" s="57"/>
      <c r="B545" s="58"/>
      <c r="C545" s="58"/>
      <c r="D545" s="58"/>
      <c r="E545" s="47"/>
      <c r="F545" s="47"/>
      <c r="G545" s="47"/>
      <c r="H545" s="47"/>
      <c r="I545" s="47"/>
      <c r="J545" s="47"/>
      <c r="K545" s="47"/>
      <c r="L545" s="47"/>
      <c r="M545" s="47"/>
      <c r="N545" s="47"/>
      <c r="O545" s="47"/>
      <c r="P545" s="47"/>
      <c r="Q545" s="47"/>
      <c r="R545" s="47"/>
      <c r="S545" s="47"/>
      <c r="T545" s="47"/>
      <c r="U545" s="47"/>
      <c r="V545" s="47"/>
      <c r="W545" s="47"/>
      <c r="X545" s="47"/>
      <c r="Y545" s="47"/>
      <c r="Z545" s="47"/>
    </row>
    <row r="546">
      <c r="A546" s="57"/>
      <c r="B546" s="58"/>
      <c r="C546" s="58"/>
      <c r="D546" s="58"/>
      <c r="E546" s="47"/>
      <c r="F546" s="47"/>
      <c r="G546" s="47"/>
      <c r="H546" s="47"/>
      <c r="I546" s="47"/>
      <c r="J546" s="47"/>
      <c r="K546" s="47"/>
      <c r="L546" s="47"/>
      <c r="M546" s="47"/>
      <c r="N546" s="47"/>
      <c r="O546" s="47"/>
      <c r="P546" s="47"/>
      <c r="Q546" s="47"/>
      <c r="R546" s="47"/>
      <c r="S546" s="47"/>
      <c r="T546" s="47"/>
      <c r="U546" s="47"/>
      <c r="V546" s="47"/>
      <c r="W546" s="47"/>
      <c r="X546" s="47"/>
      <c r="Y546" s="47"/>
      <c r="Z546" s="47"/>
    </row>
    <row r="547">
      <c r="A547" s="57"/>
      <c r="B547" s="58"/>
      <c r="C547" s="58"/>
      <c r="D547" s="58"/>
      <c r="E547" s="47"/>
      <c r="F547" s="47"/>
      <c r="G547" s="47"/>
      <c r="H547" s="47"/>
      <c r="I547" s="47"/>
      <c r="J547" s="47"/>
      <c r="K547" s="47"/>
      <c r="L547" s="47"/>
      <c r="M547" s="47"/>
      <c r="N547" s="47"/>
      <c r="O547" s="47"/>
      <c r="P547" s="47"/>
      <c r="Q547" s="47"/>
      <c r="R547" s="47"/>
      <c r="S547" s="47"/>
      <c r="T547" s="47"/>
      <c r="U547" s="47"/>
      <c r="V547" s="47"/>
      <c r="W547" s="47"/>
      <c r="X547" s="47"/>
      <c r="Y547" s="47"/>
      <c r="Z547" s="47"/>
    </row>
    <row r="548">
      <c r="A548" s="57"/>
      <c r="B548" s="58"/>
      <c r="C548" s="58"/>
      <c r="D548" s="58"/>
      <c r="E548" s="47"/>
      <c r="F548" s="47"/>
      <c r="G548" s="47"/>
      <c r="H548" s="47"/>
      <c r="I548" s="47"/>
      <c r="J548" s="47"/>
      <c r="K548" s="47"/>
      <c r="L548" s="47"/>
      <c r="M548" s="47"/>
      <c r="N548" s="47"/>
      <c r="O548" s="47"/>
      <c r="P548" s="47"/>
      <c r="Q548" s="47"/>
      <c r="R548" s="47"/>
      <c r="S548" s="47"/>
      <c r="T548" s="47"/>
      <c r="U548" s="47"/>
      <c r="V548" s="47"/>
      <c r="W548" s="47"/>
      <c r="X548" s="47"/>
      <c r="Y548" s="47"/>
      <c r="Z548" s="47"/>
    </row>
    <row r="549">
      <c r="A549" s="57"/>
      <c r="B549" s="58"/>
      <c r="C549" s="58"/>
      <c r="D549" s="58"/>
      <c r="E549" s="47"/>
      <c r="F549" s="47"/>
      <c r="G549" s="47"/>
      <c r="H549" s="47"/>
      <c r="I549" s="47"/>
      <c r="J549" s="47"/>
      <c r="K549" s="47"/>
      <c r="L549" s="47"/>
      <c r="M549" s="47"/>
      <c r="N549" s="47"/>
      <c r="O549" s="47"/>
      <c r="P549" s="47"/>
      <c r="Q549" s="47"/>
      <c r="R549" s="47"/>
      <c r="S549" s="47"/>
      <c r="T549" s="47"/>
      <c r="U549" s="47"/>
      <c r="V549" s="47"/>
      <c r="W549" s="47"/>
      <c r="X549" s="47"/>
      <c r="Y549" s="47"/>
      <c r="Z549" s="47"/>
    </row>
    <row r="550">
      <c r="A550" s="57"/>
      <c r="B550" s="58"/>
      <c r="C550" s="58"/>
      <c r="D550" s="58"/>
      <c r="E550" s="47"/>
      <c r="F550" s="47"/>
      <c r="G550" s="47"/>
      <c r="H550" s="47"/>
      <c r="I550" s="47"/>
      <c r="J550" s="47"/>
      <c r="K550" s="47"/>
      <c r="L550" s="47"/>
      <c r="M550" s="47"/>
      <c r="N550" s="47"/>
      <c r="O550" s="47"/>
      <c r="P550" s="47"/>
      <c r="Q550" s="47"/>
      <c r="R550" s="47"/>
      <c r="S550" s="47"/>
      <c r="T550" s="47"/>
      <c r="U550" s="47"/>
      <c r="V550" s="47"/>
      <c r="W550" s="47"/>
      <c r="X550" s="47"/>
      <c r="Y550" s="47"/>
      <c r="Z550" s="47"/>
    </row>
    <row r="551">
      <c r="A551" s="57"/>
      <c r="B551" s="58"/>
      <c r="C551" s="58"/>
      <c r="D551" s="58"/>
      <c r="E551" s="47"/>
      <c r="F551" s="47"/>
      <c r="G551" s="47"/>
      <c r="H551" s="47"/>
      <c r="I551" s="47"/>
      <c r="J551" s="47"/>
      <c r="K551" s="47"/>
      <c r="L551" s="47"/>
      <c r="M551" s="47"/>
      <c r="N551" s="47"/>
      <c r="O551" s="47"/>
      <c r="P551" s="47"/>
      <c r="Q551" s="47"/>
      <c r="R551" s="47"/>
      <c r="S551" s="47"/>
      <c r="T551" s="47"/>
      <c r="U551" s="47"/>
      <c r="V551" s="47"/>
      <c r="W551" s="47"/>
      <c r="X551" s="47"/>
      <c r="Y551" s="47"/>
      <c r="Z551" s="47"/>
    </row>
    <row r="552">
      <c r="A552" s="57"/>
      <c r="B552" s="58"/>
      <c r="C552" s="58"/>
      <c r="D552" s="58"/>
      <c r="E552" s="47"/>
      <c r="F552" s="47"/>
      <c r="G552" s="47"/>
      <c r="H552" s="47"/>
      <c r="I552" s="47"/>
      <c r="J552" s="47"/>
      <c r="K552" s="47"/>
      <c r="L552" s="47"/>
      <c r="M552" s="47"/>
      <c r="N552" s="47"/>
      <c r="O552" s="47"/>
      <c r="P552" s="47"/>
      <c r="Q552" s="47"/>
      <c r="R552" s="47"/>
      <c r="S552" s="47"/>
      <c r="T552" s="47"/>
      <c r="U552" s="47"/>
      <c r="V552" s="47"/>
      <c r="W552" s="47"/>
      <c r="X552" s="47"/>
      <c r="Y552" s="47"/>
      <c r="Z552" s="47"/>
    </row>
    <row r="553">
      <c r="A553" s="57"/>
      <c r="B553" s="58"/>
      <c r="C553" s="58"/>
      <c r="D553" s="58"/>
      <c r="E553" s="47"/>
      <c r="F553" s="47"/>
      <c r="G553" s="47"/>
      <c r="H553" s="47"/>
      <c r="I553" s="47"/>
      <c r="J553" s="47"/>
      <c r="K553" s="47"/>
      <c r="L553" s="47"/>
      <c r="M553" s="47"/>
      <c r="N553" s="47"/>
      <c r="O553" s="47"/>
      <c r="P553" s="47"/>
      <c r="Q553" s="47"/>
      <c r="R553" s="47"/>
      <c r="S553" s="47"/>
      <c r="T553" s="47"/>
      <c r="U553" s="47"/>
      <c r="V553" s="47"/>
      <c r="W553" s="47"/>
      <c r="X553" s="47"/>
      <c r="Y553" s="47"/>
      <c r="Z553" s="47"/>
    </row>
    <row r="554">
      <c r="A554" s="57"/>
      <c r="B554" s="58"/>
      <c r="C554" s="58"/>
      <c r="D554" s="58"/>
      <c r="E554" s="47"/>
      <c r="F554" s="47"/>
      <c r="G554" s="47"/>
      <c r="H554" s="47"/>
      <c r="I554" s="47"/>
      <c r="J554" s="47"/>
      <c r="K554" s="47"/>
      <c r="L554" s="47"/>
      <c r="M554" s="47"/>
      <c r="N554" s="47"/>
      <c r="O554" s="47"/>
      <c r="P554" s="47"/>
      <c r="Q554" s="47"/>
      <c r="R554" s="47"/>
      <c r="S554" s="47"/>
      <c r="T554" s="47"/>
      <c r="U554" s="47"/>
      <c r="V554" s="47"/>
      <c r="W554" s="47"/>
      <c r="X554" s="47"/>
      <c r="Y554" s="47"/>
      <c r="Z554" s="47"/>
    </row>
    <row r="555">
      <c r="A555" s="57"/>
      <c r="B555" s="58"/>
      <c r="C555" s="58"/>
      <c r="D555" s="58"/>
      <c r="E555" s="47"/>
      <c r="F555" s="47"/>
      <c r="G555" s="47"/>
      <c r="H555" s="47"/>
      <c r="I555" s="47"/>
      <c r="J555" s="47"/>
      <c r="K555" s="47"/>
      <c r="L555" s="47"/>
      <c r="M555" s="47"/>
      <c r="N555" s="47"/>
      <c r="O555" s="47"/>
      <c r="P555" s="47"/>
      <c r="Q555" s="47"/>
      <c r="R555" s="47"/>
      <c r="S555" s="47"/>
      <c r="T555" s="47"/>
      <c r="U555" s="47"/>
      <c r="V555" s="47"/>
      <c r="W555" s="47"/>
      <c r="X555" s="47"/>
      <c r="Y555" s="47"/>
      <c r="Z555" s="47"/>
    </row>
    <row r="556">
      <c r="A556" s="57"/>
      <c r="B556" s="58"/>
      <c r="C556" s="58"/>
      <c r="D556" s="58"/>
      <c r="E556" s="47"/>
      <c r="F556" s="47"/>
      <c r="G556" s="47"/>
      <c r="H556" s="47"/>
      <c r="I556" s="47"/>
      <c r="J556" s="47"/>
      <c r="K556" s="47"/>
      <c r="L556" s="47"/>
      <c r="M556" s="47"/>
      <c r="N556" s="47"/>
      <c r="O556" s="47"/>
      <c r="P556" s="47"/>
      <c r="Q556" s="47"/>
      <c r="R556" s="47"/>
      <c r="S556" s="47"/>
      <c r="T556" s="47"/>
      <c r="U556" s="47"/>
      <c r="V556" s="47"/>
      <c r="W556" s="47"/>
      <c r="X556" s="47"/>
      <c r="Y556" s="47"/>
      <c r="Z556" s="47"/>
    </row>
    <row r="557">
      <c r="A557" s="57"/>
      <c r="B557" s="58"/>
      <c r="C557" s="58"/>
      <c r="D557" s="58"/>
      <c r="E557" s="47"/>
      <c r="F557" s="47"/>
      <c r="G557" s="47"/>
      <c r="H557" s="47"/>
      <c r="I557" s="47"/>
      <c r="J557" s="47"/>
      <c r="K557" s="47"/>
      <c r="L557" s="47"/>
      <c r="M557" s="47"/>
      <c r="N557" s="47"/>
      <c r="O557" s="47"/>
      <c r="P557" s="47"/>
      <c r="Q557" s="47"/>
      <c r="R557" s="47"/>
      <c r="S557" s="47"/>
      <c r="T557" s="47"/>
      <c r="U557" s="47"/>
      <c r="V557" s="47"/>
      <c r="W557" s="47"/>
      <c r="X557" s="47"/>
      <c r="Y557" s="47"/>
      <c r="Z557" s="47"/>
    </row>
    <row r="558">
      <c r="A558" s="57"/>
      <c r="B558" s="58"/>
      <c r="C558" s="58"/>
      <c r="D558" s="58"/>
      <c r="E558" s="47"/>
      <c r="F558" s="47"/>
      <c r="G558" s="47"/>
      <c r="H558" s="47"/>
      <c r="I558" s="47"/>
      <c r="J558" s="47"/>
      <c r="K558" s="47"/>
      <c r="L558" s="47"/>
      <c r="M558" s="47"/>
      <c r="N558" s="47"/>
      <c r="O558" s="47"/>
      <c r="P558" s="47"/>
      <c r="Q558" s="47"/>
      <c r="R558" s="47"/>
      <c r="S558" s="47"/>
      <c r="T558" s="47"/>
      <c r="U558" s="47"/>
      <c r="V558" s="47"/>
      <c r="W558" s="47"/>
      <c r="X558" s="47"/>
      <c r="Y558" s="47"/>
      <c r="Z558" s="47"/>
    </row>
    <row r="559">
      <c r="A559" s="57"/>
      <c r="B559" s="58"/>
      <c r="C559" s="58"/>
      <c r="D559" s="58"/>
      <c r="E559" s="47"/>
      <c r="F559" s="47"/>
      <c r="G559" s="47"/>
      <c r="H559" s="47"/>
      <c r="I559" s="47"/>
      <c r="J559" s="47"/>
      <c r="K559" s="47"/>
      <c r="L559" s="47"/>
      <c r="M559" s="47"/>
      <c r="N559" s="47"/>
      <c r="O559" s="47"/>
      <c r="P559" s="47"/>
      <c r="Q559" s="47"/>
      <c r="R559" s="47"/>
      <c r="S559" s="47"/>
      <c r="T559" s="47"/>
      <c r="U559" s="47"/>
      <c r="V559" s="47"/>
      <c r="W559" s="47"/>
      <c r="X559" s="47"/>
      <c r="Y559" s="47"/>
      <c r="Z559" s="47"/>
    </row>
    <row r="560">
      <c r="A560" s="57"/>
      <c r="B560" s="58"/>
      <c r="C560" s="58"/>
      <c r="D560" s="58"/>
      <c r="E560" s="47"/>
      <c r="F560" s="47"/>
      <c r="G560" s="47"/>
      <c r="H560" s="47"/>
      <c r="I560" s="47"/>
      <c r="J560" s="47"/>
      <c r="K560" s="47"/>
      <c r="L560" s="47"/>
      <c r="M560" s="47"/>
      <c r="N560" s="47"/>
      <c r="O560" s="47"/>
      <c r="P560" s="47"/>
      <c r="Q560" s="47"/>
      <c r="R560" s="47"/>
      <c r="S560" s="47"/>
      <c r="T560" s="47"/>
      <c r="U560" s="47"/>
      <c r="V560" s="47"/>
      <c r="W560" s="47"/>
      <c r="X560" s="47"/>
      <c r="Y560" s="47"/>
      <c r="Z560" s="47"/>
    </row>
    <row r="561">
      <c r="A561" s="57"/>
      <c r="B561" s="58"/>
      <c r="C561" s="58"/>
      <c r="D561" s="58"/>
      <c r="E561" s="47"/>
      <c r="F561" s="47"/>
      <c r="G561" s="47"/>
      <c r="H561" s="47"/>
      <c r="I561" s="47"/>
      <c r="J561" s="47"/>
      <c r="K561" s="47"/>
      <c r="L561" s="47"/>
      <c r="M561" s="47"/>
      <c r="N561" s="47"/>
      <c r="O561" s="47"/>
      <c r="P561" s="47"/>
      <c r="Q561" s="47"/>
      <c r="R561" s="47"/>
      <c r="S561" s="47"/>
      <c r="T561" s="47"/>
      <c r="U561" s="47"/>
      <c r="V561" s="47"/>
      <c r="W561" s="47"/>
      <c r="X561" s="47"/>
      <c r="Y561" s="47"/>
      <c r="Z561" s="47"/>
    </row>
    <row r="562">
      <c r="A562" s="57"/>
      <c r="B562" s="58"/>
      <c r="C562" s="58"/>
      <c r="D562" s="58"/>
      <c r="E562" s="47"/>
      <c r="F562" s="47"/>
      <c r="G562" s="47"/>
      <c r="H562" s="47"/>
      <c r="I562" s="47"/>
      <c r="J562" s="47"/>
      <c r="K562" s="47"/>
      <c r="L562" s="47"/>
      <c r="M562" s="47"/>
      <c r="N562" s="47"/>
      <c r="O562" s="47"/>
      <c r="P562" s="47"/>
      <c r="Q562" s="47"/>
      <c r="R562" s="47"/>
      <c r="S562" s="47"/>
      <c r="T562" s="47"/>
      <c r="U562" s="47"/>
      <c r="V562" s="47"/>
      <c r="W562" s="47"/>
      <c r="X562" s="47"/>
      <c r="Y562" s="47"/>
      <c r="Z562" s="47"/>
    </row>
    <row r="563">
      <c r="A563" s="57"/>
      <c r="B563" s="58"/>
      <c r="C563" s="58"/>
      <c r="D563" s="58"/>
      <c r="E563" s="47"/>
      <c r="F563" s="47"/>
      <c r="G563" s="47"/>
      <c r="H563" s="47"/>
      <c r="I563" s="47"/>
      <c r="J563" s="47"/>
      <c r="K563" s="47"/>
      <c r="L563" s="47"/>
      <c r="M563" s="47"/>
      <c r="N563" s="47"/>
      <c r="O563" s="47"/>
      <c r="P563" s="47"/>
      <c r="Q563" s="47"/>
      <c r="R563" s="47"/>
      <c r="S563" s="47"/>
      <c r="T563" s="47"/>
      <c r="U563" s="47"/>
      <c r="V563" s="47"/>
      <c r="W563" s="47"/>
      <c r="X563" s="47"/>
      <c r="Y563" s="47"/>
      <c r="Z563" s="47"/>
    </row>
    <row r="564">
      <c r="A564" s="57"/>
      <c r="B564" s="58"/>
      <c r="C564" s="58"/>
      <c r="D564" s="58"/>
      <c r="E564" s="47"/>
      <c r="F564" s="47"/>
      <c r="G564" s="47"/>
      <c r="H564" s="47"/>
      <c r="I564" s="47"/>
      <c r="J564" s="47"/>
      <c r="K564" s="47"/>
      <c r="L564" s="47"/>
      <c r="M564" s="47"/>
      <c r="N564" s="47"/>
      <c r="O564" s="47"/>
      <c r="P564" s="47"/>
      <c r="Q564" s="47"/>
      <c r="R564" s="47"/>
      <c r="S564" s="47"/>
      <c r="T564" s="47"/>
      <c r="U564" s="47"/>
      <c r="V564" s="47"/>
      <c r="W564" s="47"/>
      <c r="X564" s="47"/>
      <c r="Y564" s="47"/>
      <c r="Z564" s="47"/>
    </row>
    <row r="565">
      <c r="A565" s="57"/>
      <c r="B565" s="58"/>
      <c r="C565" s="58"/>
      <c r="D565" s="58"/>
      <c r="E565" s="47"/>
      <c r="F565" s="47"/>
      <c r="G565" s="47"/>
      <c r="H565" s="47"/>
      <c r="I565" s="47"/>
      <c r="J565" s="47"/>
      <c r="K565" s="47"/>
      <c r="L565" s="47"/>
      <c r="M565" s="47"/>
      <c r="N565" s="47"/>
      <c r="O565" s="47"/>
      <c r="P565" s="47"/>
      <c r="Q565" s="47"/>
      <c r="R565" s="47"/>
      <c r="S565" s="47"/>
      <c r="T565" s="47"/>
      <c r="U565" s="47"/>
      <c r="V565" s="47"/>
      <c r="W565" s="47"/>
      <c r="X565" s="47"/>
      <c r="Y565" s="47"/>
      <c r="Z565" s="47"/>
    </row>
    <row r="566">
      <c r="A566" s="57"/>
      <c r="B566" s="58"/>
      <c r="C566" s="58"/>
      <c r="D566" s="58"/>
      <c r="E566" s="47"/>
      <c r="F566" s="47"/>
      <c r="G566" s="47"/>
      <c r="H566" s="47"/>
      <c r="I566" s="47"/>
      <c r="J566" s="47"/>
      <c r="K566" s="47"/>
      <c r="L566" s="47"/>
      <c r="M566" s="47"/>
      <c r="N566" s="47"/>
      <c r="O566" s="47"/>
      <c r="P566" s="47"/>
      <c r="Q566" s="47"/>
      <c r="R566" s="47"/>
      <c r="S566" s="47"/>
      <c r="T566" s="47"/>
      <c r="U566" s="47"/>
      <c r="V566" s="47"/>
      <c r="W566" s="47"/>
      <c r="X566" s="47"/>
      <c r="Y566" s="47"/>
      <c r="Z566" s="47"/>
    </row>
    <row r="567">
      <c r="A567" s="57"/>
      <c r="B567" s="58"/>
      <c r="C567" s="58"/>
      <c r="D567" s="58"/>
      <c r="E567" s="47"/>
      <c r="F567" s="47"/>
      <c r="G567" s="47"/>
      <c r="H567" s="47"/>
      <c r="I567" s="47"/>
      <c r="J567" s="47"/>
      <c r="K567" s="47"/>
      <c r="L567" s="47"/>
      <c r="M567" s="47"/>
      <c r="N567" s="47"/>
      <c r="O567" s="47"/>
      <c r="P567" s="47"/>
      <c r="Q567" s="47"/>
      <c r="R567" s="47"/>
      <c r="S567" s="47"/>
      <c r="T567" s="47"/>
      <c r="U567" s="47"/>
      <c r="V567" s="47"/>
      <c r="W567" s="47"/>
      <c r="X567" s="47"/>
      <c r="Y567" s="47"/>
      <c r="Z567" s="47"/>
    </row>
    <row r="568">
      <c r="A568" s="57"/>
      <c r="B568" s="58"/>
      <c r="C568" s="58"/>
      <c r="D568" s="58"/>
      <c r="E568" s="47"/>
      <c r="F568" s="47"/>
      <c r="G568" s="47"/>
      <c r="H568" s="47"/>
      <c r="I568" s="47"/>
      <c r="J568" s="47"/>
      <c r="K568" s="47"/>
      <c r="L568" s="47"/>
      <c r="M568" s="47"/>
      <c r="N568" s="47"/>
      <c r="O568" s="47"/>
      <c r="P568" s="47"/>
      <c r="Q568" s="47"/>
      <c r="R568" s="47"/>
      <c r="S568" s="47"/>
      <c r="T568" s="47"/>
      <c r="U568" s="47"/>
      <c r="V568" s="47"/>
      <c r="W568" s="47"/>
      <c r="X568" s="47"/>
      <c r="Y568" s="47"/>
      <c r="Z568" s="47"/>
    </row>
    <row r="569">
      <c r="A569" s="57"/>
      <c r="B569" s="58"/>
      <c r="C569" s="58"/>
      <c r="D569" s="58"/>
      <c r="E569" s="47"/>
      <c r="F569" s="47"/>
      <c r="G569" s="47"/>
      <c r="H569" s="47"/>
      <c r="I569" s="47"/>
      <c r="J569" s="47"/>
      <c r="K569" s="47"/>
      <c r="L569" s="47"/>
      <c r="M569" s="47"/>
      <c r="N569" s="47"/>
      <c r="O569" s="47"/>
      <c r="P569" s="47"/>
      <c r="Q569" s="47"/>
      <c r="R569" s="47"/>
      <c r="S569" s="47"/>
      <c r="T569" s="47"/>
      <c r="U569" s="47"/>
      <c r="V569" s="47"/>
      <c r="W569" s="47"/>
      <c r="X569" s="47"/>
      <c r="Y569" s="47"/>
      <c r="Z569" s="47"/>
    </row>
    <row r="570">
      <c r="A570" s="57"/>
      <c r="B570" s="58"/>
      <c r="C570" s="58"/>
      <c r="D570" s="58"/>
      <c r="E570" s="47"/>
      <c r="F570" s="47"/>
      <c r="G570" s="47"/>
      <c r="H570" s="47"/>
      <c r="I570" s="47"/>
      <c r="J570" s="47"/>
      <c r="K570" s="47"/>
      <c r="L570" s="47"/>
      <c r="M570" s="47"/>
      <c r="N570" s="47"/>
      <c r="O570" s="47"/>
      <c r="P570" s="47"/>
      <c r="Q570" s="47"/>
      <c r="R570" s="47"/>
      <c r="S570" s="47"/>
      <c r="T570" s="47"/>
      <c r="U570" s="47"/>
      <c r="V570" s="47"/>
      <c r="W570" s="47"/>
      <c r="X570" s="47"/>
      <c r="Y570" s="47"/>
      <c r="Z570" s="47"/>
    </row>
    <row r="571">
      <c r="A571" s="57"/>
      <c r="B571" s="58"/>
      <c r="C571" s="58"/>
      <c r="D571" s="58"/>
      <c r="E571" s="47"/>
      <c r="F571" s="47"/>
      <c r="G571" s="47"/>
      <c r="H571" s="47"/>
      <c r="I571" s="47"/>
      <c r="J571" s="47"/>
      <c r="K571" s="47"/>
      <c r="L571" s="47"/>
      <c r="M571" s="47"/>
      <c r="N571" s="47"/>
      <c r="O571" s="47"/>
      <c r="P571" s="47"/>
      <c r="Q571" s="47"/>
      <c r="R571" s="47"/>
      <c r="S571" s="47"/>
      <c r="T571" s="47"/>
      <c r="U571" s="47"/>
      <c r="V571" s="47"/>
      <c r="W571" s="47"/>
      <c r="X571" s="47"/>
      <c r="Y571" s="47"/>
      <c r="Z571" s="47"/>
    </row>
    <row r="572">
      <c r="A572" s="57"/>
      <c r="B572" s="58"/>
      <c r="C572" s="58"/>
      <c r="D572" s="58"/>
      <c r="E572" s="47"/>
      <c r="F572" s="47"/>
      <c r="G572" s="47"/>
      <c r="H572" s="47"/>
      <c r="I572" s="47"/>
      <c r="J572" s="47"/>
      <c r="K572" s="47"/>
      <c r="L572" s="47"/>
      <c r="M572" s="47"/>
      <c r="N572" s="47"/>
      <c r="O572" s="47"/>
      <c r="P572" s="47"/>
      <c r="Q572" s="47"/>
      <c r="R572" s="47"/>
      <c r="S572" s="47"/>
      <c r="T572" s="47"/>
      <c r="U572" s="47"/>
      <c r="V572" s="47"/>
      <c r="W572" s="47"/>
      <c r="X572" s="47"/>
      <c r="Y572" s="47"/>
      <c r="Z572" s="47"/>
    </row>
    <row r="573">
      <c r="A573" s="57"/>
      <c r="B573" s="58"/>
      <c r="C573" s="58"/>
      <c r="D573" s="58"/>
      <c r="E573" s="47"/>
      <c r="F573" s="47"/>
      <c r="G573" s="47"/>
      <c r="H573" s="47"/>
      <c r="I573" s="47"/>
      <c r="J573" s="47"/>
      <c r="K573" s="47"/>
      <c r="L573" s="47"/>
      <c r="M573" s="47"/>
      <c r="N573" s="47"/>
      <c r="O573" s="47"/>
      <c r="P573" s="47"/>
      <c r="Q573" s="47"/>
      <c r="R573" s="47"/>
      <c r="S573" s="47"/>
      <c r="T573" s="47"/>
      <c r="U573" s="47"/>
      <c r="V573" s="47"/>
      <c r="W573" s="47"/>
      <c r="X573" s="47"/>
      <c r="Y573" s="47"/>
      <c r="Z573" s="47"/>
    </row>
    <row r="574">
      <c r="A574" s="57"/>
      <c r="B574" s="58"/>
      <c r="C574" s="58"/>
      <c r="D574" s="58"/>
      <c r="E574" s="47"/>
      <c r="F574" s="47"/>
      <c r="G574" s="47"/>
      <c r="H574" s="47"/>
      <c r="I574" s="47"/>
      <c r="J574" s="47"/>
      <c r="K574" s="47"/>
      <c r="L574" s="47"/>
      <c r="M574" s="47"/>
      <c r="N574" s="47"/>
      <c r="O574" s="47"/>
      <c r="P574" s="47"/>
      <c r="Q574" s="47"/>
      <c r="R574" s="47"/>
      <c r="S574" s="47"/>
      <c r="T574" s="47"/>
      <c r="U574" s="47"/>
      <c r="V574" s="47"/>
      <c r="W574" s="47"/>
      <c r="X574" s="47"/>
      <c r="Y574" s="47"/>
      <c r="Z574" s="47"/>
    </row>
    <row r="575">
      <c r="A575" s="57"/>
      <c r="B575" s="58"/>
      <c r="C575" s="58"/>
      <c r="D575" s="58"/>
      <c r="E575" s="47"/>
      <c r="F575" s="47"/>
      <c r="G575" s="47"/>
      <c r="H575" s="47"/>
      <c r="I575" s="47"/>
      <c r="J575" s="47"/>
      <c r="K575" s="47"/>
      <c r="L575" s="47"/>
      <c r="M575" s="47"/>
      <c r="N575" s="47"/>
      <c r="O575" s="47"/>
      <c r="P575" s="47"/>
      <c r="Q575" s="47"/>
      <c r="R575" s="47"/>
      <c r="S575" s="47"/>
      <c r="T575" s="47"/>
      <c r="U575" s="47"/>
      <c r="V575" s="47"/>
      <c r="W575" s="47"/>
      <c r="X575" s="47"/>
      <c r="Y575" s="47"/>
      <c r="Z575" s="47"/>
    </row>
    <row r="576">
      <c r="A576" s="57"/>
      <c r="B576" s="58"/>
      <c r="C576" s="58"/>
      <c r="D576" s="58"/>
      <c r="E576" s="47"/>
      <c r="F576" s="47"/>
      <c r="G576" s="47"/>
      <c r="H576" s="47"/>
      <c r="I576" s="47"/>
      <c r="J576" s="47"/>
      <c r="K576" s="47"/>
      <c r="L576" s="47"/>
      <c r="M576" s="47"/>
      <c r="N576" s="47"/>
      <c r="O576" s="47"/>
      <c r="P576" s="47"/>
      <c r="Q576" s="47"/>
      <c r="R576" s="47"/>
      <c r="S576" s="47"/>
      <c r="T576" s="47"/>
      <c r="U576" s="47"/>
      <c r="V576" s="47"/>
      <c r="W576" s="47"/>
      <c r="X576" s="47"/>
      <c r="Y576" s="47"/>
      <c r="Z576" s="47"/>
    </row>
    <row r="577">
      <c r="A577" s="57"/>
      <c r="B577" s="58"/>
      <c r="C577" s="58"/>
      <c r="D577" s="58"/>
      <c r="E577" s="47"/>
      <c r="F577" s="47"/>
      <c r="G577" s="47"/>
      <c r="H577" s="47"/>
      <c r="I577" s="47"/>
      <c r="J577" s="47"/>
      <c r="K577" s="47"/>
      <c r="L577" s="47"/>
      <c r="M577" s="47"/>
      <c r="N577" s="47"/>
      <c r="O577" s="47"/>
      <c r="P577" s="47"/>
      <c r="Q577" s="47"/>
      <c r="R577" s="47"/>
      <c r="S577" s="47"/>
      <c r="T577" s="47"/>
      <c r="U577" s="47"/>
      <c r="V577" s="47"/>
      <c r="W577" s="47"/>
      <c r="X577" s="47"/>
      <c r="Y577" s="47"/>
      <c r="Z577" s="47"/>
    </row>
    <row r="578">
      <c r="A578" s="57"/>
      <c r="B578" s="58"/>
      <c r="C578" s="58"/>
      <c r="D578" s="58"/>
      <c r="E578" s="47"/>
      <c r="F578" s="47"/>
      <c r="G578" s="47"/>
      <c r="H578" s="47"/>
      <c r="I578" s="47"/>
      <c r="J578" s="47"/>
      <c r="K578" s="47"/>
      <c r="L578" s="47"/>
      <c r="M578" s="47"/>
      <c r="N578" s="47"/>
      <c r="O578" s="47"/>
      <c r="P578" s="47"/>
      <c r="Q578" s="47"/>
      <c r="R578" s="47"/>
      <c r="S578" s="47"/>
      <c r="T578" s="47"/>
      <c r="U578" s="47"/>
      <c r="V578" s="47"/>
      <c r="W578" s="47"/>
      <c r="X578" s="47"/>
      <c r="Y578" s="47"/>
      <c r="Z578" s="47"/>
    </row>
    <row r="579">
      <c r="A579" s="57"/>
      <c r="B579" s="58"/>
      <c r="C579" s="58"/>
      <c r="D579" s="58"/>
      <c r="E579" s="47"/>
      <c r="F579" s="47"/>
      <c r="G579" s="47"/>
      <c r="H579" s="47"/>
      <c r="I579" s="47"/>
      <c r="J579" s="47"/>
      <c r="K579" s="47"/>
      <c r="L579" s="47"/>
      <c r="M579" s="47"/>
      <c r="N579" s="47"/>
      <c r="O579" s="47"/>
      <c r="P579" s="47"/>
      <c r="Q579" s="47"/>
      <c r="R579" s="47"/>
      <c r="S579" s="47"/>
      <c r="T579" s="47"/>
      <c r="U579" s="47"/>
      <c r="V579" s="47"/>
      <c r="W579" s="47"/>
      <c r="X579" s="47"/>
      <c r="Y579" s="47"/>
      <c r="Z579" s="47"/>
    </row>
    <row r="580">
      <c r="A580" s="57"/>
      <c r="B580" s="58"/>
      <c r="C580" s="58"/>
      <c r="D580" s="58"/>
      <c r="E580" s="47"/>
      <c r="F580" s="47"/>
      <c r="G580" s="47"/>
      <c r="H580" s="47"/>
      <c r="I580" s="47"/>
      <c r="J580" s="47"/>
      <c r="K580" s="47"/>
      <c r="L580" s="47"/>
      <c r="M580" s="47"/>
      <c r="N580" s="47"/>
      <c r="O580" s="47"/>
      <c r="P580" s="47"/>
      <c r="Q580" s="47"/>
      <c r="R580" s="47"/>
      <c r="S580" s="47"/>
      <c r="T580" s="47"/>
      <c r="U580" s="47"/>
      <c r="V580" s="47"/>
      <c r="W580" s="47"/>
      <c r="X580" s="47"/>
      <c r="Y580" s="47"/>
      <c r="Z580" s="47"/>
    </row>
    <row r="581">
      <c r="A581" s="57"/>
      <c r="B581" s="58"/>
      <c r="C581" s="58"/>
      <c r="D581" s="58"/>
      <c r="E581" s="47"/>
      <c r="F581" s="47"/>
      <c r="G581" s="47"/>
      <c r="H581" s="47"/>
      <c r="I581" s="47"/>
      <c r="J581" s="47"/>
      <c r="K581" s="47"/>
      <c r="L581" s="47"/>
      <c r="M581" s="47"/>
      <c r="N581" s="47"/>
      <c r="O581" s="47"/>
      <c r="P581" s="47"/>
      <c r="Q581" s="47"/>
      <c r="R581" s="47"/>
      <c r="S581" s="47"/>
      <c r="T581" s="47"/>
      <c r="U581" s="47"/>
      <c r="V581" s="47"/>
      <c r="W581" s="47"/>
      <c r="X581" s="47"/>
      <c r="Y581" s="47"/>
      <c r="Z581" s="47"/>
    </row>
    <row r="582">
      <c r="A582" s="57"/>
      <c r="B582" s="58"/>
      <c r="C582" s="58"/>
      <c r="D582" s="58"/>
      <c r="E582" s="47"/>
      <c r="F582" s="47"/>
      <c r="G582" s="47"/>
      <c r="H582" s="47"/>
      <c r="I582" s="47"/>
      <c r="J582" s="47"/>
      <c r="K582" s="47"/>
      <c r="L582" s="47"/>
      <c r="M582" s="47"/>
      <c r="N582" s="47"/>
      <c r="O582" s="47"/>
      <c r="P582" s="47"/>
      <c r="Q582" s="47"/>
      <c r="R582" s="47"/>
      <c r="S582" s="47"/>
      <c r="T582" s="47"/>
      <c r="U582" s="47"/>
      <c r="V582" s="47"/>
      <c r="W582" s="47"/>
      <c r="X582" s="47"/>
      <c r="Y582" s="47"/>
      <c r="Z582" s="47"/>
    </row>
    <row r="583">
      <c r="A583" s="57"/>
      <c r="B583" s="58"/>
      <c r="C583" s="58"/>
      <c r="D583" s="58"/>
      <c r="E583" s="47"/>
      <c r="F583" s="47"/>
      <c r="G583" s="47"/>
      <c r="H583" s="47"/>
      <c r="I583" s="47"/>
      <c r="J583" s="47"/>
      <c r="K583" s="47"/>
      <c r="L583" s="47"/>
      <c r="M583" s="47"/>
      <c r="N583" s="47"/>
      <c r="O583" s="47"/>
      <c r="P583" s="47"/>
      <c r="Q583" s="47"/>
      <c r="R583" s="47"/>
      <c r="S583" s="47"/>
      <c r="T583" s="47"/>
      <c r="U583" s="47"/>
      <c r="V583" s="47"/>
      <c r="W583" s="47"/>
      <c r="X583" s="47"/>
      <c r="Y583" s="47"/>
      <c r="Z583" s="47"/>
    </row>
    <row r="584">
      <c r="A584" s="57"/>
      <c r="B584" s="58"/>
      <c r="C584" s="58"/>
      <c r="D584" s="58"/>
      <c r="E584" s="47"/>
      <c r="F584" s="47"/>
      <c r="G584" s="47"/>
      <c r="H584" s="47"/>
      <c r="I584" s="47"/>
      <c r="J584" s="47"/>
      <c r="K584" s="47"/>
      <c r="L584" s="47"/>
      <c r="M584" s="47"/>
      <c r="N584" s="47"/>
      <c r="O584" s="47"/>
      <c r="P584" s="47"/>
      <c r="Q584" s="47"/>
      <c r="R584" s="47"/>
      <c r="S584" s="47"/>
      <c r="T584" s="47"/>
      <c r="U584" s="47"/>
      <c r="V584" s="47"/>
      <c r="W584" s="47"/>
      <c r="X584" s="47"/>
      <c r="Y584" s="47"/>
      <c r="Z584" s="47"/>
    </row>
    <row r="585">
      <c r="A585" s="57"/>
      <c r="B585" s="58"/>
      <c r="C585" s="58"/>
      <c r="D585" s="58"/>
      <c r="E585" s="47"/>
      <c r="F585" s="47"/>
      <c r="G585" s="47"/>
      <c r="H585" s="47"/>
      <c r="I585" s="47"/>
      <c r="J585" s="47"/>
      <c r="K585" s="47"/>
      <c r="L585" s="47"/>
      <c r="M585" s="47"/>
      <c r="N585" s="47"/>
      <c r="O585" s="47"/>
      <c r="P585" s="47"/>
      <c r="Q585" s="47"/>
      <c r="R585" s="47"/>
      <c r="S585" s="47"/>
      <c r="T585" s="47"/>
      <c r="U585" s="47"/>
      <c r="V585" s="47"/>
      <c r="W585" s="47"/>
      <c r="X585" s="47"/>
      <c r="Y585" s="47"/>
      <c r="Z585" s="47"/>
    </row>
    <row r="586">
      <c r="A586" s="57"/>
      <c r="B586" s="58"/>
      <c r="C586" s="58"/>
      <c r="D586" s="58"/>
      <c r="E586" s="47"/>
      <c r="F586" s="47"/>
      <c r="G586" s="47"/>
      <c r="H586" s="47"/>
      <c r="I586" s="47"/>
      <c r="J586" s="47"/>
      <c r="K586" s="47"/>
      <c r="L586" s="47"/>
      <c r="M586" s="47"/>
      <c r="N586" s="47"/>
      <c r="O586" s="47"/>
      <c r="P586" s="47"/>
      <c r="Q586" s="47"/>
      <c r="R586" s="47"/>
      <c r="S586" s="47"/>
      <c r="T586" s="47"/>
      <c r="U586" s="47"/>
      <c r="V586" s="47"/>
      <c r="W586" s="47"/>
      <c r="X586" s="47"/>
      <c r="Y586" s="47"/>
      <c r="Z586" s="47"/>
    </row>
    <row r="587">
      <c r="A587" s="57"/>
      <c r="B587" s="58"/>
      <c r="C587" s="58"/>
      <c r="D587" s="58"/>
      <c r="E587" s="47"/>
      <c r="F587" s="47"/>
      <c r="G587" s="47"/>
      <c r="H587" s="47"/>
      <c r="I587" s="47"/>
      <c r="J587" s="47"/>
      <c r="K587" s="47"/>
      <c r="L587" s="47"/>
      <c r="M587" s="47"/>
      <c r="N587" s="47"/>
      <c r="O587" s="47"/>
      <c r="P587" s="47"/>
      <c r="Q587" s="47"/>
      <c r="R587" s="47"/>
      <c r="S587" s="47"/>
      <c r="T587" s="47"/>
      <c r="U587" s="47"/>
      <c r="V587" s="47"/>
      <c r="W587" s="47"/>
      <c r="X587" s="47"/>
      <c r="Y587" s="47"/>
      <c r="Z587" s="47"/>
    </row>
    <row r="588">
      <c r="A588" s="57"/>
      <c r="B588" s="58"/>
      <c r="C588" s="58"/>
      <c r="D588" s="58"/>
      <c r="E588" s="47"/>
      <c r="F588" s="47"/>
      <c r="G588" s="47"/>
      <c r="H588" s="47"/>
      <c r="I588" s="47"/>
      <c r="J588" s="47"/>
      <c r="K588" s="47"/>
      <c r="L588" s="47"/>
      <c r="M588" s="47"/>
      <c r="N588" s="47"/>
      <c r="O588" s="47"/>
      <c r="P588" s="47"/>
      <c r="Q588" s="47"/>
      <c r="R588" s="47"/>
      <c r="S588" s="47"/>
      <c r="T588" s="47"/>
      <c r="U588" s="47"/>
      <c r="V588" s="47"/>
      <c r="W588" s="47"/>
      <c r="X588" s="47"/>
      <c r="Y588" s="47"/>
      <c r="Z588" s="47"/>
    </row>
    <row r="589">
      <c r="A589" s="57"/>
      <c r="B589" s="58"/>
      <c r="C589" s="58"/>
      <c r="D589" s="58"/>
      <c r="E589" s="47"/>
      <c r="F589" s="47"/>
      <c r="G589" s="47"/>
      <c r="H589" s="47"/>
      <c r="I589" s="47"/>
      <c r="J589" s="47"/>
      <c r="K589" s="47"/>
      <c r="L589" s="47"/>
      <c r="M589" s="47"/>
      <c r="N589" s="47"/>
      <c r="O589" s="47"/>
      <c r="P589" s="47"/>
      <c r="Q589" s="47"/>
      <c r="R589" s="47"/>
      <c r="S589" s="47"/>
      <c r="T589" s="47"/>
      <c r="U589" s="47"/>
      <c r="V589" s="47"/>
      <c r="W589" s="47"/>
      <c r="X589" s="47"/>
      <c r="Y589" s="47"/>
      <c r="Z589" s="47"/>
    </row>
    <row r="590">
      <c r="A590" s="57"/>
      <c r="B590" s="58"/>
      <c r="C590" s="58"/>
      <c r="D590" s="58"/>
      <c r="E590" s="47"/>
      <c r="F590" s="47"/>
      <c r="G590" s="47"/>
      <c r="H590" s="47"/>
      <c r="I590" s="47"/>
      <c r="J590" s="47"/>
      <c r="K590" s="47"/>
      <c r="L590" s="47"/>
      <c r="M590" s="47"/>
      <c r="N590" s="47"/>
      <c r="O590" s="47"/>
      <c r="P590" s="47"/>
      <c r="Q590" s="47"/>
      <c r="R590" s="47"/>
      <c r="S590" s="47"/>
      <c r="T590" s="47"/>
      <c r="U590" s="47"/>
      <c r="V590" s="47"/>
      <c r="W590" s="47"/>
      <c r="X590" s="47"/>
      <c r="Y590" s="47"/>
      <c r="Z590" s="47"/>
    </row>
    <row r="591">
      <c r="A591" s="57"/>
      <c r="B591" s="58"/>
      <c r="C591" s="58"/>
      <c r="D591" s="58"/>
      <c r="E591" s="47"/>
      <c r="F591" s="47"/>
      <c r="G591" s="47"/>
      <c r="H591" s="47"/>
      <c r="I591" s="47"/>
      <c r="J591" s="47"/>
      <c r="K591" s="47"/>
      <c r="L591" s="47"/>
      <c r="M591" s="47"/>
      <c r="N591" s="47"/>
      <c r="O591" s="47"/>
      <c r="P591" s="47"/>
      <c r="Q591" s="47"/>
      <c r="R591" s="47"/>
      <c r="S591" s="47"/>
      <c r="T591" s="47"/>
      <c r="U591" s="47"/>
      <c r="V591" s="47"/>
      <c r="W591" s="47"/>
      <c r="X591" s="47"/>
      <c r="Y591" s="47"/>
      <c r="Z591" s="47"/>
    </row>
    <row r="592">
      <c r="A592" s="57"/>
      <c r="B592" s="58"/>
      <c r="C592" s="58"/>
      <c r="D592" s="58"/>
      <c r="E592" s="47"/>
      <c r="F592" s="47"/>
      <c r="G592" s="47"/>
      <c r="H592" s="47"/>
      <c r="I592" s="47"/>
      <c r="J592" s="47"/>
      <c r="K592" s="47"/>
      <c r="L592" s="47"/>
      <c r="M592" s="47"/>
      <c r="N592" s="47"/>
      <c r="O592" s="47"/>
      <c r="P592" s="47"/>
      <c r="Q592" s="47"/>
      <c r="R592" s="47"/>
      <c r="S592" s="47"/>
      <c r="T592" s="47"/>
      <c r="U592" s="47"/>
      <c r="V592" s="47"/>
      <c r="W592" s="47"/>
      <c r="X592" s="47"/>
      <c r="Y592" s="47"/>
      <c r="Z592" s="47"/>
    </row>
    <row r="593">
      <c r="A593" s="57"/>
      <c r="B593" s="58"/>
      <c r="C593" s="58"/>
      <c r="D593" s="58"/>
      <c r="E593" s="47"/>
      <c r="F593" s="47"/>
      <c r="G593" s="47"/>
      <c r="H593" s="47"/>
      <c r="I593" s="47"/>
      <c r="J593" s="47"/>
      <c r="K593" s="47"/>
      <c r="L593" s="47"/>
      <c r="M593" s="47"/>
      <c r="N593" s="47"/>
      <c r="O593" s="47"/>
      <c r="P593" s="47"/>
      <c r="Q593" s="47"/>
      <c r="R593" s="47"/>
      <c r="S593" s="47"/>
      <c r="T593" s="47"/>
      <c r="U593" s="47"/>
      <c r="V593" s="47"/>
      <c r="W593" s="47"/>
      <c r="X593" s="47"/>
      <c r="Y593" s="47"/>
      <c r="Z593" s="47"/>
    </row>
    <row r="594">
      <c r="A594" s="57"/>
      <c r="B594" s="58"/>
      <c r="C594" s="58"/>
      <c r="D594" s="58"/>
      <c r="E594" s="47"/>
      <c r="F594" s="47"/>
      <c r="G594" s="47"/>
      <c r="H594" s="47"/>
      <c r="I594" s="47"/>
      <c r="J594" s="47"/>
      <c r="K594" s="47"/>
      <c r="L594" s="47"/>
      <c r="M594" s="47"/>
      <c r="N594" s="47"/>
      <c r="O594" s="47"/>
      <c r="P594" s="47"/>
      <c r="Q594" s="47"/>
      <c r="R594" s="47"/>
      <c r="S594" s="47"/>
      <c r="T594" s="47"/>
      <c r="U594" s="47"/>
      <c r="V594" s="47"/>
      <c r="W594" s="47"/>
      <c r="X594" s="47"/>
      <c r="Y594" s="47"/>
      <c r="Z594" s="47"/>
    </row>
    <row r="595">
      <c r="A595" s="57"/>
      <c r="B595" s="58"/>
      <c r="C595" s="58"/>
      <c r="D595" s="58"/>
      <c r="E595" s="47"/>
      <c r="F595" s="47"/>
      <c r="G595" s="47"/>
      <c r="H595" s="47"/>
      <c r="I595" s="47"/>
      <c r="J595" s="47"/>
      <c r="K595" s="47"/>
      <c r="L595" s="47"/>
      <c r="M595" s="47"/>
      <c r="N595" s="47"/>
      <c r="O595" s="47"/>
      <c r="P595" s="47"/>
      <c r="Q595" s="47"/>
      <c r="R595" s="47"/>
      <c r="S595" s="47"/>
      <c r="T595" s="47"/>
      <c r="U595" s="47"/>
      <c r="V595" s="47"/>
      <c r="W595" s="47"/>
      <c r="X595" s="47"/>
      <c r="Y595" s="47"/>
      <c r="Z595" s="47"/>
    </row>
    <row r="596">
      <c r="A596" s="57"/>
      <c r="B596" s="58"/>
      <c r="C596" s="58"/>
      <c r="D596" s="58"/>
      <c r="E596" s="47"/>
      <c r="F596" s="47"/>
      <c r="G596" s="47"/>
      <c r="H596" s="47"/>
      <c r="I596" s="47"/>
      <c r="J596" s="47"/>
      <c r="K596" s="47"/>
      <c r="L596" s="47"/>
      <c r="M596" s="47"/>
      <c r="N596" s="47"/>
      <c r="O596" s="47"/>
      <c r="P596" s="47"/>
      <c r="Q596" s="47"/>
      <c r="R596" s="47"/>
      <c r="S596" s="47"/>
      <c r="T596" s="47"/>
      <c r="U596" s="47"/>
      <c r="V596" s="47"/>
      <c r="W596" s="47"/>
      <c r="X596" s="47"/>
      <c r="Y596" s="47"/>
      <c r="Z596" s="47"/>
    </row>
    <row r="597">
      <c r="A597" s="57"/>
      <c r="B597" s="58"/>
      <c r="C597" s="58"/>
      <c r="D597" s="58"/>
      <c r="E597" s="47"/>
      <c r="F597" s="47"/>
      <c r="G597" s="47"/>
      <c r="H597" s="47"/>
      <c r="I597" s="47"/>
      <c r="J597" s="47"/>
      <c r="K597" s="47"/>
      <c r="L597" s="47"/>
      <c r="M597" s="47"/>
      <c r="N597" s="47"/>
      <c r="O597" s="47"/>
      <c r="P597" s="47"/>
      <c r="Q597" s="47"/>
      <c r="R597" s="47"/>
      <c r="S597" s="47"/>
      <c r="T597" s="47"/>
      <c r="U597" s="47"/>
      <c r="V597" s="47"/>
      <c r="W597" s="47"/>
      <c r="X597" s="47"/>
      <c r="Y597" s="47"/>
      <c r="Z597" s="47"/>
    </row>
    <row r="598">
      <c r="A598" s="57"/>
      <c r="B598" s="58"/>
      <c r="C598" s="58"/>
      <c r="D598" s="58"/>
      <c r="E598" s="47"/>
      <c r="F598" s="47"/>
      <c r="G598" s="47"/>
      <c r="H598" s="47"/>
      <c r="I598" s="47"/>
      <c r="J598" s="47"/>
      <c r="K598" s="47"/>
      <c r="L598" s="47"/>
      <c r="M598" s="47"/>
      <c r="N598" s="47"/>
      <c r="O598" s="47"/>
      <c r="P598" s="47"/>
      <c r="Q598" s="47"/>
      <c r="R598" s="47"/>
      <c r="S598" s="47"/>
      <c r="T598" s="47"/>
      <c r="U598" s="47"/>
      <c r="V598" s="47"/>
      <c r="W598" s="47"/>
      <c r="X598" s="47"/>
      <c r="Y598" s="47"/>
      <c r="Z598" s="47"/>
    </row>
    <row r="599">
      <c r="A599" s="57"/>
      <c r="B599" s="58"/>
      <c r="C599" s="58"/>
      <c r="D599" s="58"/>
      <c r="E599" s="47"/>
      <c r="F599" s="47"/>
      <c r="G599" s="47"/>
      <c r="H599" s="47"/>
      <c r="I599" s="47"/>
      <c r="J599" s="47"/>
      <c r="K599" s="47"/>
      <c r="L599" s="47"/>
      <c r="M599" s="47"/>
      <c r="N599" s="47"/>
      <c r="O599" s="47"/>
      <c r="P599" s="47"/>
      <c r="Q599" s="47"/>
      <c r="R599" s="47"/>
      <c r="S599" s="47"/>
      <c r="T599" s="47"/>
      <c r="U599" s="47"/>
      <c r="V599" s="47"/>
      <c r="W599" s="47"/>
      <c r="X599" s="47"/>
      <c r="Y599" s="47"/>
      <c r="Z599" s="47"/>
    </row>
    <row r="600">
      <c r="A600" s="57"/>
      <c r="B600" s="58"/>
      <c r="C600" s="58"/>
      <c r="D600" s="58"/>
      <c r="E600" s="47"/>
      <c r="F600" s="47"/>
      <c r="G600" s="47"/>
      <c r="H600" s="47"/>
      <c r="I600" s="47"/>
      <c r="J600" s="47"/>
      <c r="K600" s="47"/>
      <c r="L600" s="47"/>
      <c r="M600" s="47"/>
      <c r="N600" s="47"/>
      <c r="O600" s="47"/>
      <c r="P600" s="47"/>
      <c r="Q600" s="47"/>
      <c r="R600" s="47"/>
      <c r="S600" s="47"/>
      <c r="T600" s="47"/>
      <c r="U600" s="47"/>
      <c r="V600" s="47"/>
      <c r="W600" s="47"/>
      <c r="X600" s="47"/>
      <c r="Y600" s="47"/>
      <c r="Z600" s="47"/>
    </row>
    <row r="601">
      <c r="A601" s="57"/>
      <c r="B601" s="58"/>
      <c r="C601" s="58"/>
      <c r="D601" s="58"/>
      <c r="E601" s="47"/>
      <c r="F601" s="47"/>
      <c r="G601" s="47"/>
      <c r="H601" s="47"/>
      <c r="I601" s="47"/>
      <c r="J601" s="47"/>
      <c r="K601" s="47"/>
      <c r="L601" s="47"/>
      <c r="M601" s="47"/>
      <c r="N601" s="47"/>
      <c r="O601" s="47"/>
      <c r="P601" s="47"/>
      <c r="Q601" s="47"/>
      <c r="R601" s="47"/>
      <c r="S601" s="47"/>
      <c r="T601" s="47"/>
      <c r="U601" s="47"/>
      <c r="V601" s="47"/>
      <c r="W601" s="47"/>
      <c r="X601" s="47"/>
      <c r="Y601" s="47"/>
      <c r="Z601" s="47"/>
    </row>
    <row r="602">
      <c r="A602" s="57"/>
      <c r="B602" s="58"/>
      <c r="C602" s="58"/>
      <c r="D602" s="58"/>
      <c r="E602" s="47"/>
      <c r="F602" s="47"/>
      <c r="G602" s="47"/>
      <c r="H602" s="47"/>
      <c r="I602" s="47"/>
      <c r="J602" s="47"/>
      <c r="K602" s="47"/>
      <c r="L602" s="47"/>
      <c r="M602" s="47"/>
      <c r="N602" s="47"/>
      <c r="O602" s="47"/>
      <c r="P602" s="47"/>
      <c r="Q602" s="47"/>
      <c r="R602" s="47"/>
      <c r="S602" s="47"/>
      <c r="T602" s="47"/>
      <c r="U602" s="47"/>
      <c r="V602" s="47"/>
      <c r="W602" s="47"/>
      <c r="X602" s="47"/>
      <c r="Y602" s="47"/>
      <c r="Z602" s="47"/>
    </row>
    <row r="603">
      <c r="A603" s="57"/>
      <c r="B603" s="58"/>
      <c r="C603" s="58"/>
      <c r="D603" s="58"/>
      <c r="E603" s="47"/>
      <c r="F603" s="47"/>
      <c r="G603" s="47"/>
      <c r="H603" s="47"/>
      <c r="I603" s="47"/>
      <c r="J603" s="47"/>
      <c r="K603" s="47"/>
      <c r="L603" s="47"/>
      <c r="M603" s="47"/>
      <c r="N603" s="47"/>
      <c r="O603" s="47"/>
      <c r="P603" s="47"/>
      <c r="Q603" s="47"/>
      <c r="R603" s="47"/>
      <c r="S603" s="47"/>
      <c r="T603" s="47"/>
      <c r="U603" s="47"/>
      <c r="V603" s="47"/>
      <c r="W603" s="47"/>
      <c r="X603" s="47"/>
      <c r="Y603" s="47"/>
      <c r="Z603" s="47"/>
    </row>
    <row r="604">
      <c r="A604" s="57"/>
      <c r="B604" s="58"/>
      <c r="C604" s="58"/>
      <c r="D604" s="58"/>
      <c r="E604" s="47"/>
      <c r="F604" s="47"/>
      <c r="G604" s="47"/>
      <c r="H604" s="47"/>
      <c r="I604" s="47"/>
      <c r="J604" s="47"/>
      <c r="K604" s="47"/>
      <c r="L604" s="47"/>
      <c r="M604" s="47"/>
      <c r="N604" s="47"/>
      <c r="O604" s="47"/>
      <c r="P604" s="47"/>
      <c r="Q604" s="47"/>
      <c r="R604" s="47"/>
      <c r="S604" s="47"/>
      <c r="T604" s="47"/>
      <c r="U604" s="47"/>
      <c r="V604" s="47"/>
      <c r="W604" s="47"/>
      <c r="X604" s="47"/>
      <c r="Y604" s="47"/>
      <c r="Z604" s="47"/>
    </row>
    <row r="605">
      <c r="A605" s="57"/>
      <c r="B605" s="58"/>
      <c r="C605" s="58"/>
      <c r="D605" s="58"/>
      <c r="E605" s="47"/>
      <c r="F605" s="47"/>
      <c r="G605" s="47"/>
      <c r="H605" s="47"/>
      <c r="I605" s="47"/>
      <c r="J605" s="47"/>
      <c r="K605" s="47"/>
      <c r="L605" s="47"/>
      <c r="M605" s="47"/>
      <c r="N605" s="47"/>
      <c r="O605" s="47"/>
      <c r="P605" s="47"/>
      <c r="Q605" s="47"/>
      <c r="R605" s="47"/>
      <c r="S605" s="47"/>
      <c r="T605" s="47"/>
      <c r="U605" s="47"/>
      <c r="V605" s="47"/>
      <c r="W605" s="47"/>
      <c r="X605" s="47"/>
      <c r="Y605" s="47"/>
      <c r="Z605" s="47"/>
    </row>
    <row r="606">
      <c r="A606" s="57"/>
      <c r="B606" s="58"/>
      <c r="C606" s="58"/>
      <c r="D606" s="58"/>
      <c r="E606" s="47"/>
      <c r="F606" s="47"/>
      <c r="G606" s="47"/>
      <c r="H606" s="47"/>
      <c r="I606" s="47"/>
      <c r="J606" s="47"/>
      <c r="K606" s="47"/>
      <c r="L606" s="47"/>
      <c r="M606" s="47"/>
      <c r="N606" s="47"/>
      <c r="O606" s="47"/>
      <c r="P606" s="47"/>
      <c r="Q606" s="47"/>
      <c r="R606" s="47"/>
      <c r="S606" s="47"/>
      <c r="T606" s="47"/>
      <c r="U606" s="47"/>
      <c r="V606" s="47"/>
      <c r="W606" s="47"/>
      <c r="X606" s="47"/>
      <c r="Y606" s="47"/>
      <c r="Z606" s="47"/>
    </row>
    <row r="607">
      <c r="A607" s="57"/>
      <c r="B607" s="58"/>
      <c r="C607" s="58"/>
      <c r="D607" s="58"/>
      <c r="E607" s="47"/>
      <c r="F607" s="47"/>
      <c r="G607" s="47"/>
      <c r="H607" s="47"/>
      <c r="I607" s="47"/>
      <c r="J607" s="47"/>
      <c r="K607" s="47"/>
      <c r="L607" s="47"/>
      <c r="M607" s="47"/>
      <c r="N607" s="47"/>
      <c r="O607" s="47"/>
      <c r="P607" s="47"/>
      <c r="Q607" s="47"/>
      <c r="R607" s="47"/>
      <c r="S607" s="47"/>
      <c r="T607" s="47"/>
      <c r="U607" s="47"/>
      <c r="V607" s="47"/>
      <c r="W607" s="47"/>
      <c r="X607" s="47"/>
      <c r="Y607" s="47"/>
      <c r="Z607" s="47"/>
    </row>
    <row r="608">
      <c r="A608" s="57"/>
      <c r="B608" s="58"/>
      <c r="C608" s="58"/>
      <c r="D608" s="58"/>
      <c r="E608" s="47"/>
      <c r="F608" s="47"/>
      <c r="G608" s="47"/>
      <c r="H608" s="47"/>
      <c r="I608" s="47"/>
      <c r="J608" s="47"/>
      <c r="K608" s="47"/>
      <c r="L608" s="47"/>
      <c r="M608" s="47"/>
      <c r="N608" s="47"/>
      <c r="O608" s="47"/>
      <c r="P608" s="47"/>
      <c r="Q608" s="47"/>
      <c r="R608" s="47"/>
      <c r="S608" s="47"/>
      <c r="T608" s="47"/>
      <c r="U608" s="47"/>
      <c r="V608" s="47"/>
      <c r="W608" s="47"/>
      <c r="X608" s="47"/>
      <c r="Y608" s="47"/>
      <c r="Z608" s="47"/>
    </row>
    <row r="609">
      <c r="A609" s="57"/>
      <c r="B609" s="58"/>
      <c r="C609" s="58"/>
      <c r="D609" s="58"/>
      <c r="E609" s="47"/>
      <c r="F609" s="47"/>
      <c r="G609" s="47"/>
      <c r="H609" s="47"/>
      <c r="I609" s="47"/>
      <c r="J609" s="47"/>
      <c r="K609" s="47"/>
      <c r="L609" s="47"/>
      <c r="M609" s="47"/>
      <c r="N609" s="47"/>
      <c r="O609" s="47"/>
      <c r="P609" s="47"/>
      <c r="Q609" s="47"/>
      <c r="R609" s="47"/>
      <c r="S609" s="47"/>
      <c r="T609" s="47"/>
      <c r="U609" s="47"/>
      <c r="V609" s="47"/>
      <c r="W609" s="47"/>
      <c r="X609" s="47"/>
      <c r="Y609" s="47"/>
      <c r="Z609" s="47"/>
    </row>
    <row r="610">
      <c r="A610" s="57"/>
      <c r="B610" s="58"/>
      <c r="C610" s="58"/>
      <c r="D610" s="58"/>
      <c r="E610" s="47"/>
      <c r="F610" s="47"/>
      <c r="G610" s="47"/>
      <c r="H610" s="47"/>
      <c r="I610" s="47"/>
      <c r="J610" s="47"/>
      <c r="K610" s="47"/>
      <c r="L610" s="47"/>
      <c r="M610" s="47"/>
      <c r="N610" s="47"/>
      <c r="O610" s="47"/>
      <c r="P610" s="47"/>
      <c r="Q610" s="47"/>
      <c r="R610" s="47"/>
      <c r="S610" s="47"/>
      <c r="T610" s="47"/>
      <c r="U610" s="47"/>
      <c r="V610" s="47"/>
      <c r="W610" s="47"/>
      <c r="X610" s="47"/>
      <c r="Y610" s="47"/>
      <c r="Z610" s="47"/>
    </row>
    <row r="611">
      <c r="A611" s="57"/>
      <c r="B611" s="58"/>
      <c r="C611" s="58"/>
      <c r="D611" s="58"/>
      <c r="E611" s="47"/>
      <c r="F611" s="47"/>
      <c r="G611" s="47"/>
      <c r="H611" s="47"/>
      <c r="I611" s="47"/>
      <c r="J611" s="47"/>
      <c r="K611" s="47"/>
      <c r="L611" s="47"/>
      <c r="M611" s="47"/>
      <c r="N611" s="47"/>
      <c r="O611" s="47"/>
      <c r="P611" s="47"/>
      <c r="Q611" s="47"/>
      <c r="R611" s="47"/>
      <c r="S611" s="47"/>
      <c r="T611" s="47"/>
      <c r="U611" s="47"/>
      <c r="V611" s="47"/>
      <c r="W611" s="47"/>
      <c r="X611" s="47"/>
      <c r="Y611" s="47"/>
      <c r="Z611" s="47"/>
    </row>
    <row r="612">
      <c r="A612" s="57"/>
      <c r="B612" s="58"/>
      <c r="C612" s="58"/>
      <c r="D612" s="58"/>
      <c r="E612" s="47"/>
      <c r="F612" s="47"/>
      <c r="G612" s="47"/>
      <c r="H612" s="47"/>
      <c r="I612" s="47"/>
      <c r="J612" s="47"/>
      <c r="K612" s="47"/>
      <c r="L612" s="47"/>
      <c r="M612" s="47"/>
      <c r="N612" s="47"/>
      <c r="O612" s="47"/>
      <c r="P612" s="47"/>
      <c r="Q612" s="47"/>
      <c r="R612" s="47"/>
      <c r="S612" s="47"/>
      <c r="T612" s="47"/>
      <c r="U612" s="47"/>
      <c r="V612" s="47"/>
      <c r="W612" s="47"/>
      <c r="X612" s="47"/>
      <c r="Y612" s="47"/>
      <c r="Z612" s="47"/>
    </row>
    <row r="613">
      <c r="A613" s="57"/>
      <c r="B613" s="58"/>
      <c r="C613" s="58"/>
      <c r="D613" s="58"/>
      <c r="E613" s="47"/>
      <c r="F613" s="47"/>
      <c r="G613" s="47"/>
      <c r="H613" s="47"/>
      <c r="I613" s="47"/>
      <c r="J613" s="47"/>
      <c r="K613" s="47"/>
      <c r="L613" s="47"/>
      <c r="M613" s="47"/>
      <c r="N613" s="47"/>
      <c r="O613" s="47"/>
      <c r="P613" s="47"/>
      <c r="Q613" s="47"/>
      <c r="R613" s="47"/>
      <c r="S613" s="47"/>
      <c r="T613" s="47"/>
      <c r="U613" s="47"/>
      <c r="V613" s="47"/>
      <c r="W613" s="47"/>
      <c r="X613" s="47"/>
      <c r="Y613" s="47"/>
      <c r="Z613" s="47"/>
    </row>
    <row r="614">
      <c r="A614" s="57"/>
      <c r="B614" s="58"/>
      <c r="C614" s="58"/>
      <c r="D614" s="58"/>
      <c r="E614" s="47"/>
      <c r="F614" s="47"/>
      <c r="G614" s="47"/>
      <c r="H614" s="47"/>
      <c r="I614" s="47"/>
      <c r="J614" s="47"/>
      <c r="K614" s="47"/>
      <c r="L614" s="47"/>
      <c r="M614" s="47"/>
      <c r="N614" s="47"/>
      <c r="O614" s="47"/>
      <c r="P614" s="47"/>
      <c r="Q614" s="47"/>
      <c r="R614" s="47"/>
      <c r="S614" s="47"/>
      <c r="T614" s="47"/>
      <c r="U614" s="47"/>
      <c r="V614" s="47"/>
      <c r="W614" s="47"/>
      <c r="X614" s="47"/>
      <c r="Y614" s="47"/>
      <c r="Z614" s="47"/>
    </row>
    <row r="615">
      <c r="A615" s="57"/>
      <c r="B615" s="58"/>
      <c r="C615" s="58"/>
      <c r="D615" s="58"/>
      <c r="E615" s="47"/>
      <c r="F615" s="47"/>
      <c r="G615" s="47"/>
      <c r="H615" s="47"/>
      <c r="I615" s="47"/>
      <c r="J615" s="47"/>
      <c r="K615" s="47"/>
      <c r="L615" s="47"/>
      <c r="M615" s="47"/>
      <c r="N615" s="47"/>
      <c r="O615" s="47"/>
      <c r="P615" s="47"/>
      <c r="Q615" s="47"/>
      <c r="R615" s="47"/>
      <c r="S615" s="47"/>
      <c r="T615" s="47"/>
      <c r="U615" s="47"/>
      <c r="V615" s="47"/>
      <c r="W615" s="47"/>
      <c r="X615" s="47"/>
      <c r="Y615" s="47"/>
      <c r="Z615" s="47"/>
    </row>
    <row r="616">
      <c r="A616" s="57"/>
      <c r="B616" s="58"/>
      <c r="C616" s="58"/>
      <c r="D616" s="58"/>
      <c r="E616" s="47"/>
      <c r="F616" s="47"/>
      <c r="G616" s="47"/>
      <c r="H616" s="47"/>
      <c r="I616" s="47"/>
      <c r="J616" s="47"/>
      <c r="K616" s="47"/>
      <c r="L616" s="47"/>
      <c r="M616" s="47"/>
      <c r="N616" s="47"/>
      <c r="O616" s="47"/>
      <c r="P616" s="47"/>
      <c r="Q616" s="47"/>
      <c r="R616" s="47"/>
      <c r="S616" s="47"/>
      <c r="T616" s="47"/>
      <c r="U616" s="47"/>
      <c r="V616" s="47"/>
      <c r="W616" s="47"/>
      <c r="X616" s="47"/>
      <c r="Y616" s="47"/>
      <c r="Z616" s="47"/>
    </row>
    <row r="617">
      <c r="A617" s="57"/>
      <c r="B617" s="58"/>
      <c r="C617" s="58"/>
      <c r="D617" s="58"/>
      <c r="E617" s="47"/>
      <c r="F617" s="47"/>
      <c r="G617" s="47"/>
      <c r="H617" s="47"/>
      <c r="I617" s="47"/>
      <c r="J617" s="47"/>
      <c r="K617" s="47"/>
      <c r="L617" s="47"/>
      <c r="M617" s="47"/>
      <c r="N617" s="47"/>
      <c r="O617" s="47"/>
      <c r="P617" s="47"/>
      <c r="Q617" s="47"/>
      <c r="R617" s="47"/>
      <c r="S617" s="47"/>
      <c r="T617" s="47"/>
      <c r="U617" s="47"/>
      <c r="V617" s="47"/>
      <c r="W617" s="47"/>
      <c r="X617" s="47"/>
      <c r="Y617" s="47"/>
      <c r="Z617" s="47"/>
    </row>
    <row r="618">
      <c r="A618" s="57"/>
      <c r="B618" s="58"/>
      <c r="C618" s="58"/>
      <c r="D618" s="58"/>
      <c r="E618" s="47"/>
      <c r="F618" s="47"/>
      <c r="G618" s="47"/>
      <c r="H618" s="47"/>
      <c r="I618" s="47"/>
      <c r="J618" s="47"/>
      <c r="K618" s="47"/>
      <c r="L618" s="47"/>
      <c r="M618" s="47"/>
      <c r="N618" s="47"/>
      <c r="O618" s="47"/>
      <c r="P618" s="47"/>
      <c r="Q618" s="47"/>
      <c r="R618" s="47"/>
      <c r="S618" s="47"/>
      <c r="T618" s="47"/>
      <c r="U618" s="47"/>
      <c r="V618" s="47"/>
      <c r="W618" s="47"/>
      <c r="X618" s="47"/>
      <c r="Y618" s="47"/>
      <c r="Z618" s="47"/>
    </row>
    <row r="619">
      <c r="A619" s="57"/>
      <c r="B619" s="58"/>
      <c r="C619" s="58"/>
      <c r="D619" s="58"/>
      <c r="E619" s="47"/>
      <c r="F619" s="47"/>
      <c r="G619" s="47"/>
      <c r="H619" s="47"/>
      <c r="I619" s="47"/>
      <c r="J619" s="47"/>
      <c r="K619" s="47"/>
      <c r="L619" s="47"/>
      <c r="M619" s="47"/>
      <c r="N619" s="47"/>
      <c r="O619" s="47"/>
      <c r="P619" s="47"/>
      <c r="Q619" s="47"/>
      <c r="R619" s="47"/>
      <c r="S619" s="47"/>
      <c r="T619" s="47"/>
      <c r="U619" s="47"/>
      <c r="V619" s="47"/>
      <c r="W619" s="47"/>
      <c r="X619" s="47"/>
      <c r="Y619" s="47"/>
      <c r="Z619" s="47"/>
    </row>
    <row r="620">
      <c r="A620" s="57"/>
      <c r="B620" s="58"/>
      <c r="C620" s="58"/>
      <c r="D620" s="58"/>
      <c r="E620" s="47"/>
      <c r="F620" s="47"/>
      <c r="G620" s="47"/>
      <c r="H620" s="47"/>
      <c r="I620" s="47"/>
      <c r="J620" s="47"/>
      <c r="K620" s="47"/>
      <c r="L620" s="47"/>
      <c r="M620" s="47"/>
      <c r="N620" s="47"/>
      <c r="O620" s="47"/>
      <c r="P620" s="47"/>
      <c r="Q620" s="47"/>
      <c r="R620" s="47"/>
      <c r="S620" s="47"/>
      <c r="T620" s="47"/>
      <c r="U620" s="47"/>
      <c r="V620" s="47"/>
      <c r="W620" s="47"/>
      <c r="X620" s="47"/>
      <c r="Y620" s="47"/>
      <c r="Z620" s="47"/>
    </row>
    <row r="621">
      <c r="A621" s="57"/>
      <c r="B621" s="58"/>
      <c r="C621" s="58"/>
      <c r="D621" s="58"/>
      <c r="E621" s="47"/>
      <c r="F621" s="47"/>
      <c r="G621" s="47"/>
      <c r="H621" s="47"/>
      <c r="I621" s="47"/>
      <c r="J621" s="47"/>
      <c r="K621" s="47"/>
      <c r="L621" s="47"/>
      <c r="M621" s="47"/>
      <c r="N621" s="47"/>
      <c r="O621" s="47"/>
      <c r="P621" s="47"/>
      <c r="Q621" s="47"/>
      <c r="R621" s="47"/>
      <c r="S621" s="47"/>
      <c r="T621" s="47"/>
      <c r="U621" s="47"/>
      <c r="V621" s="47"/>
      <c r="W621" s="47"/>
      <c r="X621" s="47"/>
      <c r="Y621" s="47"/>
      <c r="Z621" s="47"/>
    </row>
    <row r="622">
      <c r="A622" s="57"/>
      <c r="B622" s="58"/>
      <c r="C622" s="58"/>
      <c r="D622" s="58"/>
      <c r="E622" s="47"/>
      <c r="F622" s="47"/>
      <c r="G622" s="47"/>
      <c r="H622" s="47"/>
      <c r="I622" s="47"/>
      <c r="J622" s="47"/>
      <c r="K622" s="47"/>
      <c r="L622" s="47"/>
      <c r="M622" s="47"/>
      <c r="N622" s="47"/>
      <c r="O622" s="47"/>
      <c r="P622" s="47"/>
      <c r="Q622" s="47"/>
      <c r="R622" s="47"/>
      <c r="S622" s="47"/>
      <c r="T622" s="47"/>
      <c r="U622" s="47"/>
      <c r="V622" s="47"/>
      <c r="W622" s="47"/>
      <c r="X622" s="47"/>
      <c r="Y622" s="47"/>
      <c r="Z622" s="47"/>
    </row>
    <row r="623">
      <c r="A623" s="57"/>
      <c r="B623" s="58"/>
      <c r="C623" s="58"/>
      <c r="D623" s="58"/>
      <c r="E623" s="47"/>
      <c r="F623" s="47"/>
      <c r="G623" s="47"/>
      <c r="H623" s="47"/>
      <c r="I623" s="47"/>
      <c r="J623" s="47"/>
      <c r="K623" s="47"/>
      <c r="L623" s="47"/>
      <c r="M623" s="47"/>
      <c r="N623" s="47"/>
      <c r="O623" s="47"/>
      <c r="P623" s="47"/>
      <c r="Q623" s="47"/>
      <c r="R623" s="47"/>
      <c r="S623" s="47"/>
      <c r="T623" s="47"/>
      <c r="U623" s="47"/>
      <c r="V623" s="47"/>
      <c r="W623" s="47"/>
      <c r="X623" s="47"/>
      <c r="Y623" s="47"/>
      <c r="Z623" s="47"/>
    </row>
    <row r="624">
      <c r="A624" s="57"/>
      <c r="B624" s="58"/>
      <c r="C624" s="58"/>
      <c r="D624" s="58"/>
      <c r="E624" s="47"/>
      <c r="F624" s="47"/>
      <c r="G624" s="47"/>
      <c r="H624" s="47"/>
      <c r="I624" s="47"/>
      <c r="J624" s="47"/>
      <c r="K624" s="47"/>
      <c r="L624" s="47"/>
      <c r="M624" s="47"/>
      <c r="N624" s="47"/>
      <c r="O624" s="47"/>
      <c r="P624" s="47"/>
      <c r="Q624" s="47"/>
      <c r="R624" s="47"/>
      <c r="S624" s="47"/>
      <c r="T624" s="47"/>
      <c r="U624" s="47"/>
      <c r="V624" s="47"/>
      <c r="W624" s="47"/>
      <c r="X624" s="47"/>
      <c r="Y624" s="47"/>
      <c r="Z624" s="47"/>
    </row>
    <row r="625">
      <c r="A625" s="57"/>
      <c r="B625" s="58"/>
      <c r="C625" s="58"/>
      <c r="D625" s="58"/>
      <c r="E625" s="47"/>
      <c r="F625" s="47"/>
      <c r="G625" s="47"/>
      <c r="H625" s="47"/>
      <c r="I625" s="47"/>
      <c r="J625" s="47"/>
      <c r="K625" s="47"/>
      <c r="L625" s="47"/>
      <c r="M625" s="47"/>
      <c r="N625" s="47"/>
      <c r="O625" s="47"/>
      <c r="P625" s="47"/>
      <c r="Q625" s="47"/>
      <c r="R625" s="47"/>
      <c r="S625" s="47"/>
      <c r="T625" s="47"/>
      <c r="U625" s="47"/>
      <c r="V625" s="47"/>
      <c r="W625" s="47"/>
      <c r="X625" s="47"/>
      <c r="Y625" s="47"/>
      <c r="Z625" s="47"/>
    </row>
    <row r="626">
      <c r="A626" s="57"/>
      <c r="B626" s="58"/>
      <c r="C626" s="58"/>
      <c r="D626" s="58"/>
      <c r="E626" s="47"/>
      <c r="F626" s="47"/>
      <c r="G626" s="47"/>
      <c r="H626" s="47"/>
      <c r="I626" s="47"/>
      <c r="J626" s="47"/>
      <c r="K626" s="47"/>
      <c r="L626" s="47"/>
      <c r="M626" s="47"/>
      <c r="N626" s="47"/>
      <c r="O626" s="47"/>
      <c r="P626" s="47"/>
      <c r="Q626" s="47"/>
      <c r="R626" s="47"/>
      <c r="S626" s="47"/>
      <c r="T626" s="47"/>
      <c r="U626" s="47"/>
      <c r="V626" s="47"/>
      <c r="W626" s="47"/>
      <c r="X626" s="47"/>
      <c r="Y626" s="47"/>
      <c r="Z626" s="47"/>
    </row>
    <row r="627">
      <c r="A627" s="57"/>
      <c r="B627" s="58"/>
      <c r="C627" s="58"/>
      <c r="D627" s="58"/>
      <c r="E627" s="47"/>
      <c r="F627" s="47"/>
      <c r="G627" s="47"/>
      <c r="H627" s="47"/>
      <c r="I627" s="47"/>
      <c r="J627" s="47"/>
      <c r="K627" s="47"/>
      <c r="L627" s="47"/>
      <c r="M627" s="47"/>
      <c r="N627" s="47"/>
      <c r="O627" s="47"/>
      <c r="P627" s="47"/>
      <c r="Q627" s="47"/>
      <c r="R627" s="47"/>
      <c r="S627" s="47"/>
      <c r="T627" s="47"/>
      <c r="U627" s="47"/>
      <c r="V627" s="47"/>
      <c r="W627" s="47"/>
      <c r="X627" s="47"/>
      <c r="Y627" s="47"/>
      <c r="Z627" s="47"/>
    </row>
    <row r="628">
      <c r="A628" s="57"/>
      <c r="B628" s="58"/>
      <c r="C628" s="58"/>
      <c r="D628" s="58"/>
      <c r="E628" s="47"/>
      <c r="F628" s="47"/>
      <c r="G628" s="47"/>
      <c r="H628" s="47"/>
      <c r="I628" s="47"/>
      <c r="J628" s="47"/>
      <c r="K628" s="47"/>
      <c r="L628" s="47"/>
      <c r="M628" s="47"/>
      <c r="N628" s="47"/>
      <c r="O628" s="47"/>
      <c r="P628" s="47"/>
      <c r="Q628" s="47"/>
      <c r="R628" s="47"/>
      <c r="S628" s="47"/>
      <c r="T628" s="47"/>
      <c r="U628" s="47"/>
      <c r="V628" s="47"/>
      <c r="W628" s="47"/>
      <c r="X628" s="47"/>
      <c r="Y628" s="47"/>
      <c r="Z628" s="47"/>
    </row>
    <row r="629">
      <c r="A629" s="57"/>
      <c r="B629" s="58"/>
      <c r="C629" s="58"/>
      <c r="D629" s="58"/>
      <c r="E629" s="47"/>
      <c r="F629" s="47"/>
      <c r="G629" s="47"/>
      <c r="H629" s="47"/>
      <c r="I629" s="47"/>
      <c r="J629" s="47"/>
      <c r="K629" s="47"/>
      <c r="L629" s="47"/>
      <c r="M629" s="47"/>
      <c r="N629" s="47"/>
      <c r="O629" s="47"/>
      <c r="P629" s="47"/>
      <c r="Q629" s="47"/>
      <c r="R629" s="47"/>
      <c r="S629" s="47"/>
      <c r="T629" s="47"/>
      <c r="U629" s="47"/>
      <c r="V629" s="47"/>
      <c r="W629" s="47"/>
      <c r="X629" s="47"/>
      <c r="Y629" s="47"/>
      <c r="Z629" s="47"/>
    </row>
    <row r="630">
      <c r="A630" s="57"/>
      <c r="B630" s="58"/>
      <c r="C630" s="58"/>
      <c r="D630" s="58"/>
      <c r="E630" s="47"/>
      <c r="F630" s="47"/>
      <c r="G630" s="47"/>
      <c r="H630" s="47"/>
      <c r="I630" s="47"/>
      <c r="J630" s="47"/>
      <c r="K630" s="47"/>
      <c r="L630" s="47"/>
      <c r="M630" s="47"/>
      <c r="N630" s="47"/>
      <c r="O630" s="47"/>
      <c r="P630" s="47"/>
      <c r="Q630" s="47"/>
      <c r="R630" s="47"/>
      <c r="S630" s="47"/>
      <c r="T630" s="47"/>
      <c r="U630" s="47"/>
      <c r="V630" s="47"/>
      <c r="W630" s="47"/>
      <c r="X630" s="47"/>
      <c r="Y630" s="47"/>
      <c r="Z630" s="47"/>
    </row>
    <row r="631">
      <c r="A631" s="57"/>
      <c r="B631" s="58"/>
      <c r="C631" s="58"/>
      <c r="D631" s="58"/>
      <c r="E631" s="47"/>
      <c r="F631" s="47"/>
      <c r="G631" s="47"/>
      <c r="H631" s="47"/>
      <c r="I631" s="47"/>
      <c r="J631" s="47"/>
      <c r="K631" s="47"/>
      <c r="L631" s="47"/>
      <c r="M631" s="47"/>
      <c r="N631" s="47"/>
      <c r="O631" s="47"/>
      <c r="P631" s="47"/>
      <c r="Q631" s="47"/>
      <c r="R631" s="47"/>
      <c r="S631" s="47"/>
      <c r="T631" s="47"/>
      <c r="U631" s="47"/>
      <c r="V631" s="47"/>
      <c r="W631" s="47"/>
      <c r="X631" s="47"/>
      <c r="Y631" s="47"/>
      <c r="Z631" s="47"/>
    </row>
    <row r="632">
      <c r="A632" s="57"/>
      <c r="B632" s="58"/>
      <c r="C632" s="58"/>
      <c r="D632" s="58"/>
      <c r="E632" s="47"/>
      <c r="F632" s="47"/>
      <c r="G632" s="47"/>
      <c r="H632" s="47"/>
      <c r="I632" s="47"/>
      <c r="J632" s="47"/>
      <c r="K632" s="47"/>
      <c r="L632" s="47"/>
      <c r="M632" s="47"/>
      <c r="N632" s="47"/>
      <c r="O632" s="47"/>
      <c r="P632" s="47"/>
      <c r="Q632" s="47"/>
      <c r="R632" s="47"/>
      <c r="S632" s="47"/>
      <c r="T632" s="47"/>
      <c r="U632" s="47"/>
      <c r="V632" s="47"/>
      <c r="W632" s="47"/>
      <c r="X632" s="47"/>
      <c r="Y632" s="47"/>
      <c r="Z632" s="47"/>
    </row>
    <row r="633">
      <c r="A633" s="57"/>
      <c r="B633" s="58"/>
      <c r="C633" s="58"/>
      <c r="D633" s="58"/>
      <c r="E633" s="47"/>
      <c r="F633" s="47"/>
      <c r="G633" s="47"/>
      <c r="H633" s="47"/>
      <c r="I633" s="47"/>
      <c r="J633" s="47"/>
      <c r="K633" s="47"/>
      <c r="L633" s="47"/>
      <c r="M633" s="47"/>
      <c r="N633" s="47"/>
      <c r="O633" s="47"/>
      <c r="P633" s="47"/>
      <c r="Q633" s="47"/>
      <c r="R633" s="47"/>
      <c r="S633" s="47"/>
      <c r="T633" s="47"/>
      <c r="U633" s="47"/>
      <c r="V633" s="47"/>
      <c r="W633" s="47"/>
      <c r="X633" s="47"/>
      <c r="Y633" s="47"/>
      <c r="Z633" s="47"/>
    </row>
    <row r="634">
      <c r="A634" s="57"/>
      <c r="B634" s="58"/>
      <c r="C634" s="58"/>
      <c r="D634" s="58"/>
      <c r="E634" s="47"/>
      <c r="F634" s="47"/>
      <c r="G634" s="47"/>
      <c r="H634" s="47"/>
      <c r="I634" s="47"/>
      <c r="J634" s="47"/>
      <c r="K634" s="47"/>
      <c r="L634" s="47"/>
      <c r="M634" s="47"/>
      <c r="N634" s="47"/>
      <c r="O634" s="47"/>
      <c r="P634" s="47"/>
      <c r="Q634" s="47"/>
      <c r="R634" s="47"/>
      <c r="S634" s="47"/>
      <c r="T634" s="47"/>
      <c r="U634" s="47"/>
      <c r="V634" s="47"/>
      <c r="W634" s="47"/>
      <c r="X634" s="47"/>
      <c r="Y634" s="47"/>
      <c r="Z634" s="47"/>
    </row>
    <row r="635">
      <c r="A635" s="57"/>
      <c r="B635" s="58"/>
      <c r="C635" s="58"/>
      <c r="D635" s="58"/>
      <c r="E635" s="47"/>
      <c r="F635" s="47"/>
      <c r="G635" s="47"/>
      <c r="H635" s="47"/>
      <c r="I635" s="47"/>
      <c r="J635" s="47"/>
      <c r="K635" s="47"/>
      <c r="L635" s="47"/>
      <c r="M635" s="47"/>
      <c r="N635" s="47"/>
      <c r="O635" s="47"/>
      <c r="P635" s="47"/>
      <c r="Q635" s="47"/>
      <c r="R635" s="47"/>
      <c r="S635" s="47"/>
      <c r="T635" s="47"/>
      <c r="U635" s="47"/>
      <c r="V635" s="47"/>
      <c r="W635" s="47"/>
      <c r="X635" s="47"/>
      <c r="Y635" s="47"/>
      <c r="Z635" s="47"/>
    </row>
    <row r="636">
      <c r="A636" s="57"/>
      <c r="B636" s="58"/>
      <c r="C636" s="58"/>
      <c r="D636" s="58"/>
      <c r="E636" s="47"/>
      <c r="F636" s="47"/>
      <c r="G636" s="47"/>
      <c r="H636" s="47"/>
      <c r="I636" s="47"/>
      <c r="J636" s="47"/>
      <c r="K636" s="47"/>
      <c r="L636" s="47"/>
      <c r="M636" s="47"/>
      <c r="N636" s="47"/>
      <c r="O636" s="47"/>
      <c r="P636" s="47"/>
      <c r="Q636" s="47"/>
      <c r="R636" s="47"/>
      <c r="S636" s="47"/>
      <c r="T636" s="47"/>
      <c r="U636" s="47"/>
      <c r="V636" s="47"/>
      <c r="W636" s="47"/>
      <c r="X636" s="47"/>
      <c r="Y636" s="47"/>
      <c r="Z636" s="47"/>
    </row>
    <row r="637">
      <c r="A637" s="57"/>
      <c r="B637" s="58"/>
      <c r="C637" s="58"/>
      <c r="D637" s="58"/>
      <c r="E637" s="47"/>
      <c r="F637" s="47"/>
      <c r="G637" s="47"/>
      <c r="H637" s="47"/>
      <c r="I637" s="47"/>
      <c r="J637" s="47"/>
      <c r="K637" s="47"/>
      <c r="L637" s="47"/>
      <c r="M637" s="47"/>
      <c r="N637" s="47"/>
      <c r="O637" s="47"/>
      <c r="P637" s="47"/>
      <c r="Q637" s="47"/>
      <c r="R637" s="47"/>
      <c r="S637" s="47"/>
      <c r="T637" s="47"/>
      <c r="U637" s="47"/>
      <c r="V637" s="47"/>
      <c r="W637" s="47"/>
      <c r="X637" s="47"/>
      <c r="Y637" s="47"/>
      <c r="Z637" s="47"/>
    </row>
    <row r="638">
      <c r="A638" s="57"/>
      <c r="B638" s="58"/>
      <c r="C638" s="58"/>
      <c r="D638" s="58"/>
      <c r="E638" s="47"/>
      <c r="F638" s="47"/>
      <c r="G638" s="47"/>
      <c r="H638" s="47"/>
      <c r="I638" s="47"/>
      <c r="J638" s="47"/>
      <c r="K638" s="47"/>
      <c r="L638" s="47"/>
      <c r="M638" s="47"/>
      <c r="N638" s="47"/>
      <c r="O638" s="47"/>
      <c r="P638" s="47"/>
      <c r="Q638" s="47"/>
      <c r="R638" s="47"/>
      <c r="S638" s="47"/>
      <c r="T638" s="47"/>
      <c r="U638" s="47"/>
      <c r="V638" s="47"/>
      <c r="W638" s="47"/>
      <c r="X638" s="47"/>
      <c r="Y638" s="47"/>
      <c r="Z638" s="47"/>
    </row>
    <row r="639">
      <c r="A639" s="57"/>
      <c r="B639" s="58"/>
      <c r="C639" s="58"/>
      <c r="D639" s="58"/>
      <c r="E639" s="47"/>
      <c r="F639" s="47"/>
      <c r="G639" s="47"/>
      <c r="H639" s="47"/>
      <c r="I639" s="47"/>
      <c r="J639" s="47"/>
      <c r="K639" s="47"/>
      <c r="L639" s="47"/>
      <c r="M639" s="47"/>
      <c r="N639" s="47"/>
      <c r="O639" s="47"/>
      <c r="P639" s="47"/>
      <c r="Q639" s="47"/>
      <c r="R639" s="47"/>
      <c r="S639" s="47"/>
      <c r="T639" s="47"/>
      <c r="U639" s="47"/>
      <c r="V639" s="47"/>
      <c r="W639" s="47"/>
      <c r="X639" s="47"/>
      <c r="Y639" s="47"/>
      <c r="Z639" s="47"/>
    </row>
    <row r="640">
      <c r="A640" s="57"/>
      <c r="B640" s="58"/>
      <c r="C640" s="58"/>
      <c r="D640" s="58"/>
      <c r="E640" s="47"/>
      <c r="F640" s="47"/>
      <c r="G640" s="47"/>
      <c r="H640" s="47"/>
      <c r="I640" s="47"/>
      <c r="J640" s="47"/>
      <c r="K640" s="47"/>
      <c r="L640" s="47"/>
      <c r="M640" s="47"/>
      <c r="N640" s="47"/>
      <c r="O640" s="47"/>
      <c r="P640" s="47"/>
      <c r="Q640" s="47"/>
      <c r="R640" s="47"/>
      <c r="S640" s="47"/>
      <c r="T640" s="47"/>
      <c r="U640" s="47"/>
      <c r="V640" s="47"/>
      <c r="W640" s="47"/>
      <c r="X640" s="47"/>
      <c r="Y640" s="47"/>
      <c r="Z640" s="47"/>
    </row>
    <row r="641">
      <c r="A641" s="57"/>
      <c r="B641" s="58"/>
      <c r="C641" s="58"/>
      <c r="D641" s="58"/>
      <c r="E641" s="47"/>
      <c r="F641" s="47"/>
      <c r="G641" s="47"/>
      <c r="H641" s="47"/>
      <c r="I641" s="47"/>
      <c r="J641" s="47"/>
      <c r="K641" s="47"/>
      <c r="L641" s="47"/>
      <c r="M641" s="47"/>
      <c r="N641" s="47"/>
      <c r="O641" s="47"/>
      <c r="P641" s="47"/>
      <c r="Q641" s="47"/>
      <c r="R641" s="47"/>
      <c r="S641" s="47"/>
      <c r="T641" s="47"/>
      <c r="U641" s="47"/>
      <c r="V641" s="47"/>
      <c r="W641" s="47"/>
      <c r="X641" s="47"/>
      <c r="Y641" s="47"/>
      <c r="Z641" s="47"/>
    </row>
    <row r="642">
      <c r="A642" s="57"/>
      <c r="B642" s="58"/>
      <c r="C642" s="58"/>
      <c r="D642" s="58"/>
      <c r="E642" s="47"/>
      <c r="F642" s="47"/>
      <c r="G642" s="47"/>
      <c r="H642" s="47"/>
      <c r="I642" s="47"/>
      <c r="J642" s="47"/>
      <c r="K642" s="47"/>
      <c r="L642" s="47"/>
      <c r="M642" s="47"/>
      <c r="N642" s="47"/>
      <c r="O642" s="47"/>
      <c r="P642" s="47"/>
      <c r="Q642" s="47"/>
      <c r="R642" s="47"/>
      <c r="S642" s="47"/>
      <c r="T642" s="47"/>
      <c r="U642" s="47"/>
      <c r="V642" s="47"/>
      <c r="W642" s="47"/>
      <c r="X642" s="47"/>
      <c r="Y642" s="47"/>
      <c r="Z642" s="47"/>
    </row>
    <row r="643">
      <c r="A643" s="57"/>
      <c r="B643" s="58"/>
      <c r="C643" s="58"/>
      <c r="D643" s="58"/>
      <c r="E643" s="47"/>
      <c r="F643" s="47"/>
      <c r="G643" s="47"/>
      <c r="H643" s="47"/>
      <c r="I643" s="47"/>
      <c r="J643" s="47"/>
      <c r="K643" s="47"/>
      <c r="L643" s="47"/>
      <c r="M643" s="47"/>
      <c r="N643" s="47"/>
      <c r="O643" s="47"/>
      <c r="P643" s="47"/>
      <c r="Q643" s="47"/>
      <c r="R643" s="47"/>
      <c r="S643" s="47"/>
      <c r="T643" s="47"/>
      <c r="U643" s="47"/>
      <c r="V643" s="47"/>
      <c r="W643" s="47"/>
      <c r="X643" s="47"/>
      <c r="Y643" s="47"/>
      <c r="Z643" s="47"/>
    </row>
    <row r="644">
      <c r="A644" s="57"/>
      <c r="B644" s="58"/>
      <c r="C644" s="58"/>
      <c r="D644" s="58"/>
      <c r="E644" s="47"/>
      <c r="F644" s="47"/>
      <c r="G644" s="47"/>
      <c r="H644" s="47"/>
      <c r="I644" s="47"/>
      <c r="J644" s="47"/>
      <c r="K644" s="47"/>
      <c r="L644" s="47"/>
      <c r="M644" s="47"/>
      <c r="N644" s="47"/>
      <c r="O644" s="47"/>
      <c r="P644" s="47"/>
      <c r="Q644" s="47"/>
      <c r="R644" s="47"/>
      <c r="S644" s="47"/>
      <c r="T644" s="47"/>
      <c r="U644" s="47"/>
      <c r="V644" s="47"/>
      <c r="W644" s="47"/>
      <c r="X644" s="47"/>
      <c r="Y644" s="47"/>
      <c r="Z644" s="47"/>
    </row>
    <row r="645">
      <c r="A645" s="57"/>
      <c r="B645" s="58"/>
      <c r="C645" s="58"/>
      <c r="D645" s="58"/>
      <c r="E645" s="47"/>
      <c r="F645" s="47"/>
      <c r="G645" s="47"/>
      <c r="H645" s="47"/>
      <c r="I645" s="47"/>
      <c r="J645" s="47"/>
      <c r="K645" s="47"/>
      <c r="L645" s="47"/>
      <c r="M645" s="47"/>
      <c r="N645" s="47"/>
      <c r="O645" s="47"/>
      <c r="P645" s="47"/>
      <c r="Q645" s="47"/>
      <c r="R645" s="47"/>
      <c r="S645" s="47"/>
      <c r="T645" s="47"/>
      <c r="U645" s="47"/>
      <c r="V645" s="47"/>
      <c r="W645" s="47"/>
      <c r="X645" s="47"/>
      <c r="Y645" s="47"/>
      <c r="Z645" s="47"/>
    </row>
    <row r="646">
      <c r="A646" s="57"/>
      <c r="B646" s="58"/>
      <c r="C646" s="58"/>
      <c r="D646" s="58"/>
      <c r="E646" s="47"/>
      <c r="F646" s="47"/>
      <c r="G646" s="47"/>
      <c r="H646" s="47"/>
      <c r="I646" s="47"/>
      <c r="J646" s="47"/>
      <c r="K646" s="47"/>
      <c r="L646" s="47"/>
      <c r="M646" s="47"/>
      <c r="N646" s="47"/>
      <c r="O646" s="47"/>
      <c r="P646" s="47"/>
      <c r="Q646" s="47"/>
      <c r="R646" s="47"/>
      <c r="S646" s="47"/>
      <c r="T646" s="47"/>
      <c r="U646" s="47"/>
      <c r="V646" s="47"/>
      <c r="W646" s="47"/>
      <c r="X646" s="47"/>
      <c r="Y646" s="47"/>
      <c r="Z646" s="47"/>
    </row>
    <row r="647">
      <c r="A647" s="57"/>
      <c r="B647" s="58"/>
      <c r="C647" s="58"/>
      <c r="D647" s="58"/>
      <c r="E647" s="47"/>
      <c r="F647" s="47"/>
      <c r="G647" s="47"/>
      <c r="H647" s="47"/>
      <c r="I647" s="47"/>
      <c r="J647" s="47"/>
      <c r="K647" s="47"/>
      <c r="L647" s="47"/>
      <c r="M647" s="47"/>
      <c r="N647" s="47"/>
      <c r="O647" s="47"/>
      <c r="P647" s="47"/>
      <c r="Q647" s="47"/>
      <c r="R647" s="47"/>
      <c r="S647" s="47"/>
      <c r="T647" s="47"/>
      <c r="U647" s="47"/>
      <c r="V647" s="47"/>
      <c r="W647" s="47"/>
      <c r="X647" s="47"/>
      <c r="Y647" s="47"/>
      <c r="Z647" s="47"/>
    </row>
    <row r="648">
      <c r="A648" s="57"/>
      <c r="B648" s="58"/>
      <c r="C648" s="58"/>
      <c r="D648" s="58"/>
      <c r="E648" s="47"/>
      <c r="F648" s="47"/>
      <c r="G648" s="47"/>
      <c r="H648" s="47"/>
      <c r="I648" s="47"/>
      <c r="J648" s="47"/>
      <c r="K648" s="47"/>
      <c r="L648" s="47"/>
      <c r="M648" s="47"/>
      <c r="N648" s="47"/>
      <c r="O648" s="47"/>
      <c r="P648" s="47"/>
      <c r="Q648" s="47"/>
      <c r="R648" s="47"/>
      <c r="S648" s="47"/>
      <c r="T648" s="47"/>
      <c r="U648" s="47"/>
      <c r="V648" s="47"/>
      <c r="W648" s="47"/>
      <c r="X648" s="47"/>
      <c r="Y648" s="47"/>
      <c r="Z648" s="47"/>
    </row>
    <row r="649">
      <c r="A649" s="57"/>
      <c r="B649" s="58"/>
      <c r="C649" s="58"/>
      <c r="D649" s="58"/>
      <c r="E649" s="47"/>
      <c r="F649" s="47"/>
      <c r="G649" s="47"/>
      <c r="H649" s="47"/>
      <c r="I649" s="47"/>
      <c r="J649" s="47"/>
      <c r="K649" s="47"/>
      <c r="L649" s="47"/>
      <c r="M649" s="47"/>
      <c r="N649" s="47"/>
      <c r="O649" s="47"/>
      <c r="P649" s="47"/>
      <c r="Q649" s="47"/>
      <c r="R649" s="47"/>
      <c r="S649" s="47"/>
      <c r="T649" s="47"/>
      <c r="U649" s="47"/>
      <c r="V649" s="47"/>
      <c r="W649" s="47"/>
      <c r="X649" s="47"/>
      <c r="Y649" s="47"/>
      <c r="Z649" s="47"/>
    </row>
    <row r="650">
      <c r="A650" s="57"/>
      <c r="B650" s="58"/>
      <c r="C650" s="58"/>
      <c r="D650" s="58"/>
      <c r="E650" s="47"/>
      <c r="F650" s="47"/>
      <c r="G650" s="47"/>
      <c r="H650" s="47"/>
      <c r="I650" s="47"/>
      <c r="J650" s="47"/>
      <c r="K650" s="47"/>
      <c r="L650" s="47"/>
      <c r="M650" s="47"/>
      <c r="N650" s="47"/>
      <c r="O650" s="47"/>
      <c r="P650" s="47"/>
      <c r="Q650" s="47"/>
      <c r="R650" s="47"/>
      <c r="S650" s="47"/>
      <c r="T650" s="47"/>
      <c r="U650" s="47"/>
      <c r="V650" s="47"/>
      <c r="W650" s="47"/>
      <c r="X650" s="47"/>
      <c r="Y650" s="47"/>
      <c r="Z650" s="47"/>
    </row>
    <row r="651">
      <c r="A651" s="57"/>
      <c r="B651" s="58"/>
      <c r="C651" s="58"/>
      <c r="D651" s="58"/>
      <c r="E651" s="47"/>
      <c r="F651" s="47"/>
      <c r="G651" s="47"/>
      <c r="H651" s="47"/>
      <c r="I651" s="47"/>
      <c r="J651" s="47"/>
      <c r="K651" s="47"/>
      <c r="L651" s="47"/>
      <c r="M651" s="47"/>
      <c r="N651" s="47"/>
      <c r="O651" s="47"/>
      <c r="P651" s="47"/>
      <c r="Q651" s="47"/>
      <c r="R651" s="47"/>
      <c r="S651" s="47"/>
      <c r="T651" s="47"/>
      <c r="U651" s="47"/>
      <c r="V651" s="47"/>
      <c r="W651" s="47"/>
      <c r="X651" s="47"/>
      <c r="Y651" s="47"/>
      <c r="Z651" s="47"/>
    </row>
    <row r="652">
      <c r="A652" s="57"/>
      <c r="B652" s="58"/>
      <c r="C652" s="58"/>
      <c r="D652" s="58"/>
      <c r="E652" s="47"/>
      <c r="F652" s="47"/>
      <c r="G652" s="47"/>
      <c r="H652" s="47"/>
      <c r="I652" s="47"/>
      <c r="J652" s="47"/>
      <c r="K652" s="47"/>
      <c r="L652" s="47"/>
      <c r="M652" s="47"/>
      <c r="N652" s="47"/>
      <c r="O652" s="47"/>
      <c r="P652" s="47"/>
      <c r="Q652" s="47"/>
      <c r="R652" s="47"/>
      <c r="S652" s="47"/>
      <c r="T652" s="47"/>
      <c r="U652" s="47"/>
      <c r="V652" s="47"/>
      <c r="W652" s="47"/>
      <c r="X652" s="47"/>
      <c r="Y652" s="47"/>
      <c r="Z652" s="47"/>
    </row>
    <row r="653">
      <c r="A653" s="57"/>
      <c r="B653" s="58"/>
      <c r="C653" s="58"/>
      <c r="D653" s="58"/>
      <c r="E653" s="47"/>
      <c r="F653" s="47"/>
      <c r="G653" s="47"/>
      <c r="H653" s="47"/>
      <c r="I653" s="47"/>
      <c r="J653" s="47"/>
      <c r="K653" s="47"/>
      <c r="L653" s="47"/>
      <c r="M653" s="47"/>
      <c r="N653" s="47"/>
      <c r="O653" s="47"/>
      <c r="P653" s="47"/>
      <c r="Q653" s="47"/>
      <c r="R653" s="47"/>
      <c r="S653" s="47"/>
      <c r="T653" s="47"/>
      <c r="U653" s="47"/>
      <c r="V653" s="47"/>
      <c r="W653" s="47"/>
      <c r="X653" s="47"/>
      <c r="Y653" s="47"/>
      <c r="Z653" s="47"/>
    </row>
    <row r="654">
      <c r="A654" s="57"/>
      <c r="B654" s="58"/>
      <c r="C654" s="58"/>
      <c r="D654" s="58"/>
      <c r="E654" s="47"/>
      <c r="F654" s="47"/>
      <c r="G654" s="47"/>
      <c r="H654" s="47"/>
      <c r="I654" s="47"/>
      <c r="J654" s="47"/>
      <c r="K654" s="47"/>
      <c r="L654" s="47"/>
      <c r="M654" s="47"/>
      <c r="N654" s="47"/>
      <c r="O654" s="47"/>
      <c r="P654" s="47"/>
      <c r="Q654" s="47"/>
      <c r="R654" s="47"/>
      <c r="S654" s="47"/>
      <c r="T654" s="47"/>
      <c r="U654" s="47"/>
      <c r="V654" s="47"/>
      <c r="W654" s="47"/>
      <c r="X654" s="47"/>
      <c r="Y654" s="47"/>
      <c r="Z654" s="47"/>
    </row>
    <row r="655">
      <c r="A655" s="57"/>
      <c r="B655" s="58"/>
      <c r="C655" s="58"/>
      <c r="D655" s="58"/>
      <c r="E655" s="47"/>
      <c r="F655" s="47"/>
      <c r="G655" s="47"/>
      <c r="H655" s="47"/>
      <c r="I655" s="47"/>
      <c r="J655" s="47"/>
      <c r="K655" s="47"/>
      <c r="L655" s="47"/>
      <c r="M655" s="47"/>
      <c r="N655" s="47"/>
      <c r="O655" s="47"/>
      <c r="P655" s="47"/>
      <c r="Q655" s="47"/>
      <c r="R655" s="47"/>
      <c r="S655" s="47"/>
      <c r="T655" s="47"/>
      <c r="U655" s="47"/>
      <c r="V655" s="47"/>
      <c r="W655" s="47"/>
      <c r="X655" s="47"/>
      <c r="Y655" s="47"/>
      <c r="Z655" s="47"/>
    </row>
    <row r="656">
      <c r="A656" s="57"/>
      <c r="B656" s="58"/>
      <c r="C656" s="58"/>
      <c r="D656" s="58"/>
      <c r="E656" s="47"/>
      <c r="F656" s="47"/>
      <c r="G656" s="47"/>
      <c r="H656" s="47"/>
      <c r="I656" s="47"/>
      <c r="J656" s="47"/>
      <c r="K656" s="47"/>
      <c r="L656" s="47"/>
      <c r="M656" s="47"/>
      <c r="N656" s="47"/>
      <c r="O656" s="47"/>
      <c r="P656" s="47"/>
      <c r="Q656" s="47"/>
      <c r="R656" s="47"/>
      <c r="S656" s="47"/>
      <c r="T656" s="47"/>
      <c r="U656" s="47"/>
      <c r="V656" s="47"/>
      <c r="W656" s="47"/>
      <c r="X656" s="47"/>
      <c r="Y656" s="47"/>
      <c r="Z656" s="47"/>
    </row>
    <row r="657">
      <c r="A657" s="57"/>
      <c r="B657" s="58"/>
      <c r="C657" s="58"/>
      <c r="D657" s="58"/>
      <c r="E657" s="47"/>
      <c r="F657" s="47"/>
      <c r="G657" s="47"/>
      <c r="H657" s="47"/>
      <c r="I657" s="47"/>
      <c r="J657" s="47"/>
      <c r="K657" s="47"/>
      <c r="L657" s="47"/>
      <c r="M657" s="47"/>
      <c r="N657" s="47"/>
      <c r="O657" s="47"/>
      <c r="P657" s="47"/>
      <c r="Q657" s="47"/>
      <c r="R657" s="47"/>
      <c r="S657" s="47"/>
      <c r="T657" s="47"/>
      <c r="U657" s="47"/>
      <c r="V657" s="47"/>
      <c r="W657" s="47"/>
      <c r="X657" s="47"/>
      <c r="Y657" s="47"/>
      <c r="Z657" s="47"/>
    </row>
    <row r="658">
      <c r="A658" s="57"/>
      <c r="B658" s="58"/>
      <c r="C658" s="58"/>
      <c r="D658" s="58"/>
      <c r="E658" s="47"/>
      <c r="F658" s="47"/>
      <c r="G658" s="47"/>
      <c r="H658" s="47"/>
      <c r="I658" s="47"/>
      <c r="J658" s="47"/>
      <c r="K658" s="47"/>
      <c r="L658" s="47"/>
      <c r="M658" s="47"/>
      <c r="N658" s="47"/>
      <c r="O658" s="47"/>
      <c r="P658" s="47"/>
      <c r="Q658" s="47"/>
      <c r="R658" s="47"/>
      <c r="S658" s="47"/>
      <c r="T658" s="47"/>
      <c r="U658" s="47"/>
      <c r="V658" s="47"/>
      <c r="W658" s="47"/>
      <c r="X658" s="47"/>
      <c r="Y658" s="47"/>
      <c r="Z658" s="47"/>
    </row>
    <row r="659">
      <c r="A659" s="57"/>
      <c r="B659" s="58"/>
      <c r="C659" s="58"/>
      <c r="D659" s="58"/>
      <c r="E659" s="47"/>
      <c r="F659" s="47"/>
      <c r="G659" s="47"/>
      <c r="H659" s="47"/>
      <c r="I659" s="47"/>
      <c r="J659" s="47"/>
      <c r="K659" s="47"/>
      <c r="L659" s="47"/>
      <c r="M659" s="47"/>
      <c r="N659" s="47"/>
      <c r="O659" s="47"/>
      <c r="P659" s="47"/>
      <c r="Q659" s="47"/>
      <c r="R659" s="47"/>
      <c r="S659" s="47"/>
      <c r="T659" s="47"/>
      <c r="U659" s="47"/>
      <c r="V659" s="47"/>
      <c r="W659" s="47"/>
      <c r="X659" s="47"/>
      <c r="Y659" s="47"/>
      <c r="Z659" s="47"/>
    </row>
    <row r="660">
      <c r="A660" s="57"/>
      <c r="B660" s="58"/>
      <c r="C660" s="58"/>
      <c r="D660" s="58"/>
      <c r="E660" s="47"/>
      <c r="F660" s="47"/>
      <c r="G660" s="47"/>
      <c r="H660" s="47"/>
      <c r="I660" s="47"/>
      <c r="J660" s="47"/>
      <c r="K660" s="47"/>
      <c r="L660" s="47"/>
      <c r="M660" s="47"/>
      <c r="N660" s="47"/>
      <c r="O660" s="47"/>
      <c r="P660" s="47"/>
      <c r="Q660" s="47"/>
      <c r="R660" s="47"/>
      <c r="S660" s="47"/>
      <c r="T660" s="47"/>
      <c r="U660" s="47"/>
      <c r="V660" s="47"/>
      <c r="W660" s="47"/>
      <c r="X660" s="47"/>
      <c r="Y660" s="47"/>
      <c r="Z660" s="47"/>
    </row>
    <row r="661">
      <c r="A661" s="57"/>
      <c r="B661" s="58"/>
      <c r="C661" s="58"/>
      <c r="D661" s="58"/>
      <c r="E661" s="47"/>
      <c r="F661" s="47"/>
      <c r="G661" s="47"/>
      <c r="H661" s="47"/>
      <c r="I661" s="47"/>
      <c r="J661" s="47"/>
      <c r="K661" s="47"/>
      <c r="L661" s="47"/>
      <c r="M661" s="47"/>
      <c r="N661" s="47"/>
      <c r="O661" s="47"/>
      <c r="P661" s="47"/>
      <c r="Q661" s="47"/>
      <c r="R661" s="47"/>
      <c r="S661" s="47"/>
      <c r="T661" s="47"/>
      <c r="U661" s="47"/>
      <c r="V661" s="47"/>
      <c r="W661" s="47"/>
      <c r="X661" s="47"/>
      <c r="Y661" s="47"/>
      <c r="Z661" s="47"/>
    </row>
    <row r="662">
      <c r="A662" s="57"/>
      <c r="B662" s="58"/>
      <c r="C662" s="58"/>
      <c r="D662" s="58"/>
      <c r="E662" s="47"/>
      <c r="F662" s="47"/>
      <c r="G662" s="47"/>
      <c r="H662" s="47"/>
      <c r="I662" s="47"/>
      <c r="J662" s="47"/>
      <c r="K662" s="47"/>
      <c r="L662" s="47"/>
      <c r="M662" s="47"/>
      <c r="N662" s="47"/>
      <c r="O662" s="47"/>
      <c r="P662" s="47"/>
      <c r="Q662" s="47"/>
      <c r="R662" s="47"/>
      <c r="S662" s="47"/>
      <c r="T662" s="47"/>
      <c r="U662" s="47"/>
      <c r="V662" s="47"/>
      <c r="W662" s="47"/>
      <c r="X662" s="47"/>
      <c r="Y662" s="47"/>
      <c r="Z662" s="47"/>
    </row>
    <row r="663">
      <c r="A663" s="57"/>
      <c r="B663" s="58"/>
      <c r="C663" s="58"/>
      <c r="D663" s="58"/>
      <c r="E663" s="47"/>
      <c r="F663" s="47"/>
      <c r="G663" s="47"/>
      <c r="H663" s="47"/>
      <c r="I663" s="47"/>
      <c r="J663" s="47"/>
      <c r="K663" s="47"/>
      <c r="L663" s="47"/>
      <c r="M663" s="47"/>
      <c r="N663" s="47"/>
      <c r="O663" s="47"/>
      <c r="P663" s="47"/>
      <c r="Q663" s="47"/>
      <c r="R663" s="47"/>
      <c r="S663" s="47"/>
      <c r="T663" s="47"/>
      <c r="U663" s="47"/>
      <c r="V663" s="47"/>
      <c r="W663" s="47"/>
      <c r="X663" s="47"/>
      <c r="Y663" s="47"/>
      <c r="Z663" s="47"/>
    </row>
    <row r="664">
      <c r="A664" s="57"/>
      <c r="B664" s="58"/>
      <c r="C664" s="58"/>
      <c r="D664" s="58"/>
      <c r="E664" s="47"/>
      <c r="F664" s="47"/>
      <c r="G664" s="47"/>
      <c r="H664" s="47"/>
      <c r="I664" s="47"/>
      <c r="J664" s="47"/>
      <c r="K664" s="47"/>
      <c r="L664" s="47"/>
      <c r="M664" s="47"/>
      <c r="N664" s="47"/>
      <c r="O664" s="47"/>
      <c r="P664" s="47"/>
      <c r="Q664" s="47"/>
      <c r="R664" s="47"/>
      <c r="S664" s="47"/>
      <c r="T664" s="47"/>
      <c r="U664" s="47"/>
      <c r="V664" s="47"/>
      <c r="W664" s="47"/>
      <c r="X664" s="47"/>
      <c r="Y664" s="47"/>
      <c r="Z664" s="47"/>
    </row>
    <row r="665">
      <c r="A665" s="57"/>
      <c r="B665" s="58"/>
      <c r="C665" s="58"/>
      <c r="D665" s="58"/>
      <c r="E665" s="47"/>
      <c r="F665" s="47"/>
      <c r="G665" s="47"/>
      <c r="H665" s="47"/>
      <c r="I665" s="47"/>
      <c r="J665" s="47"/>
      <c r="K665" s="47"/>
      <c r="L665" s="47"/>
      <c r="M665" s="47"/>
      <c r="N665" s="47"/>
      <c r="O665" s="47"/>
      <c r="P665" s="47"/>
      <c r="Q665" s="47"/>
      <c r="R665" s="47"/>
      <c r="S665" s="47"/>
      <c r="T665" s="47"/>
      <c r="U665" s="47"/>
      <c r="V665" s="47"/>
      <c r="W665" s="47"/>
      <c r="X665" s="47"/>
      <c r="Y665" s="47"/>
      <c r="Z665" s="47"/>
    </row>
    <row r="666">
      <c r="A666" s="57"/>
      <c r="B666" s="58"/>
      <c r="C666" s="58"/>
      <c r="D666" s="58"/>
      <c r="E666" s="47"/>
      <c r="F666" s="47"/>
      <c r="G666" s="47"/>
      <c r="H666" s="47"/>
      <c r="I666" s="47"/>
      <c r="J666" s="47"/>
      <c r="K666" s="47"/>
      <c r="L666" s="47"/>
      <c r="M666" s="47"/>
      <c r="N666" s="47"/>
      <c r="O666" s="47"/>
      <c r="P666" s="47"/>
      <c r="Q666" s="47"/>
      <c r="R666" s="47"/>
      <c r="S666" s="47"/>
      <c r="T666" s="47"/>
      <c r="U666" s="47"/>
      <c r="V666" s="47"/>
      <c r="W666" s="47"/>
      <c r="X666" s="47"/>
      <c r="Y666" s="47"/>
      <c r="Z666" s="47"/>
    </row>
    <row r="667">
      <c r="A667" s="57"/>
      <c r="B667" s="58"/>
      <c r="C667" s="58"/>
      <c r="D667" s="58"/>
      <c r="E667" s="47"/>
      <c r="F667" s="47"/>
      <c r="G667" s="47"/>
      <c r="H667" s="47"/>
      <c r="I667" s="47"/>
      <c r="J667" s="47"/>
      <c r="K667" s="47"/>
      <c r="L667" s="47"/>
      <c r="M667" s="47"/>
      <c r="N667" s="47"/>
      <c r="O667" s="47"/>
      <c r="P667" s="47"/>
      <c r="Q667" s="47"/>
      <c r="R667" s="47"/>
      <c r="S667" s="47"/>
      <c r="T667" s="47"/>
      <c r="U667" s="47"/>
      <c r="V667" s="47"/>
      <c r="W667" s="47"/>
      <c r="X667" s="47"/>
      <c r="Y667" s="47"/>
      <c r="Z667" s="47"/>
    </row>
    <row r="668">
      <c r="A668" s="57"/>
      <c r="B668" s="58"/>
      <c r="C668" s="58"/>
      <c r="D668" s="58"/>
      <c r="E668" s="47"/>
      <c r="F668" s="47"/>
      <c r="G668" s="47"/>
      <c r="H668" s="47"/>
      <c r="I668" s="47"/>
      <c r="J668" s="47"/>
      <c r="K668" s="47"/>
      <c r="L668" s="47"/>
      <c r="M668" s="47"/>
      <c r="N668" s="47"/>
      <c r="O668" s="47"/>
      <c r="P668" s="47"/>
      <c r="Q668" s="47"/>
      <c r="R668" s="47"/>
      <c r="S668" s="47"/>
      <c r="T668" s="47"/>
      <c r="U668" s="47"/>
      <c r="V668" s="47"/>
      <c r="W668" s="47"/>
      <c r="X668" s="47"/>
      <c r="Y668" s="47"/>
      <c r="Z668" s="47"/>
    </row>
    <row r="669">
      <c r="A669" s="57"/>
      <c r="B669" s="58"/>
      <c r="C669" s="58"/>
      <c r="D669" s="58"/>
      <c r="E669" s="47"/>
      <c r="F669" s="47"/>
      <c r="G669" s="47"/>
      <c r="H669" s="47"/>
      <c r="I669" s="47"/>
      <c r="J669" s="47"/>
      <c r="K669" s="47"/>
      <c r="L669" s="47"/>
      <c r="M669" s="47"/>
      <c r="N669" s="47"/>
      <c r="O669" s="47"/>
      <c r="P669" s="47"/>
      <c r="Q669" s="47"/>
      <c r="R669" s="47"/>
      <c r="S669" s="47"/>
      <c r="T669" s="47"/>
      <c r="U669" s="47"/>
      <c r="V669" s="47"/>
      <c r="W669" s="47"/>
      <c r="X669" s="47"/>
      <c r="Y669" s="47"/>
      <c r="Z669" s="47"/>
    </row>
    <row r="670">
      <c r="A670" s="57"/>
      <c r="B670" s="58"/>
      <c r="C670" s="58"/>
      <c r="D670" s="58"/>
      <c r="E670" s="47"/>
      <c r="F670" s="47"/>
      <c r="G670" s="47"/>
      <c r="H670" s="47"/>
      <c r="I670" s="47"/>
      <c r="J670" s="47"/>
      <c r="K670" s="47"/>
      <c r="L670" s="47"/>
      <c r="M670" s="47"/>
      <c r="N670" s="47"/>
      <c r="O670" s="47"/>
      <c r="P670" s="47"/>
      <c r="Q670" s="47"/>
      <c r="R670" s="47"/>
      <c r="S670" s="47"/>
      <c r="T670" s="47"/>
      <c r="U670" s="47"/>
      <c r="V670" s="47"/>
      <c r="W670" s="47"/>
      <c r="X670" s="47"/>
      <c r="Y670" s="47"/>
      <c r="Z670" s="47"/>
    </row>
    <row r="671">
      <c r="A671" s="57"/>
      <c r="B671" s="58"/>
      <c r="C671" s="58"/>
      <c r="D671" s="58"/>
      <c r="E671" s="47"/>
      <c r="F671" s="47"/>
      <c r="G671" s="47"/>
      <c r="H671" s="47"/>
      <c r="I671" s="47"/>
      <c r="J671" s="47"/>
      <c r="K671" s="47"/>
      <c r="L671" s="47"/>
      <c r="M671" s="47"/>
      <c r="N671" s="47"/>
      <c r="O671" s="47"/>
      <c r="P671" s="47"/>
      <c r="Q671" s="47"/>
      <c r="R671" s="47"/>
      <c r="S671" s="47"/>
      <c r="T671" s="47"/>
      <c r="U671" s="47"/>
      <c r="V671" s="47"/>
      <c r="W671" s="47"/>
      <c r="X671" s="47"/>
      <c r="Y671" s="47"/>
      <c r="Z671" s="47"/>
    </row>
    <row r="672">
      <c r="A672" s="57"/>
      <c r="B672" s="58"/>
      <c r="C672" s="58"/>
      <c r="D672" s="58"/>
      <c r="E672" s="47"/>
      <c r="F672" s="47"/>
      <c r="G672" s="47"/>
      <c r="H672" s="47"/>
      <c r="I672" s="47"/>
      <c r="J672" s="47"/>
      <c r="K672" s="47"/>
      <c r="L672" s="47"/>
      <c r="M672" s="47"/>
      <c r="N672" s="47"/>
      <c r="O672" s="47"/>
      <c r="P672" s="47"/>
      <c r="Q672" s="47"/>
      <c r="R672" s="47"/>
      <c r="S672" s="47"/>
      <c r="T672" s="47"/>
      <c r="U672" s="47"/>
      <c r="V672" s="47"/>
      <c r="W672" s="47"/>
      <c r="X672" s="47"/>
      <c r="Y672" s="47"/>
      <c r="Z672" s="47"/>
    </row>
    <row r="673">
      <c r="A673" s="57"/>
      <c r="B673" s="58"/>
      <c r="C673" s="58"/>
      <c r="D673" s="58"/>
      <c r="E673" s="47"/>
      <c r="F673" s="47"/>
      <c r="G673" s="47"/>
      <c r="H673" s="47"/>
      <c r="I673" s="47"/>
      <c r="J673" s="47"/>
      <c r="K673" s="47"/>
      <c r="L673" s="47"/>
      <c r="M673" s="47"/>
      <c r="N673" s="47"/>
      <c r="O673" s="47"/>
      <c r="P673" s="47"/>
      <c r="Q673" s="47"/>
      <c r="R673" s="47"/>
      <c r="S673" s="47"/>
      <c r="T673" s="47"/>
      <c r="U673" s="47"/>
      <c r="V673" s="47"/>
      <c r="W673" s="47"/>
      <c r="X673" s="47"/>
      <c r="Y673" s="47"/>
      <c r="Z673" s="47"/>
    </row>
    <row r="674">
      <c r="A674" s="57"/>
      <c r="B674" s="58"/>
      <c r="C674" s="58"/>
      <c r="D674" s="58"/>
      <c r="E674" s="47"/>
      <c r="F674" s="47"/>
      <c r="G674" s="47"/>
      <c r="H674" s="47"/>
      <c r="I674" s="47"/>
      <c r="J674" s="47"/>
      <c r="K674" s="47"/>
      <c r="L674" s="47"/>
      <c r="M674" s="47"/>
      <c r="N674" s="47"/>
      <c r="O674" s="47"/>
      <c r="P674" s="47"/>
      <c r="Q674" s="47"/>
      <c r="R674" s="47"/>
      <c r="S674" s="47"/>
      <c r="T674" s="47"/>
      <c r="U674" s="47"/>
      <c r="V674" s="47"/>
      <c r="W674" s="47"/>
      <c r="X674" s="47"/>
      <c r="Y674" s="47"/>
      <c r="Z674" s="47"/>
    </row>
    <row r="675">
      <c r="A675" s="57"/>
      <c r="B675" s="58"/>
      <c r="C675" s="58"/>
      <c r="D675" s="58"/>
      <c r="E675" s="47"/>
      <c r="F675" s="47"/>
      <c r="G675" s="47"/>
      <c r="H675" s="47"/>
      <c r="I675" s="47"/>
      <c r="J675" s="47"/>
      <c r="K675" s="47"/>
      <c r="L675" s="47"/>
      <c r="M675" s="47"/>
      <c r="N675" s="47"/>
      <c r="O675" s="47"/>
      <c r="P675" s="47"/>
      <c r="Q675" s="47"/>
      <c r="R675" s="47"/>
      <c r="S675" s="47"/>
      <c r="T675" s="47"/>
      <c r="U675" s="47"/>
      <c r="V675" s="47"/>
      <c r="W675" s="47"/>
      <c r="X675" s="47"/>
      <c r="Y675" s="47"/>
      <c r="Z675" s="47"/>
    </row>
    <row r="676">
      <c r="A676" s="57"/>
      <c r="B676" s="58"/>
      <c r="C676" s="58"/>
      <c r="D676" s="58"/>
      <c r="E676" s="47"/>
      <c r="F676" s="47"/>
      <c r="G676" s="47"/>
      <c r="H676" s="47"/>
      <c r="I676" s="47"/>
      <c r="J676" s="47"/>
      <c r="K676" s="47"/>
      <c r="L676" s="47"/>
      <c r="M676" s="47"/>
      <c r="N676" s="47"/>
      <c r="O676" s="47"/>
      <c r="P676" s="47"/>
      <c r="Q676" s="47"/>
      <c r="R676" s="47"/>
      <c r="S676" s="47"/>
      <c r="T676" s="47"/>
      <c r="U676" s="47"/>
      <c r="V676" s="47"/>
      <c r="W676" s="47"/>
      <c r="X676" s="47"/>
      <c r="Y676" s="47"/>
      <c r="Z676" s="47"/>
    </row>
    <row r="677">
      <c r="A677" s="57"/>
      <c r="B677" s="58"/>
      <c r="C677" s="58"/>
      <c r="D677" s="58"/>
      <c r="E677" s="47"/>
      <c r="F677" s="47"/>
      <c r="G677" s="47"/>
      <c r="H677" s="47"/>
      <c r="I677" s="47"/>
      <c r="J677" s="47"/>
      <c r="K677" s="47"/>
      <c r="L677" s="47"/>
      <c r="M677" s="47"/>
      <c r="N677" s="47"/>
      <c r="O677" s="47"/>
      <c r="P677" s="47"/>
      <c r="Q677" s="47"/>
      <c r="R677" s="47"/>
      <c r="S677" s="47"/>
      <c r="T677" s="47"/>
      <c r="U677" s="47"/>
      <c r="V677" s="47"/>
      <c r="W677" s="47"/>
      <c r="X677" s="47"/>
      <c r="Y677" s="47"/>
      <c r="Z677" s="47"/>
    </row>
    <row r="678">
      <c r="A678" s="57"/>
      <c r="B678" s="58"/>
      <c r="C678" s="58"/>
      <c r="D678" s="58"/>
      <c r="E678" s="47"/>
      <c r="F678" s="47"/>
      <c r="G678" s="47"/>
      <c r="H678" s="47"/>
      <c r="I678" s="47"/>
      <c r="J678" s="47"/>
      <c r="K678" s="47"/>
      <c r="L678" s="47"/>
      <c r="M678" s="47"/>
      <c r="N678" s="47"/>
      <c r="O678" s="47"/>
      <c r="P678" s="47"/>
      <c r="Q678" s="47"/>
      <c r="R678" s="47"/>
      <c r="S678" s="47"/>
      <c r="T678" s="47"/>
      <c r="U678" s="47"/>
      <c r="V678" s="47"/>
      <c r="W678" s="47"/>
      <c r="X678" s="47"/>
      <c r="Y678" s="47"/>
      <c r="Z678" s="47"/>
    </row>
    <row r="679">
      <c r="A679" s="57"/>
      <c r="B679" s="58"/>
      <c r="C679" s="58"/>
      <c r="D679" s="58"/>
      <c r="E679" s="47"/>
      <c r="F679" s="47"/>
      <c r="G679" s="47"/>
      <c r="H679" s="47"/>
      <c r="I679" s="47"/>
      <c r="J679" s="47"/>
      <c r="K679" s="47"/>
      <c r="L679" s="47"/>
      <c r="M679" s="47"/>
      <c r="N679" s="47"/>
      <c r="O679" s="47"/>
      <c r="P679" s="47"/>
      <c r="Q679" s="47"/>
      <c r="R679" s="47"/>
      <c r="S679" s="47"/>
      <c r="T679" s="47"/>
      <c r="U679" s="47"/>
      <c r="V679" s="47"/>
      <c r="W679" s="47"/>
      <c r="X679" s="47"/>
      <c r="Y679" s="47"/>
      <c r="Z679" s="47"/>
    </row>
    <row r="680">
      <c r="A680" s="57"/>
      <c r="B680" s="58"/>
      <c r="C680" s="58"/>
      <c r="D680" s="58"/>
      <c r="E680" s="47"/>
      <c r="F680" s="47"/>
      <c r="G680" s="47"/>
      <c r="H680" s="47"/>
      <c r="I680" s="47"/>
      <c r="J680" s="47"/>
      <c r="K680" s="47"/>
      <c r="L680" s="47"/>
      <c r="M680" s="47"/>
      <c r="N680" s="47"/>
      <c r="O680" s="47"/>
      <c r="P680" s="47"/>
      <c r="Q680" s="47"/>
      <c r="R680" s="47"/>
      <c r="S680" s="47"/>
      <c r="T680" s="47"/>
      <c r="U680" s="47"/>
      <c r="V680" s="47"/>
      <c r="W680" s="47"/>
      <c r="X680" s="47"/>
      <c r="Y680" s="47"/>
      <c r="Z680" s="47"/>
    </row>
    <row r="681">
      <c r="A681" s="57"/>
      <c r="B681" s="58"/>
      <c r="C681" s="58"/>
      <c r="D681" s="58"/>
      <c r="E681" s="47"/>
      <c r="F681" s="47"/>
      <c r="G681" s="47"/>
      <c r="H681" s="47"/>
      <c r="I681" s="47"/>
      <c r="J681" s="47"/>
      <c r="K681" s="47"/>
      <c r="L681" s="47"/>
      <c r="M681" s="47"/>
      <c r="N681" s="47"/>
      <c r="O681" s="47"/>
      <c r="P681" s="47"/>
      <c r="Q681" s="47"/>
      <c r="R681" s="47"/>
      <c r="S681" s="47"/>
      <c r="T681" s="47"/>
      <c r="U681" s="47"/>
      <c r="V681" s="47"/>
      <c r="W681" s="47"/>
      <c r="X681" s="47"/>
      <c r="Y681" s="47"/>
      <c r="Z681" s="47"/>
    </row>
    <row r="682">
      <c r="A682" s="57"/>
      <c r="B682" s="58"/>
      <c r="C682" s="58"/>
      <c r="D682" s="58"/>
      <c r="E682" s="47"/>
      <c r="F682" s="47"/>
      <c r="G682" s="47"/>
      <c r="H682" s="47"/>
      <c r="I682" s="47"/>
      <c r="J682" s="47"/>
      <c r="K682" s="47"/>
      <c r="L682" s="47"/>
      <c r="M682" s="47"/>
      <c r="N682" s="47"/>
      <c r="O682" s="47"/>
      <c r="P682" s="47"/>
      <c r="Q682" s="47"/>
      <c r="R682" s="47"/>
      <c r="S682" s="47"/>
      <c r="T682" s="47"/>
      <c r="U682" s="47"/>
      <c r="V682" s="47"/>
      <c r="W682" s="47"/>
      <c r="X682" s="47"/>
      <c r="Y682" s="47"/>
      <c r="Z682" s="47"/>
    </row>
    <row r="683">
      <c r="A683" s="57"/>
      <c r="B683" s="58"/>
      <c r="C683" s="58"/>
      <c r="D683" s="58"/>
      <c r="E683" s="47"/>
      <c r="F683" s="47"/>
      <c r="G683" s="47"/>
      <c r="H683" s="47"/>
      <c r="I683" s="47"/>
      <c r="J683" s="47"/>
      <c r="K683" s="47"/>
      <c r="L683" s="47"/>
      <c r="M683" s="47"/>
      <c r="N683" s="47"/>
      <c r="O683" s="47"/>
      <c r="P683" s="47"/>
      <c r="Q683" s="47"/>
      <c r="R683" s="47"/>
      <c r="S683" s="47"/>
      <c r="T683" s="47"/>
      <c r="U683" s="47"/>
      <c r="V683" s="47"/>
      <c r="W683" s="47"/>
      <c r="X683" s="47"/>
      <c r="Y683" s="47"/>
      <c r="Z683" s="47"/>
    </row>
    <row r="684">
      <c r="A684" s="57"/>
      <c r="B684" s="58"/>
      <c r="C684" s="58"/>
      <c r="D684" s="58"/>
      <c r="E684" s="47"/>
      <c r="F684" s="47"/>
      <c r="G684" s="47"/>
      <c r="H684" s="47"/>
      <c r="I684" s="47"/>
      <c r="J684" s="47"/>
      <c r="K684" s="47"/>
      <c r="L684" s="47"/>
      <c r="M684" s="47"/>
      <c r="N684" s="47"/>
      <c r="O684" s="47"/>
      <c r="P684" s="47"/>
      <c r="Q684" s="47"/>
      <c r="R684" s="47"/>
      <c r="S684" s="47"/>
      <c r="T684" s="47"/>
      <c r="U684" s="47"/>
      <c r="V684" s="47"/>
      <c r="W684" s="47"/>
      <c r="X684" s="47"/>
      <c r="Y684" s="47"/>
      <c r="Z684" s="47"/>
    </row>
    <row r="685">
      <c r="A685" s="57"/>
      <c r="B685" s="58"/>
      <c r="C685" s="58"/>
      <c r="D685" s="58"/>
      <c r="E685" s="47"/>
      <c r="F685" s="47"/>
      <c r="G685" s="47"/>
      <c r="H685" s="47"/>
      <c r="I685" s="47"/>
      <c r="J685" s="47"/>
      <c r="K685" s="47"/>
      <c r="L685" s="47"/>
      <c r="M685" s="47"/>
      <c r="N685" s="47"/>
      <c r="O685" s="47"/>
      <c r="P685" s="47"/>
      <c r="Q685" s="47"/>
      <c r="R685" s="47"/>
      <c r="S685" s="47"/>
      <c r="T685" s="47"/>
      <c r="U685" s="47"/>
      <c r="V685" s="47"/>
      <c r="W685" s="47"/>
      <c r="X685" s="47"/>
      <c r="Y685" s="47"/>
      <c r="Z685" s="47"/>
    </row>
    <row r="686">
      <c r="A686" s="57"/>
      <c r="B686" s="58"/>
      <c r="C686" s="58"/>
      <c r="D686" s="58"/>
      <c r="E686" s="47"/>
      <c r="F686" s="47"/>
      <c r="G686" s="47"/>
      <c r="H686" s="47"/>
      <c r="I686" s="47"/>
      <c r="J686" s="47"/>
      <c r="K686" s="47"/>
      <c r="L686" s="47"/>
      <c r="M686" s="47"/>
      <c r="N686" s="47"/>
      <c r="O686" s="47"/>
      <c r="P686" s="47"/>
      <c r="Q686" s="47"/>
      <c r="R686" s="47"/>
      <c r="S686" s="47"/>
      <c r="T686" s="47"/>
      <c r="U686" s="47"/>
      <c r="V686" s="47"/>
      <c r="W686" s="47"/>
      <c r="X686" s="47"/>
      <c r="Y686" s="47"/>
      <c r="Z686" s="47"/>
    </row>
    <row r="687">
      <c r="A687" s="57"/>
      <c r="B687" s="58"/>
      <c r="C687" s="58"/>
      <c r="D687" s="58"/>
      <c r="E687" s="47"/>
      <c r="F687" s="47"/>
      <c r="G687" s="47"/>
      <c r="H687" s="47"/>
      <c r="I687" s="47"/>
      <c r="J687" s="47"/>
      <c r="K687" s="47"/>
      <c r="L687" s="47"/>
      <c r="M687" s="47"/>
      <c r="N687" s="47"/>
      <c r="O687" s="47"/>
      <c r="P687" s="47"/>
      <c r="Q687" s="47"/>
      <c r="R687" s="47"/>
      <c r="S687" s="47"/>
      <c r="T687" s="47"/>
      <c r="U687" s="47"/>
      <c r="V687" s="47"/>
      <c r="W687" s="47"/>
      <c r="X687" s="47"/>
      <c r="Y687" s="47"/>
      <c r="Z687" s="47"/>
    </row>
    <row r="688">
      <c r="A688" s="57"/>
      <c r="B688" s="58"/>
      <c r="C688" s="58"/>
      <c r="D688" s="58"/>
      <c r="E688" s="47"/>
      <c r="F688" s="47"/>
      <c r="G688" s="47"/>
      <c r="H688" s="47"/>
      <c r="I688" s="47"/>
      <c r="J688" s="47"/>
      <c r="K688" s="47"/>
      <c r="L688" s="47"/>
      <c r="M688" s="47"/>
      <c r="N688" s="47"/>
      <c r="O688" s="47"/>
      <c r="P688" s="47"/>
      <c r="Q688" s="47"/>
      <c r="R688" s="47"/>
      <c r="S688" s="47"/>
      <c r="T688" s="47"/>
      <c r="U688" s="47"/>
      <c r="V688" s="47"/>
      <c r="W688" s="47"/>
      <c r="X688" s="47"/>
      <c r="Y688" s="47"/>
      <c r="Z688" s="47"/>
    </row>
    <row r="689">
      <c r="A689" s="57"/>
      <c r="B689" s="58"/>
      <c r="C689" s="58"/>
      <c r="D689" s="58"/>
      <c r="E689" s="47"/>
      <c r="F689" s="47"/>
      <c r="G689" s="47"/>
      <c r="H689" s="47"/>
      <c r="I689" s="47"/>
      <c r="J689" s="47"/>
      <c r="K689" s="47"/>
      <c r="L689" s="47"/>
      <c r="M689" s="47"/>
      <c r="N689" s="47"/>
      <c r="O689" s="47"/>
      <c r="P689" s="47"/>
      <c r="Q689" s="47"/>
      <c r="R689" s="47"/>
      <c r="S689" s="47"/>
      <c r="T689" s="47"/>
      <c r="U689" s="47"/>
      <c r="V689" s="47"/>
      <c r="W689" s="47"/>
      <c r="X689" s="47"/>
      <c r="Y689" s="47"/>
      <c r="Z689" s="47"/>
    </row>
    <row r="690">
      <c r="A690" s="57"/>
      <c r="B690" s="58"/>
      <c r="C690" s="58"/>
      <c r="D690" s="58"/>
      <c r="E690" s="47"/>
      <c r="F690" s="47"/>
      <c r="G690" s="47"/>
      <c r="H690" s="47"/>
      <c r="I690" s="47"/>
      <c r="J690" s="47"/>
      <c r="K690" s="47"/>
      <c r="L690" s="47"/>
      <c r="M690" s="47"/>
      <c r="N690" s="47"/>
      <c r="O690" s="47"/>
      <c r="P690" s="47"/>
      <c r="Q690" s="47"/>
      <c r="R690" s="47"/>
      <c r="S690" s="47"/>
      <c r="T690" s="47"/>
      <c r="U690" s="47"/>
      <c r="V690" s="47"/>
      <c r="W690" s="47"/>
      <c r="X690" s="47"/>
      <c r="Y690" s="47"/>
      <c r="Z690" s="47"/>
    </row>
    <row r="691">
      <c r="A691" s="57"/>
      <c r="B691" s="58"/>
      <c r="C691" s="58"/>
      <c r="D691" s="58"/>
      <c r="E691" s="47"/>
      <c r="F691" s="47"/>
      <c r="G691" s="47"/>
      <c r="H691" s="47"/>
      <c r="I691" s="47"/>
      <c r="J691" s="47"/>
      <c r="K691" s="47"/>
      <c r="L691" s="47"/>
      <c r="M691" s="47"/>
      <c r="N691" s="47"/>
      <c r="O691" s="47"/>
      <c r="P691" s="47"/>
      <c r="Q691" s="47"/>
      <c r="R691" s="47"/>
      <c r="S691" s="47"/>
      <c r="T691" s="47"/>
      <c r="U691" s="47"/>
      <c r="V691" s="47"/>
      <c r="W691" s="47"/>
      <c r="X691" s="47"/>
      <c r="Y691" s="47"/>
      <c r="Z691" s="47"/>
    </row>
    <row r="692">
      <c r="A692" s="57"/>
      <c r="B692" s="58"/>
      <c r="C692" s="58"/>
      <c r="D692" s="58"/>
      <c r="E692" s="47"/>
      <c r="F692" s="47"/>
      <c r="G692" s="47"/>
      <c r="H692" s="47"/>
      <c r="I692" s="47"/>
      <c r="J692" s="47"/>
      <c r="K692" s="47"/>
      <c r="L692" s="47"/>
      <c r="M692" s="47"/>
      <c r="N692" s="47"/>
      <c r="O692" s="47"/>
      <c r="P692" s="47"/>
      <c r="Q692" s="47"/>
      <c r="R692" s="47"/>
      <c r="S692" s="47"/>
      <c r="T692" s="47"/>
      <c r="U692" s="47"/>
      <c r="V692" s="47"/>
      <c r="W692" s="47"/>
      <c r="X692" s="47"/>
      <c r="Y692" s="47"/>
      <c r="Z692" s="47"/>
    </row>
    <row r="693">
      <c r="A693" s="57"/>
      <c r="B693" s="58"/>
      <c r="C693" s="58"/>
      <c r="D693" s="58"/>
      <c r="E693" s="47"/>
      <c r="F693" s="47"/>
      <c r="G693" s="47"/>
      <c r="H693" s="47"/>
      <c r="I693" s="47"/>
      <c r="J693" s="47"/>
      <c r="K693" s="47"/>
      <c r="L693" s="47"/>
      <c r="M693" s="47"/>
      <c r="N693" s="47"/>
      <c r="O693" s="47"/>
      <c r="P693" s="47"/>
      <c r="Q693" s="47"/>
      <c r="R693" s="47"/>
      <c r="S693" s="47"/>
      <c r="T693" s="47"/>
      <c r="U693" s="47"/>
      <c r="V693" s="47"/>
      <c r="W693" s="47"/>
      <c r="X693" s="47"/>
      <c r="Y693" s="47"/>
      <c r="Z693" s="47"/>
    </row>
    <row r="694">
      <c r="A694" s="57"/>
      <c r="B694" s="58"/>
      <c r="C694" s="58"/>
      <c r="D694" s="58"/>
      <c r="E694" s="47"/>
      <c r="F694" s="47"/>
      <c r="G694" s="47"/>
      <c r="H694" s="47"/>
      <c r="I694" s="47"/>
      <c r="J694" s="47"/>
      <c r="K694" s="47"/>
      <c r="L694" s="47"/>
      <c r="M694" s="47"/>
      <c r="N694" s="47"/>
      <c r="O694" s="47"/>
      <c r="P694" s="47"/>
      <c r="Q694" s="47"/>
      <c r="R694" s="47"/>
      <c r="S694" s="47"/>
      <c r="T694" s="47"/>
      <c r="U694" s="47"/>
      <c r="V694" s="47"/>
      <c r="W694" s="47"/>
      <c r="X694" s="47"/>
      <c r="Y694" s="47"/>
      <c r="Z694" s="47"/>
    </row>
    <row r="695">
      <c r="A695" s="57"/>
      <c r="B695" s="58"/>
      <c r="C695" s="58"/>
      <c r="D695" s="58"/>
      <c r="E695" s="47"/>
      <c r="F695" s="47"/>
      <c r="G695" s="47"/>
      <c r="H695" s="47"/>
      <c r="I695" s="47"/>
      <c r="J695" s="47"/>
      <c r="K695" s="47"/>
      <c r="L695" s="47"/>
      <c r="M695" s="47"/>
      <c r="N695" s="47"/>
      <c r="O695" s="47"/>
      <c r="P695" s="47"/>
      <c r="Q695" s="47"/>
      <c r="R695" s="47"/>
      <c r="S695" s="47"/>
      <c r="T695" s="47"/>
      <c r="U695" s="47"/>
      <c r="V695" s="47"/>
      <c r="W695" s="47"/>
      <c r="X695" s="47"/>
      <c r="Y695" s="47"/>
      <c r="Z695" s="47"/>
    </row>
    <row r="696">
      <c r="A696" s="57"/>
      <c r="B696" s="58"/>
      <c r="C696" s="58"/>
      <c r="D696" s="58"/>
      <c r="E696" s="47"/>
      <c r="F696" s="47"/>
      <c r="G696" s="47"/>
      <c r="H696" s="47"/>
      <c r="I696" s="47"/>
      <c r="J696" s="47"/>
      <c r="K696" s="47"/>
      <c r="L696" s="47"/>
      <c r="M696" s="47"/>
      <c r="N696" s="47"/>
      <c r="O696" s="47"/>
      <c r="P696" s="47"/>
      <c r="Q696" s="47"/>
      <c r="R696" s="47"/>
      <c r="S696" s="47"/>
      <c r="T696" s="47"/>
      <c r="U696" s="47"/>
      <c r="V696" s="47"/>
      <c r="W696" s="47"/>
      <c r="X696" s="47"/>
      <c r="Y696" s="47"/>
      <c r="Z696" s="47"/>
    </row>
    <row r="697">
      <c r="A697" s="57"/>
      <c r="B697" s="58"/>
      <c r="C697" s="58"/>
      <c r="D697" s="58"/>
      <c r="E697" s="47"/>
      <c r="F697" s="47"/>
      <c r="G697" s="47"/>
      <c r="H697" s="47"/>
      <c r="I697" s="47"/>
      <c r="J697" s="47"/>
      <c r="K697" s="47"/>
      <c r="L697" s="47"/>
      <c r="M697" s="47"/>
      <c r="N697" s="47"/>
      <c r="O697" s="47"/>
      <c r="P697" s="47"/>
      <c r="Q697" s="47"/>
      <c r="R697" s="47"/>
      <c r="S697" s="47"/>
      <c r="T697" s="47"/>
      <c r="U697" s="47"/>
      <c r="V697" s="47"/>
      <c r="W697" s="47"/>
      <c r="X697" s="47"/>
      <c r="Y697" s="47"/>
      <c r="Z697" s="47"/>
    </row>
    <row r="698">
      <c r="A698" s="57"/>
      <c r="B698" s="58"/>
      <c r="C698" s="58"/>
      <c r="D698" s="58"/>
      <c r="E698" s="47"/>
      <c r="F698" s="47"/>
      <c r="G698" s="47"/>
      <c r="H698" s="47"/>
      <c r="I698" s="47"/>
      <c r="J698" s="47"/>
      <c r="K698" s="47"/>
      <c r="L698" s="47"/>
      <c r="M698" s="47"/>
      <c r="N698" s="47"/>
      <c r="O698" s="47"/>
      <c r="P698" s="47"/>
      <c r="Q698" s="47"/>
      <c r="R698" s="47"/>
      <c r="S698" s="47"/>
      <c r="T698" s="47"/>
      <c r="U698" s="47"/>
      <c r="V698" s="47"/>
      <c r="W698" s="47"/>
      <c r="X698" s="47"/>
      <c r="Y698" s="47"/>
      <c r="Z698" s="47"/>
    </row>
    <row r="699">
      <c r="A699" s="57"/>
      <c r="B699" s="58"/>
      <c r="C699" s="58"/>
      <c r="D699" s="58"/>
      <c r="E699" s="47"/>
      <c r="F699" s="47"/>
      <c r="G699" s="47"/>
      <c r="H699" s="47"/>
      <c r="I699" s="47"/>
      <c r="J699" s="47"/>
      <c r="K699" s="47"/>
      <c r="L699" s="47"/>
      <c r="M699" s="47"/>
      <c r="N699" s="47"/>
      <c r="O699" s="47"/>
      <c r="P699" s="47"/>
      <c r="Q699" s="47"/>
      <c r="R699" s="47"/>
      <c r="S699" s="47"/>
      <c r="T699" s="47"/>
      <c r="U699" s="47"/>
      <c r="V699" s="47"/>
      <c r="W699" s="47"/>
      <c r="X699" s="47"/>
      <c r="Y699" s="47"/>
      <c r="Z699" s="47"/>
    </row>
    <row r="700">
      <c r="A700" s="57"/>
      <c r="B700" s="58"/>
      <c r="C700" s="58"/>
      <c r="D700" s="58"/>
      <c r="E700" s="47"/>
      <c r="F700" s="47"/>
      <c r="G700" s="47"/>
      <c r="H700" s="47"/>
      <c r="I700" s="47"/>
      <c r="J700" s="47"/>
      <c r="K700" s="47"/>
      <c r="L700" s="47"/>
      <c r="M700" s="47"/>
      <c r="N700" s="47"/>
      <c r="O700" s="47"/>
      <c r="P700" s="47"/>
      <c r="Q700" s="47"/>
      <c r="R700" s="47"/>
      <c r="S700" s="47"/>
      <c r="T700" s="47"/>
      <c r="U700" s="47"/>
      <c r="V700" s="47"/>
      <c r="W700" s="47"/>
      <c r="X700" s="47"/>
      <c r="Y700" s="47"/>
      <c r="Z700" s="47"/>
    </row>
    <row r="701">
      <c r="A701" s="57"/>
      <c r="B701" s="58"/>
      <c r="C701" s="58"/>
      <c r="D701" s="58"/>
      <c r="E701" s="47"/>
      <c r="F701" s="47"/>
      <c r="G701" s="47"/>
      <c r="H701" s="47"/>
      <c r="I701" s="47"/>
      <c r="J701" s="47"/>
      <c r="K701" s="47"/>
      <c r="L701" s="47"/>
      <c r="M701" s="47"/>
      <c r="N701" s="47"/>
      <c r="O701" s="47"/>
      <c r="P701" s="47"/>
      <c r="Q701" s="47"/>
      <c r="R701" s="47"/>
      <c r="S701" s="47"/>
      <c r="T701" s="47"/>
      <c r="U701" s="47"/>
      <c r="V701" s="47"/>
      <c r="W701" s="47"/>
      <c r="X701" s="47"/>
      <c r="Y701" s="47"/>
      <c r="Z701" s="47"/>
    </row>
    <row r="702">
      <c r="A702" s="57"/>
      <c r="B702" s="58"/>
      <c r="C702" s="58"/>
      <c r="D702" s="58"/>
      <c r="E702" s="47"/>
      <c r="F702" s="47"/>
      <c r="G702" s="47"/>
      <c r="H702" s="47"/>
      <c r="I702" s="47"/>
      <c r="J702" s="47"/>
      <c r="K702" s="47"/>
      <c r="L702" s="47"/>
      <c r="M702" s="47"/>
      <c r="N702" s="47"/>
      <c r="O702" s="47"/>
      <c r="P702" s="47"/>
      <c r="Q702" s="47"/>
      <c r="R702" s="47"/>
      <c r="S702" s="47"/>
      <c r="T702" s="47"/>
      <c r="U702" s="47"/>
      <c r="V702" s="47"/>
      <c r="W702" s="47"/>
      <c r="X702" s="47"/>
      <c r="Y702" s="47"/>
      <c r="Z702" s="47"/>
    </row>
    <row r="703">
      <c r="A703" s="57"/>
      <c r="B703" s="58"/>
      <c r="C703" s="58"/>
      <c r="D703" s="58"/>
      <c r="E703" s="47"/>
      <c r="F703" s="47"/>
      <c r="G703" s="47"/>
      <c r="H703" s="47"/>
      <c r="I703" s="47"/>
      <c r="J703" s="47"/>
      <c r="K703" s="47"/>
      <c r="L703" s="47"/>
      <c r="M703" s="47"/>
      <c r="N703" s="47"/>
      <c r="O703" s="47"/>
      <c r="P703" s="47"/>
      <c r="Q703" s="47"/>
      <c r="R703" s="47"/>
      <c r="S703" s="47"/>
      <c r="T703" s="47"/>
      <c r="U703" s="47"/>
      <c r="V703" s="47"/>
      <c r="W703" s="47"/>
      <c r="X703" s="47"/>
      <c r="Y703" s="47"/>
      <c r="Z703" s="47"/>
    </row>
    <row r="704">
      <c r="A704" s="57"/>
      <c r="B704" s="58"/>
      <c r="C704" s="58"/>
      <c r="D704" s="58"/>
      <c r="E704" s="47"/>
      <c r="F704" s="47"/>
      <c r="G704" s="47"/>
      <c r="H704" s="47"/>
      <c r="I704" s="47"/>
      <c r="J704" s="47"/>
      <c r="K704" s="47"/>
      <c r="L704" s="47"/>
      <c r="M704" s="47"/>
      <c r="N704" s="47"/>
      <c r="O704" s="47"/>
      <c r="P704" s="47"/>
      <c r="Q704" s="47"/>
      <c r="R704" s="47"/>
      <c r="S704" s="47"/>
      <c r="T704" s="47"/>
      <c r="U704" s="47"/>
      <c r="V704" s="47"/>
      <c r="W704" s="47"/>
      <c r="X704" s="47"/>
      <c r="Y704" s="47"/>
      <c r="Z704" s="47"/>
    </row>
    <row r="705">
      <c r="A705" s="57"/>
      <c r="B705" s="58"/>
      <c r="C705" s="58"/>
      <c r="D705" s="58"/>
      <c r="E705" s="47"/>
      <c r="F705" s="47"/>
      <c r="G705" s="47"/>
      <c r="H705" s="47"/>
      <c r="I705" s="47"/>
      <c r="J705" s="47"/>
      <c r="K705" s="47"/>
      <c r="L705" s="47"/>
      <c r="M705" s="47"/>
      <c r="N705" s="47"/>
      <c r="O705" s="47"/>
      <c r="P705" s="47"/>
      <c r="Q705" s="47"/>
      <c r="R705" s="47"/>
      <c r="S705" s="47"/>
      <c r="T705" s="47"/>
      <c r="U705" s="47"/>
      <c r="V705" s="47"/>
      <c r="W705" s="47"/>
      <c r="X705" s="47"/>
      <c r="Y705" s="47"/>
      <c r="Z705" s="47"/>
    </row>
    <row r="706">
      <c r="A706" s="57"/>
      <c r="B706" s="58"/>
      <c r="C706" s="58"/>
      <c r="D706" s="58"/>
      <c r="E706" s="47"/>
      <c r="F706" s="47"/>
      <c r="G706" s="47"/>
      <c r="H706" s="47"/>
      <c r="I706" s="47"/>
      <c r="J706" s="47"/>
      <c r="K706" s="47"/>
      <c r="L706" s="47"/>
      <c r="M706" s="47"/>
      <c r="N706" s="47"/>
      <c r="O706" s="47"/>
      <c r="P706" s="47"/>
      <c r="Q706" s="47"/>
      <c r="R706" s="47"/>
      <c r="S706" s="47"/>
      <c r="T706" s="47"/>
      <c r="U706" s="47"/>
      <c r="V706" s="47"/>
      <c r="W706" s="47"/>
      <c r="X706" s="47"/>
      <c r="Y706" s="47"/>
      <c r="Z706" s="47"/>
    </row>
    <row r="707">
      <c r="A707" s="57"/>
      <c r="B707" s="58"/>
      <c r="C707" s="58"/>
      <c r="D707" s="58"/>
      <c r="E707" s="47"/>
      <c r="F707" s="47"/>
      <c r="G707" s="47"/>
      <c r="H707" s="47"/>
      <c r="I707" s="47"/>
      <c r="J707" s="47"/>
      <c r="K707" s="47"/>
      <c r="L707" s="47"/>
      <c r="M707" s="47"/>
      <c r="N707" s="47"/>
      <c r="O707" s="47"/>
      <c r="P707" s="47"/>
      <c r="Q707" s="47"/>
      <c r="R707" s="47"/>
      <c r="S707" s="47"/>
      <c r="T707" s="47"/>
      <c r="U707" s="47"/>
      <c r="V707" s="47"/>
      <c r="W707" s="47"/>
      <c r="X707" s="47"/>
      <c r="Y707" s="47"/>
      <c r="Z707" s="47"/>
    </row>
    <row r="708">
      <c r="A708" s="57"/>
      <c r="B708" s="58"/>
      <c r="C708" s="58"/>
      <c r="D708" s="58"/>
      <c r="E708" s="47"/>
      <c r="F708" s="47"/>
      <c r="G708" s="47"/>
      <c r="H708" s="47"/>
      <c r="I708" s="47"/>
      <c r="J708" s="47"/>
      <c r="K708" s="47"/>
      <c r="L708" s="47"/>
      <c r="M708" s="47"/>
      <c r="N708" s="47"/>
      <c r="O708" s="47"/>
      <c r="P708" s="47"/>
      <c r="Q708" s="47"/>
      <c r="R708" s="47"/>
      <c r="S708" s="47"/>
      <c r="T708" s="47"/>
      <c r="U708" s="47"/>
      <c r="V708" s="47"/>
      <c r="W708" s="47"/>
      <c r="X708" s="47"/>
      <c r="Y708" s="47"/>
      <c r="Z708" s="47"/>
    </row>
    <row r="709">
      <c r="A709" s="57"/>
      <c r="B709" s="58"/>
      <c r="C709" s="58"/>
      <c r="D709" s="58"/>
      <c r="E709" s="47"/>
      <c r="F709" s="47"/>
      <c r="G709" s="47"/>
      <c r="H709" s="47"/>
      <c r="I709" s="47"/>
      <c r="J709" s="47"/>
      <c r="K709" s="47"/>
      <c r="L709" s="47"/>
      <c r="M709" s="47"/>
      <c r="N709" s="47"/>
      <c r="O709" s="47"/>
      <c r="P709" s="47"/>
      <c r="Q709" s="47"/>
      <c r="R709" s="47"/>
      <c r="S709" s="47"/>
      <c r="T709" s="47"/>
      <c r="U709" s="47"/>
      <c r="V709" s="47"/>
      <c r="W709" s="47"/>
      <c r="X709" s="47"/>
      <c r="Y709" s="47"/>
      <c r="Z709" s="47"/>
    </row>
    <row r="710">
      <c r="A710" s="57"/>
      <c r="B710" s="58"/>
      <c r="C710" s="58"/>
      <c r="D710" s="58"/>
      <c r="E710" s="47"/>
      <c r="F710" s="47"/>
      <c r="G710" s="47"/>
      <c r="H710" s="47"/>
      <c r="I710" s="47"/>
      <c r="J710" s="47"/>
      <c r="K710" s="47"/>
      <c r="L710" s="47"/>
      <c r="M710" s="47"/>
      <c r="N710" s="47"/>
      <c r="O710" s="47"/>
      <c r="P710" s="47"/>
      <c r="Q710" s="47"/>
      <c r="R710" s="47"/>
      <c r="S710" s="47"/>
      <c r="T710" s="47"/>
      <c r="U710" s="47"/>
      <c r="V710" s="47"/>
      <c r="W710" s="47"/>
      <c r="X710" s="47"/>
      <c r="Y710" s="47"/>
      <c r="Z710" s="47"/>
    </row>
    <row r="711">
      <c r="A711" s="57"/>
      <c r="B711" s="58"/>
      <c r="C711" s="58"/>
      <c r="D711" s="58"/>
      <c r="E711" s="47"/>
      <c r="F711" s="47"/>
      <c r="G711" s="47"/>
      <c r="H711" s="47"/>
      <c r="I711" s="47"/>
      <c r="J711" s="47"/>
      <c r="K711" s="47"/>
      <c r="L711" s="47"/>
      <c r="M711" s="47"/>
      <c r="N711" s="47"/>
      <c r="O711" s="47"/>
      <c r="P711" s="47"/>
      <c r="Q711" s="47"/>
      <c r="R711" s="47"/>
      <c r="S711" s="47"/>
      <c r="T711" s="47"/>
      <c r="U711" s="47"/>
      <c r="V711" s="47"/>
      <c r="W711" s="47"/>
      <c r="X711" s="47"/>
      <c r="Y711" s="47"/>
      <c r="Z711" s="47"/>
    </row>
    <row r="712">
      <c r="A712" s="57"/>
      <c r="B712" s="58"/>
      <c r="C712" s="58"/>
      <c r="D712" s="58"/>
      <c r="E712" s="47"/>
      <c r="F712" s="47"/>
      <c r="G712" s="47"/>
      <c r="H712" s="47"/>
      <c r="I712" s="47"/>
      <c r="J712" s="47"/>
      <c r="K712" s="47"/>
      <c r="L712" s="47"/>
      <c r="M712" s="47"/>
      <c r="N712" s="47"/>
      <c r="O712" s="47"/>
      <c r="P712" s="47"/>
      <c r="Q712" s="47"/>
      <c r="R712" s="47"/>
      <c r="S712" s="47"/>
      <c r="T712" s="47"/>
      <c r="U712" s="47"/>
      <c r="V712" s="47"/>
      <c r="W712" s="47"/>
      <c r="X712" s="47"/>
      <c r="Y712" s="47"/>
      <c r="Z712" s="47"/>
    </row>
    <row r="713">
      <c r="A713" s="57"/>
      <c r="B713" s="58"/>
      <c r="C713" s="58"/>
      <c r="D713" s="58"/>
      <c r="E713" s="47"/>
      <c r="F713" s="47"/>
      <c r="G713" s="47"/>
      <c r="H713" s="47"/>
      <c r="I713" s="47"/>
      <c r="J713" s="47"/>
      <c r="K713" s="47"/>
      <c r="L713" s="47"/>
      <c r="M713" s="47"/>
      <c r="N713" s="47"/>
      <c r="O713" s="47"/>
      <c r="P713" s="47"/>
      <c r="Q713" s="47"/>
      <c r="R713" s="47"/>
      <c r="S713" s="47"/>
      <c r="T713" s="47"/>
      <c r="U713" s="47"/>
      <c r="V713" s="47"/>
      <c r="W713" s="47"/>
      <c r="X713" s="47"/>
      <c r="Y713" s="47"/>
      <c r="Z713" s="47"/>
    </row>
    <row r="714">
      <c r="A714" s="57"/>
      <c r="B714" s="58"/>
      <c r="C714" s="58"/>
      <c r="D714" s="58"/>
      <c r="E714" s="47"/>
      <c r="F714" s="47"/>
      <c r="G714" s="47"/>
      <c r="H714" s="47"/>
      <c r="I714" s="47"/>
      <c r="J714" s="47"/>
      <c r="K714" s="47"/>
      <c r="L714" s="47"/>
      <c r="M714" s="47"/>
      <c r="N714" s="47"/>
      <c r="O714" s="47"/>
      <c r="P714" s="47"/>
      <c r="Q714" s="47"/>
      <c r="R714" s="47"/>
      <c r="S714" s="47"/>
      <c r="T714" s="47"/>
      <c r="U714" s="47"/>
      <c r="V714" s="47"/>
      <c r="W714" s="47"/>
      <c r="X714" s="47"/>
      <c r="Y714" s="47"/>
      <c r="Z714" s="47"/>
    </row>
    <row r="715">
      <c r="A715" s="57"/>
      <c r="B715" s="58"/>
      <c r="C715" s="58"/>
      <c r="D715" s="58"/>
      <c r="E715" s="47"/>
      <c r="F715" s="47"/>
      <c r="G715" s="47"/>
      <c r="H715" s="47"/>
      <c r="I715" s="47"/>
      <c r="J715" s="47"/>
      <c r="K715" s="47"/>
      <c r="L715" s="47"/>
      <c r="M715" s="47"/>
      <c r="N715" s="47"/>
      <c r="O715" s="47"/>
      <c r="P715" s="47"/>
      <c r="Q715" s="47"/>
      <c r="R715" s="47"/>
      <c r="S715" s="47"/>
      <c r="T715" s="47"/>
      <c r="U715" s="47"/>
      <c r="V715" s="47"/>
      <c r="W715" s="47"/>
      <c r="X715" s="47"/>
      <c r="Y715" s="47"/>
      <c r="Z715" s="47"/>
    </row>
    <row r="716">
      <c r="A716" s="57"/>
      <c r="B716" s="58"/>
      <c r="C716" s="58"/>
      <c r="D716" s="58"/>
      <c r="E716" s="47"/>
      <c r="F716" s="47"/>
      <c r="G716" s="47"/>
      <c r="H716" s="47"/>
      <c r="I716" s="47"/>
      <c r="J716" s="47"/>
      <c r="K716" s="47"/>
      <c r="L716" s="47"/>
      <c r="M716" s="47"/>
      <c r="N716" s="47"/>
      <c r="O716" s="47"/>
      <c r="P716" s="47"/>
      <c r="Q716" s="47"/>
      <c r="R716" s="47"/>
      <c r="S716" s="47"/>
      <c r="T716" s="47"/>
      <c r="U716" s="47"/>
      <c r="V716" s="47"/>
      <c r="W716" s="47"/>
      <c r="X716" s="47"/>
      <c r="Y716" s="47"/>
      <c r="Z716" s="47"/>
    </row>
    <row r="717">
      <c r="A717" s="57"/>
      <c r="B717" s="58"/>
      <c r="C717" s="58"/>
      <c r="D717" s="58"/>
      <c r="E717" s="47"/>
      <c r="F717" s="47"/>
      <c r="G717" s="47"/>
      <c r="H717" s="47"/>
      <c r="I717" s="47"/>
      <c r="J717" s="47"/>
      <c r="K717" s="47"/>
      <c r="L717" s="47"/>
      <c r="M717" s="47"/>
      <c r="N717" s="47"/>
      <c r="O717" s="47"/>
      <c r="P717" s="47"/>
      <c r="Q717" s="47"/>
      <c r="R717" s="47"/>
      <c r="S717" s="47"/>
      <c r="T717" s="47"/>
      <c r="U717" s="47"/>
      <c r="V717" s="47"/>
      <c r="W717" s="47"/>
      <c r="X717" s="47"/>
      <c r="Y717" s="47"/>
      <c r="Z717" s="47"/>
    </row>
    <row r="718">
      <c r="A718" s="57"/>
      <c r="B718" s="58"/>
      <c r="C718" s="58"/>
      <c r="D718" s="58"/>
      <c r="E718" s="47"/>
      <c r="F718" s="47"/>
      <c r="G718" s="47"/>
      <c r="H718" s="47"/>
      <c r="I718" s="47"/>
      <c r="J718" s="47"/>
      <c r="K718" s="47"/>
      <c r="L718" s="47"/>
      <c r="M718" s="47"/>
      <c r="N718" s="47"/>
      <c r="O718" s="47"/>
      <c r="P718" s="47"/>
      <c r="Q718" s="47"/>
      <c r="R718" s="47"/>
      <c r="S718" s="47"/>
      <c r="T718" s="47"/>
      <c r="U718" s="47"/>
      <c r="V718" s="47"/>
      <c r="W718" s="47"/>
      <c r="X718" s="47"/>
      <c r="Y718" s="47"/>
      <c r="Z718" s="47"/>
    </row>
    <row r="719">
      <c r="A719" s="57"/>
      <c r="B719" s="58"/>
      <c r="C719" s="58"/>
      <c r="D719" s="58"/>
      <c r="E719" s="47"/>
      <c r="F719" s="47"/>
      <c r="G719" s="47"/>
      <c r="H719" s="47"/>
      <c r="I719" s="47"/>
      <c r="J719" s="47"/>
      <c r="K719" s="47"/>
      <c r="L719" s="47"/>
      <c r="M719" s="47"/>
      <c r="N719" s="47"/>
      <c r="O719" s="47"/>
      <c r="P719" s="47"/>
      <c r="Q719" s="47"/>
      <c r="R719" s="47"/>
      <c r="S719" s="47"/>
      <c r="T719" s="47"/>
      <c r="U719" s="47"/>
      <c r="V719" s="47"/>
      <c r="W719" s="47"/>
      <c r="X719" s="47"/>
      <c r="Y719" s="47"/>
      <c r="Z719" s="47"/>
    </row>
    <row r="720">
      <c r="A720" s="57"/>
      <c r="B720" s="58"/>
      <c r="C720" s="58"/>
      <c r="D720" s="58"/>
      <c r="E720" s="47"/>
      <c r="F720" s="47"/>
      <c r="G720" s="47"/>
      <c r="H720" s="47"/>
      <c r="I720" s="47"/>
      <c r="J720" s="47"/>
      <c r="K720" s="47"/>
      <c r="L720" s="47"/>
      <c r="M720" s="47"/>
      <c r="N720" s="47"/>
      <c r="O720" s="47"/>
      <c r="P720" s="47"/>
      <c r="Q720" s="47"/>
      <c r="R720" s="47"/>
      <c r="S720" s="47"/>
      <c r="T720" s="47"/>
      <c r="U720" s="47"/>
      <c r="V720" s="47"/>
      <c r="W720" s="47"/>
      <c r="X720" s="47"/>
      <c r="Y720" s="47"/>
      <c r="Z720" s="47"/>
    </row>
    <row r="721">
      <c r="A721" s="57"/>
      <c r="B721" s="58"/>
      <c r="C721" s="58"/>
      <c r="D721" s="58"/>
      <c r="E721" s="47"/>
      <c r="F721" s="47"/>
      <c r="G721" s="47"/>
      <c r="H721" s="47"/>
      <c r="I721" s="47"/>
      <c r="J721" s="47"/>
      <c r="K721" s="47"/>
      <c r="L721" s="47"/>
      <c r="M721" s="47"/>
      <c r="N721" s="47"/>
      <c r="O721" s="47"/>
      <c r="P721" s="47"/>
      <c r="Q721" s="47"/>
      <c r="R721" s="47"/>
      <c r="S721" s="47"/>
      <c r="T721" s="47"/>
      <c r="U721" s="47"/>
      <c r="V721" s="47"/>
      <c r="W721" s="47"/>
      <c r="X721" s="47"/>
      <c r="Y721" s="47"/>
      <c r="Z721" s="47"/>
    </row>
    <row r="722">
      <c r="A722" s="57"/>
      <c r="B722" s="58"/>
      <c r="C722" s="58"/>
      <c r="D722" s="58"/>
      <c r="E722" s="47"/>
      <c r="F722" s="47"/>
      <c r="G722" s="47"/>
      <c r="H722" s="47"/>
      <c r="I722" s="47"/>
      <c r="J722" s="47"/>
      <c r="K722" s="47"/>
      <c r="L722" s="47"/>
      <c r="M722" s="47"/>
      <c r="N722" s="47"/>
      <c r="O722" s="47"/>
      <c r="P722" s="47"/>
      <c r="Q722" s="47"/>
      <c r="R722" s="47"/>
      <c r="S722" s="47"/>
      <c r="T722" s="47"/>
      <c r="U722" s="47"/>
      <c r="V722" s="47"/>
      <c r="W722" s="47"/>
      <c r="X722" s="47"/>
      <c r="Y722" s="47"/>
      <c r="Z722" s="47"/>
    </row>
    <row r="723">
      <c r="A723" s="57"/>
      <c r="B723" s="58"/>
      <c r="C723" s="58"/>
      <c r="D723" s="58"/>
      <c r="E723" s="47"/>
      <c r="F723" s="47"/>
      <c r="G723" s="47"/>
      <c r="H723" s="47"/>
      <c r="I723" s="47"/>
      <c r="J723" s="47"/>
      <c r="K723" s="47"/>
      <c r="L723" s="47"/>
      <c r="M723" s="47"/>
      <c r="N723" s="47"/>
      <c r="O723" s="47"/>
      <c r="P723" s="47"/>
      <c r="Q723" s="47"/>
      <c r="R723" s="47"/>
      <c r="S723" s="47"/>
      <c r="T723" s="47"/>
      <c r="U723" s="47"/>
      <c r="V723" s="47"/>
      <c r="W723" s="47"/>
      <c r="X723" s="47"/>
      <c r="Y723" s="47"/>
      <c r="Z723" s="47"/>
    </row>
    <row r="724">
      <c r="A724" s="57"/>
      <c r="B724" s="58"/>
      <c r="C724" s="58"/>
      <c r="D724" s="58"/>
      <c r="E724" s="47"/>
      <c r="F724" s="47"/>
      <c r="G724" s="47"/>
      <c r="H724" s="47"/>
      <c r="I724" s="47"/>
      <c r="J724" s="47"/>
      <c r="K724" s="47"/>
      <c r="L724" s="47"/>
      <c r="M724" s="47"/>
      <c r="N724" s="47"/>
      <c r="O724" s="47"/>
      <c r="P724" s="47"/>
      <c r="Q724" s="47"/>
      <c r="R724" s="47"/>
      <c r="S724" s="47"/>
      <c r="T724" s="47"/>
      <c r="U724" s="47"/>
      <c r="V724" s="47"/>
      <c r="W724" s="47"/>
      <c r="X724" s="47"/>
      <c r="Y724" s="47"/>
      <c r="Z724" s="47"/>
    </row>
    <row r="725">
      <c r="A725" s="57"/>
      <c r="B725" s="58"/>
      <c r="C725" s="58"/>
      <c r="D725" s="58"/>
      <c r="E725" s="47"/>
      <c r="F725" s="47"/>
      <c r="G725" s="47"/>
      <c r="H725" s="47"/>
      <c r="I725" s="47"/>
      <c r="J725" s="47"/>
      <c r="K725" s="47"/>
      <c r="L725" s="47"/>
      <c r="M725" s="47"/>
      <c r="N725" s="47"/>
      <c r="O725" s="47"/>
      <c r="P725" s="47"/>
      <c r="Q725" s="47"/>
      <c r="R725" s="47"/>
      <c r="S725" s="47"/>
      <c r="T725" s="47"/>
      <c r="U725" s="47"/>
      <c r="V725" s="47"/>
      <c r="W725" s="47"/>
      <c r="X725" s="47"/>
      <c r="Y725" s="47"/>
      <c r="Z725" s="47"/>
    </row>
    <row r="726">
      <c r="A726" s="57"/>
      <c r="B726" s="58"/>
      <c r="C726" s="58"/>
      <c r="D726" s="58"/>
      <c r="E726" s="47"/>
      <c r="F726" s="47"/>
      <c r="G726" s="47"/>
      <c r="H726" s="47"/>
      <c r="I726" s="47"/>
      <c r="J726" s="47"/>
      <c r="K726" s="47"/>
      <c r="L726" s="47"/>
      <c r="M726" s="47"/>
      <c r="N726" s="47"/>
      <c r="O726" s="47"/>
      <c r="P726" s="47"/>
      <c r="Q726" s="47"/>
      <c r="R726" s="47"/>
      <c r="S726" s="47"/>
      <c r="T726" s="47"/>
      <c r="U726" s="47"/>
      <c r="V726" s="47"/>
      <c r="W726" s="47"/>
      <c r="X726" s="47"/>
      <c r="Y726" s="47"/>
      <c r="Z726" s="47"/>
    </row>
    <row r="727">
      <c r="A727" s="57"/>
      <c r="B727" s="58"/>
      <c r="C727" s="58"/>
      <c r="D727" s="58"/>
      <c r="E727" s="47"/>
      <c r="F727" s="47"/>
      <c r="G727" s="47"/>
      <c r="H727" s="47"/>
      <c r="I727" s="47"/>
      <c r="J727" s="47"/>
      <c r="K727" s="47"/>
      <c r="L727" s="47"/>
      <c r="M727" s="47"/>
      <c r="N727" s="47"/>
      <c r="O727" s="47"/>
      <c r="P727" s="47"/>
      <c r="Q727" s="47"/>
      <c r="R727" s="47"/>
      <c r="S727" s="47"/>
      <c r="T727" s="47"/>
      <c r="U727" s="47"/>
      <c r="V727" s="47"/>
      <c r="W727" s="47"/>
      <c r="X727" s="47"/>
      <c r="Y727" s="47"/>
      <c r="Z727" s="47"/>
    </row>
    <row r="728">
      <c r="A728" s="57"/>
      <c r="B728" s="58"/>
      <c r="C728" s="58"/>
      <c r="D728" s="58"/>
      <c r="E728" s="47"/>
      <c r="F728" s="47"/>
      <c r="G728" s="47"/>
      <c r="H728" s="47"/>
      <c r="I728" s="47"/>
      <c r="J728" s="47"/>
      <c r="K728" s="47"/>
      <c r="L728" s="47"/>
      <c r="M728" s="47"/>
      <c r="N728" s="47"/>
      <c r="O728" s="47"/>
      <c r="P728" s="47"/>
      <c r="Q728" s="47"/>
      <c r="R728" s="47"/>
      <c r="S728" s="47"/>
      <c r="T728" s="47"/>
      <c r="U728" s="47"/>
      <c r="V728" s="47"/>
      <c r="W728" s="47"/>
      <c r="X728" s="47"/>
      <c r="Y728" s="47"/>
      <c r="Z728" s="47"/>
    </row>
    <row r="729">
      <c r="A729" s="57"/>
      <c r="B729" s="58"/>
      <c r="C729" s="58"/>
      <c r="D729" s="58"/>
      <c r="E729" s="47"/>
      <c r="F729" s="47"/>
      <c r="G729" s="47"/>
      <c r="H729" s="47"/>
      <c r="I729" s="47"/>
      <c r="J729" s="47"/>
      <c r="K729" s="47"/>
      <c r="L729" s="47"/>
      <c r="M729" s="47"/>
      <c r="N729" s="47"/>
      <c r="O729" s="47"/>
      <c r="P729" s="47"/>
      <c r="Q729" s="47"/>
      <c r="R729" s="47"/>
      <c r="S729" s="47"/>
      <c r="T729" s="47"/>
      <c r="U729" s="47"/>
      <c r="V729" s="47"/>
      <c r="W729" s="47"/>
      <c r="X729" s="47"/>
      <c r="Y729" s="47"/>
      <c r="Z729" s="47"/>
    </row>
    <row r="730">
      <c r="A730" s="57"/>
      <c r="B730" s="58"/>
      <c r="C730" s="58"/>
      <c r="D730" s="58"/>
      <c r="E730" s="47"/>
      <c r="F730" s="47"/>
      <c r="G730" s="47"/>
      <c r="H730" s="47"/>
      <c r="I730" s="47"/>
      <c r="J730" s="47"/>
      <c r="K730" s="47"/>
      <c r="L730" s="47"/>
      <c r="M730" s="47"/>
      <c r="N730" s="47"/>
      <c r="O730" s="47"/>
      <c r="P730" s="47"/>
      <c r="Q730" s="47"/>
      <c r="R730" s="47"/>
      <c r="S730" s="47"/>
      <c r="T730" s="47"/>
      <c r="U730" s="47"/>
      <c r="V730" s="47"/>
      <c r="W730" s="47"/>
      <c r="X730" s="47"/>
      <c r="Y730" s="47"/>
      <c r="Z730" s="47"/>
    </row>
    <row r="731">
      <c r="A731" s="57"/>
      <c r="B731" s="58"/>
      <c r="C731" s="58"/>
      <c r="D731" s="58"/>
      <c r="E731" s="47"/>
      <c r="F731" s="47"/>
      <c r="G731" s="47"/>
      <c r="H731" s="47"/>
      <c r="I731" s="47"/>
      <c r="J731" s="47"/>
      <c r="K731" s="47"/>
      <c r="L731" s="47"/>
      <c r="M731" s="47"/>
      <c r="N731" s="47"/>
      <c r="O731" s="47"/>
      <c r="P731" s="47"/>
      <c r="Q731" s="47"/>
      <c r="R731" s="47"/>
      <c r="S731" s="47"/>
      <c r="T731" s="47"/>
      <c r="U731" s="47"/>
      <c r="V731" s="47"/>
      <c r="W731" s="47"/>
      <c r="X731" s="47"/>
      <c r="Y731" s="47"/>
      <c r="Z731" s="47"/>
    </row>
    <row r="732">
      <c r="A732" s="57"/>
      <c r="B732" s="58"/>
      <c r="C732" s="58"/>
      <c r="D732" s="58"/>
      <c r="E732" s="47"/>
      <c r="F732" s="47"/>
      <c r="G732" s="47"/>
      <c r="H732" s="47"/>
      <c r="I732" s="47"/>
      <c r="J732" s="47"/>
      <c r="K732" s="47"/>
      <c r="L732" s="47"/>
      <c r="M732" s="47"/>
      <c r="N732" s="47"/>
      <c r="O732" s="47"/>
      <c r="P732" s="47"/>
      <c r="Q732" s="47"/>
      <c r="R732" s="47"/>
      <c r="S732" s="47"/>
      <c r="T732" s="47"/>
      <c r="U732" s="47"/>
      <c r="V732" s="47"/>
      <c r="W732" s="47"/>
      <c r="X732" s="47"/>
      <c r="Y732" s="47"/>
      <c r="Z732" s="47"/>
    </row>
    <row r="733">
      <c r="A733" s="57"/>
      <c r="B733" s="58"/>
      <c r="C733" s="58"/>
      <c r="D733" s="58"/>
      <c r="E733" s="47"/>
      <c r="F733" s="47"/>
      <c r="G733" s="47"/>
      <c r="H733" s="47"/>
      <c r="I733" s="47"/>
      <c r="J733" s="47"/>
      <c r="K733" s="47"/>
      <c r="L733" s="47"/>
      <c r="M733" s="47"/>
      <c r="N733" s="47"/>
      <c r="O733" s="47"/>
      <c r="P733" s="47"/>
      <c r="Q733" s="47"/>
      <c r="R733" s="47"/>
      <c r="S733" s="47"/>
      <c r="T733" s="47"/>
      <c r="U733" s="47"/>
      <c r="V733" s="47"/>
      <c r="W733" s="47"/>
      <c r="X733" s="47"/>
      <c r="Y733" s="47"/>
      <c r="Z733" s="47"/>
    </row>
    <row r="734">
      <c r="A734" s="57"/>
      <c r="B734" s="58"/>
      <c r="C734" s="58"/>
      <c r="D734" s="58"/>
      <c r="E734" s="47"/>
      <c r="F734" s="47"/>
      <c r="G734" s="47"/>
      <c r="H734" s="47"/>
      <c r="I734" s="47"/>
      <c r="J734" s="47"/>
      <c r="K734" s="47"/>
      <c r="L734" s="47"/>
      <c r="M734" s="47"/>
      <c r="N734" s="47"/>
      <c r="O734" s="47"/>
      <c r="P734" s="47"/>
      <c r="Q734" s="47"/>
      <c r="R734" s="47"/>
      <c r="S734" s="47"/>
      <c r="T734" s="47"/>
      <c r="U734" s="47"/>
      <c r="V734" s="47"/>
      <c r="W734" s="47"/>
      <c r="X734" s="47"/>
      <c r="Y734" s="47"/>
      <c r="Z734" s="47"/>
    </row>
    <row r="735">
      <c r="A735" s="57"/>
      <c r="B735" s="58"/>
      <c r="C735" s="58"/>
      <c r="D735" s="58"/>
      <c r="E735" s="47"/>
      <c r="F735" s="47"/>
      <c r="G735" s="47"/>
      <c r="H735" s="47"/>
      <c r="I735" s="47"/>
      <c r="J735" s="47"/>
      <c r="K735" s="47"/>
      <c r="L735" s="47"/>
      <c r="M735" s="47"/>
      <c r="N735" s="47"/>
      <c r="O735" s="47"/>
      <c r="P735" s="47"/>
      <c r="Q735" s="47"/>
      <c r="R735" s="47"/>
      <c r="S735" s="47"/>
      <c r="T735" s="47"/>
      <c r="U735" s="47"/>
      <c r="V735" s="47"/>
      <c r="W735" s="47"/>
      <c r="X735" s="47"/>
      <c r="Y735" s="47"/>
      <c r="Z735" s="47"/>
    </row>
    <row r="736">
      <c r="A736" s="57"/>
      <c r="B736" s="58"/>
      <c r="C736" s="58"/>
      <c r="D736" s="58"/>
      <c r="E736" s="47"/>
      <c r="F736" s="47"/>
      <c r="G736" s="47"/>
      <c r="H736" s="47"/>
      <c r="I736" s="47"/>
      <c r="J736" s="47"/>
      <c r="K736" s="47"/>
      <c r="L736" s="47"/>
      <c r="M736" s="47"/>
      <c r="N736" s="47"/>
      <c r="O736" s="47"/>
      <c r="P736" s="47"/>
      <c r="Q736" s="47"/>
      <c r="R736" s="47"/>
      <c r="S736" s="47"/>
      <c r="T736" s="47"/>
      <c r="U736" s="47"/>
      <c r="V736" s="47"/>
      <c r="W736" s="47"/>
      <c r="X736" s="47"/>
      <c r="Y736" s="47"/>
      <c r="Z736" s="47"/>
    </row>
    <row r="737">
      <c r="A737" s="57"/>
      <c r="B737" s="58"/>
      <c r="C737" s="58"/>
      <c r="D737" s="58"/>
      <c r="E737" s="47"/>
      <c r="F737" s="47"/>
      <c r="G737" s="47"/>
      <c r="H737" s="47"/>
      <c r="I737" s="47"/>
      <c r="J737" s="47"/>
      <c r="K737" s="47"/>
      <c r="L737" s="47"/>
      <c r="M737" s="47"/>
      <c r="N737" s="47"/>
      <c r="O737" s="47"/>
      <c r="P737" s="47"/>
      <c r="Q737" s="47"/>
      <c r="R737" s="47"/>
      <c r="S737" s="47"/>
      <c r="T737" s="47"/>
      <c r="U737" s="47"/>
      <c r="V737" s="47"/>
      <c r="W737" s="47"/>
      <c r="X737" s="47"/>
      <c r="Y737" s="47"/>
      <c r="Z737" s="47"/>
    </row>
    <row r="738">
      <c r="A738" s="57"/>
      <c r="B738" s="58"/>
      <c r="C738" s="58"/>
      <c r="D738" s="58"/>
      <c r="E738" s="47"/>
      <c r="F738" s="47"/>
      <c r="G738" s="47"/>
      <c r="H738" s="47"/>
      <c r="I738" s="47"/>
      <c r="J738" s="47"/>
      <c r="K738" s="47"/>
      <c r="L738" s="47"/>
      <c r="M738" s="47"/>
      <c r="N738" s="47"/>
      <c r="O738" s="47"/>
      <c r="P738" s="47"/>
      <c r="Q738" s="47"/>
      <c r="R738" s="47"/>
      <c r="S738" s="47"/>
      <c r="T738" s="47"/>
      <c r="U738" s="47"/>
      <c r="V738" s="47"/>
      <c r="W738" s="47"/>
      <c r="X738" s="47"/>
      <c r="Y738" s="47"/>
      <c r="Z738" s="47"/>
    </row>
    <row r="739">
      <c r="A739" s="57"/>
      <c r="B739" s="58"/>
      <c r="C739" s="58"/>
      <c r="D739" s="58"/>
      <c r="E739" s="47"/>
      <c r="F739" s="47"/>
      <c r="G739" s="47"/>
      <c r="H739" s="47"/>
      <c r="I739" s="47"/>
      <c r="J739" s="47"/>
      <c r="K739" s="47"/>
      <c r="L739" s="47"/>
      <c r="M739" s="47"/>
      <c r="N739" s="47"/>
      <c r="O739" s="47"/>
      <c r="P739" s="47"/>
      <c r="Q739" s="47"/>
      <c r="R739" s="47"/>
      <c r="S739" s="47"/>
      <c r="T739" s="47"/>
      <c r="U739" s="47"/>
      <c r="V739" s="47"/>
      <c r="W739" s="47"/>
      <c r="X739" s="47"/>
      <c r="Y739" s="47"/>
      <c r="Z739" s="47"/>
    </row>
    <row r="740">
      <c r="A740" s="57"/>
      <c r="B740" s="58"/>
      <c r="C740" s="58"/>
      <c r="D740" s="58"/>
      <c r="E740" s="47"/>
      <c r="F740" s="47"/>
      <c r="G740" s="47"/>
      <c r="H740" s="47"/>
      <c r="I740" s="47"/>
      <c r="J740" s="47"/>
      <c r="K740" s="47"/>
      <c r="L740" s="47"/>
      <c r="M740" s="47"/>
      <c r="N740" s="47"/>
      <c r="O740" s="47"/>
      <c r="P740" s="47"/>
      <c r="Q740" s="47"/>
      <c r="R740" s="47"/>
      <c r="S740" s="47"/>
      <c r="T740" s="47"/>
      <c r="U740" s="47"/>
      <c r="V740" s="47"/>
      <c r="W740" s="47"/>
      <c r="X740" s="47"/>
      <c r="Y740" s="47"/>
      <c r="Z740" s="47"/>
    </row>
    <row r="741">
      <c r="A741" s="57"/>
      <c r="B741" s="58"/>
      <c r="C741" s="58"/>
      <c r="D741" s="58"/>
      <c r="E741" s="47"/>
      <c r="F741" s="47"/>
      <c r="G741" s="47"/>
      <c r="H741" s="47"/>
      <c r="I741" s="47"/>
      <c r="J741" s="47"/>
      <c r="K741" s="47"/>
      <c r="L741" s="47"/>
      <c r="M741" s="47"/>
      <c r="N741" s="47"/>
      <c r="O741" s="47"/>
      <c r="P741" s="47"/>
      <c r="Q741" s="47"/>
      <c r="R741" s="47"/>
      <c r="S741" s="47"/>
      <c r="T741" s="47"/>
      <c r="U741" s="47"/>
      <c r="V741" s="47"/>
      <c r="W741" s="47"/>
      <c r="X741" s="47"/>
      <c r="Y741" s="47"/>
      <c r="Z741" s="47"/>
    </row>
    <row r="742">
      <c r="A742" s="57"/>
      <c r="B742" s="58"/>
      <c r="C742" s="58"/>
      <c r="D742" s="58"/>
      <c r="E742" s="47"/>
      <c r="F742" s="47"/>
      <c r="G742" s="47"/>
      <c r="H742" s="47"/>
      <c r="I742" s="47"/>
      <c r="J742" s="47"/>
      <c r="K742" s="47"/>
      <c r="L742" s="47"/>
      <c r="M742" s="47"/>
      <c r="N742" s="47"/>
      <c r="O742" s="47"/>
      <c r="P742" s="47"/>
      <c r="Q742" s="47"/>
      <c r="R742" s="47"/>
      <c r="S742" s="47"/>
      <c r="T742" s="47"/>
      <c r="U742" s="47"/>
      <c r="V742" s="47"/>
      <c r="W742" s="47"/>
      <c r="X742" s="47"/>
      <c r="Y742" s="47"/>
      <c r="Z742" s="47"/>
    </row>
    <row r="743">
      <c r="A743" s="57"/>
      <c r="B743" s="58"/>
      <c r="C743" s="58"/>
      <c r="D743" s="58"/>
      <c r="E743" s="47"/>
      <c r="F743" s="47"/>
      <c r="G743" s="47"/>
      <c r="H743" s="47"/>
      <c r="I743" s="47"/>
      <c r="J743" s="47"/>
      <c r="K743" s="47"/>
      <c r="L743" s="47"/>
      <c r="M743" s="47"/>
      <c r="N743" s="47"/>
      <c r="O743" s="47"/>
      <c r="P743" s="47"/>
      <c r="Q743" s="47"/>
      <c r="R743" s="47"/>
      <c r="S743" s="47"/>
      <c r="T743" s="47"/>
      <c r="U743" s="47"/>
      <c r="V743" s="47"/>
      <c r="W743" s="47"/>
      <c r="X743" s="47"/>
      <c r="Y743" s="47"/>
      <c r="Z743" s="47"/>
    </row>
    <row r="744">
      <c r="A744" s="57"/>
      <c r="B744" s="58"/>
      <c r="C744" s="58"/>
      <c r="D744" s="58"/>
      <c r="E744" s="47"/>
      <c r="F744" s="47"/>
      <c r="G744" s="47"/>
      <c r="H744" s="47"/>
      <c r="I744" s="47"/>
      <c r="J744" s="47"/>
      <c r="K744" s="47"/>
      <c r="L744" s="47"/>
      <c r="M744" s="47"/>
      <c r="N744" s="47"/>
      <c r="O744" s="47"/>
      <c r="P744" s="47"/>
      <c r="Q744" s="47"/>
      <c r="R744" s="47"/>
      <c r="S744" s="47"/>
      <c r="T744" s="47"/>
      <c r="U744" s="47"/>
      <c r="V744" s="47"/>
      <c r="W744" s="47"/>
      <c r="X744" s="47"/>
      <c r="Y744" s="47"/>
      <c r="Z744" s="47"/>
    </row>
    <row r="745">
      <c r="A745" s="57"/>
      <c r="B745" s="58"/>
      <c r="C745" s="58"/>
      <c r="D745" s="58"/>
      <c r="E745" s="47"/>
      <c r="F745" s="47"/>
      <c r="G745" s="47"/>
      <c r="H745" s="47"/>
      <c r="I745" s="47"/>
      <c r="J745" s="47"/>
      <c r="K745" s="47"/>
      <c r="L745" s="47"/>
      <c r="M745" s="47"/>
      <c r="N745" s="47"/>
      <c r="O745" s="47"/>
      <c r="P745" s="47"/>
      <c r="Q745" s="47"/>
      <c r="R745" s="47"/>
      <c r="S745" s="47"/>
      <c r="T745" s="47"/>
      <c r="U745" s="47"/>
      <c r="V745" s="47"/>
      <c r="W745" s="47"/>
      <c r="X745" s="47"/>
      <c r="Y745" s="47"/>
      <c r="Z745" s="47"/>
    </row>
    <row r="746">
      <c r="A746" s="57"/>
      <c r="B746" s="58"/>
      <c r="C746" s="58"/>
      <c r="D746" s="58"/>
      <c r="E746" s="47"/>
      <c r="F746" s="47"/>
      <c r="G746" s="47"/>
      <c r="H746" s="47"/>
      <c r="I746" s="47"/>
      <c r="J746" s="47"/>
      <c r="K746" s="47"/>
      <c r="L746" s="47"/>
      <c r="M746" s="47"/>
      <c r="N746" s="47"/>
      <c r="O746" s="47"/>
      <c r="P746" s="47"/>
      <c r="Q746" s="47"/>
      <c r="R746" s="47"/>
      <c r="S746" s="47"/>
      <c r="T746" s="47"/>
      <c r="U746" s="47"/>
      <c r="V746" s="47"/>
      <c r="W746" s="47"/>
      <c r="X746" s="47"/>
      <c r="Y746" s="47"/>
      <c r="Z746" s="47"/>
    </row>
    <row r="747">
      <c r="A747" s="57"/>
      <c r="B747" s="58"/>
      <c r="C747" s="58"/>
      <c r="D747" s="58"/>
      <c r="E747" s="47"/>
      <c r="F747" s="47"/>
      <c r="G747" s="47"/>
      <c r="H747" s="47"/>
      <c r="I747" s="47"/>
      <c r="J747" s="47"/>
      <c r="K747" s="47"/>
      <c r="L747" s="47"/>
      <c r="M747" s="47"/>
      <c r="N747" s="47"/>
      <c r="O747" s="47"/>
      <c r="P747" s="47"/>
      <c r="Q747" s="47"/>
      <c r="R747" s="47"/>
      <c r="S747" s="47"/>
      <c r="T747" s="47"/>
      <c r="U747" s="47"/>
      <c r="V747" s="47"/>
      <c r="W747" s="47"/>
      <c r="X747" s="47"/>
      <c r="Y747" s="47"/>
      <c r="Z747" s="47"/>
    </row>
    <row r="748">
      <c r="A748" s="57"/>
      <c r="B748" s="58"/>
      <c r="C748" s="58"/>
      <c r="D748" s="58"/>
      <c r="E748" s="47"/>
      <c r="F748" s="47"/>
      <c r="G748" s="47"/>
      <c r="H748" s="47"/>
      <c r="I748" s="47"/>
      <c r="J748" s="47"/>
      <c r="K748" s="47"/>
      <c r="L748" s="47"/>
      <c r="M748" s="47"/>
      <c r="N748" s="47"/>
      <c r="O748" s="47"/>
      <c r="P748" s="47"/>
      <c r="Q748" s="47"/>
      <c r="R748" s="47"/>
      <c r="S748" s="47"/>
      <c r="T748" s="47"/>
      <c r="U748" s="47"/>
      <c r="V748" s="47"/>
      <c r="W748" s="47"/>
      <c r="X748" s="47"/>
      <c r="Y748" s="47"/>
      <c r="Z748" s="47"/>
    </row>
    <row r="749">
      <c r="A749" s="57"/>
      <c r="B749" s="58"/>
      <c r="C749" s="58"/>
      <c r="D749" s="58"/>
      <c r="E749" s="47"/>
      <c r="F749" s="47"/>
      <c r="G749" s="47"/>
      <c r="H749" s="47"/>
      <c r="I749" s="47"/>
      <c r="J749" s="47"/>
      <c r="K749" s="47"/>
      <c r="L749" s="47"/>
      <c r="M749" s="47"/>
      <c r="N749" s="47"/>
      <c r="O749" s="47"/>
      <c r="P749" s="47"/>
      <c r="Q749" s="47"/>
      <c r="R749" s="47"/>
      <c r="S749" s="47"/>
      <c r="T749" s="47"/>
      <c r="U749" s="47"/>
      <c r="V749" s="47"/>
      <c r="W749" s="47"/>
      <c r="X749" s="47"/>
      <c r="Y749" s="47"/>
      <c r="Z749" s="47"/>
    </row>
    <row r="750">
      <c r="A750" s="57"/>
      <c r="B750" s="58"/>
      <c r="C750" s="58"/>
      <c r="D750" s="58"/>
      <c r="E750" s="47"/>
      <c r="F750" s="47"/>
      <c r="G750" s="47"/>
      <c r="H750" s="47"/>
      <c r="I750" s="47"/>
      <c r="J750" s="47"/>
      <c r="K750" s="47"/>
      <c r="L750" s="47"/>
      <c r="M750" s="47"/>
      <c r="N750" s="47"/>
      <c r="O750" s="47"/>
      <c r="P750" s="47"/>
      <c r="Q750" s="47"/>
      <c r="R750" s="47"/>
      <c r="S750" s="47"/>
      <c r="T750" s="47"/>
      <c r="U750" s="47"/>
      <c r="V750" s="47"/>
      <c r="W750" s="47"/>
      <c r="X750" s="47"/>
      <c r="Y750" s="47"/>
      <c r="Z750" s="47"/>
    </row>
    <row r="751">
      <c r="A751" s="57"/>
      <c r="B751" s="58"/>
      <c r="C751" s="58"/>
      <c r="D751" s="58"/>
      <c r="E751" s="47"/>
      <c r="F751" s="47"/>
      <c r="G751" s="47"/>
      <c r="H751" s="47"/>
      <c r="I751" s="47"/>
      <c r="J751" s="47"/>
      <c r="K751" s="47"/>
      <c r="L751" s="47"/>
      <c r="M751" s="47"/>
      <c r="N751" s="47"/>
      <c r="O751" s="47"/>
      <c r="P751" s="47"/>
      <c r="Q751" s="47"/>
      <c r="R751" s="47"/>
      <c r="S751" s="47"/>
      <c r="T751" s="47"/>
      <c r="U751" s="47"/>
      <c r="V751" s="47"/>
      <c r="W751" s="47"/>
      <c r="X751" s="47"/>
      <c r="Y751" s="47"/>
      <c r="Z751" s="47"/>
    </row>
    <row r="752">
      <c r="A752" s="57"/>
      <c r="B752" s="58"/>
      <c r="C752" s="58"/>
      <c r="D752" s="58"/>
      <c r="E752" s="47"/>
      <c r="F752" s="47"/>
      <c r="G752" s="47"/>
      <c r="H752" s="47"/>
      <c r="I752" s="47"/>
      <c r="J752" s="47"/>
      <c r="K752" s="47"/>
      <c r="L752" s="47"/>
      <c r="M752" s="47"/>
      <c r="N752" s="47"/>
      <c r="O752" s="47"/>
      <c r="P752" s="47"/>
      <c r="Q752" s="47"/>
      <c r="R752" s="47"/>
      <c r="S752" s="47"/>
      <c r="T752" s="47"/>
      <c r="U752" s="47"/>
      <c r="V752" s="47"/>
      <c r="W752" s="47"/>
      <c r="X752" s="47"/>
      <c r="Y752" s="47"/>
      <c r="Z752" s="47"/>
    </row>
    <row r="753">
      <c r="A753" s="57"/>
      <c r="B753" s="58"/>
      <c r="C753" s="58"/>
      <c r="D753" s="58"/>
      <c r="E753" s="47"/>
      <c r="F753" s="47"/>
      <c r="G753" s="47"/>
      <c r="H753" s="47"/>
      <c r="I753" s="47"/>
      <c r="J753" s="47"/>
      <c r="K753" s="47"/>
      <c r="L753" s="47"/>
      <c r="M753" s="47"/>
      <c r="N753" s="47"/>
      <c r="O753" s="47"/>
      <c r="P753" s="47"/>
      <c r="Q753" s="47"/>
      <c r="R753" s="47"/>
      <c r="S753" s="47"/>
      <c r="T753" s="47"/>
      <c r="U753" s="47"/>
      <c r="V753" s="47"/>
      <c r="W753" s="47"/>
      <c r="X753" s="47"/>
      <c r="Y753" s="47"/>
      <c r="Z753" s="47"/>
    </row>
    <row r="754">
      <c r="A754" s="57"/>
      <c r="B754" s="58"/>
      <c r="C754" s="58"/>
      <c r="D754" s="58"/>
      <c r="E754" s="47"/>
      <c r="F754" s="47"/>
      <c r="G754" s="47"/>
      <c r="H754" s="47"/>
      <c r="I754" s="47"/>
      <c r="J754" s="47"/>
      <c r="K754" s="47"/>
      <c r="L754" s="47"/>
      <c r="M754" s="47"/>
      <c r="N754" s="47"/>
      <c r="O754" s="47"/>
      <c r="P754" s="47"/>
      <c r="Q754" s="47"/>
      <c r="R754" s="47"/>
      <c r="S754" s="47"/>
      <c r="T754" s="47"/>
      <c r="U754" s="47"/>
      <c r="V754" s="47"/>
      <c r="W754" s="47"/>
      <c r="X754" s="47"/>
      <c r="Y754" s="47"/>
      <c r="Z754" s="47"/>
    </row>
    <row r="755">
      <c r="A755" s="57"/>
      <c r="B755" s="58"/>
      <c r="C755" s="58"/>
      <c r="D755" s="58"/>
      <c r="E755" s="47"/>
      <c r="F755" s="47"/>
      <c r="G755" s="47"/>
      <c r="H755" s="47"/>
      <c r="I755" s="47"/>
      <c r="J755" s="47"/>
      <c r="K755" s="47"/>
      <c r="L755" s="47"/>
      <c r="M755" s="47"/>
      <c r="N755" s="47"/>
      <c r="O755" s="47"/>
      <c r="P755" s="47"/>
      <c r="Q755" s="47"/>
      <c r="R755" s="47"/>
      <c r="S755" s="47"/>
      <c r="T755" s="47"/>
      <c r="U755" s="47"/>
      <c r="V755" s="47"/>
      <c r="W755" s="47"/>
      <c r="X755" s="47"/>
      <c r="Y755" s="47"/>
      <c r="Z755" s="47"/>
    </row>
    <row r="756">
      <c r="A756" s="57"/>
      <c r="B756" s="58"/>
      <c r="C756" s="58"/>
      <c r="D756" s="58"/>
      <c r="E756" s="47"/>
      <c r="F756" s="47"/>
      <c r="G756" s="47"/>
      <c r="H756" s="47"/>
      <c r="I756" s="47"/>
      <c r="J756" s="47"/>
      <c r="K756" s="47"/>
      <c r="L756" s="47"/>
      <c r="M756" s="47"/>
      <c r="N756" s="47"/>
      <c r="O756" s="47"/>
      <c r="P756" s="47"/>
      <c r="Q756" s="47"/>
      <c r="R756" s="47"/>
      <c r="S756" s="47"/>
      <c r="T756" s="47"/>
      <c r="U756" s="47"/>
      <c r="V756" s="47"/>
      <c r="W756" s="47"/>
      <c r="X756" s="47"/>
      <c r="Y756" s="47"/>
      <c r="Z756" s="47"/>
    </row>
    <row r="757">
      <c r="A757" s="57"/>
      <c r="B757" s="58"/>
      <c r="C757" s="58"/>
      <c r="D757" s="58"/>
      <c r="E757" s="47"/>
      <c r="F757" s="47"/>
      <c r="G757" s="47"/>
      <c r="H757" s="47"/>
      <c r="I757" s="47"/>
      <c r="J757" s="47"/>
      <c r="K757" s="47"/>
      <c r="L757" s="47"/>
      <c r="M757" s="47"/>
      <c r="N757" s="47"/>
      <c r="O757" s="47"/>
      <c r="P757" s="47"/>
      <c r="Q757" s="47"/>
      <c r="R757" s="47"/>
      <c r="S757" s="47"/>
      <c r="T757" s="47"/>
      <c r="U757" s="47"/>
      <c r="V757" s="47"/>
      <c r="W757" s="47"/>
      <c r="X757" s="47"/>
      <c r="Y757" s="47"/>
      <c r="Z757" s="47"/>
    </row>
    <row r="758">
      <c r="A758" s="57"/>
      <c r="B758" s="58"/>
      <c r="C758" s="58"/>
      <c r="D758" s="58"/>
      <c r="E758" s="47"/>
      <c r="F758" s="47"/>
      <c r="G758" s="47"/>
      <c r="H758" s="47"/>
      <c r="I758" s="47"/>
      <c r="J758" s="47"/>
      <c r="K758" s="47"/>
      <c r="L758" s="47"/>
      <c r="M758" s="47"/>
      <c r="N758" s="47"/>
      <c r="O758" s="47"/>
      <c r="P758" s="47"/>
      <c r="Q758" s="47"/>
      <c r="R758" s="47"/>
      <c r="S758" s="47"/>
      <c r="T758" s="47"/>
      <c r="U758" s="47"/>
      <c r="V758" s="47"/>
      <c r="W758" s="47"/>
      <c r="X758" s="47"/>
      <c r="Y758" s="47"/>
      <c r="Z758" s="47"/>
    </row>
    <row r="759">
      <c r="A759" s="57"/>
      <c r="B759" s="58"/>
      <c r="C759" s="58"/>
      <c r="D759" s="58"/>
      <c r="E759" s="47"/>
      <c r="F759" s="47"/>
      <c r="G759" s="47"/>
      <c r="H759" s="47"/>
      <c r="I759" s="47"/>
      <c r="J759" s="47"/>
      <c r="K759" s="47"/>
      <c r="L759" s="47"/>
      <c r="M759" s="47"/>
      <c r="N759" s="47"/>
      <c r="O759" s="47"/>
      <c r="P759" s="47"/>
      <c r="Q759" s="47"/>
      <c r="R759" s="47"/>
      <c r="S759" s="47"/>
      <c r="T759" s="47"/>
      <c r="U759" s="47"/>
      <c r="V759" s="47"/>
      <c r="W759" s="47"/>
      <c r="X759" s="47"/>
      <c r="Y759" s="47"/>
      <c r="Z759" s="47"/>
    </row>
    <row r="760">
      <c r="A760" s="57"/>
      <c r="B760" s="58"/>
      <c r="C760" s="58"/>
      <c r="D760" s="58"/>
      <c r="E760" s="47"/>
      <c r="F760" s="47"/>
      <c r="G760" s="47"/>
      <c r="H760" s="47"/>
      <c r="I760" s="47"/>
      <c r="J760" s="47"/>
      <c r="K760" s="47"/>
      <c r="L760" s="47"/>
      <c r="M760" s="47"/>
      <c r="N760" s="47"/>
      <c r="O760" s="47"/>
      <c r="P760" s="47"/>
      <c r="Q760" s="47"/>
      <c r="R760" s="47"/>
      <c r="S760" s="47"/>
      <c r="T760" s="47"/>
      <c r="U760" s="47"/>
      <c r="V760" s="47"/>
      <c r="W760" s="47"/>
      <c r="X760" s="47"/>
      <c r="Y760" s="47"/>
      <c r="Z760" s="47"/>
    </row>
    <row r="761">
      <c r="A761" s="57"/>
      <c r="B761" s="58"/>
      <c r="C761" s="58"/>
      <c r="D761" s="58"/>
      <c r="E761" s="47"/>
      <c r="F761" s="47"/>
      <c r="G761" s="47"/>
      <c r="H761" s="47"/>
      <c r="I761" s="47"/>
      <c r="J761" s="47"/>
      <c r="K761" s="47"/>
      <c r="L761" s="47"/>
      <c r="M761" s="47"/>
      <c r="N761" s="47"/>
      <c r="O761" s="47"/>
      <c r="P761" s="47"/>
      <c r="Q761" s="47"/>
      <c r="R761" s="47"/>
      <c r="S761" s="47"/>
      <c r="T761" s="47"/>
      <c r="U761" s="47"/>
      <c r="V761" s="47"/>
      <c r="W761" s="47"/>
      <c r="X761" s="47"/>
      <c r="Y761" s="47"/>
      <c r="Z761" s="47"/>
    </row>
    <row r="762">
      <c r="A762" s="57"/>
      <c r="B762" s="58"/>
      <c r="C762" s="58"/>
      <c r="D762" s="58"/>
      <c r="E762" s="47"/>
      <c r="F762" s="47"/>
      <c r="G762" s="47"/>
      <c r="H762" s="47"/>
      <c r="I762" s="47"/>
      <c r="J762" s="47"/>
      <c r="K762" s="47"/>
      <c r="L762" s="47"/>
      <c r="M762" s="47"/>
      <c r="N762" s="47"/>
      <c r="O762" s="47"/>
      <c r="P762" s="47"/>
      <c r="Q762" s="47"/>
      <c r="R762" s="47"/>
      <c r="S762" s="47"/>
      <c r="T762" s="47"/>
      <c r="U762" s="47"/>
      <c r="V762" s="47"/>
      <c r="W762" s="47"/>
      <c r="X762" s="47"/>
      <c r="Y762" s="47"/>
      <c r="Z762" s="47"/>
    </row>
    <row r="763">
      <c r="A763" s="57"/>
      <c r="B763" s="58"/>
      <c r="C763" s="58"/>
      <c r="D763" s="58"/>
      <c r="E763" s="47"/>
      <c r="F763" s="47"/>
      <c r="G763" s="47"/>
      <c r="H763" s="47"/>
      <c r="I763" s="47"/>
      <c r="J763" s="47"/>
      <c r="K763" s="47"/>
      <c r="L763" s="47"/>
      <c r="M763" s="47"/>
      <c r="N763" s="47"/>
      <c r="O763" s="47"/>
      <c r="P763" s="47"/>
      <c r="Q763" s="47"/>
      <c r="R763" s="47"/>
      <c r="S763" s="47"/>
      <c r="T763" s="47"/>
      <c r="U763" s="47"/>
      <c r="V763" s="47"/>
      <c r="W763" s="47"/>
      <c r="X763" s="47"/>
      <c r="Y763" s="47"/>
      <c r="Z763" s="47"/>
    </row>
    <row r="764">
      <c r="A764" s="57"/>
      <c r="B764" s="58"/>
      <c r="C764" s="58"/>
      <c r="D764" s="58"/>
      <c r="E764" s="47"/>
      <c r="F764" s="47"/>
      <c r="G764" s="47"/>
      <c r="H764" s="47"/>
      <c r="I764" s="47"/>
      <c r="J764" s="47"/>
      <c r="K764" s="47"/>
      <c r="L764" s="47"/>
      <c r="M764" s="47"/>
      <c r="N764" s="47"/>
      <c r="O764" s="47"/>
      <c r="P764" s="47"/>
      <c r="Q764" s="47"/>
      <c r="R764" s="47"/>
      <c r="S764" s="47"/>
      <c r="T764" s="47"/>
      <c r="U764" s="47"/>
      <c r="V764" s="47"/>
      <c r="W764" s="47"/>
      <c r="X764" s="47"/>
      <c r="Y764" s="47"/>
      <c r="Z764" s="47"/>
    </row>
    <row r="765">
      <c r="A765" s="57"/>
      <c r="B765" s="58"/>
      <c r="C765" s="58"/>
      <c r="D765" s="58"/>
      <c r="E765" s="47"/>
      <c r="F765" s="47"/>
      <c r="G765" s="47"/>
      <c r="H765" s="47"/>
      <c r="I765" s="47"/>
      <c r="J765" s="47"/>
      <c r="K765" s="47"/>
      <c r="L765" s="47"/>
      <c r="M765" s="47"/>
      <c r="N765" s="47"/>
      <c r="O765" s="47"/>
      <c r="P765" s="47"/>
      <c r="Q765" s="47"/>
      <c r="R765" s="47"/>
      <c r="S765" s="47"/>
      <c r="T765" s="47"/>
      <c r="U765" s="47"/>
      <c r="V765" s="47"/>
      <c r="W765" s="47"/>
      <c r="X765" s="47"/>
      <c r="Y765" s="47"/>
      <c r="Z765" s="47"/>
    </row>
    <row r="766">
      <c r="A766" s="57"/>
      <c r="B766" s="58"/>
      <c r="C766" s="58"/>
      <c r="D766" s="58"/>
      <c r="E766" s="47"/>
      <c r="F766" s="47"/>
      <c r="G766" s="47"/>
      <c r="H766" s="47"/>
      <c r="I766" s="47"/>
      <c r="J766" s="47"/>
      <c r="K766" s="47"/>
      <c r="L766" s="47"/>
      <c r="M766" s="47"/>
      <c r="N766" s="47"/>
      <c r="O766" s="47"/>
      <c r="P766" s="47"/>
      <c r="Q766" s="47"/>
      <c r="R766" s="47"/>
      <c r="S766" s="47"/>
      <c r="T766" s="47"/>
      <c r="U766" s="47"/>
      <c r="V766" s="47"/>
      <c r="W766" s="47"/>
      <c r="X766" s="47"/>
      <c r="Y766" s="47"/>
      <c r="Z766" s="47"/>
    </row>
    <row r="767">
      <c r="A767" s="57"/>
      <c r="B767" s="58"/>
      <c r="C767" s="58"/>
      <c r="D767" s="58"/>
      <c r="E767" s="47"/>
      <c r="F767" s="47"/>
      <c r="G767" s="47"/>
      <c r="H767" s="47"/>
      <c r="I767" s="47"/>
      <c r="J767" s="47"/>
      <c r="K767" s="47"/>
      <c r="L767" s="47"/>
      <c r="M767" s="47"/>
      <c r="N767" s="47"/>
      <c r="O767" s="47"/>
      <c r="P767" s="47"/>
      <c r="Q767" s="47"/>
      <c r="R767" s="47"/>
      <c r="S767" s="47"/>
      <c r="T767" s="47"/>
      <c r="U767" s="47"/>
      <c r="V767" s="47"/>
      <c r="W767" s="47"/>
      <c r="X767" s="47"/>
      <c r="Y767" s="47"/>
      <c r="Z767" s="47"/>
    </row>
    <row r="768">
      <c r="A768" s="57"/>
      <c r="B768" s="58"/>
      <c r="C768" s="58"/>
      <c r="D768" s="58"/>
      <c r="E768" s="47"/>
      <c r="F768" s="47"/>
      <c r="G768" s="47"/>
      <c r="H768" s="47"/>
      <c r="I768" s="47"/>
      <c r="J768" s="47"/>
      <c r="K768" s="47"/>
      <c r="L768" s="47"/>
      <c r="M768" s="47"/>
      <c r="N768" s="47"/>
      <c r="O768" s="47"/>
      <c r="P768" s="47"/>
      <c r="Q768" s="47"/>
      <c r="R768" s="47"/>
      <c r="S768" s="47"/>
      <c r="T768" s="47"/>
      <c r="U768" s="47"/>
      <c r="V768" s="47"/>
      <c r="W768" s="47"/>
      <c r="X768" s="47"/>
      <c r="Y768" s="47"/>
      <c r="Z768" s="47"/>
    </row>
    <row r="769">
      <c r="A769" s="57"/>
      <c r="B769" s="58"/>
      <c r="C769" s="58"/>
      <c r="D769" s="58"/>
      <c r="E769" s="47"/>
      <c r="F769" s="47"/>
      <c r="G769" s="47"/>
      <c r="H769" s="47"/>
      <c r="I769" s="47"/>
      <c r="J769" s="47"/>
      <c r="K769" s="47"/>
      <c r="L769" s="47"/>
      <c r="M769" s="47"/>
      <c r="N769" s="47"/>
      <c r="O769" s="47"/>
      <c r="P769" s="47"/>
      <c r="Q769" s="47"/>
      <c r="R769" s="47"/>
      <c r="S769" s="47"/>
      <c r="T769" s="47"/>
      <c r="U769" s="47"/>
      <c r="V769" s="47"/>
      <c r="W769" s="47"/>
      <c r="X769" s="47"/>
      <c r="Y769" s="47"/>
      <c r="Z769" s="47"/>
    </row>
    <row r="770">
      <c r="A770" s="57"/>
      <c r="B770" s="58"/>
      <c r="C770" s="58"/>
      <c r="D770" s="58"/>
      <c r="E770" s="47"/>
      <c r="F770" s="47"/>
      <c r="G770" s="47"/>
      <c r="H770" s="47"/>
      <c r="I770" s="47"/>
      <c r="J770" s="47"/>
      <c r="K770" s="47"/>
      <c r="L770" s="47"/>
      <c r="M770" s="47"/>
      <c r="N770" s="47"/>
      <c r="O770" s="47"/>
      <c r="P770" s="47"/>
      <c r="Q770" s="47"/>
      <c r="R770" s="47"/>
      <c r="S770" s="47"/>
      <c r="T770" s="47"/>
      <c r="U770" s="47"/>
      <c r="V770" s="47"/>
      <c r="W770" s="47"/>
      <c r="X770" s="47"/>
      <c r="Y770" s="47"/>
      <c r="Z770" s="47"/>
    </row>
    <row r="771">
      <c r="A771" s="57"/>
      <c r="B771" s="58"/>
      <c r="C771" s="58"/>
      <c r="D771" s="58"/>
      <c r="E771" s="47"/>
      <c r="F771" s="47"/>
      <c r="G771" s="47"/>
      <c r="H771" s="47"/>
      <c r="I771" s="47"/>
      <c r="J771" s="47"/>
      <c r="K771" s="47"/>
      <c r="L771" s="47"/>
      <c r="M771" s="47"/>
      <c r="N771" s="47"/>
      <c r="O771" s="47"/>
      <c r="P771" s="47"/>
      <c r="Q771" s="47"/>
      <c r="R771" s="47"/>
      <c r="S771" s="47"/>
      <c r="T771" s="47"/>
      <c r="U771" s="47"/>
      <c r="V771" s="47"/>
      <c r="W771" s="47"/>
      <c r="X771" s="47"/>
      <c r="Y771" s="47"/>
      <c r="Z771" s="47"/>
    </row>
    <row r="772">
      <c r="A772" s="57"/>
      <c r="B772" s="58"/>
      <c r="C772" s="58"/>
      <c r="D772" s="58"/>
      <c r="E772" s="47"/>
      <c r="F772" s="47"/>
      <c r="G772" s="47"/>
      <c r="H772" s="47"/>
      <c r="I772" s="47"/>
      <c r="J772" s="47"/>
      <c r="K772" s="47"/>
      <c r="L772" s="47"/>
      <c r="M772" s="47"/>
      <c r="N772" s="47"/>
      <c r="O772" s="47"/>
      <c r="P772" s="47"/>
      <c r="Q772" s="47"/>
      <c r="R772" s="47"/>
      <c r="S772" s="47"/>
      <c r="T772" s="47"/>
      <c r="U772" s="47"/>
      <c r="V772" s="47"/>
      <c r="W772" s="47"/>
      <c r="X772" s="47"/>
      <c r="Y772" s="47"/>
      <c r="Z772" s="47"/>
    </row>
    <row r="773">
      <c r="A773" s="57"/>
      <c r="B773" s="58"/>
      <c r="C773" s="58"/>
      <c r="D773" s="58"/>
      <c r="E773" s="47"/>
      <c r="F773" s="47"/>
      <c r="G773" s="47"/>
      <c r="H773" s="47"/>
      <c r="I773" s="47"/>
      <c r="J773" s="47"/>
      <c r="K773" s="47"/>
      <c r="L773" s="47"/>
      <c r="M773" s="47"/>
      <c r="N773" s="47"/>
      <c r="O773" s="47"/>
      <c r="P773" s="47"/>
      <c r="Q773" s="47"/>
      <c r="R773" s="47"/>
      <c r="S773" s="47"/>
      <c r="T773" s="47"/>
      <c r="U773" s="47"/>
      <c r="V773" s="47"/>
      <c r="W773" s="47"/>
      <c r="X773" s="47"/>
      <c r="Y773" s="47"/>
      <c r="Z773" s="47"/>
    </row>
    <row r="774">
      <c r="A774" s="57"/>
      <c r="B774" s="58"/>
      <c r="C774" s="58"/>
      <c r="D774" s="58"/>
      <c r="E774" s="47"/>
      <c r="F774" s="47"/>
      <c r="G774" s="47"/>
      <c r="H774" s="47"/>
      <c r="I774" s="47"/>
      <c r="J774" s="47"/>
      <c r="K774" s="47"/>
      <c r="L774" s="47"/>
      <c r="M774" s="47"/>
      <c r="N774" s="47"/>
      <c r="O774" s="47"/>
      <c r="P774" s="47"/>
      <c r="Q774" s="47"/>
      <c r="R774" s="47"/>
      <c r="S774" s="47"/>
      <c r="T774" s="47"/>
      <c r="U774" s="47"/>
      <c r="V774" s="47"/>
      <c r="W774" s="47"/>
      <c r="X774" s="47"/>
      <c r="Y774" s="47"/>
      <c r="Z774" s="47"/>
    </row>
    <row r="775">
      <c r="A775" s="57"/>
      <c r="B775" s="58"/>
      <c r="C775" s="58"/>
      <c r="D775" s="58"/>
      <c r="E775" s="47"/>
      <c r="F775" s="47"/>
      <c r="G775" s="47"/>
      <c r="H775" s="47"/>
      <c r="I775" s="47"/>
      <c r="J775" s="47"/>
      <c r="K775" s="47"/>
      <c r="L775" s="47"/>
      <c r="M775" s="47"/>
      <c r="N775" s="47"/>
      <c r="O775" s="47"/>
      <c r="P775" s="47"/>
      <c r="Q775" s="47"/>
      <c r="R775" s="47"/>
      <c r="S775" s="47"/>
      <c r="T775" s="47"/>
      <c r="U775" s="47"/>
      <c r="V775" s="47"/>
      <c r="W775" s="47"/>
      <c r="X775" s="47"/>
      <c r="Y775" s="47"/>
      <c r="Z775" s="47"/>
    </row>
    <row r="776">
      <c r="A776" s="57"/>
      <c r="B776" s="58"/>
      <c r="C776" s="58"/>
      <c r="D776" s="58"/>
      <c r="E776" s="47"/>
      <c r="F776" s="47"/>
      <c r="G776" s="47"/>
      <c r="H776" s="47"/>
      <c r="I776" s="47"/>
      <c r="J776" s="47"/>
      <c r="K776" s="47"/>
      <c r="L776" s="47"/>
      <c r="M776" s="47"/>
      <c r="N776" s="47"/>
      <c r="O776" s="47"/>
      <c r="P776" s="47"/>
      <c r="Q776" s="47"/>
      <c r="R776" s="47"/>
      <c r="S776" s="47"/>
      <c r="T776" s="47"/>
      <c r="U776" s="47"/>
      <c r="V776" s="47"/>
      <c r="W776" s="47"/>
      <c r="X776" s="47"/>
      <c r="Y776" s="47"/>
      <c r="Z776" s="47"/>
    </row>
    <row r="777">
      <c r="A777" s="57"/>
      <c r="B777" s="58"/>
      <c r="C777" s="58"/>
      <c r="D777" s="58"/>
      <c r="E777" s="47"/>
      <c r="F777" s="47"/>
      <c r="G777" s="47"/>
      <c r="H777" s="47"/>
      <c r="I777" s="47"/>
      <c r="J777" s="47"/>
      <c r="K777" s="47"/>
      <c r="L777" s="47"/>
      <c r="M777" s="47"/>
      <c r="N777" s="47"/>
      <c r="O777" s="47"/>
      <c r="P777" s="47"/>
      <c r="Q777" s="47"/>
      <c r="R777" s="47"/>
      <c r="S777" s="47"/>
      <c r="T777" s="47"/>
      <c r="U777" s="47"/>
      <c r="V777" s="47"/>
      <c r="W777" s="47"/>
      <c r="X777" s="47"/>
      <c r="Y777" s="47"/>
      <c r="Z777" s="47"/>
    </row>
    <row r="778">
      <c r="A778" s="57"/>
      <c r="B778" s="58"/>
      <c r="C778" s="58"/>
      <c r="D778" s="58"/>
      <c r="E778" s="47"/>
      <c r="F778" s="47"/>
      <c r="G778" s="47"/>
      <c r="H778" s="47"/>
      <c r="I778" s="47"/>
      <c r="J778" s="47"/>
      <c r="K778" s="47"/>
      <c r="L778" s="47"/>
      <c r="M778" s="47"/>
      <c r="N778" s="47"/>
      <c r="O778" s="47"/>
      <c r="P778" s="47"/>
      <c r="Q778" s="47"/>
      <c r="R778" s="47"/>
      <c r="S778" s="47"/>
      <c r="T778" s="47"/>
      <c r="U778" s="47"/>
      <c r="V778" s="47"/>
      <c r="W778" s="47"/>
      <c r="X778" s="47"/>
      <c r="Y778" s="47"/>
      <c r="Z778" s="47"/>
    </row>
    <row r="779">
      <c r="A779" s="57"/>
      <c r="B779" s="58"/>
      <c r="C779" s="58"/>
      <c r="D779" s="58"/>
      <c r="E779" s="47"/>
      <c r="F779" s="47"/>
      <c r="G779" s="47"/>
      <c r="H779" s="47"/>
      <c r="I779" s="47"/>
      <c r="J779" s="47"/>
      <c r="K779" s="47"/>
      <c r="L779" s="47"/>
      <c r="M779" s="47"/>
      <c r="N779" s="47"/>
      <c r="O779" s="47"/>
      <c r="P779" s="47"/>
      <c r="Q779" s="47"/>
      <c r="R779" s="47"/>
      <c r="S779" s="47"/>
      <c r="T779" s="47"/>
      <c r="U779" s="47"/>
      <c r="V779" s="47"/>
      <c r="W779" s="47"/>
      <c r="X779" s="47"/>
      <c r="Y779" s="47"/>
      <c r="Z779" s="47"/>
    </row>
    <row r="780">
      <c r="A780" s="57"/>
      <c r="B780" s="58"/>
      <c r="C780" s="58"/>
      <c r="D780" s="58"/>
      <c r="E780" s="47"/>
      <c r="F780" s="47"/>
      <c r="G780" s="47"/>
      <c r="H780" s="47"/>
      <c r="I780" s="47"/>
      <c r="J780" s="47"/>
      <c r="K780" s="47"/>
      <c r="L780" s="47"/>
      <c r="M780" s="47"/>
      <c r="N780" s="47"/>
      <c r="O780" s="47"/>
      <c r="P780" s="47"/>
      <c r="Q780" s="47"/>
      <c r="R780" s="47"/>
      <c r="S780" s="47"/>
      <c r="T780" s="47"/>
      <c r="U780" s="47"/>
      <c r="V780" s="47"/>
      <c r="W780" s="47"/>
      <c r="X780" s="47"/>
      <c r="Y780" s="47"/>
      <c r="Z780" s="47"/>
    </row>
    <row r="781">
      <c r="A781" s="57"/>
      <c r="B781" s="58"/>
      <c r="C781" s="58"/>
      <c r="D781" s="58"/>
      <c r="E781" s="47"/>
      <c r="F781" s="47"/>
      <c r="G781" s="47"/>
      <c r="H781" s="47"/>
      <c r="I781" s="47"/>
      <c r="J781" s="47"/>
      <c r="K781" s="47"/>
      <c r="L781" s="47"/>
      <c r="M781" s="47"/>
      <c r="N781" s="47"/>
      <c r="O781" s="47"/>
      <c r="P781" s="47"/>
      <c r="Q781" s="47"/>
      <c r="R781" s="47"/>
      <c r="S781" s="47"/>
      <c r="T781" s="47"/>
      <c r="U781" s="47"/>
      <c r="V781" s="47"/>
      <c r="W781" s="47"/>
      <c r="X781" s="47"/>
      <c r="Y781" s="47"/>
      <c r="Z781" s="47"/>
    </row>
    <row r="782">
      <c r="A782" s="57"/>
      <c r="B782" s="58"/>
      <c r="C782" s="58"/>
      <c r="D782" s="58"/>
      <c r="E782" s="47"/>
      <c r="F782" s="47"/>
      <c r="G782" s="47"/>
      <c r="H782" s="47"/>
      <c r="I782" s="47"/>
      <c r="J782" s="47"/>
      <c r="K782" s="47"/>
      <c r="L782" s="47"/>
      <c r="M782" s="47"/>
      <c r="N782" s="47"/>
      <c r="O782" s="47"/>
      <c r="P782" s="47"/>
      <c r="Q782" s="47"/>
      <c r="R782" s="47"/>
      <c r="S782" s="47"/>
      <c r="T782" s="47"/>
      <c r="U782" s="47"/>
      <c r="V782" s="47"/>
      <c r="W782" s="47"/>
      <c r="X782" s="47"/>
      <c r="Y782" s="47"/>
      <c r="Z782" s="47"/>
    </row>
    <row r="783">
      <c r="A783" s="57"/>
      <c r="B783" s="58"/>
      <c r="C783" s="58"/>
      <c r="D783" s="58"/>
      <c r="E783" s="47"/>
      <c r="F783" s="47"/>
      <c r="G783" s="47"/>
      <c r="H783" s="47"/>
      <c r="I783" s="47"/>
      <c r="J783" s="47"/>
      <c r="K783" s="47"/>
      <c r="L783" s="47"/>
      <c r="M783" s="47"/>
      <c r="N783" s="47"/>
      <c r="O783" s="47"/>
      <c r="P783" s="47"/>
      <c r="Q783" s="47"/>
      <c r="R783" s="47"/>
      <c r="S783" s="47"/>
      <c r="T783" s="47"/>
      <c r="U783" s="47"/>
      <c r="V783" s="47"/>
      <c r="W783" s="47"/>
      <c r="X783" s="47"/>
      <c r="Y783" s="47"/>
      <c r="Z783" s="47"/>
    </row>
    <row r="784">
      <c r="A784" s="57"/>
      <c r="B784" s="58"/>
      <c r="C784" s="58"/>
      <c r="D784" s="58"/>
      <c r="E784" s="47"/>
      <c r="F784" s="47"/>
      <c r="G784" s="47"/>
      <c r="H784" s="47"/>
      <c r="I784" s="47"/>
      <c r="J784" s="47"/>
      <c r="K784" s="47"/>
      <c r="L784" s="47"/>
      <c r="M784" s="47"/>
      <c r="N784" s="47"/>
      <c r="O784" s="47"/>
      <c r="P784" s="47"/>
      <c r="Q784" s="47"/>
      <c r="R784" s="47"/>
      <c r="S784" s="47"/>
      <c r="T784" s="47"/>
      <c r="U784" s="47"/>
      <c r="V784" s="47"/>
      <c r="W784" s="47"/>
      <c r="X784" s="47"/>
      <c r="Y784" s="47"/>
      <c r="Z784" s="47"/>
    </row>
    <row r="785">
      <c r="A785" s="57"/>
      <c r="B785" s="58"/>
      <c r="C785" s="58"/>
      <c r="D785" s="58"/>
      <c r="E785" s="47"/>
      <c r="F785" s="47"/>
      <c r="G785" s="47"/>
      <c r="H785" s="47"/>
      <c r="I785" s="47"/>
      <c r="J785" s="47"/>
      <c r="K785" s="47"/>
      <c r="L785" s="47"/>
      <c r="M785" s="47"/>
      <c r="N785" s="47"/>
      <c r="O785" s="47"/>
      <c r="P785" s="47"/>
      <c r="Q785" s="47"/>
      <c r="R785" s="47"/>
      <c r="S785" s="47"/>
      <c r="T785" s="47"/>
      <c r="U785" s="47"/>
      <c r="V785" s="47"/>
      <c r="W785" s="47"/>
      <c r="X785" s="47"/>
      <c r="Y785" s="47"/>
      <c r="Z785" s="47"/>
    </row>
    <row r="786">
      <c r="A786" s="57"/>
      <c r="B786" s="58"/>
      <c r="C786" s="58"/>
      <c r="D786" s="58"/>
      <c r="E786" s="47"/>
      <c r="F786" s="47"/>
      <c r="G786" s="47"/>
      <c r="H786" s="47"/>
      <c r="I786" s="47"/>
      <c r="J786" s="47"/>
      <c r="K786" s="47"/>
      <c r="L786" s="47"/>
      <c r="M786" s="47"/>
      <c r="N786" s="47"/>
      <c r="O786" s="47"/>
      <c r="P786" s="47"/>
      <c r="Q786" s="47"/>
      <c r="R786" s="47"/>
      <c r="S786" s="47"/>
      <c r="T786" s="47"/>
      <c r="U786" s="47"/>
      <c r="V786" s="47"/>
      <c r="W786" s="47"/>
      <c r="X786" s="47"/>
      <c r="Y786" s="47"/>
      <c r="Z786" s="47"/>
    </row>
    <row r="787">
      <c r="A787" s="57"/>
      <c r="B787" s="58"/>
      <c r="C787" s="58"/>
      <c r="D787" s="58"/>
      <c r="E787" s="47"/>
      <c r="F787" s="47"/>
      <c r="G787" s="47"/>
      <c r="H787" s="47"/>
      <c r="I787" s="47"/>
      <c r="J787" s="47"/>
      <c r="K787" s="47"/>
      <c r="L787" s="47"/>
      <c r="M787" s="47"/>
      <c r="N787" s="47"/>
      <c r="O787" s="47"/>
      <c r="P787" s="47"/>
      <c r="Q787" s="47"/>
      <c r="R787" s="47"/>
      <c r="S787" s="47"/>
      <c r="T787" s="47"/>
      <c r="U787" s="47"/>
      <c r="V787" s="47"/>
      <c r="W787" s="47"/>
      <c r="X787" s="47"/>
      <c r="Y787" s="47"/>
      <c r="Z787" s="47"/>
    </row>
    <row r="788">
      <c r="A788" s="57"/>
      <c r="B788" s="58"/>
      <c r="C788" s="58"/>
      <c r="D788" s="58"/>
      <c r="E788" s="47"/>
      <c r="F788" s="47"/>
      <c r="G788" s="47"/>
      <c r="H788" s="47"/>
      <c r="I788" s="47"/>
      <c r="J788" s="47"/>
      <c r="K788" s="47"/>
      <c r="L788" s="47"/>
      <c r="M788" s="47"/>
      <c r="N788" s="47"/>
      <c r="O788" s="47"/>
      <c r="P788" s="47"/>
      <c r="Q788" s="47"/>
      <c r="R788" s="47"/>
      <c r="S788" s="47"/>
      <c r="T788" s="47"/>
      <c r="U788" s="47"/>
      <c r="V788" s="47"/>
      <c r="W788" s="47"/>
      <c r="X788" s="47"/>
      <c r="Y788" s="47"/>
      <c r="Z788" s="47"/>
    </row>
    <row r="789">
      <c r="A789" s="57"/>
      <c r="B789" s="58"/>
      <c r="C789" s="58"/>
      <c r="D789" s="58"/>
      <c r="E789" s="47"/>
      <c r="F789" s="47"/>
      <c r="G789" s="47"/>
      <c r="H789" s="47"/>
      <c r="I789" s="47"/>
      <c r="J789" s="47"/>
      <c r="K789" s="47"/>
      <c r="L789" s="47"/>
      <c r="M789" s="47"/>
      <c r="N789" s="47"/>
      <c r="O789" s="47"/>
      <c r="P789" s="47"/>
      <c r="Q789" s="47"/>
      <c r="R789" s="47"/>
      <c r="S789" s="47"/>
      <c r="T789" s="47"/>
      <c r="U789" s="47"/>
      <c r="V789" s="47"/>
      <c r="W789" s="47"/>
      <c r="X789" s="47"/>
      <c r="Y789" s="47"/>
      <c r="Z789" s="47"/>
    </row>
    <row r="790">
      <c r="A790" s="57"/>
      <c r="B790" s="58"/>
      <c r="C790" s="58"/>
      <c r="D790" s="58"/>
      <c r="E790" s="47"/>
      <c r="F790" s="47"/>
      <c r="G790" s="47"/>
      <c r="H790" s="47"/>
      <c r="I790" s="47"/>
      <c r="J790" s="47"/>
      <c r="K790" s="47"/>
      <c r="L790" s="47"/>
      <c r="M790" s="47"/>
      <c r="N790" s="47"/>
      <c r="O790" s="47"/>
      <c r="P790" s="47"/>
      <c r="Q790" s="47"/>
      <c r="R790" s="47"/>
      <c r="S790" s="47"/>
      <c r="T790" s="47"/>
      <c r="U790" s="47"/>
      <c r="V790" s="47"/>
      <c r="W790" s="47"/>
      <c r="X790" s="47"/>
      <c r="Y790" s="47"/>
      <c r="Z790" s="47"/>
    </row>
    <row r="791">
      <c r="A791" s="57"/>
      <c r="B791" s="58"/>
      <c r="C791" s="58"/>
      <c r="D791" s="58"/>
      <c r="E791" s="47"/>
      <c r="F791" s="47"/>
      <c r="G791" s="47"/>
      <c r="H791" s="47"/>
      <c r="I791" s="47"/>
      <c r="J791" s="47"/>
      <c r="K791" s="47"/>
      <c r="L791" s="47"/>
      <c r="M791" s="47"/>
      <c r="N791" s="47"/>
      <c r="O791" s="47"/>
      <c r="P791" s="47"/>
      <c r="Q791" s="47"/>
      <c r="R791" s="47"/>
      <c r="S791" s="47"/>
      <c r="T791" s="47"/>
      <c r="U791" s="47"/>
      <c r="V791" s="47"/>
      <c r="W791" s="47"/>
      <c r="X791" s="47"/>
      <c r="Y791" s="47"/>
      <c r="Z791" s="47"/>
    </row>
    <row r="792">
      <c r="A792" s="57"/>
      <c r="B792" s="58"/>
      <c r="C792" s="58"/>
      <c r="D792" s="58"/>
      <c r="E792" s="47"/>
      <c r="F792" s="47"/>
      <c r="G792" s="47"/>
      <c r="H792" s="47"/>
      <c r="I792" s="47"/>
      <c r="J792" s="47"/>
      <c r="K792" s="47"/>
      <c r="L792" s="47"/>
      <c r="M792" s="47"/>
      <c r="N792" s="47"/>
      <c r="O792" s="47"/>
      <c r="P792" s="47"/>
      <c r="Q792" s="47"/>
      <c r="R792" s="47"/>
      <c r="S792" s="47"/>
      <c r="T792" s="47"/>
      <c r="U792" s="47"/>
      <c r="V792" s="47"/>
      <c r="W792" s="47"/>
      <c r="X792" s="47"/>
      <c r="Y792" s="47"/>
      <c r="Z792" s="47"/>
    </row>
    <row r="793">
      <c r="A793" s="57"/>
      <c r="B793" s="58"/>
      <c r="C793" s="58"/>
      <c r="D793" s="58"/>
      <c r="E793" s="47"/>
      <c r="F793" s="47"/>
      <c r="G793" s="47"/>
      <c r="H793" s="47"/>
      <c r="I793" s="47"/>
      <c r="J793" s="47"/>
      <c r="K793" s="47"/>
      <c r="L793" s="47"/>
      <c r="M793" s="47"/>
      <c r="N793" s="47"/>
      <c r="O793" s="47"/>
      <c r="P793" s="47"/>
      <c r="Q793" s="47"/>
      <c r="R793" s="47"/>
      <c r="S793" s="47"/>
      <c r="T793" s="47"/>
      <c r="U793" s="47"/>
      <c r="V793" s="47"/>
      <c r="W793" s="47"/>
      <c r="X793" s="47"/>
      <c r="Y793" s="47"/>
      <c r="Z793" s="47"/>
    </row>
    <row r="794">
      <c r="A794" s="57"/>
      <c r="B794" s="58"/>
      <c r="C794" s="58"/>
      <c r="D794" s="58"/>
      <c r="E794" s="47"/>
      <c r="F794" s="47"/>
      <c r="G794" s="47"/>
      <c r="H794" s="47"/>
      <c r="I794" s="47"/>
      <c r="J794" s="47"/>
      <c r="K794" s="47"/>
      <c r="L794" s="47"/>
      <c r="M794" s="47"/>
      <c r="N794" s="47"/>
      <c r="O794" s="47"/>
      <c r="P794" s="47"/>
      <c r="Q794" s="47"/>
      <c r="R794" s="47"/>
      <c r="S794" s="47"/>
      <c r="T794" s="47"/>
      <c r="U794" s="47"/>
      <c r="V794" s="47"/>
      <c r="W794" s="47"/>
      <c r="X794" s="47"/>
      <c r="Y794" s="47"/>
      <c r="Z794" s="47"/>
    </row>
    <row r="795">
      <c r="A795" s="57"/>
      <c r="B795" s="58"/>
      <c r="C795" s="58"/>
      <c r="D795" s="58"/>
      <c r="E795" s="47"/>
      <c r="F795" s="47"/>
      <c r="G795" s="47"/>
      <c r="H795" s="47"/>
      <c r="I795" s="47"/>
      <c r="J795" s="47"/>
      <c r="K795" s="47"/>
      <c r="L795" s="47"/>
      <c r="M795" s="47"/>
      <c r="N795" s="47"/>
      <c r="O795" s="47"/>
      <c r="P795" s="47"/>
      <c r="Q795" s="47"/>
      <c r="R795" s="47"/>
      <c r="S795" s="47"/>
      <c r="T795" s="47"/>
      <c r="U795" s="47"/>
      <c r="V795" s="47"/>
      <c r="W795" s="47"/>
      <c r="X795" s="47"/>
      <c r="Y795" s="47"/>
      <c r="Z795" s="47"/>
    </row>
    <row r="796">
      <c r="A796" s="57"/>
      <c r="B796" s="58"/>
      <c r="C796" s="58"/>
      <c r="D796" s="58"/>
      <c r="E796" s="47"/>
      <c r="F796" s="47"/>
      <c r="G796" s="47"/>
      <c r="H796" s="47"/>
      <c r="I796" s="47"/>
      <c r="J796" s="47"/>
      <c r="K796" s="47"/>
      <c r="L796" s="47"/>
      <c r="M796" s="47"/>
      <c r="N796" s="47"/>
      <c r="O796" s="47"/>
      <c r="P796" s="47"/>
      <c r="Q796" s="47"/>
      <c r="R796" s="47"/>
      <c r="S796" s="47"/>
      <c r="T796" s="47"/>
      <c r="U796" s="47"/>
      <c r="V796" s="47"/>
      <c r="W796" s="47"/>
      <c r="X796" s="47"/>
      <c r="Y796" s="47"/>
      <c r="Z796" s="47"/>
    </row>
    <row r="797">
      <c r="A797" s="57"/>
      <c r="B797" s="58"/>
      <c r="C797" s="58"/>
      <c r="D797" s="58"/>
      <c r="E797" s="47"/>
      <c r="F797" s="47"/>
      <c r="G797" s="47"/>
      <c r="H797" s="47"/>
      <c r="I797" s="47"/>
      <c r="J797" s="47"/>
      <c r="K797" s="47"/>
      <c r="L797" s="47"/>
      <c r="M797" s="47"/>
      <c r="N797" s="47"/>
      <c r="O797" s="47"/>
      <c r="P797" s="47"/>
      <c r="Q797" s="47"/>
      <c r="R797" s="47"/>
      <c r="S797" s="47"/>
      <c r="T797" s="47"/>
      <c r="U797" s="47"/>
      <c r="V797" s="47"/>
      <c r="W797" s="47"/>
      <c r="X797" s="47"/>
      <c r="Y797" s="47"/>
      <c r="Z797" s="47"/>
    </row>
    <row r="798">
      <c r="A798" s="57"/>
      <c r="B798" s="58"/>
      <c r="C798" s="58"/>
      <c r="D798" s="58"/>
      <c r="E798" s="47"/>
      <c r="F798" s="47"/>
      <c r="G798" s="47"/>
      <c r="H798" s="47"/>
      <c r="I798" s="47"/>
      <c r="J798" s="47"/>
      <c r="K798" s="47"/>
      <c r="L798" s="47"/>
      <c r="M798" s="47"/>
      <c r="N798" s="47"/>
      <c r="O798" s="47"/>
      <c r="P798" s="47"/>
      <c r="Q798" s="47"/>
      <c r="R798" s="47"/>
      <c r="S798" s="47"/>
      <c r="T798" s="47"/>
      <c r="U798" s="47"/>
      <c r="V798" s="47"/>
      <c r="W798" s="47"/>
      <c r="X798" s="47"/>
      <c r="Y798" s="47"/>
      <c r="Z798" s="47"/>
    </row>
    <row r="799">
      <c r="A799" s="57"/>
      <c r="B799" s="58"/>
      <c r="C799" s="58"/>
      <c r="D799" s="58"/>
      <c r="E799" s="47"/>
      <c r="F799" s="47"/>
      <c r="G799" s="47"/>
      <c r="H799" s="47"/>
      <c r="I799" s="47"/>
      <c r="J799" s="47"/>
      <c r="K799" s="47"/>
      <c r="L799" s="47"/>
      <c r="M799" s="47"/>
      <c r="N799" s="47"/>
      <c r="O799" s="47"/>
      <c r="P799" s="47"/>
      <c r="Q799" s="47"/>
      <c r="R799" s="47"/>
      <c r="S799" s="47"/>
      <c r="T799" s="47"/>
      <c r="U799" s="47"/>
      <c r="V799" s="47"/>
      <c r="W799" s="47"/>
      <c r="X799" s="47"/>
      <c r="Y799" s="47"/>
      <c r="Z799" s="47"/>
    </row>
    <row r="800">
      <c r="A800" s="57"/>
      <c r="B800" s="58"/>
      <c r="C800" s="58"/>
      <c r="D800" s="58"/>
      <c r="E800" s="47"/>
      <c r="F800" s="47"/>
      <c r="G800" s="47"/>
      <c r="H800" s="47"/>
      <c r="I800" s="47"/>
      <c r="J800" s="47"/>
      <c r="K800" s="47"/>
      <c r="L800" s="47"/>
      <c r="M800" s="47"/>
      <c r="N800" s="47"/>
      <c r="O800" s="47"/>
      <c r="P800" s="47"/>
      <c r="Q800" s="47"/>
      <c r="R800" s="47"/>
      <c r="S800" s="47"/>
      <c r="T800" s="47"/>
      <c r="U800" s="47"/>
      <c r="V800" s="47"/>
      <c r="W800" s="47"/>
      <c r="X800" s="47"/>
      <c r="Y800" s="47"/>
      <c r="Z800" s="47"/>
    </row>
    <row r="801">
      <c r="A801" s="57"/>
      <c r="B801" s="58"/>
      <c r="C801" s="58"/>
      <c r="D801" s="58"/>
      <c r="E801" s="47"/>
      <c r="F801" s="47"/>
      <c r="G801" s="47"/>
      <c r="H801" s="47"/>
      <c r="I801" s="47"/>
      <c r="J801" s="47"/>
      <c r="K801" s="47"/>
      <c r="L801" s="47"/>
      <c r="M801" s="47"/>
      <c r="N801" s="47"/>
      <c r="O801" s="47"/>
      <c r="P801" s="47"/>
      <c r="Q801" s="47"/>
      <c r="R801" s="47"/>
      <c r="S801" s="47"/>
      <c r="T801" s="47"/>
      <c r="U801" s="47"/>
      <c r="V801" s="47"/>
      <c r="W801" s="47"/>
      <c r="X801" s="47"/>
      <c r="Y801" s="47"/>
      <c r="Z801" s="47"/>
    </row>
    <row r="802">
      <c r="A802" s="57"/>
      <c r="B802" s="58"/>
      <c r="C802" s="58"/>
      <c r="D802" s="58"/>
      <c r="E802" s="47"/>
      <c r="F802" s="47"/>
      <c r="G802" s="47"/>
      <c r="H802" s="47"/>
      <c r="I802" s="47"/>
      <c r="J802" s="47"/>
      <c r="K802" s="47"/>
      <c r="L802" s="47"/>
      <c r="M802" s="47"/>
      <c r="N802" s="47"/>
      <c r="O802" s="47"/>
      <c r="P802" s="47"/>
      <c r="Q802" s="47"/>
      <c r="R802" s="47"/>
      <c r="S802" s="47"/>
      <c r="T802" s="47"/>
      <c r="U802" s="47"/>
      <c r="V802" s="47"/>
      <c r="W802" s="47"/>
      <c r="X802" s="47"/>
      <c r="Y802" s="47"/>
      <c r="Z802" s="47"/>
    </row>
    <row r="803">
      <c r="A803" s="57"/>
      <c r="B803" s="58"/>
      <c r="C803" s="58"/>
      <c r="D803" s="58"/>
      <c r="E803" s="47"/>
      <c r="F803" s="47"/>
      <c r="G803" s="47"/>
      <c r="H803" s="47"/>
      <c r="I803" s="47"/>
      <c r="J803" s="47"/>
      <c r="K803" s="47"/>
      <c r="L803" s="47"/>
      <c r="M803" s="47"/>
      <c r="N803" s="47"/>
      <c r="O803" s="47"/>
      <c r="P803" s="47"/>
      <c r="Q803" s="47"/>
      <c r="R803" s="47"/>
      <c r="S803" s="47"/>
      <c r="T803" s="47"/>
      <c r="U803" s="47"/>
      <c r="V803" s="47"/>
      <c r="W803" s="47"/>
      <c r="X803" s="47"/>
      <c r="Y803" s="47"/>
      <c r="Z803" s="47"/>
    </row>
    <row r="804">
      <c r="A804" s="57"/>
      <c r="B804" s="58"/>
      <c r="C804" s="58"/>
      <c r="D804" s="58"/>
      <c r="E804" s="47"/>
      <c r="F804" s="47"/>
      <c r="G804" s="47"/>
      <c r="H804" s="47"/>
      <c r="I804" s="47"/>
      <c r="J804" s="47"/>
      <c r="K804" s="47"/>
      <c r="L804" s="47"/>
      <c r="M804" s="47"/>
      <c r="N804" s="47"/>
      <c r="O804" s="47"/>
      <c r="P804" s="47"/>
      <c r="Q804" s="47"/>
      <c r="R804" s="47"/>
      <c r="S804" s="47"/>
      <c r="T804" s="47"/>
      <c r="U804" s="47"/>
      <c r="V804" s="47"/>
      <c r="W804" s="47"/>
      <c r="X804" s="47"/>
      <c r="Y804" s="47"/>
      <c r="Z804" s="47"/>
    </row>
    <row r="805">
      <c r="A805" s="57"/>
      <c r="B805" s="58"/>
      <c r="C805" s="58"/>
      <c r="D805" s="58"/>
      <c r="E805" s="47"/>
      <c r="F805" s="47"/>
      <c r="G805" s="47"/>
      <c r="H805" s="47"/>
      <c r="I805" s="47"/>
      <c r="J805" s="47"/>
      <c r="K805" s="47"/>
      <c r="L805" s="47"/>
      <c r="M805" s="47"/>
      <c r="N805" s="47"/>
      <c r="O805" s="47"/>
      <c r="P805" s="47"/>
      <c r="Q805" s="47"/>
      <c r="R805" s="47"/>
      <c r="S805" s="47"/>
      <c r="T805" s="47"/>
      <c r="U805" s="47"/>
      <c r="V805" s="47"/>
      <c r="W805" s="47"/>
      <c r="X805" s="47"/>
      <c r="Y805" s="47"/>
      <c r="Z805" s="47"/>
    </row>
    <row r="806">
      <c r="A806" s="57"/>
      <c r="B806" s="58"/>
      <c r="C806" s="58"/>
      <c r="D806" s="58"/>
      <c r="E806" s="47"/>
      <c r="F806" s="47"/>
      <c r="G806" s="47"/>
      <c r="H806" s="47"/>
      <c r="I806" s="47"/>
      <c r="J806" s="47"/>
      <c r="K806" s="47"/>
      <c r="L806" s="47"/>
      <c r="M806" s="47"/>
      <c r="N806" s="47"/>
      <c r="O806" s="47"/>
      <c r="P806" s="47"/>
      <c r="Q806" s="47"/>
      <c r="R806" s="47"/>
      <c r="S806" s="47"/>
      <c r="T806" s="47"/>
      <c r="U806" s="47"/>
      <c r="V806" s="47"/>
      <c r="W806" s="47"/>
      <c r="X806" s="47"/>
      <c r="Y806" s="47"/>
      <c r="Z806" s="47"/>
    </row>
    <row r="807">
      <c r="A807" s="57"/>
      <c r="B807" s="58"/>
      <c r="C807" s="58"/>
      <c r="D807" s="58"/>
      <c r="E807" s="47"/>
      <c r="F807" s="47"/>
      <c r="G807" s="47"/>
      <c r="H807" s="47"/>
      <c r="I807" s="47"/>
      <c r="J807" s="47"/>
      <c r="K807" s="47"/>
      <c r="L807" s="47"/>
      <c r="M807" s="47"/>
      <c r="N807" s="47"/>
      <c r="O807" s="47"/>
      <c r="P807" s="47"/>
      <c r="Q807" s="47"/>
      <c r="R807" s="47"/>
      <c r="S807" s="47"/>
      <c r="T807" s="47"/>
      <c r="U807" s="47"/>
      <c r="V807" s="47"/>
      <c r="W807" s="47"/>
      <c r="X807" s="47"/>
      <c r="Y807" s="47"/>
      <c r="Z807" s="47"/>
    </row>
    <row r="808">
      <c r="A808" s="57"/>
      <c r="B808" s="58"/>
      <c r="C808" s="58"/>
      <c r="D808" s="58"/>
      <c r="E808" s="47"/>
      <c r="F808" s="47"/>
      <c r="G808" s="47"/>
      <c r="H808" s="47"/>
      <c r="I808" s="47"/>
      <c r="J808" s="47"/>
      <c r="K808" s="47"/>
      <c r="L808" s="47"/>
      <c r="M808" s="47"/>
      <c r="N808" s="47"/>
      <c r="O808" s="47"/>
      <c r="P808" s="47"/>
      <c r="Q808" s="47"/>
      <c r="R808" s="47"/>
      <c r="S808" s="47"/>
      <c r="T808" s="47"/>
      <c r="U808" s="47"/>
      <c r="V808" s="47"/>
      <c r="W808" s="47"/>
      <c r="X808" s="47"/>
      <c r="Y808" s="47"/>
      <c r="Z808" s="47"/>
    </row>
    <row r="809">
      <c r="A809" s="57"/>
      <c r="B809" s="58"/>
      <c r="C809" s="58"/>
      <c r="D809" s="58"/>
      <c r="E809" s="47"/>
      <c r="F809" s="47"/>
      <c r="G809" s="47"/>
      <c r="H809" s="47"/>
      <c r="I809" s="47"/>
      <c r="J809" s="47"/>
      <c r="K809" s="47"/>
      <c r="L809" s="47"/>
      <c r="M809" s="47"/>
      <c r="N809" s="47"/>
      <c r="O809" s="47"/>
      <c r="P809" s="47"/>
      <c r="Q809" s="47"/>
      <c r="R809" s="47"/>
      <c r="S809" s="47"/>
      <c r="T809" s="47"/>
      <c r="U809" s="47"/>
      <c r="V809" s="47"/>
      <c r="W809" s="47"/>
      <c r="X809" s="47"/>
      <c r="Y809" s="47"/>
      <c r="Z809" s="47"/>
    </row>
    <row r="810">
      <c r="A810" s="57"/>
      <c r="B810" s="58"/>
      <c r="C810" s="58"/>
      <c r="D810" s="58"/>
      <c r="E810" s="47"/>
      <c r="F810" s="47"/>
      <c r="G810" s="47"/>
      <c r="H810" s="47"/>
      <c r="I810" s="47"/>
      <c r="J810" s="47"/>
      <c r="K810" s="47"/>
      <c r="L810" s="47"/>
      <c r="M810" s="47"/>
      <c r="N810" s="47"/>
      <c r="O810" s="47"/>
      <c r="P810" s="47"/>
      <c r="Q810" s="47"/>
      <c r="R810" s="47"/>
      <c r="S810" s="47"/>
      <c r="T810" s="47"/>
      <c r="U810" s="47"/>
      <c r="V810" s="47"/>
      <c r="W810" s="47"/>
      <c r="X810" s="47"/>
      <c r="Y810" s="47"/>
      <c r="Z810" s="47"/>
    </row>
    <row r="811">
      <c r="A811" s="57"/>
      <c r="B811" s="58"/>
      <c r="C811" s="58"/>
      <c r="D811" s="58"/>
      <c r="E811" s="47"/>
      <c r="F811" s="47"/>
      <c r="G811" s="47"/>
      <c r="H811" s="47"/>
      <c r="I811" s="47"/>
      <c r="J811" s="47"/>
      <c r="K811" s="47"/>
      <c r="L811" s="47"/>
      <c r="M811" s="47"/>
      <c r="N811" s="47"/>
      <c r="O811" s="47"/>
      <c r="P811" s="47"/>
      <c r="Q811" s="47"/>
      <c r="R811" s="47"/>
      <c r="S811" s="47"/>
      <c r="T811" s="47"/>
      <c r="U811" s="47"/>
      <c r="V811" s="47"/>
      <c r="W811" s="47"/>
      <c r="X811" s="47"/>
      <c r="Y811" s="47"/>
      <c r="Z811" s="47"/>
    </row>
    <row r="812">
      <c r="A812" s="57"/>
      <c r="B812" s="58"/>
      <c r="C812" s="58"/>
      <c r="D812" s="58"/>
      <c r="E812" s="47"/>
      <c r="F812" s="47"/>
      <c r="G812" s="47"/>
      <c r="H812" s="47"/>
      <c r="I812" s="47"/>
      <c r="J812" s="47"/>
      <c r="K812" s="47"/>
      <c r="L812" s="47"/>
      <c r="M812" s="47"/>
      <c r="N812" s="47"/>
      <c r="O812" s="47"/>
      <c r="P812" s="47"/>
      <c r="Q812" s="47"/>
      <c r="R812" s="47"/>
      <c r="S812" s="47"/>
      <c r="T812" s="47"/>
      <c r="U812" s="47"/>
      <c r="V812" s="47"/>
      <c r="W812" s="47"/>
      <c r="X812" s="47"/>
      <c r="Y812" s="47"/>
      <c r="Z812" s="47"/>
    </row>
    <row r="813">
      <c r="A813" s="57"/>
      <c r="B813" s="58"/>
      <c r="C813" s="58"/>
      <c r="D813" s="58"/>
      <c r="E813" s="47"/>
      <c r="F813" s="47"/>
      <c r="G813" s="47"/>
      <c r="H813" s="47"/>
      <c r="I813" s="47"/>
      <c r="J813" s="47"/>
      <c r="K813" s="47"/>
      <c r="L813" s="47"/>
      <c r="M813" s="47"/>
      <c r="N813" s="47"/>
      <c r="O813" s="47"/>
      <c r="P813" s="47"/>
      <c r="Q813" s="47"/>
      <c r="R813" s="47"/>
      <c r="S813" s="47"/>
      <c r="T813" s="47"/>
      <c r="U813" s="47"/>
      <c r="V813" s="47"/>
      <c r="W813" s="47"/>
      <c r="X813" s="47"/>
      <c r="Y813" s="47"/>
      <c r="Z813" s="47"/>
    </row>
    <row r="814">
      <c r="A814" s="57"/>
      <c r="B814" s="58"/>
      <c r="C814" s="58"/>
      <c r="D814" s="58"/>
      <c r="E814" s="47"/>
      <c r="F814" s="47"/>
      <c r="G814" s="47"/>
      <c r="H814" s="47"/>
      <c r="I814" s="47"/>
      <c r="J814" s="47"/>
      <c r="K814" s="47"/>
      <c r="L814" s="47"/>
      <c r="M814" s="47"/>
      <c r="N814" s="47"/>
      <c r="O814" s="47"/>
      <c r="P814" s="47"/>
      <c r="Q814" s="47"/>
      <c r="R814" s="47"/>
      <c r="S814" s="47"/>
      <c r="T814" s="47"/>
      <c r="U814" s="47"/>
      <c r="V814" s="47"/>
      <c r="W814" s="47"/>
      <c r="X814" s="47"/>
      <c r="Y814" s="47"/>
      <c r="Z814" s="47"/>
    </row>
    <row r="815">
      <c r="A815" s="57"/>
      <c r="B815" s="58"/>
      <c r="C815" s="58"/>
      <c r="D815" s="58"/>
      <c r="E815" s="47"/>
      <c r="F815" s="47"/>
      <c r="G815" s="47"/>
      <c r="H815" s="47"/>
      <c r="I815" s="47"/>
      <c r="J815" s="47"/>
      <c r="K815" s="47"/>
      <c r="L815" s="47"/>
      <c r="M815" s="47"/>
      <c r="N815" s="47"/>
      <c r="O815" s="47"/>
      <c r="P815" s="47"/>
      <c r="Q815" s="47"/>
      <c r="R815" s="47"/>
      <c r="S815" s="47"/>
      <c r="T815" s="47"/>
      <c r="U815" s="47"/>
      <c r="V815" s="47"/>
      <c r="W815" s="47"/>
      <c r="X815" s="47"/>
      <c r="Y815" s="47"/>
      <c r="Z815" s="47"/>
    </row>
    <row r="816">
      <c r="A816" s="57"/>
      <c r="B816" s="58"/>
      <c r="C816" s="58"/>
      <c r="D816" s="58"/>
      <c r="E816" s="47"/>
      <c r="F816" s="47"/>
      <c r="G816" s="47"/>
      <c r="H816" s="47"/>
      <c r="I816" s="47"/>
      <c r="J816" s="47"/>
      <c r="K816" s="47"/>
      <c r="L816" s="47"/>
      <c r="M816" s="47"/>
      <c r="N816" s="47"/>
      <c r="O816" s="47"/>
      <c r="P816" s="47"/>
      <c r="Q816" s="47"/>
      <c r="R816" s="47"/>
      <c r="S816" s="47"/>
      <c r="T816" s="47"/>
      <c r="U816" s="47"/>
      <c r="V816" s="47"/>
      <c r="W816" s="47"/>
      <c r="X816" s="47"/>
      <c r="Y816" s="47"/>
      <c r="Z816" s="47"/>
    </row>
    <row r="817">
      <c r="A817" s="57"/>
      <c r="B817" s="58"/>
      <c r="C817" s="58"/>
      <c r="D817" s="58"/>
      <c r="E817" s="47"/>
      <c r="F817" s="47"/>
      <c r="G817" s="47"/>
      <c r="H817" s="47"/>
      <c r="I817" s="47"/>
      <c r="J817" s="47"/>
      <c r="K817" s="47"/>
      <c r="L817" s="47"/>
      <c r="M817" s="47"/>
      <c r="N817" s="47"/>
      <c r="O817" s="47"/>
      <c r="P817" s="47"/>
      <c r="Q817" s="47"/>
      <c r="R817" s="47"/>
      <c r="S817" s="47"/>
      <c r="T817" s="47"/>
      <c r="U817" s="47"/>
      <c r="V817" s="47"/>
      <c r="W817" s="47"/>
      <c r="X817" s="47"/>
      <c r="Y817" s="47"/>
      <c r="Z817" s="47"/>
    </row>
    <row r="818">
      <c r="A818" s="57"/>
      <c r="B818" s="58"/>
      <c r="C818" s="58"/>
      <c r="D818" s="58"/>
      <c r="E818" s="47"/>
      <c r="F818" s="47"/>
      <c r="G818" s="47"/>
      <c r="H818" s="47"/>
      <c r="I818" s="47"/>
      <c r="J818" s="47"/>
      <c r="K818" s="47"/>
      <c r="L818" s="47"/>
      <c r="M818" s="47"/>
      <c r="N818" s="47"/>
      <c r="O818" s="47"/>
      <c r="P818" s="47"/>
      <c r="Q818" s="47"/>
      <c r="R818" s="47"/>
      <c r="S818" s="47"/>
      <c r="T818" s="47"/>
      <c r="U818" s="47"/>
      <c r="V818" s="47"/>
      <c r="W818" s="47"/>
      <c r="X818" s="47"/>
      <c r="Y818" s="47"/>
      <c r="Z818" s="47"/>
    </row>
    <row r="819">
      <c r="A819" s="57"/>
      <c r="B819" s="58"/>
      <c r="C819" s="58"/>
      <c r="D819" s="58"/>
      <c r="E819" s="47"/>
      <c r="F819" s="47"/>
      <c r="G819" s="47"/>
      <c r="H819" s="47"/>
      <c r="I819" s="47"/>
      <c r="J819" s="47"/>
      <c r="K819" s="47"/>
      <c r="L819" s="47"/>
      <c r="M819" s="47"/>
      <c r="N819" s="47"/>
      <c r="O819" s="47"/>
      <c r="P819" s="47"/>
      <c r="Q819" s="47"/>
      <c r="R819" s="47"/>
      <c r="S819" s="47"/>
      <c r="T819" s="47"/>
      <c r="U819" s="47"/>
      <c r="V819" s="47"/>
      <c r="W819" s="47"/>
      <c r="X819" s="47"/>
      <c r="Y819" s="47"/>
      <c r="Z819" s="47"/>
    </row>
    <row r="820">
      <c r="A820" s="57"/>
      <c r="B820" s="58"/>
      <c r="C820" s="58"/>
      <c r="D820" s="58"/>
      <c r="E820" s="47"/>
      <c r="F820" s="47"/>
      <c r="G820" s="47"/>
      <c r="H820" s="47"/>
      <c r="I820" s="47"/>
      <c r="J820" s="47"/>
      <c r="K820" s="47"/>
      <c r="L820" s="47"/>
      <c r="M820" s="47"/>
      <c r="N820" s="47"/>
      <c r="O820" s="47"/>
      <c r="P820" s="47"/>
      <c r="Q820" s="47"/>
      <c r="R820" s="47"/>
      <c r="S820" s="47"/>
      <c r="T820" s="47"/>
      <c r="U820" s="47"/>
      <c r="V820" s="47"/>
      <c r="W820" s="47"/>
      <c r="X820" s="47"/>
      <c r="Y820" s="47"/>
      <c r="Z820" s="47"/>
    </row>
    <row r="821">
      <c r="A821" s="57"/>
      <c r="B821" s="58"/>
      <c r="C821" s="58"/>
      <c r="D821" s="58"/>
      <c r="E821" s="47"/>
      <c r="F821" s="47"/>
      <c r="G821" s="47"/>
      <c r="H821" s="47"/>
      <c r="I821" s="47"/>
      <c r="J821" s="47"/>
      <c r="K821" s="47"/>
      <c r="L821" s="47"/>
      <c r="M821" s="47"/>
      <c r="N821" s="47"/>
      <c r="O821" s="47"/>
      <c r="P821" s="47"/>
      <c r="Q821" s="47"/>
      <c r="R821" s="47"/>
      <c r="S821" s="47"/>
      <c r="T821" s="47"/>
      <c r="U821" s="47"/>
      <c r="V821" s="47"/>
      <c r="W821" s="47"/>
      <c r="X821" s="47"/>
      <c r="Y821" s="47"/>
      <c r="Z821" s="47"/>
    </row>
    <row r="822">
      <c r="A822" s="57"/>
      <c r="B822" s="58"/>
      <c r="C822" s="58"/>
      <c r="D822" s="58"/>
      <c r="E822" s="47"/>
      <c r="F822" s="47"/>
      <c r="G822" s="47"/>
      <c r="H822" s="47"/>
      <c r="I822" s="47"/>
      <c r="J822" s="47"/>
      <c r="K822" s="47"/>
      <c r="L822" s="47"/>
      <c r="M822" s="47"/>
      <c r="N822" s="47"/>
      <c r="O822" s="47"/>
      <c r="P822" s="47"/>
      <c r="Q822" s="47"/>
      <c r="R822" s="47"/>
      <c r="S822" s="47"/>
      <c r="T822" s="47"/>
      <c r="U822" s="47"/>
      <c r="V822" s="47"/>
      <c r="W822" s="47"/>
      <c r="X822" s="47"/>
      <c r="Y822" s="47"/>
      <c r="Z822" s="47"/>
    </row>
    <row r="823">
      <c r="A823" s="57"/>
      <c r="B823" s="58"/>
      <c r="C823" s="58"/>
      <c r="D823" s="58"/>
      <c r="E823" s="47"/>
      <c r="F823" s="47"/>
      <c r="G823" s="47"/>
      <c r="H823" s="47"/>
      <c r="I823" s="47"/>
      <c r="J823" s="47"/>
      <c r="K823" s="47"/>
      <c r="L823" s="47"/>
      <c r="M823" s="47"/>
      <c r="N823" s="47"/>
      <c r="O823" s="47"/>
      <c r="P823" s="47"/>
      <c r="Q823" s="47"/>
      <c r="R823" s="47"/>
      <c r="S823" s="47"/>
      <c r="T823" s="47"/>
      <c r="U823" s="47"/>
      <c r="V823" s="47"/>
      <c r="W823" s="47"/>
      <c r="X823" s="47"/>
      <c r="Y823" s="47"/>
      <c r="Z823" s="47"/>
    </row>
    <row r="824">
      <c r="A824" s="57"/>
      <c r="B824" s="58"/>
      <c r="C824" s="58"/>
      <c r="D824" s="58"/>
      <c r="E824" s="47"/>
      <c r="F824" s="47"/>
      <c r="G824" s="47"/>
      <c r="H824" s="47"/>
      <c r="I824" s="47"/>
      <c r="J824" s="47"/>
      <c r="K824" s="47"/>
      <c r="L824" s="47"/>
      <c r="M824" s="47"/>
      <c r="N824" s="47"/>
      <c r="O824" s="47"/>
      <c r="P824" s="47"/>
      <c r="Q824" s="47"/>
      <c r="R824" s="47"/>
      <c r="S824" s="47"/>
      <c r="T824" s="47"/>
      <c r="U824" s="47"/>
      <c r="V824" s="47"/>
      <c r="W824" s="47"/>
      <c r="X824" s="47"/>
      <c r="Y824" s="47"/>
      <c r="Z824" s="47"/>
    </row>
    <row r="825">
      <c r="A825" s="57"/>
      <c r="B825" s="58"/>
      <c r="C825" s="58"/>
      <c r="D825" s="58"/>
      <c r="E825" s="47"/>
      <c r="F825" s="47"/>
      <c r="G825" s="47"/>
      <c r="H825" s="47"/>
      <c r="I825" s="47"/>
      <c r="J825" s="47"/>
      <c r="K825" s="47"/>
      <c r="L825" s="47"/>
      <c r="M825" s="47"/>
      <c r="N825" s="47"/>
      <c r="O825" s="47"/>
      <c r="P825" s="47"/>
      <c r="Q825" s="47"/>
      <c r="R825" s="47"/>
      <c r="S825" s="47"/>
      <c r="T825" s="47"/>
      <c r="U825" s="47"/>
      <c r="V825" s="47"/>
      <c r="W825" s="47"/>
      <c r="X825" s="47"/>
      <c r="Y825" s="47"/>
      <c r="Z825" s="47"/>
    </row>
    <row r="826">
      <c r="A826" s="57"/>
      <c r="B826" s="58"/>
      <c r="C826" s="58"/>
      <c r="D826" s="58"/>
      <c r="E826" s="47"/>
      <c r="F826" s="47"/>
      <c r="G826" s="47"/>
      <c r="H826" s="47"/>
      <c r="I826" s="47"/>
      <c r="J826" s="47"/>
      <c r="K826" s="47"/>
      <c r="L826" s="47"/>
      <c r="M826" s="47"/>
      <c r="N826" s="47"/>
      <c r="O826" s="47"/>
      <c r="P826" s="47"/>
      <c r="Q826" s="47"/>
      <c r="R826" s="47"/>
      <c r="S826" s="47"/>
      <c r="T826" s="47"/>
      <c r="U826" s="47"/>
      <c r="V826" s="47"/>
      <c r="W826" s="47"/>
      <c r="X826" s="47"/>
      <c r="Y826" s="47"/>
      <c r="Z826" s="47"/>
    </row>
    <row r="827">
      <c r="A827" s="57"/>
      <c r="B827" s="58"/>
      <c r="C827" s="58"/>
      <c r="D827" s="58"/>
      <c r="E827" s="47"/>
      <c r="F827" s="47"/>
      <c r="G827" s="47"/>
      <c r="H827" s="47"/>
      <c r="I827" s="47"/>
      <c r="J827" s="47"/>
      <c r="K827" s="47"/>
      <c r="L827" s="47"/>
      <c r="M827" s="47"/>
      <c r="N827" s="47"/>
      <c r="O827" s="47"/>
      <c r="P827" s="47"/>
      <c r="Q827" s="47"/>
      <c r="R827" s="47"/>
      <c r="S827" s="47"/>
      <c r="T827" s="47"/>
      <c r="U827" s="47"/>
      <c r="V827" s="47"/>
      <c r="W827" s="47"/>
      <c r="X827" s="47"/>
      <c r="Y827" s="47"/>
      <c r="Z827" s="47"/>
    </row>
    <row r="828">
      <c r="A828" s="57"/>
      <c r="B828" s="58"/>
      <c r="C828" s="58"/>
      <c r="D828" s="58"/>
      <c r="E828" s="47"/>
      <c r="F828" s="47"/>
      <c r="G828" s="47"/>
      <c r="H828" s="47"/>
      <c r="I828" s="47"/>
      <c r="J828" s="47"/>
      <c r="K828" s="47"/>
      <c r="L828" s="47"/>
      <c r="M828" s="47"/>
      <c r="N828" s="47"/>
      <c r="O828" s="47"/>
      <c r="P828" s="47"/>
      <c r="Q828" s="47"/>
      <c r="R828" s="47"/>
      <c r="S828" s="47"/>
      <c r="T828" s="47"/>
      <c r="U828" s="47"/>
      <c r="V828" s="47"/>
      <c r="W828" s="47"/>
      <c r="X828" s="47"/>
      <c r="Y828" s="47"/>
      <c r="Z828" s="47"/>
    </row>
    <row r="829">
      <c r="A829" s="57"/>
      <c r="B829" s="58"/>
      <c r="C829" s="58"/>
      <c r="D829" s="58"/>
      <c r="E829" s="47"/>
      <c r="F829" s="47"/>
      <c r="G829" s="47"/>
      <c r="H829" s="47"/>
      <c r="I829" s="47"/>
      <c r="J829" s="47"/>
      <c r="K829" s="47"/>
      <c r="L829" s="47"/>
      <c r="M829" s="47"/>
      <c r="N829" s="47"/>
      <c r="O829" s="47"/>
      <c r="P829" s="47"/>
      <c r="Q829" s="47"/>
      <c r="R829" s="47"/>
      <c r="S829" s="47"/>
      <c r="T829" s="47"/>
      <c r="U829" s="47"/>
      <c r="V829" s="47"/>
      <c r="W829" s="47"/>
      <c r="X829" s="47"/>
      <c r="Y829" s="47"/>
      <c r="Z829" s="47"/>
    </row>
    <row r="830">
      <c r="A830" s="57"/>
      <c r="B830" s="58"/>
      <c r="C830" s="58"/>
      <c r="D830" s="58"/>
      <c r="E830" s="47"/>
      <c r="F830" s="47"/>
      <c r="G830" s="47"/>
      <c r="H830" s="47"/>
      <c r="I830" s="47"/>
      <c r="J830" s="47"/>
      <c r="K830" s="47"/>
      <c r="L830" s="47"/>
      <c r="M830" s="47"/>
      <c r="N830" s="47"/>
      <c r="O830" s="47"/>
      <c r="P830" s="47"/>
      <c r="Q830" s="47"/>
      <c r="R830" s="47"/>
      <c r="S830" s="47"/>
      <c r="T830" s="47"/>
      <c r="U830" s="47"/>
      <c r="V830" s="47"/>
      <c r="W830" s="47"/>
      <c r="X830" s="47"/>
      <c r="Y830" s="47"/>
      <c r="Z830" s="47"/>
    </row>
    <row r="831">
      <c r="A831" s="57"/>
      <c r="B831" s="58"/>
      <c r="C831" s="58"/>
      <c r="D831" s="58"/>
      <c r="E831" s="47"/>
      <c r="F831" s="47"/>
      <c r="G831" s="47"/>
      <c r="H831" s="47"/>
      <c r="I831" s="47"/>
      <c r="J831" s="47"/>
      <c r="K831" s="47"/>
      <c r="L831" s="47"/>
      <c r="M831" s="47"/>
      <c r="N831" s="47"/>
      <c r="O831" s="47"/>
      <c r="P831" s="47"/>
      <c r="Q831" s="47"/>
      <c r="R831" s="47"/>
      <c r="S831" s="47"/>
      <c r="T831" s="47"/>
      <c r="U831" s="47"/>
      <c r="V831" s="47"/>
      <c r="W831" s="47"/>
      <c r="X831" s="47"/>
      <c r="Y831" s="47"/>
      <c r="Z831" s="47"/>
    </row>
    <row r="832">
      <c r="A832" s="57"/>
      <c r="B832" s="58"/>
      <c r="C832" s="58"/>
      <c r="D832" s="58"/>
      <c r="E832" s="47"/>
      <c r="F832" s="47"/>
      <c r="G832" s="47"/>
      <c r="H832" s="47"/>
      <c r="I832" s="47"/>
      <c r="J832" s="47"/>
      <c r="K832" s="47"/>
      <c r="L832" s="47"/>
      <c r="M832" s="47"/>
      <c r="N832" s="47"/>
      <c r="O832" s="47"/>
      <c r="P832" s="47"/>
      <c r="Q832" s="47"/>
      <c r="R832" s="47"/>
      <c r="S832" s="47"/>
      <c r="T832" s="47"/>
      <c r="U832" s="47"/>
      <c r="V832" s="47"/>
      <c r="W832" s="47"/>
      <c r="X832" s="47"/>
      <c r="Y832" s="47"/>
      <c r="Z832" s="47"/>
    </row>
    <row r="833">
      <c r="A833" s="57"/>
      <c r="B833" s="58"/>
      <c r="C833" s="58"/>
      <c r="D833" s="58"/>
      <c r="E833" s="47"/>
      <c r="F833" s="47"/>
      <c r="G833" s="47"/>
      <c r="H833" s="47"/>
      <c r="I833" s="47"/>
      <c r="J833" s="47"/>
      <c r="K833" s="47"/>
      <c r="L833" s="47"/>
      <c r="M833" s="47"/>
      <c r="N833" s="47"/>
      <c r="O833" s="47"/>
      <c r="P833" s="47"/>
      <c r="Q833" s="47"/>
      <c r="R833" s="47"/>
      <c r="S833" s="47"/>
      <c r="T833" s="47"/>
      <c r="U833" s="47"/>
      <c r="V833" s="47"/>
      <c r="W833" s="47"/>
      <c r="X833" s="47"/>
      <c r="Y833" s="47"/>
      <c r="Z833" s="47"/>
    </row>
    <row r="834">
      <c r="A834" s="57"/>
      <c r="B834" s="58"/>
      <c r="C834" s="58"/>
      <c r="D834" s="58"/>
      <c r="E834" s="47"/>
      <c r="F834" s="47"/>
      <c r="G834" s="47"/>
      <c r="H834" s="47"/>
      <c r="I834" s="47"/>
      <c r="J834" s="47"/>
      <c r="K834" s="47"/>
      <c r="L834" s="47"/>
      <c r="M834" s="47"/>
      <c r="N834" s="47"/>
      <c r="O834" s="47"/>
      <c r="P834" s="47"/>
      <c r="Q834" s="47"/>
      <c r="R834" s="47"/>
      <c r="S834" s="47"/>
      <c r="T834" s="47"/>
      <c r="U834" s="47"/>
      <c r="V834" s="47"/>
      <c r="W834" s="47"/>
      <c r="X834" s="47"/>
      <c r="Y834" s="47"/>
      <c r="Z834" s="47"/>
    </row>
    <row r="835">
      <c r="A835" s="57"/>
      <c r="B835" s="58"/>
      <c r="C835" s="58"/>
      <c r="D835" s="58"/>
      <c r="E835" s="47"/>
      <c r="F835" s="47"/>
      <c r="G835" s="47"/>
      <c r="H835" s="47"/>
      <c r="I835" s="47"/>
      <c r="J835" s="47"/>
      <c r="K835" s="47"/>
      <c r="L835" s="47"/>
      <c r="M835" s="47"/>
      <c r="N835" s="47"/>
      <c r="O835" s="47"/>
      <c r="P835" s="47"/>
      <c r="Q835" s="47"/>
      <c r="R835" s="47"/>
      <c r="S835" s="47"/>
      <c r="T835" s="47"/>
      <c r="U835" s="47"/>
      <c r="V835" s="47"/>
      <c r="W835" s="47"/>
      <c r="X835" s="47"/>
      <c r="Y835" s="47"/>
      <c r="Z835" s="47"/>
    </row>
    <row r="836">
      <c r="A836" s="57"/>
      <c r="B836" s="58"/>
      <c r="C836" s="58"/>
      <c r="D836" s="58"/>
      <c r="E836" s="47"/>
      <c r="F836" s="47"/>
      <c r="G836" s="47"/>
      <c r="H836" s="47"/>
      <c r="I836" s="47"/>
      <c r="J836" s="47"/>
      <c r="K836" s="47"/>
      <c r="L836" s="47"/>
      <c r="M836" s="47"/>
      <c r="N836" s="47"/>
      <c r="O836" s="47"/>
      <c r="P836" s="47"/>
      <c r="Q836" s="47"/>
      <c r="R836" s="47"/>
      <c r="S836" s="47"/>
      <c r="T836" s="47"/>
      <c r="U836" s="47"/>
      <c r="V836" s="47"/>
      <c r="W836" s="47"/>
      <c r="X836" s="47"/>
      <c r="Y836" s="47"/>
      <c r="Z836" s="47"/>
    </row>
    <row r="837">
      <c r="A837" s="57"/>
      <c r="B837" s="58"/>
      <c r="C837" s="58"/>
      <c r="D837" s="58"/>
      <c r="E837" s="47"/>
      <c r="F837" s="47"/>
      <c r="G837" s="47"/>
      <c r="H837" s="47"/>
      <c r="I837" s="47"/>
      <c r="J837" s="47"/>
      <c r="K837" s="47"/>
      <c r="L837" s="47"/>
      <c r="M837" s="47"/>
      <c r="N837" s="47"/>
      <c r="O837" s="47"/>
      <c r="P837" s="47"/>
      <c r="Q837" s="47"/>
      <c r="R837" s="47"/>
      <c r="S837" s="47"/>
      <c r="T837" s="47"/>
      <c r="U837" s="47"/>
      <c r="V837" s="47"/>
      <c r="W837" s="47"/>
      <c r="X837" s="47"/>
      <c r="Y837" s="47"/>
      <c r="Z837" s="47"/>
    </row>
    <row r="838">
      <c r="A838" s="57"/>
      <c r="B838" s="58"/>
      <c r="C838" s="58"/>
      <c r="D838" s="58"/>
      <c r="E838" s="47"/>
      <c r="F838" s="47"/>
      <c r="G838" s="47"/>
      <c r="H838" s="47"/>
      <c r="I838" s="47"/>
      <c r="J838" s="47"/>
      <c r="K838" s="47"/>
      <c r="L838" s="47"/>
      <c r="M838" s="47"/>
      <c r="N838" s="47"/>
      <c r="O838" s="47"/>
      <c r="P838" s="47"/>
      <c r="Q838" s="47"/>
      <c r="R838" s="47"/>
      <c r="S838" s="47"/>
      <c r="T838" s="47"/>
      <c r="U838" s="47"/>
      <c r="V838" s="47"/>
      <c r="W838" s="47"/>
      <c r="X838" s="47"/>
      <c r="Y838" s="47"/>
      <c r="Z838" s="47"/>
    </row>
    <row r="839">
      <c r="A839" s="57"/>
      <c r="B839" s="58"/>
      <c r="C839" s="58"/>
      <c r="D839" s="58"/>
      <c r="E839" s="47"/>
      <c r="F839" s="47"/>
      <c r="G839" s="47"/>
      <c r="H839" s="47"/>
      <c r="I839" s="47"/>
      <c r="J839" s="47"/>
      <c r="K839" s="47"/>
      <c r="L839" s="47"/>
      <c r="M839" s="47"/>
      <c r="N839" s="47"/>
      <c r="O839" s="47"/>
      <c r="P839" s="47"/>
      <c r="Q839" s="47"/>
      <c r="R839" s="47"/>
      <c r="S839" s="47"/>
      <c r="T839" s="47"/>
      <c r="U839" s="47"/>
      <c r="V839" s="47"/>
      <c r="W839" s="47"/>
      <c r="X839" s="47"/>
      <c r="Y839" s="47"/>
      <c r="Z839" s="47"/>
    </row>
    <row r="840">
      <c r="A840" s="57"/>
      <c r="B840" s="58"/>
      <c r="C840" s="58"/>
      <c r="D840" s="58"/>
      <c r="E840" s="47"/>
      <c r="F840" s="47"/>
      <c r="G840" s="47"/>
      <c r="H840" s="47"/>
      <c r="I840" s="47"/>
      <c r="J840" s="47"/>
      <c r="K840" s="47"/>
      <c r="L840" s="47"/>
      <c r="M840" s="47"/>
      <c r="N840" s="47"/>
      <c r="O840" s="47"/>
      <c r="P840" s="47"/>
      <c r="Q840" s="47"/>
      <c r="R840" s="47"/>
      <c r="S840" s="47"/>
      <c r="T840" s="47"/>
      <c r="U840" s="47"/>
      <c r="V840" s="47"/>
      <c r="W840" s="47"/>
      <c r="X840" s="47"/>
      <c r="Y840" s="47"/>
      <c r="Z840" s="47"/>
    </row>
    <row r="841">
      <c r="A841" s="57"/>
      <c r="B841" s="58"/>
      <c r="C841" s="58"/>
      <c r="D841" s="58"/>
      <c r="E841" s="47"/>
      <c r="F841" s="47"/>
      <c r="G841" s="47"/>
      <c r="H841" s="47"/>
      <c r="I841" s="47"/>
      <c r="J841" s="47"/>
      <c r="K841" s="47"/>
      <c r="L841" s="47"/>
      <c r="M841" s="47"/>
      <c r="N841" s="47"/>
      <c r="O841" s="47"/>
      <c r="P841" s="47"/>
      <c r="Q841" s="47"/>
      <c r="R841" s="47"/>
      <c r="S841" s="47"/>
      <c r="T841" s="47"/>
      <c r="U841" s="47"/>
      <c r="V841" s="47"/>
      <c r="W841" s="47"/>
      <c r="X841" s="47"/>
      <c r="Y841" s="47"/>
      <c r="Z841" s="47"/>
    </row>
    <row r="842">
      <c r="A842" s="57"/>
      <c r="B842" s="58"/>
      <c r="C842" s="58"/>
      <c r="D842" s="58"/>
      <c r="E842" s="47"/>
      <c r="F842" s="47"/>
      <c r="G842" s="47"/>
      <c r="H842" s="47"/>
      <c r="I842" s="47"/>
      <c r="J842" s="47"/>
      <c r="K842" s="47"/>
      <c r="L842" s="47"/>
      <c r="M842" s="47"/>
      <c r="N842" s="47"/>
      <c r="O842" s="47"/>
      <c r="P842" s="47"/>
      <c r="Q842" s="47"/>
      <c r="R842" s="47"/>
      <c r="S842" s="47"/>
      <c r="T842" s="47"/>
      <c r="U842" s="47"/>
      <c r="V842" s="47"/>
      <c r="W842" s="47"/>
      <c r="X842" s="47"/>
      <c r="Y842" s="47"/>
      <c r="Z842" s="47"/>
    </row>
    <row r="843">
      <c r="A843" s="57"/>
      <c r="B843" s="58"/>
      <c r="C843" s="58"/>
      <c r="D843" s="58"/>
      <c r="E843" s="47"/>
      <c r="F843" s="47"/>
      <c r="G843" s="47"/>
      <c r="H843" s="47"/>
      <c r="I843" s="47"/>
      <c r="J843" s="47"/>
      <c r="K843" s="47"/>
      <c r="L843" s="47"/>
      <c r="M843" s="47"/>
      <c r="N843" s="47"/>
      <c r="O843" s="47"/>
      <c r="P843" s="47"/>
      <c r="Q843" s="47"/>
      <c r="R843" s="47"/>
      <c r="S843" s="47"/>
      <c r="T843" s="47"/>
      <c r="U843" s="47"/>
      <c r="V843" s="47"/>
      <c r="W843" s="47"/>
      <c r="X843" s="47"/>
      <c r="Y843" s="47"/>
      <c r="Z843" s="47"/>
    </row>
    <row r="844">
      <c r="A844" s="57"/>
      <c r="B844" s="58"/>
      <c r="C844" s="58"/>
      <c r="D844" s="58"/>
      <c r="E844" s="47"/>
      <c r="F844" s="47"/>
      <c r="G844" s="47"/>
      <c r="H844" s="47"/>
      <c r="I844" s="47"/>
      <c r="J844" s="47"/>
      <c r="K844" s="47"/>
      <c r="L844" s="47"/>
      <c r="M844" s="47"/>
      <c r="N844" s="47"/>
      <c r="O844" s="47"/>
      <c r="P844" s="47"/>
      <c r="Q844" s="47"/>
      <c r="R844" s="47"/>
      <c r="S844" s="47"/>
      <c r="T844" s="47"/>
      <c r="U844" s="47"/>
      <c r="V844" s="47"/>
      <c r="W844" s="47"/>
      <c r="X844" s="47"/>
      <c r="Y844" s="47"/>
      <c r="Z844" s="47"/>
    </row>
    <row r="845">
      <c r="A845" s="57"/>
      <c r="B845" s="58"/>
      <c r="C845" s="58"/>
      <c r="D845" s="58"/>
      <c r="E845" s="47"/>
      <c r="F845" s="47"/>
      <c r="G845" s="47"/>
      <c r="H845" s="47"/>
      <c r="I845" s="47"/>
      <c r="J845" s="47"/>
      <c r="K845" s="47"/>
      <c r="L845" s="47"/>
      <c r="M845" s="47"/>
      <c r="N845" s="47"/>
      <c r="O845" s="47"/>
      <c r="P845" s="47"/>
      <c r="Q845" s="47"/>
      <c r="R845" s="47"/>
      <c r="S845" s="47"/>
      <c r="T845" s="47"/>
      <c r="U845" s="47"/>
      <c r="V845" s="47"/>
      <c r="W845" s="47"/>
      <c r="X845" s="47"/>
      <c r="Y845" s="47"/>
      <c r="Z845" s="47"/>
    </row>
    <row r="846">
      <c r="A846" s="57"/>
      <c r="B846" s="58"/>
      <c r="C846" s="58"/>
      <c r="D846" s="58"/>
      <c r="E846" s="47"/>
      <c r="F846" s="47"/>
      <c r="G846" s="47"/>
      <c r="H846" s="47"/>
      <c r="I846" s="47"/>
      <c r="J846" s="47"/>
      <c r="K846" s="47"/>
      <c r="L846" s="47"/>
      <c r="M846" s="47"/>
      <c r="N846" s="47"/>
      <c r="O846" s="47"/>
      <c r="P846" s="47"/>
      <c r="Q846" s="47"/>
      <c r="R846" s="47"/>
      <c r="S846" s="47"/>
      <c r="T846" s="47"/>
      <c r="U846" s="47"/>
      <c r="V846" s="47"/>
      <c r="W846" s="47"/>
      <c r="X846" s="47"/>
      <c r="Y846" s="47"/>
      <c r="Z846" s="47"/>
    </row>
    <row r="847">
      <c r="A847" s="57"/>
      <c r="B847" s="58"/>
      <c r="C847" s="58"/>
      <c r="D847" s="58"/>
      <c r="E847" s="47"/>
      <c r="F847" s="47"/>
      <c r="G847" s="47"/>
      <c r="H847" s="47"/>
      <c r="I847" s="47"/>
      <c r="J847" s="47"/>
      <c r="K847" s="47"/>
      <c r="L847" s="47"/>
      <c r="M847" s="47"/>
      <c r="N847" s="47"/>
      <c r="O847" s="47"/>
      <c r="P847" s="47"/>
      <c r="Q847" s="47"/>
      <c r="R847" s="47"/>
      <c r="S847" s="47"/>
      <c r="T847" s="47"/>
      <c r="U847" s="47"/>
      <c r="V847" s="47"/>
      <c r="W847" s="47"/>
      <c r="X847" s="47"/>
      <c r="Y847" s="47"/>
      <c r="Z847" s="47"/>
    </row>
    <row r="848">
      <c r="A848" s="57"/>
      <c r="B848" s="58"/>
      <c r="C848" s="58"/>
      <c r="D848" s="58"/>
      <c r="E848" s="47"/>
      <c r="F848" s="47"/>
      <c r="G848" s="47"/>
      <c r="H848" s="47"/>
      <c r="I848" s="47"/>
      <c r="J848" s="47"/>
      <c r="K848" s="47"/>
      <c r="L848" s="47"/>
      <c r="M848" s="47"/>
      <c r="N848" s="47"/>
      <c r="O848" s="47"/>
      <c r="P848" s="47"/>
      <c r="Q848" s="47"/>
      <c r="R848" s="47"/>
      <c r="S848" s="47"/>
      <c r="T848" s="47"/>
      <c r="U848" s="47"/>
      <c r="V848" s="47"/>
      <c r="W848" s="47"/>
      <c r="X848" s="47"/>
      <c r="Y848" s="47"/>
      <c r="Z848" s="47"/>
    </row>
    <row r="849">
      <c r="A849" s="57"/>
      <c r="B849" s="58"/>
      <c r="C849" s="58"/>
      <c r="D849" s="58"/>
      <c r="E849" s="47"/>
      <c r="F849" s="47"/>
      <c r="G849" s="47"/>
      <c r="H849" s="47"/>
      <c r="I849" s="47"/>
      <c r="J849" s="47"/>
      <c r="K849" s="47"/>
      <c r="L849" s="47"/>
      <c r="M849" s="47"/>
      <c r="N849" s="47"/>
      <c r="O849" s="47"/>
      <c r="P849" s="47"/>
      <c r="Q849" s="47"/>
      <c r="R849" s="47"/>
      <c r="S849" s="47"/>
      <c r="T849" s="47"/>
      <c r="U849" s="47"/>
      <c r="V849" s="47"/>
      <c r="W849" s="47"/>
      <c r="X849" s="47"/>
      <c r="Y849" s="47"/>
      <c r="Z849" s="47"/>
    </row>
    <row r="850">
      <c r="A850" s="57"/>
      <c r="B850" s="58"/>
      <c r="C850" s="58"/>
      <c r="D850" s="58"/>
      <c r="E850" s="47"/>
      <c r="F850" s="47"/>
      <c r="G850" s="47"/>
      <c r="H850" s="47"/>
      <c r="I850" s="47"/>
      <c r="J850" s="47"/>
      <c r="K850" s="47"/>
      <c r="L850" s="47"/>
      <c r="M850" s="47"/>
      <c r="N850" s="47"/>
      <c r="O850" s="47"/>
      <c r="P850" s="47"/>
      <c r="Q850" s="47"/>
      <c r="R850" s="47"/>
      <c r="S850" s="47"/>
      <c r="T850" s="47"/>
      <c r="U850" s="47"/>
      <c r="V850" s="47"/>
      <c r="W850" s="47"/>
      <c r="X850" s="47"/>
      <c r="Y850" s="47"/>
      <c r="Z850" s="47"/>
    </row>
    <row r="851">
      <c r="A851" s="57"/>
      <c r="B851" s="58"/>
      <c r="C851" s="58"/>
      <c r="D851" s="58"/>
      <c r="E851" s="47"/>
      <c r="F851" s="47"/>
      <c r="G851" s="47"/>
      <c r="H851" s="47"/>
      <c r="I851" s="47"/>
      <c r="J851" s="47"/>
      <c r="K851" s="47"/>
      <c r="L851" s="47"/>
      <c r="M851" s="47"/>
      <c r="N851" s="47"/>
      <c r="O851" s="47"/>
      <c r="P851" s="47"/>
      <c r="Q851" s="47"/>
      <c r="R851" s="47"/>
      <c r="S851" s="47"/>
      <c r="T851" s="47"/>
      <c r="U851" s="47"/>
      <c r="V851" s="47"/>
      <c r="W851" s="47"/>
      <c r="X851" s="47"/>
      <c r="Y851" s="47"/>
      <c r="Z851" s="47"/>
    </row>
    <row r="852">
      <c r="A852" s="57"/>
      <c r="B852" s="58"/>
      <c r="C852" s="58"/>
      <c r="D852" s="58"/>
      <c r="E852" s="47"/>
      <c r="F852" s="47"/>
      <c r="G852" s="47"/>
      <c r="H852" s="47"/>
      <c r="I852" s="47"/>
      <c r="J852" s="47"/>
      <c r="K852" s="47"/>
      <c r="L852" s="47"/>
      <c r="M852" s="47"/>
      <c r="N852" s="47"/>
      <c r="O852" s="47"/>
      <c r="P852" s="47"/>
      <c r="Q852" s="47"/>
      <c r="R852" s="47"/>
      <c r="S852" s="47"/>
      <c r="T852" s="47"/>
      <c r="U852" s="47"/>
      <c r="V852" s="47"/>
      <c r="W852" s="47"/>
      <c r="X852" s="47"/>
      <c r="Y852" s="47"/>
      <c r="Z852" s="47"/>
    </row>
    <row r="853">
      <c r="A853" s="57"/>
      <c r="B853" s="58"/>
      <c r="C853" s="58"/>
      <c r="D853" s="58"/>
      <c r="E853" s="47"/>
      <c r="F853" s="47"/>
      <c r="G853" s="47"/>
      <c r="H853" s="47"/>
      <c r="I853" s="47"/>
      <c r="J853" s="47"/>
      <c r="K853" s="47"/>
      <c r="L853" s="47"/>
      <c r="M853" s="47"/>
      <c r="N853" s="47"/>
      <c r="O853" s="47"/>
      <c r="P853" s="47"/>
      <c r="Q853" s="47"/>
      <c r="R853" s="47"/>
      <c r="S853" s="47"/>
      <c r="T853" s="47"/>
      <c r="U853" s="47"/>
      <c r="V853" s="47"/>
      <c r="W853" s="47"/>
      <c r="X853" s="47"/>
      <c r="Y853" s="47"/>
      <c r="Z853" s="47"/>
    </row>
    <row r="854">
      <c r="A854" s="57"/>
      <c r="B854" s="58"/>
      <c r="C854" s="58"/>
      <c r="D854" s="58"/>
      <c r="E854" s="47"/>
      <c r="F854" s="47"/>
      <c r="G854" s="47"/>
      <c r="H854" s="47"/>
      <c r="I854" s="47"/>
      <c r="J854" s="47"/>
      <c r="K854" s="47"/>
      <c r="L854" s="47"/>
      <c r="M854" s="47"/>
      <c r="N854" s="47"/>
      <c r="O854" s="47"/>
      <c r="P854" s="47"/>
      <c r="Q854" s="47"/>
      <c r="R854" s="47"/>
      <c r="S854" s="47"/>
      <c r="T854" s="47"/>
      <c r="U854" s="47"/>
      <c r="V854" s="47"/>
      <c r="W854" s="47"/>
      <c r="X854" s="47"/>
      <c r="Y854" s="47"/>
      <c r="Z854" s="47"/>
    </row>
    <row r="855">
      <c r="A855" s="57"/>
      <c r="B855" s="58"/>
      <c r="C855" s="58"/>
      <c r="D855" s="58"/>
      <c r="E855" s="47"/>
      <c r="F855" s="47"/>
      <c r="G855" s="47"/>
      <c r="H855" s="47"/>
      <c r="I855" s="47"/>
      <c r="J855" s="47"/>
      <c r="K855" s="47"/>
      <c r="L855" s="47"/>
      <c r="M855" s="47"/>
      <c r="N855" s="47"/>
      <c r="O855" s="47"/>
      <c r="P855" s="47"/>
      <c r="Q855" s="47"/>
      <c r="R855" s="47"/>
      <c r="S855" s="47"/>
      <c r="T855" s="47"/>
      <c r="U855" s="47"/>
      <c r="V855" s="47"/>
      <c r="W855" s="47"/>
      <c r="X855" s="47"/>
      <c r="Y855" s="47"/>
      <c r="Z855" s="47"/>
    </row>
    <row r="856">
      <c r="A856" s="57"/>
      <c r="B856" s="58"/>
      <c r="C856" s="58"/>
      <c r="D856" s="58"/>
      <c r="E856" s="47"/>
      <c r="F856" s="47"/>
      <c r="G856" s="47"/>
      <c r="H856" s="47"/>
      <c r="I856" s="47"/>
      <c r="J856" s="47"/>
      <c r="K856" s="47"/>
      <c r="L856" s="47"/>
      <c r="M856" s="47"/>
      <c r="N856" s="47"/>
      <c r="O856" s="47"/>
      <c r="P856" s="47"/>
      <c r="Q856" s="47"/>
      <c r="R856" s="47"/>
      <c r="S856" s="47"/>
      <c r="T856" s="47"/>
      <c r="U856" s="47"/>
      <c r="V856" s="47"/>
      <c r="W856" s="47"/>
      <c r="X856" s="47"/>
      <c r="Y856" s="47"/>
      <c r="Z856" s="47"/>
    </row>
    <row r="857">
      <c r="A857" s="57"/>
      <c r="B857" s="58"/>
      <c r="C857" s="58"/>
      <c r="D857" s="58"/>
      <c r="E857" s="47"/>
      <c r="F857" s="47"/>
      <c r="G857" s="47"/>
      <c r="H857" s="47"/>
      <c r="I857" s="47"/>
      <c r="J857" s="47"/>
      <c r="K857" s="47"/>
      <c r="L857" s="47"/>
      <c r="M857" s="47"/>
      <c r="N857" s="47"/>
      <c r="O857" s="47"/>
      <c r="P857" s="47"/>
      <c r="Q857" s="47"/>
      <c r="R857" s="47"/>
      <c r="S857" s="47"/>
      <c r="T857" s="47"/>
      <c r="U857" s="47"/>
      <c r="V857" s="47"/>
      <c r="W857" s="47"/>
      <c r="X857" s="47"/>
      <c r="Y857" s="47"/>
      <c r="Z857" s="47"/>
    </row>
    <row r="858">
      <c r="A858" s="57"/>
      <c r="B858" s="58"/>
      <c r="C858" s="58"/>
      <c r="D858" s="58"/>
      <c r="E858" s="47"/>
      <c r="F858" s="47"/>
      <c r="G858" s="47"/>
      <c r="H858" s="47"/>
      <c r="I858" s="47"/>
      <c r="J858" s="47"/>
      <c r="K858" s="47"/>
      <c r="L858" s="47"/>
      <c r="M858" s="47"/>
      <c r="N858" s="47"/>
      <c r="O858" s="47"/>
      <c r="P858" s="47"/>
      <c r="Q858" s="47"/>
      <c r="R858" s="47"/>
      <c r="S858" s="47"/>
      <c r="T858" s="47"/>
      <c r="U858" s="47"/>
      <c r="V858" s="47"/>
      <c r="W858" s="47"/>
      <c r="X858" s="47"/>
      <c r="Y858" s="47"/>
      <c r="Z858" s="47"/>
    </row>
    <row r="859">
      <c r="A859" s="57"/>
      <c r="B859" s="58"/>
      <c r="C859" s="58"/>
      <c r="D859" s="58"/>
      <c r="E859" s="47"/>
      <c r="F859" s="47"/>
      <c r="G859" s="47"/>
      <c r="H859" s="47"/>
      <c r="I859" s="47"/>
      <c r="J859" s="47"/>
      <c r="K859" s="47"/>
      <c r="L859" s="47"/>
      <c r="M859" s="47"/>
      <c r="N859" s="47"/>
      <c r="O859" s="47"/>
      <c r="P859" s="47"/>
      <c r="Q859" s="47"/>
      <c r="R859" s="47"/>
      <c r="S859" s="47"/>
      <c r="T859" s="47"/>
      <c r="U859" s="47"/>
      <c r="V859" s="47"/>
      <c r="W859" s="47"/>
      <c r="X859" s="47"/>
      <c r="Y859" s="47"/>
      <c r="Z859" s="47"/>
    </row>
    <row r="860">
      <c r="A860" s="57"/>
      <c r="B860" s="58"/>
      <c r="C860" s="58"/>
      <c r="D860" s="58"/>
      <c r="E860" s="47"/>
      <c r="F860" s="47"/>
      <c r="G860" s="47"/>
      <c r="H860" s="47"/>
      <c r="I860" s="47"/>
      <c r="J860" s="47"/>
      <c r="K860" s="47"/>
      <c r="L860" s="47"/>
      <c r="M860" s="47"/>
      <c r="N860" s="47"/>
      <c r="O860" s="47"/>
      <c r="P860" s="47"/>
      <c r="Q860" s="47"/>
      <c r="R860" s="47"/>
      <c r="S860" s="47"/>
      <c r="T860" s="47"/>
      <c r="U860" s="47"/>
      <c r="V860" s="47"/>
      <c r="W860" s="47"/>
      <c r="X860" s="47"/>
      <c r="Y860" s="47"/>
      <c r="Z860" s="47"/>
    </row>
    <row r="861">
      <c r="A861" s="57"/>
      <c r="B861" s="58"/>
      <c r="C861" s="58"/>
      <c r="D861" s="58"/>
      <c r="E861" s="47"/>
      <c r="F861" s="47"/>
      <c r="G861" s="47"/>
      <c r="H861" s="47"/>
      <c r="I861" s="47"/>
      <c r="J861" s="47"/>
      <c r="K861" s="47"/>
      <c r="L861" s="47"/>
      <c r="M861" s="47"/>
      <c r="N861" s="47"/>
      <c r="O861" s="47"/>
      <c r="P861" s="47"/>
      <c r="Q861" s="47"/>
      <c r="R861" s="47"/>
      <c r="S861" s="47"/>
      <c r="T861" s="47"/>
      <c r="U861" s="47"/>
      <c r="V861" s="47"/>
      <c r="W861" s="47"/>
      <c r="X861" s="47"/>
      <c r="Y861" s="47"/>
      <c r="Z861" s="47"/>
    </row>
    <row r="862">
      <c r="A862" s="57"/>
      <c r="B862" s="58"/>
      <c r="C862" s="58"/>
      <c r="D862" s="58"/>
      <c r="E862" s="47"/>
      <c r="F862" s="47"/>
      <c r="G862" s="47"/>
      <c r="H862" s="47"/>
      <c r="I862" s="47"/>
      <c r="J862" s="47"/>
      <c r="K862" s="47"/>
      <c r="L862" s="47"/>
      <c r="M862" s="47"/>
      <c r="N862" s="47"/>
      <c r="O862" s="47"/>
      <c r="P862" s="47"/>
      <c r="Q862" s="47"/>
      <c r="R862" s="47"/>
      <c r="S862" s="47"/>
      <c r="T862" s="47"/>
      <c r="U862" s="47"/>
      <c r="V862" s="47"/>
      <c r="W862" s="47"/>
      <c r="X862" s="47"/>
      <c r="Y862" s="47"/>
      <c r="Z862" s="47"/>
    </row>
    <row r="863">
      <c r="A863" s="57"/>
      <c r="B863" s="58"/>
      <c r="C863" s="58"/>
      <c r="D863" s="58"/>
      <c r="E863" s="47"/>
      <c r="F863" s="47"/>
      <c r="G863" s="47"/>
      <c r="H863" s="47"/>
      <c r="I863" s="47"/>
      <c r="J863" s="47"/>
      <c r="K863" s="47"/>
      <c r="L863" s="47"/>
      <c r="M863" s="47"/>
      <c r="N863" s="47"/>
      <c r="O863" s="47"/>
      <c r="P863" s="47"/>
      <c r="Q863" s="47"/>
      <c r="R863" s="47"/>
      <c r="S863" s="47"/>
      <c r="T863" s="47"/>
      <c r="U863" s="47"/>
      <c r="V863" s="47"/>
      <c r="W863" s="47"/>
      <c r="X863" s="47"/>
      <c r="Y863" s="47"/>
      <c r="Z863" s="47"/>
    </row>
    <row r="864">
      <c r="A864" s="57"/>
      <c r="B864" s="58"/>
      <c r="C864" s="58"/>
      <c r="D864" s="58"/>
      <c r="E864" s="47"/>
      <c r="F864" s="47"/>
      <c r="G864" s="47"/>
      <c r="H864" s="47"/>
      <c r="I864" s="47"/>
      <c r="J864" s="47"/>
      <c r="K864" s="47"/>
      <c r="L864" s="47"/>
      <c r="M864" s="47"/>
      <c r="N864" s="47"/>
      <c r="O864" s="47"/>
      <c r="P864" s="47"/>
      <c r="Q864" s="47"/>
      <c r="R864" s="47"/>
      <c r="S864" s="47"/>
      <c r="T864" s="47"/>
      <c r="U864" s="47"/>
      <c r="V864" s="47"/>
      <c r="W864" s="47"/>
      <c r="X864" s="47"/>
      <c r="Y864" s="47"/>
      <c r="Z864" s="47"/>
    </row>
    <row r="865">
      <c r="A865" s="57"/>
      <c r="B865" s="58"/>
      <c r="C865" s="58"/>
      <c r="D865" s="58"/>
      <c r="E865" s="47"/>
      <c r="F865" s="47"/>
      <c r="G865" s="47"/>
      <c r="H865" s="47"/>
      <c r="I865" s="47"/>
      <c r="J865" s="47"/>
      <c r="K865" s="47"/>
      <c r="L865" s="47"/>
      <c r="M865" s="47"/>
      <c r="N865" s="47"/>
      <c r="O865" s="47"/>
      <c r="P865" s="47"/>
      <c r="Q865" s="47"/>
      <c r="R865" s="47"/>
      <c r="S865" s="47"/>
      <c r="T865" s="47"/>
      <c r="U865" s="47"/>
      <c r="V865" s="47"/>
      <c r="W865" s="47"/>
      <c r="X865" s="47"/>
      <c r="Y865" s="47"/>
      <c r="Z865" s="47"/>
    </row>
    <row r="866">
      <c r="A866" s="57"/>
      <c r="B866" s="58"/>
      <c r="C866" s="58"/>
      <c r="D866" s="58"/>
      <c r="E866" s="47"/>
      <c r="F866" s="47"/>
      <c r="G866" s="47"/>
      <c r="H866" s="47"/>
      <c r="I866" s="47"/>
      <c r="J866" s="47"/>
      <c r="K866" s="47"/>
      <c r="L866" s="47"/>
      <c r="M866" s="47"/>
      <c r="N866" s="47"/>
      <c r="O866" s="47"/>
      <c r="P866" s="47"/>
      <c r="Q866" s="47"/>
      <c r="R866" s="47"/>
      <c r="S866" s="47"/>
      <c r="T866" s="47"/>
      <c r="U866" s="47"/>
      <c r="V866" s="47"/>
      <c r="W866" s="47"/>
      <c r="X866" s="47"/>
      <c r="Y866" s="47"/>
      <c r="Z866" s="47"/>
    </row>
    <row r="867">
      <c r="A867" s="57"/>
      <c r="B867" s="58"/>
      <c r="C867" s="58"/>
      <c r="D867" s="58"/>
      <c r="E867" s="47"/>
      <c r="F867" s="47"/>
      <c r="G867" s="47"/>
      <c r="H867" s="47"/>
      <c r="I867" s="47"/>
      <c r="J867" s="47"/>
      <c r="K867" s="47"/>
      <c r="L867" s="47"/>
      <c r="M867" s="47"/>
      <c r="N867" s="47"/>
      <c r="O867" s="47"/>
      <c r="P867" s="47"/>
      <c r="Q867" s="47"/>
      <c r="R867" s="47"/>
      <c r="S867" s="47"/>
      <c r="T867" s="47"/>
      <c r="U867" s="47"/>
      <c r="V867" s="47"/>
      <c r="W867" s="47"/>
      <c r="X867" s="47"/>
      <c r="Y867" s="47"/>
      <c r="Z867" s="47"/>
    </row>
    <row r="868">
      <c r="A868" s="57"/>
      <c r="B868" s="58"/>
      <c r="C868" s="58"/>
      <c r="D868" s="58"/>
      <c r="E868" s="47"/>
      <c r="F868" s="47"/>
      <c r="G868" s="47"/>
      <c r="H868" s="47"/>
      <c r="I868" s="47"/>
      <c r="J868" s="47"/>
      <c r="K868" s="47"/>
      <c r="L868" s="47"/>
      <c r="M868" s="47"/>
      <c r="N868" s="47"/>
      <c r="O868" s="47"/>
      <c r="P868" s="47"/>
      <c r="Q868" s="47"/>
      <c r="R868" s="47"/>
      <c r="S868" s="47"/>
      <c r="T868" s="47"/>
      <c r="U868" s="47"/>
      <c r="V868" s="47"/>
      <c r="W868" s="47"/>
      <c r="X868" s="47"/>
      <c r="Y868" s="47"/>
      <c r="Z868" s="47"/>
    </row>
    <row r="869">
      <c r="A869" s="57"/>
      <c r="B869" s="58"/>
      <c r="C869" s="58"/>
      <c r="D869" s="58"/>
      <c r="E869" s="47"/>
      <c r="F869" s="47"/>
      <c r="G869" s="47"/>
      <c r="H869" s="47"/>
      <c r="I869" s="47"/>
      <c r="J869" s="47"/>
      <c r="K869" s="47"/>
      <c r="L869" s="47"/>
      <c r="M869" s="47"/>
      <c r="N869" s="47"/>
      <c r="O869" s="47"/>
      <c r="P869" s="47"/>
      <c r="Q869" s="47"/>
      <c r="R869" s="47"/>
      <c r="S869" s="47"/>
      <c r="T869" s="47"/>
      <c r="U869" s="47"/>
      <c r="V869" s="47"/>
      <c r="W869" s="47"/>
      <c r="X869" s="47"/>
      <c r="Y869" s="47"/>
      <c r="Z869" s="47"/>
    </row>
    <row r="870">
      <c r="A870" s="57"/>
      <c r="B870" s="58"/>
      <c r="C870" s="58"/>
      <c r="D870" s="58"/>
      <c r="E870" s="47"/>
      <c r="F870" s="47"/>
      <c r="G870" s="47"/>
      <c r="H870" s="47"/>
      <c r="I870" s="47"/>
      <c r="J870" s="47"/>
      <c r="K870" s="47"/>
      <c r="L870" s="47"/>
      <c r="M870" s="47"/>
      <c r="N870" s="47"/>
      <c r="O870" s="47"/>
      <c r="P870" s="47"/>
      <c r="Q870" s="47"/>
      <c r="R870" s="47"/>
      <c r="S870" s="47"/>
      <c r="T870" s="47"/>
      <c r="U870" s="47"/>
      <c r="V870" s="47"/>
      <c r="W870" s="47"/>
      <c r="X870" s="47"/>
      <c r="Y870" s="47"/>
      <c r="Z870" s="47"/>
    </row>
    <row r="871">
      <c r="A871" s="57"/>
      <c r="B871" s="58"/>
      <c r="C871" s="58"/>
      <c r="D871" s="58"/>
      <c r="E871" s="47"/>
      <c r="F871" s="47"/>
      <c r="G871" s="47"/>
      <c r="H871" s="47"/>
      <c r="I871" s="47"/>
      <c r="J871" s="47"/>
      <c r="K871" s="47"/>
      <c r="L871" s="47"/>
      <c r="M871" s="47"/>
      <c r="N871" s="47"/>
      <c r="O871" s="47"/>
      <c r="P871" s="47"/>
      <c r="Q871" s="47"/>
      <c r="R871" s="47"/>
      <c r="S871" s="47"/>
      <c r="T871" s="47"/>
      <c r="U871" s="47"/>
      <c r="V871" s="47"/>
      <c r="W871" s="47"/>
      <c r="X871" s="47"/>
      <c r="Y871" s="47"/>
      <c r="Z871" s="47"/>
    </row>
    <row r="872">
      <c r="A872" s="57"/>
      <c r="B872" s="58"/>
      <c r="C872" s="58"/>
      <c r="D872" s="58"/>
      <c r="E872" s="47"/>
      <c r="F872" s="47"/>
      <c r="G872" s="47"/>
      <c r="H872" s="47"/>
      <c r="I872" s="47"/>
      <c r="J872" s="47"/>
      <c r="K872" s="47"/>
      <c r="L872" s="47"/>
      <c r="M872" s="47"/>
      <c r="N872" s="47"/>
      <c r="O872" s="47"/>
      <c r="P872" s="47"/>
      <c r="Q872" s="47"/>
      <c r="R872" s="47"/>
      <c r="S872" s="47"/>
      <c r="T872" s="47"/>
      <c r="U872" s="47"/>
      <c r="V872" s="47"/>
      <c r="W872" s="47"/>
      <c r="X872" s="47"/>
      <c r="Y872" s="47"/>
      <c r="Z872" s="47"/>
    </row>
    <row r="873">
      <c r="A873" s="57"/>
      <c r="B873" s="58"/>
      <c r="C873" s="58"/>
      <c r="D873" s="58"/>
      <c r="E873" s="47"/>
      <c r="F873" s="47"/>
      <c r="G873" s="47"/>
      <c r="H873" s="47"/>
      <c r="I873" s="47"/>
      <c r="J873" s="47"/>
      <c r="K873" s="47"/>
      <c r="L873" s="47"/>
      <c r="M873" s="47"/>
      <c r="N873" s="47"/>
      <c r="O873" s="47"/>
      <c r="P873" s="47"/>
      <c r="Q873" s="47"/>
      <c r="R873" s="47"/>
      <c r="S873" s="47"/>
      <c r="T873" s="47"/>
      <c r="U873" s="47"/>
      <c r="V873" s="47"/>
      <c r="W873" s="47"/>
      <c r="X873" s="47"/>
      <c r="Y873" s="47"/>
      <c r="Z873" s="47"/>
    </row>
    <row r="874">
      <c r="A874" s="57"/>
      <c r="B874" s="58"/>
      <c r="C874" s="58"/>
      <c r="D874" s="58"/>
      <c r="E874" s="47"/>
      <c r="F874" s="47"/>
      <c r="G874" s="47"/>
      <c r="H874" s="47"/>
      <c r="I874" s="47"/>
      <c r="J874" s="47"/>
      <c r="K874" s="47"/>
      <c r="L874" s="47"/>
      <c r="M874" s="47"/>
      <c r="N874" s="47"/>
      <c r="O874" s="47"/>
      <c r="P874" s="47"/>
      <c r="Q874" s="47"/>
      <c r="R874" s="47"/>
      <c r="S874" s="47"/>
      <c r="T874" s="47"/>
      <c r="U874" s="47"/>
      <c r="V874" s="47"/>
      <c r="W874" s="47"/>
      <c r="X874" s="47"/>
      <c r="Y874" s="47"/>
      <c r="Z874" s="47"/>
    </row>
    <row r="875">
      <c r="A875" s="57"/>
      <c r="B875" s="58"/>
      <c r="C875" s="58"/>
      <c r="D875" s="58"/>
      <c r="E875" s="47"/>
      <c r="F875" s="47"/>
      <c r="G875" s="47"/>
      <c r="H875" s="47"/>
      <c r="I875" s="47"/>
      <c r="J875" s="47"/>
      <c r="K875" s="47"/>
      <c r="L875" s="47"/>
      <c r="M875" s="47"/>
      <c r="N875" s="47"/>
      <c r="O875" s="47"/>
      <c r="P875" s="47"/>
      <c r="Q875" s="47"/>
      <c r="R875" s="47"/>
      <c r="S875" s="47"/>
      <c r="T875" s="47"/>
      <c r="U875" s="47"/>
      <c r="V875" s="47"/>
      <c r="W875" s="47"/>
      <c r="X875" s="47"/>
      <c r="Y875" s="47"/>
      <c r="Z875" s="47"/>
    </row>
    <row r="876">
      <c r="A876" s="57"/>
      <c r="B876" s="58"/>
      <c r="C876" s="58"/>
      <c r="D876" s="58"/>
      <c r="E876" s="47"/>
      <c r="F876" s="47"/>
      <c r="G876" s="47"/>
      <c r="H876" s="47"/>
      <c r="I876" s="47"/>
      <c r="J876" s="47"/>
      <c r="K876" s="47"/>
      <c r="L876" s="47"/>
      <c r="M876" s="47"/>
      <c r="N876" s="47"/>
      <c r="O876" s="47"/>
      <c r="P876" s="47"/>
      <c r="Q876" s="47"/>
      <c r="R876" s="47"/>
      <c r="S876" s="47"/>
      <c r="T876" s="47"/>
      <c r="U876" s="47"/>
      <c r="V876" s="47"/>
      <c r="W876" s="47"/>
      <c r="X876" s="47"/>
      <c r="Y876" s="47"/>
      <c r="Z876" s="47"/>
    </row>
    <row r="877">
      <c r="A877" s="57"/>
      <c r="B877" s="58"/>
      <c r="C877" s="58"/>
      <c r="D877" s="58"/>
      <c r="E877" s="47"/>
      <c r="F877" s="47"/>
      <c r="G877" s="47"/>
      <c r="H877" s="47"/>
      <c r="I877" s="47"/>
      <c r="J877" s="47"/>
      <c r="K877" s="47"/>
      <c r="L877" s="47"/>
      <c r="M877" s="47"/>
      <c r="N877" s="47"/>
      <c r="O877" s="47"/>
      <c r="P877" s="47"/>
      <c r="Q877" s="47"/>
      <c r="R877" s="47"/>
      <c r="S877" s="47"/>
      <c r="T877" s="47"/>
      <c r="U877" s="47"/>
      <c r="V877" s="47"/>
      <c r="W877" s="47"/>
      <c r="X877" s="47"/>
      <c r="Y877" s="47"/>
      <c r="Z877" s="47"/>
    </row>
    <row r="878">
      <c r="A878" s="57"/>
      <c r="B878" s="58"/>
      <c r="C878" s="58"/>
      <c r="D878" s="58"/>
      <c r="E878" s="47"/>
      <c r="F878" s="47"/>
      <c r="G878" s="47"/>
      <c r="H878" s="47"/>
      <c r="I878" s="47"/>
      <c r="J878" s="47"/>
      <c r="K878" s="47"/>
      <c r="L878" s="47"/>
      <c r="M878" s="47"/>
      <c r="N878" s="47"/>
      <c r="O878" s="47"/>
      <c r="P878" s="47"/>
      <c r="Q878" s="47"/>
      <c r="R878" s="47"/>
      <c r="S878" s="47"/>
      <c r="T878" s="47"/>
      <c r="U878" s="47"/>
      <c r="V878" s="47"/>
      <c r="W878" s="47"/>
      <c r="X878" s="47"/>
      <c r="Y878" s="47"/>
      <c r="Z878" s="47"/>
    </row>
    <row r="879">
      <c r="A879" s="57"/>
      <c r="B879" s="58"/>
      <c r="C879" s="58"/>
      <c r="D879" s="58"/>
      <c r="E879" s="47"/>
      <c r="F879" s="47"/>
      <c r="G879" s="47"/>
      <c r="H879" s="47"/>
      <c r="I879" s="47"/>
      <c r="J879" s="47"/>
      <c r="K879" s="47"/>
      <c r="L879" s="47"/>
      <c r="M879" s="47"/>
      <c r="N879" s="47"/>
      <c r="O879" s="47"/>
      <c r="P879" s="47"/>
      <c r="Q879" s="47"/>
      <c r="R879" s="47"/>
      <c r="S879" s="47"/>
      <c r="T879" s="47"/>
      <c r="U879" s="47"/>
      <c r="V879" s="47"/>
      <c r="W879" s="47"/>
      <c r="X879" s="47"/>
      <c r="Y879" s="47"/>
      <c r="Z879" s="47"/>
    </row>
    <row r="880">
      <c r="A880" s="57"/>
      <c r="B880" s="58"/>
      <c r="C880" s="58"/>
      <c r="D880" s="58"/>
      <c r="E880" s="47"/>
      <c r="F880" s="47"/>
      <c r="G880" s="47"/>
      <c r="H880" s="47"/>
      <c r="I880" s="47"/>
      <c r="J880" s="47"/>
      <c r="K880" s="47"/>
      <c r="L880" s="47"/>
      <c r="M880" s="47"/>
      <c r="N880" s="47"/>
      <c r="O880" s="47"/>
      <c r="P880" s="47"/>
      <c r="Q880" s="47"/>
      <c r="R880" s="47"/>
      <c r="S880" s="47"/>
      <c r="T880" s="47"/>
      <c r="U880" s="47"/>
      <c r="V880" s="47"/>
      <c r="W880" s="47"/>
      <c r="X880" s="47"/>
      <c r="Y880" s="47"/>
      <c r="Z880" s="47"/>
    </row>
    <row r="881">
      <c r="A881" s="57"/>
      <c r="B881" s="58"/>
      <c r="C881" s="58"/>
      <c r="D881" s="58"/>
      <c r="E881" s="47"/>
      <c r="F881" s="47"/>
      <c r="G881" s="47"/>
      <c r="H881" s="47"/>
      <c r="I881" s="47"/>
      <c r="J881" s="47"/>
      <c r="K881" s="47"/>
      <c r="L881" s="47"/>
      <c r="M881" s="47"/>
      <c r="N881" s="47"/>
      <c r="O881" s="47"/>
      <c r="P881" s="47"/>
      <c r="Q881" s="47"/>
      <c r="R881" s="47"/>
      <c r="S881" s="47"/>
      <c r="T881" s="47"/>
      <c r="U881" s="47"/>
      <c r="V881" s="47"/>
      <c r="W881" s="47"/>
      <c r="X881" s="47"/>
      <c r="Y881" s="47"/>
      <c r="Z881" s="47"/>
    </row>
    <row r="882">
      <c r="A882" s="57"/>
      <c r="B882" s="58"/>
      <c r="C882" s="58"/>
      <c r="D882" s="58"/>
      <c r="E882" s="47"/>
      <c r="F882" s="47"/>
      <c r="G882" s="47"/>
      <c r="H882" s="47"/>
      <c r="I882" s="47"/>
      <c r="J882" s="47"/>
      <c r="K882" s="47"/>
      <c r="L882" s="47"/>
      <c r="M882" s="47"/>
      <c r="N882" s="47"/>
      <c r="O882" s="47"/>
      <c r="P882" s="47"/>
      <c r="Q882" s="47"/>
      <c r="R882" s="47"/>
      <c r="S882" s="47"/>
      <c r="T882" s="47"/>
      <c r="U882" s="47"/>
      <c r="V882" s="47"/>
      <c r="W882" s="47"/>
      <c r="X882" s="47"/>
      <c r="Y882" s="47"/>
      <c r="Z882" s="47"/>
    </row>
    <row r="883">
      <c r="A883" s="57"/>
      <c r="B883" s="58"/>
      <c r="C883" s="58"/>
      <c r="D883" s="58"/>
      <c r="E883" s="47"/>
      <c r="F883" s="47"/>
      <c r="G883" s="47"/>
      <c r="H883" s="47"/>
      <c r="I883" s="47"/>
      <c r="J883" s="47"/>
      <c r="K883" s="47"/>
      <c r="L883" s="47"/>
      <c r="M883" s="47"/>
      <c r="N883" s="47"/>
      <c r="O883" s="47"/>
      <c r="P883" s="47"/>
      <c r="Q883" s="47"/>
      <c r="R883" s="47"/>
      <c r="S883" s="47"/>
      <c r="T883" s="47"/>
      <c r="U883" s="47"/>
      <c r="V883" s="47"/>
      <c r="W883" s="47"/>
      <c r="X883" s="47"/>
      <c r="Y883" s="47"/>
      <c r="Z883" s="47"/>
    </row>
    <row r="884">
      <c r="A884" s="57"/>
      <c r="B884" s="58"/>
      <c r="C884" s="58"/>
      <c r="D884" s="58"/>
      <c r="E884" s="47"/>
      <c r="F884" s="47"/>
      <c r="G884" s="47"/>
      <c r="H884" s="47"/>
      <c r="I884" s="47"/>
      <c r="J884" s="47"/>
      <c r="K884" s="47"/>
      <c r="L884" s="47"/>
      <c r="M884" s="47"/>
      <c r="N884" s="47"/>
      <c r="O884" s="47"/>
      <c r="P884" s="47"/>
      <c r="Q884" s="47"/>
      <c r="R884" s="47"/>
      <c r="S884" s="47"/>
      <c r="T884" s="47"/>
      <c r="U884" s="47"/>
      <c r="V884" s="47"/>
      <c r="W884" s="47"/>
      <c r="X884" s="47"/>
      <c r="Y884" s="47"/>
      <c r="Z884" s="47"/>
    </row>
    <row r="885">
      <c r="A885" s="57"/>
      <c r="B885" s="58"/>
      <c r="C885" s="58"/>
      <c r="D885" s="58"/>
      <c r="E885" s="47"/>
      <c r="F885" s="47"/>
      <c r="G885" s="47"/>
      <c r="H885" s="47"/>
      <c r="I885" s="47"/>
      <c r="J885" s="47"/>
      <c r="K885" s="47"/>
      <c r="L885" s="47"/>
      <c r="M885" s="47"/>
      <c r="N885" s="47"/>
      <c r="O885" s="47"/>
      <c r="P885" s="47"/>
      <c r="Q885" s="47"/>
      <c r="R885" s="47"/>
      <c r="S885" s="47"/>
      <c r="T885" s="47"/>
      <c r="U885" s="47"/>
      <c r="V885" s="47"/>
      <c r="W885" s="47"/>
      <c r="X885" s="47"/>
      <c r="Y885" s="47"/>
      <c r="Z885" s="47"/>
    </row>
    <row r="886">
      <c r="A886" s="57"/>
      <c r="B886" s="58"/>
      <c r="C886" s="58"/>
      <c r="D886" s="58"/>
      <c r="E886" s="47"/>
      <c r="F886" s="47"/>
      <c r="G886" s="47"/>
      <c r="H886" s="47"/>
      <c r="I886" s="47"/>
      <c r="J886" s="47"/>
      <c r="K886" s="47"/>
      <c r="L886" s="47"/>
      <c r="M886" s="47"/>
      <c r="N886" s="47"/>
      <c r="O886" s="47"/>
      <c r="P886" s="47"/>
      <c r="Q886" s="47"/>
      <c r="R886" s="47"/>
      <c r="S886" s="47"/>
      <c r="T886" s="47"/>
      <c r="U886" s="47"/>
      <c r="V886" s="47"/>
      <c r="W886" s="47"/>
      <c r="X886" s="47"/>
      <c r="Y886" s="47"/>
      <c r="Z886" s="47"/>
    </row>
    <row r="887">
      <c r="A887" s="57"/>
      <c r="B887" s="58"/>
      <c r="C887" s="58"/>
      <c r="D887" s="58"/>
      <c r="E887" s="47"/>
      <c r="F887" s="47"/>
      <c r="G887" s="47"/>
      <c r="H887" s="47"/>
      <c r="I887" s="47"/>
      <c r="J887" s="47"/>
      <c r="K887" s="47"/>
      <c r="L887" s="47"/>
      <c r="M887" s="47"/>
      <c r="N887" s="47"/>
      <c r="O887" s="47"/>
      <c r="P887" s="47"/>
      <c r="Q887" s="47"/>
      <c r="R887" s="47"/>
      <c r="S887" s="47"/>
      <c r="T887" s="47"/>
      <c r="U887" s="47"/>
      <c r="V887" s="47"/>
      <c r="W887" s="47"/>
      <c r="X887" s="47"/>
      <c r="Y887" s="47"/>
      <c r="Z887" s="47"/>
    </row>
    <row r="888">
      <c r="A888" s="57"/>
      <c r="B888" s="58"/>
      <c r="C888" s="58"/>
      <c r="D888" s="58"/>
      <c r="E888" s="47"/>
      <c r="F888" s="47"/>
      <c r="G888" s="47"/>
      <c r="H888" s="47"/>
      <c r="I888" s="47"/>
      <c r="J888" s="47"/>
      <c r="K888" s="47"/>
      <c r="L888" s="47"/>
      <c r="M888" s="47"/>
      <c r="N888" s="47"/>
      <c r="O888" s="47"/>
      <c r="P888" s="47"/>
      <c r="Q888" s="47"/>
      <c r="R888" s="47"/>
      <c r="S888" s="47"/>
      <c r="T888" s="47"/>
      <c r="U888" s="47"/>
      <c r="V888" s="47"/>
      <c r="W888" s="47"/>
      <c r="X888" s="47"/>
      <c r="Y888" s="47"/>
      <c r="Z888" s="47"/>
    </row>
    <row r="889">
      <c r="A889" s="57"/>
      <c r="B889" s="58"/>
      <c r="C889" s="58"/>
      <c r="D889" s="58"/>
      <c r="E889" s="47"/>
      <c r="F889" s="47"/>
      <c r="G889" s="47"/>
      <c r="H889" s="47"/>
      <c r="I889" s="47"/>
      <c r="J889" s="47"/>
      <c r="K889" s="47"/>
      <c r="L889" s="47"/>
      <c r="M889" s="47"/>
      <c r="N889" s="47"/>
      <c r="O889" s="47"/>
      <c r="P889" s="47"/>
      <c r="Q889" s="47"/>
      <c r="R889" s="47"/>
      <c r="S889" s="47"/>
      <c r="T889" s="47"/>
      <c r="U889" s="47"/>
      <c r="V889" s="47"/>
      <c r="W889" s="47"/>
      <c r="X889" s="47"/>
      <c r="Y889" s="47"/>
      <c r="Z889" s="47"/>
    </row>
    <row r="890">
      <c r="A890" s="57"/>
      <c r="B890" s="58"/>
      <c r="C890" s="58"/>
      <c r="D890" s="58"/>
      <c r="E890" s="47"/>
      <c r="F890" s="47"/>
      <c r="G890" s="47"/>
      <c r="H890" s="47"/>
      <c r="I890" s="47"/>
      <c r="J890" s="47"/>
      <c r="K890" s="47"/>
      <c r="L890" s="47"/>
      <c r="M890" s="47"/>
      <c r="N890" s="47"/>
      <c r="O890" s="47"/>
      <c r="P890" s="47"/>
      <c r="Q890" s="47"/>
      <c r="R890" s="47"/>
      <c r="S890" s="47"/>
      <c r="T890" s="47"/>
      <c r="U890" s="47"/>
      <c r="V890" s="47"/>
      <c r="W890" s="47"/>
      <c r="X890" s="47"/>
      <c r="Y890" s="47"/>
      <c r="Z890" s="47"/>
    </row>
    <row r="891">
      <c r="A891" s="57"/>
      <c r="B891" s="58"/>
      <c r="C891" s="58"/>
      <c r="D891" s="58"/>
      <c r="E891" s="47"/>
      <c r="F891" s="47"/>
      <c r="G891" s="47"/>
      <c r="H891" s="47"/>
      <c r="I891" s="47"/>
      <c r="J891" s="47"/>
      <c r="K891" s="47"/>
      <c r="L891" s="47"/>
      <c r="M891" s="47"/>
      <c r="N891" s="47"/>
      <c r="O891" s="47"/>
      <c r="P891" s="47"/>
      <c r="Q891" s="47"/>
      <c r="R891" s="47"/>
      <c r="S891" s="47"/>
      <c r="T891" s="47"/>
      <c r="U891" s="47"/>
      <c r="V891" s="47"/>
      <c r="W891" s="47"/>
      <c r="X891" s="47"/>
      <c r="Y891" s="47"/>
      <c r="Z891" s="47"/>
    </row>
    <row r="892">
      <c r="A892" s="57"/>
      <c r="B892" s="58"/>
      <c r="C892" s="58"/>
      <c r="D892" s="58"/>
      <c r="E892" s="47"/>
      <c r="F892" s="47"/>
      <c r="G892" s="47"/>
      <c r="H892" s="47"/>
      <c r="I892" s="47"/>
      <c r="J892" s="47"/>
      <c r="K892" s="47"/>
      <c r="L892" s="47"/>
      <c r="M892" s="47"/>
      <c r="N892" s="47"/>
      <c r="O892" s="47"/>
      <c r="P892" s="47"/>
      <c r="Q892" s="47"/>
      <c r="R892" s="47"/>
      <c r="S892" s="47"/>
      <c r="T892" s="47"/>
      <c r="U892" s="47"/>
      <c r="V892" s="47"/>
      <c r="W892" s="47"/>
      <c r="X892" s="47"/>
      <c r="Y892" s="47"/>
      <c r="Z892" s="47"/>
    </row>
    <row r="893">
      <c r="A893" s="57"/>
      <c r="B893" s="58"/>
      <c r="C893" s="58"/>
      <c r="D893" s="58"/>
      <c r="E893" s="47"/>
      <c r="F893" s="47"/>
      <c r="G893" s="47"/>
      <c r="H893" s="47"/>
      <c r="I893" s="47"/>
      <c r="J893" s="47"/>
      <c r="K893" s="47"/>
      <c r="L893" s="47"/>
      <c r="M893" s="47"/>
      <c r="N893" s="47"/>
      <c r="O893" s="47"/>
      <c r="P893" s="47"/>
      <c r="Q893" s="47"/>
      <c r="R893" s="47"/>
      <c r="S893" s="47"/>
      <c r="T893" s="47"/>
      <c r="U893" s="47"/>
      <c r="V893" s="47"/>
      <c r="W893" s="47"/>
      <c r="X893" s="47"/>
      <c r="Y893" s="47"/>
      <c r="Z893" s="47"/>
    </row>
    <row r="894">
      <c r="A894" s="57"/>
      <c r="B894" s="58"/>
      <c r="C894" s="58"/>
      <c r="D894" s="58"/>
      <c r="E894" s="47"/>
      <c r="F894" s="47"/>
      <c r="G894" s="47"/>
      <c r="H894" s="47"/>
      <c r="I894" s="47"/>
      <c r="J894" s="47"/>
      <c r="K894" s="47"/>
      <c r="L894" s="47"/>
      <c r="M894" s="47"/>
      <c r="N894" s="47"/>
      <c r="O894" s="47"/>
      <c r="P894" s="47"/>
      <c r="Q894" s="47"/>
      <c r="R894" s="47"/>
      <c r="S894" s="47"/>
      <c r="T894" s="47"/>
      <c r="U894" s="47"/>
      <c r="V894" s="47"/>
      <c r="W894" s="47"/>
      <c r="X894" s="47"/>
      <c r="Y894" s="47"/>
      <c r="Z894" s="47"/>
    </row>
    <row r="895">
      <c r="A895" s="57"/>
      <c r="B895" s="58"/>
      <c r="C895" s="58"/>
      <c r="D895" s="58"/>
      <c r="E895" s="47"/>
      <c r="F895" s="47"/>
      <c r="G895" s="47"/>
      <c r="H895" s="47"/>
      <c r="I895" s="47"/>
      <c r="J895" s="47"/>
      <c r="K895" s="47"/>
      <c r="L895" s="47"/>
      <c r="M895" s="47"/>
      <c r="N895" s="47"/>
      <c r="O895" s="47"/>
      <c r="P895" s="47"/>
      <c r="Q895" s="47"/>
      <c r="R895" s="47"/>
      <c r="S895" s="47"/>
      <c r="T895" s="47"/>
      <c r="U895" s="47"/>
      <c r="V895" s="47"/>
      <c r="W895" s="47"/>
      <c r="X895" s="47"/>
      <c r="Y895" s="47"/>
      <c r="Z895" s="47"/>
    </row>
    <row r="896">
      <c r="A896" s="57"/>
      <c r="B896" s="58"/>
      <c r="C896" s="58"/>
      <c r="D896" s="58"/>
      <c r="E896" s="47"/>
      <c r="F896" s="47"/>
      <c r="G896" s="47"/>
      <c r="H896" s="47"/>
      <c r="I896" s="47"/>
      <c r="J896" s="47"/>
      <c r="K896" s="47"/>
      <c r="L896" s="47"/>
      <c r="M896" s="47"/>
      <c r="N896" s="47"/>
      <c r="O896" s="47"/>
      <c r="P896" s="47"/>
      <c r="Q896" s="47"/>
      <c r="R896" s="47"/>
      <c r="S896" s="47"/>
      <c r="T896" s="47"/>
      <c r="U896" s="47"/>
      <c r="V896" s="47"/>
      <c r="W896" s="47"/>
      <c r="X896" s="47"/>
      <c r="Y896" s="47"/>
      <c r="Z896" s="47"/>
    </row>
    <row r="897">
      <c r="A897" s="57"/>
      <c r="B897" s="58"/>
      <c r="C897" s="58"/>
      <c r="D897" s="58"/>
      <c r="E897" s="47"/>
      <c r="F897" s="47"/>
      <c r="G897" s="47"/>
      <c r="H897" s="47"/>
      <c r="I897" s="47"/>
      <c r="J897" s="47"/>
      <c r="K897" s="47"/>
      <c r="L897" s="47"/>
      <c r="M897" s="47"/>
      <c r="N897" s="47"/>
      <c r="O897" s="47"/>
      <c r="P897" s="47"/>
      <c r="Q897" s="47"/>
      <c r="R897" s="47"/>
      <c r="S897" s="47"/>
      <c r="T897" s="47"/>
      <c r="U897" s="47"/>
      <c r="V897" s="47"/>
      <c r="W897" s="47"/>
      <c r="X897" s="47"/>
      <c r="Y897" s="47"/>
      <c r="Z897" s="47"/>
    </row>
    <row r="898">
      <c r="A898" s="57"/>
      <c r="B898" s="58"/>
      <c r="C898" s="58"/>
      <c r="D898" s="58"/>
      <c r="E898" s="47"/>
      <c r="F898" s="47"/>
      <c r="G898" s="47"/>
      <c r="H898" s="47"/>
      <c r="I898" s="47"/>
      <c r="J898" s="47"/>
      <c r="K898" s="47"/>
      <c r="L898" s="47"/>
      <c r="M898" s="47"/>
      <c r="N898" s="47"/>
      <c r="O898" s="47"/>
      <c r="P898" s="47"/>
      <c r="Q898" s="47"/>
      <c r="R898" s="47"/>
      <c r="S898" s="47"/>
      <c r="T898" s="47"/>
      <c r="U898" s="47"/>
      <c r="V898" s="47"/>
      <c r="W898" s="47"/>
      <c r="X898" s="47"/>
      <c r="Y898" s="47"/>
      <c r="Z898" s="47"/>
    </row>
    <row r="899">
      <c r="A899" s="57"/>
      <c r="B899" s="58"/>
      <c r="C899" s="58"/>
      <c r="D899" s="58"/>
      <c r="E899" s="47"/>
      <c r="F899" s="47"/>
      <c r="G899" s="47"/>
      <c r="H899" s="47"/>
      <c r="I899" s="47"/>
      <c r="J899" s="47"/>
      <c r="K899" s="47"/>
      <c r="L899" s="47"/>
      <c r="M899" s="47"/>
      <c r="N899" s="47"/>
      <c r="O899" s="47"/>
      <c r="P899" s="47"/>
      <c r="Q899" s="47"/>
      <c r="R899" s="47"/>
      <c r="S899" s="47"/>
      <c r="T899" s="47"/>
      <c r="U899" s="47"/>
      <c r="V899" s="47"/>
      <c r="W899" s="47"/>
      <c r="X899" s="47"/>
      <c r="Y899" s="47"/>
      <c r="Z899" s="47"/>
    </row>
    <row r="900">
      <c r="A900" s="57"/>
      <c r="B900" s="58"/>
      <c r="C900" s="58"/>
      <c r="D900" s="58"/>
      <c r="E900" s="47"/>
      <c r="F900" s="47"/>
      <c r="G900" s="47"/>
      <c r="H900" s="47"/>
      <c r="I900" s="47"/>
      <c r="J900" s="47"/>
      <c r="K900" s="47"/>
      <c r="L900" s="47"/>
      <c r="M900" s="47"/>
      <c r="N900" s="47"/>
      <c r="O900" s="47"/>
      <c r="P900" s="47"/>
      <c r="Q900" s="47"/>
      <c r="R900" s="47"/>
      <c r="S900" s="47"/>
      <c r="T900" s="47"/>
      <c r="U900" s="47"/>
      <c r="V900" s="47"/>
      <c r="W900" s="47"/>
      <c r="X900" s="47"/>
      <c r="Y900" s="47"/>
      <c r="Z900" s="47"/>
    </row>
    <row r="901">
      <c r="A901" s="57"/>
      <c r="B901" s="58"/>
      <c r="C901" s="58"/>
      <c r="D901" s="58"/>
      <c r="E901" s="47"/>
      <c r="F901" s="47"/>
      <c r="G901" s="47"/>
      <c r="H901" s="47"/>
      <c r="I901" s="47"/>
      <c r="J901" s="47"/>
      <c r="K901" s="47"/>
      <c r="L901" s="47"/>
      <c r="M901" s="47"/>
      <c r="N901" s="47"/>
      <c r="O901" s="47"/>
      <c r="P901" s="47"/>
      <c r="Q901" s="47"/>
      <c r="R901" s="47"/>
      <c r="S901" s="47"/>
      <c r="T901" s="47"/>
      <c r="U901" s="47"/>
      <c r="V901" s="47"/>
      <c r="W901" s="47"/>
      <c r="X901" s="47"/>
      <c r="Y901" s="47"/>
      <c r="Z901" s="47"/>
    </row>
    <row r="902">
      <c r="A902" s="57"/>
      <c r="B902" s="58"/>
      <c r="C902" s="58"/>
      <c r="D902" s="58"/>
      <c r="E902" s="47"/>
      <c r="F902" s="47"/>
      <c r="G902" s="47"/>
      <c r="H902" s="47"/>
      <c r="I902" s="47"/>
      <c r="J902" s="47"/>
      <c r="K902" s="47"/>
      <c r="L902" s="47"/>
      <c r="M902" s="47"/>
      <c r="N902" s="47"/>
      <c r="O902" s="47"/>
      <c r="P902" s="47"/>
      <c r="Q902" s="47"/>
      <c r="R902" s="47"/>
      <c r="S902" s="47"/>
      <c r="T902" s="47"/>
      <c r="U902" s="47"/>
      <c r="V902" s="47"/>
      <c r="W902" s="47"/>
      <c r="X902" s="47"/>
      <c r="Y902" s="47"/>
      <c r="Z902" s="47"/>
    </row>
    <row r="903">
      <c r="A903" s="57"/>
      <c r="B903" s="58"/>
      <c r="C903" s="58"/>
      <c r="D903" s="58"/>
      <c r="E903" s="47"/>
      <c r="F903" s="47"/>
      <c r="G903" s="47"/>
      <c r="H903" s="47"/>
      <c r="I903" s="47"/>
      <c r="J903" s="47"/>
      <c r="K903" s="47"/>
      <c r="L903" s="47"/>
      <c r="M903" s="47"/>
      <c r="N903" s="47"/>
      <c r="O903" s="47"/>
      <c r="P903" s="47"/>
      <c r="Q903" s="47"/>
      <c r="R903" s="47"/>
      <c r="S903" s="47"/>
      <c r="T903" s="47"/>
      <c r="U903" s="47"/>
      <c r="V903" s="47"/>
      <c r="W903" s="47"/>
      <c r="X903" s="47"/>
      <c r="Y903" s="47"/>
      <c r="Z903" s="47"/>
    </row>
    <row r="904">
      <c r="A904" s="57"/>
      <c r="B904" s="58"/>
      <c r="C904" s="58"/>
      <c r="D904" s="58"/>
      <c r="E904" s="47"/>
      <c r="F904" s="47"/>
      <c r="G904" s="47"/>
      <c r="H904" s="47"/>
      <c r="I904" s="47"/>
      <c r="J904" s="47"/>
      <c r="K904" s="47"/>
      <c r="L904" s="47"/>
      <c r="M904" s="47"/>
      <c r="N904" s="47"/>
      <c r="O904" s="47"/>
      <c r="P904" s="47"/>
      <c r="Q904" s="47"/>
      <c r="R904" s="47"/>
      <c r="S904" s="47"/>
      <c r="T904" s="47"/>
      <c r="U904" s="47"/>
      <c r="V904" s="47"/>
      <c r="W904" s="47"/>
      <c r="X904" s="47"/>
      <c r="Y904" s="47"/>
      <c r="Z904" s="47"/>
    </row>
    <row r="905">
      <c r="A905" s="57"/>
      <c r="B905" s="58"/>
      <c r="C905" s="58"/>
      <c r="D905" s="58"/>
      <c r="E905" s="47"/>
      <c r="F905" s="47"/>
      <c r="G905" s="47"/>
      <c r="H905" s="47"/>
      <c r="I905" s="47"/>
      <c r="J905" s="47"/>
      <c r="K905" s="47"/>
      <c r="L905" s="47"/>
      <c r="M905" s="47"/>
      <c r="N905" s="47"/>
      <c r="O905" s="47"/>
      <c r="P905" s="47"/>
      <c r="Q905" s="47"/>
      <c r="R905" s="47"/>
      <c r="S905" s="47"/>
      <c r="T905" s="47"/>
      <c r="U905" s="47"/>
      <c r="V905" s="47"/>
      <c r="W905" s="47"/>
      <c r="X905" s="47"/>
      <c r="Y905" s="47"/>
      <c r="Z905" s="47"/>
    </row>
    <row r="906">
      <c r="A906" s="57"/>
      <c r="B906" s="58"/>
      <c r="C906" s="58"/>
      <c r="D906" s="58"/>
      <c r="E906" s="47"/>
      <c r="F906" s="47"/>
      <c r="G906" s="47"/>
      <c r="H906" s="47"/>
      <c r="I906" s="47"/>
      <c r="J906" s="47"/>
      <c r="K906" s="47"/>
      <c r="L906" s="47"/>
      <c r="M906" s="47"/>
      <c r="N906" s="47"/>
      <c r="O906" s="47"/>
      <c r="P906" s="47"/>
      <c r="Q906" s="47"/>
      <c r="R906" s="47"/>
      <c r="S906" s="47"/>
      <c r="T906" s="47"/>
      <c r="U906" s="47"/>
      <c r="V906" s="47"/>
      <c r="W906" s="47"/>
      <c r="X906" s="47"/>
      <c r="Y906" s="47"/>
      <c r="Z906" s="47"/>
    </row>
    <row r="907">
      <c r="A907" s="57"/>
      <c r="B907" s="58"/>
      <c r="C907" s="58"/>
      <c r="D907" s="58"/>
      <c r="E907" s="47"/>
      <c r="F907" s="47"/>
      <c r="G907" s="47"/>
      <c r="H907" s="47"/>
      <c r="I907" s="47"/>
      <c r="J907" s="47"/>
      <c r="K907" s="47"/>
      <c r="L907" s="47"/>
      <c r="M907" s="47"/>
      <c r="N907" s="47"/>
      <c r="O907" s="47"/>
      <c r="P907" s="47"/>
      <c r="Q907" s="47"/>
      <c r="R907" s="47"/>
      <c r="S907" s="47"/>
      <c r="T907" s="47"/>
      <c r="U907" s="47"/>
      <c r="V907" s="47"/>
      <c r="W907" s="47"/>
      <c r="X907" s="47"/>
      <c r="Y907" s="47"/>
      <c r="Z907" s="47"/>
    </row>
    <row r="908">
      <c r="A908" s="57"/>
      <c r="B908" s="58"/>
      <c r="C908" s="58"/>
      <c r="D908" s="58"/>
      <c r="E908" s="47"/>
      <c r="F908" s="47"/>
      <c r="G908" s="47"/>
      <c r="H908" s="47"/>
      <c r="I908" s="47"/>
      <c r="J908" s="47"/>
      <c r="K908" s="47"/>
      <c r="L908" s="47"/>
      <c r="M908" s="47"/>
      <c r="N908" s="47"/>
      <c r="O908" s="47"/>
      <c r="P908" s="47"/>
      <c r="Q908" s="47"/>
      <c r="R908" s="47"/>
      <c r="S908" s="47"/>
      <c r="T908" s="47"/>
      <c r="U908" s="47"/>
      <c r="V908" s="47"/>
      <c r="W908" s="47"/>
      <c r="X908" s="47"/>
      <c r="Y908" s="47"/>
      <c r="Z908" s="47"/>
    </row>
    <row r="909">
      <c r="A909" s="57"/>
      <c r="B909" s="58"/>
      <c r="C909" s="58"/>
      <c r="D909" s="58"/>
      <c r="E909" s="47"/>
      <c r="F909" s="47"/>
      <c r="G909" s="47"/>
      <c r="H909" s="47"/>
      <c r="I909" s="47"/>
      <c r="J909" s="47"/>
      <c r="K909" s="47"/>
      <c r="L909" s="47"/>
      <c r="M909" s="47"/>
      <c r="N909" s="47"/>
      <c r="O909" s="47"/>
      <c r="P909" s="47"/>
      <c r="Q909" s="47"/>
      <c r="R909" s="47"/>
      <c r="S909" s="47"/>
      <c r="T909" s="47"/>
      <c r="U909" s="47"/>
      <c r="V909" s="47"/>
      <c r="W909" s="47"/>
      <c r="X909" s="47"/>
      <c r="Y909" s="47"/>
      <c r="Z909" s="47"/>
    </row>
    <row r="910">
      <c r="A910" s="57"/>
      <c r="B910" s="58"/>
      <c r="C910" s="58"/>
      <c r="D910" s="58"/>
      <c r="E910" s="47"/>
      <c r="F910" s="47"/>
      <c r="G910" s="47"/>
      <c r="H910" s="47"/>
      <c r="I910" s="47"/>
      <c r="J910" s="47"/>
      <c r="K910" s="47"/>
      <c r="L910" s="47"/>
      <c r="M910" s="47"/>
      <c r="N910" s="47"/>
      <c r="O910" s="47"/>
      <c r="P910" s="47"/>
      <c r="Q910" s="47"/>
      <c r="R910" s="47"/>
      <c r="S910" s="47"/>
      <c r="T910" s="47"/>
      <c r="U910" s="47"/>
      <c r="V910" s="47"/>
      <c r="W910" s="47"/>
      <c r="X910" s="47"/>
      <c r="Y910" s="47"/>
      <c r="Z910" s="47"/>
    </row>
    <row r="911">
      <c r="A911" s="57"/>
      <c r="B911" s="58"/>
      <c r="C911" s="58"/>
      <c r="D911" s="58"/>
      <c r="E911" s="47"/>
      <c r="F911" s="47"/>
      <c r="G911" s="47"/>
      <c r="H911" s="47"/>
      <c r="I911" s="47"/>
      <c r="J911" s="47"/>
      <c r="K911" s="47"/>
      <c r="L911" s="47"/>
      <c r="M911" s="47"/>
      <c r="N911" s="47"/>
      <c r="O911" s="47"/>
      <c r="P911" s="47"/>
      <c r="Q911" s="47"/>
      <c r="R911" s="47"/>
      <c r="S911" s="47"/>
      <c r="T911" s="47"/>
      <c r="U911" s="47"/>
      <c r="V911" s="47"/>
      <c r="W911" s="47"/>
      <c r="X911" s="47"/>
      <c r="Y911" s="47"/>
      <c r="Z911" s="47"/>
    </row>
    <row r="912">
      <c r="A912" s="57"/>
      <c r="B912" s="58"/>
      <c r="C912" s="58"/>
      <c r="D912" s="58"/>
      <c r="E912" s="47"/>
      <c r="F912" s="47"/>
      <c r="G912" s="47"/>
      <c r="H912" s="47"/>
      <c r="I912" s="47"/>
      <c r="J912" s="47"/>
      <c r="K912" s="47"/>
      <c r="L912" s="47"/>
      <c r="M912" s="47"/>
      <c r="N912" s="47"/>
      <c r="O912" s="47"/>
      <c r="P912" s="47"/>
      <c r="Q912" s="47"/>
      <c r="R912" s="47"/>
      <c r="S912" s="47"/>
      <c r="T912" s="47"/>
      <c r="U912" s="47"/>
      <c r="V912" s="47"/>
      <c r="W912" s="47"/>
      <c r="X912" s="47"/>
      <c r="Y912" s="47"/>
      <c r="Z912" s="47"/>
    </row>
    <row r="913">
      <c r="A913" s="57"/>
      <c r="B913" s="58"/>
      <c r="C913" s="58"/>
      <c r="D913" s="58"/>
      <c r="E913" s="47"/>
      <c r="F913" s="47"/>
      <c r="G913" s="47"/>
      <c r="H913" s="47"/>
      <c r="I913" s="47"/>
      <c r="J913" s="47"/>
      <c r="K913" s="47"/>
      <c r="L913" s="47"/>
      <c r="M913" s="47"/>
      <c r="N913" s="47"/>
      <c r="O913" s="47"/>
      <c r="P913" s="47"/>
      <c r="Q913" s="47"/>
      <c r="R913" s="47"/>
      <c r="S913" s="47"/>
      <c r="T913" s="47"/>
      <c r="U913" s="47"/>
      <c r="V913" s="47"/>
      <c r="W913" s="47"/>
      <c r="X913" s="47"/>
      <c r="Y913" s="47"/>
      <c r="Z913" s="47"/>
    </row>
    <row r="914">
      <c r="A914" s="57"/>
      <c r="B914" s="58"/>
      <c r="C914" s="58"/>
      <c r="D914" s="58"/>
      <c r="E914" s="47"/>
      <c r="F914" s="47"/>
      <c r="G914" s="47"/>
      <c r="H914" s="47"/>
      <c r="I914" s="47"/>
      <c r="J914" s="47"/>
      <c r="K914" s="47"/>
      <c r="L914" s="47"/>
      <c r="M914" s="47"/>
      <c r="N914" s="47"/>
      <c r="O914" s="47"/>
      <c r="P914" s="47"/>
      <c r="Q914" s="47"/>
      <c r="R914" s="47"/>
      <c r="S914" s="47"/>
      <c r="T914" s="47"/>
      <c r="U914" s="47"/>
      <c r="V914" s="47"/>
      <c r="W914" s="47"/>
      <c r="X914" s="47"/>
      <c r="Y914" s="47"/>
      <c r="Z914" s="47"/>
    </row>
    <row r="915">
      <c r="A915" s="57"/>
      <c r="B915" s="58"/>
      <c r="C915" s="58"/>
      <c r="D915" s="58"/>
      <c r="E915" s="47"/>
      <c r="F915" s="47"/>
      <c r="G915" s="47"/>
      <c r="H915" s="47"/>
      <c r="I915" s="47"/>
      <c r="J915" s="47"/>
      <c r="K915" s="47"/>
      <c r="L915" s="47"/>
      <c r="M915" s="47"/>
      <c r="N915" s="47"/>
      <c r="O915" s="47"/>
      <c r="P915" s="47"/>
      <c r="Q915" s="47"/>
      <c r="R915" s="47"/>
      <c r="S915" s="47"/>
      <c r="T915" s="47"/>
      <c r="U915" s="47"/>
      <c r="V915" s="47"/>
      <c r="W915" s="47"/>
      <c r="X915" s="47"/>
      <c r="Y915" s="47"/>
      <c r="Z915" s="47"/>
    </row>
    <row r="916">
      <c r="A916" s="57"/>
      <c r="B916" s="58"/>
      <c r="C916" s="58"/>
      <c r="D916" s="58"/>
      <c r="E916" s="47"/>
      <c r="F916" s="47"/>
      <c r="G916" s="47"/>
      <c r="H916" s="47"/>
      <c r="I916" s="47"/>
      <c r="J916" s="47"/>
      <c r="K916" s="47"/>
      <c r="L916" s="47"/>
      <c r="M916" s="47"/>
      <c r="N916" s="47"/>
      <c r="O916" s="47"/>
      <c r="P916" s="47"/>
      <c r="Q916" s="47"/>
      <c r="R916" s="47"/>
      <c r="S916" s="47"/>
      <c r="T916" s="47"/>
      <c r="U916" s="47"/>
      <c r="V916" s="47"/>
      <c r="W916" s="47"/>
      <c r="X916" s="47"/>
      <c r="Y916" s="47"/>
      <c r="Z916" s="47"/>
    </row>
    <row r="917">
      <c r="A917" s="57"/>
      <c r="B917" s="58"/>
      <c r="C917" s="58"/>
      <c r="D917" s="58"/>
      <c r="E917" s="47"/>
      <c r="F917" s="47"/>
      <c r="G917" s="47"/>
      <c r="H917" s="47"/>
      <c r="I917" s="47"/>
      <c r="J917" s="47"/>
      <c r="K917" s="47"/>
      <c r="L917" s="47"/>
      <c r="M917" s="47"/>
      <c r="N917" s="47"/>
      <c r="O917" s="47"/>
      <c r="P917" s="47"/>
      <c r="Q917" s="47"/>
      <c r="R917" s="47"/>
      <c r="S917" s="47"/>
      <c r="T917" s="47"/>
      <c r="U917" s="47"/>
      <c r="V917" s="47"/>
      <c r="W917" s="47"/>
      <c r="X917" s="47"/>
      <c r="Y917" s="47"/>
      <c r="Z917" s="47"/>
    </row>
    <row r="918">
      <c r="A918" s="57"/>
      <c r="B918" s="58"/>
      <c r="C918" s="58"/>
      <c r="D918" s="58"/>
      <c r="E918" s="47"/>
      <c r="F918" s="47"/>
      <c r="G918" s="47"/>
      <c r="H918" s="47"/>
      <c r="I918" s="47"/>
      <c r="J918" s="47"/>
      <c r="K918" s="47"/>
      <c r="L918" s="47"/>
      <c r="M918" s="47"/>
      <c r="N918" s="47"/>
      <c r="O918" s="47"/>
      <c r="P918" s="47"/>
      <c r="Q918" s="47"/>
      <c r="R918" s="47"/>
      <c r="S918" s="47"/>
      <c r="T918" s="47"/>
      <c r="U918" s="47"/>
      <c r="V918" s="47"/>
      <c r="W918" s="47"/>
      <c r="X918" s="47"/>
      <c r="Y918" s="47"/>
      <c r="Z918" s="47"/>
    </row>
    <row r="919">
      <c r="A919" s="57"/>
      <c r="B919" s="58"/>
      <c r="C919" s="58"/>
      <c r="D919" s="58"/>
      <c r="E919" s="47"/>
      <c r="F919" s="47"/>
      <c r="G919" s="47"/>
      <c r="H919" s="47"/>
      <c r="I919" s="47"/>
      <c r="J919" s="47"/>
      <c r="K919" s="47"/>
      <c r="L919" s="47"/>
      <c r="M919" s="47"/>
      <c r="N919" s="47"/>
      <c r="O919" s="47"/>
      <c r="P919" s="47"/>
      <c r="Q919" s="47"/>
      <c r="R919" s="47"/>
      <c r="S919" s="47"/>
      <c r="T919" s="47"/>
      <c r="U919" s="47"/>
      <c r="V919" s="47"/>
      <c r="W919" s="47"/>
      <c r="X919" s="47"/>
      <c r="Y919" s="47"/>
      <c r="Z919" s="47"/>
    </row>
    <row r="920">
      <c r="A920" s="57"/>
      <c r="B920" s="58"/>
      <c r="C920" s="58"/>
      <c r="D920" s="58"/>
      <c r="E920" s="47"/>
      <c r="F920" s="47"/>
      <c r="G920" s="47"/>
      <c r="H920" s="47"/>
      <c r="I920" s="47"/>
      <c r="J920" s="47"/>
      <c r="K920" s="47"/>
      <c r="L920" s="47"/>
      <c r="M920" s="47"/>
      <c r="N920" s="47"/>
      <c r="O920" s="47"/>
      <c r="P920" s="47"/>
      <c r="Q920" s="47"/>
      <c r="R920" s="47"/>
      <c r="S920" s="47"/>
      <c r="T920" s="47"/>
      <c r="U920" s="47"/>
      <c r="V920" s="47"/>
      <c r="W920" s="47"/>
      <c r="X920" s="47"/>
      <c r="Y920" s="47"/>
      <c r="Z920" s="47"/>
    </row>
    <row r="921">
      <c r="A921" s="57"/>
      <c r="B921" s="58"/>
      <c r="C921" s="58"/>
      <c r="D921" s="58"/>
      <c r="E921" s="47"/>
      <c r="F921" s="47"/>
      <c r="G921" s="47"/>
      <c r="H921" s="47"/>
      <c r="I921" s="47"/>
      <c r="J921" s="47"/>
      <c r="K921" s="47"/>
      <c r="L921" s="47"/>
      <c r="M921" s="47"/>
      <c r="N921" s="47"/>
      <c r="O921" s="47"/>
      <c r="P921" s="47"/>
      <c r="Q921" s="47"/>
      <c r="R921" s="47"/>
      <c r="S921" s="47"/>
      <c r="T921" s="47"/>
      <c r="U921" s="47"/>
      <c r="V921" s="47"/>
      <c r="W921" s="47"/>
      <c r="X921" s="47"/>
      <c r="Y921" s="47"/>
      <c r="Z921" s="47"/>
    </row>
    <row r="922">
      <c r="A922" s="57"/>
      <c r="B922" s="58"/>
      <c r="C922" s="58"/>
      <c r="D922" s="58"/>
      <c r="E922" s="47"/>
      <c r="F922" s="47"/>
      <c r="G922" s="47"/>
      <c r="H922" s="47"/>
      <c r="I922" s="47"/>
      <c r="J922" s="47"/>
      <c r="K922" s="47"/>
      <c r="L922" s="47"/>
      <c r="M922" s="47"/>
      <c r="N922" s="47"/>
      <c r="O922" s="47"/>
      <c r="P922" s="47"/>
      <c r="Q922" s="47"/>
      <c r="R922" s="47"/>
      <c r="S922" s="47"/>
      <c r="T922" s="47"/>
      <c r="U922" s="47"/>
      <c r="V922" s="47"/>
      <c r="W922" s="47"/>
      <c r="X922" s="47"/>
      <c r="Y922" s="47"/>
      <c r="Z922" s="47"/>
    </row>
    <row r="923">
      <c r="A923" s="57"/>
      <c r="B923" s="58"/>
      <c r="C923" s="58"/>
      <c r="D923" s="58"/>
      <c r="E923" s="47"/>
      <c r="F923" s="47"/>
      <c r="G923" s="47"/>
      <c r="H923" s="47"/>
      <c r="I923" s="47"/>
      <c r="J923" s="47"/>
      <c r="K923" s="47"/>
      <c r="L923" s="47"/>
      <c r="M923" s="47"/>
      <c r="N923" s="47"/>
      <c r="O923" s="47"/>
      <c r="P923" s="47"/>
      <c r="Q923" s="47"/>
      <c r="R923" s="47"/>
      <c r="S923" s="47"/>
      <c r="T923" s="47"/>
      <c r="U923" s="47"/>
      <c r="V923" s="47"/>
      <c r="W923" s="47"/>
      <c r="X923" s="47"/>
      <c r="Y923" s="47"/>
      <c r="Z923" s="47"/>
    </row>
    <row r="924">
      <c r="A924" s="57"/>
      <c r="B924" s="58"/>
      <c r="C924" s="58"/>
      <c r="D924" s="58"/>
      <c r="E924" s="47"/>
      <c r="F924" s="47"/>
      <c r="G924" s="47"/>
      <c r="H924" s="47"/>
      <c r="I924" s="47"/>
      <c r="J924" s="47"/>
      <c r="K924" s="47"/>
      <c r="L924" s="47"/>
      <c r="M924" s="47"/>
      <c r="N924" s="47"/>
      <c r="O924" s="47"/>
      <c r="P924" s="47"/>
      <c r="Q924" s="47"/>
      <c r="R924" s="47"/>
      <c r="S924" s="47"/>
      <c r="T924" s="47"/>
      <c r="U924" s="47"/>
      <c r="V924" s="47"/>
      <c r="W924" s="47"/>
      <c r="X924" s="47"/>
      <c r="Y924" s="47"/>
      <c r="Z924" s="47"/>
    </row>
    <row r="925">
      <c r="A925" s="57"/>
      <c r="B925" s="58"/>
      <c r="C925" s="58"/>
      <c r="D925" s="58"/>
      <c r="E925" s="47"/>
      <c r="F925" s="47"/>
      <c r="G925" s="47"/>
      <c r="H925" s="47"/>
      <c r="I925" s="47"/>
      <c r="J925" s="47"/>
      <c r="K925" s="47"/>
      <c r="L925" s="47"/>
      <c r="M925" s="47"/>
      <c r="N925" s="47"/>
      <c r="O925" s="47"/>
      <c r="P925" s="47"/>
      <c r="Q925" s="47"/>
      <c r="R925" s="47"/>
      <c r="S925" s="47"/>
      <c r="T925" s="47"/>
      <c r="U925" s="47"/>
      <c r="V925" s="47"/>
      <c r="W925" s="47"/>
      <c r="X925" s="47"/>
      <c r="Y925" s="47"/>
      <c r="Z925" s="47"/>
    </row>
    <row r="926">
      <c r="A926" s="57"/>
      <c r="B926" s="58"/>
      <c r="C926" s="58"/>
      <c r="D926" s="58"/>
      <c r="E926" s="47"/>
      <c r="F926" s="47"/>
      <c r="G926" s="47"/>
      <c r="H926" s="47"/>
      <c r="I926" s="47"/>
      <c r="J926" s="47"/>
      <c r="K926" s="47"/>
      <c r="L926" s="47"/>
      <c r="M926" s="47"/>
      <c r="N926" s="47"/>
      <c r="O926" s="47"/>
      <c r="P926" s="47"/>
      <c r="Q926" s="47"/>
      <c r="R926" s="47"/>
      <c r="S926" s="47"/>
      <c r="T926" s="47"/>
      <c r="U926" s="47"/>
      <c r="V926" s="47"/>
      <c r="W926" s="47"/>
      <c r="X926" s="47"/>
      <c r="Y926" s="47"/>
      <c r="Z926" s="47"/>
    </row>
    <row r="927">
      <c r="A927" s="57"/>
      <c r="B927" s="58"/>
      <c r="C927" s="58"/>
      <c r="D927" s="58"/>
      <c r="E927" s="47"/>
      <c r="F927" s="47"/>
      <c r="G927" s="47"/>
      <c r="H927" s="47"/>
      <c r="I927" s="47"/>
      <c r="J927" s="47"/>
      <c r="K927" s="47"/>
      <c r="L927" s="47"/>
      <c r="M927" s="47"/>
      <c r="N927" s="47"/>
      <c r="O927" s="47"/>
      <c r="P927" s="47"/>
      <c r="Q927" s="47"/>
      <c r="R927" s="47"/>
      <c r="S927" s="47"/>
      <c r="T927" s="47"/>
      <c r="U927" s="47"/>
      <c r="V927" s="47"/>
      <c r="W927" s="47"/>
      <c r="X927" s="47"/>
      <c r="Y927" s="47"/>
      <c r="Z927" s="47"/>
    </row>
    <row r="928">
      <c r="A928" s="57"/>
      <c r="B928" s="58"/>
      <c r="C928" s="58"/>
      <c r="D928" s="58"/>
      <c r="E928" s="47"/>
      <c r="F928" s="47"/>
      <c r="G928" s="47"/>
      <c r="H928" s="47"/>
      <c r="I928" s="47"/>
      <c r="J928" s="47"/>
      <c r="K928" s="47"/>
      <c r="L928" s="47"/>
      <c r="M928" s="47"/>
      <c r="N928" s="47"/>
      <c r="O928" s="47"/>
      <c r="P928" s="47"/>
      <c r="Q928" s="47"/>
      <c r="R928" s="47"/>
      <c r="S928" s="47"/>
      <c r="T928" s="47"/>
      <c r="U928" s="47"/>
      <c r="V928" s="47"/>
      <c r="W928" s="47"/>
      <c r="X928" s="47"/>
      <c r="Y928" s="47"/>
      <c r="Z928" s="47"/>
    </row>
    <row r="929">
      <c r="A929" s="57"/>
      <c r="B929" s="58"/>
      <c r="C929" s="58"/>
      <c r="D929" s="58"/>
      <c r="E929" s="47"/>
      <c r="F929" s="47"/>
      <c r="G929" s="47"/>
      <c r="H929" s="47"/>
      <c r="I929" s="47"/>
      <c r="J929" s="47"/>
      <c r="K929" s="47"/>
      <c r="L929" s="47"/>
      <c r="M929" s="47"/>
      <c r="N929" s="47"/>
      <c r="O929" s="47"/>
      <c r="P929" s="47"/>
      <c r="Q929" s="47"/>
      <c r="R929" s="47"/>
      <c r="S929" s="47"/>
      <c r="T929" s="47"/>
      <c r="U929" s="47"/>
      <c r="V929" s="47"/>
      <c r="W929" s="47"/>
      <c r="X929" s="47"/>
      <c r="Y929" s="47"/>
      <c r="Z929" s="47"/>
    </row>
    <row r="930">
      <c r="A930" s="57"/>
      <c r="B930" s="58"/>
      <c r="C930" s="58"/>
      <c r="D930" s="58"/>
      <c r="E930" s="47"/>
      <c r="F930" s="47"/>
      <c r="G930" s="47"/>
      <c r="H930" s="47"/>
      <c r="I930" s="47"/>
      <c r="J930" s="47"/>
      <c r="K930" s="47"/>
      <c r="L930" s="47"/>
      <c r="M930" s="47"/>
      <c r="N930" s="47"/>
      <c r="O930" s="47"/>
      <c r="P930" s="47"/>
      <c r="Q930" s="47"/>
      <c r="R930" s="47"/>
      <c r="S930" s="47"/>
      <c r="T930" s="47"/>
      <c r="U930" s="47"/>
      <c r="V930" s="47"/>
      <c r="W930" s="47"/>
      <c r="X930" s="47"/>
      <c r="Y930" s="47"/>
      <c r="Z930" s="47"/>
    </row>
    <row r="931">
      <c r="A931" s="57"/>
      <c r="B931" s="58"/>
      <c r="C931" s="58"/>
      <c r="D931" s="58"/>
      <c r="E931" s="47"/>
      <c r="F931" s="47"/>
      <c r="G931" s="47"/>
      <c r="H931" s="47"/>
      <c r="I931" s="47"/>
      <c r="J931" s="47"/>
      <c r="K931" s="47"/>
      <c r="L931" s="47"/>
      <c r="M931" s="47"/>
      <c r="N931" s="47"/>
      <c r="O931" s="47"/>
      <c r="P931" s="47"/>
      <c r="Q931" s="47"/>
      <c r="R931" s="47"/>
      <c r="S931" s="47"/>
      <c r="T931" s="47"/>
      <c r="U931" s="47"/>
      <c r="V931" s="47"/>
      <c r="W931" s="47"/>
      <c r="X931" s="47"/>
      <c r="Y931" s="47"/>
      <c r="Z931" s="47"/>
    </row>
    <row r="932">
      <c r="A932" s="57"/>
      <c r="B932" s="58"/>
      <c r="C932" s="58"/>
      <c r="D932" s="58"/>
      <c r="E932" s="47"/>
      <c r="F932" s="47"/>
      <c r="G932" s="47"/>
      <c r="H932" s="47"/>
      <c r="I932" s="47"/>
      <c r="J932" s="47"/>
      <c r="K932" s="47"/>
      <c r="L932" s="47"/>
      <c r="M932" s="47"/>
      <c r="N932" s="47"/>
      <c r="O932" s="47"/>
      <c r="P932" s="47"/>
      <c r="Q932" s="47"/>
      <c r="R932" s="47"/>
      <c r="S932" s="47"/>
      <c r="T932" s="47"/>
      <c r="U932" s="47"/>
      <c r="V932" s="47"/>
      <c r="W932" s="47"/>
      <c r="X932" s="47"/>
      <c r="Y932" s="47"/>
      <c r="Z932" s="47"/>
    </row>
    <row r="933">
      <c r="A933" s="57"/>
      <c r="B933" s="58"/>
      <c r="C933" s="58"/>
      <c r="D933" s="58"/>
      <c r="E933" s="47"/>
      <c r="F933" s="47"/>
      <c r="G933" s="47"/>
      <c r="H933" s="47"/>
      <c r="I933" s="47"/>
      <c r="J933" s="47"/>
      <c r="K933" s="47"/>
      <c r="L933" s="47"/>
      <c r="M933" s="47"/>
      <c r="N933" s="47"/>
      <c r="O933" s="47"/>
      <c r="P933" s="47"/>
      <c r="Q933" s="47"/>
      <c r="R933" s="47"/>
      <c r="S933" s="47"/>
      <c r="T933" s="47"/>
      <c r="U933" s="47"/>
      <c r="V933" s="47"/>
      <c r="W933" s="47"/>
      <c r="X933" s="47"/>
      <c r="Y933" s="47"/>
      <c r="Z933" s="47"/>
    </row>
    <row r="934">
      <c r="A934" s="57"/>
      <c r="B934" s="58"/>
      <c r="C934" s="58"/>
      <c r="D934" s="58"/>
      <c r="E934" s="47"/>
      <c r="F934" s="47"/>
      <c r="G934" s="47"/>
      <c r="H934" s="47"/>
      <c r="I934" s="47"/>
      <c r="J934" s="47"/>
      <c r="K934" s="47"/>
      <c r="L934" s="47"/>
      <c r="M934" s="47"/>
      <c r="N934" s="47"/>
      <c r="O934" s="47"/>
      <c r="P934" s="47"/>
      <c r="Q934" s="47"/>
      <c r="R934" s="47"/>
      <c r="S934" s="47"/>
      <c r="T934" s="47"/>
      <c r="U934" s="47"/>
      <c r="V934" s="47"/>
      <c r="W934" s="47"/>
      <c r="X934" s="47"/>
      <c r="Y934" s="47"/>
      <c r="Z934" s="47"/>
    </row>
    <row r="935">
      <c r="A935" s="57"/>
      <c r="B935" s="58"/>
      <c r="C935" s="58"/>
      <c r="D935" s="58"/>
      <c r="E935" s="47"/>
      <c r="F935" s="47"/>
      <c r="G935" s="47"/>
      <c r="H935" s="47"/>
      <c r="I935" s="47"/>
      <c r="J935" s="47"/>
      <c r="K935" s="47"/>
      <c r="L935" s="47"/>
      <c r="M935" s="47"/>
      <c r="N935" s="47"/>
      <c r="O935" s="47"/>
      <c r="P935" s="47"/>
      <c r="Q935" s="47"/>
      <c r="R935" s="47"/>
      <c r="S935" s="47"/>
      <c r="T935" s="47"/>
      <c r="U935" s="47"/>
      <c r="V935" s="47"/>
      <c r="W935" s="47"/>
      <c r="X935" s="47"/>
      <c r="Y935" s="47"/>
      <c r="Z935" s="47"/>
    </row>
    <row r="936">
      <c r="A936" s="57"/>
      <c r="B936" s="58"/>
      <c r="C936" s="58"/>
      <c r="D936" s="58"/>
      <c r="E936" s="47"/>
      <c r="F936" s="47"/>
      <c r="G936" s="47"/>
      <c r="H936" s="47"/>
      <c r="I936" s="47"/>
      <c r="J936" s="47"/>
      <c r="K936" s="47"/>
      <c r="L936" s="47"/>
      <c r="M936" s="47"/>
      <c r="N936" s="47"/>
      <c r="O936" s="47"/>
      <c r="P936" s="47"/>
      <c r="Q936" s="47"/>
      <c r="R936" s="47"/>
      <c r="S936" s="47"/>
      <c r="T936" s="47"/>
      <c r="U936" s="47"/>
      <c r="V936" s="47"/>
      <c r="W936" s="47"/>
      <c r="X936" s="47"/>
      <c r="Y936" s="47"/>
      <c r="Z936" s="47"/>
    </row>
    <row r="937">
      <c r="A937" s="57"/>
      <c r="B937" s="58"/>
      <c r="C937" s="58"/>
      <c r="D937" s="58"/>
      <c r="E937" s="47"/>
      <c r="F937" s="47"/>
      <c r="G937" s="47"/>
      <c r="H937" s="47"/>
      <c r="I937" s="47"/>
      <c r="J937" s="47"/>
      <c r="K937" s="47"/>
      <c r="L937" s="47"/>
      <c r="M937" s="47"/>
      <c r="N937" s="47"/>
      <c r="O937" s="47"/>
      <c r="P937" s="47"/>
      <c r="Q937" s="47"/>
      <c r="R937" s="47"/>
      <c r="S937" s="47"/>
      <c r="T937" s="47"/>
      <c r="U937" s="47"/>
      <c r="V937" s="47"/>
      <c r="W937" s="47"/>
      <c r="X937" s="47"/>
      <c r="Y937" s="47"/>
      <c r="Z937" s="47"/>
    </row>
    <row r="938">
      <c r="A938" s="57"/>
      <c r="B938" s="58"/>
      <c r="C938" s="58"/>
      <c r="D938" s="58"/>
      <c r="E938" s="47"/>
      <c r="F938" s="47"/>
      <c r="G938" s="47"/>
      <c r="H938" s="47"/>
      <c r="I938" s="47"/>
      <c r="J938" s="47"/>
      <c r="K938" s="47"/>
      <c r="L938" s="47"/>
      <c r="M938" s="47"/>
      <c r="N938" s="47"/>
      <c r="O938" s="47"/>
      <c r="P938" s="47"/>
      <c r="Q938" s="47"/>
      <c r="R938" s="47"/>
      <c r="S938" s="47"/>
      <c r="T938" s="47"/>
      <c r="U938" s="47"/>
      <c r="V938" s="47"/>
      <c r="W938" s="47"/>
      <c r="X938" s="47"/>
      <c r="Y938" s="47"/>
      <c r="Z938" s="47"/>
    </row>
    <row r="939">
      <c r="A939" s="57"/>
      <c r="B939" s="58"/>
      <c r="C939" s="58"/>
      <c r="D939" s="58"/>
      <c r="E939" s="47"/>
      <c r="F939" s="47"/>
      <c r="G939" s="47"/>
      <c r="H939" s="47"/>
      <c r="I939" s="47"/>
      <c r="J939" s="47"/>
      <c r="K939" s="47"/>
      <c r="L939" s="47"/>
      <c r="M939" s="47"/>
      <c r="N939" s="47"/>
      <c r="O939" s="47"/>
      <c r="P939" s="47"/>
      <c r="Q939" s="47"/>
      <c r="R939" s="47"/>
      <c r="S939" s="47"/>
      <c r="T939" s="47"/>
      <c r="U939" s="47"/>
      <c r="V939" s="47"/>
      <c r="W939" s="47"/>
      <c r="X939" s="47"/>
      <c r="Y939" s="47"/>
      <c r="Z939" s="47"/>
    </row>
    <row r="940">
      <c r="A940" s="57"/>
      <c r="B940" s="58"/>
      <c r="C940" s="58"/>
      <c r="D940" s="58"/>
      <c r="E940" s="47"/>
      <c r="F940" s="47"/>
      <c r="G940" s="47"/>
      <c r="H940" s="47"/>
      <c r="I940" s="47"/>
      <c r="J940" s="47"/>
      <c r="K940" s="47"/>
      <c r="L940" s="47"/>
      <c r="M940" s="47"/>
      <c r="N940" s="47"/>
      <c r="O940" s="47"/>
      <c r="P940" s="47"/>
      <c r="Q940" s="47"/>
      <c r="R940" s="47"/>
      <c r="S940" s="47"/>
      <c r="T940" s="47"/>
      <c r="U940" s="47"/>
      <c r="V940" s="47"/>
      <c r="W940" s="47"/>
      <c r="X940" s="47"/>
      <c r="Y940" s="47"/>
      <c r="Z940" s="47"/>
    </row>
    <row r="941">
      <c r="A941" s="57"/>
      <c r="B941" s="58"/>
      <c r="C941" s="58"/>
      <c r="D941" s="58"/>
      <c r="E941" s="47"/>
      <c r="F941" s="47"/>
      <c r="G941" s="47"/>
      <c r="H941" s="47"/>
      <c r="I941" s="47"/>
      <c r="J941" s="47"/>
      <c r="K941" s="47"/>
      <c r="L941" s="47"/>
      <c r="M941" s="47"/>
      <c r="N941" s="47"/>
      <c r="O941" s="47"/>
      <c r="P941" s="47"/>
      <c r="Q941" s="47"/>
      <c r="R941" s="47"/>
      <c r="S941" s="47"/>
      <c r="T941" s="47"/>
      <c r="U941" s="47"/>
      <c r="V941" s="47"/>
      <c r="W941" s="47"/>
      <c r="X941" s="47"/>
      <c r="Y941" s="47"/>
      <c r="Z941" s="47"/>
    </row>
    <row r="942">
      <c r="A942" s="57"/>
      <c r="B942" s="58"/>
      <c r="C942" s="58"/>
      <c r="D942" s="58"/>
      <c r="E942" s="47"/>
      <c r="F942" s="47"/>
      <c r="G942" s="47"/>
      <c r="H942" s="47"/>
      <c r="I942" s="47"/>
      <c r="J942" s="47"/>
      <c r="K942" s="47"/>
      <c r="L942" s="47"/>
      <c r="M942" s="47"/>
      <c r="N942" s="47"/>
      <c r="O942" s="47"/>
      <c r="P942" s="47"/>
      <c r="Q942" s="47"/>
      <c r="R942" s="47"/>
      <c r="S942" s="47"/>
      <c r="T942" s="47"/>
      <c r="U942" s="47"/>
      <c r="V942" s="47"/>
      <c r="W942" s="47"/>
      <c r="X942" s="47"/>
      <c r="Y942" s="47"/>
      <c r="Z942" s="47"/>
    </row>
    <row r="943">
      <c r="A943" s="57"/>
      <c r="B943" s="58"/>
      <c r="C943" s="58"/>
      <c r="D943" s="58"/>
      <c r="E943" s="47"/>
      <c r="F943" s="47"/>
      <c r="G943" s="47"/>
      <c r="H943" s="47"/>
      <c r="I943" s="47"/>
      <c r="J943" s="47"/>
      <c r="K943" s="47"/>
      <c r="L943" s="47"/>
      <c r="M943" s="47"/>
      <c r="N943" s="47"/>
      <c r="O943" s="47"/>
      <c r="P943" s="47"/>
      <c r="Q943" s="47"/>
      <c r="R943" s="47"/>
      <c r="S943" s="47"/>
      <c r="T943" s="47"/>
      <c r="U943" s="47"/>
      <c r="V943" s="47"/>
      <c r="W943" s="47"/>
      <c r="X943" s="47"/>
      <c r="Y943" s="47"/>
      <c r="Z943" s="47"/>
    </row>
    <row r="944">
      <c r="A944" s="57"/>
      <c r="B944" s="58"/>
      <c r="C944" s="58"/>
      <c r="D944" s="58"/>
      <c r="E944" s="47"/>
      <c r="F944" s="47"/>
      <c r="G944" s="47"/>
      <c r="H944" s="47"/>
      <c r="I944" s="47"/>
      <c r="J944" s="47"/>
      <c r="K944" s="47"/>
      <c r="L944" s="47"/>
      <c r="M944" s="47"/>
      <c r="N944" s="47"/>
      <c r="O944" s="47"/>
      <c r="P944" s="47"/>
      <c r="Q944" s="47"/>
      <c r="R944" s="47"/>
      <c r="S944" s="47"/>
      <c r="T944" s="47"/>
      <c r="U944" s="47"/>
      <c r="V944" s="47"/>
      <c r="W944" s="47"/>
      <c r="X944" s="47"/>
      <c r="Y944" s="47"/>
      <c r="Z944" s="47"/>
    </row>
    <row r="945">
      <c r="A945" s="57"/>
      <c r="B945" s="58"/>
      <c r="C945" s="58"/>
      <c r="D945" s="58"/>
      <c r="E945" s="47"/>
      <c r="F945" s="47"/>
      <c r="G945" s="47"/>
      <c r="H945" s="47"/>
      <c r="I945" s="47"/>
      <c r="J945" s="47"/>
      <c r="K945" s="47"/>
      <c r="L945" s="47"/>
      <c r="M945" s="47"/>
      <c r="N945" s="47"/>
      <c r="O945" s="47"/>
      <c r="P945" s="47"/>
      <c r="Q945" s="47"/>
      <c r="R945" s="47"/>
      <c r="S945" s="47"/>
      <c r="T945" s="47"/>
      <c r="U945" s="47"/>
      <c r="V945" s="47"/>
      <c r="W945" s="47"/>
      <c r="X945" s="47"/>
      <c r="Y945" s="47"/>
      <c r="Z945" s="47"/>
    </row>
    <row r="946">
      <c r="A946" s="57"/>
      <c r="B946" s="58"/>
      <c r="C946" s="58"/>
      <c r="D946" s="58"/>
      <c r="E946" s="47"/>
      <c r="F946" s="47"/>
      <c r="G946" s="47"/>
      <c r="H946" s="47"/>
      <c r="I946" s="47"/>
      <c r="J946" s="47"/>
      <c r="K946" s="47"/>
      <c r="L946" s="47"/>
      <c r="M946" s="47"/>
      <c r="N946" s="47"/>
      <c r="O946" s="47"/>
      <c r="P946" s="47"/>
      <c r="Q946" s="47"/>
      <c r="R946" s="47"/>
      <c r="S946" s="47"/>
      <c r="T946" s="47"/>
      <c r="U946" s="47"/>
      <c r="V946" s="47"/>
      <c r="W946" s="47"/>
      <c r="X946" s="47"/>
      <c r="Y946" s="47"/>
      <c r="Z946" s="47"/>
    </row>
    <row r="947">
      <c r="A947" s="57"/>
      <c r="B947" s="58"/>
      <c r="C947" s="58"/>
      <c r="D947" s="58"/>
      <c r="E947" s="47"/>
      <c r="F947" s="47"/>
      <c r="G947" s="47"/>
      <c r="H947" s="47"/>
      <c r="I947" s="47"/>
      <c r="J947" s="47"/>
      <c r="K947" s="47"/>
      <c r="L947" s="47"/>
      <c r="M947" s="47"/>
      <c r="N947" s="47"/>
      <c r="O947" s="47"/>
      <c r="P947" s="47"/>
      <c r="Q947" s="47"/>
      <c r="R947" s="47"/>
      <c r="S947" s="47"/>
      <c r="T947" s="47"/>
      <c r="U947" s="47"/>
      <c r="V947" s="47"/>
      <c r="W947" s="47"/>
      <c r="X947" s="47"/>
      <c r="Y947" s="47"/>
      <c r="Z947" s="47"/>
    </row>
    <row r="948">
      <c r="A948" s="57"/>
      <c r="B948" s="58"/>
      <c r="C948" s="58"/>
      <c r="D948" s="58"/>
      <c r="E948" s="47"/>
      <c r="F948" s="47"/>
      <c r="G948" s="47"/>
      <c r="H948" s="47"/>
      <c r="I948" s="47"/>
      <c r="J948" s="47"/>
      <c r="K948" s="47"/>
      <c r="L948" s="47"/>
      <c r="M948" s="47"/>
      <c r="N948" s="47"/>
      <c r="O948" s="47"/>
      <c r="P948" s="47"/>
      <c r="Q948" s="47"/>
      <c r="R948" s="47"/>
      <c r="S948" s="47"/>
      <c r="T948" s="47"/>
      <c r="U948" s="47"/>
      <c r="V948" s="47"/>
      <c r="W948" s="47"/>
      <c r="X948" s="47"/>
      <c r="Y948" s="47"/>
      <c r="Z948" s="47"/>
    </row>
    <row r="949">
      <c r="A949" s="57"/>
      <c r="B949" s="58"/>
      <c r="C949" s="58"/>
      <c r="D949" s="58"/>
      <c r="E949" s="47"/>
      <c r="F949" s="47"/>
      <c r="G949" s="47"/>
      <c r="H949" s="47"/>
      <c r="I949" s="47"/>
      <c r="J949" s="47"/>
      <c r="K949" s="47"/>
      <c r="L949" s="47"/>
      <c r="M949" s="47"/>
      <c r="N949" s="47"/>
      <c r="O949" s="47"/>
      <c r="P949" s="47"/>
      <c r="Q949" s="47"/>
      <c r="R949" s="47"/>
      <c r="S949" s="47"/>
      <c r="T949" s="47"/>
      <c r="U949" s="47"/>
      <c r="V949" s="47"/>
      <c r="W949" s="47"/>
      <c r="X949" s="47"/>
      <c r="Y949" s="47"/>
      <c r="Z949" s="47"/>
    </row>
    <row r="950">
      <c r="A950" s="57"/>
      <c r="B950" s="58"/>
      <c r="C950" s="58"/>
      <c r="D950" s="58"/>
      <c r="E950" s="47"/>
      <c r="F950" s="47"/>
      <c r="G950" s="47"/>
      <c r="H950" s="47"/>
      <c r="I950" s="47"/>
      <c r="J950" s="47"/>
      <c r="K950" s="47"/>
      <c r="L950" s="47"/>
      <c r="M950" s="47"/>
      <c r="N950" s="47"/>
      <c r="O950" s="47"/>
      <c r="P950" s="47"/>
      <c r="Q950" s="47"/>
      <c r="R950" s="47"/>
      <c r="S950" s="47"/>
      <c r="T950" s="47"/>
      <c r="U950" s="47"/>
      <c r="V950" s="47"/>
      <c r="W950" s="47"/>
      <c r="X950" s="47"/>
      <c r="Y950" s="47"/>
      <c r="Z950" s="47"/>
    </row>
    <row r="951">
      <c r="A951" s="57"/>
      <c r="B951" s="58"/>
      <c r="C951" s="58"/>
      <c r="D951" s="58"/>
      <c r="E951" s="47"/>
      <c r="F951" s="47"/>
      <c r="G951" s="47"/>
      <c r="H951" s="47"/>
      <c r="I951" s="47"/>
      <c r="J951" s="47"/>
      <c r="K951" s="47"/>
      <c r="L951" s="47"/>
      <c r="M951" s="47"/>
      <c r="N951" s="47"/>
      <c r="O951" s="47"/>
      <c r="P951" s="47"/>
      <c r="Q951" s="47"/>
      <c r="R951" s="47"/>
      <c r="S951" s="47"/>
      <c r="T951" s="47"/>
      <c r="U951" s="47"/>
      <c r="V951" s="47"/>
      <c r="W951" s="47"/>
      <c r="X951" s="47"/>
      <c r="Y951" s="47"/>
      <c r="Z951" s="47"/>
    </row>
    <row r="952">
      <c r="A952" s="57"/>
      <c r="B952" s="58"/>
      <c r="C952" s="58"/>
      <c r="D952" s="58"/>
      <c r="E952" s="47"/>
      <c r="F952" s="47"/>
      <c r="G952" s="47"/>
      <c r="H952" s="47"/>
      <c r="I952" s="47"/>
      <c r="J952" s="47"/>
      <c r="K952" s="47"/>
      <c r="L952" s="47"/>
      <c r="M952" s="47"/>
      <c r="N952" s="47"/>
      <c r="O952" s="47"/>
      <c r="P952" s="47"/>
      <c r="Q952" s="47"/>
      <c r="R952" s="47"/>
      <c r="S952" s="47"/>
      <c r="T952" s="47"/>
      <c r="U952" s="47"/>
      <c r="V952" s="47"/>
      <c r="W952" s="47"/>
      <c r="X952" s="47"/>
      <c r="Y952" s="47"/>
      <c r="Z952" s="47"/>
    </row>
    <row r="953">
      <c r="A953" s="57"/>
      <c r="B953" s="58"/>
      <c r="C953" s="58"/>
      <c r="D953" s="58"/>
      <c r="E953" s="47"/>
      <c r="F953" s="47"/>
      <c r="G953" s="47"/>
      <c r="H953" s="47"/>
      <c r="I953" s="47"/>
      <c r="J953" s="47"/>
      <c r="K953" s="47"/>
      <c r="L953" s="47"/>
      <c r="M953" s="47"/>
      <c r="N953" s="47"/>
      <c r="O953" s="47"/>
      <c r="P953" s="47"/>
      <c r="Q953" s="47"/>
      <c r="R953" s="47"/>
      <c r="S953" s="47"/>
      <c r="T953" s="47"/>
      <c r="U953" s="47"/>
      <c r="V953" s="47"/>
      <c r="W953" s="47"/>
      <c r="X953" s="47"/>
      <c r="Y953" s="47"/>
      <c r="Z953" s="47"/>
    </row>
    <row r="954">
      <c r="A954" s="57"/>
      <c r="B954" s="58"/>
      <c r="C954" s="58"/>
      <c r="D954" s="58"/>
      <c r="E954" s="47"/>
      <c r="F954" s="47"/>
      <c r="G954" s="47"/>
      <c r="H954" s="47"/>
      <c r="I954" s="47"/>
      <c r="J954" s="47"/>
      <c r="K954" s="47"/>
      <c r="L954" s="47"/>
      <c r="M954" s="47"/>
      <c r="N954" s="47"/>
      <c r="O954" s="47"/>
      <c r="P954" s="47"/>
      <c r="Q954" s="47"/>
      <c r="R954" s="47"/>
      <c r="S954" s="47"/>
      <c r="T954" s="47"/>
      <c r="U954" s="47"/>
      <c r="V954" s="47"/>
      <c r="W954" s="47"/>
      <c r="X954" s="47"/>
      <c r="Y954" s="47"/>
      <c r="Z954" s="47"/>
    </row>
    <row r="955">
      <c r="A955" s="57"/>
      <c r="B955" s="58"/>
      <c r="C955" s="58"/>
      <c r="D955" s="58"/>
      <c r="E955" s="47"/>
      <c r="F955" s="47"/>
      <c r="G955" s="47"/>
      <c r="H955" s="47"/>
      <c r="I955" s="47"/>
      <c r="J955" s="47"/>
      <c r="K955" s="47"/>
      <c r="L955" s="47"/>
      <c r="M955" s="47"/>
      <c r="N955" s="47"/>
      <c r="O955" s="47"/>
      <c r="P955" s="47"/>
      <c r="Q955" s="47"/>
      <c r="R955" s="47"/>
      <c r="S955" s="47"/>
      <c r="T955" s="47"/>
      <c r="U955" s="47"/>
      <c r="V955" s="47"/>
      <c r="W955" s="47"/>
      <c r="X955" s="47"/>
      <c r="Y955" s="47"/>
      <c r="Z955" s="47"/>
    </row>
    <row r="956">
      <c r="A956" s="57"/>
      <c r="B956" s="58"/>
      <c r="C956" s="58"/>
      <c r="D956" s="58"/>
      <c r="E956" s="47"/>
      <c r="F956" s="47"/>
      <c r="G956" s="47"/>
      <c r="H956" s="47"/>
      <c r="I956" s="47"/>
      <c r="J956" s="47"/>
      <c r="K956" s="47"/>
      <c r="L956" s="47"/>
      <c r="M956" s="47"/>
      <c r="N956" s="47"/>
      <c r="O956" s="47"/>
      <c r="P956" s="47"/>
      <c r="Q956" s="47"/>
      <c r="R956" s="47"/>
      <c r="S956" s="47"/>
      <c r="T956" s="47"/>
      <c r="U956" s="47"/>
      <c r="V956" s="47"/>
      <c r="W956" s="47"/>
      <c r="X956" s="47"/>
      <c r="Y956" s="47"/>
      <c r="Z956" s="47"/>
    </row>
    <row r="957">
      <c r="A957" s="57"/>
      <c r="B957" s="58"/>
      <c r="C957" s="58"/>
      <c r="D957" s="58"/>
      <c r="E957" s="47"/>
      <c r="F957" s="47"/>
      <c r="G957" s="47"/>
      <c r="H957" s="47"/>
      <c r="I957" s="47"/>
      <c r="J957" s="47"/>
      <c r="K957" s="47"/>
      <c r="L957" s="47"/>
      <c r="M957" s="47"/>
      <c r="N957" s="47"/>
      <c r="O957" s="47"/>
      <c r="P957" s="47"/>
      <c r="Q957" s="47"/>
      <c r="R957" s="47"/>
      <c r="S957" s="47"/>
      <c r="T957" s="47"/>
      <c r="U957" s="47"/>
      <c r="V957" s="47"/>
      <c r="W957" s="47"/>
      <c r="X957" s="47"/>
      <c r="Y957" s="47"/>
      <c r="Z957" s="47"/>
    </row>
    <row r="958">
      <c r="A958" s="57"/>
      <c r="B958" s="58"/>
      <c r="C958" s="58"/>
      <c r="D958" s="58"/>
      <c r="E958" s="47"/>
      <c r="F958" s="47"/>
      <c r="G958" s="47"/>
      <c r="H958" s="47"/>
      <c r="I958" s="47"/>
      <c r="J958" s="47"/>
      <c r="K958" s="47"/>
      <c r="L958" s="47"/>
      <c r="M958" s="47"/>
      <c r="N958" s="47"/>
      <c r="O958" s="47"/>
      <c r="P958" s="47"/>
      <c r="Q958" s="47"/>
      <c r="R958" s="47"/>
      <c r="S958" s="47"/>
      <c r="T958" s="47"/>
      <c r="U958" s="47"/>
      <c r="V958" s="47"/>
      <c r="W958" s="47"/>
      <c r="X958" s="47"/>
      <c r="Y958" s="47"/>
      <c r="Z958" s="47"/>
    </row>
    <row r="959">
      <c r="A959" s="57"/>
      <c r="B959" s="58"/>
      <c r="C959" s="58"/>
      <c r="D959" s="58"/>
      <c r="E959" s="47"/>
      <c r="F959" s="47"/>
      <c r="G959" s="47"/>
      <c r="H959" s="47"/>
      <c r="I959" s="47"/>
      <c r="J959" s="47"/>
      <c r="K959" s="47"/>
      <c r="L959" s="47"/>
      <c r="M959" s="47"/>
      <c r="N959" s="47"/>
      <c r="O959" s="47"/>
      <c r="P959" s="47"/>
      <c r="Q959" s="47"/>
      <c r="R959" s="47"/>
      <c r="S959" s="47"/>
      <c r="T959" s="47"/>
      <c r="U959" s="47"/>
      <c r="V959" s="47"/>
      <c r="W959" s="47"/>
      <c r="X959" s="47"/>
      <c r="Y959" s="47"/>
      <c r="Z959" s="47"/>
    </row>
    <row r="960">
      <c r="A960" s="57"/>
      <c r="B960" s="58"/>
      <c r="C960" s="58"/>
      <c r="D960" s="58"/>
      <c r="E960" s="47"/>
      <c r="F960" s="47"/>
      <c r="G960" s="47"/>
      <c r="H960" s="47"/>
      <c r="I960" s="47"/>
      <c r="J960" s="47"/>
      <c r="K960" s="47"/>
      <c r="L960" s="47"/>
      <c r="M960" s="47"/>
      <c r="N960" s="47"/>
      <c r="O960" s="47"/>
      <c r="P960" s="47"/>
      <c r="Q960" s="47"/>
      <c r="R960" s="47"/>
      <c r="S960" s="47"/>
      <c r="T960" s="47"/>
      <c r="U960" s="47"/>
      <c r="V960" s="47"/>
      <c r="W960" s="47"/>
      <c r="X960" s="47"/>
      <c r="Y960" s="47"/>
      <c r="Z960" s="47"/>
    </row>
    <row r="961">
      <c r="A961" s="57"/>
      <c r="B961" s="58"/>
      <c r="C961" s="58"/>
      <c r="D961" s="58"/>
      <c r="E961" s="47"/>
      <c r="F961" s="47"/>
      <c r="G961" s="47"/>
      <c r="H961" s="47"/>
      <c r="I961" s="47"/>
      <c r="J961" s="47"/>
      <c r="K961" s="47"/>
      <c r="L961" s="47"/>
      <c r="M961" s="47"/>
      <c r="N961" s="47"/>
      <c r="O961" s="47"/>
      <c r="P961" s="47"/>
      <c r="Q961" s="47"/>
      <c r="R961" s="47"/>
      <c r="S961" s="47"/>
      <c r="T961" s="47"/>
      <c r="U961" s="47"/>
      <c r="V961" s="47"/>
      <c r="W961" s="47"/>
      <c r="X961" s="47"/>
      <c r="Y961" s="47"/>
      <c r="Z961" s="47"/>
    </row>
    <row r="962">
      <c r="A962" s="57"/>
      <c r="B962" s="58"/>
      <c r="C962" s="58"/>
      <c r="D962" s="58"/>
      <c r="E962" s="47"/>
      <c r="F962" s="47"/>
      <c r="G962" s="47"/>
      <c r="H962" s="47"/>
      <c r="I962" s="47"/>
      <c r="J962" s="47"/>
      <c r="K962" s="47"/>
      <c r="L962" s="47"/>
      <c r="M962" s="47"/>
      <c r="N962" s="47"/>
      <c r="O962" s="47"/>
      <c r="P962" s="47"/>
      <c r="Q962" s="47"/>
      <c r="R962" s="47"/>
      <c r="S962" s="47"/>
      <c r="T962" s="47"/>
      <c r="U962" s="47"/>
      <c r="V962" s="47"/>
      <c r="W962" s="47"/>
      <c r="X962" s="47"/>
      <c r="Y962" s="47"/>
      <c r="Z962" s="47"/>
    </row>
    <row r="963">
      <c r="A963" s="57"/>
      <c r="B963" s="58"/>
      <c r="C963" s="58"/>
      <c r="D963" s="58"/>
      <c r="E963" s="47"/>
      <c r="F963" s="47"/>
      <c r="G963" s="47"/>
      <c r="H963" s="47"/>
      <c r="I963" s="47"/>
      <c r="J963" s="47"/>
      <c r="K963" s="47"/>
      <c r="L963" s="47"/>
      <c r="M963" s="47"/>
      <c r="N963" s="47"/>
      <c r="O963" s="47"/>
      <c r="P963" s="47"/>
      <c r="Q963" s="47"/>
      <c r="R963" s="47"/>
      <c r="S963" s="47"/>
      <c r="T963" s="47"/>
      <c r="U963" s="47"/>
      <c r="V963" s="47"/>
      <c r="W963" s="47"/>
      <c r="X963" s="47"/>
      <c r="Y963" s="47"/>
      <c r="Z963" s="47"/>
    </row>
    <row r="964">
      <c r="A964" s="57"/>
      <c r="B964" s="58"/>
      <c r="C964" s="58"/>
      <c r="D964" s="58"/>
      <c r="E964" s="47"/>
      <c r="F964" s="47"/>
      <c r="G964" s="47"/>
      <c r="H964" s="47"/>
      <c r="I964" s="47"/>
      <c r="J964" s="47"/>
      <c r="K964" s="47"/>
      <c r="L964" s="47"/>
      <c r="M964" s="47"/>
      <c r="N964" s="47"/>
      <c r="O964" s="47"/>
      <c r="P964" s="47"/>
      <c r="Q964" s="47"/>
      <c r="R964" s="47"/>
      <c r="S964" s="47"/>
      <c r="T964" s="47"/>
      <c r="U964" s="47"/>
      <c r="V964" s="47"/>
      <c r="W964" s="47"/>
      <c r="X964" s="47"/>
      <c r="Y964" s="47"/>
      <c r="Z964" s="47"/>
    </row>
    <row r="965">
      <c r="A965" s="57"/>
      <c r="B965" s="58"/>
      <c r="C965" s="58"/>
      <c r="D965" s="58"/>
      <c r="E965" s="47"/>
      <c r="F965" s="47"/>
      <c r="G965" s="47"/>
      <c r="H965" s="47"/>
      <c r="I965" s="47"/>
      <c r="J965" s="47"/>
      <c r="K965" s="47"/>
      <c r="L965" s="47"/>
      <c r="M965" s="47"/>
      <c r="N965" s="47"/>
      <c r="O965" s="47"/>
      <c r="P965" s="47"/>
      <c r="Q965" s="47"/>
      <c r="R965" s="47"/>
      <c r="S965" s="47"/>
      <c r="T965" s="47"/>
      <c r="U965" s="47"/>
      <c r="V965" s="47"/>
      <c r="W965" s="47"/>
      <c r="X965" s="47"/>
      <c r="Y965" s="47"/>
      <c r="Z965" s="47"/>
    </row>
    <row r="966">
      <c r="A966" s="57"/>
      <c r="B966" s="58"/>
      <c r="C966" s="58"/>
      <c r="D966" s="58"/>
      <c r="E966" s="47"/>
      <c r="F966" s="47"/>
      <c r="G966" s="47"/>
      <c r="H966" s="47"/>
      <c r="I966" s="47"/>
      <c r="J966" s="47"/>
      <c r="K966" s="47"/>
      <c r="L966" s="47"/>
      <c r="M966" s="47"/>
      <c r="N966" s="47"/>
      <c r="O966" s="47"/>
      <c r="P966" s="47"/>
      <c r="Q966" s="47"/>
      <c r="R966" s="47"/>
      <c r="S966" s="47"/>
      <c r="T966" s="47"/>
      <c r="U966" s="47"/>
      <c r="V966" s="47"/>
      <c r="W966" s="47"/>
      <c r="X966" s="47"/>
      <c r="Y966" s="47"/>
      <c r="Z966" s="47"/>
    </row>
    <row r="967">
      <c r="A967" s="57"/>
      <c r="B967" s="58"/>
      <c r="C967" s="58"/>
      <c r="D967" s="58"/>
      <c r="E967" s="47"/>
      <c r="F967" s="47"/>
      <c r="G967" s="47"/>
      <c r="H967" s="47"/>
      <c r="I967" s="47"/>
      <c r="J967" s="47"/>
      <c r="K967" s="47"/>
      <c r="L967" s="47"/>
      <c r="M967" s="47"/>
      <c r="N967" s="47"/>
      <c r="O967" s="47"/>
      <c r="P967" s="47"/>
      <c r="Q967" s="47"/>
      <c r="R967" s="47"/>
      <c r="S967" s="47"/>
      <c r="T967" s="47"/>
      <c r="U967" s="47"/>
      <c r="V967" s="47"/>
      <c r="W967" s="47"/>
      <c r="X967" s="47"/>
      <c r="Y967" s="47"/>
      <c r="Z967" s="47"/>
    </row>
    <row r="968">
      <c r="A968" s="57"/>
      <c r="B968" s="58"/>
      <c r="C968" s="58"/>
      <c r="D968" s="58"/>
      <c r="E968" s="47"/>
      <c r="F968" s="47"/>
      <c r="G968" s="47"/>
      <c r="H968" s="47"/>
      <c r="I968" s="47"/>
      <c r="J968" s="47"/>
      <c r="K968" s="47"/>
      <c r="L968" s="47"/>
      <c r="M968" s="47"/>
      <c r="N968" s="47"/>
      <c r="O968" s="47"/>
      <c r="P968" s="47"/>
      <c r="Q968" s="47"/>
      <c r="R968" s="47"/>
      <c r="S968" s="47"/>
      <c r="T968" s="47"/>
      <c r="U968" s="47"/>
      <c r="V968" s="47"/>
      <c r="W968" s="47"/>
      <c r="X968" s="47"/>
      <c r="Y968" s="47"/>
      <c r="Z968" s="47"/>
    </row>
    <row r="969">
      <c r="A969" s="57"/>
      <c r="B969" s="58"/>
      <c r="C969" s="58"/>
      <c r="D969" s="58"/>
      <c r="E969" s="47"/>
      <c r="F969" s="47"/>
      <c r="G969" s="47"/>
      <c r="H969" s="47"/>
      <c r="I969" s="47"/>
      <c r="J969" s="47"/>
      <c r="K969" s="47"/>
      <c r="L969" s="47"/>
      <c r="M969" s="47"/>
      <c r="N969" s="47"/>
      <c r="O969" s="47"/>
      <c r="P969" s="47"/>
      <c r="Q969" s="47"/>
      <c r="R969" s="47"/>
      <c r="S969" s="47"/>
      <c r="T969" s="47"/>
      <c r="U969" s="47"/>
      <c r="V969" s="47"/>
      <c r="W969" s="47"/>
      <c r="X969" s="47"/>
      <c r="Y969" s="47"/>
      <c r="Z969" s="47"/>
    </row>
    <row r="970">
      <c r="A970" s="57"/>
      <c r="B970" s="58"/>
      <c r="C970" s="58"/>
      <c r="D970" s="58"/>
      <c r="E970" s="47"/>
      <c r="F970" s="47"/>
      <c r="G970" s="47"/>
      <c r="H970" s="47"/>
      <c r="I970" s="47"/>
      <c r="J970" s="47"/>
      <c r="K970" s="47"/>
      <c r="L970" s="47"/>
      <c r="M970" s="47"/>
      <c r="N970" s="47"/>
      <c r="O970" s="47"/>
      <c r="P970" s="47"/>
      <c r="Q970" s="47"/>
      <c r="R970" s="47"/>
      <c r="S970" s="47"/>
      <c r="T970" s="47"/>
      <c r="U970" s="47"/>
      <c r="V970" s="47"/>
      <c r="W970" s="47"/>
      <c r="X970" s="47"/>
      <c r="Y970" s="47"/>
      <c r="Z970" s="47"/>
    </row>
    <row r="971">
      <c r="A971" s="57"/>
      <c r="B971" s="58"/>
      <c r="C971" s="58"/>
      <c r="D971" s="58"/>
      <c r="E971" s="47"/>
      <c r="F971" s="47"/>
      <c r="G971" s="47"/>
      <c r="H971" s="47"/>
      <c r="I971" s="47"/>
      <c r="J971" s="47"/>
      <c r="K971" s="47"/>
      <c r="L971" s="47"/>
      <c r="M971" s="47"/>
      <c r="N971" s="47"/>
      <c r="O971" s="47"/>
      <c r="P971" s="47"/>
      <c r="Q971" s="47"/>
      <c r="R971" s="47"/>
      <c r="S971" s="47"/>
      <c r="T971" s="47"/>
      <c r="U971" s="47"/>
      <c r="V971" s="47"/>
      <c r="W971" s="47"/>
      <c r="X971" s="47"/>
      <c r="Y971" s="47"/>
      <c r="Z971" s="47"/>
    </row>
    <row r="972">
      <c r="A972" s="57"/>
      <c r="B972" s="58"/>
      <c r="C972" s="58"/>
      <c r="D972" s="58"/>
      <c r="E972" s="47"/>
      <c r="F972" s="47"/>
      <c r="G972" s="47"/>
      <c r="H972" s="47"/>
      <c r="I972" s="47"/>
      <c r="J972" s="47"/>
      <c r="K972" s="47"/>
      <c r="L972" s="47"/>
      <c r="M972" s="47"/>
      <c r="N972" s="47"/>
      <c r="O972" s="47"/>
      <c r="P972" s="47"/>
      <c r="Q972" s="47"/>
      <c r="R972" s="47"/>
      <c r="S972" s="47"/>
      <c r="T972" s="47"/>
      <c r="U972" s="47"/>
      <c r="V972" s="47"/>
      <c r="W972" s="47"/>
      <c r="X972" s="47"/>
      <c r="Y972" s="47"/>
      <c r="Z972" s="47"/>
    </row>
    <row r="973">
      <c r="A973" s="57"/>
      <c r="B973" s="58"/>
      <c r="C973" s="58"/>
      <c r="D973" s="58"/>
      <c r="E973" s="47"/>
      <c r="F973" s="47"/>
      <c r="G973" s="47"/>
      <c r="H973" s="47"/>
      <c r="I973" s="47"/>
      <c r="J973" s="47"/>
      <c r="K973" s="47"/>
      <c r="L973" s="47"/>
      <c r="M973" s="47"/>
      <c r="N973" s="47"/>
      <c r="O973" s="47"/>
      <c r="P973" s="47"/>
      <c r="Q973" s="47"/>
      <c r="R973" s="47"/>
      <c r="S973" s="47"/>
      <c r="T973" s="47"/>
      <c r="U973" s="47"/>
      <c r="V973" s="47"/>
      <c r="W973" s="47"/>
      <c r="X973" s="47"/>
      <c r="Y973" s="47"/>
      <c r="Z973" s="47"/>
    </row>
    <row r="974">
      <c r="A974" s="57"/>
      <c r="B974" s="58"/>
      <c r="C974" s="58"/>
      <c r="D974" s="58"/>
      <c r="E974" s="47"/>
      <c r="F974" s="47"/>
      <c r="G974" s="47"/>
      <c r="H974" s="47"/>
      <c r="I974" s="47"/>
      <c r="J974" s="47"/>
      <c r="K974" s="47"/>
      <c r="L974" s="47"/>
      <c r="M974" s="47"/>
      <c r="N974" s="47"/>
      <c r="O974" s="47"/>
      <c r="P974" s="47"/>
      <c r="Q974" s="47"/>
      <c r="R974" s="47"/>
      <c r="S974" s="47"/>
      <c r="T974" s="47"/>
      <c r="U974" s="47"/>
      <c r="V974" s="47"/>
      <c r="W974" s="47"/>
      <c r="X974" s="47"/>
      <c r="Y974" s="47"/>
      <c r="Z974" s="47"/>
    </row>
    <row r="975">
      <c r="A975" s="57"/>
      <c r="B975" s="58"/>
      <c r="C975" s="58"/>
      <c r="D975" s="58"/>
      <c r="E975" s="47"/>
      <c r="F975" s="47"/>
      <c r="G975" s="47"/>
      <c r="H975" s="47"/>
      <c r="I975" s="47"/>
      <c r="J975" s="47"/>
      <c r="K975" s="47"/>
      <c r="L975" s="47"/>
      <c r="M975" s="47"/>
      <c r="N975" s="47"/>
      <c r="O975" s="47"/>
      <c r="P975" s="47"/>
      <c r="Q975" s="47"/>
      <c r="R975" s="47"/>
      <c r="S975" s="47"/>
      <c r="T975" s="47"/>
      <c r="U975" s="47"/>
      <c r="V975" s="47"/>
      <c r="W975" s="47"/>
      <c r="X975" s="47"/>
      <c r="Y975" s="47"/>
      <c r="Z975" s="47"/>
    </row>
    <row r="976">
      <c r="A976" s="57"/>
      <c r="B976" s="58"/>
      <c r="C976" s="58"/>
      <c r="D976" s="58"/>
      <c r="E976" s="47"/>
      <c r="F976" s="47"/>
      <c r="G976" s="47"/>
      <c r="H976" s="47"/>
      <c r="I976" s="47"/>
      <c r="J976" s="47"/>
      <c r="K976" s="47"/>
      <c r="L976" s="47"/>
      <c r="M976" s="47"/>
      <c r="N976" s="47"/>
      <c r="O976" s="47"/>
      <c r="P976" s="47"/>
      <c r="Q976" s="47"/>
      <c r="R976" s="47"/>
      <c r="S976" s="47"/>
      <c r="T976" s="47"/>
      <c r="U976" s="47"/>
      <c r="V976" s="47"/>
      <c r="W976" s="47"/>
      <c r="X976" s="47"/>
      <c r="Y976" s="47"/>
      <c r="Z976" s="47"/>
    </row>
    <row r="977">
      <c r="A977" s="57"/>
      <c r="B977" s="58"/>
      <c r="C977" s="58"/>
      <c r="D977" s="58"/>
      <c r="E977" s="47"/>
      <c r="F977" s="47"/>
      <c r="G977" s="47"/>
      <c r="H977" s="47"/>
      <c r="I977" s="47"/>
      <c r="J977" s="47"/>
      <c r="K977" s="47"/>
      <c r="L977" s="47"/>
      <c r="M977" s="47"/>
      <c r="N977" s="47"/>
      <c r="O977" s="47"/>
      <c r="P977" s="47"/>
      <c r="Q977" s="47"/>
      <c r="R977" s="47"/>
      <c r="S977" s="47"/>
      <c r="T977" s="47"/>
      <c r="U977" s="47"/>
      <c r="V977" s="47"/>
      <c r="W977" s="47"/>
      <c r="X977" s="47"/>
      <c r="Y977" s="47"/>
      <c r="Z977" s="47"/>
    </row>
    <row r="978">
      <c r="A978" s="57"/>
      <c r="B978" s="58"/>
      <c r="C978" s="58"/>
      <c r="D978" s="58"/>
      <c r="E978" s="47"/>
      <c r="F978" s="47"/>
      <c r="G978" s="47"/>
      <c r="H978" s="47"/>
      <c r="I978" s="47"/>
      <c r="J978" s="47"/>
      <c r="K978" s="47"/>
      <c r="L978" s="47"/>
      <c r="M978" s="47"/>
      <c r="N978" s="47"/>
      <c r="O978" s="47"/>
      <c r="P978" s="47"/>
      <c r="Q978" s="47"/>
      <c r="R978" s="47"/>
      <c r="S978" s="47"/>
      <c r="T978" s="47"/>
      <c r="U978" s="47"/>
      <c r="V978" s="47"/>
      <c r="W978" s="47"/>
      <c r="X978" s="47"/>
      <c r="Y978" s="47"/>
      <c r="Z978" s="47"/>
    </row>
    <row r="979">
      <c r="A979" s="57"/>
      <c r="B979" s="58"/>
      <c r="C979" s="58"/>
      <c r="D979" s="58"/>
      <c r="E979" s="47"/>
      <c r="F979" s="47"/>
      <c r="G979" s="47"/>
      <c r="H979" s="47"/>
      <c r="I979" s="47"/>
      <c r="J979" s="47"/>
      <c r="K979" s="47"/>
      <c r="L979" s="47"/>
      <c r="M979" s="47"/>
      <c r="N979" s="47"/>
      <c r="O979" s="47"/>
      <c r="P979" s="47"/>
      <c r="Q979" s="47"/>
      <c r="R979" s="47"/>
      <c r="S979" s="47"/>
      <c r="T979" s="47"/>
      <c r="U979" s="47"/>
      <c r="V979" s="47"/>
      <c r="W979" s="47"/>
      <c r="X979" s="47"/>
      <c r="Y979" s="47"/>
      <c r="Z979" s="47"/>
    </row>
    <row r="980">
      <c r="A980" s="57"/>
      <c r="B980" s="58"/>
      <c r="C980" s="58"/>
      <c r="D980" s="58"/>
      <c r="E980" s="47"/>
      <c r="F980" s="47"/>
      <c r="G980" s="47"/>
      <c r="H980" s="47"/>
      <c r="I980" s="47"/>
      <c r="J980" s="47"/>
      <c r="K980" s="47"/>
      <c r="L980" s="47"/>
      <c r="M980" s="47"/>
      <c r="N980" s="47"/>
      <c r="O980" s="47"/>
      <c r="P980" s="47"/>
      <c r="Q980" s="47"/>
      <c r="R980" s="47"/>
      <c r="S980" s="47"/>
      <c r="T980" s="47"/>
      <c r="U980" s="47"/>
      <c r="V980" s="47"/>
      <c r="W980" s="47"/>
      <c r="X980" s="47"/>
      <c r="Y980" s="47"/>
      <c r="Z980" s="47"/>
    </row>
    <row r="981">
      <c r="A981" s="57"/>
      <c r="B981" s="58"/>
      <c r="C981" s="58"/>
      <c r="D981" s="58"/>
      <c r="E981" s="47"/>
      <c r="F981" s="47"/>
      <c r="G981" s="47"/>
      <c r="H981" s="47"/>
      <c r="I981" s="47"/>
      <c r="J981" s="47"/>
      <c r="K981" s="47"/>
      <c r="L981" s="47"/>
      <c r="M981" s="47"/>
      <c r="N981" s="47"/>
      <c r="O981" s="47"/>
      <c r="P981" s="47"/>
      <c r="Q981" s="47"/>
      <c r="R981" s="47"/>
      <c r="S981" s="47"/>
      <c r="T981" s="47"/>
      <c r="U981" s="47"/>
      <c r="V981" s="47"/>
      <c r="W981" s="47"/>
      <c r="X981" s="47"/>
      <c r="Y981" s="47"/>
      <c r="Z981" s="47"/>
    </row>
    <row r="982">
      <c r="A982" s="57"/>
      <c r="B982" s="58"/>
      <c r="C982" s="58"/>
      <c r="D982" s="58"/>
      <c r="E982" s="47"/>
      <c r="F982" s="47"/>
      <c r="G982" s="47"/>
      <c r="H982" s="47"/>
      <c r="I982" s="47"/>
      <c r="J982" s="47"/>
      <c r="K982" s="47"/>
      <c r="L982" s="47"/>
      <c r="M982" s="47"/>
      <c r="N982" s="47"/>
      <c r="O982" s="47"/>
      <c r="P982" s="47"/>
      <c r="Q982" s="47"/>
      <c r="R982" s="47"/>
      <c r="S982" s="47"/>
      <c r="T982" s="47"/>
      <c r="U982" s="47"/>
      <c r="V982" s="47"/>
      <c r="W982" s="47"/>
      <c r="X982" s="47"/>
      <c r="Y982" s="47"/>
      <c r="Z982" s="47"/>
    </row>
    <row r="983">
      <c r="A983" s="57"/>
      <c r="B983" s="58"/>
      <c r="C983" s="58"/>
      <c r="D983" s="58"/>
      <c r="E983" s="47"/>
      <c r="F983" s="47"/>
      <c r="G983" s="47"/>
      <c r="H983" s="47"/>
      <c r="I983" s="47"/>
      <c r="J983" s="47"/>
      <c r="K983" s="47"/>
      <c r="L983" s="47"/>
      <c r="M983" s="47"/>
      <c r="N983" s="47"/>
      <c r="O983" s="47"/>
      <c r="P983" s="47"/>
      <c r="Q983" s="47"/>
      <c r="R983" s="47"/>
      <c r="S983" s="47"/>
      <c r="T983" s="47"/>
      <c r="U983" s="47"/>
      <c r="V983" s="47"/>
      <c r="W983" s="47"/>
      <c r="X983" s="47"/>
      <c r="Y983" s="47"/>
      <c r="Z983" s="47"/>
    </row>
    <row r="984">
      <c r="A984" s="57"/>
      <c r="B984" s="58"/>
      <c r="C984" s="58"/>
      <c r="D984" s="58"/>
      <c r="E984" s="47"/>
      <c r="F984" s="47"/>
      <c r="G984" s="47"/>
      <c r="H984" s="47"/>
      <c r="I984" s="47"/>
      <c r="J984" s="47"/>
      <c r="K984" s="47"/>
      <c r="L984" s="47"/>
      <c r="M984" s="47"/>
      <c r="N984" s="47"/>
      <c r="O984" s="47"/>
      <c r="P984" s="47"/>
      <c r="Q984" s="47"/>
      <c r="R984" s="47"/>
      <c r="S984" s="47"/>
      <c r="T984" s="47"/>
      <c r="U984" s="47"/>
      <c r="V984" s="47"/>
      <c r="W984" s="47"/>
      <c r="X984" s="47"/>
      <c r="Y984" s="47"/>
      <c r="Z984" s="47"/>
    </row>
    <row r="985">
      <c r="A985" s="57"/>
      <c r="B985" s="58"/>
      <c r="C985" s="58"/>
      <c r="D985" s="58"/>
      <c r="E985" s="47"/>
      <c r="F985" s="47"/>
      <c r="G985" s="47"/>
      <c r="H985" s="47"/>
      <c r="I985" s="47"/>
      <c r="J985" s="47"/>
      <c r="K985" s="47"/>
      <c r="L985" s="47"/>
      <c r="M985" s="47"/>
      <c r="N985" s="47"/>
      <c r="O985" s="47"/>
      <c r="P985" s="47"/>
      <c r="Q985" s="47"/>
      <c r="R985" s="47"/>
      <c r="S985" s="47"/>
      <c r="T985" s="47"/>
      <c r="U985" s="47"/>
      <c r="V985" s="47"/>
      <c r="W985" s="47"/>
      <c r="X985" s="47"/>
      <c r="Y985" s="47"/>
      <c r="Z985" s="47"/>
    </row>
    <row r="986">
      <c r="A986" s="57"/>
      <c r="B986" s="58"/>
      <c r="C986" s="58"/>
      <c r="D986" s="58"/>
      <c r="E986" s="47"/>
      <c r="F986" s="47"/>
      <c r="G986" s="47"/>
      <c r="H986" s="47"/>
      <c r="I986" s="47"/>
      <c r="J986" s="47"/>
      <c r="K986" s="47"/>
      <c r="L986" s="47"/>
      <c r="M986" s="47"/>
      <c r="N986" s="47"/>
      <c r="O986" s="47"/>
      <c r="P986" s="47"/>
      <c r="Q986" s="47"/>
      <c r="R986" s="47"/>
      <c r="S986" s="47"/>
      <c r="T986" s="47"/>
      <c r="U986" s="47"/>
      <c r="V986" s="47"/>
      <c r="W986" s="47"/>
      <c r="X986" s="47"/>
      <c r="Y986" s="47"/>
      <c r="Z986" s="47"/>
    </row>
    <row r="987">
      <c r="A987" s="57"/>
      <c r="B987" s="58"/>
      <c r="C987" s="58"/>
      <c r="D987" s="58"/>
      <c r="E987" s="47"/>
      <c r="F987" s="47"/>
      <c r="G987" s="47"/>
      <c r="H987" s="47"/>
      <c r="I987" s="47"/>
      <c r="J987" s="47"/>
      <c r="K987" s="47"/>
      <c r="L987" s="47"/>
      <c r="M987" s="47"/>
      <c r="N987" s="47"/>
      <c r="O987" s="47"/>
      <c r="P987" s="47"/>
      <c r="Q987" s="47"/>
      <c r="R987" s="47"/>
      <c r="S987" s="47"/>
      <c r="T987" s="47"/>
      <c r="U987" s="47"/>
      <c r="V987" s="47"/>
      <c r="W987" s="47"/>
      <c r="X987" s="47"/>
      <c r="Y987" s="47"/>
      <c r="Z987" s="47"/>
    </row>
    <row r="988">
      <c r="A988" s="57"/>
      <c r="B988" s="58"/>
      <c r="C988" s="58"/>
      <c r="D988" s="58"/>
      <c r="E988" s="47"/>
      <c r="F988" s="47"/>
      <c r="G988" s="47"/>
      <c r="H988" s="47"/>
      <c r="I988" s="47"/>
      <c r="J988" s="47"/>
      <c r="K988" s="47"/>
      <c r="L988" s="47"/>
      <c r="M988" s="47"/>
      <c r="N988" s="47"/>
      <c r="O988" s="47"/>
      <c r="P988" s="47"/>
      <c r="Q988" s="47"/>
      <c r="R988" s="47"/>
      <c r="S988" s="47"/>
      <c r="T988" s="47"/>
      <c r="U988" s="47"/>
      <c r="V988" s="47"/>
      <c r="W988" s="47"/>
      <c r="X988" s="47"/>
      <c r="Y988" s="47"/>
      <c r="Z988" s="47"/>
    </row>
    <row r="989">
      <c r="A989" s="57"/>
      <c r="B989" s="58"/>
      <c r="C989" s="58"/>
      <c r="D989" s="58"/>
      <c r="E989" s="47"/>
      <c r="F989" s="47"/>
      <c r="G989" s="47"/>
      <c r="H989" s="47"/>
      <c r="I989" s="47"/>
      <c r="J989" s="47"/>
      <c r="K989" s="47"/>
      <c r="L989" s="47"/>
      <c r="M989" s="47"/>
      <c r="N989" s="47"/>
      <c r="O989" s="47"/>
      <c r="P989" s="47"/>
      <c r="Q989" s="47"/>
      <c r="R989" s="47"/>
      <c r="S989" s="47"/>
      <c r="T989" s="47"/>
      <c r="U989" s="47"/>
      <c r="V989" s="47"/>
      <c r="W989" s="47"/>
      <c r="X989" s="47"/>
      <c r="Y989" s="47"/>
      <c r="Z989" s="47"/>
    </row>
    <row r="990">
      <c r="A990" s="57"/>
      <c r="B990" s="58"/>
      <c r="C990" s="58"/>
      <c r="D990" s="58"/>
      <c r="E990" s="47"/>
      <c r="F990" s="47"/>
      <c r="G990" s="47"/>
      <c r="H990" s="47"/>
      <c r="I990" s="47"/>
      <c r="J990" s="47"/>
      <c r="K990" s="47"/>
      <c r="L990" s="47"/>
      <c r="M990" s="47"/>
      <c r="N990" s="47"/>
      <c r="O990" s="47"/>
      <c r="P990" s="47"/>
      <c r="Q990" s="47"/>
      <c r="R990" s="47"/>
      <c r="S990" s="47"/>
      <c r="T990" s="47"/>
      <c r="U990" s="47"/>
      <c r="V990" s="47"/>
      <c r="W990" s="47"/>
      <c r="X990" s="47"/>
      <c r="Y990" s="47"/>
      <c r="Z990" s="47"/>
    </row>
    <row r="991">
      <c r="A991" s="57"/>
      <c r="B991" s="58"/>
      <c r="C991" s="58"/>
      <c r="D991" s="58"/>
      <c r="E991" s="47"/>
      <c r="F991" s="47"/>
      <c r="G991" s="47"/>
      <c r="H991" s="47"/>
      <c r="I991" s="47"/>
      <c r="J991" s="47"/>
      <c r="K991" s="47"/>
      <c r="L991" s="47"/>
      <c r="M991" s="47"/>
      <c r="N991" s="47"/>
      <c r="O991" s="47"/>
      <c r="P991" s="47"/>
      <c r="Q991" s="47"/>
      <c r="R991" s="47"/>
      <c r="S991" s="47"/>
      <c r="T991" s="47"/>
      <c r="U991" s="47"/>
      <c r="V991" s="47"/>
      <c r="W991" s="47"/>
      <c r="X991" s="47"/>
      <c r="Y991" s="47"/>
      <c r="Z991" s="47"/>
    </row>
    <row r="992">
      <c r="A992" s="57"/>
      <c r="B992" s="58"/>
      <c r="C992" s="58"/>
      <c r="D992" s="58"/>
      <c r="E992" s="47"/>
      <c r="F992" s="47"/>
      <c r="G992" s="47"/>
      <c r="H992" s="47"/>
      <c r="I992" s="47"/>
      <c r="J992" s="47"/>
      <c r="K992" s="47"/>
      <c r="L992" s="47"/>
      <c r="M992" s="47"/>
      <c r="N992" s="47"/>
      <c r="O992" s="47"/>
      <c r="P992" s="47"/>
      <c r="Q992" s="47"/>
      <c r="R992" s="47"/>
      <c r="S992" s="47"/>
      <c r="T992" s="47"/>
      <c r="U992" s="47"/>
      <c r="V992" s="47"/>
      <c r="W992" s="47"/>
      <c r="X992" s="47"/>
      <c r="Y992" s="47"/>
      <c r="Z992" s="47"/>
    </row>
    <row r="993">
      <c r="A993" s="57"/>
      <c r="B993" s="58"/>
      <c r="C993" s="58"/>
      <c r="D993" s="58"/>
      <c r="E993" s="47"/>
      <c r="F993" s="47"/>
      <c r="G993" s="47"/>
      <c r="H993" s="47"/>
      <c r="I993" s="47"/>
      <c r="J993" s="47"/>
      <c r="K993" s="47"/>
      <c r="L993" s="47"/>
      <c r="M993" s="47"/>
      <c r="N993" s="47"/>
      <c r="O993" s="47"/>
      <c r="P993" s="47"/>
      <c r="Q993" s="47"/>
      <c r="R993" s="47"/>
      <c r="S993" s="47"/>
      <c r="T993" s="47"/>
      <c r="U993" s="47"/>
      <c r="V993" s="47"/>
      <c r="W993" s="47"/>
      <c r="X993" s="47"/>
      <c r="Y993" s="47"/>
      <c r="Z993" s="47"/>
    </row>
    <row r="994">
      <c r="A994" s="57"/>
      <c r="B994" s="58"/>
      <c r="C994" s="58"/>
      <c r="D994" s="58"/>
      <c r="E994" s="47"/>
      <c r="F994" s="47"/>
      <c r="G994" s="47"/>
      <c r="H994" s="47"/>
      <c r="I994" s="47"/>
      <c r="J994" s="47"/>
      <c r="K994" s="47"/>
      <c r="L994" s="47"/>
      <c r="M994" s="47"/>
      <c r="N994" s="47"/>
      <c r="O994" s="47"/>
      <c r="P994" s="47"/>
      <c r="Q994" s="47"/>
      <c r="R994" s="47"/>
      <c r="S994" s="47"/>
      <c r="T994" s="47"/>
      <c r="U994" s="47"/>
      <c r="V994" s="47"/>
      <c r="W994" s="47"/>
      <c r="X994" s="47"/>
      <c r="Y994" s="47"/>
      <c r="Z994" s="47"/>
    </row>
    <row r="995">
      <c r="A995" s="57"/>
      <c r="B995" s="58"/>
      <c r="C995" s="58"/>
      <c r="D995" s="58"/>
      <c r="E995" s="47"/>
      <c r="F995" s="47"/>
      <c r="G995" s="47"/>
      <c r="H995" s="47"/>
      <c r="I995" s="47"/>
      <c r="J995" s="47"/>
      <c r="K995" s="47"/>
      <c r="L995" s="47"/>
      <c r="M995" s="47"/>
      <c r="N995" s="47"/>
      <c r="O995" s="47"/>
      <c r="P995" s="47"/>
      <c r="Q995" s="47"/>
      <c r="R995" s="47"/>
      <c r="S995" s="47"/>
      <c r="T995" s="47"/>
      <c r="U995" s="47"/>
      <c r="V995" s="47"/>
      <c r="W995" s="47"/>
      <c r="X995" s="47"/>
      <c r="Y995" s="47"/>
      <c r="Z995" s="47"/>
    </row>
    <row r="996">
      <c r="A996" s="57"/>
      <c r="B996" s="58"/>
      <c r="C996" s="58"/>
      <c r="D996" s="58"/>
      <c r="E996" s="47"/>
      <c r="F996" s="47"/>
      <c r="G996" s="47"/>
      <c r="H996" s="47"/>
      <c r="I996" s="47"/>
      <c r="J996" s="47"/>
      <c r="K996" s="47"/>
      <c r="L996" s="47"/>
      <c r="M996" s="47"/>
      <c r="N996" s="47"/>
      <c r="O996" s="47"/>
      <c r="P996" s="47"/>
      <c r="Q996" s="47"/>
      <c r="R996" s="47"/>
      <c r="S996" s="47"/>
      <c r="T996" s="47"/>
      <c r="U996" s="47"/>
      <c r="V996" s="47"/>
      <c r="W996" s="47"/>
      <c r="X996" s="47"/>
      <c r="Y996" s="47"/>
      <c r="Z996" s="47"/>
    </row>
    <row r="997">
      <c r="A997" s="57"/>
      <c r="B997" s="58"/>
      <c r="C997" s="58"/>
      <c r="D997" s="58"/>
      <c r="E997" s="47"/>
      <c r="F997" s="47"/>
      <c r="G997" s="47"/>
      <c r="H997" s="47"/>
      <c r="I997" s="47"/>
      <c r="J997" s="47"/>
      <c r="K997" s="47"/>
      <c r="L997" s="47"/>
      <c r="M997" s="47"/>
      <c r="N997" s="47"/>
      <c r="O997" s="47"/>
      <c r="P997" s="47"/>
      <c r="Q997" s="47"/>
      <c r="R997" s="47"/>
      <c r="S997" s="47"/>
      <c r="T997" s="47"/>
      <c r="U997" s="47"/>
      <c r="V997" s="47"/>
      <c r="W997" s="47"/>
      <c r="X997" s="47"/>
      <c r="Y997" s="47"/>
      <c r="Z997" s="47"/>
    </row>
    <row r="998">
      <c r="A998" s="57"/>
      <c r="B998" s="58"/>
      <c r="C998" s="58"/>
      <c r="D998" s="58"/>
      <c r="E998" s="47"/>
      <c r="F998" s="47"/>
      <c r="G998" s="47"/>
      <c r="H998" s="47"/>
      <c r="I998" s="47"/>
      <c r="J998" s="47"/>
      <c r="K998" s="47"/>
      <c r="L998" s="47"/>
      <c r="M998" s="47"/>
      <c r="N998" s="47"/>
      <c r="O998" s="47"/>
      <c r="P998" s="47"/>
      <c r="Q998" s="47"/>
      <c r="R998" s="47"/>
      <c r="S998" s="47"/>
      <c r="T998" s="47"/>
      <c r="U998" s="47"/>
      <c r="V998" s="47"/>
      <c r="W998" s="47"/>
      <c r="X998" s="47"/>
      <c r="Y998" s="47"/>
      <c r="Z998" s="47"/>
    </row>
    <row r="999">
      <c r="A999" s="57"/>
      <c r="B999" s="58"/>
      <c r="C999" s="58"/>
      <c r="D999" s="58"/>
      <c r="E999" s="47"/>
      <c r="F999" s="47"/>
      <c r="G999" s="47"/>
      <c r="H999" s="47"/>
      <c r="I999" s="47"/>
      <c r="J999" s="47"/>
      <c r="K999" s="47"/>
      <c r="L999" s="47"/>
      <c r="M999" s="47"/>
      <c r="N999" s="47"/>
      <c r="O999" s="47"/>
      <c r="P999" s="47"/>
      <c r="Q999" s="47"/>
      <c r="R999" s="47"/>
      <c r="S999" s="47"/>
      <c r="T999" s="47"/>
      <c r="U999" s="47"/>
      <c r="V999" s="47"/>
      <c r="W999" s="47"/>
      <c r="X999" s="47"/>
      <c r="Y999" s="47"/>
      <c r="Z999" s="47"/>
    </row>
    <row r="1000">
      <c r="A1000" s="57"/>
      <c r="B1000" s="58"/>
      <c r="C1000" s="58"/>
      <c r="D1000" s="58"/>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row>
  </sheetData>
  <conditionalFormatting sqref="E2:E1000">
    <cfRule type="cellIs" dxfId="10" priority="1" stopIfTrue="1" operator="equal">
      <formula>"CÓ THỂ ĐI"</formula>
    </cfRule>
  </conditionalFormatting>
  <conditionalFormatting sqref="E2:E1000">
    <cfRule type="cellIs" dxfId="11"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2.63"/>
    <col hidden="1" min="2" max="2" width="12.63"/>
    <col customWidth="1" min="3" max="3" width="32.63"/>
    <col customWidth="1" min="6" max="6" width="32.63"/>
  </cols>
  <sheetData>
    <row r="1">
      <c r="A1" s="54" t="s">
        <v>2644</v>
      </c>
      <c r="B1" s="54" t="s">
        <v>2648</v>
      </c>
      <c r="C1" s="54" t="s">
        <v>2649</v>
      </c>
      <c r="D1" s="55"/>
      <c r="E1" s="56" t="s">
        <v>2648</v>
      </c>
      <c r="F1" s="56" t="s">
        <v>2649</v>
      </c>
    </row>
    <row r="2">
      <c r="A2" s="23" t="s">
        <v>27</v>
      </c>
      <c r="B2" s="24">
        <v>4.0</v>
      </c>
      <c r="C2" s="23" t="str">
        <f t="shared" ref="C2:C735" si="1">VLOOKUP(B2,$E$2:$F$20,2,0)</f>
        <v>Ngoại tệ &amp; chuyển tiền quốc tế</v>
      </c>
      <c r="E2" s="24">
        <v>1.0</v>
      </c>
      <c r="F2" s="42" t="s">
        <v>2655</v>
      </c>
    </row>
    <row r="3">
      <c r="A3" s="23" t="s">
        <v>190</v>
      </c>
      <c r="B3" s="24">
        <v>12.0</v>
      </c>
      <c r="C3" s="23" t="str">
        <f t="shared" si="1"/>
        <v>Thị trường &amp; giá cả</v>
      </c>
      <c r="E3" s="24">
        <v>2.0</v>
      </c>
      <c r="F3" s="42" t="s">
        <v>2659</v>
      </c>
    </row>
    <row r="4">
      <c r="A4" s="23" t="s">
        <v>349</v>
      </c>
      <c r="B4" s="24">
        <v>14.0</v>
      </c>
      <c r="C4" s="23" t="str">
        <f t="shared" si="1"/>
        <v>Tài khoản &amp; ngân hàng số</v>
      </c>
      <c r="E4" s="24">
        <v>3.0</v>
      </c>
      <c r="F4" s="42" t="s">
        <v>2661</v>
      </c>
    </row>
    <row r="5">
      <c r="A5" s="23" t="s">
        <v>477</v>
      </c>
      <c r="B5" s="24">
        <v>4.0</v>
      </c>
      <c r="C5" s="23" t="str">
        <f t="shared" si="1"/>
        <v>Ngoại tệ &amp; chuyển tiền quốc tế</v>
      </c>
      <c r="E5" s="24">
        <v>4.0</v>
      </c>
      <c r="F5" s="42" t="s">
        <v>2662</v>
      </c>
    </row>
    <row r="6">
      <c r="A6" s="23" t="s">
        <v>597</v>
      </c>
      <c r="B6" s="24">
        <v>4.0</v>
      </c>
      <c r="C6" s="23" t="str">
        <f t="shared" si="1"/>
        <v>Ngoại tệ &amp; chuyển tiền quốc tế</v>
      </c>
      <c r="E6" s="24">
        <v>5.0</v>
      </c>
      <c r="F6" s="42" t="s">
        <v>2665</v>
      </c>
    </row>
    <row r="7">
      <c r="A7" s="23" t="s">
        <v>626</v>
      </c>
      <c r="B7" s="24">
        <v>4.0</v>
      </c>
      <c r="C7" s="23" t="str">
        <f t="shared" si="1"/>
        <v>Ngoại tệ &amp; chuyển tiền quốc tế</v>
      </c>
      <c r="E7" s="24">
        <v>6.0</v>
      </c>
      <c r="F7" s="42" t="s">
        <v>2668</v>
      </c>
    </row>
    <row r="8">
      <c r="A8" s="23" t="s">
        <v>641</v>
      </c>
      <c r="B8" s="24">
        <v>4.0</v>
      </c>
      <c r="C8" s="23" t="str">
        <f t="shared" si="1"/>
        <v>Ngoại tệ &amp; chuyển tiền quốc tế</v>
      </c>
      <c r="E8" s="24">
        <v>7.0</v>
      </c>
      <c r="F8" s="42" t="s">
        <v>2669</v>
      </c>
    </row>
    <row r="9">
      <c r="A9" s="23" t="s">
        <v>683</v>
      </c>
      <c r="B9" s="24">
        <v>10.0</v>
      </c>
      <c r="C9" s="23" t="str">
        <f t="shared" si="1"/>
        <v>Thẻ ATM &amp; thẻ ghi nợ</v>
      </c>
      <c r="E9" s="24">
        <v>8.0</v>
      </c>
      <c r="F9" s="42" t="s">
        <v>2670</v>
      </c>
    </row>
    <row r="10">
      <c r="A10" s="23" t="s">
        <v>732</v>
      </c>
      <c r="B10" s="24">
        <v>4.0</v>
      </c>
      <c r="C10" s="23" t="str">
        <f t="shared" si="1"/>
        <v>Ngoại tệ &amp; chuyển tiền quốc tế</v>
      </c>
      <c r="E10" s="24">
        <v>9.0</v>
      </c>
      <c r="F10" s="42" t="s">
        <v>2674</v>
      </c>
    </row>
    <row r="11">
      <c r="A11" s="23" t="s">
        <v>757</v>
      </c>
      <c r="B11" s="24">
        <v>4.0</v>
      </c>
      <c r="C11" s="23" t="str">
        <f t="shared" si="1"/>
        <v>Ngoại tệ &amp; chuyển tiền quốc tế</v>
      </c>
      <c r="E11" s="24">
        <v>10.0</v>
      </c>
      <c r="F11" s="42" t="s">
        <v>2676</v>
      </c>
    </row>
    <row r="12">
      <c r="A12" s="23" t="s">
        <v>772</v>
      </c>
      <c r="B12" s="24">
        <v>4.0</v>
      </c>
      <c r="C12" s="23" t="str">
        <f t="shared" si="1"/>
        <v>Ngoại tệ &amp; chuyển tiền quốc tế</v>
      </c>
      <c r="E12" s="24">
        <v>11.0</v>
      </c>
      <c r="F12" s="42" t="s">
        <v>2677</v>
      </c>
    </row>
    <row r="13">
      <c r="A13" s="23" t="s">
        <v>784</v>
      </c>
      <c r="B13" s="24">
        <v>4.0</v>
      </c>
      <c r="C13" s="23" t="str">
        <f t="shared" si="1"/>
        <v>Ngoại tệ &amp; chuyển tiền quốc tế</v>
      </c>
      <c r="E13" s="24">
        <v>12.0</v>
      </c>
      <c r="F13" s="42" t="s">
        <v>2678</v>
      </c>
    </row>
    <row r="14">
      <c r="A14" s="23" t="s">
        <v>804</v>
      </c>
      <c r="B14" s="24">
        <v>4.0</v>
      </c>
      <c r="C14" s="23" t="str">
        <f t="shared" si="1"/>
        <v>Ngoại tệ &amp; chuyển tiền quốc tế</v>
      </c>
      <c r="E14" s="24">
        <v>13.0</v>
      </c>
      <c r="F14" s="42" t="s">
        <v>2679</v>
      </c>
    </row>
    <row r="15">
      <c r="A15" s="23" t="s">
        <v>830</v>
      </c>
      <c r="B15" s="24">
        <v>4.0</v>
      </c>
      <c r="C15" s="23" t="str">
        <f t="shared" si="1"/>
        <v>Ngoại tệ &amp; chuyển tiền quốc tế</v>
      </c>
      <c r="E15" s="24">
        <v>14.0</v>
      </c>
      <c r="F15" s="42" t="s">
        <v>2682</v>
      </c>
    </row>
    <row r="16">
      <c r="A16" s="23" t="s">
        <v>841</v>
      </c>
      <c r="B16" s="24">
        <v>4.0</v>
      </c>
      <c r="C16" s="23" t="str">
        <f t="shared" si="1"/>
        <v>Ngoại tệ &amp; chuyển tiền quốc tế</v>
      </c>
      <c r="E16" s="24">
        <v>15.0</v>
      </c>
      <c r="F16" s="42" t="s">
        <v>2686</v>
      </c>
    </row>
    <row r="17">
      <c r="A17" s="23" t="s">
        <v>867</v>
      </c>
      <c r="B17" s="24">
        <v>4.0</v>
      </c>
      <c r="C17" s="23" t="str">
        <f t="shared" si="1"/>
        <v>Ngoại tệ &amp; chuyển tiền quốc tế</v>
      </c>
      <c r="E17" s="24">
        <v>16.0</v>
      </c>
      <c r="F17" s="42" t="s">
        <v>2687</v>
      </c>
    </row>
    <row r="18">
      <c r="A18" s="23" t="s">
        <v>888</v>
      </c>
      <c r="B18" s="24">
        <v>4.0</v>
      </c>
      <c r="C18" s="23" t="str">
        <f t="shared" si="1"/>
        <v>Ngoại tệ &amp; chuyển tiền quốc tế</v>
      </c>
      <c r="E18" s="24">
        <v>17.0</v>
      </c>
      <c r="F18" s="42" t="s">
        <v>2688</v>
      </c>
    </row>
    <row r="19">
      <c r="A19" s="23" t="s">
        <v>908</v>
      </c>
      <c r="B19" s="24">
        <v>4.0</v>
      </c>
      <c r="C19" s="23" t="str">
        <f t="shared" si="1"/>
        <v>Ngoại tệ &amp; chuyển tiền quốc tế</v>
      </c>
      <c r="E19" s="24">
        <v>18.0</v>
      </c>
      <c r="F19" s="42" t="s">
        <v>2690</v>
      </c>
    </row>
    <row r="20">
      <c r="A20" s="23" t="s">
        <v>926</v>
      </c>
      <c r="B20" s="24">
        <v>4.0</v>
      </c>
      <c r="C20" s="23" t="str">
        <f t="shared" si="1"/>
        <v>Ngoại tệ &amp; chuyển tiền quốc tế</v>
      </c>
      <c r="E20" s="24">
        <v>19.0</v>
      </c>
      <c r="F20" s="42" t="s">
        <v>2694</v>
      </c>
    </row>
    <row r="21">
      <c r="A21" s="23" t="s">
        <v>946</v>
      </c>
      <c r="B21" s="24">
        <v>18.0</v>
      </c>
      <c r="C21" s="23" t="str">
        <f t="shared" si="1"/>
        <v>Ưu đãi, du lịch &amp; đời sống</v>
      </c>
    </row>
    <row r="22">
      <c r="A22" s="23" t="s">
        <v>963</v>
      </c>
      <c r="B22" s="24">
        <v>17.0</v>
      </c>
      <c r="C22" s="23" t="str">
        <f t="shared" si="1"/>
        <v>Đầu tư, CCTG, trái phiếu, vàng</v>
      </c>
    </row>
    <row r="23">
      <c r="A23" s="23" t="s">
        <v>985</v>
      </c>
      <c r="B23" s="24">
        <v>7.0</v>
      </c>
      <c r="C23" s="23" t="str">
        <f t="shared" si="1"/>
        <v>Quản lý tài chính cá nhân</v>
      </c>
    </row>
    <row r="24">
      <c r="A24" s="23" t="s">
        <v>1008</v>
      </c>
      <c r="B24" s="24">
        <v>14.0</v>
      </c>
      <c r="C24" s="23" t="str">
        <f t="shared" si="1"/>
        <v>Tài khoản &amp; ngân hàng số</v>
      </c>
    </row>
    <row r="25">
      <c r="A25" s="23" t="s">
        <v>1032</v>
      </c>
      <c r="B25" s="24">
        <v>18.0</v>
      </c>
      <c r="C25" s="23" t="str">
        <f t="shared" si="1"/>
        <v>Ưu đãi, du lịch &amp; đời sống</v>
      </c>
    </row>
    <row r="26">
      <c r="A26" s="23" t="s">
        <v>1053</v>
      </c>
      <c r="B26" s="24">
        <v>18.0</v>
      </c>
      <c r="C26" s="23" t="str">
        <f t="shared" si="1"/>
        <v>Ưu đãi, du lịch &amp; đời sống</v>
      </c>
    </row>
    <row r="27">
      <c r="A27" s="23" t="s">
        <v>1084</v>
      </c>
      <c r="B27" s="24">
        <v>14.0</v>
      </c>
      <c r="C27" s="23" t="str">
        <f t="shared" si="1"/>
        <v>Tài khoản &amp; ngân hàng số</v>
      </c>
    </row>
    <row r="28">
      <c r="A28" s="23" t="s">
        <v>1102</v>
      </c>
      <c r="B28" s="24">
        <v>16.0</v>
      </c>
      <c r="C28" s="23" t="str">
        <f t="shared" si="1"/>
        <v>Vay tiêu dùng &amp; tín chấp</v>
      </c>
    </row>
    <row r="29">
      <c r="A29" s="23" t="s">
        <v>1121</v>
      </c>
      <c r="B29" s="24">
        <v>2.0</v>
      </c>
      <c r="C29" s="23" t="str">
        <f t="shared" si="1"/>
        <v>Doanh nghiệp (tài khoản, vay, tài chính)</v>
      </c>
    </row>
    <row r="30">
      <c r="A30" s="23" t="s">
        <v>1143</v>
      </c>
      <c r="B30" s="24">
        <v>18.0</v>
      </c>
      <c r="C30" s="23" t="str">
        <f t="shared" si="1"/>
        <v>Ưu đãi, du lịch &amp; đời sống</v>
      </c>
    </row>
    <row r="31">
      <c r="A31" s="23" t="s">
        <v>1159</v>
      </c>
      <c r="B31" s="24">
        <v>14.0</v>
      </c>
      <c r="C31" s="23" t="str">
        <f t="shared" si="1"/>
        <v>Tài khoản &amp; ngân hàng số</v>
      </c>
    </row>
    <row r="32">
      <c r="A32" s="23" t="s">
        <v>1182</v>
      </c>
      <c r="B32" s="24">
        <v>8.0</v>
      </c>
      <c r="C32" s="23" t="str">
        <f t="shared" si="1"/>
        <v>Thanh toán, chuyển khoản &amp; QR</v>
      </c>
    </row>
    <row r="33">
      <c r="A33" s="23" t="s">
        <v>1212</v>
      </c>
      <c r="B33" s="24">
        <v>13.0</v>
      </c>
      <c r="C33" s="23" t="str">
        <f t="shared" si="1"/>
        <v>Tiết kiệm &amp; lãi suất tiền gửi</v>
      </c>
    </row>
    <row r="34">
      <c r="A34" s="23" t="s">
        <v>1225</v>
      </c>
      <c r="B34" s="24">
        <v>16.0</v>
      </c>
      <c r="C34" s="23" t="str">
        <f t="shared" si="1"/>
        <v>Vay tiêu dùng &amp; tín chấp</v>
      </c>
    </row>
    <row r="35">
      <c r="A35" s="23" t="s">
        <v>1242</v>
      </c>
      <c r="B35" s="24">
        <v>14.0</v>
      </c>
      <c r="C35" s="23" t="str">
        <f t="shared" si="1"/>
        <v>Tài khoản &amp; ngân hàng số</v>
      </c>
    </row>
    <row r="36">
      <c r="A36" s="23" t="s">
        <v>1256</v>
      </c>
      <c r="B36" s="24">
        <v>4.0</v>
      </c>
      <c r="C36" s="23" t="str">
        <f t="shared" si="1"/>
        <v>Ngoại tệ &amp; chuyển tiền quốc tế</v>
      </c>
    </row>
    <row r="37">
      <c r="A37" s="23" t="s">
        <v>1276</v>
      </c>
      <c r="B37" s="24">
        <v>14.0</v>
      </c>
      <c r="C37" s="23" t="str">
        <f t="shared" si="1"/>
        <v>Tài khoản &amp; ngân hàng số</v>
      </c>
    </row>
    <row r="38">
      <c r="A38" s="23" t="s">
        <v>1288</v>
      </c>
      <c r="B38" s="24">
        <v>7.0</v>
      </c>
      <c r="C38" s="23" t="str">
        <f t="shared" si="1"/>
        <v>Quản lý tài chính cá nhân</v>
      </c>
    </row>
    <row r="39">
      <c r="A39" s="23" t="s">
        <v>1310</v>
      </c>
      <c r="B39" s="24">
        <v>17.0</v>
      </c>
      <c r="C39" s="23" t="str">
        <f t="shared" si="1"/>
        <v>Đầu tư, CCTG, trái phiếu, vàng</v>
      </c>
    </row>
    <row r="40">
      <c r="A40" s="23" t="s">
        <v>1328</v>
      </c>
      <c r="B40" s="24">
        <v>2.0</v>
      </c>
      <c r="C40" s="23" t="str">
        <f t="shared" si="1"/>
        <v>Doanh nghiệp (tài khoản, vay, tài chính)</v>
      </c>
    </row>
    <row r="41">
      <c r="A41" s="23" t="s">
        <v>374</v>
      </c>
      <c r="B41" s="24">
        <v>16.0</v>
      </c>
      <c r="C41" s="23" t="str">
        <f t="shared" si="1"/>
        <v>Vay tiêu dùng &amp; tín chấp</v>
      </c>
    </row>
    <row r="42">
      <c r="A42" s="23" t="s">
        <v>1363</v>
      </c>
      <c r="B42" s="24">
        <v>10.0</v>
      </c>
      <c r="C42" s="23" t="str">
        <f t="shared" si="1"/>
        <v>Thẻ ATM &amp; thẻ ghi nợ</v>
      </c>
    </row>
    <row r="43">
      <c r="A43" s="23" t="s">
        <v>1377</v>
      </c>
      <c r="B43" s="24">
        <v>18.0</v>
      </c>
      <c r="C43" s="23" t="str">
        <f t="shared" si="1"/>
        <v>Ưu đãi, du lịch &amp; đời sống</v>
      </c>
    </row>
    <row r="44">
      <c r="A44" s="23" t="s">
        <v>1390</v>
      </c>
      <c r="B44" s="24">
        <v>1.0</v>
      </c>
      <c r="C44" s="23" t="str">
        <f t="shared" si="1"/>
        <v>Bảo hiểm</v>
      </c>
    </row>
    <row r="45">
      <c r="A45" s="23" t="s">
        <v>1409</v>
      </c>
      <c r="B45" s="24">
        <v>17.0</v>
      </c>
      <c r="C45" s="23" t="str">
        <f t="shared" si="1"/>
        <v>Đầu tư, CCTG, trái phiếu, vàng</v>
      </c>
    </row>
    <row r="46">
      <c r="A46" s="23" t="s">
        <v>1411</v>
      </c>
      <c r="B46" s="24">
        <v>17.0</v>
      </c>
      <c r="C46" s="23" t="str">
        <f t="shared" si="1"/>
        <v>Đầu tư, CCTG, trái phiếu, vàng</v>
      </c>
    </row>
    <row r="47">
      <c r="A47" s="23" t="s">
        <v>1415</v>
      </c>
      <c r="B47" s="24">
        <v>1.0</v>
      </c>
      <c r="C47" s="23" t="str">
        <f t="shared" si="1"/>
        <v>Bảo hiểm</v>
      </c>
    </row>
    <row r="48">
      <c r="A48" s="23" t="s">
        <v>1161</v>
      </c>
      <c r="B48" s="24">
        <v>2.0</v>
      </c>
      <c r="C48" s="23" t="str">
        <f t="shared" si="1"/>
        <v>Doanh nghiệp (tài khoản, vay, tài chính)</v>
      </c>
    </row>
    <row r="49">
      <c r="A49" s="23" t="s">
        <v>1462</v>
      </c>
      <c r="B49" s="24">
        <v>2.0</v>
      </c>
      <c r="C49" s="23" t="str">
        <f t="shared" si="1"/>
        <v>Doanh nghiệp (tài khoản, vay, tài chính)</v>
      </c>
    </row>
    <row r="50">
      <c r="A50" s="23" t="s">
        <v>834</v>
      </c>
      <c r="B50" s="24">
        <v>14.0</v>
      </c>
      <c r="C50" s="23" t="str">
        <f t="shared" si="1"/>
        <v>Tài khoản &amp; ngân hàng số</v>
      </c>
    </row>
    <row r="51">
      <c r="A51" s="23" t="s">
        <v>1480</v>
      </c>
      <c r="B51" s="24">
        <v>3.0</v>
      </c>
      <c r="C51" s="23" t="str">
        <f t="shared" si="1"/>
        <v>Hộ kinh doanh &amp; bán hàng</v>
      </c>
    </row>
    <row r="52">
      <c r="A52" s="23" t="s">
        <v>1486</v>
      </c>
      <c r="B52" s="24">
        <v>10.0</v>
      </c>
      <c r="C52" s="23" t="str">
        <f t="shared" si="1"/>
        <v>Thẻ ATM &amp; thẻ ghi nợ</v>
      </c>
    </row>
    <row r="53">
      <c r="A53" s="23" t="s">
        <v>1495</v>
      </c>
      <c r="B53" s="24">
        <v>17.0</v>
      </c>
      <c r="C53" s="23" t="str">
        <f t="shared" si="1"/>
        <v>Đầu tư, CCTG, trái phiếu, vàng</v>
      </c>
    </row>
    <row r="54">
      <c r="A54" s="23" t="s">
        <v>1504</v>
      </c>
      <c r="B54" s="24">
        <v>15.0</v>
      </c>
      <c r="C54" s="23" t="str">
        <f t="shared" si="1"/>
        <v>Vay thế chấp &amp; mua nhà/xe</v>
      </c>
    </row>
    <row r="55">
      <c r="A55" s="23" t="s">
        <v>1516</v>
      </c>
      <c r="B55" s="24">
        <v>14.0</v>
      </c>
      <c r="C55" s="23" t="str">
        <f t="shared" si="1"/>
        <v>Tài khoản &amp; ngân hàng số</v>
      </c>
    </row>
    <row r="56">
      <c r="A56" s="23" t="s">
        <v>1529</v>
      </c>
      <c r="B56" s="24">
        <v>17.0</v>
      </c>
      <c r="C56" s="23" t="str">
        <f t="shared" si="1"/>
        <v>Đầu tư, CCTG, trái phiếu, vàng</v>
      </c>
    </row>
    <row r="57">
      <c r="A57" s="23" t="s">
        <v>1534</v>
      </c>
      <c r="B57" s="24">
        <v>16.0</v>
      </c>
      <c r="C57" s="23" t="str">
        <f t="shared" si="1"/>
        <v>Vay tiêu dùng &amp; tín chấp</v>
      </c>
    </row>
    <row r="58">
      <c r="A58" s="23" t="s">
        <v>1539</v>
      </c>
      <c r="B58" s="24">
        <v>2.0</v>
      </c>
      <c r="C58" s="23" t="str">
        <f t="shared" si="1"/>
        <v>Doanh nghiệp (tài khoản, vay, tài chính)</v>
      </c>
    </row>
    <row r="59">
      <c r="A59" s="23" t="s">
        <v>1165</v>
      </c>
      <c r="B59" s="24">
        <v>2.0</v>
      </c>
      <c r="C59" s="23" t="str">
        <f t="shared" si="1"/>
        <v>Doanh nghiệp (tài khoản, vay, tài chính)</v>
      </c>
    </row>
    <row r="60">
      <c r="A60" s="23" t="s">
        <v>1557</v>
      </c>
      <c r="B60" s="24">
        <v>10.0</v>
      </c>
      <c r="C60" s="23" t="str">
        <f t="shared" si="1"/>
        <v>Thẻ ATM &amp; thẻ ghi nợ</v>
      </c>
    </row>
    <row r="61">
      <c r="A61" s="23" t="s">
        <v>1561</v>
      </c>
      <c r="B61" s="24">
        <v>11.0</v>
      </c>
      <c r="C61" s="23" t="str">
        <f t="shared" si="1"/>
        <v>Thẻ tín dụng</v>
      </c>
    </row>
    <row r="62">
      <c r="A62" s="23" t="s">
        <v>788</v>
      </c>
      <c r="B62" s="24">
        <v>3.0</v>
      </c>
      <c r="C62" s="23" t="str">
        <f t="shared" si="1"/>
        <v>Hộ kinh doanh &amp; bán hàng</v>
      </c>
    </row>
    <row r="63">
      <c r="A63" s="23" t="s">
        <v>1582</v>
      </c>
      <c r="B63" s="24">
        <v>14.0</v>
      </c>
      <c r="C63" s="23" t="str">
        <f t="shared" si="1"/>
        <v>Tài khoản &amp; ngân hàng số</v>
      </c>
    </row>
    <row r="64">
      <c r="A64" s="23" t="s">
        <v>1597</v>
      </c>
      <c r="B64" s="24">
        <v>18.0</v>
      </c>
      <c r="C64" s="23" t="str">
        <f t="shared" si="1"/>
        <v>Ưu đãi, du lịch &amp; đời sống</v>
      </c>
    </row>
    <row r="65">
      <c r="A65" s="23" t="s">
        <v>1369</v>
      </c>
      <c r="B65" s="24">
        <v>8.0</v>
      </c>
      <c r="C65" s="23" t="str">
        <f t="shared" si="1"/>
        <v>Thanh toán, chuyển khoản &amp; QR</v>
      </c>
    </row>
    <row r="66">
      <c r="A66" s="23" t="s">
        <v>1621</v>
      </c>
      <c r="B66" s="24">
        <v>8.0</v>
      </c>
      <c r="C66" s="23" t="str">
        <f t="shared" si="1"/>
        <v>Thanh toán, chuyển khoản &amp; QR</v>
      </c>
    </row>
    <row r="67">
      <c r="A67" s="23" t="s">
        <v>1639</v>
      </c>
      <c r="B67" s="24">
        <v>8.0</v>
      </c>
      <c r="C67" s="23" t="str">
        <f t="shared" si="1"/>
        <v>Thanh toán, chuyển khoản &amp; QR</v>
      </c>
    </row>
    <row r="68">
      <c r="A68" s="23" t="s">
        <v>1658</v>
      </c>
      <c r="B68" s="24">
        <v>14.0</v>
      </c>
      <c r="C68" s="23" t="str">
        <f t="shared" si="1"/>
        <v>Tài khoản &amp; ngân hàng số</v>
      </c>
    </row>
    <row r="69">
      <c r="A69" s="23" t="s">
        <v>1666</v>
      </c>
      <c r="B69" s="24">
        <v>9.0</v>
      </c>
      <c r="C69" s="23" t="str">
        <f t="shared" si="1"/>
        <v>Thuế</v>
      </c>
    </row>
    <row r="70">
      <c r="A70" s="23" t="s">
        <v>1679</v>
      </c>
      <c r="B70" s="24">
        <v>11.0</v>
      </c>
      <c r="C70" s="23" t="str">
        <f t="shared" si="1"/>
        <v>Thẻ tín dụng</v>
      </c>
    </row>
    <row r="71">
      <c r="A71" s="23" t="s">
        <v>1686</v>
      </c>
      <c r="B71" s="24">
        <v>17.0</v>
      </c>
      <c r="C71" s="23" t="str">
        <f t="shared" si="1"/>
        <v>Đầu tư, CCTG, trái phiếu, vàng</v>
      </c>
    </row>
    <row r="72">
      <c r="A72" s="23" t="s">
        <v>1696</v>
      </c>
      <c r="B72" s="24">
        <v>14.0</v>
      </c>
      <c r="C72" s="23" t="str">
        <f t="shared" si="1"/>
        <v>Tài khoản &amp; ngân hàng số</v>
      </c>
    </row>
    <row r="73">
      <c r="A73" s="23" t="s">
        <v>1373</v>
      </c>
      <c r="B73" s="24">
        <v>14.0</v>
      </c>
      <c r="C73" s="23" t="str">
        <f t="shared" si="1"/>
        <v>Tài khoản &amp; ngân hàng số</v>
      </c>
    </row>
    <row r="74">
      <c r="A74" s="23" t="s">
        <v>1723</v>
      </c>
      <c r="B74" s="24">
        <v>13.0</v>
      </c>
      <c r="C74" s="23" t="str">
        <f t="shared" si="1"/>
        <v>Tiết kiệm &amp; lãi suất tiền gửi</v>
      </c>
    </row>
    <row r="75">
      <c r="A75" s="23" t="s">
        <v>1472</v>
      </c>
      <c r="B75" s="24">
        <v>14.0</v>
      </c>
      <c r="C75" s="23" t="str">
        <f t="shared" si="1"/>
        <v>Tài khoản &amp; ngân hàng số</v>
      </c>
    </row>
    <row r="76">
      <c r="A76" s="23" t="s">
        <v>700</v>
      </c>
      <c r="B76" s="24">
        <v>11.0</v>
      </c>
      <c r="C76" s="23" t="str">
        <f t="shared" si="1"/>
        <v>Thẻ tín dụng</v>
      </c>
    </row>
    <row r="77">
      <c r="A77" s="23" t="s">
        <v>1767</v>
      </c>
      <c r="B77" s="24">
        <v>10.0</v>
      </c>
      <c r="C77" s="23" t="str">
        <f t="shared" si="1"/>
        <v>Thẻ ATM &amp; thẻ ghi nợ</v>
      </c>
    </row>
    <row r="78">
      <c r="A78" s="23" t="s">
        <v>1786</v>
      </c>
      <c r="B78" s="24">
        <v>10.0</v>
      </c>
      <c r="C78" s="23" t="str">
        <f t="shared" si="1"/>
        <v>Thẻ ATM &amp; thẻ ghi nợ</v>
      </c>
    </row>
    <row r="79">
      <c r="A79" s="23" t="s">
        <v>1040</v>
      </c>
      <c r="B79" s="24">
        <v>2.0</v>
      </c>
      <c r="C79" s="23" t="str">
        <f t="shared" si="1"/>
        <v>Doanh nghiệp (tài khoản, vay, tài chính)</v>
      </c>
    </row>
    <row r="80">
      <c r="A80" s="23" t="s">
        <v>1817</v>
      </c>
      <c r="B80" s="24">
        <v>10.0</v>
      </c>
      <c r="C80" s="23" t="str">
        <f t="shared" si="1"/>
        <v>Thẻ ATM &amp; thẻ ghi nợ</v>
      </c>
    </row>
    <row r="81">
      <c r="A81" s="23" t="s">
        <v>1842</v>
      </c>
      <c r="B81" s="24">
        <v>8.0</v>
      </c>
      <c r="C81" s="23" t="str">
        <f t="shared" si="1"/>
        <v>Thanh toán, chuyển khoản &amp; QR</v>
      </c>
    </row>
    <row r="82">
      <c r="A82" s="23" t="s">
        <v>376</v>
      </c>
      <c r="B82" s="24">
        <v>8.0</v>
      </c>
      <c r="C82" s="23" t="str">
        <f t="shared" si="1"/>
        <v>Thanh toán, chuyển khoản &amp; QR</v>
      </c>
    </row>
    <row r="83">
      <c r="A83" s="23" t="s">
        <v>1768</v>
      </c>
      <c r="B83" s="24">
        <v>14.0</v>
      </c>
      <c r="C83" s="23" t="str">
        <f t="shared" si="1"/>
        <v>Tài khoản &amp; ngân hàng số</v>
      </c>
    </row>
    <row r="84">
      <c r="A84" s="23" t="s">
        <v>1779</v>
      </c>
      <c r="B84" s="24">
        <v>14.0</v>
      </c>
      <c r="C84" s="23" t="str">
        <f t="shared" si="1"/>
        <v>Tài khoản &amp; ngân hàng số</v>
      </c>
    </row>
    <row r="85">
      <c r="A85" s="23" t="s">
        <v>799</v>
      </c>
      <c r="B85" s="24">
        <v>14.0</v>
      </c>
      <c r="C85" s="23" t="str">
        <f t="shared" si="1"/>
        <v>Tài khoản &amp; ngân hàng số</v>
      </c>
    </row>
    <row r="86">
      <c r="A86" s="23" t="s">
        <v>1353</v>
      </c>
      <c r="B86" s="24">
        <v>8.0</v>
      </c>
      <c r="C86" s="23" t="str">
        <f t="shared" si="1"/>
        <v>Thanh toán, chuyển khoản &amp; QR</v>
      </c>
    </row>
    <row r="87">
      <c r="A87" s="23" t="s">
        <v>1323</v>
      </c>
      <c r="B87" s="24">
        <v>8.0</v>
      </c>
      <c r="C87" s="23" t="str">
        <f t="shared" si="1"/>
        <v>Thanh toán, chuyển khoản &amp; QR</v>
      </c>
    </row>
    <row r="88">
      <c r="A88" s="23" t="s">
        <v>783</v>
      </c>
      <c r="B88" s="24">
        <v>8.0</v>
      </c>
      <c r="C88" s="23" t="str">
        <f t="shared" si="1"/>
        <v>Thanh toán, chuyển khoản &amp; QR</v>
      </c>
    </row>
    <row r="89">
      <c r="A89" s="23" t="s">
        <v>1318</v>
      </c>
      <c r="B89" s="24">
        <v>8.0</v>
      </c>
      <c r="C89" s="23" t="str">
        <f t="shared" si="1"/>
        <v>Thanh toán, chuyển khoản &amp; QR</v>
      </c>
    </row>
    <row r="90">
      <c r="A90" s="23" t="s">
        <v>1359</v>
      </c>
      <c r="B90" s="24">
        <v>10.0</v>
      </c>
      <c r="C90" s="23" t="str">
        <f t="shared" si="1"/>
        <v>Thẻ ATM &amp; thẻ ghi nợ</v>
      </c>
    </row>
    <row r="91">
      <c r="A91" s="23" t="s">
        <v>1038</v>
      </c>
      <c r="B91" s="24">
        <v>4.0</v>
      </c>
      <c r="C91" s="23" t="str">
        <f t="shared" si="1"/>
        <v>Ngoại tệ &amp; chuyển tiền quốc tế</v>
      </c>
    </row>
    <row r="92">
      <c r="A92" s="23" t="s">
        <v>316</v>
      </c>
      <c r="B92" s="24">
        <v>9.0</v>
      </c>
      <c r="C92" s="23" t="str">
        <f t="shared" si="1"/>
        <v>Thuế</v>
      </c>
    </row>
    <row r="93">
      <c r="A93" s="23" t="s">
        <v>887</v>
      </c>
      <c r="B93" s="24">
        <v>3.0</v>
      </c>
      <c r="C93" s="23" t="str">
        <f t="shared" si="1"/>
        <v>Hộ kinh doanh &amp; bán hàng</v>
      </c>
    </row>
    <row r="94">
      <c r="A94" s="23" t="s">
        <v>2058</v>
      </c>
      <c r="B94" s="24">
        <v>17.0</v>
      </c>
      <c r="C94" s="23" t="str">
        <f t="shared" si="1"/>
        <v>Đầu tư, CCTG, trái phiếu, vàng</v>
      </c>
    </row>
    <row r="95">
      <c r="A95" s="23" t="s">
        <v>900</v>
      </c>
      <c r="B95" s="24">
        <v>14.0</v>
      </c>
      <c r="C95" s="23" t="str">
        <f t="shared" si="1"/>
        <v>Tài khoản &amp; ngân hàng số</v>
      </c>
    </row>
    <row r="96">
      <c r="A96" s="23" t="s">
        <v>2080</v>
      </c>
      <c r="B96" s="24">
        <v>10.0</v>
      </c>
      <c r="C96" s="23" t="str">
        <f t="shared" si="1"/>
        <v>Thẻ ATM &amp; thẻ ghi nợ</v>
      </c>
    </row>
    <row r="97">
      <c r="A97" s="23" t="s">
        <v>850</v>
      </c>
      <c r="B97" s="24">
        <v>14.0</v>
      </c>
      <c r="C97" s="23" t="str">
        <f t="shared" si="1"/>
        <v>Tài khoản &amp; ngân hàng số</v>
      </c>
    </row>
    <row r="98">
      <c r="A98" s="23" t="s">
        <v>750</v>
      </c>
      <c r="B98" s="24">
        <v>2.0</v>
      </c>
      <c r="C98" s="23" t="str">
        <f t="shared" si="1"/>
        <v>Doanh nghiệp (tài khoản, vay, tài chính)</v>
      </c>
    </row>
    <row r="99">
      <c r="A99" s="23" t="s">
        <v>2131</v>
      </c>
      <c r="B99" s="24">
        <v>10.0</v>
      </c>
      <c r="C99" s="23" t="str">
        <f t="shared" si="1"/>
        <v>Thẻ ATM &amp; thẻ ghi nợ</v>
      </c>
    </row>
    <row r="100">
      <c r="A100" s="23" t="s">
        <v>293</v>
      </c>
      <c r="B100" s="24">
        <v>11.0</v>
      </c>
      <c r="C100" s="23" t="str">
        <f t="shared" si="1"/>
        <v>Thẻ tín dụng</v>
      </c>
    </row>
    <row r="101">
      <c r="A101" s="23" t="s">
        <v>1386</v>
      </c>
      <c r="B101" s="24">
        <v>11.0</v>
      </c>
      <c r="C101" s="23" t="str">
        <f t="shared" si="1"/>
        <v>Thẻ tín dụng</v>
      </c>
    </row>
    <row r="102">
      <c r="A102" s="23" t="s">
        <v>2162</v>
      </c>
      <c r="B102" s="24">
        <v>3.0</v>
      </c>
      <c r="C102" s="23" t="str">
        <f t="shared" si="1"/>
        <v>Hộ kinh doanh &amp; bán hàng</v>
      </c>
    </row>
    <row r="103">
      <c r="A103" s="23" t="s">
        <v>2023</v>
      </c>
      <c r="B103" s="24">
        <v>8.0</v>
      </c>
      <c r="C103" s="23" t="str">
        <f t="shared" si="1"/>
        <v>Thanh toán, chuyển khoản &amp; QR</v>
      </c>
    </row>
    <row r="104">
      <c r="A104" s="23" t="s">
        <v>2192</v>
      </c>
      <c r="B104" s="24">
        <v>8.0</v>
      </c>
      <c r="C104" s="23" t="str">
        <f t="shared" si="1"/>
        <v>Thanh toán, chuyển khoản &amp; QR</v>
      </c>
    </row>
    <row r="105">
      <c r="A105" s="23" t="s">
        <v>941</v>
      </c>
      <c r="B105" s="24">
        <v>11.0</v>
      </c>
      <c r="C105" s="23" t="str">
        <f t="shared" si="1"/>
        <v>Thẻ tín dụng</v>
      </c>
    </row>
    <row r="106">
      <c r="A106" s="23" t="s">
        <v>1397</v>
      </c>
      <c r="B106" s="24">
        <v>13.0</v>
      </c>
      <c r="C106" s="23" t="str">
        <f t="shared" si="1"/>
        <v>Tiết kiệm &amp; lãi suất tiền gửi</v>
      </c>
    </row>
    <row r="107">
      <c r="A107" s="23" t="s">
        <v>1137</v>
      </c>
      <c r="B107" s="24">
        <v>13.0</v>
      </c>
      <c r="C107" s="23" t="str">
        <f t="shared" si="1"/>
        <v>Tiết kiệm &amp; lãi suất tiền gửi</v>
      </c>
    </row>
    <row r="108">
      <c r="A108" s="23" t="s">
        <v>2268</v>
      </c>
      <c r="B108" s="24">
        <v>13.0</v>
      </c>
      <c r="C108" s="23" t="str">
        <f t="shared" si="1"/>
        <v>Tiết kiệm &amp; lãi suất tiền gửi</v>
      </c>
    </row>
    <row r="109">
      <c r="A109" s="23" t="s">
        <v>2292</v>
      </c>
      <c r="B109" s="24">
        <v>13.0</v>
      </c>
      <c r="C109" s="23" t="str">
        <f t="shared" si="1"/>
        <v>Tiết kiệm &amp; lãi suất tiền gửi</v>
      </c>
    </row>
    <row r="110">
      <c r="A110" s="23" t="s">
        <v>2309</v>
      </c>
      <c r="B110" s="24">
        <v>13.0</v>
      </c>
      <c r="C110" s="23" t="str">
        <f t="shared" si="1"/>
        <v>Tiết kiệm &amp; lãi suất tiền gửi</v>
      </c>
    </row>
    <row r="111">
      <c r="A111" s="23" t="s">
        <v>2335</v>
      </c>
      <c r="B111" s="24">
        <v>13.0</v>
      </c>
      <c r="C111" s="23" t="str">
        <f t="shared" si="1"/>
        <v>Tiết kiệm &amp; lãi suất tiền gửi</v>
      </c>
    </row>
    <row r="112">
      <c r="A112" s="23" t="s">
        <v>2358</v>
      </c>
      <c r="B112" s="24">
        <v>12.0</v>
      </c>
      <c r="C112" s="23" t="str">
        <f t="shared" si="1"/>
        <v>Thị trường &amp; giá cả</v>
      </c>
    </row>
    <row r="113">
      <c r="A113" s="23" t="s">
        <v>464</v>
      </c>
      <c r="B113" s="24">
        <v>13.0</v>
      </c>
      <c r="C113" s="23" t="str">
        <f t="shared" si="1"/>
        <v>Tiết kiệm &amp; lãi suất tiền gửi</v>
      </c>
    </row>
    <row r="114">
      <c r="A114" s="23" t="s">
        <v>723</v>
      </c>
      <c r="B114" s="24">
        <v>16.0</v>
      </c>
      <c r="C114" s="23" t="str">
        <f t="shared" si="1"/>
        <v>Vay tiêu dùng &amp; tín chấp</v>
      </c>
    </row>
    <row r="115">
      <c r="A115" s="23" t="s">
        <v>2425</v>
      </c>
      <c r="B115" s="24">
        <v>2.0</v>
      </c>
      <c r="C115" s="23" t="str">
        <f t="shared" si="1"/>
        <v>Doanh nghiệp (tài khoản, vay, tài chính)</v>
      </c>
    </row>
    <row r="116">
      <c r="A116" s="23" t="s">
        <v>1105</v>
      </c>
      <c r="B116" s="24">
        <v>9.0</v>
      </c>
      <c r="C116" s="23" t="str">
        <f t="shared" si="1"/>
        <v>Thuế</v>
      </c>
    </row>
    <row r="117">
      <c r="A117" s="23" t="s">
        <v>474</v>
      </c>
      <c r="B117" s="24">
        <v>9.0</v>
      </c>
      <c r="C117" s="23" t="str">
        <f t="shared" si="1"/>
        <v>Thuế</v>
      </c>
    </row>
    <row r="118">
      <c r="A118" s="23" t="s">
        <v>758</v>
      </c>
      <c r="B118" s="24">
        <v>9.0</v>
      </c>
      <c r="C118" s="23" t="str">
        <f t="shared" si="1"/>
        <v>Thuế</v>
      </c>
    </row>
    <row r="119">
      <c r="A119" s="23" t="s">
        <v>654</v>
      </c>
      <c r="B119" s="24">
        <v>8.0</v>
      </c>
      <c r="C119" s="23" t="str">
        <f t="shared" si="1"/>
        <v>Thanh toán, chuyển khoản &amp; QR</v>
      </c>
    </row>
    <row r="120">
      <c r="A120" s="23" t="s">
        <v>2501</v>
      </c>
      <c r="B120" s="24">
        <v>4.0</v>
      </c>
      <c r="C120" s="23" t="str">
        <f t="shared" si="1"/>
        <v>Ngoại tệ &amp; chuyển tiền quốc tế</v>
      </c>
    </row>
    <row r="121">
      <c r="A121" s="23" t="s">
        <v>1021</v>
      </c>
      <c r="B121" s="24">
        <v>9.0</v>
      </c>
      <c r="C121" s="23" t="str">
        <f t="shared" si="1"/>
        <v>Thuế</v>
      </c>
    </row>
    <row r="122">
      <c r="A122" s="23" t="s">
        <v>2535</v>
      </c>
      <c r="B122" s="24">
        <v>16.0</v>
      </c>
      <c r="C122" s="23" t="str">
        <f t="shared" si="1"/>
        <v>Vay tiêu dùng &amp; tín chấp</v>
      </c>
    </row>
    <row r="123">
      <c r="A123" s="23" t="s">
        <v>2047</v>
      </c>
      <c r="B123" s="24">
        <v>4.0</v>
      </c>
      <c r="C123" s="23" t="str">
        <f t="shared" si="1"/>
        <v>Ngoại tệ &amp; chuyển tiền quốc tế</v>
      </c>
    </row>
    <row r="124">
      <c r="A124" s="23" t="s">
        <v>2039</v>
      </c>
      <c r="B124" s="24">
        <v>18.0</v>
      </c>
      <c r="C124" s="23" t="str">
        <f t="shared" si="1"/>
        <v>Ưu đãi, du lịch &amp; đời sống</v>
      </c>
    </row>
    <row r="125">
      <c r="A125" s="23" t="s">
        <v>2600</v>
      </c>
      <c r="B125" s="24">
        <v>11.0</v>
      </c>
      <c r="C125" s="23" t="str">
        <f t="shared" si="1"/>
        <v>Thẻ tín dụng</v>
      </c>
    </row>
    <row r="126">
      <c r="A126" s="23" t="s">
        <v>2625</v>
      </c>
      <c r="B126" s="24">
        <v>10.0</v>
      </c>
      <c r="C126" s="23" t="str">
        <f t="shared" si="1"/>
        <v>Thẻ ATM &amp; thẻ ghi nợ</v>
      </c>
    </row>
    <row r="127">
      <c r="A127" s="23" t="s">
        <v>1633</v>
      </c>
      <c r="B127" s="24">
        <v>10.0</v>
      </c>
      <c r="C127" s="23" t="str">
        <f t="shared" si="1"/>
        <v>Thẻ ATM &amp; thẻ ghi nợ</v>
      </c>
    </row>
    <row r="128">
      <c r="A128" s="23" t="s">
        <v>880</v>
      </c>
      <c r="B128" s="24">
        <v>2.0</v>
      </c>
      <c r="C128" s="23" t="str">
        <f t="shared" si="1"/>
        <v>Doanh nghiệp (tài khoản, vay, tài chính)</v>
      </c>
    </row>
    <row r="129">
      <c r="A129" s="23" t="s">
        <v>1442</v>
      </c>
      <c r="B129" s="24">
        <v>19.0</v>
      </c>
      <c r="C129" s="23" t="str">
        <f t="shared" si="1"/>
        <v>Khác</v>
      </c>
    </row>
    <row r="130">
      <c r="A130" s="23" t="s">
        <v>2724</v>
      </c>
      <c r="B130" s="24">
        <v>17.0</v>
      </c>
      <c r="C130" s="23" t="str">
        <f t="shared" si="1"/>
        <v>Đầu tư, CCTG, trái phiếu, vàng</v>
      </c>
    </row>
    <row r="131">
      <c r="A131" s="23" t="s">
        <v>1592</v>
      </c>
      <c r="B131" s="24">
        <v>7.0</v>
      </c>
      <c r="C131" s="23" t="str">
        <f t="shared" si="1"/>
        <v>Quản lý tài chính cá nhân</v>
      </c>
    </row>
    <row r="132">
      <c r="A132" s="23" t="s">
        <v>901</v>
      </c>
      <c r="B132" s="24">
        <v>9.0</v>
      </c>
      <c r="C132" s="23" t="str">
        <f t="shared" si="1"/>
        <v>Thuế</v>
      </c>
    </row>
    <row r="133">
      <c r="A133" s="23" t="s">
        <v>2748</v>
      </c>
      <c r="B133" s="24">
        <v>16.0</v>
      </c>
      <c r="C133" s="23" t="str">
        <f t="shared" si="1"/>
        <v>Vay tiêu dùng &amp; tín chấp</v>
      </c>
    </row>
    <row r="134">
      <c r="A134" s="23" t="s">
        <v>2749</v>
      </c>
      <c r="B134" s="24">
        <v>3.0</v>
      </c>
      <c r="C134" s="23" t="str">
        <f t="shared" si="1"/>
        <v>Hộ kinh doanh &amp; bán hàng</v>
      </c>
    </row>
    <row r="135">
      <c r="A135" s="23" t="s">
        <v>2750</v>
      </c>
      <c r="B135" s="24">
        <v>16.0</v>
      </c>
      <c r="C135" s="23" t="str">
        <f t="shared" si="1"/>
        <v>Vay tiêu dùng &amp; tín chấp</v>
      </c>
    </row>
    <row r="136">
      <c r="A136" s="23" t="s">
        <v>126</v>
      </c>
      <c r="B136" s="24">
        <v>16.0</v>
      </c>
      <c r="C136" s="23" t="str">
        <f t="shared" si="1"/>
        <v>Vay tiêu dùng &amp; tín chấp</v>
      </c>
    </row>
    <row r="137">
      <c r="A137" s="23" t="s">
        <v>2754</v>
      </c>
      <c r="B137" s="24">
        <v>17.0</v>
      </c>
      <c r="C137" s="23" t="str">
        <f t="shared" si="1"/>
        <v>Đầu tư, CCTG, trái phiếu, vàng</v>
      </c>
    </row>
    <row r="138">
      <c r="A138" s="23" t="s">
        <v>836</v>
      </c>
      <c r="B138" s="24">
        <v>9.0</v>
      </c>
      <c r="C138" s="23" t="str">
        <f t="shared" si="1"/>
        <v>Thuế</v>
      </c>
    </row>
    <row r="139">
      <c r="A139" s="23" t="s">
        <v>2755</v>
      </c>
      <c r="B139" s="24">
        <v>17.0</v>
      </c>
      <c r="C139" s="23" t="str">
        <f t="shared" si="1"/>
        <v>Đầu tư, CCTG, trái phiếu, vàng</v>
      </c>
    </row>
    <row r="140">
      <c r="A140" s="23" t="s">
        <v>2756</v>
      </c>
      <c r="B140" s="24">
        <v>17.0</v>
      </c>
      <c r="C140" s="23" t="str">
        <f t="shared" si="1"/>
        <v>Đầu tư, CCTG, trái phiếu, vàng</v>
      </c>
    </row>
    <row r="141">
      <c r="A141" s="23" t="s">
        <v>2759</v>
      </c>
      <c r="B141" s="24">
        <v>17.0</v>
      </c>
      <c r="C141" s="23" t="str">
        <f t="shared" si="1"/>
        <v>Đầu tư, CCTG, trái phiếu, vàng</v>
      </c>
    </row>
    <row r="142">
      <c r="A142" s="23" t="s">
        <v>2761</v>
      </c>
      <c r="B142" s="24">
        <v>17.0</v>
      </c>
      <c r="C142" s="23" t="str">
        <f t="shared" si="1"/>
        <v>Đầu tư, CCTG, trái phiếu, vàng</v>
      </c>
    </row>
    <row r="143">
      <c r="A143" s="23" t="s">
        <v>2762</v>
      </c>
      <c r="B143" s="24">
        <v>17.0</v>
      </c>
      <c r="C143" s="23" t="str">
        <f t="shared" si="1"/>
        <v>Đầu tư, CCTG, trái phiếu, vàng</v>
      </c>
    </row>
    <row r="144">
      <c r="A144" s="23" t="s">
        <v>2763</v>
      </c>
      <c r="B144" s="24">
        <v>17.0</v>
      </c>
      <c r="C144" s="23" t="str">
        <f t="shared" si="1"/>
        <v>Đầu tư, CCTG, trái phiếu, vàng</v>
      </c>
    </row>
    <row r="145">
      <c r="A145" s="23" t="s">
        <v>2764</v>
      </c>
      <c r="B145" s="24">
        <v>17.0</v>
      </c>
      <c r="C145" s="23" t="str">
        <f t="shared" si="1"/>
        <v>Đầu tư, CCTG, trái phiếu, vàng</v>
      </c>
    </row>
    <row r="146">
      <c r="A146" s="23" t="s">
        <v>2768</v>
      </c>
      <c r="B146" s="24">
        <v>17.0</v>
      </c>
      <c r="C146" s="23" t="str">
        <f t="shared" si="1"/>
        <v>Đầu tư, CCTG, trái phiếu, vàng</v>
      </c>
    </row>
    <row r="147">
      <c r="A147" s="23" t="s">
        <v>2770</v>
      </c>
      <c r="B147" s="24">
        <v>17.0</v>
      </c>
      <c r="C147" s="23" t="str">
        <f t="shared" si="1"/>
        <v>Đầu tư, CCTG, trái phiếu, vàng</v>
      </c>
    </row>
    <row r="148">
      <c r="A148" s="23" t="s">
        <v>2771</v>
      </c>
      <c r="B148" s="24">
        <v>17.0</v>
      </c>
      <c r="C148" s="23" t="str">
        <f t="shared" si="1"/>
        <v>Đầu tư, CCTG, trái phiếu, vàng</v>
      </c>
    </row>
    <row r="149">
      <c r="A149" s="23" t="s">
        <v>949</v>
      </c>
      <c r="B149" s="24">
        <v>17.0</v>
      </c>
      <c r="C149" s="23" t="str">
        <f t="shared" si="1"/>
        <v>Đầu tư, CCTG, trái phiếu, vàng</v>
      </c>
    </row>
    <row r="150">
      <c r="A150" s="23" t="s">
        <v>2772</v>
      </c>
      <c r="B150" s="24">
        <v>18.0</v>
      </c>
      <c r="C150" s="23" t="str">
        <f t="shared" si="1"/>
        <v>Ưu đãi, du lịch &amp; đời sống</v>
      </c>
    </row>
    <row r="151">
      <c r="A151" s="23" t="s">
        <v>800</v>
      </c>
      <c r="B151" s="24">
        <v>3.0</v>
      </c>
      <c r="C151" s="23" t="str">
        <f t="shared" si="1"/>
        <v>Hộ kinh doanh &amp; bán hàng</v>
      </c>
    </row>
    <row r="152">
      <c r="A152" s="23" t="s">
        <v>2373</v>
      </c>
      <c r="B152" s="24">
        <v>9.0</v>
      </c>
      <c r="C152" s="23" t="str">
        <f t="shared" si="1"/>
        <v>Thuế</v>
      </c>
    </row>
    <row r="153">
      <c r="A153" s="23" t="s">
        <v>2775</v>
      </c>
      <c r="B153" s="24">
        <v>3.0</v>
      </c>
      <c r="C153" s="23" t="str">
        <f t="shared" si="1"/>
        <v>Hộ kinh doanh &amp; bán hàng</v>
      </c>
    </row>
    <row r="154">
      <c r="A154" s="23" t="s">
        <v>2776</v>
      </c>
      <c r="B154" s="24">
        <v>5.0</v>
      </c>
      <c r="C154" s="23" t="str">
        <f t="shared" si="1"/>
        <v>Ngân hàng xanh &amp; thương hiệu</v>
      </c>
    </row>
    <row r="155">
      <c r="A155" s="23" t="s">
        <v>2777</v>
      </c>
      <c r="B155" s="24">
        <v>15.0</v>
      </c>
      <c r="C155" s="23" t="str">
        <f t="shared" si="1"/>
        <v>Vay thế chấp &amp; mua nhà/xe</v>
      </c>
    </row>
    <row r="156">
      <c r="A156" s="23" t="s">
        <v>1993</v>
      </c>
      <c r="B156" s="24">
        <v>14.0</v>
      </c>
      <c r="C156" s="23" t="str">
        <f t="shared" si="1"/>
        <v>Tài khoản &amp; ngân hàng số</v>
      </c>
    </row>
    <row r="157">
      <c r="A157" s="23" t="s">
        <v>1525</v>
      </c>
      <c r="B157" s="24">
        <v>17.0</v>
      </c>
      <c r="C157" s="23" t="str">
        <f t="shared" si="1"/>
        <v>Đầu tư, CCTG, trái phiếu, vàng</v>
      </c>
    </row>
    <row r="158">
      <c r="A158" s="23" t="s">
        <v>2780</v>
      </c>
      <c r="B158" s="24">
        <v>13.0</v>
      </c>
      <c r="C158" s="23" t="str">
        <f t="shared" si="1"/>
        <v>Tiết kiệm &amp; lãi suất tiền gửi</v>
      </c>
    </row>
    <row r="159">
      <c r="A159" s="23" t="s">
        <v>2781</v>
      </c>
      <c r="B159" s="24">
        <v>4.0</v>
      </c>
      <c r="C159" s="23" t="str">
        <f t="shared" si="1"/>
        <v>Ngoại tệ &amp; chuyển tiền quốc tế</v>
      </c>
    </row>
    <row r="160">
      <c r="A160" s="23" t="s">
        <v>1866</v>
      </c>
      <c r="B160" s="24">
        <v>4.0</v>
      </c>
      <c r="C160" s="23" t="str">
        <f t="shared" si="1"/>
        <v>Ngoại tệ &amp; chuyển tiền quốc tế</v>
      </c>
    </row>
    <row r="161">
      <c r="A161" s="23" t="s">
        <v>2786</v>
      </c>
      <c r="B161" s="24">
        <v>13.0</v>
      </c>
      <c r="C161" s="23" t="str">
        <f t="shared" si="1"/>
        <v>Tiết kiệm &amp; lãi suất tiền gửi</v>
      </c>
    </row>
    <row r="162">
      <c r="A162" s="23" t="s">
        <v>2787</v>
      </c>
      <c r="B162" s="24">
        <v>8.0</v>
      </c>
      <c r="C162" s="23" t="str">
        <f t="shared" si="1"/>
        <v>Thanh toán, chuyển khoản &amp; QR</v>
      </c>
    </row>
    <row r="163">
      <c r="A163" s="23" t="s">
        <v>2788</v>
      </c>
      <c r="B163" s="24">
        <v>8.0</v>
      </c>
      <c r="C163" s="23" t="str">
        <f t="shared" si="1"/>
        <v>Thanh toán, chuyển khoản &amp; QR</v>
      </c>
    </row>
    <row r="164">
      <c r="A164" s="23" t="s">
        <v>93</v>
      </c>
      <c r="B164" s="24">
        <v>6.0</v>
      </c>
      <c r="C164" s="23" t="str">
        <f t="shared" si="1"/>
        <v>Nợ xấu &amp; CIC</v>
      </c>
    </row>
    <row r="165">
      <c r="A165" s="23" t="s">
        <v>149</v>
      </c>
      <c r="B165" s="24">
        <v>15.0</v>
      </c>
      <c r="C165" s="23" t="str">
        <f t="shared" si="1"/>
        <v>Vay thế chấp &amp; mua nhà/xe</v>
      </c>
    </row>
    <row r="166">
      <c r="A166" s="23" t="s">
        <v>2792</v>
      </c>
      <c r="B166" s="24">
        <v>17.0</v>
      </c>
      <c r="C166" s="23" t="str">
        <f t="shared" si="1"/>
        <v>Đầu tư, CCTG, trái phiếu, vàng</v>
      </c>
    </row>
    <row r="167">
      <c r="A167" s="23" t="s">
        <v>1421</v>
      </c>
      <c r="B167" s="24">
        <v>18.0</v>
      </c>
      <c r="C167" s="23" t="str">
        <f t="shared" si="1"/>
        <v>Ưu đãi, du lịch &amp; đời sống</v>
      </c>
    </row>
    <row r="168">
      <c r="A168" s="23" t="s">
        <v>2794</v>
      </c>
      <c r="B168" s="24">
        <v>11.0</v>
      </c>
      <c r="C168" s="23" t="str">
        <f t="shared" si="1"/>
        <v>Thẻ tín dụng</v>
      </c>
    </row>
    <row r="169">
      <c r="A169" s="23" t="s">
        <v>2796</v>
      </c>
      <c r="B169" s="24">
        <v>17.0</v>
      </c>
      <c r="C169" s="23" t="str">
        <f t="shared" si="1"/>
        <v>Đầu tư, CCTG, trái phiếu, vàng</v>
      </c>
    </row>
    <row r="170">
      <c r="A170" s="23" t="s">
        <v>1892</v>
      </c>
      <c r="B170" s="24">
        <v>13.0</v>
      </c>
      <c r="C170" s="23" t="str">
        <f t="shared" si="1"/>
        <v>Tiết kiệm &amp; lãi suất tiền gửi</v>
      </c>
    </row>
    <row r="171">
      <c r="A171" s="23" t="s">
        <v>2797</v>
      </c>
      <c r="B171" s="24">
        <v>13.0</v>
      </c>
      <c r="C171" s="23" t="str">
        <f t="shared" si="1"/>
        <v>Tiết kiệm &amp; lãi suất tiền gửi</v>
      </c>
    </row>
    <row r="172">
      <c r="A172" s="23" t="s">
        <v>2798</v>
      </c>
      <c r="B172" s="24">
        <v>1.0</v>
      </c>
      <c r="C172" s="23" t="str">
        <f t="shared" si="1"/>
        <v>Bảo hiểm</v>
      </c>
    </row>
    <row r="173">
      <c r="A173" s="23" t="s">
        <v>2239</v>
      </c>
      <c r="B173" s="24">
        <v>15.0</v>
      </c>
      <c r="C173" s="23" t="str">
        <f t="shared" si="1"/>
        <v>Vay thế chấp &amp; mua nhà/xe</v>
      </c>
    </row>
    <row r="174">
      <c r="A174" s="23" t="s">
        <v>1629</v>
      </c>
      <c r="B174" s="24">
        <v>14.0</v>
      </c>
      <c r="C174" s="23" t="str">
        <f t="shared" si="1"/>
        <v>Tài khoản &amp; ngân hàng số</v>
      </c>
    </row>
    <row r="175">
      <c r="A175" s="23" t="s">
        <v>2799</v>
      </c>
      <c r="B175" s="24">
        <v>15.0</v>
      </c>
      <c r="C175" s="23" t="str">
        <f t="shared" si="1"/>
        <v>Vay thế chấp &amp; mua nhà/xe</v>
      </c>
    </row>
    <row r="176">
      <c r="A176" s="23" t="s">
        <v>2800</v>
      </c>
      <c r="B176" s="24">
        <v>13.0</v>
      </c>
      <c r="C176" s="23" t="str">
        <f t="shared" si="1"/>
        <v>Tiết kiệm &amp; lãi suất tiền gửi</v>
      </c>
    </row>
    <row r="177">
      <c r="A177" s="23" t="s">
        <v>773</v>
      </c>
      <c r="B177" s="24">
        <v>2.0</v>
      </c>
      <c r="C177" s="23" t="str">
        <f t="shared" si="1"/>
        <v>Doanh nghiệp (tài khoản, vay, tài chính)</v>
      </c>
    </row>
    <row r="178">
      <c r="A178" s="23" t="s">
        <v>892</v>
      </c>
      <c r="B178" s="24">
        <v>2.0</v>
      </c>
      <c r="C178" s="23" t="str">
        <f t="shared" si="1"/>
        <v>Doanh nghiệp (tài khoản, vay, tài chính)</v>
      </c>
    </row>
    <row r="179">
      <c r="A179" s="23" t="s">
        <v>1431</v>
      </c>
      <c r="B179" s="24">
        <v>17.0</v>
      </c>
      <c r="C179" s="23" t="str">
        <f t="shared" si="1"/>
        <v>Đầu tư, CCTG, trái phiếu, vàng</v>
      </c>
    </row>
    <row r="180">
      <c r="A180" s="23" t="s">
        <v>2803</v>
      </c>
      <c r="B180" s="24">
        <v>3.0</v>
      </c>
      <c r="C180" s="23" t="str">
        <f t="shared" si="1"/>
        <v>Hộ kinh doanh &amp; bán hàng</v>
      </c>
    </row>
    <row r="181">
      <c r="A181" s="23" t="s">
        <v>2804</v>
      </c>
      <c r="B181" s="24">
        <v>18.0</v>
      </c>
      <c r="C181" s="23" t="str">
        <f t="shared" si="1"/>
        <v>Ưu đãi, du lịch &amp; đời sống</v>
      </c>
    </row>
    <row r="182">
      <c r="A182" s="23" t="s">
        <v>2806</v>
      </c>
      <c r="B182" s="24">
        <v>18.0</v>
      </c>
      <c r="C182" s="23" t="str">
        <f t="shared" si="1"/>
        <v>Ưu đãi, du lịch &amp; đời sống</v>
      </c>
    </row>
    <row r="183">
      <c r="A183" s="23" t="s">
        <v>2807</v>
      </c>
      <c r="B183" s="24">
        <v>3.0</v>
      </c>
      <c r="C183" s="23" t="str">
        <f t="shared" si="1"/>
        <v>Hộ kinh doanh &amp; bán hàng</v>
      </c>
    </row>
    <row r="184">
      <c r="A184" s="23" t="s">
        <v>695</v>
      </c>
      <c r="B184" s="24">
        <v>9.0</v>
      </c>
      <c r="C184" s="23" t="str">
        <f t="shared" si="1"/>
        <v>Thuế</v>
      </c>
    </row>
    <row r="185">
      <c r="A185" s="23" t="s">
        <v>1231</v>
      </c>
      <c r="B185" s="24">
        <v>14.0</v>
      </c>
      <c r="C185" s="23" t="str">
        <f t="shared" si="1"/>
        <v>Tài khoản &amp; ngân hàng số</v>
      </c>
    </row>
    <row r="186">
      <c r="A186" s="23" t="s">
        <v>1136</v>
      </c>
      <c r="B186" s="24">
        <v>2.0</v>
      </c>
      <c r="C186" s="23" t="str">
        <f t="shared" si="1"/>
        <v>Doanh nghiệp (tài khoản, vay, tài chính)</v>
      </c>
    </row>
    <row r="187">
      <c r="A187" s="23" t="s">
        <v>514</v>
      </c>
      <c r="B187" s="24">
        <v>9.0</v>
      </c>
      <c r="C187" s="23" t="str">
        <f t="shared" si="1"/>
        <v>Thuế</v>
      </c>
    </row>
    <row r="188">
      <c r="A188" s="23" t="s">
        <v>2810</v>
      </c>
      <c r="B188" s="24">
        <v>16.0</v>
      </c>
      <c r="C188" s="23" t="str">
        <f t="shared" si="1"/>
        <v>Vay tiêu dùng &amp; tín chấp</v>
      </c>
    </row>
    <row r="189">
      <c r="A189" s="23" t="s">
        <v>2812</v>
      </c>
      <c r="B189" s="24">
        <v>17.0</v>
      </c>
      <c r="C189" s="23" t="str">
        <f t="shared" si="1"/>
        <v>Đầu tư, CCTG, trái phiếu, vàng</v>
      </c>
    </row>
    <row r="190">
      <c r="A190" s="23" t="s">
        <v>2816</v>
      </c>
      <c r="B190" s="24">
        <v>16.0</v>
      </c>
      <c r="C190" s="23" t="str">
        <f t="shared" si="1"/>
        <v>Vay tiêu dùng &amp; tín chấp</v>
      </c>
    </row>
    <row r="191">
      <c r="A191" s="23" t="s">
        <v>2818</v>
      </c>
      <c r="B191" s="24">
        <v>11.0</v>
      </c>
      <c r="C191" s="23" t="str">
        <f t="shared" si="1"/>
        <v>Thẻ tín dụng</v>
      </c>
    </row>
    <row r="192">
      <c r="A192" s="23" t="s">
        <v>2819</v>
      </c>
      <c r="B192" s="24">
        <v>19.0</v>
      </c>
      <c r="C192" s="23" t="str">
        <f t="shared" si="1"/>
        <v>Khác</v>
      </c>
    </row>
    <row r="193">
      <c r="A193" s="23" t="s">
        <v>2820</v>
      </c>
      <c r="B193" s="24">
        <v>18.0</v>
      </c>
      <c r="C193" s="23" t="str">
        <f t="shared" si="1"/>
        <v>Ưu đãi, du lịch &amp; đời sống</v>
      </c>
    </row>
    <row r="194">
      <c r="A194" s="23" t="s">
        <v>2822</v>
      </c>
      <c r="B194" s="24">
        <v>5.0</v>
      </c>
      <c r="C194" s="23" t="str">
        <f t="shared" si="1"/>
        <v>Ngân hàng xanh &amp; thương hiệu</v>
      </c>
    </row>
    <row r="195">
      <c r="A195" s="23" t="s">
        <v>2825</v>
      </c>
      <c r="B195" s="24">
        <v>5.0</v>
      </c>
      <c r="C195" s="23" t="str">
        <f t="shared" si="1"/>
        <v>Ngân hàng xanh &amp; thương hiệu</v>
      </c>
    </row>
    <row r="196">
      <c r="A196" s="23" t="s">
        <v>2826</v>
      </c>
      <c r="B196" s="24">
        <v>17.0</v>
      </c>
      <c r="C196" s="23" t="str">
        <f t="shared" si="1"/>
        <v>Đầu tư, CCTG, trái phiếu, vàng</v>
      </c>
    </row>
    <row r="197">
      <c r="A197" s="23" t="s">
        <v>2827</v>
      </c>
      <c r="B197" s="24">
        <v>17.0</v>
      </c>
      <c r="C197" s="23" t="str">
        <f t="shared" si="1"/>
        <v>Đầu tư, CCTG, trái phiếu, vàng</v>
      </c>
    </row>
    <row r="198">
      <c r="A198" s="23" t="s">
        <v>2829</v>
      </c>
      <c r="B198" s="24">
        <v>17.0</v>
      </c>
      <c r="C198" s="23" t="str">
        <f t="shared" si="1"/>
        <v>Đầu tư, CCTG, trái phiếu, vàng</v>
      </c>
    </row>
    <row r="199">
      <c r="A199" s="23" t="s">
        <v>1548</v>
      </c>
      <c r="B199" s="24">
        <v>17.0</v>
      </c>
      <c r="C199" s="23" t="str">
        <f t="shared" si="1"/>
        <v>Đầu tư, CCTG, trái phiếu, vàng</v>
      </c>
    </row>
    <row r="200">
      <c r="A200" s="23" t="s">
        <v>1435</v>
      </c>
      <c r="B200" s="24">
        <v>17.0</v>
      </c>
      <c r="C200" s="23" t="str">
        <f t="shared" si="1"/>
        <v>Đầu tư, CCTG, trái phiếu, vàng</v>
      </c>
    </row>
    <row r="201">
      <c r="A201" s="23" t="s">
        <v>2833</v>
      </c>
      <c r="B201" s="24">
        <v>2.0</v>
      </c>
      <c r="C201" s="23" t="str">
        <f t="shared" si="1"/>
        <v>Doanh nghiệp (tài khoản, vay, tài chính)</v>
      </c>
    </row>
    <row r="202">
      <c r="A202" s="23" t="s">
        <v>864</v>
      </c>
      <c r="B202" s="24">
        <v>18.0</v>
      </c>
      <c r="C202" s="23" t="str">
        <f t="shared" si="1"/>
        <v>Ưu đãi, du lịch &amp; đời sống</v>
      </c>
    </row>
    <row r="203">
      <c r="A203" s="23" t="s">
        <v>2834</v>
      </c>
      <c r="B203" s="24">
        <v>4.0</v>
      </c>
      <c r="C203" s="23" t="str">
        <f t="shared" si="1"/>
        <v>Ngoại tệ &amp; chuyển tiền quốc tế</v>
      </c>
    </row>
    <row r="204">
      <c r="A204" s="23" t="s">
        <v>2835</v>
      </c>
      <c r="B204" s="24">
        <v>6.0</v>
      </c>
      <c r="C204" s="23" t="str">
        <f t="shared" si="1"/>
        <v>Nợ xấu &amp; CIC</v>
      </c>
    </row>
    <row r="205">
      <c r="A205" s="23" t="s">
        <v>2837</v>
      </c>
      <c r="B205" s="24">
        <v>4.0</v>
      </c>
      <c r="C205" s="23" t="str">
        <f t="shared" si="1"/>
        <v>Ngoại tệ &amp; chuyển tiền quốc tế</v>
      </c>
    </row>
    <row r="206">
      <c r="A206" s="23" t="s">
        <v>872</v>
      </c>
      <c r="B206" s="24">
        <v>2.0</v>
      </c>
      <c r="C206" s="23" t="str">
        <f t="shared" si="1"/>
        <v>Doanh nghiệp (tài khoản, vay, tài chính)</v>
      </c>
    </row>
    <row r="207">
      <c r="A207" s="23" t="s">
        <v>2838</v>
      </c>
      <c r="B207" s="24">
        <v>15.0</v>
      </c>
      <c r="C207" s="23" t="str">
        <f t="shared" si="1"/>
        <v>Vay thế chấp &amp; mua nhà/xe</v>
      </c>
    </row>
    <row r="208">
      <c r="A208" s="23" t="s">
        <v>1953</v>
      </c>
      <c r="B208" s="24">
        <v>3.0</v>
      </c>
      <c r="C208" s="23" t="str">
        <f t="shared" si="1"/>
        <v>Hộ kinh doanh &amp; bán hàng</v>
      </c>
    </row>
    <row r="209">
      <c r="A209" s="23" t="s">
        <v>2840</v>
      </c>
      <c r="B209" s="24">
        <v>4.0</v>
      </c>
      <c r="C209" s="23" t="str">
        <f t="shared" si="1"/>
        <v>Ngoại tệ &amp; chuyển tiền quốc tế</v>
      </c>
    </row>
    <row r="210">
      <c r="A210" s="23" t="s">
        <v>2043</v>
      </c>
      <c r="B210" s="24">
        <v>4.0</v>
      </c>
      <c r="C210" s="23" t="str">
        <f t="shared" si="1"/>
        <v>Ngoại tệ &amp; chuyển tiền quốc tế</v>
      </c>
    </row>
    <row r="211">
      <c r="A211" s="23" t="s">
        <v>669</v>
      </c>
      <c r="B211" s="24">
        <v>9.0</v>
      </c>
      <c r="C211" s="23" t="str">
        <f t="shared" si="1"/>
        <v>Thuế</v>
      </c>
    </row>
    <row r="212">
      <c r="A212" s="23" t="s">
        <v>1047</v>
      </c>
      <c r="B212" s="24">
        <v>4.0</v>
      </c>
      <c r="C212" s="23" t="str">
        <f t="shared" si="1"/>
        <v>Ngoại tệ &amp; chuyển tiền quốc tế</v>
      </c>
    </row>
    <row r="213">
      <c r="A213" s="23" t="s">
        <v>98</v>
      </c>
      <c r="B213" s="24">
        <v>19.0</v>
      </c>
      <c r="C213" s="23" t="str">
        <f t="shared" si="1"/>
        <v>Khác</v>
      </c>
    </row>
    <row r="214">
      <c r="A214" s="23" t="s">
        <v>2841</v>
      </c>
      <c r="B214" s="24">
        <v>2.0</v>
      </c>
      <c r="C214" s="23" t="str">
        <f t="shared" si="1"/>
        <v>Doanh nghiệp (tài khoản, vay, tài chính)</v>
      </c>
    </row>
    <row r="215">
      <c r="A215" s="23" t="s">
        <v>656</v>
      </c>
      <c r="B215" s="24">
        <v>9.0</v>
      </c>
      <c r="C215" s="23" t="str">
        <f t="shared" si="1"/>
        <v>Thuế</v>
      </c>
    </row>
    <row r="216">
      <c r="A216" s="23" t="s">
        <v>868</v>
      </c>
      <c r="B216" s="24">
        <v>2.0</v>
      </c>
      <c r="C216" s="23" t="str">
        <f t="shared" si="1"/>
        <v>Doanh nghiệp (tài khoản, vay, tài chính)</v>
      </c>
    </row>
    <row r="217">
      <c r="A217" s="23" t="s">
        <v>2845</v>
      </c>
      <c r="B217" s="24">
        <v>12.0</v>
      </c>
      <c r="C217" s="23" t="str">
        <f t="shared" si="1"/>
        <v>Thị trường &amp; giá cả</v>
      </c>
    </row>
    <row r="218">
      <c r="A218" s="23" t="s">
        <v>2846</v>
      </c>
      <c r="B218" s="24">
        <v>6.0</v>
      </c>
      <c r="C218" s="23" t="str">
        <f t="shared" si="1"/>
        <v>Nợ xấu &amp; CIC</v>
      </c>
    </row>
    <row r="219">
      <c r="A219" s="23" t="s">
        <v>2847</v>
      </c>
      <c r="B219" s="24">
        <v>6.0</v>
      </c>
      <c r="C219" s="23" t="str">
        <f t="shared" si="1"/>
        <v>Nợ xấu &amp; CIC</v>
      </c>
    </row>
    <row r="220">
      <c r="A220" s="23" t="s">
        <v>740</v>
      </c>
      <c r="B220" s="24">
        <v>2.0</v>
      </c>
      <c r="C220" s="23" t="str">
        <f t="shared" si="1"/>
        <v>Doanh nghiệp (tài khoản, vay, tài chính)</v>
      </c>
    </row>
    <row r="221">
      <c r="A221" s="23" t="s">
        <v>909</v>
      </c>
      <c r="B221" s="24">
        <v>5.0</v>
      </c>
      <c r="C221" s="23" t="str">
        <f t="shared" si="1"/>
        <v>Ngân hàng xanh &amp; thương hiệu</v>
      </c>
    </row>
    <row r="222">
      <c r="A222" s="23" t="s">
        <v>2153</v>
      </c>
      <c r="B222" s="24">
        <v>14.0</v>
      </c>
      <c r="C222" s="23" t="str">
        <f t="shared" si="1"/>
        <v>Tài khoản &amp; ngân hàng số</v>
      </c>
    </row>
    <row r="223">
      <c r="A223" s="23" t="s">
        <v>2849</v>
      </c>
      <c r="B223" s="24">
        <v>5.0</v>
      </c>
      <c r="C223" s="23" t="str">
        <f t="shared" si="1"/>
        <v>Ngân hàng xanh &amp; thương hiệu</v>
      </c>
    </row>
    <row r="224">
      <c r="A224" s="23" t="s">
        <v>1454</v>
      </c>
      <c r="B224" s="24">
        <v>7.0</v>
      </c>
      <c r="C224" s="23" t="str">
        <f t="shared" si="1"/>
        <v>Quản lý tài chính cá nhân</v>
      </c>
    </row>
    <row r="225">
      <c r="A225" s="23" t="s">
        <v>2374</v>
      </c>
      <c r="B225" s="24">
        <v>7.0</v>
      </c>
      <c r="C225" s="23" t="str">
        <f t="shared" si="1"/>
        <v>Quản lý tài chính cá nhân</v>
      </c>
    </row>
    <row r="226">
      <c r="A226" s="23" t="s">
        <v>2850</v>
      </c>
      <c r="B226" s="24">
        <v>12.0</v>
      </c>
      <c r="C226" s="23" t="str">
        <f t="shared" si="1"/>
        <v>Thị trường &amp; giá cả</v>
      </c>
    </row>
    <row r="227">
      <c r="A227" s="23" t="s">
        <v>2851</v>
      </c>
      <c r="B227" s="24">
        <v>12.0</v>
      </c>
      <c r="C227" s="23" t="str">
        <f t="shared" si="1"/>
        <v>Thị trường &amp; giá cả</v>
      </c>
    </row>
    <row r="228">
      <c r="A228" s="23" t="s">
        <v>1501</v>
      </c>
      <c r="B228" s="24">
        <v>17.0</v>
      </c>
      <c r="C228" s="23" t="str">
        <f t="shared" si="1"/>
        <v>Đầu tư, CCTG, trái phiếu, vàng</v>
      </c>
    </row>
    <row r="229">
      <c r="A229" s="23" t="s">
        <v>910</v>
      </c>
      <c r="B229" s="24">
        <v>8.0</v>
      </c>
      <c r="C229" s="23" t="str">
        <f t="shared" si="1"/>
        <v>Thanh toán, chuyển khoản &amp; QR</v>
      </c>
    </row>
    <row r="230">
      <c r="A230" s="23" t="s">
        <v>2854</v>
      </c>
      <c r="B230" s="24">
        <v>17.0</v>
      </c>
      <c r="C230" s="23" t="str">
        <f t="shared" si="1"/>
        <v>Đầu tư, CCTG, trái phiếu, vàng</v>
      </c>
    </row>
    <row r="231">
      <c r="A231" s="23" t="s">
        <v>1945</v>
      </c>
      <c r="B231" s="24">
        <v>5.0</v>
      </c>
      <c r="C231" s="23" t="str">
        <f t="shared" si="1"/>
        <v>Ngân hàng xanh &amp; thương hiệu</v>
      </c>
    </row>
    <row r="232">
      <c r="A232" s="23" t="s">
        <v>2856</v>
      </c>
      <c r="B232" s="24">
        <v>17.0</v>
      </c>
      <c r="C232" s="23" t="str">
        <f t="shared" si="1"/>
        <v>Đầu tư, CCTG, trái phiếu, vàng</v>
      </c>
    </row>
    <row r="233">
      <c r="A233" s="23" t="s">
        <v>1447</v>
      </c>
      <c r="B233" s="24">
        <v>12.0</v>
      </c>
      <c r="C233" s="23" t="str">
        <f t="shared" si="1"/>
        <v>Thị trường &amp; giá cả</v>
      </c>
    </row>
    <row r="234">
      <c r="A234" s="23" t="s">
        <v>762</v>
      </c>
      <c r="B234" s="24">
        <v>9.0</v>
      </c>
      <c r="C234" s="23" t="str">
        <f t="shared" si="1"/>
        <v>Thuế</v>
      </c>
    </row>
    <row r="235">
      <c r="A235" s="23" t="s">
        <v>2340</v>
      </c>
      <c r="B235" s="24">
        <v>16.0</v>
      </c>
      <c r="C235" s="23" t="str">
        <f t="shared" si="1"/>
        <v>Vay tiêu dùng &amp; tín chấp</v>
      </c>
    </row>
    <row r="236">
      <c r="A236" s="23" t="s">
        <v>2857</v>
      </c>
      <c r="B236" s="24">
        <v>15.0</v>
      </c>
      <c r="C236" s="23" t="str">
        <f t="shared" si="1"/>
        <v>Vay thế chấp &amp; mua nhà/xe</v>
      </c>
    </row>
    <row r="237">
      <c r="A237" s="23" t="s">
        <v>2858</v>
      </c>
      <c r="B237" s="24">
        <v>18.0</v>
      </c>
      <c r="C237" s="23" t="str">
        <f t="shared" si="1"/>
        <v>Ưu đãi, du lịch &amp; đời sống</v>
      </c>
    </row>
    <row r="238">
      <c r="A238" s="23" t="s">
        <v>2859</v>
      </c>
      <c r="B238" s="24">
        <v>5.0</v>
      </c>
      <c r="C238" s="23" t="str">
        <f t="shared" si="1"/>
        <v>Ngân hàng xanh &amp; thương hiệu</v>
      </c>
    </row>
    <row r="239">
      <c r="A239" s="23" t="s">
        <v>2860</v>
      </c>
      <c r="B239" s="24">
        <v>3.0</v>
      </c>
      <c r="C239" s="23" t="str">
        <f t="shared" si="1"/>
        <v>Hộ kinh doanh &amp; bán hàng</v>
      </c>
    </row>
    <row r="240">
      <c r="A240" s="23" t="s">
        <v>2861</v>
      </c>
      <c r="B240" s="24">
        <v>14.0</v>
      </c>
      <c r="C240" s="23" t="str">
        <f t="shared" si="1"/>
        <v>Tài khoản &amp; ngân hàng số</v>
      </c>
    </row>
    <row r="241">
      <c r="A241" s="23" t="s">
        <v>1090</v>
      </c>
      <c r="B241" s="24">
        <v>8.0</v>
      </c>
      <c r="C241" s="23" t="str">
        <f t="shared" si="1"/>
        <v>Thanh toán, chuyển khoản &amp; QR</v>
      </c>
    </row>
    <row r="242">
      <c r="A242" s="23" t="s">
        <v>2862</v>
      </c>
      <c r="B242" s="24">
        <v>13.0</v>
      </c>
      <c r="C242" s="23" t="str">
        <f t="shared" si="1"/>
        <v>Tiết kiệm &amp; lãi suất tiền gửi</v>
      </c>
    </row>
    <row r="243">
      <c r="A243" s="23" t="s">
        <v>2027</v>
      </c>
      <c r="B243" s="24">
        <v>4.0</v>
      </c>
      <c r="C243" s="23" t="str">
        <f t="shared" si="1"/>
        <v>Ngoại tệ &amp; chuyển tiền quốc tế</v>
      </c>
    </row>
    <row r="244">
      <c r="A244" s="23" t="s">
        <v>1847</v>
      </c>
      <c r="B244" s="24">
        <v>14.0</v>
      </c>
      <c r="C244" s="23" t="str">
        <f t="shared" si="1"/>
        <v>Tài khoản &amp; ngân hàng số</v>
      </c>
    </row>
    <row r="245">
      <c r="A245" s="23" t="s">
        <v>2863</v>
      </c>
      <c r="B245" s="24">
        <v>4.0</v>
      </c>
      <c r="C245" s="23" t="str">
        <f t="shared" si="1"/>
        <v>Ngoại tệ &amp; chuyển tiền quốc tế</v>
      </c>
    </row>
    <row r="246">
      <c r="A246" s="23" t="s">
        <v>2864</v>
      </c>
      <c r="B246" s="24">
        <v>13.0</v>
      </c>
      <c r="C246" s="23" t="str">
        <f t="shared" si="1"/>
        <v>Tiết kiệm &amp; lãi suất tiền gửi</v>
      </c>
    </row>
    <row r="247">
      <c r="A247" s="23" t="s">
        <v>2865</v>
      </c>
      <c r="B247" s="24">
        <v>13.0</v>
      </c>
      <c r="C247" s="23" t="str">
        <f t="shared" si="1"/>
        <v>Tiết kiệm &amp; lãi suất tiền gửi</v>
      </c>
    </row>
    <row r="248">
      <c r="A248" s="23" t="s">
        <v>2867</v>
      </c>
      <c r="B248" s="24">
        <v>13.0</v>
      </c>
      <c r="C248" s="23" t="str">
        <f t="shared" si="1"/>
        <v>Tiết kiệm &amp; lãi suất tiền gửi</v>
      </c>
    </row>
    <row r="249">
      <c r="A249" s="23" t="s">
        <v>1910</v>
      </c>
      <c r="B249" s="24">
        <v>13.0</v>
      </c>
      <c r="C249" s="23" t="str">
        <f t="shared" si="1"/>
        <v>Tiết kiệm &amp; lãi suất tiền gửi</v>
      </c>
    </row>
    <row r="250">
      <c r="A250" s="23" t="s">
        <v>2870</v>
      </c>
      <c r="B250" s="24">
        <v>13.0</v>
      </c>
      <c r="C250" s="23" t="str">
        <f t="shared" si="1"/>
        <v>Tiết kiệm &amp; lãi suất tiền gửi</v>
      </c>
    </row>
    <row r="251">
      <c r="A251" s="23" t="s">
        <v>2871</v>
      </c>
      <c r="B251" s="24">
        <v>13.0</v>
      </c>
      <c r="C251" s="23" t="str">
        <f t="shared" si="1"/>
        <v>Tiết kiệm &amp; lãi suất tiền gửi</v>
      </c>
    </row>
    <row r="252">
      <c r="A252" s="23" t="s">
        <v>2873</v>
      </c>
      <c r="B252" s="24">
        <v>13.0</v>
      </c>
      <c r="C252" s="23" t="str">
        <f t="shared" si="1"/>
        <v>Tiết kiệm &amp; lãi suất tiền gửi</v>
      </c>
    </row>
    <row r="253">
      <c r="A253" s="23" t="s">
        <v>2874</v>
      </c>
      <c r="B253" s="24">
        <v>13.0</v>
      </c>
      <c r="C253" s="23" t="str">
        <f t="shared" si="1"/>
        <v>Tiết kiệm &amp; lãi suất tiền gửi</v>
      </c>
    </row>
    <row r="254">
      <c r="A254" s="23" t="s">
        <v>2227</v>
      </c>
      <c r="B254" s="24">
        <v>13.0</v>
      </c>
      <c r="C254" s="23" t="str">
        <f t="shared" si="1"/>
        <v>Tiết kiệm &amp; lãi suất tiền gửi</v>
      </c>
    </row>
    <row r="255">
      <c r="A255" s="23" t="s">
        <v>2875</v>
      </c>
      <c r="B255" s="24">
        <v>13.0</v>
      </c>
      <c r="C255" s="23" t="str">
        <f t="shared" si="1"/>
        <v>Tiết kiệm &amp; lãi suất tiền gửi</v>
      </c>
    </row>
    <row r="256">
      <c r="A256" s="23" t="s">
        <v>2877</v>
      </c>
      <c r="B256" s="24">
        <v>17.0</v>
      </c>
      <c r="C256" s="23" t="str">
        <f t="shared" si="1"/>
        <v>Đầu tư, CCTG, trái phiếu, vàng</v>
      </c>
    </row>
    <row r="257">
      <c r="A257" s="23" t="s">
        <v>2879</v>
      </c>
      <c r="B257" s="24">
        <v>4.0</v>
      </c>
      <c r="C257" s="23" t="str">
        <f t="shared" si="1"/>
        <v>Ngoại tệ &amp; chuyển tiền quốc tế</v>
      </c>
    </row>
    <row r="258">
      <c r="A258" s="23" t="s">
        <v>2346</v>
      </c>
      <c r="B258" s="24">
        <v>16.0</v>
      </c>
      <c r="C258" s="23" t="str">
        <f t="shared" si="1"/>
        <v>Vay tiêu dùng &amp; tín chấp</v>
      </c>
    </row>
    <row r="259">
      <c r="A259" s="23" t="s">
        <v>2885</v>
      </c>
      <c r="B259" s="24">
        <v>11.0</v>
      </c>
      <c r="C259" s="23" t="str">
        <f t="shared" si="1"/>
        <v>Thẻ tín dụng</v>
      </c>
    </row>
    <row r="260">
      <c r="A260" s="23" t="s">
        <v>2886</v>
      </c>
      <c r="B260" s="24">
        <v>16.0</v>
      </c>
      <c r="C260" s="23" t="str">
        <f t="shared" si="1"/>
        <v>Vay tiêu dùng &amp; tín chấp</v>
      </c>
    </row>
    <row r="261">
      <c r="A261" s="23" t="s">
        <v>2887</v>
      </c>
      <c r="B261" s="24">
        <v>15.0</v>
      </c>
      <c r="C261" s="23" t="str">
        <f t="shared" si="1"/>
        <v>Vay thế chấp &amp; mua nhà/xe</v>
      </c>
    </row>
    <row r="262">
      <c r="A262" s="23" t="s">
        <v>793</v>
      </c>
      <c r="B262" s="24">
        <v>9.0</v>
      </c>
      <c r="C262" s="23" t="str">
        <f t="shared" si="1"/>
        <v>Thuế</v>
      </c>
    </row>
    <row r="263">
      <c r="A263" s="23" t="s">
        <v>915</v>
      </c>
      <c r="B263" s="24">
        <v>3.0</v>
      </c>
      <c r="C263" s="23" t="str">
        <f t="shared" si="1"/>
        <v>Hộ kinh doanh &amp; bán hàng</v>
      </c>
    </row>
    <row r="264">
      <c r="A264" s="23" t="s">
        <v>2888</v>
      </c>
      <c r="B264" s="24">
        <v>3.0</v>
      </c>
      <c r="C264" s="23" t="str">
        <f t="shared" si="1"/>
        <v>Hộ kinh doanh &amp; bán hàng</v>
      </c>
    </row>
    <row r="265">
      <c r="A265" s="23" t="s">
        <v>591</v>
      </c>
      <c r="B265" s="24">
        <v>9.0</v>
      </c>
      <c r="C265" s="23" t="str">
        <f t="shared" si="1"/>
        <v>Thuế</v>
      </c>
    </row>
    <row r="266">
      <c r="A266" s="23" t="s">
        <v>627</v>
      </c>
      <c r="B266" s="24">
        <v>9.0</v>
      </c>
      <c r="C266" s="23" t="str">
        <f t="shared" si="1"/>
        <v>Thuế</v>
      </c>
    </row>
    <row r="267">
      <c r="A267" s="23" t="s">
        <v>1189</v>
      </c>
      <c r="B267" s="24">
        <v>2.0</v>
      </c>
      <c r="C267" s="23" t="str">
        <f t="shared" si="1"/>
        <v>Doanh nghiệp (tài khoản, vay, tài chính)</v>
      </c>
    </row>
    <row r="268">
      <c r="A268" s="23" t="s">
        <v>1116</v>
      </c>
      <c r="B268" s="24">
        <v>15.0</v>
      </c>
      <c r="C268" s="23" t="str">
        <f t="shared" si="1"/>
        <v>Vay thế chấp &amp; mua nhà/xe</v>
      </c>
    </row>
    <row r="269">
      <c r="A269" s="23" t="s">
        <v>2892</v>
      </c>
      <c r="B269" s="24">
        <v>16.0</v>
      </c>
      <c r="C269" s="23" t="str">
        <f t="shared" si="1"/>
        <v>Vay tiêu dùng &amp; tín chấp</v>
      </c>
    </row>
    <row r="270">
      <c r="A270" s="23" t="s">
        <v>2894</v>
      </c>
      <c r="B270" s="24">
        <v>2.0</v>
      </c>
      <c r="C270" s="23" t="str">
        <f t="shared" si="1"/>
        <v>Doanh nghiệp (tài khoản, vay, tài chính)</v>
      </c>
    </row>
    <row r="271">
      <c r="A271" s="23" t="s">
        <v>604</v>
      </c>
      <c r="B271" s="24">
        <v>9.0</v>
      </c>
      <c r="C271" s="23" t="str">
        <f t="shared" si="1"/>
        <v>Thuế</v>
      </c>
    </row>
    <row r="272">
      <c r="A272" s="23" t="s">
        <v>2898</v>
      </c>
      <c r="B272" s="24">
        <v>3.0</v>
      </c>
      <c r="C272" s="23" t="str">
        <f t="shared" si="1"/>
        <v>Hộ kinh doanh &amp; bán hàng</v>
      </c>
    </row>
    <row r="273">
      <c r="A273" s="23" t="s">
        <v>852</v>
      </c>
      <c r="B273" s="24">
        <v>9.0</v>
      </c>
      <c r="C273" s="23" t="str">
        <f t="shared" si="1"/>
        <v>Thuế</v>
      </c>
    </row>
    <row r="274">
      <c r="A274" s="23" t="s">
        <v>635</v>
      </c>
      <c r="B274" s="24">
        <v>9.0</v>
      </c>
      <c r="C274" s="23" t="str">
        <f t="shared" si="1"/>
        <v>Thuế</v>
      </c>
    </row>
    <row r="275">
      <c r="A275" s="23" t="s">
        <v>2899</v>
      </c>
      <c r="B275" s="24">
        <v>13.0</v>
      </c>
      <c r="C275" s="23" t="str">
        <f t="shared" si="1"/>
        <v>Tiết kiệm &amp; lãi suất tiền gửi</v>
      </c>
    </row>
    <row r="276">
      <c r="A276" s="23" t="s">
        <v>1906</v>
      </c>
      <c r="B276" s="24">
        <v>10.0</v>
      </c>
      <c r="C276" s="23" t="str">
        <f t="shared" si="1"/>
        <v>Thẻ ATM &amp; thẻ ghi nợ</v>
      </c>
    </row>
    <row r="277">
      <c r="A277" s="23" t="s">
        <v>2902</v>
      </c>
      <c r="B277" s="24">
        <v>17.0</v>
      </c>
      <c r="C277" s="23" t="str">
        <f t="shared" si="1"/>
        <v>Đầu tư, CCTG, trái phiếu, vàng</v>
      </c>
    </row>
    <row r="278">
      <c r="A278" s="23" t="s">
        <v>1438</v>
      </c>
      <c r="B278" s="24">
        <v>7.0</v>
      </c>
      <c r="C278" s="23" t="str">
        <f t="shared" si="1"/>
        <v>Quản lý tài chính cá nhân</v>
      </c>
    </row>
    <row r="279">
      <c r="A279" s="23" t="s">
        <v>2906</v>
      </c>
      <c r="B279" s="24">
        <v>2.0</v>
      </c>
      <c r="C279" s="23" t="str">
        <f t="shared" si="1"/>
        <v>Doanh nghiệp (tài khoản, vay, tài chính)</v>
      </c>
    </row>
    <row r="280">
      <c r="A280" s="23" t="s">
        <v>2031</v>
      </c>
      <c r="B280" s="24">
        <v>4.0</v>
      </c>
      <c r="C280" s="23" t="str">
        <f t="shared" si="1"/>
        <v>Ngoại tệ &amp; chuyển tiền quốc tế</v>
      </c>
    </row>
    <row r="281">
      <c r="A281" s="23" t="s">
        <v>2911</v>
      </c>
      <c r="B281" s="24">
        <v>8.0</v>
      </c>
      <c r="C281" s="23" t="str">
        <f t="shared" si="1"/>
        <v>Thanh toán, chuyển khoản &amp; QR</v>
      </c>
    </row>
    <row r="282">
      <c r="A282" s="23" t="s">
        <v>2913</v>
      </c>
      <c r="B282" s="24">
        <v>7.0</v>
      </c>
      <c r="C282" s="23" t="str">
        <f t="shared" si="1"/>
        <v>Quản lý tài chính cá nhân</v>
      </c>
    </row>
    <row r="283">
      <c r="A283" s="23" t="s">
        <v>2914</v>
      </c>
      <c r="B283" s="24">
        <v>4.0</v>
      </c>
      <c r="C283" s="23" t="str">
        <f t="shared" si="1"/>
        <v>Ngoại tệ &amp; chuyển tiền quốc tế</v>
      </c>
    </row>
    <row r="284">
      <c r="A284" s="23" t="s">
        <v>776</v>
      </c>
      <c r="B284" s="24">
        <v>9.0</v>
      </c>
      <c r="C284" s="23" t="str">
        <f t="shared" si="1"/>
        <v>Thuế</v>
      </c>
    </row>
    <row r="285">
      <c r="A285" s="23" t="s">
        <v>631</v>
      </c>
      <c r="B285" s="24">
        <v>9.0</v>
      </c>
      <c r="C285" s="23" t="str">
        <f t="shared" si="1"/>
        <v>Thuế</v>
      </c>
    </row>
    <row r="286">
      <c r="A286" s="23" t="s">
        <v>452</v>
      </c>
      <c r="B286" s="24">
        <v>15.0</v>
      </c>
      <c r="C286" s="23" t="str">
        <f t="shared" si="1"/>
        <v>Vay thế chấp &amp; mua nhà/xe</v>
      </c>
    </row>
    <row r="287">
      <c r="A287" s="23" t="s">
        <v>610</v>
      </c>
      <c r="B287" s="24">
        <v>9.0</v>
      </c>
      <c r="C287" s="23" t="str">
        <f t="shared" si="1"/>
        <v>Thuế</v>
      </c>
    </row>
    <row r="288">
      <c r="A288" s="23" t="s">
        <v>754</v>
      </c>
      <c r="B288" s="24">
        <v>17.0</v>
      </c>
      <c r="C288" s="23" t="str">
        <f t="shared" si="1"/>
        <v>Đầu tư, CCTG, trái phiếu, vàng</v>
      </c>
    </row>
    <row r="289">
      <c r="A289" s="23" t="s">
        <v>2919</v>
      </c>
      <c r="B289" s="24">
        <v>16.0</v>
      </c>
      <c r="C289" s="23" t="str">
        <f t="shared" si="1"/>
        <v>Vay tiêu dùng &amp; tín chấp</v>
      </c>
    </row>
    <row r="290">
      <c r="A290" s="23" t="s">
        <v>2920</v>
      </c>
      <c r="B290" s="24">
        <v>17.0</v>
      </c>
      <c r="C290" s="23" t="str">
        <f t="shared" si="1"/>
        <v>Đầu tư, CCTG, trái phiếu, vàng</v>
      </c>
    </row>
    <row r="291">
      <c r="A291" s="23" t="s">
        <v>701</v>
      </c>
      <c r="B291" s="24">
        <v>9.0</v>
      </c>
      <c r="C291" s="23" t="str">
        <f t="shared" si="1"/>
        <v>Thuế</v>
      </c>
    </row>
    <row r="292">
      <c r="A292" s="23" t="s">
        <v>2921</v>
      </c>
      <c r="B292" s="24">
        <v>11.0</v>
      </c>
      <c r="C292" s="23" t="str">
        <f t="shared" si="1"/>
        <v>Thẻ tín dụng</v>
      </c>
    </row>
    <row r="293">
      <c r="A293" s="23" t="s">
        <v>2923</v>
      </c>
      <c r="B293" s="24">
        <v>18.0</v>
      </c>
      <c r="C293" s="23" t="str">
        <f t="shared" si="1"/>
        <v>Ưu đãi, du lịch &amp; đời sống</v>
      </c>
    </row>
    <row r="294">
      <c r="A294" s="23" t="s">
        <v>1029</v>
      </c>
      <c r="B294" s="24">
        <v>9.0</v>
      </c>
      <c r="C294" s="23" t="str">
        <f t="shared" si="1"/>
        <v>Thuế</v>
      </c>
    </row>
    <row r="295">
      <c r="A295" s="23" t="s">
        <v>1158</v>
      </c>
      <c r="B295" s="24">
        <v>6.0</v>
      </c>
      <c r="C295" s="23" t="str">
        <f t="shared" si="1"/>
        <v>Nợ xấu &amp; CIC</v>
      </c>
    </row>
    <row r="296">
      <c r="A296" s="23" t="s">
        <v>568</v>
      </c>
      <c r="B296" s="24">
        <v>9.0</v>
      </c>
      <c r="C296" s="23" t="str">
        <f t="shared" si="1"/>
        <v>Thuế</v>
      </c>
    </row>
    <row r="297">
      <c r="A297" s="23" t="s">
        <v>876</v>
      </c>
      <c r="B297" s="24">
        <v>9.0</v>
      </c>
      <c r="C297" s="23" t="str">
        <f t="shared" si="1"/>
        <v>Thuế</v>
      </c>
    </row>
    <row r="298">
      <c r="A298" s="23" t="s">
        <v>1569</v>
      </c>
      <c r="B298" s="24">
        <v>4.0</v>
      </c>
      <c r="C298" s="23" t="str">
        <f t="shared" si="1"/>
        <v>Ngoại tệ &amp; chuyển tiền quốc tế</v>
      </c>
    </row>
    <row r="299">
      <c r="A299" s="23" t="s">
        <v>646</v>
      </c>
      <c r="B299" s="24">
        <v>3.0</v>
      </c>
      <c r="C299" s="23" t="str">
        <f t="shared" si="1"/>
        <v>Hộ kinh doanh &amp; bán hàng</v>
      </c>
    </row>
    <row r="300">
      <c r="A300" s="23" t="s">
        <v>954</v>
      </c>
      <c r="B300" s="24">
        <v>3.0</v>
      </c>
      <c r="C300" s="23" t="str">
        <f t="shared" si="1"/>
        <v>Hộ kinh doanh &amp; bán hàng</v>
      </c>
    </row>
    <row r="301">
      <c r="A301" s="23" t="s">
        <v>1889</v>
      </c>
      <c r="B301" s="24">
        <v>13.0</v>
      </c>
      <c r="C301" s="23" t="str">
        <f t="shared" si="1"/>
        <v>Tiết kiệm &amp; lãi suất tiền gửi</v>
      </c>
    </row>
    <row r="302">
      <c r="A302" s="23" t="s">
        <v>2927</v>
      </c>
      <c r="B302" s="24">
        <v>17.0</v>
      </c>
      <c r="C302" s="23" t="str">
        <f t="shared" si="1"/>
        <v>Đầu tư, CCTG, trái phiếu, vàng</v>
      </c>
    </row>
    <row r="303">
      <c r="A303" s="23" t="s">
        <v>2928</v>
      </c>
      <c r="B303" s="24">
        <v>15.0</v>
      </c>
      <c r="C303" s="23" t="str">
        <f t="shared" si="1"/>
        <v>Vay thế chấp &amp; mua nhà/xe</v>
      </c>
    </row>
    <row r="304">
      <c r="A304" s="23" t="s">
        <v>2929</v>
      </c>
      <c r="B304" s="24">
        <v>15.0</v>
      </c>
      <c r="C304" s="23" t="str">
        <f t="shared" si="1"/>
        <v>Vay thế chấp &amp; mua nhà/xe</v>
      </c>
    </row>
    <row r="305">
      <c r="A305" s="23" t="s">
        <v>2930</v>
      </c>
      <c r="B305" s="24">
        <v>15.0</v>
      </c>
      <c r="C305" s="23" t="str">
        <f t="shared" si="1"/>
        <v>Vay thế chấp &amp; mua nhà/xe</v>
      </c>
    </row>
    <row r="306">
      <c r="A306" s="23" t="s">
        <v>2932</v>
      </c>
      <c r="B306" s="24">
        <v>13.0</v>
      </c>
      <c r="C306" s="23" t="str">
        <f t="shared" si="1"/>
        <v>Tiết kiệm &amp; lãi suất tiền gửi</v>
      </c>
    </row>
    <row r="307">
      <c r="A307" s="23" t="s">
        <v>2936</v>
      </c>
      <c r="B307" s="24">
        <v>2.0</v>
      </c>
      <c r="C307" s="23" t="str">
        <f t="shared" si="1"/>
        <v>Doanh nghiệp (tài khoản, vay, tài chính)</v>
      </c>
    </row>
    <row r="308">
      <c r="A308" s="23" t="s">
        <v>1521</v>
      </c>
      <c r="B308" s="24">
        <v>17.0</v>
      </c>
      <c r="C308" s="23" t="str">
        <f t="shared" si="1"/>
        <v>Đầu tư, CCTG, trái phiếu, vàng</v>
      </c>
    </row>
    <row r="309">
      <c r="A309" s="23" t="s">
        <v>961</v>
      </c>
      <c r="B309" s="24">
        <v>17.0</v>
      </c>
      <c r="C309" s="23" t="str">
        <f t="shared" si="1"/>
        <v>Đầu tư, CCTG, trái phiếu, vàng</v>
      </c>
    </row>
    <row r="310">
      <c r="A310" s="23" t="s">
        <v>2938</v>
      </c>
      <c r="B310" s="24">
        <v>13.0</v>
      </c>
      <c r="C310" s="23" t="str">
        <f t="shared" si="1"/>
        <v>Tiết kiệm &amp; lãi suất tiền gửi</v>
      </c>
    </row>
    <row r="311">
      <c r="A311" s="23" t="s">
        <v>2939</v>
      </c>
      <c r="B311" s="24">
        <v>13.0</v>
      </c>
      <c r="C311" s="23" t="str">
        <f t="shared" si="1"/>
        <v>Tiết kiệm &amp; lãi suất tiền gửi</v>
      </c>
    </row>
    <row r="312">
      <c r="A312" s="23" t="s">
        <v>2940</v>
      </c>
      <c r="B312" s="24">
        <v>16.0</v>
      </c>
      <c r="C312" s="23" t="str">
        <f t="shared" si="1"/>
        <v>Vay tiêu dùng &amp; tín chấp</v>
      </c>
    </row>
    <row r="313">
      <c r="A313" s="23" t="s">
        <v>2941</v>
      </c>
      <c r="B313" s="24">
        <v>13.0</v>
      </c>
      <c r="C313" s="23" t="str">
        <f t="shared" si="1"/>
        <v>Tiết kiệm &amp; lãi suất tiền gửi</v>
      </c>
    </row>
    <row r="314">
      <c r="A314" s="23" t="s">
        <v>2944</v>
      </c>
      <c r="B314" s="24">
        <v>13.0</v>
      </c>
      <c r="C314" s="23" t="str">
        <f t="shared" si="1"/>
        <v>Tiết kiệm &amp; lãi suất tiền gửi</v>
      </c>
    </row>
    <row r="315">
      <c r="A315" s="23" t="s">
        <v>2946</v>
      </c>
      <c r="B315" s="24">
        <v>11.0</v>
      </c>
      <c r="C315" s="23" t="str">
        <f t="shared" si="1"/>
        <v>Thẻ tín dụng</v>
      </c>
    </row>
    <row r="316">
      <c r="A316" s="23" t="s">
        <v>231</v>
      </c>
      <c r="B316" s="24">
        <v>13.0</v>
      </c>
      <c r="C316" s="23" t="str">
        <f t="shared" si="1"/>
        <v>Tiết kiệm &amp; lãi suất tiền gửi</v>
      </c>
    </row>
    <row r="317">
      <c r="A317" s="23" t="s">
        <v>2947</v>
      </c>
      <c r="B317" s="24">
        <v>3.0</v>
      </c>
      <c r="C317" s="23" t="str">
        <f t="shared" si="1"/>
        <v>Hộ kinh doanh &amp; bán hàng</v>
      </c>
    </row>
    <row r="318">
      <c r="A318" s="23" t="s">
        <v>53</v>
      </c>
      <c r="B318" s="24">
        <v>15.0</v>
      </c>
      <c r="C318" s="23" t="str">
        <f t="shared" si="1"/>
        <v>Vay thế chấp &amp; mua nhà/xe</v>
      </c>
    </row>
    <row r="319">
      <c r="A319" s="23" t="s">
        <v>624</v>
      </c>
      <c r="B319" s="24">
        <v>16.0</v>
      </c>
      <c r="C319" s="23" t="str">
        <f t="shared" si="1"/>
        <v>Vay tiêu dùng &amp; tín chấp</v>
      </c>
    </row>
    <row r="320">
      <c r="A320" s="23" t="s">
        <v>2949</v>
      </c>
      <c r="B320" s="24">
        <v>16.0</v>
      </c>
      <c r="C320" s="23" t="str">
        <f t="shared" si="1"/>
        <v>Vay tiêu dùng &amp; tín chấp</v>
      </c>
    </row>
    <row r="321">
      <c r="A321" s="23" t="s">
        <v>2950</v>
      </c>
      <c r="B321" s="24">
        <v>15.0</v>
      </c>
      <c r="C321" s="23" t="str">
        <f t="shared" si="1"/>
        <v>Vay thế chấp &amp; mua nhà/xe</v>
      </c>
    </row>
    <row r="322">
      <c r="A322" s="23" t="s">
        <v>236</v>
      </c>
      <c r="B322" s="24">
        <v>15.0</v>
      </c>
      <c r="C322" s="23" t="str">
        <f t="shared" si="1"/>
        <v>Vay thế chấp &amp; mua nhà/xe</v>
      </c>
    </row>
    <row r="323">
      <c r="A323" s="23" t="s">
        <v>2955</v>
      </c>
      <c r="B323" s="24">
        <v>16.0</v>
      </c>
      <c r="C323" s="23" t="str">
        <f t="shared" si="1"/>
        <v>Vay tiêu dùng &amp; tín chấp</v>
      </c>
    </row>
    <row r="324">
      <c r="A324" s="23" t="s">
        <v>2956</v>
      </c>
      <c r="B324" s="24">
        <v>16.0</v>
      </c>
      <c r="C324" s="23" t="str">
        <f t="shared" si="1"/>
        <v>Vay tiêu dùng &amp; tín chấp</v>
      </c>
    </row>
    <row r="325">
      <c r="A325" s="23" t="s">
        <v>2957</v>
      </c>
      <c r="B325" s="24">
        <v>16.0</v>
      </c>
      <c r="C325" s="23" t="str">
        <f t="shared" si="1"/>
        <v>Vay tiêu dùng &amp; tín chấp</v>
      </c>
    </row>
    <row r="326">
      <c r="A326" s="23" t="s">
        <v>2958</v>
      </c>
      <c r="B326" s="24">
        <v>8.0</v>
      </c>
      <c r="C326" s="23" t="str">
        <f t="shared" si="1"/>
        <v>Thanh toán, chuyển khoản &amp; QR</v>
      </c>
    </row>
    <row r="327">
      <c r="A327" s="23" t="s">
        <v>2959</v>
      </c>
      <c r="B327" s="24">
        <v>17.0</v>
      </c>
      <c r="C327" s="23" t="str">
        <f t="shared" si="1"/>
        <v>Đầu tư, CCTG, trái phiếu, vàng</v>
      </c>
    </row>
    <row r="328">
      <c r="A328" s="23" t="s">
        <v>2099</v>
      </c>
      <c r="B328" s="24">
        <v>10.0</v>
      </c>
      <c r="C328" s="23" t="str">
        <f t="shared" si="1"/>
        <v>Thẻ ATM &amp; thẻ ghi nợ</v>
      </c>
    </row>
    <row r="329">
      <c r="A329" s="23" t="s">
        <v>2107</v>
      </c>
      <c r="B329" s="24">
        <v>10.0</v>
      </c>
      <c r="C329" s="23" t="str">
        <f t="shared" si="1"/>
        <v>Thẻ ATM &amp; thẻ ghi nợ</v>
      </c>
    </row>
    <row r="330">
      <c r="A330" s="23" t="s">
        <v>2093</v>
      </c>
      <c r="B330" s="24">
        <v>4.0</v>
      </c>
      <c r="C330" s="23" t="str">
        <f t="shared" si="1"/>
        <v>Ngoại tệ &amp; chuyển tiền quốc tế</v>
      </c>
    </row>
    <row r="331">
      <c r="A331" s="23" t="s">
        <v>918</v>
      </c>
      <c r="B331" s="24">
        <v>11.0</v>
      </c>
      <c r="C331" s="23" t="str">
        <f t="shared" si="1"/>
        <v>Thẻ tín dụng</v>
      </c>
    </row>
    <row r="332">
      <c r="A332" s="23" t="s">
        <v>2967</v>
      </c>
      <c r="B332" s="24">
        <v>11.0</v>
      </c>
      <c r="C332" s="23" t="str">
        <f t="shared" si="1"/>
        <v>Thẻ tín dụng</v>
      </c>
    </row>
    <row r="333">
      <c r="A333" s="23" t="s">
        <v>2968</v>
      </c>
      <c r="B333" s="24">
        <v>11.0</v>
      </c>
      <c r="C333" s="23" t="str">
        <f t="shared" si="1"/>
        <v>Thẻ tín dụng</v>
      </c>
    </row>
    <row r="334">
      <c r="A334" s="23" t="s">
        <v>1932</v>
      </c>
      <c r="B334" s="24">
        <v>11.0</v>
      </c>
      <c r="C334" s="23" t="str">
        <f t="shared" si="1"/>
        <v>Thẻ tín dụng</v>
      </c>
    </row>
    <row r="335">
      <c r="A335" s="23" t="s">
        <v>2084</v>
      </c>
      <c r="B335" s="24">
        <v>11.0</v>
      </c>
      <c r="C335" s="23" t="str">
        <f t="shared" si="1"/>
        <v>Thẻ tín dụng</v>
      </c>
    </row>
    <row r="336">
      <c r="A336" s="23" t="s">
        <v>2969</v>
      </c>
      <c r="B336" s="24">
        <v>7.0</v>
      </c>
      <c r="C336" s="23" t="str">
        <f t="shared" si="1"/>
        <v>Quản lý tài chính cá nhân</v>
      </c>
    </row>
    <row r="337">
      <c r="A337" s="23" t="s">
        <v>2970</v>
      </c>
      <c r="B337" s="24">
        <v>7.0</v>
      </c>
      <c r="C337" s="23" t="str">
        <f t="shared" si="1"/>
        <v>Quản lý tài chính cá nhân</v>
      </c>
    </row>
    <row r="338">
      <c r="A338" s="23" t="s">
        <v>2497</v>
      </c>
      <c r="B338" s="24">
        <v>18.0</v>
      </c>
      <c r="C338" s="23" t="str">
        <f t="shared" si="1"/>
        <v>Ưu đãi, du lịch &amp; đời sống</v>
      </c>
    </row>
    <row r="339">
      <c r="A339" s="23" t="s">
        <v>2522</v>
      </c>
      <c r="B339" s="24">
        <v>18.0</v>
      </c>
      <c r="C339" s="23" t="str">
        <f t="shared" si="1"/>
        <v>Ưu đãi, du lịch &amp; đời sống</v>
      </c>
    </row>
    <row r="340">
      <c r="A340" s="23" t="s">
        <v>2973</v>
      </c>
      <c r="B340" s="24">
        <v>6.0</v>
      </c>
      <c r="C340" s="23" t="str">
        <f t="shared" si="1"/>
        <v>Nợ xấu &amp; CIC</v>
      </c>
    </row>
    <row r="341">
      <c r="A341" s="23" t="s">
        <v>548</v>
      </c>
      <c r="B341" s="24">
        <v>9.0</v>
      </c>
      <c r="C341" s="23" t="str">
        <f t="shared" si="1"/>
        <v>Thuế</v>
      </c>
    </row>
    <row r="342">
      <c r="A342" s="23" t="s">
        <v>1670</v>
      </c>
      <c r="B342" s="24">
        <v>8.0</v>
      </c>
      <c r="C342" s="23" t="str">
        <f t="shared" si="1"/>
        <v>Thanh toán, chuyển khoản &amp; QR</v>
      </c>
    </row>
    <row r="343">
      <c r="A343" s="23" t="s">
        <v>1637</v>
      </c>
      <c r="B343" s="24">
        <v>14.0</v>
      </c>
      <c r="C343" s="23" t="str">
        <f t="shared" si="1"/>
        <v>Tài khoản &amp; ngân hàng số</v>
      </c>
    </row>
    <row r="344">
      <c r="A344" s="23" t="s">
        <v>2012</v>
      </c>
      <c r="B344" s="24">
        <v>8.0</v>
      </c>
      <c r="C344" s="23" t="str">
        <f t="shared" si="1"/>
        <v>Thanh toán, chuyển khoản &amp; QR</v>
      </c>
    </row>
    <row r="345">
      <c r="A345" s="23" t="s">
        <v>1980</v>
      </c>
      <c r="B345" s="24">
        <v>3.0</v>
      </c>
      <c r="C345" s="23" t="str">
        <f t="shared" si="1"/>
        <v>Hộ kinh doanh &amp; bán hàng</v>
      </c>
    </row>
    <row r="346">
      <c r="A346" s="23" t="s">
        <v>2976</v>
      </c>
      <c r="B346" s="24">
        <v>2.0</v>
      </c>
      <c r="C346" s="23" t="str">
        <f t="shared" si="1"/>
        <v>Doanh nghiệp (tài khoản, vay, tài chính)</v>
      </c>
    </row>
    <row r="347">
      <c r="A347" s="23" t="s">
        <v>2379</v>
      </c>
      <c r="B347" s="24">
        <v>13.0</v>
      </c>
      <c r="C347" s="23" t="str">
        <f t="shared" si="1"/>
        <v>Tiết kiệm &amp; lãi suất tiền gửi</v>
      </c>
    </row>
    <row r="348">
      <c r="A348" s="23" t="s">
        <v>795</v>
      </c>
      <c r="B348" s="24">
        <v>3.0</v>
      </c>
      <c r="C348" s="23" t="str">
        <f t="shared" si="1"/>
        <v>Hộ kinh doanh &amp; bán hàng</v>
      </c>
    </row>
    <row r="349">
      <c r="A349" s="23" t="s">
        <v>736</v>
      </c>
      <c r="B349" s="24">
        <v>2.0</v>
      </c>
      <c r="C349" s="23" t="str">
        <f t="shared" si="1"/>
        <v>Doanh nghiệp (tài khoản, vay, tài chính)</v>
      </c>
    </row>
    <row r="350">
      <c r="A350" s="23" t="s">
        <v>766</v>
      </c>
      <c r="B350" s="24">
        <v>2.0</v>
      </c>
      <c r="C350" s="23" t="str">
        <f t="shared" si="1"/>
        <v>Doanh nghiệp (tài khoản, vay, tài chính)</v>
      </c>
    </row>
    <row r="351">
      <c r="A351" s="23" t="s">
        <v>2982</v>
      </c>
      <c r="B351" s="24">
        <v>18.0</v>
      </c>
      <c r="C351" s="23" t="str">
        <f t="shared" si="1"/>
        <v>Ưu đãi, du lịch &amp; đời sống</v>
      </c>
    </row>
    <row r="352">
      <c r="A352" s="23" t="s">
        <v>615</v>
      </c>
      <c r="B352" s="24">
        <v>3.0</v>
      </c>
      <c r="C352" s="23" t="str">
        <f t="shared" si="1"/>
        <v>Hộ kinh doanh &amp; bán hàng</v>
      </c>
    </row>
    <row r="353">
      <c r="A353" s="23" t="s">
        <v>811</v>
      </c>
      <c r="B353" s="24">
        <v>3.0</v>
      </c>
      <c r="C353" s="23" t="str">
        <f t="shared" si="1"/>
        <v>Hộ kinh doanh &amp; bán hàng</v>
      </c>
    </row>
    <row r="354">
      <c r="A354" s="23" t="s">
        <v>494</v>
      </c>
      <c r="B354" s="24">
        <v>2.0</v>
      </c>
      <c r="C354" s="23" t="str">
        <f t="shared" si="1"/>
        <v>Doanh nghiệp (tài khoản, vay, tài chính)</v>
      </c>
    </row>
    <row r="355">
      <c r="A355" s="23" t="s">
        <v>2985</v>
      </c>
      <c r="B355" s="24">
        <v>11.0</v>
      </c>
      <c r="C355" s="23" t="str">
        <f t="shared" si="1"/>
        <v>Thẻ tín dụng</v>
      </c>
    </row>
    <row r="356">
      <c r="A356" s="23" t="s">
        <v>2987</v>
      </c>
      <c r="B356" s="24">
        <v>14.0</v>
      </c>
      <c r="C356" s="23" t="str">
        <f t="shared" si="1"/>
        <v>Tài khoản &amp; ngân hàng số</v>
      </c>
    </row>
    <row r="357">
      <c r="A357" s="23" t="s">
        <v>2988</v>
      </c>
      <c r="B357" s="24">
        <v>11.0</v>
      </c>
      <c r="C357" s="23" t="str">
        <f t="shared" si="1"/>
        <v>Thẻ tín dụng</v>
      </c>
    </row>
    <row r="358">
      <c r="A358" s="23" t="s">
        <v>2989</v>
      </c>
      <c r="B358" s="24">
        <v>18.0</v>
      </c>
      <c r="C358" s="23" t="str">
        <f t="shared" si="1"/>
        <v>Ưu đãi, du lịch &amp; đời sống</v>
      </c>
    </row>
    <row r="359">
      <c r="A359" s="23" t="s">
        <v>2990</v>
      </c>
      <c r="B359" s="24">
        <v>18.0</v>
      </c>
      <c r="C359" s="23" t="str">
        <f t="shared" si="1"/>
        <v>Ưu đãi, du lịch &amp; đời sống</v>
      </c>
    </row>
    <row r="360">
      <c r="A360" s="23" t="s">
        <v>2991</v>
      </c>
      <c r="B360" s="24">
        <v>18.0</v>
      </c>
      <c r="C360" s="23" t="str">
        <f t="shared" si="1"/>
        <v>Ưu đãi, du lịch &amp; đời sống</v>
      </c>
    </row>
    <row r="361">
      <c r="A361" s="23" t="s">
        <v>2992</v>
      </c>
      <c r="B361" s="24">
        <v>18.0</v>
      </c>
      <c r="C361" s="23" t="str">
        <f t="shared" si="1"/>
        <v>Ưu đãi, du lịch &amp; đời sống</v>
      </c>
    </row>
    <row r="362">
      <c r="A362" s="23" t="s">
        <v>1726</v>
      </c>
      <c r="B362" s="24">
        <v>8.0</v>
      </c>
      <c r="C362" s="23" t="str">
        <f t="shared" si="1"/>
        <v>Thanh toán, chuyển khoản &amp; QR</v>
      </c>
    </row>
    <row r="363">
      <c r="A363" s="23" t="s">
        <v>2111</v>
      </c>
      <c r="B363" s="24">
        <v>14.0</v>
      </c>
      <c r="C363" s="23" t="str">
        <f t="shared" si="1"/>
        <v>Tài khoản &amp; ngân hàng số</v>
      </c>
    </row>
    <row r="364">
      <c r="A364" s="23" t="s">
        <v>2996</v>
      </c>
      <c r="B364" s="24">
        <v>10.0</v>
      </c>
      <c r="C364" s="23" t="str">
        <f t="shared" si="1"/>
        <v>Thẻ ATM &amp; thẻ ghi nợ</v>
      </c>
    </row>
    <row r="365">
      <c r="A365" s="23" t="s">
        <v>2612</v>
      </c>
      <c r="B365" s="24">
        <v>4.0</v>
      </c>
      <c r="C365" s="23" t="str">
        <f t="shared" si="1"/>
        <v>Ngoại tệ &amp; chuyển tiền quốc tế</v>
      </c>
    </row>
    <row r="366">
      <c r="A366" s="23" t="s">
        <v>1973</v>
      </c>
      <c r="B366" s="24">
        <v>4.0</v>
      </c>
      <c r="C366" s="23" t="str">
        <f t="shared" si="1"/>
        <v>Ngoại tệ &amp; chuyển tiền quốc tế</v>
      </c>
    </row>
    <row r="367">
      <c r="A367" s="23" t="s">
        <v>2998</v>
      </c>
      <c r="B367" s="24">
        <v>8.0</v>
      </c>
      <c r="C367" s="23" t="str">
        <f t="shared" si="1"/>
        <v>Thanh toán, chuyển khoản &amp; QR</v>
      </c>
    </row>
    <row r="368">
      <c r="A368" s="23" t="s">
        <v>2999</v>
      </c>
      <c r="B368" s="24">
        <v>4.0</v>
      </c>
      <c r="C368" s="23" t="str">
        <f t="shared" si="1"/>
        <v>Ngoại tệ &amp; chuyển tiền quốc tế</v>
      </c>
    </row>
    <row r="369">
      <c r="A369" s="23" t="s">
        <v>1391</v>
      </c>
      <c r="B369" s="24">
        <v>14.0</v>
      </c>
      <c r="C369" s="23" t="str">
        <f t="shared" si="1"/>
        <v>Tài khoản &amp; ngân hàng số</v>
      </c>
    </row>
    <row r="370">
      <c r="A370" s="23" t="s">
        <v>3002</v>
      </c>
      <c r="B370" s="24">
        <v>13.0</v>
      </c>
      <c r="C370" s="23" t="str">
        <f t="shared" si="1"/>
        <v>Tiết kiệm &amp; lãi suất tiền gửi</v>
      </c>
    </row>
    <row r="371">
      <c r="A371" s="23" t="s">
        <v>3004</v>
      </c>
      <c r="B371" s="24">
        <v>11.0</v>
      </c>
      <c r="C371" s="23" t="str">
        <f t="shared" si="1"/>
        <v>Thẻ tín dụng</v>
      </c>
    </row>
    <row r="372">
      <c r="A372" s="23" t="s">
        <v>1243</v>
      </c>
      <c r="B372" s="24">
        <v>2.0</v>
      </c>
      <c r="C372" s="23" t="str">
        <f t="shared" si="1"/>
        <v>Doanh nghiệp (tài khoản, vay, tài chính)</v>
      </c>
    </row>
    <row r="373">
      <c r="A373" s="23" t="s">
        <v>3005</v>
      </c>
      <c r="B373" s="24">
        <v>3.0</v>
      </c>
      <c r="C373" s="23" t="str">
        <f t="shared" si="1"/>
        <v>Hộ kinh doanh &amp; bán hàng</v>
      </c>
    </row>
    <row r="374">
      <c r="A374" s="23" t="s">
        <v>980</v>
      </c>
      <c r="B374" s="24">
        <v>3.0</v>
      </c>
      <c r="C374" s="23" t="str">
        <f t="shared" si="1"/>
        <v>Hộ kinh doanh &amp; bán hàng</v>
      </c>
    </row>
    <row r="375">
      <c r="A375" s="23" t="s">
        <v>3007</v>
      </c>
      <c r="B375" s="24">
        <v>3.0</v>
      </c>
      <c r="C375" s="23" t="str">
        <f t="shared" si="1"/>
        <v>Hộ kinh doanh &amp; bán hàng</v>
      </c>
    </row>
    <row r="376">
      <c r="A376" s="23" t="s">
        <v>2671</v>
      </c>
      <c r="B376" s="24">
        <v>3.0</v>
      </c>
      <c r="C376" s="23" t="str">
        <f t="shared" si="1"/>
        <v>Hộ kinh doanh &amp; bán hàng</v>
      </c>
    </row>
    <row r="377">
      <c r="A377" s="23" t="s">
        <v>2915</v>
      </c>
      <c r="B377" s="24">
        <v>10.0</v>
      </c>
      <c r="C377" s="23" t="str">
        <f t="shared" si="1"/>
        <v>Thẻ ATM &amp; thẻ ghi nợ</v>
      </c>
    </row>
    <row r="378">
      <c r="A378" s="23" t="s">
        <v>3013</v>
      </c>
      <c r="B378" s="24">
        <v>13.0</v>
      </c>
      <c r="C378" s="23" t="str">
        <f t="shared" si="1"/>
        <v>Tiết kiệm &amp; lãi suất tiền gửi</v>
      </c>
    </row>
    <row r="379">
      <c r="A379" s="23" t="s">
        <v>829</v>
      </c>
      <c r="B379" s="24">
        <v>2.0</v>
      </c>
      <c r="C379" s="23" t="str">
        <f t="shared" si="1"/>
        <v>Doanh nghiệp (tài khoản, vay, tài chính)</v>
      </c>
    </row>
    <row r="380">
      <c r="A380" s="23" t="s">
        <v>1100</v>
      </c>
      <c r="B380" s="24">
        <v>3.0</v>
      </c>
      <c r="C380" s="23" t="str">
        <f t="shared" si="1"/>
        <v>Hộ kinh doanh &amp; bán hàng</v>
      </c>
    </row>
    <row r="381">
      <c r="A381" s="23" t="s">
        <v>1476</v>
      </c>
      <c r="B381" s="24">
        <v>14.0</v>
      </c>
      <c r="C381" s="23" t="str">
        <f t="shared" si="1"/>
        <v>Tài khoản &amp; ngân hàng số</v>
      </c>
    </row>
    <row r="382">
      <c r="A382" s="23" t="s">
        <v>2053</v>
      </c>
      <c r="B382" s="24">
        <v>14.0</v>
      </c>
      <c r="C382" s="23" t="str">
        <f t="shared" si="1"/>
        <v>Tài khoản &amp; ngân hàng số</v>
      </c>
    </row>
    <row r="383">
      <c r="A383" s="23" t="s">
        <v>1721</v>
      </c>
      <c r="B383" s="24">
        <v>14.0</v>
      </c>
      <c r="C383" s="23" t="str">
        <f t="shared" si="1"/>
        <v>Tài khoản &amp; ngân hàng số</v>
      </c>
    </row>
    <row r="384">
      <c r="A384" s="23" t="s">
        <v>835</v>
      </c>
      <c r="B384" s="24">
        <v>14.0</v>
      </c>
      <c r="C384" s="23" t="str">
        <f t="shared" si="1"/>
        <v>Tài khoản &amp; ngân hàng số</v>
      </c>
    </row>
    <row r="385">
      <c r="A385" s="23" t="s">
        <v>1716</v>
      </c>
      <c r="B385" s="24">
        <v>14.0</v>
      </c>
      <c r="C385" s="23" t="str">
        <f t="shared" si="1"/>
        <v>Tài khoản &amp; ngân hàng số</v>
      </c>
    </row>
    <row r="386">
      <c r="A386" s="23" t="s">
        <v>2193</v>
      </c>
      <c r="B386" s="24">
        <v>14.0</v>
      </c>
      <c r="C386" s="23" t="str">
        <f t="shared" si="1"/>
        <v>Tài khoản &amp; ngân hàng số</v>
      </c>
    </row>
    <row r="387">
      <c r="A387" s="23" t="s">
        <v>2719</v>
      </c>
      <c r="B387" s="24">
        <v>13.0</v>
      </c>
      <c r="C387" s="23" t="str">
        <f t="shared" si="1"/>
        <v>Tiết kiệm &amp; lãi suất tiền gửi</v>
      </c>
    </row>
    <row r="388">
      <c r="A388" s="23" t="s">
        <v>3017</v>
      </c>
      <c r="B388" s="24">
        <v>10.0</v>
      </c>
      <c r="C388" s="23" t="str">
        <f t="shared" si="1"/>
        <v>Thẻ ATM &amp; thẻ ghi nợ</v>
      </c>
    </row>
    <row r="389">
      <c r="A389" s="23" t="s">
        <v>2400</v>
      </c>
      <c r="B389" s="24">
        <v>11.0</v>
      </c>
      <c r="C389" s="23" t="str">
        <f t="shared" si="1"/>
        <v>Thẻ tín dụng</v>
      </c>
    </row>
    <row r="390">
      <c r="A390" s="23" t="s">
        <v>259</v>
      </c>
      <c r="B390" s="24">
        <v>11.0</v>
      </c>
      <c r="C390" s="23" t="str">
        <f t="shared" si="1"/>
        <v>Thẻ tín dụng</v>
      </c>
    </row>
    <row r="391">
      <c r="A391" s="23" t="s">
        <v>3019</v>
      </c>
      <c r="B391" s="24">
        <v>11.0</v>
      </c>
      <c r="C391" s="23" t="str">
        <f t="shared" si="1"/>
        <v>Thẻ tín dụng</v>
      </c>
    </row>
    <row r="392">
      <c r="A392" s="23" t="s">
        <v>3020</v>
      </c>
      <c r="B392" s="24">
        <v>11.0</v>
      </c>
      <c r="C392" s="23" t="str">
        <f t="shared" si="1"/>
        <v>Thẻ tín dụng</v>
      </c>
    </row>
    <row r="393">
      <c r="A393" s="23" t="s">
        <v>1069</v>
      </c>
      <c r="B393" s="24">
        <v>2.0</v>
      </c>
      <c r="C393" s="23" t="str">
        <f t="shared" si="1"/>
        <v>Doanh nghiệp (tài khoản, vay, tài chính)</v>
      </c>
    </row>
    <row r="394">
      <c r="A394" s="23" t="s">
        <v>2603</v>
      </c>
      <c r="B394" s="24">
        <v>14.0</v>
      </c>
      <c r="C394" s="23" t="str">
        <f t="shared" si="1"/>
        <v>Tài khoản &amp; ngân hàng số</v>
      </c>
    </row>
    <row r="395">
      <c r="A395" s="23" t="s">
        <v>3023</v>
      </c>
      <c r="B395" s="24">
        <v>18.0</v>
      </c>
      <c r="C395" s="23" t="str">
        <f t="shared" si="1"/>
        <v>Ưu đãi, du lịch &amp; đời sống</v>
      </c>
    </row>
    <row r="396">
      <c r="A396" s="23" t="s">
        <v>222</v>
      </c>
      <c r="B396" s="24">
        <v>15.0</v>
      </c>
      <c r="C396" s="23" t="str">
        <f t="shared" si="1"/>
        <v>Vay thế chấp &amp; mua nhà/xe</v>
      </c>
    </row>
    <row r="397">
      <c r="A397" s="23" t="s">
        <v>3025</v>
      </c>
      <c r="B397" s="24">
        <v>2.0</v>
      </c>
      <c r="C397" s="23" t="str">
        <f t="shared" si="1"/>
        <v>Doanh nghiệp (tài khoản, vay, tài chính)</v>
      </c>
    </row>
    <row r="398">
      <c r="A398" s="23" t="s">
        <v>3026</v>
      </c>
      <c r="B398" s="24">
        <v>11.0</v>
      </c>
      <c r="C398" s="23" t="str">
        <f t="shared" si="1"/>
        <v>Thẻ tín dụng</v>
      </c>
    </row>
    <row r="399">
      <c r="A399" s="23" t="s">
        <v>3029</v>
      </c>
      <c r="B399" s="24">
        <v>15.0</v>
      </c>
      <c r="C399" s="23" t="str">
        <f t="shared" si="1"/>
        <v>Vay thế chấp &amp; mua nhà/xe</v>
      </c>
    </row>
    <row r="400">
      <c r="A400" s="23" t="s">
        <v>3032</v>
      </c>
      <c r="B400" s="24">
        <v>16.0</v>
      </c>
      <c r="C400" s="23" t="str">
        <f t="shared" si="1"/>
        <v>Vay tiêu dùng &amp; tín chấp</v>
      </c>
    </row>
    <row r="401">
      <c r="A401" s="23" t="s">
        <v>3033</v>
      </c>
      <c r="B401" s="24">
        <v>18.0</v>
      </c>
      <c r="C401" s="23" t="str">
        <f t="shared" si="1"/>
        <v>Ưu đãi, du lịch &amp; đời sống</v>
      </c>
    </row>
    <row r="402">
      <c r="A402" s="23" t="s">
        <v>3034</v>
      </c>
      <c r="B402" s="24">
        <v>18.0</v>
      </c>
      <c r="C402" s="23" t="str">
        <f t="shared" si="1"/>
        <v>Ưu đãi, du lịch &amp; đời sống</v>
      </c>
    </row>
    <row r="403">
      <c r="A403" s="23" t="s">
        <v>2352</v>
      </c>
      <c r="B403" s="24">
        <v>11.0</v>
      </c>
      <c r="C403" s="23" t="str">
        <f t="shared" si="1"/>
        <v>Thẻ tín dụng</v>
      </c>
    </row>
    <row r="404">
      <c r="A404" s="23" t="s">
        <v>1327</v>
      </c>
      <c r="B404" s="24">
        <v>8.0</v>
      </c>
      <c r="C404" s="23" t="str">
        <f t="shared" si="1"/>
        <v>Thanh toán, chuyển khoản &amp; QR</v>
      </c>
    </row>
    <row r="405">
      <c r="A405" s="23" t="s">
        <v>840</v>
      </c>
      <c r="B405" s="24">
        <v>14.0</v>
      </c>
      <c r="C405" s="23" t="str">
        <f t="shared" si="1"/>
        <v>Tài khoản &amp; ngân hàng số</v>
      </c>
    </row>
    <row r="406">
      <c r="A406" s="23" t="s">
        <v>2177</v>
      </c>
      <c r="B406" s="24">
        <v>13.0</v>
      </c>
      <c r="C406" s="23" t="str">
        <f t="shared" si="1"/>
        <v>Tiết kiệm &amp; lãi suất tiền gửi</v>
      </c>
    </row>
    <row r="407">
      <c r="A407" s="23" t="s">
        <v>3038</v>
      </c>
      <c r="B407" s="24">
        <v>13.0</v>
      </c>
      <c r="C407" s="23" t="str">
        <f t="shared" si="1"/>
        <v>Tiết kiệm &amp; lãi suất tiền gửi</v>
      </c>
    </row>
    <row r="408">
      <c r="A408" s="23" t="s">
        <v>3039</v>
      </c>
      <c r="B408" s="24">
        <v>13.0</v>
      </c>
      <c r="C408" s="23" t="str">
        <f t="shared" si="1"/>
        <v>Tiết kiệm &amp; lãi suất tiền gửi</v>
      </c>
    </row>
    <row r="409">
      <c r="A409" s="23" t="s">
        <v>3040</v>
      </c>
      <c r="B409" s="24">
        <v>13.0</v>
      </c>
      <c r="C409" s="23" t="str">
        <f t="shared" si="1"/>
        <v>Tiết kiệm &amp; lãi suất tiền gửi</v>
      </c>
    </row>
    <row r="410">
      <c r="A410" s="23" t="s">
        <v>3041</v>
      </c>
      <c r="B410" s="24">
        <v>11.0</v>
      </c>
      <c r="C410" s="23" t="str">
        <f t="shared" si="1"/>
        <v>Thẻ tín dụng</v>
      </c>
    </row>
    <row r="411">
      <c r="A411" s="23" t="s">
        <v>1836</v>
      </c>
      <c r="B411" s="24">
        <v>2.0</v>
      </c>
      <c r="C411" s="23" t="str">
        <f t="shared" si="1"/>
        <v>Doanh nghiệp (tài khoản, vay, tài chính)</v>
      </c>
    </row>
    <row r="412">
      <c r="A412" s="23" t="s">
        <v>195</v>
      </c>
      <c r="B412" s="24">
        <v>15.0</v>
      </c>
      <c r="C412" s="23" t="str">
        <f t="shared" si="1"/>
        <v>Vay thế chấp &amp; mua nhà/xe</v>
      </c>
    </row>
    <row r="413">
      <c r="A413" s="23" t="s">
        <v>62</v>
      </c>
      <c r="B413" s="24">
        <v>15.0</v>
      </c>
      <c r="C413" s="23" t="str">
        <f t="shared" si="1"/>
        <v>Vay thế chấp &amp; mua nhà/xe</v>
      </c>
    </row>
    <row r="414">
      <c r="A414" s="23" t="s">
        <v>779</v>
      </c>
      <c r="B414" s="24">
        <v>3.0</v>
      </c>
      <c r="C414" s="23" t="str">
        <f t="shared" si="1"/>
        <v>Hộ kinh doanh &amp; bán hàng</v>
      </c>
    </row>
    <row r="415">
      <c r="A415" s="23" t="s">
        <v>1898</v>
      </c>
      <c r="B415" s="24">
        <v>15.0</v>
      </c>
      <c r="C415" s="23" t="str">
        <f t="shared" si="1"/>
        <v>Vay thế chấp &amp; mua nhà/xe</v>
      </c>
    </row>
    <row r="416">
      <c r="A416" s="23" t="s">
        <v>1160</v>
      </c>
      <c r="B416" s="24">
        <v>16.0</v>
      </c>
      <c r="C416" s="23" t="str">
        <f t="shared" si="1"/>
        <v>Vay tiêu dùng &amp; tín chấp</v>
      </c>
    </row>
    <row r="417">
      <c r="A417" s="23" t="s">
        <v>1458</v>
      </c>
      <c r="B417" s="24">
        <v>14.0</v>
      </c>
      <c r="C417" s="23" t="str">
        <f t="shared" si="1"/>
        <v>Tài khoản &amp; ngân hàng số</v>
      </c>
    </row>
    <row r="418">
      <c r="A418" s="23" t="s">
        <v>3046</v>
      </c>
      <c r="B418" s="24">
        <v>14.0</v>
      </c>
      <c r="C418" s="23" t="str">
        <f t="shared" si="1"/>
        <v>Tài khoản &amp; ngân hàng số</v>
      </c>
    </row>
    <row r="419">
      <c r="A419" s="23" t="s">
        <v>1962</v>
      </c>
      <c r="B419" s="24">
        <v>14.0</v>
      </c>
      <c r="C419" s="23" t="str">
        <f t="shared" si="1"/>
        <v>Tài khoản &amp; ngân hàng số</v>
      </c>
    </row>
    <row r="420">
      <c r="A420" s="23" t="s">
        <v>3047</v>
      </c>
      <c r="B420" s="24">
        <v>5.0</v>
      </c>
      <c r="C420" s="23" t="str">
        <f t="shared" si="1"/>
        <v>Ngân hàng xanh &amp; thương hiệu</v>
      </c>
    </row>
    <row r="421">
      <c r="A421" s="23" t="s">
        <v>3048</v>
      </c>
      <c r="B421" s="24">
        <v>17.0</v>
      </c>
      <c r="C421" s="23" t="str">
        <f t="shared" si="1"/>
        <v>Đầu tư, CCTG, trái phiếu, vàng</v>
      </c>
    </row>
    <row r="422">
      <c r="A422" s="23" t="s">
        <v>3049</v>
      </c>
      <c r="B422" s="24">
        <v>4.0</v>
      </c>
      <c r="C422" s="23" t="str">
        <f t="shared" si="1"/>
        <v>Ngoại tệ &amp; chuyển tiền quốc tế</v>
      </c>
    </row>
    <row r="423">
      <c r="A423" s="23" t="s">
        <v>3050</v>
      </c>
      <c r="B423" s="24">
        <v>4.0</v>
      </c>
      <c r="C423" s="23" t="str">
        <f t="shared" si="1"/>
        <v>Ngoại tệ &amp; chuyển tiền quốc tế</v>
      </c>
    </row>
    <row r="424">
      <c r="A424" s="23" t="s">
        <v>3051</v>
      </c>
      <c r="B424" s="24">
        <v>4.0</v>
      </c>
      <c r="C424" s="23" t="str">
        <f t="shared" si="1"/>
        <v>Ngoại tệ &amp; chuyển tiền quốc tế</v>
      </c>
    </row>
    <row r="425">
      <c r="A425" s="23" t="s">
        <v>3052</v>
      </c>
      <c r="B425" s="24">
        <v>17.0</v>
      </c>
      <c r="C425" s="23" t="str">
        <f t="shared" si="1"/>
        <v>Đầu tư, CCTG, trái phiếu, vàng</v>
      </c>
    </row>
    <row r="426">
      <c r="A426" s="23" t="s">
        <v>3053</v>
      </c>
      <c r="B426" s="24">
        <v>4.0</v>
      </c>
      <c r="C426" s="23" t="str">
        <f t="shared" si="1"/>
        <v>Ngoại tệ &amp; chuyển tiền quốc tế</v>
      </c>
    </row>
    <row r="427">
      <c r="A427" s="23" t="s">
        <v>1738</v>
      </c>
      <c r="B427" s="24">
        <v>14.0</v>
      </c>
      <c r="C427" s="23" t="str">
        <f t="shared" si="1"/>
        <v>Tài khoản &amp; ngân hàng số</v>
      </c>
    </row>
    <row r="428">
      <c r="A428" s="23" t="s">
        <v>3055</v>
      </c>
      <c r="B428" s="24">
        <v>16.0</v>
      </c>
      <c r="C428" s="23" t="str">
        <f t="shared" si="1"/>
        <v>Vay tiêu dùng &amp; tín chấp</v>
      </c>
    </row>
    <row r="429">
      <c r="A429" s="23" t="s">
        <v>726</v>
      </c>
      <c r="B429" s="24">
        <v>9.0</v>
      </c>
      <c r="C429" s="23" t="str">
        <f t="shared" si="1"/>
        <v>Thuế</v>
      </c>
    </row>
    <row r="430">
      <c r="A430" s="23" t="s">
        <v>972</v>
      </c>
      <c r="B430" s="24">
        <v>9.0</v>
      </c>
      <c r="C430" s="23" t="str">
        <f t="shared" si="1"/>
        <v>Thuế</v>
      </c>
    </row>
    <row r="431">
      <c r="A431" s="23" t="s">
        <v>3056</v>
      </c>
      <c r="B431" s="24">
        <v>13.0</v>
      </c>
      <c r="C431" s="23" t="str">
        <f t="shared" si="1"/>
        <v>Tiết kiệm &amp; lãi suất tiền gửi</v>
      </c>
    </row>
    <row r="432">
      <c r="A432" s="23" t="s">
        <v>3057</v>
      </c>
      <c r="B432" s="24">
        <v>3.0</v>
      </c>
      <c r="C432" s="23" t="str">
        <f t="shared" si="1"/>
        <v>Hộ kinh doanh &amp; bán hàng</v>
      </c>
    </row>
    <row r="433">
      <c r="A433" s="23" t="s">
        <v>3058</v>
      </c>
      <c r="B433" s="24">
        <v>2.0</v>
      </c>
      <c r="C433" s="23" t="str">
        <f t="shared" si="1"/>
        <v>Doanh nghiệp (tài khoản, vay, tài chính)</v>
      </c>
    </row>
    <row r="434">
      <c r="A434" s="23" t="s">
        <v>3059</v>
      </c>
      <c r="B434" s="24">
        <v>6.0</v>
      </c>
      <c r="C434" s="23" t="str">
        <f t="shared" si="1"/>
        <v>Nợ xấu &amp; CIC</v>
      </c>
    </row>
    <row r="435">
      <c r="A435" s="23" t="s">
        <v>3063</v>
      </c>
      <c r="B435" s="24">
        <v>6.0</v>
      </c>
      <c r="C435" s="23" t="str">
        <f t="shared" si="1"/>
        <v>Nợ xấu &amp; CIC</v>
      </c>
    </row>
    <row r="436">
      <c r="A436" s="23" t="s">
        <v>3064</v>
      </c>
      <c r="B436" s="24">
        <v>11.0</v>
      </c>
      <c r="C436" s="23" t="str">
        <f t="shared" si="1"/>
        <v>Thẻ tín dụng</v>
      </c>
    </row>
    <row r="437">
      <c r="A437" s="23" t="s">
        <v>3065</v>
      </c>
      <c r="B437" s="24">
        <v>6.0</v>
      </c>
      <c r="C437" s="23" t="str">
        <f t="shared" si="1"/>
        <v>Nợ xấu &amp; CIC</v>
      </c>
    </row>
    <row r="438">
      <c r="A438" s="23" t="s">
        <v>3066</v>
      </c>
      <c r="B438" s="24">
        <v>6.0</v>
      </c>
      <c r="C438" s="23" t="str">
        <f t="shared" si="1"/>
        <v>Nợ xấu &amp; CIC</v>
      </c>
    </row>
    <row r="439">
      <c r="A439" s="23" t="s">
        <v>3067</v>
      </c>
      <c r="B439" s="24">
        <v>6.0</v>
      </c>
      <c r="C439" s="23" t="str">
        <f t="shared" si="1"/>
        <v>Nợ xấu &amp; CIC</v>
      </c>
    </row>
    <row r="440">
      <c r="A440" s="23" t="s">
        <v>1164</v>
      </c>
      <c r="B440" s="24">
        <v>6.0</v>
      </c>
      <c r="C440" s="23" t="str">
        <f t="shared" si="1"/>
        <v>Nợ xấu &amp; CIC</v>
      </c>
    </row>
    <row r="441">
      <c r="A441" s="23" t="s">
        <v>3071</v>
      </c>
      <c r="B441" s="24">
        <v>6.0</v>
      </c>
      <c r="C441" s="23" t="str">
        <f t="shared" si="1"/>
        <v>Nợ xấu &amp; CIC</v>
      </c>
    </row>
    <row r="442">
      <c r="A442" s="23" t="s">
        <v>3074</v>
      </c>
      <c r="B442" s="24">
        <v>6.0</v>
      </c>
      <c r="C442" s="23" t="str">
        <f t="shared" si="1"/>
        <v>Nợ xấu &amp; CIC</v>
      </c>
    </row>
    <row r="443">
      <c r="A443" s="23" t="s">
        <v>313</v>
      </c>
      <c r="B443" s="24">
        <v>9.0</v>
      </c>
      <c r="C443" s="23" t="str">
        <f t="shared" si="1"/>
        <v>Thuế</v>
      </c>
    </row>
    <row r="444">
      <c r="A444" s="23" t="s">
        <v>709</v>
      </c>
      <c r="B444" s="24">
        <v>9.0</v>
      </c>
      <c r="C444" s="23" t="str">
        <f t="shared" si="1"/>
        <v>Thuế</v>
      </c>
    </row>
    <row r="445">
      <c r="A445" s="23" t="s">
        <v>1201</v>
      </c>
      <c r="B445" s="24">
        <v>2.0</v>
      </c>
      <c r="C445" s="23" t="str">
        <f t="shared" si="1"/>
        <v>Doanh nghiệp (tài khoản, vay, tài chính)</v>
      </c>
    </row>
    <row r="446">
      <c r="A446" s="23" t="s">
        <v>660</v>
      </c>
      <c r="B446" s="24">
        <v>3.0</v>
      </c>
      <c r="C446" s="23" t="str">
        <f t="shared" si="1"/>
        <v>Hộ kinh doanh &amp; bán hàng</v>
      </c>
    </row>
    <row r="447">
      <c r="A447" s="23" t="s">
        <v>3076</v>
      </c>
      <c r="B447" s="24">
        <v>18.0</v>
      </c>
      <c r="C447" s="23" t="str">
        <f t="shared" si="1"/>
        <v>Ưu đãi, du lịch &amp; đời sống</v>
      </c>
    </row>
    <row r="448">
      <c r="A448" s="23" t="s">
        <v>3077</v>
      </c>
      <c r="B448" s="24">
        <v>5.0</v>
      </c>
      <c r="C448" s="23" t="str">
        <f t="shared" si="1"/>
        <v>Ngân hàng xanh &amp; thương hiệu</v>
      </c>
    </row>
    <row r="449">
      <c r="A449" s="23" t="s">
        <v>2384</v>
      </c>
      <c r="B449" s="24">
        <v>7.0</v>
      </c>
      <c r="C449" s="23" t="str">
        <f t="shared" si="1"/>
        <v>Quản lý tài chính cá nhân</v>
      </c>
    </row>
    <row r="450">
      <c r="A450" s="23" t="s">
        <v>3078</v>
      </c>
      <c r="B450" s="24">
        <v>9.0</v>
      </c>
      <c r="C450" s="23" t="str">
        <f t="shared" si="1"/>
        <v>Thuế</v>
      </c>
    </row>
    <row r="451">
      <c r="A451" s="23" t="s">
        <v>427</v>
      </c>
      <c r="B451" s="24">
        <v>9.0</v>
      </c>
      <c r="C451" s="23" t="str">
        <f t="shared" si="1"/>
        <v>Thuế</v>
      </c>
    </row>
    <row r="452">
      <c r="A452" s="23" t="s">
        <v>3079</v>
      </c>
      <c r="B452" s="24">
        <v>4.0</v>
      </c>
      <c r="C452" s="23" t="str">
        <f t="shared" si="1"/>
        <v>Ngoại tệ &amp; chuyển tiền quốc tế</v>
      </c>
    </row>
    <row r="453">
      <c r="A453" s="23" t="s">
        <v>3080</v>
      </c>
      <c r="B453" s="24">
        <v>11.0</v>
      </c>
      <c r="C453" s="23" t="str">
        <f t="shared" si="1"/>
        <v>Thẻ tín dụng</v>
      </c>
    </row>
    <row r="454">
      <c r="A454" s="23" t="s">
        <v>3081</v>
      </c>
      <c r="B454" s="24">
        <v>11.0</v>
      </c>
      <c r="C454" s="23" t="str">
        <f t="shared" si="1"/>
        <v>Thẻ tín dụng</v>
      </c>
    </row>
    <row r="455">
      <c r="A455" s="23" t="s">
        <v>3082</v>
      </c>
      <c r="B455" s="24">
        <v>15.0</v>
      </c>
      <c r="C455" s="23" t="str">
        <f t="shared" si="1"/>
        <v>Vay thế chấp &amp; mua nhà/xe</v>
      </c>
    </row>
    <row r="456">
      <c r="A456" s="23" t="s">
        <v>1179</v>
      </c>
      <c r="B456" s="24">
        <v>17.0</v>
      </c>
      <c r="C456" s="23" t="str">
        <f t="shared" si="1"/>
        <v>Đầu tư, CCTG, trái phiếu, vàng</v>
      </c>
    </row>
    <row r="457">
      <c r="A457" s="23" t="s">
        <v>3083</v>
      </c>
      <c r="B457" s="24">
        <v>3.0</v>
      </c>
      <c r="C457" s="23" t="str">
        <f t="shared" si="1"/>
        <v>Hộ kinh doanh &amp; bán hàng</v>
      </c>
    </row>
    <row r="458">
      <c r="A458" s="23" t="s">
        <v>3084</v>
      </c>
      <c r="B458" s="24">
        <v>2.0</v>
      </c>
      <c r="C458" s="23" t="str">
        <f t="shared" si="1"/>
        <v>Doanh nghiệp (tài khoản, vay, tài chính)</v>
      </c>
    </row>
    <row r="459">
      <c r="A459" s="23" t="s">
        <v>2132</v>
      </c>
      <c r="B459" s="24">
        <v>4.0</v>
      </c>
      <c r="C459" s="23" t="str">
        <f t="shared" si="1"/>
        <v>Ngoại tệ &amp; chuyển tiền quốc tế</v>
      </c>
    </row>
    <row r="460">
      <c r="A460" s="23" t="s">
        <v>3086</v>
      </c>
      <c r="B460" s="24">
        <v>3.0</v>
      </c>
      <c r="C460" s="23" t="str">
        <f t="shared" si="1"/>
        <v>Hộ kinh doanh &amp; bán hàng</v>
      </c>
    </row>
    <row r="461">
      <c r="A461" s="23" t="s">
        <v>3089</v>
      </c>
      <c r="B461" s="24">
        <v>11.0</v>
      </c>
      <c r="C461" s="23" t="str">
        <f t="shared" si="1"/>
        <v>Thẻ tín dụng</v>
      </c>
    </row>
    <row r="462">
      <c r="A462" s="23" t="s">
        <v>3091</v>
      </c>
      <c r="B462" s="24">
        <v>2.0</v>
      </c>
      <c r="C462" s="23" t="str">
        <f t="shared" si="1"/>
        <v>Doanh nghiệp (tài khoản, vay, tài chính)</v>
      </c>
    </row>
    <row r="463">
      <c r="A463" s="23" t="s">
        <v>2104</v>
      </c>
      <c r="B463" s="24">
        <v>3.0</v>
      </c>
      <c r="C463" s="23" t="str">
        <f t="shared" si="1"/>
        <v>Hộ kinh doanh &amp; bán hàng</v>
      </c>
    </row>
    <row r="464">
      <c r="A464" s="23" t="s">
        <v>3094</v>
      </c>
      <c r="B464" s="24">
        <v>13.0</v>
      </c>
      <c r="C464" s="23" t="str">
        <f t="shared" si="1"/>
        <v>Tiết kiệm &amp; lãi suất tiền gửi</v>
      </c>
    </row>
    <row r="465">
      <c r="A465" s="23" t="s">
        <v>860</v>
      </c>
      <c r="B465" s="24">
        <v>2.0</v>
      </c>
      <c r="C465" s="23" t="str">
        <f t="shared" si="1"/>
        <v>Doanh nghiệp (tài khoản, vay, tài chính)</v>
      </c>
    </row>
    <row r="466">
      <c r="A466" s="23" t="s">
        <v>3095</v>
      </c>
      <c r="B466" s="24">
        <v>2.0</v>
      </c>
      <c r="C466" s="23" t="str">
        <f t="shared" si="1"/>
        <v>Doanh nghiệp (tài khoản, vay, tài chính)</v>
      </c>
    </row>
    <row r="467">
      <c r="A467" s="23" t="s">
        <v>2951</v>
      </c>
      <c r="B467" s="24">
        <v>8.0</v>
      </c>
      <c r="C467" s="23" t="str">
        <f t="shared" si="1"/>
        <v>Thanh toán, chuyển khoản &amp; QR</v>
      </c>
    </row>
    <row r="468">
      <c r="A468" s="23" t="s">
        <v>1862</v>
      </c>
      <c r="B468" s="24">
        <v>2.0</v>
      </c>
      <c r="C468" s="23" t="str">
        <f t="shared" si="1"/>
        <v>Doanh nghiệp (tài khoản, vay, tài chính)</v>
      </c>
    </row>
    <row r="469">
      <c r="A469" s="23" t="s">
        <v>1878</v>
      </c>
      <c r="B469" s="24">
        <v>17.0</v>
      </c>
      <c r="C469" s="23" t="str">
        <f t="shared" si="1"/>
        <v>Đầu tư, CCTG, trái phiếu, vàng</v>
      </c>
    </row>
    <row r="470">
      <c r="A470" s="23" t="s">
        <v>2156</v>
      </c>
      <c r="B470" s="24">
        <v>17.0</v>
      </c>
      <c r="C470" s="23" t="str">
        <f t="shared" si="1"/>
        <v>Đầu tư, CCTG, trái phiếu, vàng</v>
      </c>
    </row>
    <row r="471">
      <c r="A471" s="23" t="s">
        <v>3098</v>
      </c>
      <c r="B471" s="24">
        <v>16.0</v>
      </c>
      <c r="C471" s="23" t="str">
        <f t="shared" si="1"/>
        <v>Vay tiêu dùng &amp; tín chấp</v>
      </c>
    </row>
    <row r="472">
      <c r="A472" s="23" t="s">
        <v>3099</v>
      </c>
      <c r="B472" s="24">
        <v>13.0</v>
      </c>
      <c r="C472" s="23" t="str">
        <f t="shared" si="1"/>
        <v>Tiết kiệm &amp; lãi suất tiền gửi</v>
      </c>
    </row>
    <row r="473">
      <c r="A473" s="23" t="s">
        <v>3100</v>
      </c>
      <c r="B473" s="24">
        <v>15.0</v>
      </c>
      <c r="C473" s="23" t="str">
        <f t="shared" si="1"/>
        <v>Vay thế chấp &amp; mua nhà/xe</v>
      </c>
    </row>
    <row r="474">
      <c r="A474" s="23" t="s">
        <v>714</v>
      </c>
      <c r="B474" s="24">
        <v>9.0</v>
      </c>
      <c r="C474" s="23" t="str">
        <f t="shared" si="1"/>
        <v>Thuế</v>
      </c>
    </row>
    <row r="475">
      <c r="A475" s="23" t="s">
        <v>686</v>
      </c>
      <c r="B475" s="24">
        <v>9.0</v>
      </c>
      <c r="C475" s="23" t="str">
        <f t="shared" si="1"/>
        <v>Thuế</v>
      </c>
    </row>
    <row r="476">
      <c r="A476" s="23" t="s">
        <v>2016</v>
      </c>
      <c r="B476" s="24">
        <v>4.0</v>
      </c>
      <c r="C476" s="23" t="str">
        <f t="shared" si="1"/>
        <v>Ngoại tệ &amp; chuyển tiền quốc tế</v>
      </c>
    </row>
    <row r="477">
      <c r="A477" s="23" t="s">
        <v>825</v>
      </c>
      <c r="B477" s="24">
        <v>2.0</v>
      </c>
      <c r="C477" s="23" t="str">
        <f t="shared" si="1"/>
        <v>Doanh nghiệp (tài khoản, vay, tài chính)</v>
      </c>
    </row>
    <row r="478">
      <c r="A478" s="23" t="s">
        <v>1852</v>
      </c>
      <c r="B478" s="24">
        <v>13.0</v>
      </c>
      <c r="C478" s="23" t="str">
        <f t="shared" si="1"/>
        <v>Tiết kiệm &amp; lãi suất tiền gửi</v>
      </c>
    </row>
    <row r="479">
      <c r="A479" s="23" t="s">
        <v>1145</v>
      </c>
      <c r="B479" s="24">
        <v>13.0</v>
      </c>
      <c r="C479" s="23" t="str">
        <f t="shared" si="1"/>
        <v>Tiết kiệm &amp; lãi suất tiền gửi</v>
      </c>
    </row>
    <row r="480">
      <c r="A480" s="23" t="s">
        <v>3104</v>
      </c>
      <c r="B480" s="24">
        <v>15.0</v>
      </c>
      <c r="C480" s="23" t="str">
        <f t="shared" si="1"/>
        <v>Vay thế chấp &amp; mua nhà/xe</v>
      </c>
    </row>
    <row r="481">
      <c r="A481" s="23" t="s">
        <v>2315</v>
      </c>
      <c r="B481" s="24">
        <v>10.0</v>
      </c>
      <c r="C481" s="23" t="str">
        <f t="shared" si="1"/>
        <v>Thẻ ATM &amp; thẻ ghi nợ</v>
      </c>
    </row>
    <row r="482">
      <c r="A482" s="23" t="s">
        <v>893</v>
      </c>
      <c r="B482" s="24">
        <v>10.0</v>
      </c>
      <c r="C482" s="23" t="str">
        <f t="shared" si="1"/>
        <v>Thẻ ATM &amp; thẻ ghi nợ</v>
      </c>
    </row>
    <row r="483">
      <c r="A483" s="23" t="s">
        <v>3105</v>
      </c>
      <c r="B483" s="24">
        <v>10.0</v>
      </c>
      <c r="C483" s="23" t="str">
        <f t="shared" si="1"/>
        <v>Thẻ ATM &amp; thẻ ghi nợ</v>
      </c>
    </row>
    <row r="484">
      <c r="A484" s="23" t="s">
        <v>2961</v>
      </c>
      <c r="B484" s="24">
        <v>2.0</v>
      </c>
      <c r="C484" s="23" t="str">
        <f t="shared" si="1"/>
        <v>Doanh nghiệp (tài khoản, vay, tài chính)</v>
      </c>
    </row>
    <row r="485">
      <c r="A485" s="23" t="s">
        <v>682</v>
      </c>
      <c r="B485" s="24">
        <v>11.0</v>
      </c>
      <c r="C485" s="23" t="str">
        <f t="shared" si="1"/>
        <v>Thẻ tín dụng</v>
      </c>
    </row>
    <row r="486">
      <c r="A486" s="23" t="s">
        <v>1122</v>
      </c>
      <c r="B486" s="24">
        <v>13.0</v>
      </c>
      <c r="C486" s="23" t="str">
        <f t="shared" si="1"/>
        <v>Tiết kiệm &amp; lãi suất tiền gửi</v>
      </c>
    </row>
    <row r="487">
      <c r="A487" s="23" t="s">
        <v>3092</v>
      </c>
      <c r="B487" s="24">
        <v>5.0</v>
      </c>
      <c r="C487" s="23" t="str">
        <f t="shared" si="1"/>
        <v>Ngân hàng xanh &amp; thương hiệu</v>
      </c>
    </row>
    <row r="488">
      <c r="A488" s="23" t="s">
        <v>3109</v>
      </c>
      <c r="B488" s="24">
        <v>11.0</v>
      </c>
      <c r="C488" s="23" t="str">
        <f t="shared" si="1"/>
        <v>Thẻ tín dụng</v>
      </c>
    </row>
    <row r="489">
      <c r="A489" s="23" t="s">
        <v>1577</v>
      </c>
      <c r="B489" s="24">
        <v>14.0</v>
      </c>
      <c r="C489" s="23" t="str">
        <f t="shared" si="1"/>
        <v>Tài khoản &amp; ngân hàng số</v>
      </c>
    </row>
    <row r="490">
      <c r="A490" s="23" t="s">
        <v>1051</v>
      </c>
      <c r="B490" s="24">
        <v>2.0</v>
      </c>
      <c r="C490" s="23" t="str">
        <f t="shared" si="1"/>
        <v>Doanh nghiệp (tài khoản, vay, tài chính)</v>
      </c>
    </row>
    <row r="491">
      <c r="A491" s="23" t="s">
        <v>2394</v>
      </c>
      <c r="B491" s="24">
        <v>11.0</v>
      </c>
      <c r="C491" s="23" t="str">
        <f t="shared" si="1"/>
        <v>Thẻ tín dụng</v>
      </c>
    </row>
    <row r="492">
      <c r="A492" s="23" t="s">
        <v>3111</v>
      </c>
      <c r="B492" s="24">
        <v>18.0</v>
      </c>
      <c r="C492" s="23" t="str">
        <f t="shared" si="1"/>
        <v>Ưu đãi, du lịch &amp; đời sống</v>
      </c>
    </row>
    <row r="493">
      <c r="A493" s="23" t="s">
        <v>1333</v>
      </c>
      <c r="B493" s="24">
        <v>3.0</v>
      </c>
      <c r="C493" s="23" t="str">
        <f t="shared" si="1"/>
        <v>Hộ kinh doanh &amp; bán hàng</v>
      </c>
    </row>
    <row r="494">
      <c r="A494" s="23" t="s">
        <v>3112</v>
      </c>
      <c r="B494" s="24">
        <v>13.0</v>
      </c>
      <c r="C494" s="23" t="str">
        <f t="shared" si="1"/>
        <v>Tiết kiệm &amp; lãi suất tiền gửi</v>
      </c>
    </row>
    <row r="495">
      <c r="A495" s="23" t="s">
        <v>2619</v>
      </c>
      <c r="B495" s="24">
        <v>14.0</v>
      </c>
      <c r="C495" s="23" t="str">
        <f t="shared" si="1"/>
        <v>Tài khoản &amp; ngân hàng số</v>
      </c>
    </row>
    <row r="496">
      <c r="A496" s="23" t="s">
        <v>1675</v>
      </c>
      <c r="B496" s="24">
        <v>14.0</v>
      </c>
      <c r="C496" s="23" t="str">
        <f t="shared" si="1"/>
        <v>Tài khoản &amp; ngân hàng số</v>
      </c>
    </row>
    <row r="497">
      <c r="A497" s="23" t="s">
        <v>1700</v>
      </c>
      <c r="B497" s="24">
        <v>14.0</v>
      </c>
      <c r="C497" s="23" t="str">
        <f t="shared" si="1"/>
        <v>Tài khoản &amp; ngân hàng số</v>
      </c>
    </row>
    <row r="498">
      <c r="A498" s="23" t="s">
        <v>1689</v>
      </c>
      <c r="B498" s="24">
        <v>18.0</v>
      </c>
      <c r="C498" s="23" t="str">
        <f t="shared" si="1"/>
        <v>Ưu đãi, du lịch &amp; đời sống</v>
      </c>
    </row>
    <row r="499">
      <c r="A499" s="23" t="s">
        <v>3116</v>
      </c>
      <c r="B499" s="24">
        <v>11.0</v>
      </c>
      <c r="C499" s="23" t="str">
        <f t="shared" si="1"/>
        <v>Thẻ tín dụng</v>
      </c>
    </row>
    <row r="500">
      <c r="A500" s="23" t="s">
        <v>1650</v>
      </c>
      <c r="B500" s="24">
        <v>14.0</v>
      </c>
      <c r="C500" s="23" t="str">
        <f t="shared" si="1"/>
        <v>Tài khoản &amp; ngân hàng số</v>
      </c>
    </row>
    <row r="501">
      <c r="A501" s="23" t="s">
        <v>1659</v>
      </c>
      <c r="B501" s="24">
        <v>14.0</v>
      </c>
      <c r="C501" s="23" t="str">
        <f t="shared" si="1"/>
        <v>Tài khoản &amp; ngân hàng số</v>
      </c>
    </row>
    <row r="502">
      <c r="A502" s="23" t="s">
        <v>1382</v>
      </c>
      <c r="B502" s="24">
        <v>14.0</v>
      </c>
      <c r="C502" s="23" t="str">
        <f t="shared" si="1"/>
        <v>Tài khoản &amp; ngân hàng số</v>
      </c>
    </row>
    <row r="503">
      <c r="A503" s="23" t="s">
        <v>3118</v>
      </c>
      <c r="B503" s="24">
        <v>13.0</v>
      </c>
      <c r="C503" s="23" t="str">
        <f t="shared" si="1"/>
        <v>Tiết kiệm &amp; lãi suất tiền gửi</v>
      </c>
    </row>
    <row r="504">
      <c r="A504" s="23" t="s">
        <v>3119</v>
      </c>
      <c r="B504" s="24">
        <v>8.0</v>
      </c>
      <c r="C504" s="23" t="str">
        <f t="shared" si="1"/>
        <v>Thanh toán, chuyển khoản &amp; QR</v>
      </c>
    </row>
    <row r="505">
      <c r="A505" s="23" t="s">
        <v>1692</v>
      </c>
      <c r="B505" s="24">
        <v>18.0</v>
      </c>
      <c r="C505" s="23" t="str">
        <f t="shared" si="1"/>
        <v>Ưu đãi, du lịch &amp; đời sống</v>
      </c>
    </row>
    <row r="506">
      <c r="A506" s="23" t="s">
        <v>1625</v>
      </c>
      <c r="B506" s="24">
        <v>14.0</v>
      </c>
      <c r="C506" s="23" t="str">
        <f t="shared" si="1"/>
        <v>Tài khoản &amp; ngân hàng số</v>
      </c>
    </row>
    <row r="507">
      <c r="A507" s="23" t="s">
        <v>1642</v>
      </c>
      <c r="B507" s="24">
        <v>10.0</v>
      </c>
      <c r="C507" s="23" t="str">
        <f t="shared" si="1"/>
        <v>Thẻ ATM &amp; thẻ ghi nợ</v>
      </c>
    </row>
    <row r="508">
      <c r="A508" s="23" t="s">
        <v>1128</v>
      </c>
      <c r="B508" s="24">
        <v>13.0</v>
      </c>
      <c r="C508" s="23" t="str">
        <f t="shared" si="1"/>
        <v>Tiết kiệm &amp; lãi suất tiền gửi</v>
      </c>
    </row>
    <row r="509">
      <c r="A509" s="23" t="s">
        <v>2681</v>
      </c>
      <c r="B509" s="24">
        <v>3.0</v>
      </c>
      <c r="C509" s="23" t="str">
        <f t="shared" si="1"/>
        <v>Hộ kinh doanh &amp; bán hàng</v>
      </c>
    </row>
    <row r="510">
      <c r="A510" s="23" t="s">
        <v>3120</v>
      </c>
      <c r="B510" s="24">
        <v>16.0</v>
      </c>
      <c r="C510" s="23" t="str">
        <f t="shared" si="1"/>
        <v>Vay tiêu dùng &amp; tín chấp</v>
      </c>
    </row>
    <row r="511">
      <c r="A511" s="23" t="s">
        <v>1205</v>
      </c>
      <c r="B511" s="24">
        <v>2.0</v>
      </c>
      <c r="C511" s="23" t="str">
        <f t="shared" si="1"/>
        <v>Doanh nghiệp (tài khoản, vay, tài chính)</v>
      </c>
    </row>
    <row r="512">
      <c r="A512" s="23" t="s">
        <v>2510</v>
      </c>
      <c r="B512" s="24">
        <v>2.0</v>
      </c>
      <c r="C512" s="23" t="str">
        <f t="shared" si="1"/>
        <v>Doanh nghiệp (tài khoản, vay, tài chính)</v>
      </c>
    </row>
    <row r="513">
      <c r="A513" s="23" t="s">
        <v>2000</v>
      </c>
      <c r="B513" s="24">
        <v>4.0</v>
      </c>
      <c r="C513" s="23" t="str">
        <f t="shared" si="1"/>
        <v>Ngoại tệ &amp; chuyển tiền quốc tế</v>
      </c>
    </row>
    <row r="514">
      <c r="A514" s="23" t="s">
        <v>1799</v>
      </c>
      <c r="B514" s="24">
        <v>14.0</v>
      </c>
      <c r="C514" s="23" t="str">
        <f t="shared" si="1"/>
        <v>Tài khoản &amp; ngân hàng số</v>
      </c>
    </row>
    <row r="515">
      <c r="A515" s="23" t="s">
        <v>2230</v>
      </c>
      <c r="B515" s="24">
        <v>14.0</v>
      </c>
      <c r="C515" s="23" t="str">
        <f t="shared" si="1"/>
        <v>Tài khoản &amp; ngân hàng số</v>
      </c>
    </row>
    <row r="516">
      <c r="A516" s="23" t="s">
        <v>3128</v>
      </c>
      <c r="B516" s="24">
        <v>14.0</v>
      </c>
      <c r="C516" s="23" t="str">
        <f t="shared" si="1"/>
        <v>Tài khoản &amp; ngân hàng số</v>
      </c>
    </row>
    <row r="517">
      <c r="A517" s="23" t="s">
        <v>1748</v>
      </c>
      <c r="B517" s="24">
        <v>14.0</v>
      </c>
      <c r="C517" s="23" t="str">
        <f t="shared" si="1"/>
        <v>Tài khoản &amp; ngân hàng số</v>
      </c>
    </row>
    <row r="518">
      <c r="A518" s="23" t="s">
        <v>2597</v>
      </c>
      <c r="B518" s="24">
        <v>14.0</v>
      </c>
      <c r="C518" s="23" t="str">
        <f t="shared" si="1"/>
        <v>Tài khoản &amp; ngân hàng số</v>
      </c>
    </row>
    <row r="519">
      <c r="A519" s="23" t="s">
        <v>3129</v>
      </c>
      <c r="B519" s="24">
        <v>13.0</v>
      </c>
      <c r="C519" s="23" t="str">
        <f t="shared" si="1"/>
        <v>Tiết kiệm &amp; lãi suất tiền gửi</v>
      </c>
    </row>
    <row r="520">
      <c r="A520" s="23" t="s">
        <v>3130</v>
      </c>
      <c r="B520" s="24">
        <v>17.0</v>
      </c>
      <c r="C520" s="23" t="str">
        <f t="shared" si="1"/>
        <v>Đầu tư, CCTG, trái phiếu, vàng</v>
      </c>
    </row>
    <row r="521">
      <c r="A521" s="23" t="s">
        <v>3131</v>
      </c>
      <c r="B521" s="24">
        <v>13.0</v>
      </c>
      <c r="C521" s="23" t="str">
        <f t="shared" si="1"/>
        <v>Tiết kiệm &amp; lãi suất tiền gửi</v>
      </c>
    </row>
    <row r="522">
      <c r="A522" s="23" t="s">
        <v>3132</v>
      </c>
      <c r="B522" s="24">
        <v>3.0</v>
      </c>
      <c r="C522" s="23" t="str">
        <f t="shared" si="1"/>
        <v>Hộ kinh doanh &amp; bán hàng</v>
      </c>
    </row>
    <row r="523">
      <c r="A523" s="23" t="s">
        <v>3134</v>
      </c>
      <c r="B523" s="24">
        <v>3.0</v>
      </c>
      <c r="C523" s="23" t="str">
        <f t="shared" si="1"/>
        <v>Hộ kinh doanh &amp; bán hàng</v>
      </c>
    </row>
    <row r="524">
      <c r="A524" s="23" t="s">
        <v>3135</v>
      </c>
      <c r="B524" s="24">
        <v>16.0</v>
      </c>
      <c r="C524" s="23" t="str">
        <f t="shared" si="1"/>
        <v>Vay tiêu dùng &amp; tín chấp</v>
      </c>
    </row>
    <row r="525">
      <c r="A525" s="23" t="s">
        <v>3137</v>
      </c>
      <c r="B525" s="24">
        <v>17.0</v>
      </c>
      <c r="C525" s="23" t="str">
        <f t="shared" si="1"/>
        <v>Đầu tư, CCTG, trái phiếu, vàng</v>
      </c>
    </row>
    <row r="526">
      <c r="A526" s="23" t="s">
        <v>3138</v>
      </c>
      <c r="B526" s="24">
        <v>13.0</v>
      </c>
      <c r="C526" s="23" t="str">
        <f t="shared" si="1"/>
        <v>Tiết kiệm &amp; lãi suất tiền gửi</v>
      </c>
    </row>
    <row r="527">
      <c r="A527" s="23" t="s">
        <v>1814</v>
      </c>
      <c r="B527" s="24">
        <v>13.0</v>
      </c>
      <c r="C527" s="23" t="str">
        <f t="shared" si="1"/>
        <v>Tiết kiệm &amp; lãi suất tiền gửi</v>
      </c>
    </row>
    <row r="528">
      <c r="A528" s="23" t="s">
        <v>3142</v>
      </c>
      <c r="B528" s="24">
        <v>17.0</v>
      </c>
      <c r="C528" s="23" t="str">
        <f t="shared" si="1"/>
        <v>Đầu tư, CCTG, trái phiếu, vàng</v>
      </c>
    </row>
    <row r="529">
      <c r="A529" s="23" t="s">
        <v>3143</v>
      </c>
      <c r="B529" s="24">
        <v>3.0</v>
      </c>
      <c r="C529" s="23" t="str">
        <f t="shared" si="1"/>
        <v>Hộ kinh doanh &amp; bán hàng</v>
      </c>
    </row>
    <row r="530">
      <c r="A530" s="23" t="s">
        <v>3144</v>
      </c>
      <c r="B530" s="24">
        <v>17.0</v>
      </c>
      <c r="C530" s="23" t="str">
        <f t="shared" si="1"/>
        <v>Đầu tư, CCTG, trái phiếu, vàng</v>
      </c>
    </row>
    <row r="531">
      <c r="A531" s="23" t="s">
        <v>2893</v>
      </c>
      <c r="B531" s="24">
        <v>8.0</v>
      </c>
      <c r="C531" s="23" t="str">
        <f t="shared" si="1"/>
        <v>Thanh toán, chuyển khoản &amp; QR</v>
      </c>
    </row>
    <row r="532">
      <c r="A532" s="23" t="s">
        <v>3145</v>
      </c>
      <c r="B532" s="24">
        <v>4.0</v>
      </c>
      <c r="C532" s="23" t="str">
        <f t="shared" si="1"/>
        <v>Ngoại tệ &amp; chuyển tiền quốc tế</v>
      </c>
    </row>
    <row r="533">
      <c r="A533" s="23" t="s">
        <v>1338</v>
      </c>
      <c r="B533" s="24">
        <v>8.0</v>
      </c>
      <c r="C533" s="23" t="str">
        <f t="shared" si="1"/>
        <v>Thanh toán, chuyển khoản &amp; QR</v>
      </c>
    </row>
    <row r="534">
      <c r="A534" s="23" t="s">
        <v>2702</v>
      </c>
      <c r="B534" s="24">
        <v>8.0</v>
      </c>
      <c r="C534" s="23" t="str">
        <f t="shared" si="1"/>
        <v>Thanh toán, chuyển khoản &amp; QR</v>
      </c>
    </row>
    <row r="535">
      <c r="A535" s="23" t="s">
        <v>2144</v>
      </c>
      <c r="B535" s="24">
        <v>8.0</v>
      </c>
      <c r="C535" s="23" t="str">
        <f t="shared" si="1"/>
        <v>Thanh toán, chuyển khoản &amp; QR</v>
      </c>
    </row>
    <row r="536">
      <c r="A536" s="23" t="s">
        <v>3150</v>
      </c>
      <c r="B536" s="24">
        <v>8.0</v>
      </c>
      <c r="C536" s="23" t="str">
        <f t="shared" si="1"/>
        <v>Thanh toán, chuyển khoản &amp; QR</v>
      </c>
    </row>
    <row r="537">
      <c r="A537" s="23" t="s">
        <v>3153</v>
      </c>
      <c r="B537" s="24">
        <v>13.0</v>
      </c>
      <c r="C537" s="23" t="str">
        <f t="shared" si="1"/>
        <v>Tiết kiệm &amp; lãi suất tiền gửi</v>
      </c>
    </row>
    <row r="538">
      <c r="A538" s="23" t="s">
        <v>1003</v>
      </c>
      <c r="B538" s="24">
        <v>8.0</v>
      </c>
      <c r="C538" s="23" t="str">
        <f t="shared" si="1"/>
        <v>Thanh toán, chuyển khoản &amp; QR</v>
      </c>
    </row>
    <row r="539">
      <c r="A539" s="23" t="s">
        <v>3154</v>
      </c>
      <c r="B539" s="24">
        <v>8.0</v>
      </c>
      <c r="C539" s="23" t="str">
        <f t="shared" si="1"/>
        <v>Thanh toán, chuyển khoản &amp; QR</v>
      </c>
    </row>
    <row r="540">
      <c r="A540" s="23" t="s">
        <v>3155</v>
      </c>
      <c r="B540" s="24">
        <v>16.0</v>
      </c>
      <c r="C540" s="23" t="str">
        <f t="shared" si="1"/>
        <v>Vay tiêu dùng &amp; tín chấp</v>
      </c>
    </row>
    <row r="541">
      <c r="A541" s="23" t="s">
        <v>3124</v>
      </c>
      <c r="B541" s="24">
        <v>8.0</v>
      </c>
      <c r="C541" s="23" t="str">
        <f t="shared" si="1"/>
        <v>Thanh toán, chuyển khoản &amp; QR</v>
      </c>
    </row>
    <row r="542">
      <c r="A542" s="23" t="s">
        <v>3156</v>
      </c>
      <c r="B542" s="24">
        <v>3.0</v>
      </c>
      <c r="C542" s="23" t="str">
        <f t="shared" si="1"/>
        <v>Hộ kinh doanh &amp; bán hàng</v>
      </c>
    </row>
    <row r="543">
      <c r="A543" s="23" t="s">
        <v>3157</v>
      </c>
      <c r="B543" s="24">
        <v>8.0</v>
      </c>
      <c r="C543" s="23" t="str">
        <f t="shared" si="1"/>
        <v>Thanh toán, chuyển khoản &amp; QR</v>
      </c>
    </row>
    <row r="544">
      <c r="A544" s="23" t="s">
        <v>2148</v>
      </c>
      <c r="B544" s="24">
        <v>8.0</v>
      </c>
      <c r="C544" s="23" t="str">
        <f t="shared" si="1"/>
        <v>Thanh toán, chuyển khoản &amp; QR</v>
      </c>
    </row>
    <row r="545">
      <c r="A545" s="23" t="s">
        <v>2907</v>
      </c>
      <c r="B545" s="24">
        <v>8.0</v>
      </c>
      <c r="C545" s="23" t="str">
        <f t="shared" si="1"/>
        <v>Thanh toán, chuyển khoản &amp; QR</v>
      </c>
    </row>
    <row r="546">
      <c r="A546" s="23" t="s">
        <v>3160</v>
      </c>
      <c r="B546" s="24">
        <v>11.0</v>
      </c>
      <c r="C546" s="23" t="str">
        <f t="shared" si="1"/>
        <v>Thẻ tín dụng</v>
      </c>
    </row>
    <row r="547">
      <c r="A547" s="23" t="s">
        <v>1467</v>
      </c>
      <c r="B547" s="24">
        <v>15.0</v>
      </c>
      <c r="C547" s="23" t="str">
        <f t="shared" si="1"/>
        <v>Vay thế chấp &amp; mua nhà/xe</v>
      </c>
    </row>
    <row r="548">
      <c r="A548" s="23" t="s">
        <v>3161</v>
      </c>
      <c r="B548" s="24">
        <v>8.0</v>
      </c>
      <c r="C548" s="23" t="str">
        <f t="shared" si="1"/>
        <v>Thanh toán, chuyển khoản &amp; QR</v>
      </c>
    </row>
    <row r="549">
      <c r="A549" s="23" t="s">
        <v>3162</v>
      </c>
      <c r="B549" s="24">
        <v>4.0</v>
      </c>
      <c r="C549" s="23" t="str">
        <f t="shared" si="1"/>
        <v>Ngoại tệ &amp; chuyển tiền quốc tế</v>
      </c>
    </row>
    <row r="550">
      <c r="A550" s="23" t="s">
        <v>1416</v>
      </c>
      <c r="B550" s="24">
        <v>11.0</v>
      </c>
      <c r="C550" s="23" t="str">
        <f t="shared" si="1"/>
        <v>Thẻ tín dụng</v>
      </c>
    </row>
    <row r="551">
      <c r="A551" s="23" t="s">
        <v>2699</v>
      </c>
      <c r="B551" s="24">
        <v>8.0</v>
      </c>
      <c r="C551" s="23" t="str">
        <f t="shared" si="1"/>
        <v>Thanh toán, chuyển khoản &amp; QR</v>
      </c>
    </row>
    <row r="552">
      <c r="A552" s="23" t="s">
        <v>3163</v>
      </c>
      <c r="B552" s="24">
        <v>11.0</v>
      </c>
      <c r="C552" s="23" t="str">
        <f t="shared" si="1"/>
        <v>Thẻ tín dụng</v>
      </c>
    </row>
    <row r="553">
      <c r="A553" s="23" t="s">
        <v>3165</v>
      </c>
      <c r="B553" s="24">
        <v>16.0</v>
      </c>
      <c r="C553" s="23" t="str">
        <f t="shared" si="1"/>
        <v>Vay tiêu dùng &amp; tín chấp</v>
      </c>
    </row>
    <row r="554">
      <c r="A554" s="23" t="s">
        <v>1348</v>
      </c>
      <c r="B554" s="24">
        <v>14.0</v>
      </c>
      <c r="C554" s="23" t="str">
        <f t="shared" si="1"/>
        <v>Tài khoản &amp; ngân hàng số</v>
      </c>
    </row>
    <row r="555">
      <c r="A555" s="23" t="s">
        <v>1343</v>
      </c>
      <c r="B555" s="24">
        <v>8.0</v>
      </c>
      <c r="C555" s="23" t="str">
        <f t="shared" si="1"/>
        <v>Thanh toán, chuyển khoản &amp; QR</v>
      </c>
    </row>
    <row r="556">
      <c r="A556" s="23" t="s">
        <v>2689</v>
      </c>
      <c r="B556" s="24">
        <v>8.0</v>
      </c>
      <c r="C556" s="23" t="str">
        <f t="shared" si="1"/>
        <v>Thanh toán, chuyển khoản &amp; QR</v>
      </c>
    </row>
    <row r="557">
      <c r="A557" s="23" t="s">
        <v>2580</v>
      </c>
      <c r="B557" s="24">
        <v>3.0</v>
      </c>
      <c r="C557" s="23" t="str">
        <f t="shared" si="1"/>
        <v>Hộ kinh doanh &amp; bán hàng</v>
      </c>
    </row>
    <row r="558">
      <c r="A558" s="23" t="s">
        <v>3171</v>
      </c>
      <c r="B558" s="24">
        <v>10.0</v>
      </c>
      <c r="C558" s="23" t="str">
        <f t="shared" si="1"/>
        <v>Thẻ ATM &amp; thẻ ghi nợ</v>
      </c>
    </row>
    <row r="559">
      <c r="A559" s="23" t="s">
        <v>2276</v>
      </c>
      <c r="B559" s="24">
        <v>4.0</v>
      </c>
      <c r="C559" s="23" t="str">
        <f t="shared" si="1"/>
        <v>Ngoại tệ &amp; chuyển tiền quốc tế</v>
      </c>
    </row>
    <row r="560">
      <c r="A560" s="23" t="s">
        <v>3172</v>
      </c>
      <c r="B560" s="24">
        <v>15.0</v>
      </c>
      <c r="C560" s="23" t="str">
        <f t="shared" si="1"/>
        <v>Vay thế chấp &amp; mua nhà/xe</v>
      </c>
    </row>
    <row r="561">
      <c r="A561" s="23" t="s">
        <v>3027</v>
      </c>
      <c r="B561" s="24">
        <v>11.0</v>
      </c>
      <c r="C561" s="23" t="str">
        <f t="shared" si="1"/>
        <v>Thẻ tín dụng</v>
      </c>
    </row>
    <row r="562">
      <c r="A562" s="23" t="s">
        <v>2088</v>
      </c>
      <c r="B562" s="24">
        <v>10.0</v>
      </c>
      <c r="C562" s="23" t="str">
        <f t="shared" si="1"/>
        <v>Thẻ ATM &amp; thẻ ghi nợ</v>
      </c>
    </row>
    <row r="563">
      <c r="A563" s="23" t="s">
        <v>2007</v>
      </c>
      <c r="B563" s="24">
        <v>10.0</v>
      </c>
      <c r="C563" s="23" t="str">
        <f t="shared" si="1"/>
        <v>Thẻ ATM &amp; thẻ ghi nợ</v>
      </c>
    </row>
    <row r="564">
      <c r="A564" s="23" t="s">
        <v>2405</v>
      </c>
      <c r="B564" s="24">
        <v>10.0</v>
      </c>
      <c r="C564" s="23" t="str">
        <f t="shared" si="1"/>
        <v>Thẻ ATM &amp; thẻ ghi nợ</v>
      </c>
    </row>
    <row r="565">
      <c r="A565" s="23" t="s">
        <v>3176</v>
      </c>
      <c r="B565" s="24">
        <v>10.0</v>
      </c>
      <c r="C565" s="23" t="str">
        <f t="shared" si="1"/>
        <v>Thẻ ATM &amp; thẻ ghi nợ</v>
      </c>
    </row>
    <row r="566">
      <c r="A566" s="23" t="s">
        <v>3177</v>
      </c>
      <c r="B566" s="24">
        <v>4.0</v>
      </c>
      <c r="C566" s="23" t="str">
        <f t="shared" si="1"/>
        <v>Ngoại tệ &amp; chuyển tiền quốc tế</v>
      </c>
    </row>
    <row r="567">
      <c r="A567" s="23" t="s">
        <v>3178</v>
      </c>
      <c r="B567" s="24">
        <v>11.0</v>
      </c>
      <c r="C567" s="23" t="str">
        <f t="shared" si="1"/>
        <v>Thẻ tín dụng</v>
      </c>
    </row>
    <row r="568">
      <c r="A568" s="23" t="s">
        <v>2207</v>
      </c>
      <c r="B568" s="24">
        <v>11.0</v>
      </c>
      <c r="C568" s="23" t="str">
        <f t="shared" si="1"/>
        <v>Thẻ tín dụng</v>
      </c>
    </row>
    <row r="569">
      <c r="A569" s="23" t="s">
        <v>3009</v>
      </c>
      <c r="B569" s="24">
        <v>11.0</v>
      </c>
      <c r="C569" s="23" t="str">
        <f t="shared" si="1"/>
        <v>Thẻ tín dụng</v>
      </c>
    </row>
    <row r="570">
      <c r="A570" s="23" t="s">
        <v>3179</v>
      </c>
      <c r="B570" s="24">
        <v>13.0</v>
      </c>
      <c r="C570" s="23" t="str">
        <f t="shared" si="1"/>
        <v>Tiết kiệm &amp; lãi suất tiền gửi</v>
      </c>
    </row>
    <row r="571">
      <c r="A571" s="23" t="s">
        <v>3180</v>
      </c>
      <c r="B571" s="24">
        <v>10.0</v>
      </c>
      <c r="C571" s="23" t="str">
        <f t="shared" si="1"/>
        <v>Thẻ ATM &amp; thẻ ghi nợ</v>
      </c>
    </row>
    <row r="572">
      <c r="A572" s="23" t="s">
        <v>3181</v>
      </c>
      <c r="B572" s="24">
        <v>11.0</v>
      </c>
      <c r="C572" s="23" t="str">
        <f t="shared" si="1"/>
        <v>Thẻ tín dụng</v>
      </c>
    </row>
    <row r="573">
      <c r="A573" s="23" t="s">
        <v>3182</v>
      </c>
      <c r="B573" s="24">
        <v>11.0</v>
      </c>
      <c r="C573" s="23" t="str">
        <f t="shared" si="1"/>
        <v>Thẻ tín dụng</v>
      </c>
    </row>
    <row r="574">
      <c r="A574" s="23" t="s">
        <v>3183</v>
      </c>
      <c r="B574" s="24">
        <v>11.0</v>
      </c>
      <c r="C574" s="23" t="str">
        <f t="shared" si="1"/>
        <v>Thẻ tín dụng</v>
      </c>
    </row>
    <row r="575">
      <c r="A575" s="23" t="s">
        <v>3185</v>
      </c>
      <c r="B575" s="24">
        <v>11.0</v>
      </c>
      <c r="C575" s="23" t="str">
        <f t="shared" si="1"/>
        <v>Thẻ tín dụng</v>
      </c>
    </row>
    <row r="576">
      <c r="A576" s="23" t="s">
        <v>2426</v>
      </c>
      <c r="B576" s="24">
        <v>11.0</v>
      </c>
      <c r="C576" s="23" t="str">
        <f t="shared" si="1"/>
        <v>Thẻ tín dụng</v>
      </c>
    </row>
    <row r="577">
      <c r="A577" s="23" t="s">
        <v>3186</v>
      </c>
      <c r="B577" s="24">
        <v>11.0</v>
      </c>
      <c r="C577" s="23" t="str">
        <f t="shared" si="1"/>
        <v>Thẻ tín dụng</v>
      </c>
    </row>
    <row r="578">
      <c r="A578" s="23" t="s">
        <v>925</v>
      </c>
      <c r="B578" s="24">
        <v>11.0</v>
      </c>
      <c r="C578" s="23" t="str">
        <f t="shared" si="1"/>
        <v>Thẻ tín dụng</v>
      </c>
    </row>
    <row r="579">
      <c r="A579" s="23" t="s">
        <v>1463</v>
      </c>
      <c r="B579" s="24">
        <v>11.0</v>
      </c>
      <c r="C579" s="23" t="str">
        <f t="shared" si="1"/>
        <v>Thẻ tín dụng</v>
      </c>
    </row>
    <row r="580">
      <c r="A580" s="23" t="s">
        <v>1957</v>
      </c>
      <c r="B580" s="24">
        <v>11.0</v>
      </c>
      <c r="C580" s="23" t="str">
        <f t="shared" si="1"/>
        <v>Thẻ tín dụng</v>
      </c>
    </row>
    <row r="581">
      <c r="A581" s="23" t="s">
        <v>3188</v>
      </c>
      <c r="B581" s="24">
        <v>11.0</v>
      </c>
      <c r="C581" s="23" t="str">
        <f t="shared" si="1"/>
        <v>Thẻ tín dụng</v>
      </c>
    </row>
    <row r="582">
      <c r="A582" s="23" t="s">
        <v>3189</v>
      </c>
      <c r="B582" s="24">
        <v>11.0</v>
      </c>
      <c r="C582" s="23" t="str">
        <f t="shared" si="1"/>
        <v>Thẻ tín dụng</v>
      </c>
    </row>
    <row r="583">
      <c r="A583" s="23" t="s">
        <v>3190</v>
      </c>
      <c r="B583" s="24">
        <v>11.0</v>
      </c>
      <c r="C583" s="23" t="str">
        <f t="shared" si="1"/>
        <v>Thẻ tín dụng</v>
      </c>
    </row>
    <row r="584">
      <c r="A584" s="23" t="s">
        <v>3194</v>
      </c>
      <c r="B584" s="24">
        <v>11.0</v>
      </c>
      <c r="C584" s="23" t="str">
        <f t="shared" si="1"/>
        <v>Thẻ tín dụng</v>
      </c>
    </row>
    <row r="585">
      <c r="A585" s="23" t="s">
        <v>2343</v>
      </c>
      <c r="B585" s="24">
        <v>11.0</v>
      </c>
      <c r="C585" s="23" t="str">
        <f t="shared" si="1"/>
        <v>Thẻ tín dụng</v>
      </c>
    </row>
    <row r="586">
      <c r="A586" s="23" t="s">
        <v>3196</v>
      </c>
      <c r="B586" s="24">
        <v>5.0</v>
      </c>
      <c r="C586" s="23" t="str">
        <f t="shared" si="1"/>
        <v>Ngân hàng xanh &amp; thương hiệu</v>
      </c>
    </row>
    <row r="587">
      <c r="A587" s="23" t="s">
        <v>3198</v>
      </c>
      <c r="B587" s="24">
        <v>11.0</v>
      </c>
      <c r="C587" s="23" t="str">
        <f t="shared" si="1"/>
        <v>Thẻ tín dụng</v>
      </c>
    </row>
    <row r="588">
      <c r="A588" s="23" t="s">
        <v>2252</v>
      </c>
      <c r="B588" s="24">
        <v>11.0</v>
      </c>
      <c r="C588" s="23" t="str">
        <f t="shared" si="1"/>
        <v>Thẻ tín dụng</v>
      </c>
    </row>
    <row r="589">
      <c r="A589" s="23" t="s">
        <v>3199</v>
      </c>
      <c r="B589" s="24">
        <v>11.0</v>
      </c>
      <c r="C589" s="23" t="str">
        <f t="shared" si="1"/>
        <v>Thẻ tín dụng</v>
      </c>
    </row>
    <row r="590">
      <c r="A590" s="23" t="s">
        <v>2410</v>
      </c>
      <c r="B590" s="24">
        <v>11.0</v>
      </c>
      <c r="C590" s="23" t="str">
        <f t="shared" si="1"/>
        <v>Thẻ tín dụng</v>
      </c>
    </row>
    <row r="591">
      <c r="A591" s="23" t="s">
        <v>3187</v>
      </c>
      <c r="B591" s="24">
        <v>11.0</v>
      </c>
      <c r="C591" s="23" t="str">
        <f t="shared" si="1"/>
        <v>Thẻ tín dụng</v>
      </c>
    </row>
    <row r="592">
      <c r="A592" s="23" t="s">
        <v>3203</v>
      </c>
      <c r="B592" s="24">
        <v>11.0</v>
      </c>
      <c r="C592" s="23" t="str">
        <f t="shared" si="1"/>
        <v>Thẻ tín dụng</v>
      </c>
    </row>
    <row r="593">
      <c r="A593" s="23" t="s">
        <v>2272</v>
      </c>
      <c r="B593" s="24">
        <v>11.0</v>
      </c>
      <c r="C593" s="23" t="str">
        <f t="shared" si="1"/>
        <v>Thẻ tín dụng</v>
      </c>
    </row>
    <row r="594">
      <c r="A594" s="23" t="s">
        <v>3205</v>
      </c>
      <c r="B594" s="24">
        <v>11.0</v>
      </c>
      <c r="C594" s="23" t="str">
        <f t="shared" si="1"/>
        <v>Thẻ tín dụng</v>
      </c>
    </row>
    <row r="595">
      <c r="A595" s="23" t="s">
        <v>3206</v>
      </c>
      <c r="B595" s="24">
        <v>17.0</v>
      </c>
      <c r="C595" s="23" t="str">
        <f t="shared" si="1"/>
        <v>Đầu tư, CCTG, trái phiếu, vàng</v>
      </c>
    </row>
    <row r="596">
      <c r="A596" s="23" t="s">
        <v>1426</v>
      </c>
      <c r="B596" s="24">
        <v>11.0</v>
      </c>
      <c r="C596" s="23" t="str">
        <f t="shared" si="1"/>
        <v>Thẻ tín dụng</v>
      </c>
    </row>
    <row r="597">
      <c r="A597" s="23" t="s">
        <v>3207</v>
      </c>
      <c r="B597" s="24">
        <v>17.0</v>
      </c>
      <c r="C597" s="23" t="str">
        <f t="shared" si="1"/>
        <v>Đầu tư, CCTG, trái phiếu, vàng</v>
      </c>
    </row>
    <row r="598">
      <c r="A598" s="23" t="s">
        <v>3208</v>
      </c>
      <c r="B598" s="24">
        <v>16.0</v>
      </c>
      <c r="C598" s="23" t="str">
        <f t="shared" si="1"/>
        <v>Vay tiêu dùng &amp; tín chấp</v>
      </c>
    </row>
    <row r="599">
      <c r="A599" s="23" t="s">
        <v>3210</v>
      </c>
      <c r="B599" s="24">
        <v>4.0</v>
      </c>
      <c r="C599" s="23" t="str">
        <f t="shared" si="1"/>
        <v>Ngoại tệ &amp; chuyển tiền quốc tế</v>
      </c>
    </row>
    <row r="600">
      <c r="A600" s="23" t="s">
        <v>173</v>
      </c>
      <c r="B600" s="24">
        <v>15.0</v>
      </c>
      <c r="C600" s="23" t="str">
        <f t="shared" si="1"/>
        <v>Vay thế chấp &amp; mua nhà/xe</v>
      </c>
    </row>
    <row r="601">
      <c r="A601" s="23" t="s">
        <v>675</v>
      </c>
      <c r="B601" s="24">
        <v>2.0</v>
      </c>
      <c r="C601" s="23" t="str">
        <f t="shared" si="1"/>
        <v>Doanh nghiệp (tài khoản, vay, tài chính)</v>
      </c>
    </row>
    <row r="602">
      <c r="A602" s="23" t="s">
        <v>3213</v>
      </c>
      <c r="B602" s="24">
        <v>15.0</v>
      </c>
      <c r="C602" s="23" t="str">
        <f t="shared" si="1"/>
        <v>Vay thế chấp &amp; mua nhà/xe</v>
      </c>
    </row>
    <row r="603">
      <c r="A603" s="23" t="s">
        <v>3214</v>
      </c>
      <c r="B603" s="24">
        <v>2.0</v>
      </c>
      <c r="C603" s="23" t="str">
        <f t="shared" si="1"/>
        <v>Doanh nghiệp (tài khoản, vay, tài chính)</v>
      </c>
    </row>
    <row r="604">
      <c r="A604" s="23" t="s">
        <v>3216</v>
      </c>
      <c r="B604" s="24">
        <v>3.0</v>
      </c>
      <c r="C604" s="23" t="str">
        <f t="shared" si="1"/>
        <v>Hộ kinh doanh &amp; bán hàng</v>
      </c>
    </row>
    <row r="605">
      <c r="A605" s="23" t="s">
        <v>3217</v>
      </c>
      <c r="B605" s="24">
        <v>15.0</v>
      </c>
      <c r="C605" s="23" t="str">
        <f t="shared" si="1"/>
        <v>Vay thế chấp &amp; mua nhà/xe</v>
      </c>
    </row>
    <row r="606">
      <c r="A606" s="23" t="s">
        <v>769</v>
      </c>
      <c r="B606" s="24">
        <v>9.0</v>
      </c>
      <c r="C606" s="23" t="str">
        <f t="shared" si="1"/>
        <v>Thuế</v>
      </c>
    </row>
    <row r="607">
      <c r="A607" s="23" t="s">
        <v>719</v>
      </c>
      <c r="B607" s="24">
        <v>9.0</v>
      </c>
      <c r="C607" s="23" t="str">
        <f t="shared" si="1"/>
        <v>Thuế</v>
      </c>
    </row>
    <row r="608">
      <c r="A608" s="23" t="s">
        <v>987</v>
      </c>
      <c r="B608" s="24">
        <v>3.0</v>
      </c>
      <c r="C608" s="23" t="str">
        <f t="shared" si="1"/>
        <v>Hộ kinh doanh &amp; bán hàng</v>
      </c>
    </row>
    <row r="609">
      <c r="A609" s="23" t="s">
        <v>620</v>
      </c>
      <c r="B609" s="24">
        <v>9.0</v>
      </c>
      <c r="C609" s="23" t="str">
        <f t="shared" si="1"/>
        <v>Thuế</v>
      </c>
    </row>
    <row r="610">
      <c r="A610" s="23" t="s">
        <v>785</v>
      </c>
      <c r="B610" s="24">
        <v>9.0</v>
      </c>
      <c r="C610" s="23" t="str">
        <f t="shared" si="1"/>
        <v>Thuế</v>
      </c>
    </row>
    <row r="611">
      <c r="A611" s="23" t="s">
        <v>403</v>
      </c>
      <c r="B611" s="24">
        <v>9.0</v>
      </c>
      <c r="C611" s="23" t="str">
        <f t="shared" si="1"/>
        <v>Thuế</v>
      </c>
    </row>
    <row r="612">
      <c r="A612" s="23" t="s">
        <v>640</v>
      </c>
      <c r="B612" s="24">
        <v>9.0</v>
      </c>
      <c r="C612" s="23" t="str">
        <f t="shared" si="1"/>
        <v>Thuế</v>
      </c>
    </row>
    <row r="613">
      <c r="A613" s="23" t="s">
        <v>584</v>
      </c>
      <c r="B613" s="24">
        <v>3.0</v>
      </c>
      <c r="C613" s="23" t="str">
        <f t="shared" si="1"/>
        <v>Hộ kinh doanh &amp; bán hàng</v>
      </c>
    </row>
    <row r="614">
      <c r="A614" s="23" t="s">
        <v>753</v>
      </c>
      <c r="B614" s="24">
        <v>9.0</v>
      </c>
      <c r="C614" s="23" t="str">
        <f t="shared" si="1"/>
        <v>Thuế</v>
      </c>
    </row>
    <row r="615">
      <c r="A615" s="23" t="s">
        <v>3222</v>
      </c>
      <c r="B615" s="24">
        <v>5.0</v>
      </c>
      <c r="C615" s="23" t="str">
        <f t="shared" si="1"/>
        <v>Ngân hàng xanh &amp; thương hiệu</v>
      </c>
    </row>
    <row r="616">
      <c r="A616" s="23" t="s">
        <v>743</v>
      </c>
      <c r="B616" s="24">
        <v>3.0</v>
      </c>
      <c r="C616" s="23" t="str">
        <f t="shared" si="1"/>
        <v>Hộ kinh doanh &amp; bán hàng</v>
      </c>
    </row>
    <row r="617">
      <c r="A617" s="23" t="s">
        <v>705</v>
      </c>
      <c r="B617" s="24">
        <v>9.0</v>
      </c>
      <c r="C617" s="23" t="str">
        <f t="shared" si="1"/>
        <v>Thuế</v>
      </c>
    </row>
    <row r="618">
      <c r="A618" s="23" t="s">
        <v>1002</v>
      </c>
      <c r="B618" s="24">
        <v>4.0</v>
      </c>
      <c r="C618" s="23" t="str">
        <f t="shared" si="1"/>
        <v>Ngoại tệ &amp; chuyển tiền quốc tế</v>
      </c>
    </row>
    <row r="619">
      <c r="A619" s="23" t="s">
        <v>3226</v>
      </c>
      <c r="B619" s="24">
        <v>13.0</v>
      </c>
      <c r="C619" s="23" t="str">
        <f t="shared" si="1"/>
        <v>Tiết kiệm &amp; lãi suất tiền gửi</v>
      </c>
    </row>
    <row r="620">
      <c r="A620" s="23" t="s">
        <v>3227</v>
      </c>
      <c r="B620" s="24">
        <v>13.0</v>
      </c>
      <c r="C620" s="23" t="str">
        <f t="shared" si="1"/>
        <v>Tiết kiệm &amp; lãi suất tiền gửi</v>
      </c>
    </row>
    <row r="621">
      <c r="A621" s="23" t="s">
        <v>3229</v>
      </c>
      <c r="B621" s="24">
        <v>4.0</v>
      </c>
      <c r="C621" s="23" t="str">
        <f t="shared" si="1"/>
        <v>Ngoại tệ &amp; chuyển tiền quốc tế</v>
      </c>
    </row>
    <row r="622">
      <c r="A622" s="23" t="s">
        <v>3233</v>
      </c>
      <c r="B622" s="24">
        <v>4.0</v>
      </c>
      <c r="C622" s="23" t="str">
        <f t="shared" si="1"/>
        <v>Ngoại tệ &amp; chuyển tiền quốc tế</v>
      </c>
    </row>
    <row r="623">
      <c r="A623" s="23" t="s">
        <v>3234</v>
      </c>
      <c r="B623" s="24">
        <v>4.0</v>
      </c>
      <c r="C623" s="23" t="str">
        <f t="shared" si="1"/>
        <v>Ngoại tệ &amp; chuyển tiền quốc tế</v>
      </c>
    </row>
    <row r="624">
      <c r="A624" s="23" t="s">
        <v>3235</v>
      </c>
      <c r="B624" s="24">
        <v>13.0</v>
      </c>
      <c r="C624" s="23" t="str">
        <f t="shared" si="1"/>
        <v>Tiết kiệm &amp; lãi suất tiền gửi</v>
      </c>
    </row>
    <row r="625">
      <c r="A625" s="23" t="s">
        <v>979</v>
      </c>
      <c r="B625" s="24">
        <v>4.0</v>
      </c>
      <c r="C625" s="23" t="str">
        <f t="shared" si="1"/>
        <v>Ngoại tệ &amp; chuyển tiền quốc tế</v>
      </c>
    </row>
    <row r="626">
      <c r="A626" s="23" t="s">
        <v>3236</v>
      </c>
      <c r="B626" s="24">
        <v>4.0</v>
      </c>
      <c r="C626" s="23" t="str">
        <f t="shared" si="1"/>
        <v>Ngoại tệ &amp; chuyển tiền quốc tế</v>
      </c>
    </row>
    <row r="627">
      <c r="A627" s="23" t="s">
        <v>1020</v>
      </c>
      <c r="B627" s="24">
        <v>4.0</v>
      </c>
      <c r="C627" s="23" t="str">
        <f t="shared" si="1"/>
        <v>Ngoại tệ &amp; chuyển tiền quốc tế</v>
      </c>
    </row>
    <row r="628">
      <c r="A628" s="23" t="s">
        <v>3239</v>
      </c>
      <c r="B628" s="24">
        <v>4.0</v>
      </c>
      <c r="C628" s="23" t="str">
        <f t="shared" si="1"/>
        <v>Ngoại tệ &amp; chuyển tiền quốc tế</v>
      </c>
    </row>
    <row r="629">
      <c r="A629" s="23" t="s">
        <v>3240</v>
      </c>
      <c r="B629" s="24">
        <v>13.0</v>
      </c>
      <c r="C629" s="23" t="str">
        <f t="shared" si="1"/>
        <v>Tiết kiệm &amp; lãi suất tiền gửi</v>
      </c>
    </row>
    <row r="630">
      <c r="A630" s="23" t="s">
        <v>3241</v>
      </c>
      <c r="B630" s="24">
        <v>13.0</v>
      </c>
      <c r="C630" s="23" t="str">
        <f t="shared" si="1"/>
        <v>Tiết kiệm &amp; lãi suất tiền gửi</v>
      </c>
    </row>
    <row r="631">
      <c r="A631" s="23" t="s">
        <v>3243</v>
      </c>
      <c r="B631" s="24">
        <v>5.0</v>
      </c>
      <c r="C631" s="23" t="str">
        <f t="shared" si="1"/>
        <v>Ngân hàng xanh &amp; thương hiệu</v>
      </c>
    </row>
    <row r="632">
      <c r="A632" s="23" t="s">
        <v>598</v>
      </c>
      <c r="B632" s="24">
        <v>9.0</v>
      </c>
      <c r="C632" s="23" t="str">
        <f t="shared" si="1"/>
        <v>Thuế</v>
      </c>
    </row>
    <row r="633">
      <c r="A633" s="23" t="s">
        <v>1856</v>
      </c>
      <c r="B633" s="24">
        <v>2.0</v>
      </c>
      <c r="C633" s="23" t="str">
        <f t="shared" si="1"/>
        <v>Doanh nghiệp (tài khoản, vay, tài chính)</v>
      </c>
    </row>
    <row r="634">
      <c r="A634" s="23" t="s">
        <v>341</v>
      </c>
      <c r="B634" s="24">
        <v>2.0</v>
      </c>
      <c r="C634" s="23" t="str">
        <f t="shared" si="1"/>
        <v>Doanh nghiệp (tài khoản, vay, tài chính)</v>
      </c>
    </row>
    <row r="635">
      <c r="A635" s="23" t="s">
        <v>3246</v>
      </c>
      <c r="B635" s="24">
        <v>16.0</v>
      </c>
      <c r="C635" s="23" t="str">
        <f t="shared" si="1"/>
        <v>Vay tiêu dùng &amp; tín chấp</v>
      </c>
    </row>
    <row r="636">
      <c r="A636" s="23" t="s">
        <v>3247</v>
      </c>
      <c r="B636" s="24">
        <v>16.0</v>
      </c>
      <c r="C636" s="23" t="str">
        <f t="shared" si="1"/>
        <v>Vay tiêu dùng &amp; tín chấp</v>
      </c>
    </row>
    <row r="637">
      <c r="A637" s="23" t="s">
        <v>3248</v>
      </c>
      <c r="B637" s="24">
        <v>17.0</v>
      </c>
      <c r="C637" s="23" t="str">
        <f t="shared" si="1"/>
        <v>Đầu tư, CCTG, trái phiếu, vàng</v>
      </c>
    </row>
    <row r="638">
      <c r="A638" s="23" t="s">
        <v>665</v>
      </c>
      <c r="B638" s="24">
        <v>3.0</v>
      </c>
      <c r="C638" s="23" t="str">
        <f t="shared" si="1"/>
        <v>Hộ kinh doanh &amp; bán hàng</v>
      </c>
    </row>
    <row r="639">
      <c r="A639" s="23" t="s">
        <v>3252</v>
      </c>
      <c r="B639" s="24">
        <v>18.0</v>
      </c>
      <c r="C639" s="23" t="str">
        <f t="shared" si="1"/>
        <v>Ưu đãi, du lịch &amp; đời sống</v>
      </c>
    </row>
    <row r="640">
      <c r="A640" s="23" t="s">
        <v>2933</v>
      </c>
      <c r="B640" s="24">
        <v>11.0</v>
      </c>
      <c r="C640" s="23" t="str">
        <f t="shared" si="1"/>
        <v>Thẻ tín dụng</v>
      </c>
    </row>
    <row r="641">
      <c r="A641" s="23" t="s">
        <v>1402</v>
      </c>
      <c r="B641" s="24">
        <v>8.0</v>
      </c>
      <c r="C641" s="23" t="str">
        <f t="shared" si="1"/>
        <v>Thanh toán, chuyển khoản &amp; QR</v>
      </c>
    </row>
    <row r="642">
      <c r="A642" s="23" t="s">
        <v>607</v>
      </c>
      <c r="B642" s="24">
        <v>9.0</v>
      </c>
      <c r="C642" s="23" t="str">
        <f t="shared" si="1"/>
        <v>Thuế</v>
      </c>
    </row>
    <row r="643">
      <c r="A643" s="23" t="s">
        <v>1075</v>
      </c>
      <c r="B643" s="24">
        <v>9.0</v>
      </c>
      <c r="C643" s="23" t="str">
        <f t="shared" si="1"/>
        <v>Thuế</v>
      </c>
    </row>
    <row r="644">
      <c r="A644" s="23" t="s">
        <v>765</v>
      </c>
      <c r="B644" s="24">
        <v>9.0</v>
      </c>
      <c r="C644" s="23" t="str">
        <f t="shared" si="1"/>
        <v>Thuế</v>
      </c>
    </row>
    <row r="645">
      <c r="A645" s="23" t="s">
        <v>679</v>
      </c>
      <c r="B645" s="24">
        <v>9.0</v>
      </c>
      <c r="C645" s="23" t="str">
        <f t="shared" si="1"/>
        <v>Thuế</v>
      </c>
    </row>
    <row r="646">
      <c r="A646" s="23" t="s">
        <v>1060</v>
      </c>
      <c r="B646" s="24">
        <v>9.0</v>
      </c>
      <c r="C646" s="23" t="str">
        <f t="shared" si="1"/>
        <v>Thuế</v>
      </c>
    </row>
    <row r="647">
      <c r="A647" s="23" t="s">
        <v>3258</v>
      </c>
      <c r="B647" s="24">
        <v>16.0</v>
      </c>
      <c r="C647" s="23" t="str">
        <f t="shared" si="1"/>
        <v>Vay tiêu dùng &amp; tín chấp</v>
      </c>
    </row>
    <row r="648">
      <c r="A648" s="23" t="s">
        <v>3259</v>
      </c>
      <c r="B648" s="24">
        <v>16.0</v>
      </c>
      <c r="C648" s="23" t="str">
        <f t="shared" si="1"/>
        <v>Vay tiêu dùng &amp; tín chấp</v>
      </c>
    </row>
    <row r="649">
      <c r="A649" s="23" t="s">
        <v>3260</v>
      </c>
      <c r="B649" s="24">
        <v>16.0</v>
      </c>
      <c r="C649" s="23" t="str">
        <f t="shared" si="1"/>
        <v>Vay tiêu dùng &amp; tín chấp</v>
      </c>
    </row>
    <row r="650">
      <c r="A650" s="23" t="s">
        <v>3265</v>
      </c>
      <c r="B650" s="24">
        <v>3.0</v>
      </c>
      <c r="C650" s="23" t="str">
        <f t="shared" si="1"/>
        <v>Hộ kinh doanh &amp; bán hàng</v>
      </c>
    </row>
    <row r="651">
      <c r="A651" s="23" t="s">
        <v>805</v>
      </c>
      <c r="B651" s="24">
        <v>2.0</v>
      </c>
      <c r="C651" s="23" t="str">
        <f t="shared" si="1"/>
        <v>Doanh nghiệp (tài khoản, vay, tài chính)</v>
      </c>
    </row>
    <row r="652">
      <c r="A652" s="23" t="s">
        <v>3267</v>
      </c>
      <c r="B652" s="24">
        <v>16.0</v>
      </c>
      <c r="C652" s="23" t="str">
        <f t="shared" si="1"/>
        <v>Vay tiêu dùng &amp; tín chấp</v>
      </c>
    </row>
    <row r="653">
      <c r="A653" s="23" t="s">
        <v>642</v>
      </c>
      <c r="B653" s="24">
        <v>9.0</v>
      </c>
      <c r="C653" s="23" t="str">
        <f t="shared" si="1"/>
        <v>Thuế</v>
      </c>
    </row>
    <row r="654">
      <c r="A654" s="23" t="s">
        <v>1917</v>
      </c>
      <c r="B654" s="24">
        <v>4.0</v>
      </c>
      <c r="C654" s="23" t="str">
        <f t="shared" si="1"/>
        <v>Ngoại tệ &amp; chuyển tiền quốc tế</v>
      </c>
    </row>
    <row r="655">
      <c r="A655" s="23" t="s">
        <v>3268</v>
      </c>
      <c r="B655" s="24">
        <v>4.0</v>
      </c>
      <c r="C655" s="23" t="str">
        <f t="shared" si="1"/>
        <v>Ngoại tệ &amp; chuyển tiền quốc tế</v>
      </c>
    </row>
    <row r="656">
      <c r="A656" s="23" t="s">
        <v>1941</v>
      </c>
      <c r="B656" s="24">
        <v>4.0</v>
      </c>
      <c r="C656" s="23" t="str">
        <f t="shared" si="1"/>
        <v>Ngoại tệ &amp; chuyển tiền quốc tế</v>
      </c>
    </row>
    <row r="657">
      <c r="A657" s="23" t="s">
        <v>3274</v>
      </c>
      <c r="B657" s="24">
        <v>7.0</v>
      </c>
      <c r="C657" s="23" t="str">
        <f t="shared" si="1"/>
        <v>Quản lý tài chính cá nhân</v>
      </c>
    </row>
    <row r="658">
      <c r="A658" s="23" t="s">
        <v>1901</v>
      </c>
      <c r="B658" s="24">
        <v>11.0</v>
      </c>
      <c r="C658" s="23" t="str">
        <f t="shared" si="1"/>
        <v>Thẻ tín dụng</v>
      </c>
    </row>
    <row r="659">
      <c r="A659" s="23" t="s">
        <v>3275</v>
      </c>
      <c r="B659" s="24">
        <v>11.0</v>
      </c>
      <c r="C659" s="23" t="str">
        <f t="shared" si="1"/>
        <v>Thẻ tín dụng</v>
      </c>
    </row>
    <row r="660">
      <c r="A660" s="23" t="s">
        <v>3269</v>
      </c>
      <c r="B660" s="24">
        <v>11.0</v>
      </c>
      <c r="C660" s="23" t="str">
        <f t="shared" si="1"/>
        <v>Thẻ tín dụng</v>
      </c>
    </row>
    <row r="661">
      <c r="A661" s="23" t="s">
        <v>3276</v>
      </c>
      <c r="B661" s="24">
        <v>11.0</v>
      </c>
      <c r="C661" s="23" t="str">
        <f t="shared" si="1"/>
        <v>Thẻ tín dụng</v>
      </c>
    </row>
    <row r="662">
      <c r="A662" s="23" t="s">
        <v>3281</v>
      </c>
      <c r="B662" s="24">
        <v>17.0</v>
      </c>
      <c r="C662" s="23" t="str">
        <f t="shared" si="1"/>
        <v>Đầu tư, CCTG, trái phiếu, vàng</v>
      </c>
    </row>
    <row r="663">
      <c r="A663" s="23" t="s">
        <v>3283</v>
      </c>
      <c r="B663" s="24">
        <v>16.0</v>
      </c>
      <c r="C663" s="23" t="str">
        <f t="shared" si="1"/>
        <v>Vay tiêu dùng &amp; tín chấp</v>
      </c>
    </row>
    <row r="664">
      <c r="A664" s="23" t="s">
        <v>3284</v>
      </c>
      <c r="B664" s="24">
        <v>16.0</v>
      </c>
      <c r="C664" s="23" t="str">
        <f t="shared" si="1"/>
        <v>Vay tiêu dùng &amp; tín chấp</v>
      </c>
    </row>
    <row r="665">
      <c r="A665" s="23" t="s">
        <v>3285</v>
      </c>
      <c r="B665" s="24">
        <v>16.0</v>
      </c>
      <c r="C665" s="23" t="str">
        <f t="shared" si="1"/>
        <v>Vay tiêu dùng &amp; tín chấp</v>
      </c>
    </row>
    <row r="666">
      <c r="A666" s="23" t="s">
        <v>3286</v>
      </c>
      <c r="B666" s="24">
        <v>16.0</v>
      </c>
      <c r="C666" s="23" t="str">
        <f t="shared" si="1"/>
        <v>Vay tiêu dùng &amp; tín chấp</v>
      </c>
    </row>
    <row r="667">
      <c r="A667" s="23" t="s">
        <v>3288</v>
      </c>
      <c r="B667" s="24">
        <v>16.0</v>
      </c>
      <c r="C667" s="23" t="str">
        <f t="shared" si="1"/>
        <v>Vay tiêu dùng &amp; tín chấp</v>
      </c>
    </row>
    <row r="668">
      <c r="A668" s="23" t="s">
        <v>3290</v>
      </c>
      <c r="B668" s="24">
        <v>16.0</v>
      </c>
      <c r="C668" s="23" t="str">
        <f t="shared" si="1"/>
        <v>Vay tiêu dùng &amp; tín chấp</v>
      </c>
    </row>
    <row r="669">
      <c r="A669" s="23" t="s">
        <v>3291</v>
      </c>
      <c r="B669" s="24">
        <v>16.0</v>
      </c>
      <c r="C669" s="23" t="str">
        <f t="shared" si="1"/>
        <v>Vay tiêu dùng &amp; tín chấp</v>
      </c>
    </row>
    <row r="670">
      <c r="A670" s="23" t="s">
        <v>3292</v>
      </c>
      <c r="B670" s="24">
        <v>16.0</v>
      </c>
      <c r="C670" s="23" t="str">
        <f t="shared" si="1"/>
        <v>Vay tiêu dùng &amp; tín chấp</v>
      </c>
    </row>
    <row r="671">
      <c r="A671" s="23" t="s">
        <v>3293</v>
      </c>
      <c r="B671" s="24">
        <v>2.0</v>
      </c>
      <c r="C671" s="23" t="str">
        <f t="shared" si="1"/>
        <v>Doanh nghiệp (tài khoản, vay, tài chính)</v>
      </c>
    </row>
    <row r="672">
      <c r="A672" s="23" t="s">
        <v>3295</v>
      </c>
      <c r="B672" s="24">
        <v>16.0</v>
      </c>
      <c r="C672" s="23" t="str">
        <f t="shared" si="1"/>
        <v>Vay tiêu dùng &amp; tín chấp</v>
      </c>
    </row>
    <row r="673">
      <c r="A673" s="23" t="s">
        <v>3298</v>
      </c>
      <c r="B673" s="24">
        <v>16.0</v>
      </c>
      <c r="C673" s="23" t="str">
        <f t="shared" si="1"/>
        <v>Vay tiêu dùng &amp; tín chấp</v>
      </c>
    </row>
    <row r="674">
      <c r="A674" s="23" t="s">
        <v>3300</v>
      </c>
      <c r="B674" s="24">
        <v>3.0</v>
      </c>
      <c r="C674" s="23" t="str">
        <f t="shared" si="1"/>
        <v>Hộ kinh doanh &amp; bán hàng</v>
      </c>
    </row>
    <row r="675">
      <c r="A675" s="23" t="s">
        <v>3301</v>
      </c>
      <c r="B675" s="24">
        <v>15.0</v>
      </c>
      <c r="C675" s="23" t="str">
        <f t="shared" si="1"/>
        <v>Vay thế chấp &amp; mua nhà/xe</v>
      </c>
    </row>
    <row r="676">
      <c r="A676" s="23" t="s">
        <v>3302</v>
      </c>
      <c r="B676" s="24">
        <v>16.0</v>
      </c>
      <c r="C676" s="23" t="str">
        <f t="shared" si="1"/>
        <v>Vay tiêu dùng &amp; tín chấp</v>
      </c>
    </row>
    <row r="677">
      <c r="A677" s="23" t="s">
        <v>3303</v>
      </c>
      <c r="B677" s="24">
        <v>15.0</v>
      </c>
      <c r="C677" s="23" t="str">
        <f t="shared" si="1"/>
        <v>Vay thế chấp &amp; mua nhà/xe</v>
      </c>
    </row>
    <row r="678">
      <c r="A678" s="23" t="s">
        <v>3304</v>
      </c>
      <c r="B678" s="24">
        <v>15.0</v>
      </c>
      <c r="C678" s="23" t="str">
        <f t="shared" si="1"/>
        <v>Vay thế chấp &amp; mua nhà/xe</v>
      </c>
    </row>
    <row r="679">
      <c r="A679" s="23" t="s">
        <v>1923</v>
      </c>
      <c r="B679" s="24">
        <v>15.0</v>
      </c>
      <c r="C679" s="23" t="str">
        <f t="shared" si="1"/>
        <v>Vay thế chấp &amp; mua nhà/xe</v>
      </c>
    </row>
    <row r="680">
      <c r="A680" s="23" t="s">
        <v>3308</v>
      </c>
      <c r="B680" s="24">
        <v>15.0</v>
      </c>
      <c r="C680" s="23" t="str">
        <f t="shared" si="1"/>
        <v>Vay thế chấp &amp; mua nhà/xe</v>
      </c>
    </row>
    <row r="681">
      <c r="A681" s="23" t="s">
        <v>1056</v>
      </c>
      <c r="B681" s="24">
        <v>16.0</v>
      </c>
      <c r="C681" s="23" t="str">
        <f t="shared" si="1"/>
        <v>Vay tiêu dùng &amp; tín chấp</v>
      </c>
    </row>
    <row r="682">
      <c r="A682" s="23" t="s">
        <v>3148</v>
      </c>
      <c r="B682" s="24">
        <v>16.0</v>
      </c>
      <c r="C682" s="23" t="str">
        <f t="shared" si="1"/>
        <v>Vay tiêu dùng &amp; tín chấp</v>
      </c>
    </row>
    <row r="683">
      <c r="A683" s="23" t="s">
        <v>3310</v>
      </c>
      <c r="B683" s="24">
        <v>3.0</v>
      </c>
      <c r="C683" s="23" t="str">
        <f t="shared" si="1"/>
        <v>Hộ kinh doanh &amp; bán hàng</v>
      </c>
    </row>
    <row r="684">
      <c r="A684" s="23" t="s">
        <v>3311</v>
      </c>
      <c r="B684" s="24">
        <v>16.0</v>
      </c>
      <c r="C684" s="23" t="str">
        <f t="shared" si="1"/>
        <v>Vay tiêu dùng &amp; tín chấp</v>
      </c>
    </row>
    <row r="685">
      <c r="A685" s="23" t="s">
        <v>1949</v>
      </c>
      <c r="B685" s="24">
        <v>16.0</v>
      </c>
      <c r="C685" s="23" t="str">
        <f t="shared" si="1"/>
        <v>Vay tiêu dùng &amp; tín chấp</v>
      </c>
    </row>
    <row r="686">
      <c r="A686" s="23" t="s">
        <v>2127</v>
      </c>
      <c r="B686" s="24">
        <v>16.0</v>
      </c>
      <c r="C686" s="23" t="str">
        <f t="shared" si="1"/>
        <v>Vay tiêu dùng &amp; tín chấp</v>
      </c>
    </row>
    <row r="687">
      <c r="A687" s="23" t="s">
        <v>735</v>
      </c>
      <c r="B687" s="24">
        <v>16.0</v>
      </c>
      <c r="C687" s="23" t="str">
        <f t="shared" si="1"/>
        <v>Vay tiêu dùng &amp; tín chấp</v>
      </c>
    </row>
    <row r="688">
      <c r="A688" s="23" t="s">
        <v>3315</v>
      </c>
      <c r="B688" s="24">
        <v>15.0</v>
      </c>
      <c r="C688" s="23" t="str">
        <f t="shared" si="1"/>
        <v>Vay thế chấp &amp; mua nhà/xe</v>
      </c>
    </row>
    <row r="689">
      <c r="A689" s="23" t="s">
        <v>3317</v>
      </c>
      <c r="B689" s="24">
        <v>15.0</v>
      </c>
      <c r="C689" s="23" t="str">
        <f t="shared" si="1"/>
        <v>Vay thế chấp &amp; mua nhà/xe</v>
      </c>
    </row>
    <row r="690">
      <c r="A690" s="23" t="s">
        <v>3318</v>
      </c>
      <c r="B690" s="24">
        <v>15.0</v>
      </c>
      <c r="C690" s="23" t="str">
        <f t="shared" si="1"/>
        <v>Vay thế chấp &amp; mua nhà/xe</v>
      </c>
    </row>
    <row r="691">
      <c r="A691" s="23" t="s">
        <v>3319</v>
      </c>
      <c r="B691" s="24">
        <v>3.0</v>
      </c>
      <c r="C691" s="23" t="str">
        <f t="shared" si="1"/>
        <v>Hộ kinh doanh &amp; bán hàng</v>
      </c>
    </row>
    <row r="692">
      <c r="A692" s="23" t="s">
        <v>3320</v>
      </c>
      <c r="B692" s="24">
        <v>15.0</v>
      </c>
      <c r="C692" s="23" t="str">
        <f t="shared" si="1"/>
        <v>Vay thế chấp &amp; mua nhà/xe</v>
      </c>
    </row>
    <row r="693">
      <c r="A693" s="23" t="s">
        <v>2365</v>
      </c>
      <c r="B693" s="24">
        <v>15.0</v>
      </c>
      <c r="C693" s="23" t="str">
        <f t="shared" si="1"/>
        <v>Vay thế chấp &amp; mua nhà/xe</v>
      </c>
    </row>
    <row r="694">
      <c r="A694" s="23" t="s">
        <v>3324</v>
      </c>
      <c r="B694" s="24">
        <v>15.0</v>
      </c>
      <c r="C694" s="23" t="str">
        <f t="shared" si="1"/>
        <v>Vay thế chấp &amp; mua nhà/xe</v>
      </c>
    </row>
    <row r="695">
      <c r="A695" s="23" t="s">
        <v>3325</v>
      </c>
      <c r="B695" s="24">
        <v>15.0</v>
      </c>
      <c r="C695" s="23" t="str">
        <f t="shared" si="1"/>
        <v>Vay thế chấp &amp; mua nhà/xe</v>
      </c>
    </row>
    <row r="696">
      <c r="A696" s="23" t="s">
        <v>3326</v>
      </c>
      <c r="B696" s="24">
        <v>15.0</v>
      </c>
      <c r="C696" s="23" t="str">
        <f t="shared" si="1"/>
        <v>Vay thế chấp &amp; mua nhà/xe</v>
      </c>
    </row>
    <row r="697">
      <c r="A697" s="23" t="s">
        <v>72</v>
      </c>
      <c r="B697" s="24">
        <v>15.0</v>
      </c>
      <c r="C697" s="23" t="str">
        <f t="shared" si="1"/>
        <v>Vay thế chấp &amp; mua nhà/xe</v>
      </c>
    </row>
    <row r="698">
      <c r="A698" s="23" t="s">
        <v>3327</v>
      </c>
      <c r="B698" s="24">
        <v>16.0</v>
      </c>
      <c r="C698" s="23" t="str">
        <f t="shared" si="1"/>
        <v>Vay tiêu dùng &amp; tín chấp</v>
      </c>
    </row>
    <row r="699">
      <c r="A699" s="23" t="s">
        <v>1608</v>
      </c>
      <c r="B699" s="24">
        <v>16.0</v>
      </c>
      <c r="C699" s="23" t="str">
        <f t="shared" si="1"/>
        <v>Vay tiêu dùng &amp; tín chấp</v>
      </c>
    </row>
    <row r="700">
      <c r="A700" s="23" t="s">
        <v>3330</v>
      </c>
      <c r="B700" s="24">
        <v>2.0</v>
      </c>
      <c r="C700" s="23" t="str">
        <f t="shared" si="1"/>
        <v>Doanh nghiệp (tài khoản, vay, tài chính)</v>
      </c>
    </row>
    <row r="701">
      <c r="A701" s="23" t="s">
        <v>3333</v>
      </c>
      <c r="B701" s="24">
        <v>3.0</v>
      </c>
      <c r="C701" s="23" t="str">
        <f t="shared" si="1"/>
        <v>Hộ kinh doanh &amp; bán hàng</v>
      </c>
    </row>
    <row r="702">
      <c r="A702" s="23" t="s">
        <v>1171</v>
      </c>
      <c r="B702" s="24">
        <v>16.0</v>
      </c>
      <c r="C702" s="23" t="str">
        <f t="shared" si="1"/>
        <v>Vay tiêu dùng &amp; tín chấp</v>
      </c>
    </row>
    <row r="703">
      <c r="A703" s="23" t="s">
        <v>3335</v>
      </c>
      <c r="B703" s="24">
        <v>16.0</v>
      </c>
      <c r="C703" s="23" t="str">
        <f t="shared" si="1"/>
        <v>Vay tiêu dùng &amp; tín chấp</v>
      </c>
    </row>
    <row r="704">
      <c r="A704" s="23" t="s">
        <v>3336</v>
      </c>
      <c r="B704" s="24">
        <v>6.0</v>
      </c>
      <c r="C704" s="23" t="str">
        <f t="shared" si="1"/>
        <v>Nợ xấu &amp; CIC</v>
      </c>
    </row>
    <row r="705">
      <c r="A705" s="23" t="s">
        <v>3337</v>
      </c>
      <c r="B705" s="24">
        <v>6.0</v>
      </c>
      <c r="C705" s="23" t="str">
        <f t="shared" si="1"/>
        <v>Nợ xấu &amp; CIC</v>
      </c>
    </row>
    <row r="706">
      <c r="A706" s="23" t="s">
        <v>3338</v>
      </c>
      <c r="B706" s="24">
        <v>16.0</v>
      </c>
      <c r="C706" s="23" t="str">
        <f t="shared" si="1"/>
        <v>Vay tiêu dùng &amp; tín chấp</v>
      </c>
    </row>
    <row r="707">
      <c r="A707" s="23" t="s">
        <v>3341</v>
      </c>
      <c r="B707" s="24">
        <v>15.0</v>
      </c>
      <c r="C707" s="23" t="str">
        <f t="shared" si="1"/>
        <v>Vay thế chấp &amp; mua nhà/xe</v>
      </c>
    </row>
    <row r="708">
      <c r="A708" s="23" t="s">
        <v>3344</v>
      </c>
      <c r="B708" s="24">
        <v>16.0</v>
      </c>
      <c r="C708" s="23" t="str">
        <f t="shared" si="1"/>
        <v>Vay tiêu dùng &amp; tín chấp</v>
      </c>
    </row>
    <row r="709">
      <c r="A709" s="23" t="s">
        <v>3345</v>
      </c>
      <c r="B709" s="24">
        <v>15.0</v>
      </c>
      <c r="C709" s="23" t="str">
        <f t="shared" si="1"/>
        <v>Vay thế chấp &amp; mua nhà/xe</v>
      </c>
    </row>
    <row r="710">
      <c r="A710" s="23" t="s">
        <v>3346</v>
      </c>
      <c r="B710" s="24">
        <v>2.0</v>
      </c>
      <c r="C710" s="23" t="str">
        <f t="shared" si="1"/>
        <v>Doanh nghiệp (tài khoản, vay, tài chính)</v>
      </c>
    </row>
    <row r="711">
      <c r="A711" s="23" t="s">
        <v>967</v>
      </c>
      <c r="B711" s="24">
        <v>14.0</v>
      </c>
      <c r="C711" s="23" t="str">
        <f t="shared" si="1"/>
        <v>Tài khoản &amp; ngân hàng số</v>
      </c>
    </row>
    <row r="712">
      <c r="A712" s="23" t="s">
        <v>1364</v>
      </c>
      <c r="B712" s="24">
        <v>8.0</v>
      </c>
      <c r="C712" s="23" t="str">
        <f t="shared" si="1"/>
        <v>Thanh toán, chuyển khoản &amp; QR</v>
      </c>
    </row>
    <row r="713">
      <c r="A713" s="23" t="s">
        <v>2121</v>
      </c>
      <c r="B713" s="24">
        <v>14.0</v>
      </c>
      <c r="C713" s="23" t="str">
        <f t="shared" si="1"/>
        <v>Tài khoản &amp; ngân hàng số</v>
      </c>
    </row>
    <row r="714">
      <c r="A714" s="23" t="s">
        <v>3350</v>
      </c>
      <c r="B714" s="24">
        <v>17.0</v>
      </c>
      <c r="C714" s="23" t="str">
        <f t="shared" si="1"/>
        <v>Đầu tư, CCTG, trái phiếu, vàng</v>
      </c>
    </row>
    <row r="715">
      <c r="A715" s="23" t="s">
        <v>2420</v>
      </c>
      <c r="B715" s="24">
        <v>16.0</v>
      </c>
      <c r="C715" s="23" t="str">
        <f t="shared" si="1"/>
        <v>Vay tiêu dùng &amp; tín chấp</v>
      </c>
    </row>
    <row r="716">
      <c r="A716" s="23" t="s">
        <v>1913</v>
      </c>
      <c r="B716" s="24">
        <v>14.0</v>
      </c>
      <c r="C716" s="23" t="str">
        <f t="shared" si="1"/>
        <v>Tài khoản &amp; ngân hàng số</v>
      </c>
    </row>
    <row r="717">
      <c r="A717" s="23" t="s">
        <v>3351</v>
      </c>
      <c r="B717" s="24">
        <v>4.0</v>
      </c>
      <c r="C717" s="23" t="str">
        <f t="shared" si="1"/>
        <v>Ngoại tệ &amp; chuyển tiền quốc tế</v>
      </c>
    </row>
    <row r="718">
      <c r="A718" s="23" t="s">
        <v>3353</v>
      </c>
      <c r="B718" s="24">
        <v>2.0</v>
      </c>
      <c r="C718" s="23" t="str">
        <f t="shared" si="1"/>
        <v>Doanh nghiệp (tài khoản, vay, tài chính)</v>
      </c>
    </row>
    <row r="719">
      <c r="A719" s="23" t="s">
        <v>3354</v>
      </c>
      <c r="B719" s="24">
        <v>18.0</v>
      </c>
      <c r="C719" s="23" t="str">
        <f t="shared" si="1"/>
        <v>Ưu đãi, du lịch &amp; đời sống</v>
      </c>
    </row>
    <row r="720">
      <c r="A720" s="23" t="s">
        <v>3355</v>
      </c>
      <c r="B720" s="24">
        <v>18.0</v>
      </c>
      <c r="C720" s="23" t="str">
        <f t="shared" si="1"/>
        <v>Ưu đãi, du lịch &amp; đời sống</v>
      </c>
    </row>
    <row r="721">
      <c r="A721" s="23" t="s">
        <v>3356</v>
      </c>
      <c r="B721" s="24">
        <v>18.0</v>
      </c>
      <c r="C721" s="23" t="str">
        <f t="shared" si="1"/>
        <v>Ưu đãi, du lịch &amp; đời sống</v>
      </c>
    </row>
    <row r="722">
      <c r="A722" s="23" t="s">
        <v>3357</v>
      </c>
      <c r="B722" s="24">
        <v>18.0</v>
      </c>
      <c r="C722" s="23" t="str">
        <f t="shared" si="1"/>
        <v>Ưu đãi, du lịch &amp; đời sống</v>
      </c>
    </row>
    <row r="723">
      <c r="A723" s="23" t="s">
        <v>3358</v>
      </c>
      <c r="B723" s="24">
        <v>18.0</v>
      </c>
      <c r="C723" s="23" t="str">
        <f t="shared" si="1"/>
        <v>Ưu đãi, du lịch &amp; đời sống</v>
      </c>
    </row>
    <row r="724">
      <c r="A724" s="23" t="s">
        <v>3359</v>
      </c>
      <c r="B724" s="24">
        <v>18.0</v>
      </c>
      <c r="C724" s="23" t="str">
        <f t="shared" si="1"/>
        <v>Ưu đãi, du lịch &amp; đời sống</v>
      </c>
    </row>
    <row r="725">
      <c r="A725" s="23" t="s">
        <v>3360</v>
      </c>
      <c r="B725" s="24">
        <v>18.0</v>
      </c>
      <c r="C725" s="23" t="str">
        <f t="shared" si="1"/>
        <v>Ưu đãi, du lịch &amp; đời sống</v>
      </c>
    </row>
    <row r="726">
      <c r="A726" s="23" t="s">
        <v>3218</v>
      </c>
      <c r="B726" s="24">
        <v>18.0</v>
      </c>
      <c r="C726" s="23" t="str">
        <f t="shared" si="1"/>
        <v>Ưu đãi, du lịch &amp; đời sống</v>
      </c>
    </row>
    <row r="727">
      <c r="A727" s="23" t="s">
        <v>3361</v>
      </c>
      <c r="B727" s="24">
        <v>18.0</v>
      </c>
      <c r="C727" s="23" t="str">
        <f t="shared" si="1"/>
        <v>Ưu đãi, du lịch &amp; đời sống</v>
      </c>
    </row>
    <row r="728">
      <c r="A728" s="23" t="s">
        <v>3363</v>
      </c>
      <c r="B728" s="24">
        <v>5.0</v>
      </c>
      <c r="C728" s="23" t="str">
        <f t="shared" si="1"/>
        <v>Ngân hàng xanh &amp; thương hiệu</v>
      </c>
    </row>
    <row r="729">
      <c r="A729" s="23" t="s">
        <v>746</v>
      </c>
      <c r="B729" s="24">
        <v>2.0</v>
      </c>
      <c r="C729" s="23" t="str">
        <f t="shared" si="1"/>
        <v>Doanh nghiệp (tài khoản, vay, tài chính)</v>
      </c>
    </row>
    <row r="730">
      <c r="A730" s="23" t="s">
        <v>1742</v>
      </c>
      <c r="B730" s="24">
        <v>8.0</v>
      </c>
      <c r="C730" s="23" t="str">
        <f t="shared" si="1"/>
        <v>Thanh toán, chuyển khoản &amp; QR</v>
      </c>
    </row>
    <row r="731">
      <c r="A731" s="23" t="s">
        <v>934</v>
      </c>
      <c r="B731" s="24">
        <v>6.0</v>
      </c>
      <c r="C731" s="23" t="str">
        <f t="shared" si="1"/>
        <v>Nợ xấu &amp; CIC</v>
      </c>
    </row>
    <row r="732">
      <c r="A732" s="23" t="s">
        <v>3364</v>
      </c>
      <c r="B732" s="24">
        <v>17.0</v>
      </c>
      <c r="C732" s="23" t="str">
        <f t="shared" si="1"/>
        <v>Đầu tư, CCTG, trái phiếu, vàng</v>
      </c>
    </row>
    <row r="733">
      <c r="A733" s="23" t="s">
        <v>3228</v>
      </c>
      <c r="B733" s="24">
        <v>19.0</v>
      </c>
      <c r="C733" s="23" t="str">
        <f t="shared" si="1"/>
        <v>Khác</v>
      </c>
    </row>
    <row r="734">
      <c r="A734" s="23" t="s">
        <v>3365</v>
      </c>
      <c r="B734" s="24">
        <v>4.0</v>
      </c>
      <c r="C734" s="23" t="str">
        <f t="shared" si="1"/>
        <v>Ngoại tệ &amp; chuyển tiền quốc tế</v>
      </c>
    </row>
    <row r="735">
      <c r="A735" s="23" t="s">
        <v>2468</v>
      </c>
      <c r="B735" s="24">
        <v>14.0</v>
      </c>
      <c r="C735" s="23" t="str">
        <f t="shared" si="1"/>
        <v>Tài khoản &amp; ngân hàng số</v>
      </c>
    </row>
  </sheetData>
  <autoFilter ref="$A$1:$C$735"/>
  <drawing r:id="rId1"/>
</worksheet>
</file>